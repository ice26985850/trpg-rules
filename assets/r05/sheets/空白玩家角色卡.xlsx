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玩家角色卡</t>
        </is>
      </c>
    </row>
    <row r="3">
      <c r="A3" s="2" t="inlineStr">
        <is>
          <t>角色圖</t>
        </is>
      </c>
      <c r="B3" s="9" t="n"/>
      <c r="C3" s="9" t="n"/>
      <c r="D3" s="10" t="n"/>
      <c r="E3" s="3" t="inlineStr">
        <is>
          <t>角色名稱</t>
        </is>
      </c>
      <c r="F3" s="4" t="inlineStr"/>
    </row>
    <row r="4">
      <c r="A4" s="11" t="n"/>
      <c r="D4" s="12" t="n"/>
      <c r="E4" s="3" t="inlineStr">
        <is>
          <t>職業</t>
        </is>
      </c>
      <c r="F4" s="4" t="inlineStr"/>
    </row>
    <row r="5">
      <c r="E5" t="inlineStr">
        <is>
          <t>種族</t>
        </is>
      </c>
      <c r="F5" t="inlineStr">
        <is>
          <t>（請填寫，例：人類）</t>
        </is>
      </c>
    </row>
    <row r="6">
      <c r="A6" s="11" t="n"/>
      <c r="D6" s="12" t="n"/>
      <c r="E6" s="3" t="inlineStr">
        <is>
          <t>出身背景</t>
        </is>
      </c>
      <c r="F6" s="4" t="inlineStr"/>
    </row>
    <row r="7">
      <c r="A7" s="13" t="n"/>
      <c r="B7" s="14" t="n"/>
      <c r="C7" s="14" t="n"/>
      <c r="D7" s="15" t="n"/>
      <c r="E7" s="3" t="inlineStr">
        <is>
          <t>守護神</t>
        </is>
      </c>
      <c r="F7" s="4" t="inlineStr"/>
    </row>
    <row r="8">
      <c r="E8" t="inlineStr">
        <is>
          <t>種族特性</t>
        </is>
      </c>
      <c r="F8" t="inlineStr">
        <is>
          <t>（請填寫對應種族特性，見玩家書 5.0）</t>
        </is>
      </c>
    </row>
    <row r="9">
      <c r="E9" s="3" t="inlineStr">
        <is>
          <t>角色等級(CL)</t>
        </is>
      </c>
      <c r="F9" s="4" t="n">
        <v>1</v>
      </c>
    </row>
    <row r="10">
      <c r="E10" s="3" t="inlineStr">
        <is>
          <t>職業等級(ClassLv)</t>
        </is>
      </c>
      <c r="F10" s="4" t="n">
        <v>1</v>
      </c>
    </row>
    <row r="11">
      <c r="E11" s="3" t="inlineStr">
        <is>
          <t>技能點(SP)剩餘</t>
        </is>
      </c>
      <c r="F11" s="4" t="n">
        <v>0</v>
      </c>
    </row>
    <row r="12">
      <c r="E12" s="3" t="inlineStr">
        <is>
          <t>金幣(Gold)</t>
        </is>
      </c>
      <c r="F12" s="4" t="n">
        <v>0</v>
      </c>
    </row>
    <row r="13"/>
    <row r="14">
      <c r="A14" s="5" t="inlineStr">
        <is>
          <t>屬性</t>
        </is>
      </c>
      <c r="B14" s="5" t="inlineStr">
        <is>
          <t>數值</t>
        </is>
      </c>
      <c r="C14" s="5" t="inlineStr">
        <is>
          <t>加值(M)</t>
        </is>
      </c>
    </row>
    <row r="15">
      <c r="A15" s="6" t="inlineStr">
        <is>
          <t>力量(STR)</t>
        </is>
      </c>
      <c r="B15" s="4" t="n">
        <v>14</v>
      </c>
      <c r="C15" s="4">
        <f>INT((B15-10)/2)</f>
        <v/>
      </c>
    </row>
    <row r="16">
      <c r="A16" s="6" t="inlineStr">
        <is>
          <t>體質(CON)</t>
        </is>
      </c>
      <c r="B16" s="4" t="n">
        <v>12</v>
      </c>
      <c r="C16" s="4">
        <f>INT((B16-10)/2)</f>
        <v/>
      </c>
    </row>
    <row r="17">
      <c r="A17" s="6" t="inlineStr">
        <is>
          <t>敏捷(DEX)</t>
        </is>
      </c>
      <c r="B17" s="4" t="n">
        <v>13</v>
      </c>
      <c r="C17" s="4">
        <f>INT((B17-10)/2)</f>
        <v/>
      </c>
    </row>
    <row r="18">
      <c r="A18" s="6" t="inlineStr">
        <is>
          <t>魔力(MAG)</t>
        </is>
      </c>
      <c r="B18" s="4" t="n">
        <v>10</v>
      </c>
      <c r="C18" s="4">
        <f>INT((B18-10)/2)</f>
        <v/>
      </c>
    </row>
    <row r="19">
      <c r="A19" s="6" t="inlineStr">
        <is>
          <t>魅力(CHA)</t>
        </is>
      </c>
      <c r="B19" s="4" t="n">
        <v>10</v>
      </c>
      <c r="C19" s="4">
        <f>INT((B19-10)/2)</f>
        <v/>
      </c>
    </row>
    <row r="20">
      <c r="A20" s="6" t="inlineStr">
        <is>
          <t>幸運(LUK)</t>
        </is>
      </c>
      <c r="B20" s="4" t="n">
        <v>10</v>
      </c>
      <c r="C20" s="4">
        <f>INT((B20-10)/2)</f>
        <v/>
      </c>
    </row>
    <row r="21"/>
    <row r="22">
      <c r="A22" s="3" t="inlineStr">
        <is>
          <t>基礎生命</t>
        </is>
      </c>
      <c r="B22" s="4" t="n">
        <v>60</v>
      </c>
    </row>
    <row r="23">
      <c r="A23" s="3" t="inlineStr">
        <is>
          <t>生命成長</t>
        </is>
      </c>
      <c r="B23" s="4" t="n">
        <v>4</v>
      </c>
    </row>
    <row r="24">
      <c r="A24" s="3" t="inlineStr">
        <is>
          <t>魔力職業加成</t>
        </is>
      </c>
      <c r="B24" s="4" t="n">
        <v>0</v>
      </c>
    </row>
    <row r="25">
      <c r="A25" s="3" t="inlineStr">
        <is>
          <t>裝備迴避修正</t>
        </is>
      </c>
      <c r="B25" s="4" t="n">
        <v>0</v>
      </c>
    </row>
    <row r="26">
      <c r="A26" s="3" t="inlineStr">
        <is>
          <t>技能迴避修正</t>
        </is>
      </c>
      <c r="B26" s="4" t="n">
        <v>0</v>
      </c>
    </row>
    <row r="27">
      <c r="A27" s="3" t="inlineStr">
        <is>
          <t>武器命中修正</t>
        </is>
      </c>
      <c r="B27" s="4" t="n">
        <v>0</v>
      </c>
    </row>
    <row r="28"/>
    <row r="29">
      <c r="A29" s="6" t="inlineStr">
        <is>
          <t>生命值(HP)上限</t>
        </is>
      </c>
      <c r="B29" s="4">
        <f>B20+(B21+C14)*(F7-1)</f>
        <v/>
      </c>
    </row>
    <row r="30">
      <c r="A30" s="6" t="inlineStr">
        <is>
          <t>魔力點(MP)上限</t>
        </is>
      </c>
      <c r="B30" s="4">
        <f>10+B16*2+B22</f>
        <v/>
      </c>
    </row>
    <row r="31">
      <c r="A31" s="6" t="inlineStr">
        <is>
          <t>行動點(AP)上限</t>
        </is>
      </c>
      <c r="B31" s="4">
        <f>2+FLOOR(B15/4,1)</f>
        <v/>
      </c>
    </row>
    <row r="32">
      <c r="A32" s="6" t="inlineStr">
        <is>
          <t>迴避值(EVA)基礎</t>
        </is>
      </c>
      <c r="B32" s="4">
        <f>10+C15+B23+B24</f>
        <v/>
      </c>
    </row>
    <row r="33">
      <c r="A33" s="6" t="inlineStr">
        <is>
          <t>命中加值(近戰)基礎</t>
        </is>
      </c>
      <c r="B33" s="4">
        <f>C13+B25</f>
        <v/>
      </c>
    </row>
    <row r="34"/>
    <row r="35">
      <c r="A35" s="5" t="inlineStr">
        <is>
          <t>技能名稱</t>
        </is>
      </c>
      <c r="B35" s="5" t="inlineStr">
        <is>
          <t>技能等級(SkillLv)</t>
        </is>
      </c>
      <c r="C35" s="5" t="inlineStr">
        <is>
          <t>倍率f(n)</t>
        </is>
      </c>
      <c r="D35" s="5" t="inlineStr">
        <is>
          <t>行動點(AP)</t>
        </is>
      </c>
      <c r="E35" s="5" t="inlineStr">
        <is>
          <t>魔力點(MP)</t>
        </is>
      </c>
      <c r="F35" s="5" t="inlineStr">
        <is>
          <t>效果/備註</t>
        </is>
      </c>
    </row>
    <row r="36">
      <c r="A36" s="4" t="inlineStr"/>
      <c r="B36" s="4" t="n">
        <v>1</v>
      </c>
      <c r="C36" s="4">
        <f>1+B34*(B34-1)/8</f>
        <v/>
      </c>
      <c r="D36" s="4" t="inlineStr"/>
      <c r="E36" s="4" t="inlineStr"/>
      <c r="F36" s="7" t="inlineStr"/>
    </row>
    <row r="37">
      <c r="A37" s="4" t="inlineStr"/>
      <c r="B37" s="4" t="n">
        <v>1</v>
      </c>
      <c r="C37" s="4">
        <f>1+B35*(B35-1)/8</f>
        <v/>
      </c>
      <c r="D37" s="4" t="inlineStr"/>
      <c r="E37" s="4" t="inlineStr"/>
      <c r="F37" s="7" t="inlineStr"/>
    </row>
    <row r="38">
      <c r="A38" s="4" t="inlineStr"/>
      <c r="B38" s="4" t="n">
        <v>1</v>
      </c>
      <c r="C38" s="4">
        <f>1+B36*(B36-1)/8</f>
        <v/>
      </c>
      <c r="D38" s="4" t="inlineStr"/>
      <c r="E38" s="4" t="inlineStr"/>
      <c r="F38" s="7" t="inlineStr"/>
    </row>
    <row r="39">
      <c r="A39" s="4" t="inlineStr"/>
      <c r="B39" s="4" t="n">
        <v>1</v>
      </c>
      <c r="C39" s="4">
        <f>1+B37*(B37-1)/8</f>
        <v/>
      </c>
      <c r="D39" s="4" t="inlineStr"/>
      <c r="E39" s="4" t="inlineStr"/>
      <c r="F39" s="7" t="inlineStr"/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4" t="inlineStr"/>
      <c r="E43" s="4" t="inlineStr"/>
      <c r="F43" s="7" t="inlineStr"/>
    </row>
    <row r="44"/>
    <row r="45">
      <c r="A45" s="5" t="inlineStr">
        <is>
          <t>部位</t>
        </is>
      </c>
      <c r="B45" s="5" t="inlineStr">
        <is>
          <t>名稱</t>
        </is>
      </c>
      <c r="C45" s="8" t="inlineStr">
        <is>
          <t>數值/效果</t>
        </is>
      </c>
      <c r="D45" s="16" t="n"/>
      <c r="E45" s="16" t="n"/>
      <c r="F45" s="17" t="n"/>
    </row>
    <row r="46">
      <c r="A46" s="6" t="inlineStr">
        <is>
          <t>武器</t>
        </is>
      </c>
      <c r="B46" s="4" t="inlineStr"/>
      <c r="C46" s="7" t="inlineStr"/>
      <c r="D46" s="16" t="n"/>
      <c r="E46" s="16" t="n"/>
      <c r="F46" s="17" t="n"/>
    </row>
    <row r="47">
      <c r="A47" s="6" t="inlineStr">
        <is>
          <t>防具</t>
        </is>
      </c>
      <c r="B47" s="4" t="inlineStr"/>
      <c r="C47" s="7" t="inlineStr"/>
      <c r="D47" s="16" t="n"/>
      <c r="E47" s="16" t="n"/>
      <c r="F47" s="17" t="n"/>
    </row>
    <row r="48">
      <c r="A48" s="6" t="inlineStr">
        <is>
          <t>飾品</t>
        </is>
      </c>
      <c r="B48" s="4" t="inlineStr"/>
      <c r="C48" s="7" t="inlineStr"/>
      <c r="D48" s="16" t="n"/>
      <c r="E48" s="16" t="n"/>
      <c r="F48" s="17" t="n"/>
    </row>
    <row r="49">
      <c r="A49" s="6" t="inlineStr">
        <is>
          <t>其他</t>
        </is>
      </c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2026-08-03T13:29:25Z</dcterms:created>
  <dcterms:modified xsi:type="dcterms:W3CDTF">2026-08-06T15:55:47Z</dcterms:modified>
</cp:coreProperties>
</file>