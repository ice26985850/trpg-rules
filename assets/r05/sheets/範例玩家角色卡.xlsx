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戰士" sheetId="1" state="visible" r:id="rId1"/>
    <sheet name="格鬥家" sheetId="2" state="visible" r:id="rId2"/>
    <sheet name="法師" sheetId="3" state="visible" r:id="rId3"/>
    <sheet name="牧師" sheetId="4" state="visible" r:id="rId4"/>
    <sheet name="盜賊" sheetId="5" state="visible" r:id="rId5"/>
    <sheet name="獵人" sheetId="6" state="visible" r:id="rId6"/>
    <sheet name="舞者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888888"/>
      <sz val="11"/>
    </font>
    <font>
      <b val="1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2E75B6"/>
      </patternFill>
    </fill>
  </fills>
  <borders count="11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BBBBBB"/>
      </left>
      <right/>
      <top/>
      <bottom/>
      <diagonal/>
    </border>
    <border>
      <left/>
      <right style="thin">
        <color rgb="00BBBBBB"/>
      </right>
      <top/>
      <bottom/>
      <diagonal/>
    </border>
    <border>
      <left style="thin">
        <color rgb="00BBBBBB"/>
      </left>
      <right/>
      <top/>
      <bottom style="thin">
        <color rgb="00BBBBBB"/>
      </bottom>
      <diagonal/>
    </border>
    <border>
      <left/>
      <right/>
      <top/>
      <bottom style="thin">
        <color rgb="00BBBBBB"/>
      </bottom>
      <diagonal/>
    </border>
    <border>
      <left/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玩家角色卡 — 範例·戰士</t>
        </is>
      </c>
    </row>
    <row r="3">
      <c r="A3" s="12" t="n"/>
      <c r="D3" s="12" t="n"/>
      <c r="E3" s="3" t="inlineStr">
        <is>
          <t>角色名稱</t>
        </is>
      </c>
      <c r="F3" s="4" t="inlineStr">
        <is>
          <t>雷恩</t>
        </is>
      </c>
    </row>
    <row r="4">
      <c r="D4" s="12" t="n"/>
      <c r="E4" t="inlineStr">
        <is>
          <t>種族</t>
        </is>
      </c>
      <c r="F4" t="inlineStr">
        <is>
          <t>矮人</t>
        </is>
      </c>
    </row>
    <row r="5">
      <c r="D5" s="12" t="n"/>
      <c r="E5" s="3" t="inlineStr">
        <is>
          <t>職業</t>
        </is>
      </c>
      <c r="F5" s="4" t="inlineStr">
        <is>
          <t>戰士</t>
        </is>
      </c>
    </row>
    <row r="6">
      <c r="D6" s="12" t="n"/>
      <c r="E6" s="3" t="inlineStr">
        <is>
          <t>出身背景</t>
        </is>
      </c>
      <c r="F6" s="4" t="inlineStr">
        <is>
          <t>武家</t>
        </is>
      </c>
    </row>
    <row r="7">
      <c r="A7" s="13" t="n"/>
      <c r="B7" s="14" t="n"/>
      <c r="C7" s="14" t="n"/>
      <c r="D7" s="15" t="n"/>
      <c r="E7" s="3" t="inlineStr">
        <is>
          <t>守護神</t>
        </is>
      </c>
      <c r="F7" s="4" t="inlineStr">
        <is>
          <t>加爾德·鐵誓</t>
        </is>
      </c>
    </row>
    <row r="8">
      <c r="E8" s="3" t="inlineStr">
        <is>
          <t>種族特性</t>
        </is>
      </c>
      <c r="F8" s="4" t="inlineStr">
        <is>
          <t>山脈之軀：毒/疾病傷害 ×0.5；全異常抗性 +5%</t>
        </is>
      </c>
    </row>
    <row r="9">
      <c r="E9" t="inlineStr">
        <is>
          <t>角色等級(CL)</t>
        </is>
      </c>
      <c r="F9" t="n">
        <v>5</v>
      </c>
    </row>
    <row r="10">
      <c r="E10" s="3" t="inlineStr">
        <is>
          <t>職業等級(ClassLv)</t>
        </is>
      </c>
      <c r="F10" s="4" t="n">
        <v>5</v>
      </c>
    </row>
    <row r="11">
      <c r="E11" s="3" t="inlineStr">
        <is>
          <t>技能點(SP)剩餘</t>
        </is>
      </c>
      <c r="F11" s="4" t="n">
        <v>20</v>
      </c>
    </row>
    <row r="12">
      <c r="E12" s="3" t="inlineStr">
        <is>
          <t>金幣(Gold)</t>
        </is>
      </c>
      <c r="F12" s="4" t="n">
        <v>300</v>
      </c>
    </row>
    <row r="14">
      <c r="A14" s="5" t="inlineStr">
        <is>
          <t>屬性</t>
        </is>
      </c>
      <c r="B14" s="5" t="inlineStr">
        <is>
          <t>數值</t>
        </is>
      </c>
      <c r="C14" s="5" t="inlineStr">
        <is>
          <t>加值(M)</t>
        </is>
      </c>
    </row>
    <row r="15">
      <c r="A15" s="6" t="inlineStr">
        <is>
          <t>力量(STR)</t>
        </is>
      </c>
      <c r="B15" s="4" t="n">
        <v>16</v>
      </c>
      <c r="C15" s="4">
        <f>INT((B15-10)/2)</f>
        <v/>
      </c>
    </row>
    <row r="16">
      <c r="A16" s="6" t="inlineStr">
        <is>
          <t>體質(CON)</t>
        </is>
      </c>
      <c r="B16" s="4" t="n">
        <v>16</v>
      </c>
      <c r="C16" s="4">
        <f>INT((B16-10)/2)</f>
        <v/>
      </c>
    </row>
    <row r="17">
      <c r="A17" s="6" t="inlineStr">
        <is>
          <t>敏捷(DEX)</t>
        </is>
      </c>
      <c r="B17" s="4" t="n">
        <v>10</v>
      </c>
      <c r="C17" s="4">
        <f>INT((B17-10)/2)</f>
        <v/>
      </c>
    </row>
    <row r="18">
      <c r="A18" s="6" t="inlineStr">
        <is>
          <t>魔力(MAG)</t>
        </is>
      </c>
      <c r="B18" s="4" t="n">
        <v>8</v>
      </c>
      <c r="C18" s="4">
        <f>INT((B18-10)/2)</f>
        <v/>
      </c>
    </row>
    <row r="19">
      <c r="A19" s="6" t="inlineStr">
        <is>
          <t>魅力(CHA)</t>
        </is>
      </c>
      <c r="B19" s="4" t="n">
        <v>10</v>
      </c>
      <c r="C19" s="4">
        <f>INT((B19-10)/2)</f>
        <v/>
      </c>
    </row>
    <row r="20">
      <c r="A20" s="6" t="inlineStr">
        <is>
          <t>幸運(LUK)</t>
        </is>
      </c>
      <c r="B20" s="4" t="n">
        <v>10</v>
      </c>
      <c r="C20" s="4">
        <f>INT((B20-10)/2)</f>
        <v/>
      </c>
    </row>
    <row r="22">
      <c r="A22" s="3" t="inlineStr">
        <is>
          <t>基礎生命</t>
        </is>
      </c>
      <c r="B22" s="4" t="n">
        <v>60</v>
      </c>
    </row>
    <row r="23">
      <c r="A23" s="3" t="inlineStr">
        <is>
          <t>生命成長</t>
        </is>
      </c>
      <c r="B23" s="4" t="n">
        <v>4</v>
      </c>
    </row>
    <row r="24">
      <c r="A24" s="3" t="inlineStr">
        <is>
          <t>魔力職業加成</t>
        </is>
      </c>
      <c r="B24" s="4" t="n">
        <v>0</v>
      </c>
    </row>
    <row r="25">
      <c r="A25" s="3" t="inlineStr">
        <is>
          <t>裝備迴避修正</t>
        </is>
      </c>
      <c r="B25" s="4" t="n">
        <v>0</v>
      </c>
    </row>
    <row r="26">
      <c r="A26" s="3" t="inlineStr">
        <is>
          <t>技能迴避修正</t>
        </is>
      </c>
      <c r="B26" s="4" t="n">
        <v>0</v>
      </c>
    </row>
    <row r="27">
      <c r="A27" s="3" t="inlineStr">
        <is>
          <t>武器命中修正</t>
        </is>
      </c>
      <c r="B27" s="4" t="n">
        <v>0</v>
      </c>
    </row>
    <row r="29">
      <c r="A29" s="6" t="inlineStr">
        <is>
          <t>生命值(HP)上限</t>
        </is>
      </c>
      <c r="B29" s="4">
        <f>B22+(B23+C16)*(F9-1)</f>
        <v/>
      </c>
    </row>
    <row r="30">
      <c r="A30" s="6" t="inlineStr">
        <is>
          <t>魔力點(MP)上限</t>
        </is>
      </c>
      <c r="B30" s="4">
        <f>10+B16*2+B24</f>
        <v/>
      </c>
    </row>
    <row r="31">
      <c r="A31" s="6" t="inlineStr">
        <is>
          <t>行動點(AP)上限</t>
        </is>
      </c>
      <c r="B31" s="4">
        <f>2+FLOOR(B17/4,1)</f>
        <v/>
      </c>
    </row>
    <row r="32">
      <c r="A32" s="6" t="inlineStr">
        <is>
          <t>迴避值（EVA）基礎</t>
        </is>
      </c>
      <c r="B32" s="4">
        <f>10+C17+B25+B26</f>
        <v/>
      </c>
    </row>
    <row r="33">
      <c r="A33" s="6" t="inlineStr">
        <is>
          <t>命中加值(近戰)基礎</t>
        </is>
      </c>
      <c r="B33" s="4">
        <f>C15+B27</f>
        <v/>
      </c>
    </row>
    <row r="35">
      <c r="A35" s="5" t="inlineStr">
        <is>
          <t>技能名稱</t>
        </is>
      </c>
      <c r="B35" s="5" t="inlineStr">
        <is>
          <t>技能等級(SkillLv)</t>
        </is>
      </c>
      <c r="C35" s="5" t="inlineStr">
        <is>
          <t>倍率f(n)</t>
        </is>
      </c>
      <c r="D35" s="5" t="inlineStr">
        <is>
          <t>行動點(AP)</t>
        </is>
      </c>
      <c r="E35" s="5" t="inlineStr">
        <is>
          <t>魔力點(MP)</t>
        </is>
      </c>
      <c r="F35" s="5" t="inlineStr">
        <is>
          <t>效果/備註</t>
        </is>
      </c>
    </row>
    <row r="36">
      <c r="A36" s="4" t="inlineStr">
        <is>
          <t>盾牌猛擊</t>
        </is>
      </c>
      <c r="B36" s="4" t="n">
        <v>1</v>
      </c>
      <c r="C36" s="4" t="n">
        <v>1</v>
      </c>
      <c r="D36" s="4" t="n">
        <v>1</v>
      </c>
      <c r="E36" s="4" t="n">
        <v>0</v>
      </c>
      <c r="F36" s="7" t="inlineStr">
        <is>
          <t>暈眩1回合</t>
        </is>
      </c>
    </row>
    <row r="37">
      <c r="A37" s="4" t="inlineStr">
        <is>
          <t>鐵壁守勢</t>
        </is>
      </c>
      <c r="B37" s="4" t="n">
        <v>1</v>
      </c>
      <c r="C37" s="4" t="n">
        <v>1</v>
      </c>
      <c r="D37" s="4" t="n">
        <v>2</v>
      </c>
      <c r="E37" s="4" t="n">
        <v>0</v>
      </c>
      <c r="F37" s="7" t="inlineStr">
        <is>
          <t>減傷20%</t>
        </is>
      </c>
    </row>
    <row r="38">
      <c r="A38" s="4" t="inlineStr">
        <is>
          <t>旋風斬</t>
        </is>
      </c>
      <c r="B38" s="4" t="n">
        <v>1</v>
      </c>
      <c r="C38" s="4" t="n">
        <v>1</v>
      </c>
      <c r="D38" s="4" t="n">
        <v>3</v>
      </c>
      <c r="E38" s="4" t="n">
        <v>4</v>
      </c>
      <c r="F38" s="7" t="inlineStr">
        <is>
          <t>範圍效果（AOE）</t>
        </is>
      </c>
    </row>
    <row r="39">
      <c r="A39" s="4" t="inlineStr">
        <is>
          <t>破甲重擊</t>
        </is>
      </c>
      <c r="B39" s="4" t="n">
        <v>1</v>
      </c>
      <c r="C39" s="4" t="n">
        <v>1</v>
      </c>
      <c r="D39" s="4" t="n">
        <v>2</v>
      </c>
      <c r="E39" s="4" t="n">
        <v>3</v>
      </c>
      <c r="F39" s="7" t="inlineStr">
        <is>
          <t>破甲</t>
        </is>
      </c>
    </row>
    <row r="40">
      <c r="A40" s="4" t="inlineStr"/>
      <c r="B40" s="4" t="n">
        <v>1</v>
      </c>
      <c r="C40" s="4">
        <f>1+B38*(B38-1)/8</f>
        <v/>
      </c>
      <c r="D40" s="4" t="inlineStr"/>
      <c r="E40" s="4" t="inlineStr"/>
      <c r="F40" s="7" t="inlineStr"/>
    </row>
    <row r="41">
      <c r="A41" s="4" t="inlineStr"/>
      <c r="B41" s="4" t="n">
        <v>1</v>
      </c>
      <c r="C41" s="4">
        <f>1+B39*(B39-1)/8</f>
        <v/>
      </c>
      <c r="D41" s="4" t="inlineStr"/>
      <c r="E41" s="4" t="inlineStr"/>
      <c r="F41" s="7" t="inlineStr"/>
    </row>
    <row r="42">
      <c r="A42" s="4" t="inlineStr"/>
      <c r="B42" s="4" t="n">
        <v>1</v>
      </c>
      <c r="C42" s="4">
        <f>1+B40*(B40-1)/8</f>
        <v/>
      </c>
      <c r="D42" s="4" t="inlineStr"/>
      <c r="E42" s="4" t="inlineStr"/>
      <c r="F42" s="7" t="inlineStr"/>
    </row>
    <row r="43">
      <c r="A43" s="4" t="inlineStr"/>
      <c r="B43" s="4" t="n">
        <v>1</v>
      </c>
      <c r="C43" s="4">
        <f>1+B41*(B41-1)/8</f>
        <v/>
      </c>
      <c r="D43" s="16" t="n"/>
      <c r="E43" s="16" t="n"/>
      <c r="F43" s="17" t="n"/>
    </row>
    <row r="44"/>
    <row r="45">
      <c r="A45" s="5" t="inlineStr">
        <is>
          <t>部位</t>
        </is>
      </c>
      <c r="B45" s="5" t="inlineStr">
        <is>
          <t>名稱</t>
        </is>
      </c>
      <c r="C45" s="8" t="inlineStr">
        <is>
          <t>數值/效果</t>
        </is>
      </c>
      <c r="D45" s="16" t="n"/>
      <c r="E45" s="16" t="n"/>
      <c r="F45" s="17" t="n"/>
    </row>
    <row r="46">
      <c r="A46" s="6" t="inlineStr">
        <is>
          <t>長劍</t>
        </is>
      </c>
      <c r="B46" s="4" t="inlineStr">
        <is>
          <t>+1</t>
        </is>
      </c>
      <c r="C46" s="7" t="inlineStr">
        <is>
          <t>1d8+力量</t>
        </is>
      </c>
      <c r="D46" s="16" t="n"/>
      <c r="E46" s="16" t="n"/>
      <c r="F46" s="17" t="n"/>
    </row>
    <row r="47">
      <c r="A47" s="6" t="inlineStr">
        <is>
          <t>鎖子甲</t>
        </is>
      </c>
      <c r="B47" s="4" t="inlineStr"/>
      <c r="C47" s="7" t="inlineStr">
        <is>
          <t>防禦等級（AC）+3</t>
        </is>
      </c>
      <c r="D47" s="16" t="n"/>
      <c r="E47" s="16" t="n"/>
      <c r="F47" s="17" t="n"/>
    </row>
    <row r="48">
      <c r="A48" s="6" t="inlineStr">
        <is>
          <t>鐵盾</t>
        </is>
      </c>
      <c r="B48" s="4" t="inlineStr"/>
      <c r="C48" s="7" t="inlineStr">
        <is>
          <t>格擋+2</t>
        </is>
      </c>
      <c r="D48" s="16" t="n"/>
      <c r="E48" s="16" t="n"/>
      <c r="F48" s="17" t="n"/>
    </row>
    <row r="49">
      <c r="A49" s="6" t="inlineStr"/>
      <c r="B49" s="4" t="inlineStr"/>
      <c r="C49" s="7" t="inlineStr"/>
      <c r="D49" s="16" t="n"/>
      <c r="E49" s="16" t="n"/>
      <c r="F49" s="17" t="n"/>
    </row>
  </sheetData>
  <mergeCells count="7">
    <mergeCell ref="C45:F45"/>
    <mergeCell ref="C43:F43"/>
    <mergeCell ref="A3:D6"/>
    <mergeCell ref="C46:F46"/>
    <mergeCell ref="A1:H1"/>
    <mergeCell ref="C47:F47"/>
    <mergeCell ref="C44:F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玩家角色卡 — 範例·格鬥家</t>
        </is>
      </c>
    </row>
    <row r="3">
      <c r="A3" s="12" t="n"/>
      <c r="D3" s="12" t="n"/>
      <c r="E3" s="3" t="inlineStr">
        <is>
          <t>角色名稱</t>
        </is>
      </c>
      <c r="F3" s="4" t="inlineStr">
        <is>
          <t>綾瀨</t>
        </is>
      </c>
    </row>
    <row r="4">
      <c r="D4" s="12" t="n"/>
      <c r="E4" t="inlineStr">
        <is>
          <t>種族</t>
        </is>
      </c>
      <c r="F4" t="inlineStr">
        <is>
          <t>獸人</t>
        </is>
      </c>
    </row>
    <row r="5">
      <c r="D5" s="12" t="n"/>
      <c r="E5" s="3" t="inlineStr">
        <is>
          <t>職業</t>
        </is>
      </c>
      <c r="F5" s="4" t="inlineStr">
        <is>
          <t>格鬥家</t>
        </is>
      </c>
    </row>
    <row r="6">
      <c r="D6" s="12" t="n"/>
      <c r="E6" s="3" t="inlineStr">
        <is>
          <t>出身背景</t>
        </is>
      </c>
      <c r="F6" s="4" t="inlineStr">
        <is>
          <t>山林</t>
        </is>
      </c>
    </row>
    <row r="7">
      <c r="A7" s="13" t="n"/>
      <c r="B7" s="14" t="n"/>
      <c r="C7" s="14" t="n"/>
      <c r="D7" s="15" t="n"/>
      <c r="E7" s="3" t="inlineStr">
        <is>
          <t>守護神</t>
        </is>
      </c>
      <c r="F7" s="4" t="inlineStr">
        <is>
          <t>颯斗·無形</t>
        </is>
      </c>
    </row>
    <row r="8">
      <c r="E8" s="3" t="inlineStr">
        <is>
          <t>種族特性</t>
        </is>
      </c>
      <c r="F8" s="4" t="inlineStr">
        <is>
          <t>獸性狂怒：HP&lt;50% 時下次近戰 +25% 並附加破甲 1 回合（每戰 1 次）</t>
        </is>
      </c>
    </row>
    <row r="9">
      <c r="E9" t="inlineStr">
        <is>
          <t>角色等級(CL)</t>
        </is>
      </c>
      <c r="F9" t="n">
        <v>5</v>
      </c>
    </row>
    <row r="10">
      <c r="E10" s="3" t="inlineStr">
        <is>
          <t>職業等級(ClassLv)</t>
        </is>
      </c>
      <c r="F10" s="4" t="n">
        <v>5</v>
      </c>
    </row>
    <row r="11">
      <c r="E11" s="3" t="inlineStr">
        <is>
          <t>技能點(SP)剩餘</t>
        </is>
      </c>
      <c r="F11" s="4" t="n">
        <v>20</v>
      </c>
    </row>
    <row r="12">
      <c r="E12" s="3" t="inlineStr">
        <is>
          <t>金幣(Gold)</t>
        </is>
      </c>
      <c r="F12" s="4" t="n">
        <v>280</v>
      </c>
    </row>
    <row r="14">
      <c r="A14" s="5" t="inlineStr">
        <is>
          <t>屬性</t>
        </is>
      </c>
      <c r="B14" s="5" t="inlineStr">
        <is>
          <t>數值</t>
        </is>
      </c>
      <c r="C14" s="5" t="inlineStr">
        <is>
          <t>加值(M)</t>
        </is>
      </c>
    </row>
    <row r="15">
      <c r="A15" s="6" t="inlineStr">
        <is>
          <t>力量(STR)</t>
        </is>
      </c>
      <c r="B15" s="4" t="n">
        <v>14</v>
      </c>
      <c r="C15" s="4">
        <f>INT((B15-10)/2)</f>
        <v/>
      </c>
    </row>
    <row r="16">
      <c r="A16" s="6" t="inlineStr">
        <is>
          <t>體質(CON)</t>
        </is>
      </c>
      <c r="B16" s="4" t="n">
        <v>14</v>
      </c>
      <c r="C16" s="4">
        <f>INT((B16-10)/2)</f>
        <v/>
      </c>
    </row>
    <row r="17">
      <c r="A17" s="6" t="inlineStr">
        <is>
          <t>敏捷(DEX)</t>
        </is>
      </c>
      <c r="B17" s="4" t="n">
        <v>15</v>
      </c>
      <c r="C17" s="4">
        <f>INT((B17-10)/2)</f>
        <v/>
      </c>
    </row>
    <row r="18">
      <c r="A18" s="6" t="inlineStr">
        <is>
          <t>魔力(MAG)</t>
        </is>
      </c>
      <c r="B18" s="4" t="n">
        <v>8</v>
      </c>
      <c r="C18" s="4">
        <f>INT((B18-10)/2)</f>
        <v/>
      </c>
    </row>
    <row r="19">
      <c r="A19" s="6" t="inlineStr">
        <is>
          <t>魅力(CHA)</t>
        </is>
      </c>
      <c r="B19" s="4" t="n">
        <v>10</v>
      </c>
      <c r="C19" s="4">
        <f>INT((B19-10)/2)</f>
        <v/>
      </c>
    </row>
    <row r="20">
      <c r="A20" s="6" t="inlineStr">
        <is>
          <t>幸運(LUK)</t>
        </is>
      </c>
      <c r="B20" s="4" t="n">
        <v>10</v>
      </c>
      <c r="C20" s="4">
        <f>INT((B20-10)/2)</f>
        <v/>
      </c>
    </row>
    <row r="22">
      <c r="A22" s="3" t="inlineStr">
        <is>
          <t>基礎生命</t>
        </is>
      </c>
      <c r="B22" s="4" t="n">
        <v>58</v>
      </c>
    </row>
    <row r="23">
      <c r="A23" s="3" t="inlineStr">
        <is>
          <t>生命成長</t>
        </is>
      </c>
      <c r="B23" s="4" t="n">
        <v>4</v>
      </c>
    </row>
    <row r="24">
      <c r="A24" s="3" t="inlineStr">
        <is>
          <t>魔力職業加成</t>
        </is>
      </c>
      <c r="B24" s="4" t="n">
        <v>8</v>
      </c>
    </row>
    <row r="25">
      <c r="A25" s="3" t="inlineStr">
        <is>
          <t>裝備迴避修正</t>
        </is>
      </c>
      <c r="B25" s="4" t="n">
        <v>0</v>
      </c>
    </row>
    <row r="26">
      <c r="A26" s="3" t="inlineStr">
        <is>
          <t>技能迴避修正</t>
        </is>
      </c>
      <c r="B26" s="4" t="n">
        <v>0</v>
      </c>
    </row>
    <row r="27">
      <c r="A27" s="3" t="inlineStr">
        <is>
          <t>武器命中修正</t>
        </is>
      </c>
      <c r="B27" s="4" t="n">
        <v>0</v>
      </c>
    </row>
    <row r="29">
      <c r="A29" s="6" t="inlineStr">
        <is>
          <t>生命值(HP)上限</t>
        </is>
      </c>
      <c r="B29" s="4">
        <f>B22+(B23+C16)*(F9-1)</f>
        <v/>
      </c>
    </row>
    <row r="30">
      <c r="A30" s="6" t="inlineStr">
        <is>
          <t>魔力點(MP)上限</t>
        </is>
      </c>
      <c r="B30" s="4">
        <f>10+B16*2+B24</f>
        <v/>
      </c>
    </row>
    <row r="31">
      <c r="A31" s="6" t="inlineStr">
        <is>
          <t>行動點(AP)上限</t>
        </is>
      </c>
      <c r="B31" s="4">
        <f>2+FLOOR(B17/4,1)</f>
        <v/>
      </c>
    </row>
    <row r="32">
      <c r="A32" s="6" t="inlineStr">
        <is>
          <t>迴避值（EVA）基礎</t>
        </is>
      </c>
      <c r="B32" s="4">
        <f>10+C17+B25+B26</f>
        <v/>
      </c>
    </row>
    <row r="33">
      <c r="A33" s="6" t="inlineStr">
        <is>
          <t>命中加值(近戰)基礎</t>
        </is>
      </c>
      <c r="B33" s="4">
        <f>C15+B27</f>
        <v/>
      </c>
    </row>
    <row r="35">
      <c r="A35" s="5" t="inlineStr">
        <is>
          <t>技能名稱</t>
        </is>
      </c>
      <c r="B35" s="5" t="inlineStr">
        <is>
          <t>技能等級(SkillLv)</t>
        </is>
      </c>
      <c r="C35" s="5" t="inlineStr">
        <is>
          <t>倍率f(n)</t>
        </is>
      </c>
      <c r="D35" s="5" t="inlineStr">
        <is>
          <t>行動點(AP)</t>
        </is>
      </c>
      <c r="E35" s="5" t="inlineStr">
        <is>
          <t>魔力點(MP)</t>
        </is>
      </c>
      <c r="F35" s="5" t="inlineStr">
        <is>
          <t>效果/備註</t>
        </is>
      </c>
    </row>
    <row r="36">
      <c r="A36" s="4" t="inlineStr">
        <is>
          <t>連環掌</t>
        </is>
      </c>
      <c r="B36" s="4" t="n">
        <v>1</v>
      </c>
      <c r="C36" s="4" t="n">
        <v>1</v>
      </c>
      <c r="D36" s="4" t="n">
        <v>2</v>
      </c>
      <c r="E36" s="4" t="n">
        <v>2</v>
      </c>
      <c r="F36" s="7" t="inlineStr">
        <is>
          <t>多段</t>
        </is>
      </c>
    </row>
    <row r="37">
      <c r="A37" s="4" t="inlineStr">
        <is>
          <t>氣合爆拳</t>
        </is>
      </c>
      <c r="B37" s="4" t="n">
        <v>1</v>
      </c>
      <c r="C37" s="4" t="n">
        <v>1</v>
      </c>
      <c r="D37" s="4" t="n">
        <v>3</v>
      </c>
      <c r="E37" s="4" t="n">
        <v>5</v>
      </c>
      <c r="F37" s="7" t="inlineStr">
        <is>
          <t>擊退</t>
        </is>
      </c>
    </row>
    <row r="38">
      <c r="A38" s="4" t="inlineStr">
        <is>
          <t>殘影步</t>
        </is>
      </c>
      <c r="B38" s="4" t="n">
        <v>1</v>
      </c>
      <c r="C38" s="4" t="n">
        <v>1</v>
      </c>
      <c r="D38" s="4" t="n">
        <v>1</v>
      </c>
      <c r="E38" s="4" t="n">
        <v>3</v>
      </c>
      <c r="F38" s="7" t="inlineStr">
        <is>
          <t>閃避值（EVA）+30%</t>
        </is>
      </c>
    </row>
    <row r="39">
      <c r="A39" s="4" t="inlineStr">
        <is>
          <t>崩拳</t>
        </is>
      </c>
      <c r="B39" s="4" t="n">
        <v>1</v>
      </c>
      <c r="C39" s="4" t="n">
        <v>1</v>
      </c>
      <c r="D39" s="4" t="n">
        <v>2</v>
      </c>
      <c r="E39" s="4" t="n">
        <v>4</v>
      </c>
      <c r="F39" s="7" t="inlineStr">
        <is>
          <t>破甲</t>
        </is>
      </c>
    </row>
    <row r="40">
      <c r="A40" s="4" t="inlineStr"/>
      <c r="B40" s="4" t="n">
        <v>1</v>
      </c>
      <c r="C40" s="4">
        <f>1+B38*(B38-1)/8</f>
        <v/>
      </c>
      <c r="D40" s="4" t="inlineStr"/>
      <c r="E40" s="4" t="inlineStr"/>
      <c r="F40" s="7" t="inlineStr"/>
    </row>
    <row r="41">
      <c r="A41" s="4" t="inlineStr"/>
      <c r="B41" s="4" t="n">
        <v>1</v>
      </c>
      <c r="C41" s="4">
        <f>1+B39*(B39-1)/8</f>
        <v/>
      </c>
      <c r="D41" s="4" t="inlineStr"/>
      <c r="E41" s="4" t="inlineStr"/>
      <c r="F41" s="7" t="inlineStr"/>
    </row>
    <row r="42">
      <c r="A42" s="4" t="inlineStr"/>
      <c r="B42" s="4" t="n">
        <v>1</v>
      </c>
      <c r="C42" s="4">
        <f>1+B40*(B40-1)/8</f>
        <v/>
      </c>
      <c r="D42" s="4" t="inlineStr"/>
      <c r="E42" s="4" t="inlineStr"/>
      <c r="F42" s="7" t="inlineStr"/>
    </row>
    <row r="43">
      <c r="A43" s="4" t="inlineStr"/>
      <c r="B43" s="4" t="n">
        <v>1</v>
      </c>
      <c r="C43" s="4">
        <f>1+B41*(B41-1)/8</f>
        <v/>
      </c>
      <c r="D43" s="16" t="n"/>
      <c r="E43" s="16" t="n"/>
      <c r="F43" s="17" t="n"/>
    </row>
    <row r="44"/>
    <row r="45">
      <c r="A45" s="5" t="inlineStr">
        <is>
          <t>部位</t>
        </is>
      </c>
      <c r="B45" s="5" t="inlineStr">
        <is>
          <t>名稱</t>
        </is>
      </c>
      <c r="C45" s="8" t="inlineStr">
        <is>
          <t>數值/效果</t>
        </is>
      </c>
      <c r="D45" s="16" t="n"/>
      <c r="E45" s="16" t="n"/>
      <c r="F45" s="17" t="n"/>
    </row>
    <row r="46">
      <c r="A46" s="6" t="inlineStr">
        <is>
          <t>拳套</t>
        </is>
      </c>
      <c r="B46" s="4" t="inlineStr">
        <is>
          <t>+1</t>
        </is>
      </c>
      <c r="C46" s="7" t="inlineStr">
        <is>
          <t>1d6+敏捷</t>
        </is>
      </c>
      <c r="D46" s="16" t="n"/>
      <c r="E46" s="16" t="n"/>
      <c r="F46" s="17" t="n"/>
    </row>
    <row r="47">
      <c r="A47" s="6" t="inlineStr">
        <is>
          <t>皮甲</t>
        </is>
      </c>
      <c r="B47" s="4" t="inlineStr"/>
      <c r="C47" s="7" t="inlineStr">
        <is>
          <t>防禦等級（AC）+2</t>
        </is>
      </c>
      <c r="D47" s="16" t="n"/>
      <c r="E47" s="16" t="n"/>
      <c r="F47" s="17" t="n"/>
    </row>
    <row r="48">
      <c r="A48" s="6" t="inlineStr"/>
      <c r="B48" s="4" t="inlineStr"/>
      <c r="C48" s="7" t="inlineStr"/>
      <c r="D48" s="16" t="n"/>
      <c r="E48" s="16" t="n"/>
      <c r="F48" s="17" t="n"/>
    </row>
    <row r="49">
      <c r="A49" s="6" t="inlineStr"/>
      <c r="B49" s="4" t="inlineStr"/>
      <c r="C49" s="7" t="inlineStr"/>
      <c r="D49" s="16" t="n"/>
      <c r="E49" s="16" t="n"/>
      <c r="F49" s="17" t="n"/>
    </row>
  </sheetData>
  <mergeCells count="7">
    <mergeCell ref="C45:F45"/>
    <mergeCell ref="C43:F43"/>
    <mergeCell ref="A3:D6"/>
    <mergeCell ref="C46:F46"/>
    <mergeCell ref="A1:H1"/>
    <mergeCell ref="C47:F47"/>
    <mergeCell ref="C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玩家角色卡 — 範例·法師</t>
        </is>
      </c>
    </row>
    <row r="3">
      <c r="A3" s="12" t="n"/>
      <c r="D3" s="12" t="n"/>
      <c r="E3" s="3" t="inlineStr">
        <is>
          <t>角色名稱</t>
        </is>
      </c>
      <c r="F3" s="4" t="inlineStr">
        <is>
          <t>蜜兒</t>
        </is>
      </c>
    </row>
    <row r="4">
      <c r="D4" s="12" t="n"/>
      <c r="E4" t="inlineStr">
        <is>
          <t>種族</t>
        </is>
      </c>
      <c r="F4" t="inlineStr">
        <is>
          <t>精靈</t>
        </is>
      </c>
    </row>
    <row r="5">
      <c r="D5" s="12" t="n"/>
      <c r="E5" s="3" t="inlineStr">
        <is>
          <t>職業</t>
        </is>
      </c>
      <c r="F5" s="4" t="inlineStr">
        <is>
          <t>法師</t>
        </is>
      </c>
    </row>
    <row r="6">
      <c r="D6" s="12" t="n"/>
      <c r="E6" s="3" t="inlineStr">
        <is>
          <t>出身背景</t>
        </is>
      </c>
      <c r="F6" s="4" t="inlineStr">
        <is>
          <t>學者</t>
        </is>
      </c>
    </row>
    <row r="7">
      <c r="A7" s="13" t="n"/>
      <c r="B7" s="14" t="n"/>
      <c r="C7" s="14" t="n"/>
      <c r="D7" s="15" t="n"/>
      <c r="E7" s="3" t="inlineStr">
        <is>
          <t>守護神</t>
        </is>
      </c>
      <c r="F7" s="4" t="inlineStr">
        <is>
          <t>琉璃·星詠</t>
        </is>
      </c>
    </row>
    <row r="8">
      <c r="E8" s="3" t="inlineStr">
        <is>
          <t>種族特性</t>
        </is>
      </c>
      <c r="F8" s="4" t="inlineStr">
        <is>
          <t>星詠之血：遠程射程 +1 格；森林/夜間 迴避值（EVA）+2</t>
        </is>
      </c>
    </row>
    <row r="9">
      <c r="E9" t="inlineStr">
        <is>
          <t>角色等級(CL)</t>
        </is>
      </c>
      <c r="F9" t="n">
        <v>5</v>
      </c>
    </row>
    <row r="10">
      <c r="E10" s="3" t="inlineStr">
        <is>
          <t>職業等級(ClassLv)</t>
        </is>
      </c>
      <c r="F10" s="4" t="n">
        <v>5</v>
      </c>
    </row>
    <row r="11">
      <c r="E11" s="3" t="inlineStr">
        <is>
          <t>技能點(SP)剩餘</t>
        </is>
      </c>
      <c r="F11" s="4" t="n">
        <v>20</v>
      </c>
    </row>
    <row r="12">
      <c r="E12" s="3" t="inlineStr">
        <is>
          <t>金幣(Gold)</t>
        </is>
      </c>
      <c r="F12" s="4" t="n">
        <v>260</v>
      </c>
    </row>
    <row r="14">
      <c r="A14" s="5" t="inlineStr">
        <is>
          <t>屬性</t>
        </is>
      </c>
      <c r="B14" s="5" t="inlineStr">
        <is>
          <t>數值</t>
        </is>
      </c>
      <c r="C14" s="5" t="inlineStr">
        <is>
          <t>加值(M)</t>
        </is>
      </c>
    </row>
    <row r="15">
      <c r="A15" s="6" t="inlineStr">
        <is>
          <t>力量(STR)</t>
        </is>
      </c>
      <c r="B15" s="4" t="n">
        <v>8</v>
      </c>
      <c r="C15" s="4">
        <f>INT((B15-10)/2)</f>
        <v/>
      </c>
    </row>
    <row r="16">
      <c r="A16" s="6" t="inlineStr">
        <is>
          <t>體質(CON)</t>
        </is>
      </c>
      <c r="B16" s="4" t="n">
        <v>10</v>
      </c>
      <c r="C16" s="4">
        <f>INT((B16-10)/2)</f>
        <v/>
      </c>
    </row>
    <row r="17">
      <c r="A17" s="6" t="inlineStr">
        <is>
          <t>敏捷(DEX)</t>
        </is>
      </c>
      <c r="B17" s="4" t="n">
        <v>13</v>
      </c>
      <c r="C17" s="4">
        <f>INT((B17-10)/2)</f>
        <v/>
      </c>
    </row>
    <row r="18">
      <c r="A18" s="6" t="inlineStr">
        <is>
          <t>魔力(MAG)</t>
        </is>
      </c>
      <c r="B18" s="4" t="n">
        <v>17</v>
      </c>
      <c r="C18" s="4">
        <f>INT((B18-10)/2)</f>
        <v/>
      </c>
    </row>
    <row r="19">
      <c r="A19" s="6" t="inlineStr">
        <is>
          <t>魅力(CHA)</t>
        </is>
      </c>
      <c r="B19" s="4" t="n">
        <v>10</v>
      </c>
      <c r="C19" s="4">
        <f>INT((B19-10)/2)</f>
        <v/>
      </c>
    </row>
    <row r="20">
      <c r="A20" s="6" t="inlineStr">
        <is>
          <t>幸運(LUK)</t>
        </is>
      </c>
      <c r="B20" s="4" t="n">
        <v>10</v>
      </c>
      <c r="C20" s="4">
        <f>INT((B20-10)/2)</f>
        <v/>
      </c>
    </row>
    <row r="22">
      <c r="A22" s="3" t="inlineStr">
        <is>
          <t>基礎生命</t>
        </is>
      </c>
      <c r="B22" s="4" t="n">
        <v>35</v>
      </c>
    </row>
    <row r="23">
      <c r="A23" s="3" t="inlineStr">
        <is>
          <t>生命成長</t>
        </is>
      </c>
      <c r="B23" s="4" t="n">
        <v>2</v>
      </c>
    </row>
    <row r="24">
      <c r="A24" s="3" t="inlineStr">
        <is>
          <t>魔力職業加成</t>
        </is>
      </c>
      <c r="B24" s="4" t="n">
        <v>20</v>
      </c>
    </row>
    <row r="25">
      <c r="A25" s="3" t="inlineStr">
        <is>
          <t>裝備迴避修正</t>
        </is>
      </c>
      <c r="B25" s="4" t="n">
        <v>0</v>
      </c>
    </row>
    <row r="26">
      <c r="A26" s="3" t="inlineStr">
        <is>
          <t>技能迴避修正</t>
        </is>
      </c>
      <c r="B26" s="4" t="n">
        <v>0</v>
      </c>
    </row>
    <row r="27">
      <c r="A27" s="3" t="inlineStr">
        <is>
          <t>武器命中修正</t>
        </is>
      </c>
      <c r="B27" s="4" t="n">
        <v>0</v>
      </c>
    </row>
    <row r="29">
      <c r="A29" s="6" t="inlineStr">
        <is>
          <t>生命值(HP)上限</t>
        </is>
      </c>
      <c r="B29" s="4">
        <f>B22+(B23+C16)*(F9-1)</f>
        <v/>
      </c>
    </row>
    <row r="30">
      <c r="A30" s="6" t="inlineStr">
        <is>
          <t>魔力點(MP)上限</t>
        </is>
      </c>
      <c r="B30" s="4">
        <f>10+B16*2+B24</f>
        <v/>
      </c>
    </row>
    <row r="31">
      <c r="A31" s="6" t="inlineStr">
        <is>
          <t>行動點(AP)上限</t>
        </is>
      </c>
      <c r="B31" s="4">
        <f>2+FLOOR(B17/4,1)</f>
        <v/>
      </c>
    </row>
    <row r="32">
      <c r="A32" s="6" t="inlineStr">
        <is>
          <t>迴避值（EVA）基礎</t>
        </is>
      </c>
      <c r="B32" s="4">
        <f>10+C17+B25+B26</f>
        <v/>
      </c>
    </row>
    <row r="33">
      <c r="A33" s="6" t="inlineStr">
        <is>
          <t>命中加值(近戰)基礎</t>
        </is>
      </c>
      <c r="B33" s="4">
        <f>C15+B27</f>
        <v/>
      </c>
    </row>
    <row r="35">
      <c r="A35" s="5" t="inlineStr">
        <is>
          <t>技能名稱</t>
        </is>
      </c>
      <c r="B35" s="5" t="inlineStr">
        <is>
          <t>技能等級(SkillLv)</t>
        </is>
      </c>
      <c r="C35" s="5" t="inlineStr">
        <is>
          <t>倍率f(n)</t>
        </is>
      </c>
      <c r="D35" s="5" t="inlineStr">
        <is>
          <t>行動點(AP)</t>
        </is>
      </c>
      <c r="E35" s="5" t="inlineStr">
        <is>
          <t>魔力點(MP)</t>
        </is>
      </c>
      <c r="F35" s="5" t="inlineStr">
        <is>
          <t>效果/備註</t>
        </is>
      </c>
    </row>
    <row r="36">
      <c r="A36" s="4" t="inlineStr">
        <is>
          <t>火球術</t>
        </is>
      </c>
      <c r="B36" s="4" t="n">
        <v>1</v>
      </c>
      <c r="C36" s="4" t="n">
        <v>1</v>
      </c>
      <c r="D36" s="4" t="n">
        <v>2</v>
      </c>
      <c r="E36" s="4" t="n">
        <v>6</v>
      </c>
      <c r="F36" s="7" t="inlineStr">
        <is>
          <t>灼燒</t>
        </is>
      </c>
    </row>
    <row r="37">
      <c r="A37" s="4" t="inlineStr">
        <is>
          <t>冰霜新星</t>
        </is>
      </c>
      <c r="B37" s="4" t="n">
        <v>1</v>
      </c>
      <c r="C37" s="4" t="n">
        <v>1</v>
      </c>
      <c r="D37" s="4" t="n">
        <v>3</v>
      </c>
      <c r="E37" s="4" t="n">
        <v>8</v>
      </c>
      <c r="F37" s="7" t="inlineStr">
        <is>
          <t>減速範圍效果（AOE）</t>
        </is>
      </c>
    </row>
    <row r="38">
      <c r="A38" s="4" t="inlineStr">
        <is>
          <t>閃電鏈</t>
        </is>
      </c>
      <c r="B38" s="4" t="n">
        <v>1</v>
      </c>
      <c r="C38" s="4" t="n">
        <v>1</v>
      </c>
      <c r="D38" s="4" t="n">
        <v>2</v>
      </c>
      <c r="E38" s="4" t="n">
        <v>7</v>
      </c>
      <c r="F38" s="7" t="inlineStr">
        <is>
          <t>連鎖</t>
        </is>
      </c>
    </row>
    <row r="39">
      <c r="A39" s="4" t="inlineStr">
        <is>
          <t>魔力湧動</t>
        </is>
      </c>
      <c r="B39" s="4" t="n">
        <v>1</v>
      </c>
      <c r="C39" s="4" t="n">
        <v>1</v>
      </c>
      <c r="D39" s="4" t="n">
        <v>1</v>
      </c>
      <c r="E39" s="4" t="n">
        <v>0</v>
      </c>
      <c r="F39" s="7" t="inlineStr">
        <is>
          <t>回魔力點（MP）</t>
        </is>
      </c>
    </row>
    <row r="40">
      <c r="A40" s="4" t="inlineStr"/>
      <c r="B40" s="4" t="n">
        <v>1</v>
      </c>
      <c r="C40" s="4">
        <f>1+B38*(B38-1)/8</f>
        <v/>
      </c>
      <c r="D40" s="4" t="inlineStr"/>
      <c r="E40" s="4" t="inlineStr"/>
      <c r="F40" s="7" t="inlineStr"/>
    </row>
    <row r="41">
      <c r="A41" s="4" t="inlineStr"/>
      <c r="B41" s="4" t="n">
        <v>1</v>
      </c>
      <c r="C41" s="4">
        <f>1+B39*(B39-1)/8</f>
        <v/>
      </c>
      <c r="D41" s="4" t="inlineStr"/>
      <c r="E41" s="4" t="inlineStr"/>
      <c r="F41" s="7" t="inlineStr"/>
    </row>
    <row r="42">
      <c r="A42" s="4" t="inlineStr"/>
      <c r="B42" s="4" t="n">
        <v>1</v>
      </c>
      <c r="C42" s="4">
        <f>1+B40*(B40-1)/8</f>
        <v/>
      </c>
      <c r="D42" s="4" t="inlineStr"/>
      <c r="E42" s="4" t="inlineStr"/>
      <c r="F42" s="7" t="inlineStr"/>
    </row>
    <row r="43">
      <c r="A43" s="4" t="inlineStr"/>
      <c r="B43" s="4" t="n">
        <v>1</v>
      </c>
      <c r="C43" s="4">
        <f>1+B41*(B41-1)/8</f>
        <v/>
      </c>
      <c r="D43" s="16" t="n"/>
      <c r="E43" s="16" t="n"/>
      <c r="F43" s="17" t="n"/>
    </row>
    <row r="44"/>
    <row r="45">
      <c r="A45" s="5" t="inlineStr">
        <is>
          <t>部位</t>
        </is>
      </c>
      <c r="B45" s="5" t="inlineStr">
        <is>
          <t>名稱</t>
        </is>
      </c>
      <c r="C45" s="8" t="inlineStr">
        <is>
          <t>數值/效果</t>
        </is>
      </c>
      <c r="D45" s="16" t="n"/>
      <c r="E45" s="16" t="n"/>
      <c r="F45" s="17" t="n"/>
    </row>
    <row r="46">
      <c r="A46" s="6" t="inlineStr">
        <is>
          <t>法杖</t>
        </is>
      </c>
      <c r="B46" s="4" t="inlineStr">
        <is>
          <t>+1</t>
        </is>
      </c>
      <c r="C46" s="7" t="inlineStr">
        <is>
          <t>魔力+1</t>
        </is>
      </c>
      <c r="D46" s="16" t="n"/>
      <c r="E46" s="16" t="n"/>
      <c r="F46" s="17" t="n"/>
    </row>
    <row r="47">
      <c r="A47" s="6" t="inlineStr">
        <is>
          <t>法袍</t>
        </is>
      </c>
      <c r="B47" s="4" t="inlineStr"/>
      <c r="C47" s="7" t="inlineStr">
        <is>
          <t>防禦等級（AC）+1</t>
        </is>
      </c>
      <c r="D47" s="16" t="n"/>
      <c r="E47" s="16" t="n"/>
      <c r="F47" s="17" t="n"/>
    </row>
    <row r="48">
      <c r="A48" s="6" t="inlineStr">
        <is>
          <t>魔力護符</t>
        </is>
      </c>
      <c r="B48" s="4" t="inlineStr"/>
      <c r="C48" s="7" t="inlineStr">
        <is>
          <t>魔力點（MP）+5</t>
        </is>
      </c>
      <c r="D48" s="16" t="n"/>
      <c r="E48" s="16" t="n"/>
      <c r="F48" s="17" t="n"/>
    </row>
    <row r="49">
      <c r="A49" s="6" t="inlineStr"/>
      <c r="B49" s="4" t="inlineStr"/>
      <c r="C49" s="7" t="inlineStr"/>
      <c r="D49" s="16" t="n"/>
      <c r="E49" s="16" t="n"/>
      <c r="F49" s="17" t="n"/>
    </row>
  </sheetData>
  <mergeCells count="7">
    <mergeCell ref="C45:F45"/>
    <mergeCell ref="C43:F43"/>
    <mergeCell ref="A3:D6"/>
    <mergeCell ref="C46:F46"/>
    <mergeCell ref="A1:H1"/>
    <mergeCell ref="C47:F47"/>
    <mergeCell ref="C44:F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玩家角色卡 — 範例·牧師</t>
        </is>
      </c>
    </row>
    <row r="3">
      <c r="A3" s="12" t="n"/>
      <c r="D3" s="12" t="n"/>
      <c r="E3" s="3" t="inlineStr">
        <is>
          <t>角色名稱</t>
        </is>
      </c>
      <c r="F3" s="4" t="inlineStr">
        <is>
          <t>賽拉</t>
        </is>
      </c>
    </row>
    <row r="4">
      <c r="D4" s="12" t="n"/>
      <c r="E4" t="inlineStr">
        <is>
          <t>種族</t>
        </is>
      </c>
      <c r="F4" t="inlineStr">
        <is>
          <t>人類</t>
        </is>
      </c>
    </row>
    <row r="5">
      <c r="D5" s="12" t="n"/>
      <c r="E5" s="3" t="inlineStr">
        <is>
          <t>職業</t>
        </is>
      </c>
      <c r="F5" s="4" t="inlineStr">
        <is>
          <t>牧師</t>
        </is>
      </c>
    </row>
    <row r="6">
      <c r="D6" s="12" t="n"/>
      <c r="E6" s="3" t="inlineStr">
        <is>
          <t>出身背景</t>
        </is>
      </c>
      <c r="F6" s="4" t="inlineStr">
        <is>
          <t>神殿</t>
        </is>
      </c>
    </row>
    <row r="7">
      <c r="A7" s="13" t="n"/>
      <c r="B7" s="14" t="n"/>
      <c r="C7" s="14" t="n"/>
      <c r="D7" s="15" t="n"/>
      <c r="E7" s="3" t="inlineStr">
        <is>
          <t>守護神</t>
        </is>
      </c>
      <c r="F7" s="4" t="inlineStr">
        <is>
          <t>塞菲·慈光</t>
        </is>
      </c>
    </row>
    <row r="8">
      <c r="E8" s="3" t="inlineStr">
        <is>
          <t>種族特性</t>
        </is>
      </c>
      <c r="F8" s="4" t="inlineStr">
        <is>
          <t>適應者：門檻/等級檢查時 1 屬性視為 +1（每長休 1 次）</t>
        </is>
      </c>
    </row>
    <row r="9">
      <c r="E9" t="inlineStr">
        <is>
          <t>角色等級(CL)</t>
        </is>
      </c>
      <c r="F9" t="n">
        <v>5</v>
      </c>
    </row>
    <row r="10">
      <c r="E10" s="3" t="inlineStr">
        <is>
          <t>職業等級(ClassLv)</t>
        </is>
      </c>
      <c r="F10" s="4" t="n">
        <v>5</v>
      </c>
    </row>
    <row r="11">
      <c r="E11" s="3" t="inlineStr">
        <is>
          <t>技能點(SP)剩餘</t>
        </is>
      </c>
      <c r="F11" s="4" t="n">
        <v>20</v>
      </c>
    </row>
    <row r="12">
      <c r="E12" s="3" t="inlineStr">
        <is>
          <t>金幣(Gold)</t>
        </is>
      </c>
      <c r="F12" s="4" t="n">
        <v>270</v>
      </c>
    </row>
    <row r="14">
      <c r="A14" s="5" t="inlineStr">
        <is>
          <t>屬性</t>
        </is>
      </c>
      <c r="B14" s="5" t="inlineStr">
        <is>
          <t>數值</t>
        </is>
      </c>
      <c r="C14" s="5" t="inlineStr">
        <is>
          <t>加值(M)</t>
        </is>
      </c>
    </row>
    <row r="15">
      <c r="A15" s="6" t="inlineStr">
        <is>
          <t>力量(STR)</t>
        </is>
      </c>
      <c r="B15" s="4" t="n">
        <v>10</v>
      </c>
      <c r="C15" s="4">
        <f>INT((B15-10)/2)</f>
        <v/>
      </c>
    </row>
    <row r="16">
      <c r="A16" s="6" t="inlineStr">
        <is>
          <t>體質(CON)</t>
        </is>
      </c>
      <c r="B16" s="4" t="n">
        <v>12</v>
      </c>
      <c r="C16" s="4">
        <f>INT((B16-10)/2)</f>
        <v/>
      </c>
    </row>
    <row r="17">
      <c r="A17" s="6" t="inlineStr">
        <is>
          <t>敏捷(DEX)</t>
        </is>
      </c>
      <c r="B17" s="4" t="n">
        <v>10</v>
      </c>
      <c r="C17" s="4">
        <f>INT((B17-10)/2)</f>
        <v/>
      </c>
    </row>
    <row r="18">
      <c r="A18" s="6" t="inlineStr">
        <is>
          <t>魔力(MAG)</t>
        </is>
      </c>
      <c r="B18" s="4" t="n">
        <v>15</v>
      </c>
      <c r="C18" s="4">
        <f>INT((B18-10)/2)</f>
        <v/>
      </c>
    </row>
    <row r="19">
      <c r="A19" s="6" t="inlineStr">
        <is>
          <t>魅力(CHA)</t>
        </is>
      </c>
      <c r="B19" s="4" t="n">
        <v>13</v>
      </c>
      <c r="C19" s="4">
        <f>INT((B19-10)/2)</f>
        <v/>
      </c>
    </row>
    <row r="20">
      <c r="A20" s="6" t="inlineStr">
        <is>
          <t>幸運(LUK)</t>
        </is>
      </c>
      <c r="B20" s="4" t="n">
        <v>10</v>
      </c>
      <c r="C20" s="4">
        <f>INT((B20-10)/2)</f>
        <v/>
      </c>
    </row>
    <row r="22">
      <c r="A22" s="3" t="inlineStr">
        <is>
          <t>基礎生命</t>
        </is>
      </c>
      <c r="B22" s="4" t="n">
        <v>48</v>
      </c>
    </row>
    <row r="23">
      <c r="A23" s="3" t="inlineStr">
        <is>
          <t>生命成長</t>
        </is>
      </c>
      <c r="B23" s="4" t="n">
        <v>3</v>
      </c>
    </row>
    <row r="24">
      <c r="A24" s="3" t="inlineStr">
        <is>
          <t>魔力職業加成</t>
        </is>
      </c>
      <c r="B24" s="4" t="n">
        <v>12</v>
      </c>
    </row>
    <row r="25">
      <c r="A25" s="3" t="inlineStr">
        <is>
          <t>裝備迴避修正</t>
        </is>
      </c>
      <c r="B25" s="4" t="n">
        <v>0</v>
      </c>
    </row>
    <row r="26">
      <c r="A26" s="3" t="inlineStr">
        <is>
          <t>技能迴避修正</t>
        </is>
      </c>
      <c r="B26" s="4" t="n">
        <v>0</v>
      </c>
    </row>
    <row r="27">
      <c r="A27" s="3" t="inlineStr">
        <is>
          <t>武器命中修正</t>
        </is>
      </c>
      <c r="B27" s="4" t="n">
        <v>0</v>
      </c>
    </row>
    <row r="29">
      <c r="A29" s="6" t="inlineStr">
        <is>
          <t>生命值(HP)上限</t>
        </is>
      </c>
      <c r="B29" s="4">
        <f>B22+(B23+C16)*(F9-1)</f>
        <v/>
      </c>
    </row>
    <row r="30">
      <c r="A30" s="6" t="inlineStr">
        <is>
          <t>魔力點(MP)上限</t>
        </is>
      </c>
      <c r="B30" s="4">
        <f>10+B16*2+B24</f>
        <v/>
      </c>
    </row>
    <row r="31">
      <c r="A31" s="6" t="inlineStr">
        <is>
          <t>行動點(AP)上限</t>
        </is>
      </c>
      <c r="B31" s="4">
        <f>2+FLOOR(B17/4,1)</f>
        <v/>
      </c>
    </row>
    <row r="32">
      <c r="A32" s="6" t="inlineStr">
        <is>
          <t>迴避值（EVA）基礎</t>
        </is>
      </c>
      <c r="B32" s="4">
        <f>10+C17+B25+B26</f>
        <v/>
      </c>
    </row>
    <row r="33">
      <c r="A33" s="6" t="inlineStr">
        <is>
          <t>命中加值(近戰)基礎</t>
        </is>
      </c>
      <c r="B33" s="4">
        <f>C15+B27</f>
        <v/>
      </c>
    </row>
    <row r="35">
      <c r="A35" s="5" t="inlineStr">
        <is>
          <t>技能名稱</t>
        </is>
      </c>
      <c r="B35" s="5" t="inlineStr">
        <is>
          <t>技能等級(SkillLv)</t>
        </is>
      </c>
      <c r="C35" s="5" t="inlineStr">
        <is>
          <t>倍率f(n)</t>
        </is>
      </c>
      <c r="D35" s="5" t="inlineStr">
        <is>
          <t>行動點(AP)</t>
        </is>
      </c>
      <c r="E35" s="5" t="inlineStr">
        <is>
          <t>魔力點(MP)</t>
        </is>
      </c>
      <c r="F35" s="5" t="inlineStr">
        <is>
          <t>效果/備註</t>
        </is>
      </c>
    </row>
    <row r="36">
      <c r="A36" s="4" t="inlineStr">
        <is>
          <t>治癒之光</t>
        </is>
      </c>
      <c r="B36" s="4" t="n">
        <v>1</v>
      </c>
      <c r="C36" s="4" t="n">
        <v>1</v>
      </c>
      <c r="D36" s="4" t="n">
        <v>2</v>
      </c>
      <c r="E36" s="4" t="n">
        <v>6</v>
      </c>
      <c r="F36" s="7" t="inlineStr">
        <is>
          <t>治療</t>
        </is>
      </c>
    </row>
    <row r="37">
      <c r="A37" s="4" t="inlineStr">
        <is>
          <t>群體祝禱</t>
        </is>
      </c>
      <c r="B37" s="4" t="n">
        <v>1</v>
      </c>
      <c r="C37" s="4" t="n">
        <v>1</v>
      </c>
      <c r="D37" s="4" t="n">
        <v>3</v>
      </c>
      <c r="E37" s="4" t="n">
        <v>10</v>
      </c>
      <c r="F37" s="7" t="inlineStr">
        <is>
          <t>群補</t>
        </is>
      </c>
    </row>
    <row r="38">
      <c r="A38" s="4" t="inlineStr">
        <is>
          <t>守護結界</t>
        </is>
      </c>
      <c r="B38" s="4" t="n">
        <v>1</v>
      </c>
      <c r="C38" s="4" t="n">
        <v>1</v>
      </c>
      <c r="D38" s="4" t="n">
        <v>2</v>
      </c>
      <c r="E38" s="4" t="n">
        <v>5</v>
      </c>
      <c r="F38" s="7" t="inlineStr">
        <is>
          <t>護盾</t>
        </is>
      </c>
    </row>
    <row r="39">
      <c r="A39" s="4" t="inlineStr">
        <is>
          <t>淨化聖言</t>
        </is>
      </c>
      <c r="B39" s="4" t="n">
        <v>1</v>
      </c>
      <c r="C39" s="4" t="n">
        <v>1</v>
      </c>
      <c r="D39" s="4" t="n">
        <v>1</v>
      </c>
      <c r="E39" s="4" t="n">
        <v>4</v>
      </c>
      <c r="F39" s="7" t="inlineStr">
        <is>
          <t>解除異常</t>
        </is>
      </c>
    </row>
    <row r="40">
      <c r="A40" s="4" t="inlineStr"/>
      <c r="B40" s="4" t="n">
        <v>1</v>
      </c>
      <c r="C40" s="4">
        <f>1+B38*(B38-1)/8</f>
        <v/>
      </c>
      <c r="D40" s="4" t="inlineStr"/>
      <c r="E40" s="4" t="inlineStr"/>
      <c r="F40" s="7" t="inlineStr"/>
    </row>
    <row r="41">
      <c r="A41" s="4" t="inlineStr"/>
      <c r="B41" s="4" t="n">
        <v>1</v>
      </c>
      <c r="C41" s="4">
        <f>1+B39*(B39-1)/8</f>
        <v/>
      </c>
      <c r="D41" s="4" t="inlineStr"/>
      <c r="E41" s="4" t="inlineStr"/>
      <c r="F41" s="7" t="inlineStr"/>
    </row>
    <row r="42">
      <c r="A42" s="4" t="inlineStr"/>
      <c r="B42" s="4" t="n">
        <v>1</v>
      </c>
      <c r="C42" s="4">
        <f>1+B40*(B40-1)/8</f>
        <v/>
      </c>
      <c r="D42" s="4" t="inlineStr"/>
      <c r="E42" s="4" t="inlineStr"/>
      <c r="F42" s="7" t="inlineStr"/>
    </row>
    <row r="43">
      <c r="A43" s="4" t="inlineStr"/>
      <c r="B43" s="4" t="n">
        <v>1</v>
      </c>
      <c r="C43" s="4">
        <f>1+B41*(B41-1)/8</f>
        <v/>
      </c>
      <c r="D43" s="16" t="n"/>
      <c r="E43" s="16" t="n"/>
      <c r="F43" s="17" t="n"/>
    </row>
    <row r="44"/>
    <row r="45">
      <c r="A45" s="5" t="inlineStr">
        <is>
          <t>部位</t>
        </is>
      </c>
      <c r="B45" s="5" t="inlineStr">
        <is>
          <t>名稱</t>
        </is>
      </c>
      <c r="C45" s="8" t="inlineStr">
        <is>
          <t>數值/效果</t>
        </is>
      </c>
      <c r="D45" s="16" t="n"/>
      <c r="E45" s="16" t="n"/>
      <c r="F45" s="17" t="n"/>
    </row>
    <row r="46">
      <c r="A46" s="6" t="inlineStr">
        <is>
          <t>權杖</t>
        </is>
      </c>
      <c r="B46" s="4" t="inlineStr">
        <is>
          <t>+1</t>
        </is>
      </c>
      <c r="C46" s="7" t="inlineStr">
        <is>
          <t>魔力+1</t>
        </is>
      </c>
      <c r="D46" s="16" t="n"/>
      <c r="E46" s="16" t="n"/>
      <c r="F46" s="17" t="n"/>
    </row>
    <row r="47">
      <c r="A47" s="6" t="inlineStr">
        <is>
          <t>祭袍</t>
        </is>
      </c>
      <c r="B47" s="4" t="inlineStr"/>
      <c r="C47" s="7" t="inlineStr">
        <is>
          <t>防禦等級（AC）+1</t>
        </is>
      </c>
      <c r="D47" s="16" t="n"/>
      <c r="E47" s="16" t="n"/>
      <c r="F47" s="17" t="n"/>
    </row>
    <row r="48">
      <c r="A48" s="6" t="inlineStr">
        <is>
          <t>聖徽</t>
        </is>
      </c>
      <c r="B48" s="4" t="inlineStr"/>
      <c r="C48" s="7" t="inlineStr">
        <is>
          <t>治療+1</t>
        </is>
      </c>
      <c r="D48" s="16" t="n"/>
      <c r="E48" s="16" t="n"/>
      <c r="F48" s="17" t="n"/>
    </row>
    <row r="49">
      <c r="A49" s="6" t="inlineStr"/>
      <c r="B49" s="4" t="inlineStr"/>
      <c r="C49" s="7" t="inlineStr"/>
      <c r="D49" s="16" t="n"/>
      <c r="E49" s="16" t="n"/>
      <c r="F49" s="17" t="n"/>
    </row>
  </sheetData>
  <mergeCells count="7">
    <mergeCell ref="C45:F45"/>
    <mergeCell ref="C43:F43"/>
    <mergeCell ref="A3:D6"/>
    <mergeCell ref="C46:F46"/>
    <mergeCell ref="A1:H1"/>
    <mergeCell ref="C47:F47"/>
    <mergeCell ref="C44:F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玩家角色卡 — 範例·盜賊</t>
        </is>
      </c>
    </row>
    <row r="3">
      <c r="A3" s="12" t="n"/>
      <c r="D3" s="12" t="n"/>
      <c r="E3" s="3" t="inlineStr">
        <is>
          <t>角色名稱</t>
        </is>
      </c>
      <c r="F3" s="4" t="inlineStr">
        <is>
          <t>凱因</t>
        </is>
      </c>
    </row>
    <row r="4">
      <c r="D4" s="12" t="n"/>
      <c r="E4" t="inlineStr">
        <is>
          <t>種族</t>
        </is>
      </c>
      <c r="F4" t="inlineStr">
        <is>
          <t>妖精</t>
        </is>
      </c>
    </row>
    <row r="5">
      <c r="D5" s="12" t="n"/>
      <c r="E5" s="3" t="inlineStr">
        <is>
          <t>職業</t>
        </is>
      </c>
      <c r="F5" s="4" t="inlineStr">
        <is>
          <t>盜賊</t>
        </is>
      </c>
    </row>
    <row r="6">
      <c r="D6" s="12" t="n"/>
      <c r="E6" s="3" t="inlineStr">
        <is>
          <t>出身背景</t>
        </is>
      </c>
      <c r="F6" s="4" t="inlineStr">
        <is>
          <t>市井</t>
        </is>
      </c>
    </row>
    <row r="7">
      <c r="A7" s="13" t="n"/>
      <c r="B7" s="14" t="n"/>
      <c r="C7" s="14" t="n"/>
      <c r="D7" s="15" t="n"/>
      <c r="E7" s="3" t="inlineStr">
        <is>
          <t>守護神</t>
        </is>
      </c>
      <c r="F7" s="4" t="inlineStr">
        <is>
          <t>夜雀·影縫</t>
        </is>
      </c>
    </row>
    <row r="8">
      <c r="E8" s="3" t="inlineStr">
        <is>
          <t>種族特性</t>
        </is>
      </c>
      <c r="F8" s="4" t="inlineStr">
        <is>
          <t>薄翼飛行：移動 +1、可跨地形、迴避值（EVA）永久 +1</t>
        </is>
      </c>
    </row>
    <row r="9">
      <c r="E9" t="inlineStr">
        <is>
          <t>角色等級(CL)</t>
        </is>
      </c>
      <c r="F9" t="n">
        <v>5</v>
      </c>
    </row>
    <row r="10">
      <c r="E10" s="3" t="inlineStr">
        <is>
          <t>職業等級(ClassLv)</t>
        </is>
      </c>
      <c r="F10" s="4" t="n">
        <v>5</v>
      </c>
    </row>
    <row r="11">
      <c r="E11" s="3" t="inlineStr">
        <is>
          <t>技能點(SP)剩餘</t>
        </is>
      </c>
      <c r="F11" s="4" t="n">
        <v>20</v>
      </c>
    </row>
    <row r="12">
      <c r="E12" s="3" t="inlineStr">
        <is>
          <t>金幣(Gold)</t>
        </is>
      </c>
      <c r="F12" s="4" t="n">
        <v>320</v>
      </c>
    </row>
    <row r="14">
      <c r="A14" s="5" t="inlineStr">
        <is>
          <t>屬性</t>
        </is>
      </c>
      <c r="B14" s="5" t="inlineStr">
        <is>
          <t>數值</t>
        </is>
      </c>
      <c r="C14" s="5" t="inlineStr">
        <is>
          <t>加值(M)</t>
        </is>
      </c>
    </row>
    <row r="15">
      <c r="A15" s="6" t="inlineStr">
        <is>
          <t>力量(STR)</t>
        </is>
      </c>
      <c r="B15" s="4" t="n">
        <v>10</v>
      </c>
      <c r="C15" s="4">
        <f>INT((B15-10)/2)</f>
        <v/>
      </c>
    </row>
    <row r="16">
      <c r="A16" s="6" t="inlineStr">
        <is>
          <t>體質(CON)</t>
        </is>
      </c>
      <c r="B16" s="4" t="n">
        <v>11</v>
      </c>
      <c r="C16" s="4">
        <f>INT((B16-10)/2)</f>
        <v/>
      </c>
    </row>
    <row r="17">
      <c r="A17" s="6" t="inlineStr">
        <is>
          <t>敏捷(DEX)</t>
        </is>
      </c>
      <c r="B17" s="4" t="n">
        <v>17</v>
      </c>
      <c r="C17" s="4">
        <f>INT((B17-10)/2)</f>
        <v/>
      </c>
    </row>
    <row r="18">
      <c r="A18" s="6" t="inlineStr">
        <is>
          <t>魔力(MAG)</t>
        </is>
      </c>
      <c r="B18" s="4" t="n">
        <v>8</v>
      </c>
      <c r="C18" s="4">
        <f>INT((B18-10)/2)</f>
        <v/>
      </c>
    </row>
    <row r="19">
      <c r="A19" s="6" t="inlineStr">
        <is>
          <t>魅力(CHA)</t>
        </is>
      </c>
      <c r="B19" s="4" t="n">
        <v>11</v>
      </c>
      <c r="C19" s="4">
        <f>INT((B19-10)/2)</f>
        <v/>
      </c>
    </row>
    <row r="20">
      <c r="A20" s="6" t="inlineStr">
        <is>
          <t>幸運(LUK)</t>
        </is>
      </c>
      <c r="B20" s="4" t="n">
        <v>13</v>
      </c>
      <c r="C20" s="4">
        <f>INT((B20-10)/2)</f>
        <v/>
      </c>
    </row>
    <row r="22">
      <c r="A22" s="3" t="inlineStr">
        <is>
          <t>基礎生命</t>
        </is>
      </c>
      <c r="B22" s="4" t="n">
        <v>45</v>
      </c>
    </row>
    <row r="23">
      <c r="A23" s="3" t="inlineStr">
        <is>
          <t>生命成長</t>
        </is>
      </c>
      <c r="B23" s="4" t="n">
        <v>3</v>
      </c>
    </row>
    <row r="24">
      <c r="A24" s="3" t="inlineStr">
        <is>
          <t>魔力職業加成</t>
        </is>
      </c>
      <c r="B24" s="4" t="n">
        <v>4</v>
      </c>
    </row>
    <row r="25">
      <c r="A25" s="3" t="inlineStr">
        <is>
          <t>裝備迴避修正</t>
        </is>
      </c>
      <c r="B25" s="4" t="n">
        <v>0</v>
      </c>
    </row>
    <row r="26">
      <c r="A26" s="3" t="inlineStr">
        <is>
          <t>技能迴避修正</t>
        </is>
      </c>
      <c r="B26" s="4" t="n">
        <v>0</v>
      </c>
    </row>
    <row r="27">
      <c r="A27" s="3" t="inlineStr">
        <is>
          <t>武器命中修正</t>
        </is>
      </c>
      <c r="B27" s="4" t="n">
        <v>0</v>
      </c>
    </row>
    <row r="29">
      <c r="A29" s="6" t="inlineStr">
        <is>
          <t>生命值(HP)上限</t>
        </is>
      </c>
      <c r="B29" s="4">
        <f>B22+(B23+C16)*(F9-1)</f>
        <v/>
      </c>
    </row>
    <row r="30">
      <c r="A30" s="6" t="inlineStr">
        <is>
          <t>魔力點(MP)上限</t>
        </is>
      </c>
      <c r="B30" s="4">
        <f>10+B16*2+B24</f>
        <v/>
      </c>
    </row>
    <row r="31">
      <c r="A31" s="6" t="inlineStr">
        <is>
          <t>行動點(AP)上限</t>
        </is>
      </c>
      <c r="B31" s="4">
        <f>2+FLOOR(B17/4,1)</f>
        <v/>
      </c>
    </row>
    <row r="32">
      <c r="A32" s="6" t="inlineStr">
        <is>
          <t>迴避值（EVA）基礎</t>
        </is>
      </c>
      <c r="B32" s="4">
        <f>10+C17+B25+B26</f>
        <v/>
      </c>
    </row>
    <row r="33">
      <c r="A33" s="6" t="inlineStr">
        <is>
          <t>命中加值(近戰)基礎</t>
        </is>
      </c>
      <c r="B33" s="4">
        <f>C15+B27</f>
        <v/>
      </c>
    </row>
    <row r="35">
      <c r="A35" s="5" t="inlineStr">
        <is>
          <t>技能名稱</t>
        </is>
      </c>
      <c r="B35" s="5" t="inlineStr">
        <is>
          <t>技能等級(SkillLv)</t>
        </is>
      </c>
      <c r="C35" s="5" t="inlineStr">
        <is>
          <t>倍率f(n)</t>
        </is>
      </c>
      <c r="D35" s="5" t="inlineStr">
        <is>
          <t>行動點(AP)</t>
        </is>
      </c>
      <c r="E35" s="5" t="inlineStr">
        <is>
          <t>魔力點(MP)</t>
        </is>
      </c>
      <c r="F35" s="5" t="inlineStr">
        <is>
          <t>效果/備註</t>
        </is>
      </c>
    </row>
    <row r="36">
      <c r="A36" s="4" t="inlineStr">
        <is>
          <t>背刺</t>
        </is>
      </c>
      <c r="B36" s="4" t="n">
        <v>1</v>
      </c>
      <c r="C36" s="4" t="n">
        <v>1</v>
      </c>
      <c r="D36" s="4" t="n">
        <v>2</v>
      </c>
      <c r="E36" s="4" t="n">
        <v>2</v>
      </c>
      <c r="F36" s="7" t="inlineStr">
        <is>
          <t>側背必暴</t>
        </is>
      </c>
    </row>
    <row r="37">
      <c r="A37" s="4" t="inlineStr">
        <is>
          <t>煙幕彈</t>
        </is>
      </c>
      <c r="B37" s="4" t="n">
        <v>1</v>
      </c>
      <c r="C37" s="4" t="n">
        <v>1</v>
      </c>
      <c r="D37" s="4" t="n">
        <v>1</v>
      </c>
      <c r="E37" s="4" t="n">
        <v>3</v>
      </c>
      <c r="F37" s="7" t="inlineStr">
        <is>
          <t>閃避值（EVA）-20%</t>
        </is>
      </c>
    </row>
    <row r="38">
      <c r="A38" s="4" t="inlineStr">
        <is>
          <t>致命毒刃</t>
        </is>
      </c>
      <c r="B38" s="4" t="n">
        <v>1</v>
      </c>
      <c r="C38" s="4" t="n">
        <v>1</v>
      </c>
      <c r="D38" s="4" t="n">
        <v>2</v>
      </c>
      <c r="E38" s="4" t="n">
        <v>4</v>
      </c>
      <c r="F38" s="7" t="inlineStr">
        <is>
          <t>中毒</t>
        </is>
      </c>
    </row>
    <row r="39">
      <c r="A39" s="4" t="inlineStr">
        <is>
          <t>影分身</t>
        </is>
      </c>
      <c r="B39" s="4" t="n">
        <v>1</v>
      </c>
      <c r="C39" s="4" t="n">
        <v>1</v>
      </c>
      <c r="D39" s="4" t="n">
        <v>3</v>
      </c>
      <c r="E39" s="4" t="n">
        <v>6</v>
      </c>
      <c r="F39" s="7" t="inlineStr">
        <is>
          <t>+1攻擊</t>
        </is>
      </c>
    </row>
    <row r="40">
      <c r="A40" s="4" t="inlineStr"/>
      <c r="B40" s="4" t="n">
        <v>1</v>
      </c>
      <c r="C40" s="4">
        <f>1+B38*(B38-1)/8</f>
        <v/>
      </c>
      <c r="D40" s="4" t="inlineStr"/>
      <c r="E40" s="4" t="inlineStr"/>
      <c r="F40" s="7" t="inlineStr"/>
    </row>
    <row r="41">
      <c r="A41" s="4" t="inlineStr"/>
      <c r="B41" s="4" t="n">
        <v>1</v>
      </c>
      <c r="C41" s="4">
        <f>1+B39*(B39-1)/8</f>
        <v/>
      </c>
      <c r="D41" s="4" t="inlineStr"/>
      <c r="E41" s="4" t="inlineStr"/>
      <c r="F41" s="7" t="inlineStr"/>
    </row>
    <row r="42">
      <c r="A42" s="4" t="inlineStr"/>
      <c r="B42" s="4" t="n">
        <v>1</v>
      </c>
      <c r="C42" s="4">
        <f>1+B40*(B40-1)/8</f>
        <v/>
      </c>
      <c r="D42" s="4" t="inlineStr"/>
      <c r="E42" s="4" t="inlineStr"/>
      <c r="F42" s="7" t="inlineStr"/>
    </row>
    <row r="43">
      <c r="A43" s="4" t="inlineStr"/>
      <c r="B43" s="4" t="n">
        <v>1</v>
      </c>
      <c r="C43" s="4">
        <f>1+B41*(B41-1)/8</f>
        <v/>
      </c>
      <c r="D43" s="16" t="n"/>
      <c r="E43" s="16" t="n"/>
      <c r="F43" s="17" t="n"/>
    </row>
    <row r="44"/>
    <row r="45">
      <c r="A45" s="5" t="inlineStr">
        <is>
          <t>部位</t>
        </is>
      </c>
      <c r="B45" s="5" t="inlineStr">
        <is>
          <t>名稱</t>
        </is>
      </c>
      <c r="C45" s="8" t="inlineStr">
        <is>
          <t>數值/效果</t>
        </is>
      </c>
      <c r="D45" s="16" t="n"/>
      <c r="E45" s="16" t="n"/>
      <c r="F45" s="17" t="n"/>
    </row>
    <row r="46">
      <c r="A46" s="6" t="inlineStr">
        <is>
          <t>匕首</t>
        </is>
      </c>
      <c r="B46" s="4" t="inlineStr">
        <is>
          <t>+2</t>
        </is>
      </c>
      <c r="C46" s="7" t="inlineStr">
        <is>
          <t>1d6+敏捷</t>
        </is>
      </c>
      <c r="D46" s="16" t="n"/>
      <c r="E46" s="16" t="n"/>
      <c r="F46" s="17" t="n"/>
    </row>
    <row r="47">
      <c r="A47" s="6" t="inlineStr">
        <is>
          <t>皮甲</t>
        </is>
      </c>
      <c r="B47" s="4" t="inlineStr"/>
      <c r="C47" s="7" t="inlineStr">
        <is>
          <t>防禦等級（AC）+2</t>
        </is>
      </c>
      <c r="D47" s="16" t="n"/>
      <c r="E47" s="16" t="n"/>
      <c r="F47" s="17" t="n"/>
    </row>
    <row r="48">
      <c r="A48" s="6" t="inlineStr"/>
      <c r="B48" s="4" t="inlineStr"/>
      <c r="C48" s="7" t="inlineStr"/>
      <c r="D48" s="16" t="n"/>
      <c r="E48" s="16" t="n"/>
      <c r="F48" s="17" t="n"/>
    </row>
    <row r="49">
      <c r="A49" s="6" t="inlineStr"/>
      <c r="B49" s="4" t="inlineStr"/>
      <c r="C49" s="7" t="inlineStr"/>
      <c r="D49" s="16" t="n"/>
      <c r="E49" s="16" t="n"/>
      <c r="F49" s="17" t="n"/>
    </row>
  </sheetData>
  <mergeCells count="7">
    <mergeCell ref="C45:F45"/>
    <mergeCell ref="C43:F43"/>
    <mergeCell ref="A3:D6"/>
    <mergeCell ref="C46:F46"/>
    <mergeCell ref="A1:H1"/>
    <mergeCell ref="C47:F47"/>
    <mergeCell ref="C44:F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玩家角色卡 — 範例·獵人</t>
        </is>
      </c>
    </row>
    <row r="3">
      <c r="A3" s="12" t="n"/>
      <c r="D3" s="12" t="n"/>
      <c r="E3" s="3" t="inlineStr">
        <is>
          <t>角色名稱</t>
        </is>
      </c>
      <c r="F3" s="4" t="inlineStr">
        <is>
          <t>席爾瓦</t>
        </is>
      </c>
    </row>
    <row r="4">
      <c r="D4" s="12" t="n"/>
      <c r="E4" t="inlineStr">
        <is>
          <t>種族</t>
        </is>
      </c>
      <c r="F4" t="inlineStr">
        <is>
          <t>精靈</t>
        </is>
      </c>
    </row>
    <row r="5">
      <c r="D5" s="12" t="n"/>
      <c r="E5" s="3" t="inlineStr">
        <is>
          <t>職業</t>
        </is>
      </c>
      <c r="F5" s="4" t="inlineStr">
        <is>
          <t>獵人</t>
        </is>
      </c>
    </row>
    <row r="6">
      <c r="D6" s="12" t="n"/>
      <c r="E6" s="3" t="inlineStr">
        <is>
          <t>出身背景</t>
        </is>
      </c>
      <c r="F6" s="4" t="inlineStr">
        <is>
          <t>山林</t>
        </is>
      </c>
    </row>
    <row r="7">
      <c r="A7" s="13" t="n"/>
      <c r="B7" s="14" t="n"/>
      <c r="C7" s="14" t="n"/>
      <c r="D7" s="15" t="n"/>
      <c r="E7" s="3" t="inlineStr">
        <is>
          <t>守護神</t>
        </is>
      </c>
      <c r="F7" s="4" t="inlineStr">
        <is>
          <t>蒼狼·風逝</t>
        </is>
      </c>
    </row>
    <row r="8">
      <c r="E8" s="3" t="inlineStr">
        <is>
          <t>種族特性</t>
        </is>
      </c>
      <c r="F8" s="4" t="inlineStr">
        <is>
          <t>星詠之血：遠程射程 +1 格；森林/夜間 迴避值（EVA）+2</t>
        </is>
      </c>
    </row>
    <row r="9">
      <c r="E9" t="inlineStr">
        <is>
          <t>角色等級(CL)</t>
        </is>
      </c>
      <c r="F9" t="n">
        <v>5</v>
      </c>
    </row>
    <row r="10">
      <c r="E10" s="3" t="inlineStr">
        <is>
          <t>職業等級(ClassLv)</t>
        </is>
      </c>
      <c r="F10" s="4" t="n">
        <v>5</v>
      </c>
    </row>
    <row r="11">
      <c r="E11" s="3" t="inlineStr">
        <is>
          <t>技能點(SP)剩餘</t>
        </is>
      </c>
      <c r="F11" s="4" t="n">
        <v>20</v>
      </c>
    </row>
    <row r="12">
      <c r="E12" s="3" t="inlineStr">
        <is>
          <t>金幣(Gold)</t>
        </is>
      </c>
      <c r="F12" s="4" t="n">
        <v>290</v>
      </c>
    </row>
    <row r="14">
      <c r="A14" s="5" t="inlineStr">
        <is>
          <t>屬性</t>
        </is>
      </c>
      <c r="B14" s="5" t="inlineStr">
        <is>
          <t>數值</t>
        </is>
      </c>
      <c r="C14" s="5" t="inlineStr">
        <is>
          <t>加值(M)</t>
        </is>
      </c>
    </row>
    <row r="15">
      <c r="A15" s="6" t="inlineStr">
        <is>
          <t>力量(STR)</t>
        </is>
      </c>
      <c r="B15" s="4" t="n">
        <v>10</v>
      </c>
      <c r="C15" s="4">
        <f>INT((B15-10)/2)</f>
        <v/>
      </c>
    </row>
    <row r="16">
      <c r="A16" s="6" t="inlineStr">
        <is>
          <t>體質(CON)</t>
        </is>
      </c>
      <c r="B16" s="4" t="n">
        <v>12</v>
      </c>
      <c r="C16" s="4">
        <f>INT((B16-10)/2)</f>
        <v/>
      </c>
    </row>
    <row r="17">
      <c r="A17" s="6" t="inlineStr">
        <is>
          <t>敏捷(DEX)</t>
        </is>
      </c>
      <c r="B17" s="4" t="n">
        <v>16</v>
      </c>
      <c r="C17" s="4">
        <f>INT((B17-10)/2)</f>
        <v/>
      </c>
    </row>
    <row r="18">
      <c r="A18" s="6" t="inlineStr">
        <is>
          <t>魔力(MAG)</t>
        </is>
      </c>
      <c r="B18" s="4" t="n">
        <v>14</v>
      </c>
      <c r="C18" s="4">
        <f>INT((B18-10)/2)</f>
        <v/>
      </c>
    </row>
    <row r="19">
      <c r="A19" s="6" t="inlineStr">
        <is>
          <t>魅力(CHA)</t>
        </is>
      </c>
      <c r="B19" s="4" t="n">
        <v>10</v>
      </c>
      <c r="C19" s="4">
        <f>INT((B19-10)/2)</f>
        <v/>
      </c>
    </row>
    <row r="20">
      <c r="A20" s="6" t="inlineStr">
        <is>
          <t>幸運(LUK)</t>
        </is>
      </c>
      <c r="B20" s="4" t="n">
        <v>10</v>
      </c>
      <c r="C20" s="4">
        <f>INT((B20-10)/2)</f>
        <v/>
      </c>
    </row>
    <row r="22">
      <c r="A22" s="3" t="inlineStr">
        <is>
          <t>基礎生命</t>
        </is>
      </c>
      <c r="B22" s="4" t="n">
        <v>50</v>
      </c>
    </row>
    <row r="23">
      <c r="A23" s="3" t="inlineStr">
        <is>
          <t>生命成長</t>
        </is>
      </c>
      <c r="B23" s="4" t="n">
        <v>3</v>
      </c>
    </row>
    <row r="24">
      <c r="A24" s="3" t="inlineStr">
        <is>
          <t>魔力職業加成</t>
        </is>
      </c>
      <c r="B24" s="4" t="n">
        <v>6</v>
      </c>
    </row>
    <row r="25">
      <c r="A25" s="3" t="inlineStr">
        <is>
          <t>裝備迴避修正</t>
        </is>
      </c>
      <c r="B25" s="4" t="n">
        <v>0</v>
      </c>
    </row>
    <row r="26">
      <c r="A26" s="3" t="inlineStr">
        <is>
          <t>技能迴避修正</t>
        </is>
      </c>
      <c r="B26" s="4" t="n">
        <v>0</v>
      </c>
    </row>
    <row r="27">
      <c r="A27" s="3" t="inlineStr">
        <is>
          <t>武器命中修正</t>
        </is>
      </c>
      <c r="B27" s="4" t="n">
        <v>0</v>
      </c>
    </row>
    <row r="29">
      <c r="A29" s="6" t="inlineStr">
        <is>
          <t>生命值(HP)上限</t>
        </is>
      </c>
      <c r="B29" s="4">
        <f>B22+(B23+C16)*(F9-1)</f>
        <v/>
      </c>
    </row>
    <row r="30">
      <c r="A30" s="6" t="inlineStr">
        <is>
          <t>魔力點(MP)上限</t>
        </is>
      </c>
      <c r="B30" s="4">
        <f>10+B16*2+B24</f>
        <v/>
      </c>
    </row>
    <row r="31">
      <c r="A31" s="6" t="inlineStr">
        <is>
          <t>行動點(AP)上限</t>
        </is>
      </c>
      <c r="B31" s="4">
        <f>2+FLOOR(B17/4,1)</f>
        <v/>
      </c>
    </row>
    <row r="32">
      <c r="A32" s="6" t="inlineStr">
        <is>
          <t>迴避值（EVA）基礎</t>
        </is>
      </c>
      <c r="B32" s="4">
        <f>10+C17+B25+B26</f>
        <v/>
      </c>
    </row>
    <row r="33">
      <c r="A33" s="6" t="inlineStr">
        <is>
          <t>命中加值(近戰)基礎</t>
        </is>
      </c>
      <c r="B33" s="4">
        <f>C15+B27</f>
        <v/>
      </c>
    </row>
    <row r="35">
      <c r="A35" s="5" t="inlineStr">
        <is>
          <t>技能名稱</t>
        </is>
      </c>
      <c r="B35" s="5" t="inlineStr">
        <is>
          <t>技能等級(SkillLv)</t>
        </is>
      </c>
      <c r="C35" s="5" t="inlineStr">
        <is>
          <t>倍率f(n)</t>
        </is>
      </c>
      <c r="D35" s="5" t="inlineStr">
        <is>
          <t>行動點(AP)</t>
        </is>
      </c>
      <c r="E35" s="5" t="inlineStr">
        <is>
          <t>魔力點(MP)</t>
        </is>
      </c>
      <c r="F35" s="5" t="inlineStr">
        <is>
          <t>效果/備註</t>
        </is>
      </c>
    </row>
    <row r="36">
      <c r="A36" s="4" t="inlineStr">
        <is>
          <t>精準射擊</t>
        </is>
      </c>
      <c r="B36" s="4" t="n">
        <v>1</v>
      </c>
      <c r="C36" s="4" t="n">
        <v>1</v>
      </c>
      <c r="D36" s="4" t="n">
        <v>2</v>
      </c>
      <c r="E36" s="4" t="n">
        <v>3</v>
      </c>
      <c r="F36" s="7" t="inlineStr">
        <is>
          <t>遠程單體</t>
        </is>
      </c>
    </row>
    <row r="37">
      <c r="A37" s="4" t="inlineStr">
        <is>
          <t>風逝步</t>
        </is>
      </c>
      <c r="B37" s="4" t="n">
        <v>1</v>
      </c>
      <c r="C37" s="4" t="n">
        <v>1</v>
      </c>
      <c r="D37" s="4" t="n">
        <v>1</v>
      </c>
      <c r="E37" s="4" t="n">
        <v>3</v>
      </c>
      <c r="F37" s="7" t="inlineStr">
        <is>
          <t>風逝</t>
        </is>
      </c>
    </row>
    <row r="38">
      <c r="A38" s="4" t="inlineStr">
        <is>
          <t>陷阱</t>
        </is>
      </c>
      <c r="B38" s="4" t="n">
        <v>1</v>
      </c>
      <c r="C38" s="4" t="n">
        <v>1</v>
      </c>
      <c r="D38" s="4" t="n">
        <v>2</v>
      </c>
      <c r="E38" s="4" t="n">
        <v>4</v>
      </c>
      <c r="F38" s="7" t="inlineStr">
        <is>
          <t>定身</t>
        </is>
      </c>
    </row>
    <row r="39">
      <c r="A39" s="4" t="inlineStr">
        <is>
          <t>馴獸</t>
        </is>
      </c>
      <c r="B39" s="4" t="n">
        <v>1</v>
      </c>
      <c r="C39" s="4" t="n">
        <v>1</v>
      </c>
      <c r="D39" s="4" t="n">
        <v>1</v>
      </c>
      <c r="E39" s="4" t="n">
        <v>2</v>
      </c>
      <c r="F39" s="7" t="inlineStr">
        <is>
          <t>召喚輔助</t>
        </is>
      </c>
    </row>
    <row r="40">
      <c r="A40" s="4" t="inlineStr"/>
      <c r="B40" s="4" t="n">
        <v>1</v>
      </c>
      <c r="C40" s="4">
        <f>1+B38*(B38-1)/8</f>
        <v/>
      </c>
      <c r="D40" s="4" t="inlineStr"/>
      <c r="E40" s="4" t="inlineStr"/>
      <c r="F40" s="7" t="inlineStr"/>
    </row>
    <row r="41">
      <c r="A41" s="4" t="inlineStr"/>
      <c r="B41" s="4" t="n">
        <v>1</v>
      </c>
      <c r="C41" s="4">
        <f>1+B39*(B39-1)/8</f>
        <v/>
      </c>
      <c r="D41" s="4" t="inlineStr"/>
      <c r="E41" s="4" t="inlineStr"/>
      <c r="F41" s="7" t="inlineStr"/>
    </row>
    <row r="42">
      <c r="A42" s="4" t="inlineStr"/>
      <c r="B42" s="4" t="n">
        <v>1</v>
      </c>
      <c r="C42" s="4">
        <f>1+B40*(B40-1)/8</f>
        <v/>
      </c>
      <c r="D42" s="4" t="inlineStr"/>
      <c r="E42" s="4" t="inlineStr"/>
      <c r="F42" s="7" t="inlineStr"/>
    </row>
    <row r="43">
      <c r="A43" s="4" t="inlineStr"/>
      <c r="B43" s="4" t="n">
        <v>1</v>
      </c>
      <c r="C43" s="4">
        <f>1+B41*(B41-1)/8</f>
        <v/>
      </c>
      <c r="D43" s="16" t="n"/>
      <c r="E43" s="16" t="n"/>
      <c r="F43" s="17" t="n"/>
    </row>
    <row r="44"/>
    <row r="45">
      <c r="A45" s="5" t="inlineStr">
        <is>
          <t>部位</t>
        </is>
      </c>
      <c r="B45" s="5" t="inlineStr">
        <is>
          <t>名稱</t>
        </is>
      </c>
      <c r="C45" s="8" t="inlineStr">
        <is>
          <t>數值/效果</t>
        </is>
      </c>
      <c r="D45" s="16" t="n"/>
      <c r="E45" s="16" t="n"/>
      <c r="F45" s="17" t="n"/>
    </row>
    <row r="46">
      <c r="A46" s="6" t="inlineStr">
        <is>
          <t>長弓</t>
        </is>
      </c>
      <c r="B46" s="4" t="inlineStr">
        <is>
          <t>+1</t>
        </is>
      </c>
      <c r="C46" s="7" t="inlineStr">
        <is>
          <t>1d8+敏捷（遠程）</t>
        </is>
      </c>
      <c r="D46" s="16" t="n"/>
      <c r="E46" s="16" t="n"/>
      <c r="F46" s="17" t="n"/>
    </row>
    <row r="47">
      <c r="A47" s="6" t="inlineStr">
        <is>
          <t>輕皮甲</t>
        </is>
      </c>
      <c r="B47" s="4" t="inlineStr"/>
      <c r="C47" s="7" t="inlineStr">
        <is>
          <t>DR 10% 物理</t>
        </is>
      </c>
      <c r="D47" s="16" t="n"/>
      <c r="E47" s="16" t="n"/>
      <c r="F47" s="17" t="n"/>
    </row>
    <row r="48">
      <c r="A48" s="6" t="inlineStr">
        <is>
          <t>獵人披風</t>
        </is>
      </c>
      <c r="B48" s="4" t="inlineStr"/>
      <c r="C48" s="7" t="inlineStr">
        <is>
          <t>迴避值（EVA）+1</t>
        </is>
      </c>
      <c r="D48" s="16" t="n"/>
      <c r="E48" s="16" t="n"/>
      <c r="F48" s="17" t="n"/>
    </row>
    <row r="49">
      <c r="A49" s="6" t="inlineStr"/>
      <c r="B49" s="4" t="inlineStr"/>
      <c r="C49" s="7" t="inlineStr"/>
      <c r="D49" s="16" t="n"/>
      <c r="E49" s="16" t="n"/>
      <c r="F49" s="17" t="n"/>
    </row>
  </sheetData>
  <mergeCells count="7">
    <mergeCell ref="C45:F45"/>
    <mergeCell ref="C43:F43"/>
    <mergeCell ref="A3:D6"/>
    <mergeCell ref="C46:F46"/>
    <mergeCell ref="A1:H1"/>
    <mergeCell ref="C47:F47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玩家角色卡 — 範例·舞者</t>
        </is>
      </c>
    </row>
    <row r="3">
      <c r="A3" s="12" t="n"/>
      <c r="D3" s="12" t="n"/>
      <c r="E3" s="3" t="inlineStr">
        <is>
          <t>角色名稱</t>
        </is>
      </c>
      <c r="F3" s="4" t="inlineStr">
        <is>
          <t>薇拉</t>
        </is>
      </c>
    </row>
    <row r="4">
      <c r="D4" s="12" t="n"/>
      <c r="E4" t="inlineStr">
        <is>
          <t>種族</t>
        </is>
      </c>
      <c r="F4" t="inlineStr">
        <is>
          <t>魔族</t>
        </is>
      </c>
    </row>
    <row r="5">
      <c r="D5" s="12" t="n"/>
      <c r="E5" s="3" t="inlineStr">
        <is>
          <t>職業</t>
        </is>
      </c>
      <c r="F5" s="4" t="inlineStr">
        <is>
          <t>舞者</t>
        </is>
      </c>
    </row>
    <row r="6">
      <c r="D6" s="12" t="n"/>
      <c r="E6" s="3" t="inlineStr">
        <is>
          <t>出身背景</t>
        </is>
      </c>
      <c r="F6" s="4" t="inlineStr">
        <is>
          <t>市井</t>
        </is>
      </c>
    </row>
    <row r="7">
      <c r="A7" s="13" t="n"/>
      <c r="B7" s="14" t="n"/>
      <c r="C7" s="14" t="n"/>
      <c r="D7" s="15" t="n"/>
      <c r="E7" s="3" t="inlineStr">
        <is>
          <t>守護神</t>
        </is>
      </c>
      <c r="F7" s="4" t="inlineStr">
        <is>
          <t>綾音·虹響</t>
        </is>
      </c>
    </row>
    <row r="8">
      <c r="E8" s="3" t="inlineStr">
        <is>
          <t>種族特性</t>
        </is>
      </c>
      <c r="F8" s="4" t="inlineStr">
        <is>
          <t>暗焰抗性：暗影/火焰傷害 ×0.5；魅惑/恐懼抗性 +10%</t>
        </is>
      </c>
    </row>
    <row r="9">
      <c r="E9" t="inlineStr">
        <is>
          <t>角色等級(CL)</t>
        </is>
      </c>
      <c r="F9" t="n">
        <v>5</v>
      </c>
    </row>
    <row r="10">
      <c r="E10" s="3" t="inlineStr">
        <is>
          <t>職業等級(ClassLv)</t>
        </is>
      </c>
      <c r="F10" s="4" t="n">
        <v>5</v>
      </c>
    </row>
    <row r="11">
      <c r="E11" s="3" t="inlineStr">
        <is>
          <t>技能點(SP)剩餘</t>
        </is>
      </c>
      <c r="F11" s="4" t="n">
        <v>20</v>
      </c>
    </row>
    <row r="12">
      <c r="E12" s="3" t="inlineStr">
        <is>
          <t>金幣(Gold)</t>
        </is>
      </c>
      <c r="F12" s="4" t="n">
        <v>270</v>
      </c>
    </row>
    <row r="14">
      <c r="A14" s="5" t="inlineStr">
        <is>
          <t>屬性</t>
        </is>
      </c>
      <c r="B14" s="5" t="inlineStr">
        <is>
          <t>數值</t>
        </is>
      </c>
      <c r="C14" s="5" t="inlineStr">
        <is>
          <t>加值(M)</t>
        </is>
      </c>
    </row>
    <row r="15">
      <c r="A15" s="6" t="inlineStr">
        <is>
          <t>力量(STR)</t>
        </is>
      </c>
      <c r="B15" s="4" t="n">
        <v>8</v>
      </c>
      <c r="C15" s="4">
        <f>INT((B15-10)/2)</f>
        <v/>
      </c>
    </row>
    <row r="16">
      <c r="A16" s="6" t="inlineStr">
        <is>
          <t>體質(CON)</t>
        </is>
      </c>
      <c r="B16" s="4" t="n">
        <v>11</v>
      </c>
      <c r="C16" s="4">
        <f>INT((B16-10)/2)</f>
        <v/>
      </c>
    </row>
    <row r="17">
      <c r="A17" s="6" t="inlineStr">
        <is>
          <t>敏捷(DEX)</t>
        </is>
      </c>
      <c r="B17" s="4" t="n">
        <v>12</v>
      </c>
      <c r="C17" s="4">
        <f>INT((B17-10)/2)</f>
        <v/>
      </c>
    </row>
    <row r="18">
      <c r="A18" s="6" t="inlineStr">
        <is>
          <t>魔力(MAG)</t>
        </is>
      </c>
      <c r="B18" s="4" t="n">
        <v>11</v>
      </c>
      <c r="C18" s="4">
        <f>INT((B18-10)/2)</f>
        <v/>
      </c>
    </row>
    <row r="19">
      <c r="A19" s="6" t="inlineStr">
        <is>
          <t>魅力(CHA)</t>
        </is>
      </c>
      <c r="B19" s="4" t="n">
        <v>17</v>
      </c>
      <c r="C19" s="4">
        <f>INT((B19-10)/2)</f>
        <v/>
      </c>
    </row>
    <row r="20">
      <c r="A20" s="6" t="inlineStr">
        <is>
          <t>幸運(LUK)</t>
        </is>
      </c>
      <c r="B20" s="4" t="n">
        <v>10</v>
      </c>
      <c r="C20" s="4">
        <f>INT((B20-10)/2)</f>
        <v/>
      </c>
    </row>
    <row r="22">
      <c r="A22" s="3" t="inlineStr">
        <is>
          <t>基礎生命</t>
        </is>
      </c>
      <c r="B22" s="4" t="n">
        <v>38</v>
      </c>
    </row>
    <row r="23">
      <c r="A23" s="3" t="inlineStr">
        <is>
          <t>生命成長</t>
        </is>
      </c>
      <c r="B23" s="4" t="n">
        <v>2</v>
      </c>
    </row>
    <row r="24">
      <c r="A24" s="3" t="inlineStr">
        <is>
          <t>魔力職業加成</t>
        </is>
      </c>
      <c r="B24" s="4" t="n">
        <v>15</v>
      </c>
    </row>
    <row r="25">
      <c r="A25" s="3" t="inlineStr">
        <is>
          <t>裝備迴避修正</t>
        </is>
      </c>
      <c r="B25" s="4" t="n">
        <v>0</v>
      </c>
    </row>
    <row r="26">
      <c r="A26" s="3" t="inlineStr">
        <is>
          <t>技能迴避修正</t>
        </is>
      </c>
      <c r="B26" s="4" t="n">
        <v>0</v>
      </c>
    </row>
    <row r="27">
      <c r="A27" s="3" t="inlineStr">
        <is>
          <t>武器命中修正</t>
        </is>
      </c>
      <c r="B27" s="4" t="n">
        <v>0</v>
      </c>
    </row>
    <row r="29">
      <c r="A29" s="6" t="inlineStr">
        <is>
          <t>生命值(HP)上限</t>
        </is>
      </c>
      <c r="B29" s="4">
        <f>B22+(B23+C16)*(F9-1)</f>
        <v/>
      </c>
    </row>
    <row r="30">
      <c r="A30" s="6" t="inlineStr">
        <is>
          <t>魔力點(MP)上限</t>
        </is>
      </c>
      <c r="B30" s="4">
        <f>10+B16*2+B24</f>
        <v/>
      </c>
    </row>
    <row r="31">
      <c r="A31" s="6" t="inlineStr">
        <is>
          <t>行動點(AP)上限</t>
        </is>
      </c>
      <c r="B31" s="4">
        <f>2+FLOOR(B17/4,1)</f>
        <v/>
      </c>
    </row>
    <row r="32">
      <c r="A32" s="6" t="inlineStr">
        <is>
          <t>迴避值（EVA）基礎</t>
        </is>
      </c>
      <c r="B32" s="4">
        <f>10+C17+B25+B26</f>
        <v/>
      </c>
    </row>
    <row r="33">
      <c r="A33" s="6" t="inlineStr">
        <is>
          <t>命中加值(近戰)基礎</t>
        </is>
      </c>
      <c r="B33" s="4">
        <f>C15+B27</f>
        <v/>
      </c>
    </row>
    <row r="35">
      <c r="A35" s="5" t="inlineStr">
        <is>
          <t>技能名稱</t>
        </is>
      </c>
      <c r="B35" s="5" t="inlineStr">
        <is>
          <t>技能等級(SkillLv)</t>
        </is>
      </c>
      <c r="C35" s="5" t="inlineStr">
        <is>
          <t>倍率f(n)</t>
        </is>
      </c>
      <c r="D35" s="5" t="inlineStr">
        <is>
          <t>行動點(AP)</t>
        </is>
      </c>
      <c r="E35" s="5" t="inlineStr">
        <is>
          <t>魔力點(MP)</t>
        </is>
      </c>
      <c r="F35" s="5" t="inlineStr">
        <is>
          <t>效果/備註</t>
        </is>
      </c>
    </row>
    <row r="36">
      <c r="A36" s="4" t="inlineStr">
        <is>
          <t>激勵曲</t>
        </is>
      </c>
      <c r="B36" s="4" t="n">
        <v>1</v>
      </c>
      <c r="C36" s="4" t="n">
        <v>1</v>
      </c>
      <c r="D36" s="4" t="n">
        <v>1</v>
      </c>
      <c r="E36" s="4" t="n">
        <v>2</v>
      </c>
      <c r="F36" s="7" t="inlineStr">
        <is>
          <t>全隊 ATK+10%</t>
        </is>
      </c>
    </row>
    <row r="37">
      <c r="A37" s="4" t="inlineStr">
        <is>
          <t>治療之舞</t>
        </is>
      </c>
      <c r="B37" s="4" t="n">
        <v>1</v>
      </c>
      <c r="C37" s="4" t="n">
        <v>1</v>
      </c>
      <c r="D37" s="4" t="n">
        <v>2</v>
      </c>
      <c r="E37" s="4" t="n">
        <v>5</v>
      </c>
      <c r="F37" s="7" t="inlineStr">
        <is>
          <t>回復 HP</t>
        </is>
      </c>
    </row>
    <row r="38">
      <c r="A38" s="4" t="inlineStr">
        <is>
          <t>防護圓舞</t>
        </is>
      </c>
      <c r="B38" s="4" t="n">
        <v>1</v>
      </c>
      <c r="C38" s="4" t="n">
        <v>1</v>
      </c>
      <c r="D38" s="4" t="n">
        <v>2</v>
      </c>
      <c r="E38" s="4" t="n">
        <v>4</v>
      </c>
      <c r="F38" s="7" t="inlineStr">
        <is>
          <t>減傷結界</t>
        </is>
      </c>
    </row>
    <row r="39">
      <c r="A39" s="4" t="inlineStr">
        <is>
          <t>魅惑旋律</t>
        </is>
      </c>
      <c r="B39" s="4" t="n">
        <v>1</v>
      </c>
      <c r="C39" s="4" t="n">
        <v>1</v>
      </c>
      <c r="D39" s="4" t="n">
        <v>2</v>
      </c>
      <c r="E39" s="4" t="n">
        <v>3</v>
      </c>
      <c r="F39" s="7" t="inlineStr">
        <is>
          <t>膽怯</t>
        </is>
      </c>
    </row>
    <row r="40">
      <c r="A40" s="4" t="inlineStr"/>
      <c r="B40" s="4" t="n">
        <v>1</v>
      </c>
      <c r="C40" s="4">
        <f>1+B38*(B38-1)/8</f>
        <v/>
      </c>
      <c r="D40" s="4" t="inlineStr"/>
      <c r="E40" s="4" t="inlineStr"/>
      <c r="F40" s="7" t="inlineStr"/>
    </row>
    <row r="41">
      <c r="A41" s="4" t="inlineStr"/>
      <c r="B41" s="4" t="n">
        <v>1</v>
      </c>
      <c r="C41" s="4">
        <f>1+B39*(B39-1)/8</f>
        <v/>
      </c>
      <c r="D41" s="4" t="inlineStr"/>
      <c r="E41" s="4" t="inlineStr"/>
      <c r="F41" s="7" t="inlineStr"/>
    </row>
    <row r="42">
      <c r="A42" s="4" t="inlineStr"/>
      <c r="B42" s="4" t="n">
        <v>1</v>
      </c>
      <c r="C42" s="4">
        <f>1+B40*(B40-1)/8</f>
        <v/>
      </c>
      <c r="D42" s="4" t="inlineStr"/>
      <c r="E42" s="4" t="inlineStr"/>
      <c r="F42" s="7" t="inlineStr"/>
    </row>
    <row r="43">
      <c r="A43" s="4" t="inlineStr"/>
      <c r="B43" s="4" t="n">
        <v>1</v>
      </c>
      <c r="C43" s="4">
        <f>1+B41*(B41-1)/8</f>
        <v/>
      </c>
      <c r="D43" s="16" t="n"/>
      <c r="E43" s="16" t="n"/>
      <c r="F43" s="17" t="n"/>
    </row>
    <row r="44"/>
    <row r="45">
      <c r="A45" s="5" t="inlineStr">
        <is>
          <t>部位</t>
        </is>
      </c>
      <c r="B45" s="5" t="inlineStr">
        <is>
          <t>名稱</t>
        </is>
      </c>
      <c r="C45" s="8" t="inlineStr">
        <is>
          <t>數值/效果</t>
        </is>
      </c>
      <c r="D45" s="16" t="n"/>
      <c r="E45" s="16" t="n"/>
      <c r="F45" s="17" t="n"/>
    </row>
    <row r="46">
      <c r="A46" s="6" t="inlineStr">
        <is>
          <t>吟遊豎琴</t>
        </is>
      </c>
      <c r="B46" s="4" t="inlineStr">
        <is>
          <t>+1</t>
        </is>
      </c>
      <c r="C46" s="7" t="inlineStr">
        <is>
          <t>施法媒介（魅力（CHA））</t>
        </is>
      </c>
      <c r="D46" s="16" t="n"/>
      <c r="E46" s="16" t="n"/>
      <c r="F46" s="17" t="n"/>
    </row>
    <row r="47">
      <c r="A47" s="6" t="inlineStr">
        <is>
          <t>輕皮甲</t>
        </is>
      </c>
      <c r="B47" s="4" t="inlineStr"/>
      <c r="C47" s="7" t="inlineStr">
        <is>
          <t>DR 10% 物理</t>
        </is>
      </c>
      <c r="D47" s="16" t="n"/>
      <c r="E47" s="16" t="n"/>
      <c r="F47" s="17" t="n"/>
    </row>
    <row r="48">
      <c r="A48" s="6" t="inlineStr">
        <is>
          <t>舞鞋</t>
        </is>
      </c>
      <c r="B48" s="4" t="inlineStr"/>
      <c r="C48" s="7" t="inlineStr">
        <is>
          <t>迴避值（EVA）+1</t>
        </is>
      </c>
      <c r="D48" s="16" t="n"/>
      <c r="E48" s="16" t="n"/>
      <c r="F48" s="17" t="n"/>
    </row>
    <row r="49">
      <c r="A49" s="6" t="inlineStr"/>
      <c r="B49" s="4" t="inlineStr"/>
      <c r="C49" s="7" t="inlineStr"/>
      <c r="D49" s="16" t="n"/>
      <c r="E49" s="16" t="n"/>
      <c r="F49" s="17" t="n"/>
    </row>
  </sheetData>
  <mergeCells count="7">
    <mergeCell ref="C45:F45"/>
    <mergeCell ref="C43:F43"/>
    <mergeCell ref="A3:D6"/>
    <mergeCell ref="C46:F46"/>
    <mergeCell ref="A1:H1"/>
    <mergeCell ref="C47:F47"/>
    <mergeCell ref="C44:F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2026-08-03T13:29:26Z</dcterms:created>
  <dcterms:modified xsi:type="dcterms:W3CDTF">2026-08-06T15:55:47Z</dcterms:modified>
</cp:coreProperties>
</file>