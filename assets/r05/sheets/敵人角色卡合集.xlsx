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哥布林斥候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哥布林斥候</t>
        </is>
      </c>
    </row>
    <row r="4">
      <c r="E4" s="3" t="inlineStr">
        <is>
          <t>挑戰等級(CR)</t>
        </is>
      </c>
      <c r="F4" s="4" t="n">
        <v>1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0</v>
      </c>
    </row>
    <row r="10">
      <c r="E10" s="5" t="inlineStr">
        <is>
          <t>移動力(格)</t>
        </is>
      </c>
      <c r="F10" s="4" t="n">
        <v>4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哥布林耳×1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短矛：命中+1，傷害 1d6+1（物理·穿刺）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偷襲（先攻+2）、逃逸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群居、膽小（低血逃跑）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獸人戰士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獸人戰士</t>
        </is>
      </c>
    </row>
    <row r="4">
      <c r="E4" s="3" t="inlineStr">
        <is>
          <t>挑戰等級(CR)</t>
        </is>
      </c>
      <c r="F4" s="4" t="n">
        <v>3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10</v>
      </c>
    </row>
    <row r="10">
      <c r="E10" s="5" t="inlineStr">
        <is>
          <t>移動力(格)</t>
        </is>
      </c>
      <c r="F10" s="4" t="n">
        <v>4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獸人獠牙×1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戰斧：命中+3，傷害 1d10+2（物理·劈砍）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狂吼（自身傷害+10%，1回合）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硬皮（物理減傷10%）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龍裔衛兵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龍裔衛兵</t>
        </is>
      </c>
    </row>
    <row r="4">
      <c r="E4" s="3" t="inlineStr">
        <is>
          <t>挑戰等級(CR)</t>
        </is>
      </c>
      <c r="F4" s="4" t="n">
        <v>10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20</v>
      </c>
    </row>
    <row r="10">
      <c r="E10" s="5" t="inlineStr">
        <is>
          <t>移動力(格)</t>
        </is>
      </c>
      <c r="F10" s="4" t="n">
        <v>4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龍鱗×2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龍爪：命中+5，傷害 2d6+3（物理）；龍息預備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鱗甲守勢（減傷+10%）、炎爪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鱗甲減傷20%、炎熱領域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亡靈法師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亡靈法師</t>
        </is>
      </c>
    </row>
    <row r="4">
      <c r="E4" s="3" t="inlineStr">
        <is>
          <t>挑戰等級(CR)</t>
        </is>
      </c>
      <c r="F4" s="4" t="n">
        <v>15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15</v>
      </c>
    </row>
    <row r="10">
      <c r="E10" s="5" t="inlineStr">
        <is>
          <t>移動力(格)</t>
        </is>
      </c>
      <c r="F10" s="4" t="n">
        <v>3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魂晶×1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枯骨杖：命中+6，傷害 1d8+4（神秘·暗影）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死亡波（AOE暗影）、召喚骷髏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不死（中毒/流血免疫）、暗影抗性等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龍將伊格妮絲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伊格妮絲·炎鱗</t>
        </is>
      </c>
    </row>
    <row r="4">
      <c r="E4" s="3" t="inlineStr">
        <is>
          <t>挑戰等級(CR)</t>
        </is>
      </c>
      <c r="F4" s="4" t="n">
        <v>30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30</v>
      </c>
    </row>
    <row r="10">
      <c r="E10" s="5" t="inlineStr">
        <is>
          <t>移動力(格)</t>
        </is>
      </c>
      <c r="F10" s="4" t="n">
        <v>5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龍將逆鱗（傳說）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龍爪/龍息：命中+13，傷害 3d10+10（火）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龍息（AOE火焰）、飛行突襲、滅世吐息（階段三）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鱗甲減傷30%、階段66%/33%轉換、階段三易暴擊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靈將莫爾凡娜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莫爾凡娜·寂葬</t>
        </is>
      </c>
    </row>
    <row r="4">
      <c r="E4" s="3" t="inlineStr">
        <is>
          <t>挑戰等級(CR)</t>
        </is>
      </c>
      <c r="F4" s="4" t="n">
        <v>35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20</v>
      </c>
    </row>
    <row r="10">
      <c r="E10" s="5" t="inlineStr">
        <is>
          <t>移動力(格)</t>
        </is>
      </c>
      <c r="F10" s="4" t="n">
        <v>3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寂葬權杖（史詩）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死靈觸手：命中+15，傷害 2d12+8（神秘·暗影）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亡靈召喚、生命虹吸、死亡領域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不死、階段三巫妖化（護命棺材可破）、暴擊免疫核心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魅將莉麗絲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莉麗絲·媚影</t>
        </is>
      </c>
    </row>
    <row r="4">
      <c r="E4" s="3" t="inlineStr">
        <is>
          <t>挑戰等級(CR)</t>
        </is>
      </c>
      <c r="F4" s="4" t="n">
        <v>30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15</v>
      </c>
    </row>
    <row r="10">
      <c r="E10" s="5" t="inlineStr">
        <is>
          <t>移動力(格)</t>
        </is>
      </c>
      <c r="F10" s="4" t="n">
        <v>4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媚影面具（傳說）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魅惑之鞭：命中+13，傷害 2d8+6（神秘·心靈）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幻舞（魅惑1-3回合）、慾念束縛、心魔分裂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階段轉換66%/33%、心魔分裂信任危機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膠將普露姆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普露姆·凝膠</t>
        </is>
      </c>
    </row>
    <row r="4">
      <c r="E4" s="3" t="inlineStr">
        <is>
          <t>挑戰等級(CR)</t>
        </is>
      </c>
      <c r="F4" s="4" t="n">
        <v>32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10</v>
      </c>
    </row>
    <row r="10">
      <c r="E10" s="5" t="inlineStr">
        <is>
          <t>移動力(格)</t>
        </is>
      </c>
      <c r="F10" s="4" t="n">
        <v>3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純淨凝膠核（史詩）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酸液噴射：命中+14，傷害 2d10+8（元素·酸蝕）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分裂增殖、融合回滿、酸液腐蝕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分裂、階段三晶化（暴擊免疫+高減傷）、鈍擊破晶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女魔王薇爾賽莉雅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薇爾賽莉雅·諾恩海姆</t>
        </is>
      </c>
    </row>
    <row r="4">
      <c r="E4" s="3" t="inlineStr">
        <is>
          <t>挑戰等級(CR)</t>
        </is>
      </c>
      <c r="F4" s="4" t="n">
        <v>50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25</v>
      </c>
    </row>
    <row r="10">
      <c r="E10" s="5" t="inlineStr">
        <is>
          <t>移動力(格)</t>
        </is>
      </c>
      <c r="F10" s="4" t="n">
        <v>5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魔王證（神話）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終焉之掌：命中+18，傷害 4d12+20（神秘）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四將殘響、統御領域、四元素毀滅、終焉審判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階段66%/33%、和解路線可招降、終焉審判即死倒數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敵人角色卡 — 第五人傑諾·五條</t>
        </is>
      </c>
    </row>
    <row r="3">
      <c r="A3" s="2" t="inlineStr">
        <is>
          <t>角色圖</t>
        </is>
      </c>
      <c r="E3" s="3" t="inlineStr">
        <is>
          <t>名稱</t>
        </is>
      </c>
      <c r="F3" s="4" t="inlineStr">
        <is>
          <t>傑諾·五條</t>
        </is>
      </c>
    </row>
    <row r="4">
      <c r="E4" s="3" t="inlineStr">
        <is>
          <t>挑戰等級(CR)</t>
        </is>
      </c>
      <c r="F4" s="4" t="n">
        <v>48</v>
      </c>
    </row>
    <row r="5">
      <c r="E5" s="5" t="inlineStr">
        <is>
          <t>生命值(HP)</t>
        </is>
      </c>
      <c r="F5" s="4">
        <f>FLOOR(40*(1+0.09*(F4-1)),1)</f>
        <v/>
      </c>
    </row>
    <row r="6">
      <c r="E6" s="5" t="inlineStr">
        <is>
          <t>攻擊加值(ATK)</t>
        </is>
      </c>
      <c r="F6" s="4">
        <f>FLOOR(1+0.25*F4,1)</f>
        <v/>
      </c>
    </row>
    <row r="7">
      <c r="E7" s="5" t="inlineStr">
        <is>
          <t>迴避值(EVA)</t>
        </is>
      </c>
      <c r="F7" s="4">
        <f>10+FLOOR(0.3*F4,1)</f>
        <v/>
      </c>
    </row>
    <row r="8">
      <c r="E8" s="5" t="inlineStr">
        <is>
          <t>傷害/擊</t>
        </is>
      </c>
      <c r="F8" s="4">
        <f>FLOOR(6+1.2*F4,1)</f>
        <v/>
      </c>
    </row>
    <row r="9">
      <c r="E9" s="5" t="inlineStr">
        <is>
          <t>減傷(DR)%</t>
        </is>
      </c>
      <c r="F9" s="4" t="n">
        <v>20</v>
      </c>
    </row>
    <row r="10">
      <c r="E10" s="5" t="inlineStr">
        <is>
          <t>移動力(格)</t>
        </is>
      </c>
      <c r="F10" s="4" t="n">
        <v>5</v>
      </c>
    </row>
    <row r="11">
      <c r="E11" s="5" t="inlineStr">
        <is>
          <t>經驗值(EXP)</t>
        </is>
      </c>
      <c r="F11" s="4">
        <f>FLOOR(15*F4*(1+F4/15),1)</f>
        <v/>
      </c>
    </row>
    <row r="12">
      <c r="E12" s="5" t="inlineStr">
        <is>
          <t>掉落</t>
        </is>
      </c>
      <c r="F12" s="4" t="inlineStr">
        <is>
          <t>叛將遺書（劇情）</t>
        </is>
      </c>
    </row>
    <row r="15">
      <c r="A15" s="6" t="inlineStr">
        <is>
          <t>攻擊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複製戰技：命中+17，傷害 3d10+15</t>
        </is>
      </c>
    </row>
    <row r="17"/>
    <row r="18"/>
    <row r="19"/>
    <row r="20"/>
    <row r="22">
      <c r="A22" s="6" t="inlineStr">
        <is>
          <t>技能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熟知戰術（閃避偏高）、複製隊友技能、背刺暴擊</t>
        </is>
      </c>
    </row>
    <row r="24"/>
    <row r="25"/>
    <row r="26"/>
    <row r="27"/>
    <row r="28"/>
    <row r="29"/>
    <row r="30"/>
    <row r="32">
      <c r="A32" s="6" t="inlineStr">
        <is>
          <t>特性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階段66%/33%、影響點足則贖罪助戰、否則絕望爆發</t>
        </is>
      </c>
    </row>
    <row r="34"/>
    <row r="35"/>
    <row r="36"/>
    <row r="37"/>
    <row r="38"/>
    <row r="39"/>
    <row r="40"/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2026-08-03T13:29:27Z</dcterms:created>
  <dcterms:modified xsi:type="dcterms:W3CDTF">2026-08-03T13:29:27Z</dcterms:modified>
</cp:coreProperties>
</file>