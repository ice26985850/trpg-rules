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ra Arashi-zai" sheetId="1" state="visible" r:id="rId1"/>
    <sheet name="Inutsuka Yoshishige" sheetId="2" state="visible" r:id="rId2"/>
    <sheet name="Tsukuyomi-hime" sheetId="3" state="visible" r:id="rId3"/>
    <sheet name="Ryūjinshi" sheetId="4" state="visible" r:id="rId4"/>
    <sheet name="Jōkai Sōjō" sheetId="5" state="visible" r:id="rId5"/>
    <sheet name="Hōōin Mitsuteru" sheetId="6" state="visible" r:id="rId6"/>
    <sheet name="Hebime Chiyo" sheetId="7" state="visible" r:id="rId7"/>
    <sheet name="Nezumi Kozō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333333"/>
      <sz val="16"/>
    </font>
    <font>
      <name val="微軟正黑體"/>
      <b val="1"/>
      <color rgb="00FFFFFF"/>
      <sz val="11"/>
    </font>
    <font>
      <name val="微軟正黑體"/>
      <sz val="11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8E8E8"/>
        <bgColor rgb="00E8E8E8"/>
      </patternFill>
    </fill>
    <fill>
      <patternFill patternType="solid">
        <fgColor rgb="00FEF9E7"/>
        <bgColor rgb="00FEF9E7"/>
      </patternFill>
    </fill>
    <fill>
      <patternFill patternType="solid">
        <fgColor rgb="00D4E6F1"/>
        <bgColor rgb="00D4E6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Beastman Warring States TRPG NPC — Tora Arashi-zai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Tora Arashi-zai</t>
        </is>
      </c>
      <c r="C4" s="3" t="inlineStr">
        <is>
          <t>Clan</t>
        </is>
      </c>
      <c r="D4" s="4" t="inlineStr">
        <is>
          <t>Tiger Clan</t>
        </is>
      </c>
      <c r="E4" s="3" t="inlineStr">
        <is>
          <t>School</t>
        </is>
      </c>
      <c r="F4" s="4" t="inlineStr">
        <is>
          <t>Tiger Might Style</t>
        </is>
      </c>
      <c r="G4" s="3" t="inlineStr">
        <is>
          <t>Level</t>
        </is>
      </c>
      <c r="H4" s="4" t="n">
        <v>18</v>
      </c>
    </row>
    <row r="5">
      <c r="A5" s="3" t="inlineStr">
        <is>
          <t>Title / Status</t>
        </is>
      </c>
      <c r="B5" s="4" t="inlineStr">
        <is>
          <t>Tiger Clan Daimyō · Tiger Might Style Grandmaster</t>
        </is>
      </c>
      <c r="C5" s="3" t="inlineStr">
        <is>
          <t>Loyalty To</t>
        </is>
      </c>
      <c r="D5" s="4" t="inlineStr">
        <is>
          <t>All Tiger Clan</t>
        </is>
      </c>
    </row>
    <row r="6"/>
    <row r="7" ht="24" customHeight="1">
      <c r="A7" s="2" t="inlineStr">
        <is>
          <t>Five Core Attributes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12</v>
      </c>
      <c r="B9" s="6" t="n">
        <v>11</v>
      </c>
      <c r="C9" s="6" t="n">
        <v>5</v>
      </c>
      <c r="D9" s="6" t="n">
        <v>8</v>
      </c>
      <c r="E9" s="6" t="n">
        <v>11</v>
      </c>
    </row>
    <row r="10"/>
    <row r="11" ht="24" customHeight="1">
      <c r="A11" s="2" t="inlineStr">
        <is>
          <t>Derived Stats (Auto-Calculated)</t>
        </is>
      </c>
    </row>
    <row r="12">
      <c r="A12" s="3" t="inlineStr">
        <is>
          <t>Hit Points (HP)</t>
        </is>
      </c>
      <c r="B12" s="6">
        <f>B9*5+18*3</f>
        <v/>
      </c>
      <c r="E12" s="3" t="inlineStr">
        <is>
          <t>Current HP</t>
        </is>
      </c>
      <c r="F12" s="4" t="inlineStr"/>
    </row>
    <row r="13">
      <c r="A13" s="3" t="inlineStr">
        <is>
          <t>Defense Value (DV)</t>
        </is>
      </c>
      <c r="B13" s="6">
        <f>10+D9+G13</f>
        <v/>
      </c>
      <c r="G13" s="4" t="inlineStr"/>
    </row>
    <row r="14">
      <c r="A14" s="3" t="inlineStr">
        <is>
          <t>Movement (MOVE)</t>
        </is>
      </c>
      <c r="B14" s="6">
        <f>5+D9</f>
        <v/>
      </c>
    </row>
    <row r="15">
      <c r="A15" s="3" t="inlineStr">
        <is>
          <t>Initiative Bonus</t>
        </is>
      </c>
      <c r="B15" s="6">
        <f>D9</f>
        <v/>
      </c>
    </row>
    <row r="16">
      <c r="A16" s="3" t="inlineStr">
        <is>
          <t>Blade Bond (BB)</t>
        </is>
      </c>
      <c r="B16" s="6">
        <f>E9*5</f>
        <v/>
      </c>
    </row>
    <row r="17">
      <c r="A17" s="3" t="inlineStr">
        <is>
          <t>Sword Aura Value (SAV)</t>
        </is>
      </c>
      <c r="B17" s="6">
        <f>INT(A9+E9+G17/10)</f>
        <v/>
      </c>
    </row>
    <row r="18"/>
    <row r="19" ht="24" customHeight="1">
      <c r="A19" s="2" t="inlineStr">
        <is>
          <t>Key Skills</t>
        </is>
      </c>
      <c r="J19" s="3" t="inlineStr">
        <is>
          <t>Proficiency Bonus</t>
        </is>
      </c>
    </row>
    <row r="20">
      <c r="A20" s="5" t="inlineStr">
        <is>
          <t>Skill Name</t>
        </is>
      </c>
      <c r="B20" s="5" t="inlineStr">
        <is>
          <t>Proficiency</t>
        </is>
      </c>
      <c r="C20" s="5" t="inlineStr">
        <is>
          <t>Total Bonus</t>
        </is>
      </c>
      <c r="D20" s="5" t="inlineStr">
        <is>
          <t>Notes</t>
        </is>
      </c>
      <c r="E20" s="5" t="inlineStr"/>
      <c r="F20" s="5" t="inlineStr"/>
      <c r="G20" s="5" t="inlineStr"/>
      <c r="H20" s="5" t="inlineStr"/>
      <c r="J20" s="7" t="inlineStr">
        <is>
          <t>Unskilled</t>
        </is>
      </c>
      <c r="K20" s="7" t="n">
        <v>-2</v>
      </c>
    </row>
    <row r="21">
      <c r="A21" s="4" t="inlineStr">
        <is>
          <t>Blade Technique</t>
        </is>
      </c>
      <c r="B21" s="4" t="inlineStr">
        <is>
          <t>Kaiden</t>
        </is>
      </c>
      <c r="C21" s="6">
        <f>A9+VLOOKUP(B21,J20:K24,2,0)</f>
        <v/>
      </c>
      <c r="D21" s="8" t="inlineStr">
        <is>
          <t>Tiger Might Style technique damage +2</t>
        </is>
      </c>
      <c r="J21" s="7" t="inlineStr">
        <is>
          <t>Shoden</t>
        </is>
      </c>
      <c r="K21" s="7" t="n">
        <v>0</v>
      </c>
    </row>
    <row r="22">
      <c r="A22" s="4" t="inlineStr">
        <is>
          <t>Intimidation</t>
        </is>
      </c>
      <c r="B22" s="4" t="inlineStr">
        <is>
          <t>Kaiden</t>
        </is>
      </c>
      <c r="C22" s="6">
        <f>E9+VLOOKUP(B22,J20:K24,2,0)</f>
        <v/>
      </c>
      <c r="D22" s="8" t="inlineStr"/>
      <c r="J22" s="7" t="inlineStr">
        <is>
          <t>Chūden</t>
        </is>
      </c>
      <c r="K22" s="7" t="n">
        <v>2</v>
      </c>
    </row>
    <row r="23">
      <c r="A23" s="4" t="inlineStr">
        <is>
          <t>Tactics</t>
        </is>
      </c>
      <c r="B23" s="4" t="inlineStr">
        <is>
          <t>Okuden</t>
        </is>
      </c>
      <c r="C23" s="6">
        <f>A9+VLOOKUP(B23,J20:K24,2,0)</f>
        <v/>
      </c>
      <c r="D23" s="8" t="inlineStr"/>
      <c r="J23" s="7" t="inlineStr">
        <is>
          <t>Okuden</t>
        </is>
      </c>
      <c r="K23" s="7" t="n">
        <v>4</v>
      </c>
    </row>
    <row r="24">
      <c r="A24" s="4" t="inlineStr">
        <is>
          <t>Athletics</t>
        </is>
      </c>
      <c r="B24" s="4" t="inlineStr">
        <is>
          <t>Okuden</t>
        </is>
      </c>
      <c r="C24" s="6">
        <f>B9+VLOOKUP(B24,J20:K24,2,0)</f>
        <v/>
      </c>
      <c r="D24" s="8" t="inlineStr"/>
      <c r="J24" s="7" t="inlineStr">
        <is>
          <t>Kaiden</t>
        </is>
      </c>
      <c r="K24" s="7" t="n">
        <v>6</v>
      </c>
    </row>
    <row r="25">
      <c r="A25" s="4" t="inlineStr">
        <is>
          <t>Insight</t>
        </is>
      </c>
      <c r="B25" s="4" t="inlineStr">
        <is>
          <t>Okuden</t>
        </is>
      </c>
      <c r="C25" s="6">
        <f>D9+VLOOKUP(B25,J20:K24,2,0)</f>
        <v/>
      </c>
      <c r="D25" s="8" t="inlineStr"/>
    </row>
    <row r="26">
      <c r="A26" s="4" t="inlineStr">
        <is>
          <t>Persuasion</t>
        </is>
      </c>
      <c r="B26" s="4" t="inlineStr">
        <is>
          <t>Chūden</t>
        </is>
      </c>
      <c r="C26" s="6">
        <f>E9+VLOOKUP(B26,J20:K24,2,0)</f>
        <v/>
      </c>
      <c r="D26" s="8" t="inlineStr"/>
    </row>
    <row r="27">
      <c r="A27" s="4" t="inlineStr">
        <is>
          <t>Smithing</t>
        </is>
      </c>
      <c r="B27" s="4" t="inlineStr">
        <is>
          <t>Chūden</t>
        </is>
      </c>
      <c r="C27" s="6">
        <f>B9+VLOOKUP(B27,J20:K24,2,0)</f>
        <v/>
      </c>
      <c r="D27" s="8" t="inlineStr"/>
    </row>
    <row r="28"/>
    <row r="29" ht="24" customHeight="1">
      <c r="A29" s="2" t="inlineStr">
        <is>
          <t>Equipment &amp; Special Abilities</t>
        </is>
      </c>
    </row>
    <row r="30">
      <c r="A30" s="9" t="inlineStr">
        <is>
          <t>Tiger Might Great Katana (Legendary)</t>
        </is>
      </c>
      <c r="B30" s="10" t="n"/>
      <c r="C30" s="10" t="n"/>
      <c r="D30" s="10" t="n"/>
      <c r="E30" s="11" t="n"/>
    </row>
    <row r="31">
      <c r="A31" s="9" t="inlineStr">
        <is>
          <t>Tiger Might Great Armor (DV +6)</t>
        </is>
      </c>
      <c r="B31" s="10" t="n"/>
      <c r="C31" s="10" t="n"/>
      <c r="D31" s="10" t="n"/>
      <c r="E31" s="11" t="n"/>
    </row>
    <row r="32">
      <c r="A32" s="9" t="inlineStr">
        <is>
          <t>Tiger Clan War Fan (command)</t>
        </is>
      </c>
      <c r="B32" s="10" t="n"/>
      <c r="C32" s="10" t="n"/>
      <c r="D32" s="10" t="n"/>
      <c r="E32" s="11" t="n"/>
    </row>
    <row r="33"/>
    <row r="34" ht="24" customHeight="1">
      <c r="A34" s="2" t="inlineStr">
        <is>
          <t>Special Abilities</t>
        </is>
      </c>
    </row>
    <row r="35">
      <c r="A35" s="9" t="inlineStr">
        <is>
          <t>Tiger Might Aura: At start, all enemies must make a Spirit contest; on failure, Stunned 1 round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9" t="inlineStr">
        <is>
          <t>Grandmaster Might: Tiger Might Style technique damage +2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Daimyō Command: Can order Tiger Clan soldiers in range to gain +2 to hit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9" t="inlineStr">
        <is>
          <t>Tiger Clan Bloodline Awakening: Attributes +2 when HP below half</t>
        </is>
      </c>
      <c r="B38" s="10" t="n"/>
      <c r="C38" s="10" t="n"/>
      <c r="D38" s="10" t="n"/>
      <c r="E38" s="10" t="n"/>
      <c r="F38" s="10" t="n"/>
      <c r="G38" s="10" t="n"/>
      <c r="H38" s="11" t="n"/>
    </row>
  </sheetData>
  <mergeCells count="14">
    <mergeCell ref="A30:E30"/>
    <mergeCell ref="A3:H3"/>
    <mergeCell ref="A29:H29"/>
    <mergeCell ref="A7:H7"/>
    <mergeCell ref="A35:H35"/>
    <mergeCell ref="A38:H38"/>
    <mergeCell ref="A19:H19"/>
    <mergeCell ref="A11:H11"/>
    <mergeCell ref="A32:E32"/>
    <mergeCell ref="A36:H36"/>
    <mergeCell ref="A1:H1"/>
    <mergeCell ref="A37:H37"/>
    <mergeCell ref="A31:E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Beastman Warring States TRPG NPC — Inutsuka Yoshishige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Inutsuka Yoshishige</t>
        </is>
      </c>
      <c r="C4" s="3" t="inlineStr">
        <is>
          <t>Clan</t>
        </is>
      </c>
      <c r="D4" s="4" t="inlineStr">
        <is>
          <t>Dog Clan</t>
        </is>
      </c>
      <c r="E4" s="3" t="inlineStr">
        <is>
          <t>School</t>
        </is>
      </c>
      <c r="F4" s="4" t="inlineStr">
        <is>
          <t>Loyalty Style</t>
        </is>
      </c>
      <c r="G4" s="3" t="inlineStr">
        <is>
          <t>Level</t>
        </is>
      </c>
      <c r="H4" s="4" t="n">
        <v>17</v>
      </c>
    </row>
    <row r="5">
      <c r="A5" s="3" t="inlineStr">
        <is>
          <t>Title / Status</t>
        </is>
      </c>
      <c r="B5" s="4" t="inlineStr">
        <is>
          <t>Dog Clan Daimyō · Loyalty Style Grandmaster</t>
        </is>
      </c>
      <c r="C5" s="3" t="inlineStr">
        <is>
          <t>Loyalty To</t>
        </is>
      </c>
      <c r="D5" s="4" t="inlineStr">
        <is>
          <t>Dog Clan &amp; Allies</t>
        </is>
      </c>
    </row>
    <row r="6"/>
    <row r="7" ht="24" customHeight="1">
      <c r="A7" s="2" t="inlineStr">
        <is>
          <t>Five Core Attributes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10</v>
      </c>
      <c r="B9" s="6" t="n">
        <v>10</v>
      </c>
      <c r="C9" s="6" t="n">
        <v>3</v>
      </c>
      <c r="D9" s="6" t="n">
        <v>9</v>
      </c>
      <c r="E9" s="6" t="n">
        <v>10</v>
      </c>
    </row>
    <row r="10"/>
    <row r="11" ht="24" customHeight="1">
      <c r="A11" s="2" t="inlineStr">
        <is>
          <t>Derived Stats (Auto-Calculated)</t>
        </is>
      </c>
    </row>
    <row r="12">
      <c r="A12" s="3" t="inlineStr">
        <is>
          <t>Hit Points (HP)</t>
        </is>
      </c>
      <c r="B12" s="6">
        <f>B9*5+17*3</f>
        <v/>
      </c>
      <c r="E12" s="3" t="inlineStr">
        <is>
          <t>Current HP</t>
        </is>
      </c>
      <c r="F12" s="4" t="inlineStr"/>
    </row>
    <row r="13">
      <c r="A13" s="3" t="inlineStr">
        <is>
          <t>Defense Value (DV)</t>
        </is>
      </c>
      <c r="B13" s="6">
        <f>10+D9+G13</f>
        <v/>
      </c>
      <c r="G13" s="4" t="inlineStr"/>
    </row>
    <row r="14">
      <c r="A14" s="3" t="inlineStr">
        <is>
          <t>Movement (MOVE)</t>
        </is>
      </c>
      <c r="B14" s="6">
        <f>5+D9</f>
        <v/>
      </c>
    </row>
    <row r="15">
      <c r="A15" s="3" t="inlineStr">
        <is>
          <t>Initiative Bonus</t>
        </is>
      </c>
      <c r="B15" s="6">
        <f>D9</f>
        <v/>
      </c>
    </row>
    <row r="16">
      <c r="A16" s="3" t="inlineStr">
        <is>
          <t>Blade Bond (BB)</t>
        </is>
      </c>
      <c r="B16" s="6">
        <f>E9*5</f>
        <v/>
      </c>
    </row>
    <row r="17">
      <c r="A17" s="3" t="inlineStr">
        <is>
          <t>Sword Aura Value (SAV)</t>
        </is>
      </c>
      <c r="B17" s="6">
        <f>INT(A9+E9+G17/10)</f>
        <v/>
      </c>
    </row>
    <row r="18"/>
    <row r="19" ht="24" customHeight="1">
      <c r="A19" s="2" t="inlineStr">
        <is>
          <t>Key Skills</t>
        </is>
      </c>
      <c r="J19" s="3" t="inlineStr">
        <is>
          <t>Proficiency Bonus</t>
        </is>
      </c>
    </row>
    <row r="20">
      <c r="A20" s="5" t="inlineStr">
        <is>
          <t>Skill Name</t>
        </is>
      </c>
      <c r="B20" s="5" t="inlineStr">
        <is>
          <t>Proficiency</t>
        </is>
      </c>
      <c r="C20" s="5" t="inlineStr">
        <is>
          <t>Total Bonus</t>
        </is>
      </c>
      <c r="D20" s="5" t="inlineStr">
        <is>
          <t>Notes</t>
        </is>
      </c>
      <c r="E20" s="5" t="inlineStr"/>
      <c r="F20" s="5" t="inlineStr"/>
      <c r="G20" s="5" t="inlineStr"/>
      <c r="H20" s="5" t="inlineStr"/>
      <c r="J20" s="7" t="inlineStr">
        <is>
          <t>Unskilled</t>
        </is>
      </c>
      <c r="K20" s="7" t="n">
        <v>-2</v>
      </c>
    </row>
    <row r="21">
      <c r="A21" s="4" t="inlineStr">
        <is>
          <t>Blade Technique</t>
        </is>
      </c>
      <c r="B21" s="4" t="inlineStr">
        <is>
          <t>Kaiden</t>
        </is>
      </c>
      <c r="C21" s="6">
        <f>A9+VLOOKUP(B21,J20:K24,2,0)</f>
        <v/>
      </c>
      <c r="D21" s="8" t="inlineStr">
        <is>
          <t>Loyalty Style technique +2 to hit</t>
        </is>
      </c>
      <c r="J21" s="7" t="inlineStr">
        <is>
          <t>Shoden</t>
        </is>
      </c>
      <c r="K21" s="7" t="n">
        <v>0</v>
      </c>
    </row>
    <row r="22">
      <c r="A22" s="4" t="inlineStr">
        <is>
          <t>Persuasion</t>
        </is>
      </c>
      <c r="B22" s="4" t="inlineStr">
        <is>
          <t>Kaiden</t>
        </is>
      </c>
      <c r="C22" s="6">
        <f>E9+VLOOKUP(B22,J20:K24,2,0)</f>
        <v/>
      </c>
      <c r="D22" s="8" t="inlineStr"/>
      <c r="J22" s="7" t="inlineStr">
        <is>
          <t>Chūden</t>
        </is>
      </c>
      <c r="K22" s="7" t="n">
        <v>2</v>
      </c>
    </row>
    <row r="23">
      <c r="A23" s="4" t="inlineStr">
        <is>
          <t>Insight</t>
        </is>
      </c>
      <c r="B23" s="4" t="inlineStr">
        <is>
          <t>Okuden</t>
        </is>
      </c>
      <c r="C23" s="6">
        <f>D9+VLOOKUP(B23,J20:K24,2,0)</f>
        <v/>
      </c>
      <c r="D23" s="8" t="inlineStr"/>
      <c r="J23" s="7" t="inlineStr">
        <is>
          <t>Okuden</t>
        </is>
      </c>
      <c r="K23" s="7" t="n">
        <v>4</v>
      </c>
    </row>
    <row r="24">
      <c r="A24" s="4" t="inlineStr">
        <is>
          <t>Tracking</t>
        </is>
      </c>
      <c r="B24" s="4" t="inlineStr">
        <is>
          <t>Okuden</t>
        </is>
      </c>
      <c r="C24" s="6">
        <f>A9+VLOOKUP(B24,J20:K24,2,0)</f>
        <v/>
      </c>
      <c r="D24" s="8" t="inlineStr"/>
      <c r="J24" s="7" t="inlineStr">
        <is>
          <t>Kaiden</t>
        </is>
      </c>
      <c r="K24" s="7" t="n">
        <v>6</v>
      </c>
    </row>
    <row r="25">
      <c r="A25" s="4" t="inlineStr">
        <is>
          <t>Perception</t>
        </is>
      </c>
      <c r="B25" s="4" t="inlineStr">
        <is>
          <t>Okuden</t>
        </is>
      </c>
      <c r="C25" s="6">
        <f>D9+VLOOKUP(B25,J20:K24,2,0)</f>
        <v/>
      </c>
      <c r="D25" s="8" t="inlineStr"/>
    </row>
    <row r="26">
      <c r="A26" s="4" t="inlineStr">
        <is>
          <t>Tactics</t>
        </is>
      </c>
      <c r="B26" s="4" t="inlineStr">
        <is>
          <t>Okuden</t>
        </is>
      </c>
      <c r="C26" s="6">
        <f>A9+VLOOKUP(B26,J20:K24,2,0)</f>
        <v/>
      </c>
      <c r="D26" s="8" t="inlineStr"/>
    </row>
    <row r="27">
      <c r="A27" s="4" t="inlineStr">
        <is>
          <t>Spear Technique</t>
        </is>
      </c>
      <c r="B27" s="4" t="inlineStr">
        <is>
          <t>Chūden</t>
        </is>
      </c>
      <c r="C27" s="6">
        <f>A9+VLOOKUP(B27,J20:K24,2,0)</f>
        <v/>
      </c>
      <c r="D27" s="8" t="inlineStr"/>
    </row>
    <row r="28"/>
    <row r="29" ht="24" customHeight="1">
      <c r="A29" s="2" t="inlineStr">
        <is>
          <t>Equipment &amp; Special Abilities</t>
        </is>
      </c>
    </row>
    <row r="30">
      <c r="A30" s="9" t="inlineStr">
        <is>
          <t>Loyalty Masamune (Legendary)</t>
        </is>
      </c>
      <c r="B30" s="10" t="n"/>
      <c r="C30" s="10" t="n"/>
      <c r="D30" s="10" t="n"/>
      <c r="E30" s="11" t="n"/>
    </row>
    <row r="31">
      <c r="A31" s="9" t="inlineStr">
        <is>
          <t>Dog Clan Armor (DV +5)</t>
        </is>
      </c>
      <c r="B31" s="10" t="n"/>
      <c r="C31" s="10" t="n"/>
      <c r="D31" s="10" t="n"/>
      <c r="E31" s="11" t="n"/>
    </row>
    <row r="32">
      <c r="A32" s="9" t="inlineStr">
        <is>
          <t>Alliance War Banner</t>
        </is>
      </c>
      <c r="B32" s="10" t="n"/>
      <c r="C32" s="10" t="n"/>
      <c r="D32" s="10" t="n"/>
      <c r="E32" s="11" t="n"/>
    </row>
    <row r="33"/>
    <row r="34" ht="24" customHeight="1">
      <c r="A34" s="2" t="inlineStr">
        <is>
          <t>Special Abilities</t>
        </is>
      </c>
    </row>
    <row r="35">
      <c r="A35" s="9" t="inlineStr">
        <is>
          <t>Loyalty Guard: Can take attacks in place of allies in range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9" t="inlineStr">
        <is>
          <t>Grandmaster Bond: Telepathic communication with Loyalty Style disciples regardless of distance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Dog Clan Smell: Automatically detect invisible targets in range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9" t="inlineStr">
        <is>
          <t>Giri Burning: Spend Giri Value to guarantee the next strike is a critical hit</t>
        </is>
      </c>
      <c r="B38" s="10" t="n"/>
      <c r="C38" s="10" t="n"/>
      <c r="D38" s="10" t="n"/>
      <c r="E38" s="10" t="n"/>
      <c r="F38" s="10" t="n"/>
      <c r="G38" s="10" t="n"/>
      <c r="H38" s="11" t="n"/>
    </row>
  </sheetData>
  <mergeCells count="14">
    <mergeCell ref="A30:E30"/>
    <mergeCell ref="A3:H3"/>
    <mergeCell ref="A29:H29"/>
    <mergeCell ref="A7:H7"/>
    <mergeCell ref="A35:H35"/>
    <mergeCell ref="A38:H38"/>
    <mergeCell ref="A19:H19"/>
    <mergeCell ref="A11:H11"/>
    <mergeCell ref="A32:E32"/>
    <mergeCell ref="A36:H36"/>
    <mergeCell ref="A1:H1"/>
    <mergeCell ref="A37:H37"/>
    <mergeCell ref="A31:E3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Beastman Warring States TRPG NPC — Tsukuyomi-hime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Tsukuyomi-hime</t>
        </is>
      </c>
      <c r="C4" s="3" t="inlineStr">
        <is>
          <t>Clan</t>
        </is>
      </c>
      <c r="D4" s="4" t="inlineStr">
        <is>
          <t>Rabbit Clan</t>
        </is>
      </c>
      <c r="E4" s="3" t="inlineStr">
        <is>
          <t>School</t>
        </is>
      </c>
      <c r="F4" s="4" t="inlineStr">
        <is>
          <t>Moon Shadow Style</t>
        </is>
      </c>
      <c r="G4" s="3" t="inlineStr">
        <is>
          <t>Level</t>
        </is>
      </c>
      <c r="H4" s="4" t="n">
        <v>16</v>
      </c>
    </row>
    <row r="5">
      <c r="A5" s="3" t="inlineStr">
        <is>
          <t>Title / Status</t>
        </is>
      </c>
      <c r="B5" s="4" t="inlineStr">
        <is>
          <t>Rabbit Clan Shrine Maiden · Moon Shadow Style Grandmaster</t>
        </is>
      </c>
      <c r="C5" s="3" t="inlineStr">
        <is>
          <t>Loyalty To</t>
        </is>
      </c>
      <c r="D5" s="4" t="inlineStr">
        <is>
          <t>Shrine &amp; Rabbit Clan Folk</t>
        </is>
      </c>
    </row>
    <row r="6"/>
    <row r="7" ht="24" customHeight="1">
      <c r="A7" s="2" t="inlineStr">
        <is>
          <t>Five Core Attributes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5</v>
      </c>
      <c r="B9" s="6" t="n">
        <v>5</v>
      </c>
      <c r="C9" s="6" t="n">
        <v>12</v>
      </c>
      <c r="D9" s="6" t="n">
        <v>9</v>
      </c>
      <c r="E9" s="6" t="n">
        <v>12</v>
      </c>
    </row>
    <row r="10"/>
    <row r="11" ht="24" customHeight="1">
      <c r="A11" s="2" t="inlineStr">
        <is>
          <t>Derived Stats (Auto-Calculated)</t>
        </is>
      </c>
    </row>
    <row r="12">
      <c r="A12" s="3" t="inlineStr">
        <is>
          <t>Hit Points (HP)</t>
        </is>
      </c>
      <c r="B12" s="6">
        <f>B9*5+16*3</f>
        <v/>
      </c>
      <c r="E12" s="3" t="inlineStr">
        <is>
          <t>Current HP</t>
        </is>
      </c>
      <c r="F12" s="4" t="inlineStr"/>
    </row>
    <row r="13">
      <c r="A13" s="3" t="inlineStr">
        <is>
          <t>Defense Value (DV)</t>
        </is>
      </c>
      <c r="B13" s="6">
        <f>10+D9+G13</f>
        <v/>
      </c>
      <c r="G13" s="4" t="inlineStr"/>
    </row>
    <row r="14">
      <c r="A14" s="3" t="inlineStr">
        <is>
          <t>Movement (MOVE)</t>
        </is>
      </c>
      <c r="B14" s="6">
        <f>5+D9</f>
        <v/>
      </c>
    </row>
    <row r="15">
      <c r="A15" s="3" t="inlineStr">
        <is>
          <t>Initiative Bonus</t>
        </is>
      </c>
      <c r="B15" s="6">
        <f>D9</f>
        <v/>
      </c>
    </row>
    <row r="16">
      <c r="A16" s="3" t="inlineStr">
        <is>
          <t>Blade Bond (BB)</t>
        </is>
      </c>
      <c r="B16" s="6">
        <f>E9*5</f>
        <v/>
      </c>
    </row>
    <row r="17">
      <c r="A17" s="3" t="inlineStr">
        <is>
          <t>Sword Aura Value (SAV)</t>
        </is>
      </c>
      <c r="B17" s="6">
        <f>INT(A9+E9+G17/10)</f>
        <v/>
      </c>
    </row>
    <row r="18"/>
    <row r="19" ht="24" customHeight="1">
      <c r="A19" s="2" t="inlineStr">
        <is>
          <t>Key Skills</t>
        </is>
      </c>
      <c r="J19" s="3" t="inlineStr">
        <is>
          <t>Proficiency Bonus</t>
        </is>
      </c>
    </row>
    <row r="20">
      <c r="A20" s="5" t="inlineStr">
        <is>
          <t>Skill Name</t>
        </is>
      </c>
      <c r="B20" s="5" t="inlineStr">
        <is>
          <t>Proficiency</t>
        </is>
      </c>
      <c r="C20" s="5" t="inlineStr">
        <is>
          <t>Total Bonus</t>
        </is>
      </c>
      <c r="D20" s="5" t="inlineStr">
        <is>
          <t>Notes</t>
        </is>
      </c>
      <c r="E20" s="5" t="inlineStr"/>
      <c r="F20" s="5" t="inlineStr"/>
      <c r="G20" s="5" t="inlineStr"/>
      <c r="H20" s="5" t="inlineStr"/>
      <c r="J20" s="7" t="inlineStr">
        <is>
          <t>Unskilled</t>
        </is>
      </c>
      <c r="K20" s="7" t="n">
        <v>-2</v>
      </c>
    </row>
    <row r="21">
      <c r="A21" s="4" t="inlineStr">
        <is>
          <t>Onmyōdō</t>
        </is>
      </c>
      <c r="B21" s="4" t="inlineStr">
        <is>
          <t>Kaiden</t>
        </is>
      </c>
      <c r="C21" s="6">
        <f>C9+VLOOKUP(B21,J20:K24,2,0)</f>
        <v/>
      </c>
      <c r="D21" s="8" t="inlineStr">
        <is>
          <t>Ritual time halved</t>
        </is>
      </c>
      <c r="J21" s="7" t="inlineStr">
        <is>
          <t>Shoden</t>
        </is>
      </c>
      <c r="K21" s="7" t="n">
        <v>0</v>
      </c>
    </row>
    <row r="22">
      <c r="A22" s="4" t="inlineStr">
        <is>
          <t>Archery</t>
        </is>
      </c>
      <c r="B22" s="4" t="inlineStr">
        <is>
          <t>Okuden</t>
        </is>
      </c>
      <c r="C22" s="6">
        <f>D9+VLOOKUP(B22,J20:K24,2,0)</f>
        <v/>
      </c>
      <c r="D22" s="8" t="inlineStr"/>
      <c r="J22" s="7" t="inlineStr">
        <is>
          <t>Chūden</t>
        </is>
      </c>
      <c r="K22" s="7" t="n">
        <v>2</v>
      </c>
    </row>
    <row r="23">
      <c r="A23" s="4" t="inlineStr">
        <is>
          <t>Medicine</t>
        </is>
      </c>
      <c r="B23" s="4" t="inlineStr">
        <is>
          <t>Okuden</t>
        </is>
      </c>
      <c r="C23" s="6">
        <f>E9+VLOOKUP(B23,J20:K24,2,0)</f>
        <v/>
      </c>
      <c r="D23" s="8" t="inlineStr"/>
      <c r="J23" s="7" t="inlineStr">
        <is>
          <t>Okuden</t>
        </is>
      </c>
      <c r="K23" s="7" t="n">
        <v>4</v>
      </c>
    </row>
    <row r="24">
      <c r="A24" s="4" t="inlineStr">
        <is>
          <t>Insight</t>
        </is>
      </c>
      <c r="B24" s="4" t="inlineStr">
        <is>
          <t>Kaiden</t>
        </is>
      </c>
      <c r="C24" s="6">
        <f>D9+VLOOKUP(B24,J20:K24,2,0)</f>
        <v/>
      </c>
      <c r="D24" s="8" t="inlineStr"/>
      <c r="J24" s="7" t="inlineStr">
        <is>
          <t>Kaiden</t>
        </is>
      </c>
      <c r="K24" s="7" t="n">
        <v>6</v>
      </c>
    </row>
    <row r="25">
      <c r="A25" s="4" t="inlineStr">
        <is>
          <t>Perception</t>
        </is>
      </c>
      <c r="B25" s="4" t="inlineStr">
        <is>
          <t>Okuden</t>
        </is>
      </c>
      <c r="C25" s="6">
        <f>D9+VLOOKUP(B25,J20:K24,2,0)</f>
        <v/>
      </c>
      <c r="D25" s="8" t="inlineStr"/>
    </row>
    <row r="26">
      <c r="A26" s="4" t="inlineStr">
        <is>
          <t>Etiquette</t>
        </is>
      </c>
      <c r="B26" s="4" t="inlineStr">
        <is>
          <t>Okuden</t>
        </is>
      </c>
      <c r="C26" s="6">
        <f>E9+VLOOKUP(B26,J20:K24,2,0)</f>
        <v/>
      </c>
      <c r="D26" s="8" t="inlineStr"/>
    </row>
    <row r="27">
      <c r="A27" s="4" t="inlineStr">
        <is>
          <t>Alchemy</t>
        </is>
      </c>
      <c r="B27" s="4" t="inlineStr">
        <is>
          <t>Chūden</t>
        </is>
      </c>
      <c r="C27" s="6">
        <f>C9+VLOOKUP(B27,J20:K24,2,0)</f>
        <v/>
      </c>
      <c r="D27" s="8" t="inlineStr"/>
    </row>
    <row r="28"/>
    <row r="29" ht="24" customHeight="1">
      <c r="A29" s="2" t="inlineStr">
        <is>
          <t>Equipment &amp; Special Abilities</t>
        </is>
      </c>
    </row>
    <row r="30">
      <c r="A30" s="9" t="inlineStr">
        <is>
          <t>Tsukuyomi Divine Bow (Legendary)</t>
        </is>
      </c>
      <c r="B30" s="10" t="n"/>
      <c r="C30" s="10" t="n"/>
      <c r="D30" s="10" t="n"/>
      <c r="E30" s="11" t="n"/>
    </row>
    <row r="31">
      <c r="A31" s="9" t="inlineStr">
        <is>
          <t>Shrine Maiden Robe (DV +2)</t>
        </is>
      </c>
      <c r="B31" s="10" t="n"/>
      <c r="C31" s="10" t="n"/>
      <c r="D31" s="10" t="n"/>
      <c r="E31" s="11" t="n"/>
    </row>
    <row r="32">
      <c r="A32" s="9" t="inlineStr">
        <is>
          <t>Tsukuyomi Bell (sacred implement, Onmyōdō +2)</t>
        </is>
      </c>
      <c r="B32" s="10" t="n"/>
      <c r="C32" s="10" t="n"/>
      <c r="D32" s="10" t="n"/>
      <c r="E32" s="11" t="n"/>
    </row>
    <row r="33"/>
    <row r="34" ht="24" customHeight="1">
      <c r="A34" s="2" t="inlineStr">
        <is>
          <t>Special Abilities</t>
        </is>
      </c>
    </row>
    <row r="35">
      <c r="A35" s="9" t="inlineStr">
        <is>
          <t>Moonlight Blessing: All attributes +1 when fighting at night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9" t="inlineStr">
        <is>
          <t>Light of Purification: Can remove curse/Beastification effects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Prophetic Dream: Can learn enemy formation before battle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9" t="inlineStr">
        <is>
          <t>Rabbit Clan Agility: DV +2 when dodging ranged attacks</t>
        </is>
      </c>
      <c r="B38" s="10" t="n"/>
      <c r="C38" s="10" t="n"/>
      <c r="D38" s="10" t="n"/>
      <c r="E38" s="10" t="n"/>
      <c r="F38" s="10" t="n"/>
      <c r="G38" s="10" t="n"/>
      <c r="H38" s="11" t="n"/>
    </row>
    <row r="39">
      <c r="A39" s="9" t="inlineStr">
        <is>
          <t>Grandmaster Eye: Can see through all illusions</t>
        </is>
      </c>
      <c r="B39" s="10" t="n"/>
      <c r="C39" s="10" t="n"/>
      <c r="D39" s="10" t="n"/>
      <c r="E39" s="10" t="n"/>
      <c r="F39" s="10" t="n"/>
      <c r="G39" s="10" t="n"/>
      <c r="H39" s="11" t="n"/>
    </row>
  </sheetData>
  <mergeCells count="15">
    <mergeCell ref="A30:E30"/>
    <mergeCell ref="A3:H3"/>
    <mergeCell ref="A39:H39"/>
    <mergeCell ref="A29:H29"/>
    <mergeCell ref="A7:H7"/>
    <mergeCell ref="A35:H35"/>
    <mergeCell ref="A38:H38"/>
    <mergeCell ref="A19:H19"/>
    <mergeCell ref="A11:H11"/>
    <mergeCell ref="A32:E32"/>
    <mergeCell ref="A36:H36"/>
    <mergeCell ref="A1:H1"/>
    <mergeCell ref="A37:H37"/>
    <mergeCell ref="A31:E31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Beastman Warring States TRPG NPC — Ryūjinshi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Ryūjinshi</t>
        </is>
      </c>
      <c r="C4" s="3" t="inlineStr">
        <is>
          <t>Clan</t>
        </is>
      </c>
      <c r="D4" s="4" t="inlineStr">
        <is>
          <t>Dragon Clan</t>
        </is>
      </c>
      <c r="E4" s="3" t="inlineStr">
        <is>
          <t>School</t>
        </is>
      </c>
      <c r="F4" s="4" t="inlineStr">
        <is>
          <t>Rising Dragon Style</t>
        </is>
      </c>
      <c r="G4" s="3" t="inlineStr">
        <is>
          <t>Level</t>
        </is>
      </c>
      <c r="H4" s="4" t="n">
        <v>19</v>
      </c>
    </row>
    <row r="5">
      <c r="A5" s="3" t="inlineStr">
        <is>
          <t>Title / Status</t>
        </is>
      </c>
      <c r="B5" s="4" t="inlineStr">
        <is>
          <t>Dragon Clan Guardian · Rising Dragon Style Grandmaster</t>
        </is>
      </c>
      <c r="C5" s="3" t="inlineStr">
        <is>
          <t>Loyalty To</t>
        </is>
      </c>
      <c r="D5" s="4" t="inlineStr">
        <is>
          <t>Dragon God &amp; the World's Balance</t>
        </is>
      </c>
    </row>
    <row r="6"/>
    <row r="7" ht="24" customHeight="1">
      <c r="A7" s="2" t="inlineStr">
        <is>
          <t>Five Core Attributes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12</v>
      </c>
      <c r="B9" s="6" t="n">
        <v>12</v>
      </c>
      <c r="C9" s="6" t="n">
        <v>10</v>
      </c>
      <c r="D9" s="6" t="n">
        <v>10</v>
      </c>
      <c r="E9" s="6" t="n">
        <v>12</v>
      </c>
    </row>
    <row r="10"/>
    <row r="11" ht="24" customHeight="1">
      <c r="A11" s="2" t="inlineStr">
        <is>
          <t>Derived Stats (Auto-Calculated)</t>
        </is>
      </c>
    </row>
    <row r="12">
      <c r="A12" s="3" t="inlineStr">
        <is>
          <t>Hit Points (HP)</t>
        </is>
      </c>
      <c r="B12" s="6">
        <f>B9*5+19*3</f>
        <v/>
      </c>
      <c r="E12" s="3" t="inlineStr">
        <is>
          <t>Current HP</t>
        </is>
      </c>
      <c r="F12" s="4" t="inlineStr"/>
    </row>
    <row r="13">
      <c r="A13" s="3" t="inlineStr">
        <is>
          <t>Defense Value (DV)</t>
        </is>
      </c>
      <c r="B13" s="6">
        <f>10+D9+G13</f>
        <v/>
      </c>
      <c r="G13" s="4" t="inlineStr"/>
    </row>
    <row r="14">
      <c r="A14" s="3" t="inlineStr">
        <is>
          <t>Movement (MOVE)</t>
        </is>
      </c>
      <c r="B14" s="6">
        <f>5+D9</f>
        <v/>
      </c>
    </row>
    <row r="15">
      <c r="A15" s="3" t="inlineStr">
        <is>
          <t>Initiative Bonus</t>
        </is>
      </c>
      <c r="B15" s="6">
        <f>D9</f>
        <v/>
      </c>
    </row>
    <row r="16">
      <c r="A16" s="3" t="inlineStr">
        <is>
          <t>Blade Bond (BB)</t>
        </is>
      </c>
      <c r="B16" s="6">
        <f>E9*5</f>
        <v/>
      </c>
    </row>
    <row r="17">
      <c r="A17" s="3" t="inlineStr">
        <is>
          <t>Sword Aura Value (SAV)</t>
        </is>
      </c>
      <c r="B17" s="6">
        <f>INT(A9+E9+G17/10)</f>
        <v/>
      </c>
    </row>
    <row r="18"/>
    <row r="19" ht="24" customHeight="1">
      <c r="A19" s="2" t="inlineStr">
        <is>
          <t>Key Skills</t>
        </is>
      </c>
      <c r="J19" s="3" t="inlineStr">
        <is>
          <t>Proficiency Bonus</t>
        </is>
      </c>
    </row>
    <row r="20">
      <c r="A20" s="5" t="inlineStr">
        <is>
          <t>Skill Name</t>
        </is>
      </c>
      <c r="B20" s="5" t="inlineStr">
        <is>
          <t>Proficiency</t>
        </is>
      </c>
      <c r="C20" s="5" t="inlineStr">
        <is>
          <t>Total Bonus</t>
        </is>
      </c>
      <c r="D20" s="5" t="inlineStr">
        <is>
          <t>Notes</t>
        </is>
      </c>
      <c r="E20" s="5" t="inlineStr"/>
      <c r="F20" s="5" t="inlineStr"/>
      <c r="G20" s="5" t="inlineStr"/>
      <c r="H20" s="5" t="inlineStr"/>
      <c r="J20" s="7" t="inlineStr">
        <is>
          <t>Unskilled</t>
        </is>
      </c>
      <c r="K20" s="7" t="n">
        <v>-2</v>
      </c>
    </row>
    <row r="21">
      <c r="A21" s="4" t="inlineStr">
        <is>
          <t>Blade Technique</t>
        </is>
      </c>
      <c r="B21" s="4" t="inlineStr">
        <is>
          <t>Kaiden</t>
        </is>
      </c>
      <c r="C21" s="6">
        <f>A9+VLOOKUP(B21,J20:K24,2,0)</f>
        <v/>
      </c>
      <c r="D21" s="8" t="inlineStr">
        <is>
          <t>Rising Dragon Style technique range +1</t>
        </is>
      </c>
      <c r="J21" s="7" t="inlineStr">
        <is>
          <t>Shoden</t>
        </is>
      </c>
      <c r="K21" s="7" t="n">
        <v>0</v>
      </c>
    </row>
    <row r="22">
      <c r="A22" s="4" t="inlineStr">
        <is>
          <t>Athletics</t>
        </is>
      </c>
      <c r="B22" s="4" t="inlineStr">
        <is>
          <t>Kaiden</t>
        </is>
      </c>
      <c r="C22" s="6">
        <f>B9+VLOOKUP(B22,J20:K24,2,0)</f>
        <v/>
      </c>
      <c r="D22" s="8" t="inlineStr"/>
      <c r="J22" s="7" t="inlineStr">
        <is>
          <t>Chūden</t>
        </is>
      </c>
      <c r="K22" s="7" t="n">
        <v>2</v>
      </c>
    </row>
    <row r="23">
      <c r="A23" s="4" t="inlineStr">
        <is>
          <t>Tactics</t>
        </is>
      </c>
      <c r="B23" s="4" t="inlineStr">
        <is>
          <t>Kaiden</t>
        </is>
      </c>
      <c r="C23" s="6">
        <f>A9+VLOOKUP(B23,J20:K24,2,0)</f>
        <v/>
      </c>
      <c r="D23" s="8" t="inlineStr"/>
      <c r="J23" s="7" t="inlineStr">
        <is>
          <t>Okuden</t>
        </is>
      </c>
      <c r="K23" s="7" t="n">
        <v>4</v>
      </c>
    </row>
    <row r="24">
      <c r="A24" s="4" t="inlineStr">
        <is>
          <t>Intimidation</t>
        </is>
      </c>
      <c r="B24" s="4" t="inlineStr">
        <is>
          <t>Kaiden</t>
        </is>
      </c>
      <c r="C24" s="6">
        <f>E9+VLOOKUP(B24,J20:K24,2,0)</f>
        <v/>
      </c>
      <c r="D24" s="8" t="inlineStr"/>
      <c r="J24" s="7" t="inlineStr">
        <is>
          <t>Kaiden</t>
        </is>
      </c>
      <c r="K24" s="7" t="n">
        <v>6</v>
      </c>
    </row>
    <row r="25">
      <c r="A25" s="4" t="inlineStr">
        <is>
          <t>Persuasion</t>
        </is>
      </c>
      <c r="B25" s="4" t="inlineStr">
        <is>
          <t>Okuden</t>
        </is>
      </c>
      <c r="C25" s="6">
        <f>E9+VLOOKUP(B25,J20:K24,2,0)</f>
        <v/>
      </c>
      <c r="D25" s="8" t="inlineStr"/>
    </row>
    <row r="26">
      <c r="A26" s="4" t="inlineStr">
        <is>
          <t>Insight</t>
        </is>
      </c>
      <c r="B26" s="4" t="inlineStr">
        <is>
          <t>Kaiden</t>
        </is>
      </c>
      <c r="C26" s="6">
        <f>D9+VLOOKUP(B26,J20:K24,2,0)</f>
        <v/>
      </c>
      <c r="D26" s="8" t="inlineStr"/>
    </row>
    <row r="27">
      <c r="A27" s="4" t="inlineStr">
        <is>
          <t>Onmyōdō</t>
        </is>
      </c>
      <c r="B27" s="4" t="inlineStr">
        <is>
          <t>Okuden</t>
        </is>
      </c>
      <c r="C27" s="6">
        <f>C9+VLOOKUP(B27,J20:K24,2,0)</f>
        <v/>
      </c>
      <c r="D27" s="8" t="inlineStr"/>
    </row>
    <row r="28"/>
    <row r="29" ht="24" customHeight="1">
      <c r="A29" s="2" t="inlineStr">
        <is>
          <t>Equipment &amp; Special Abilities</t>
        </is>
      </c>
    </row>
    <row r="30">
      <c r="A30" s="9" t="inlineStr">
        <is>
          <t>Dragon Scale Katana (Mythic)</t>
        </is>
      </c>
      <c r="B30" s="10" t="n"/>
      <c r="C30" s="10" t="n"/>
      <c r="D30" s="10" t="n"/>
      <c r="E30" s="11" t="n"/>
    </row>
    <row r="31">
      <c r="A31" s="9" t="inlineStr">
        <is>
          <t>Dragon Scale Armor (DV +8)</t>
        </is>
      </c>
      <c r="B31" s="10" t="n"/>
      <c r="C31" s="10" t="n"/>
      <c r="D31" s="10" t="n"/>
      <c r="E31" s="11" t="n"/>
    </row>
    <row r="32">
      <c r="A32" s="9" t="inlineStr">
        <is>
          <t>Dragon God Magatama (all attributes +1)</t>
        </is>
      </c>
      <c r="B32" s="10" t="n"/>
      <c r="C32" s="10" t="n"/>
      <c r="D32" s="10" t="n"/>
      <c r="E32" s="11" t="n"/>
    </row>
    <row r="33"/>
    <row r="34" ht="24" customHeight="1">
      <c r="A34" s="2" t="inlineStr">
        <is>
          <t>Special Abilities</t>
        </is>
      </c>
    </row>
    <row r="35">
      <c r="A35" s="9" t="inlineStr">
        <is>
          <t>Dragon God Descent: Once/day, for 10 rounds all attributes +3, HP fully restored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9" t="inlineStr">
        <is>
          <t>Dragon Might: Enemies in range must make a Spirit contest each round; on failure, Attack −2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Dragon Clan Regeneration: Automatically recover HP 10 each round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9" t="inlineStr">
        <is>
          <t>Rising Dragon Dominance: Deals defense-ignoring damage to a single target</t>
        </is>
      </c>
      <c r="B38" s="10" t="n"/>
      <c r="C38" s="10" t="n"/>
      <c r="D38" s="10" t="n"/>
      <c r="E38" s="10" t="n"/>
      <c r="F38" s="10" t="n"/>
      <c r="G38" s="10" t="n"/>
      <c r="H38" s="11" t="n"/>
    </row>
    <row r="39">
      <c r="A39" s="9" t="inlineStr">
        <is>
          <t>Grandmaster Principle: Can teach any school's techniques to disciples</t>
        </is>
      </c>
      <c r="B39" s="10" t="n"/>
      <c r="C39" s="10" t="n"/>
      <c r="D39" s="10" t="n"/>
      <c r="E39" s="10" t="n"/>
      <c r="F39" s="10" t="n"/>
      <c r="G39" s="10" t="n"/>
      <c r="H39" s="11" t="n"/>
    </row>
    <row r="40">
      <c r="A40" s="9" t="inlineStr">
        <is>
          <t>Dragon Scale Protection: Physical damage reduction 5</t>
        </is>
      </c>
      <c r="B40" s="10" t="n"/>
      <c r="C40" s="10" t="n"/>
      <c r="D40" s="10" t="n"/>
      <c r="E40" s="10" t="n"/>
      <c r="F40" s="10" t="n"/>
      <c r="G40" s="10" t="n"/>
      <c r="H40" s="11" t="n"/>
    </row>
  </sheetData>
  <mergeCells count="16">
    <mergeCell ref="A30:E30"/>
    <mergeCell ref="A3:H3"/>
    <mergeCell ref="A39:H39"/>
    <mergeCell ref="A29:H29"/>
    <mergeCell ref="A7:H7"/>
    <mergeCell ref="A35:H35"/>
    <mergeCell ref="A38:H38"/>
    <mergeCell ref="A40:H40"/>
    <mergeCell ref="A19:H19"/>
    <mergeCell ref="A11:H11"/>
    <mergeCell ref="A32:E32"/>
    <mergeCell ref="A36:H36"/>
    <mergeCell ref="A1:H1"/>
    <mergeCell ref="A37:H37"/>
    <mergeCell ref="A31:E31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Beastman Warring States TRPG NPC — Jōkai Sōjō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Jōkai Sōjō</t>
        </is>
      </c>
      <c r="C4" s="3" t="inlineStr">
        <is>
          <t>Clan</t>
        </is>
      </c>
      <c r="D4" s="4" t="inlineStr">
        <is>
          <t>Sheep Clan</t>
        </is>
      </c>
      <c r="E4" s="3" t="inlineStr">
        <is>
          <t>School</t>
        </is>
      </c>
      <c r="F4" s="4" t="inlineStr">
        <is>
          <t>Pure Land Style</t>
        </is>
      </c>
      <c r="G4" s="3" t="inlineStr">
        <is>
          <t>Level</t>
        </is>
      </c>
      <c r="H4" s="4" t="n">
        <v>17</v>
      </c>
    </row>
    <row r="5">
      <c r="A5" s="3" t="inlineStr">
        <is>
          <t>Title / Status</t>
        </is>
      </c>
      <c r="B5" s="4" t="inlineStr">
        <is>
          <t>Sheep Clan Monk · Pure Land Style Grandmaster</t>
        </is>
      </c>
      <c r="C5" s="3" t="inlineStr">
        <is>
          <t>Loyalty To</t>
        </is>
      </c>
      <c r="D5" s="4" t="inlineStr">
        <is>
          <t>Jōdo Temple &amp; All Beings</t>
        </is>
      </c>
    </row>
    <row r="6"/>
    <row r="7" ht="24" customHeight="1">
      <c r="A7" s="2" t="inlineStr">
        <is>
          <t>Five Core Attributes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6</v>
      </c>
      <c r="B9" s="6" t="n">
        <v>9</v>
      </c>
      <c r="C9" s="6" t="n">
        <v>8</v>
      </c>
      <c r="D9" s="6" t="n">
        <v>7</v>
      </c>
      <c r="E9" s="6" t="n">
        <v>12</v>
      </c>
    </row>
    <row r="10"/>
    <row r="11" ht="24" customHeight="1">
      <c r="A11" s="2" t="inlineStr">
        <is>
          <t>Derived Stats (Auto-Calculated)</t>
        </is>
      </c>
    </row>
    <row r="12">
      <c r="A12" s="3" t="inlineStr">
        <is>
          <t>Hit Points (HP)</t>
        </is>
      </c>
      <c r="B12" s="6">
        <f>B9*5+17*3</f>
        <v/>
      </c>
      <c r="E12" s="3" t="inlineStr">
        <is>
          <t>Current HP</t>
        </is>
      </c>
      <c r="F12" s="4" t="inlineStr"/>
    </row>
    <row r="13">
      <c r="A13" s="3" t="inlineStr">
        <is>
          <t>Defense Value (DV)</t>
        </is>
      </c>
      <c r="B13" s="6">
        <f>10+D9+G13</f>
        <v/>
      </c>
      <c r="G13" s="4" t="inlineStr"/>
    </row>
    <row r="14">
      <c r="A14" s="3" t="inlineStr">
        <is>
          <t>Movement (MOVE)</t>
        </is>
      </c>
      <c r="B14" s="6">
        <f>5+D9</f>
        <v/>
      </c>
    </row>
    <row r="15">
      <c r="A15" s="3" t="inlineStr">
        <is>
          <t>Initiative Bonus</t>
        </is>
      </c>
      <c r="B15" s="6">
        <f>D9</f>
        <v/>
      </c>
    </row>
    <row r="16">
      <c r="A16" s="3" t="inlineStr">
        <is>
          <t>Blade Bond (BB)</t>
        </is>
      </c>
      <c r="B16" s="6">
        <f>E9*5</f>
        <v/>
      </c>
    </row>
    <row r="17">
      <c r="A17" s="3" t="inlineStr">
        <is>
          <t>Sword Aura Value (SAV)</t>
        </is>
      </c>
      <c r="B17" s="6">
        <f>INT(A9+E9+G17/10)</f>
        <v/>
      </c>
    </row>
    <row r="18"/>
    <row r="19" ht="24" customHeight="1">
      <c r="A19" s="2" t="inlineStr">
        <is>
          <t>Key Skills</t>
        </is>
      </c>
      <c r="J19" s="3" t="inlineStr">
        <is>
          <t>Proficiency Bonus</t>
        </is>
      </c>
    </row>
    <row r="20">
      <c r="A20" s="5" t="inlineStr">
        <is>
          <t>Skill Name</t>
        </is>
      </c>
      <c r="B20" s="5" t="inlineStr">
        <is>
          <t>Proficiency</t>
        </is>
      </c>
      <c r="C20" s="5" t="inlineStr">
        <is>
          <t>Total Bonus</t>
        </is>
      </c>
      <c r="D20" s="5" t="inlineStr">
        <is>
          <t>Notes</t>
        </is>
      </c>
      <c r="E20" s="5" t="inlineStr"/>
      <c r="F20" s="5" t="inlineStr"/>
      <c r="G20" s="5" t="inlineStr"/>
      <c r="H20" s="5" t="inlineStr"/>
      <c r="J20" s="7" t="inlineStr">
        <is>
          <t>Unskilled</t>
        </is>
      </c>
      <c r="K20" s="7" t="n">
        <v>-2</v>
      </c>
    </row>
    <row r="21">
      <c r="A21" s="4" t="inlineStr">
        <is>
          <t>Medicine</t>
        </is>
      </c>
      <c r="B21" s="4" t="inlineStr">
        <is>
          <t>Kaiden</t>
        </is>
      </c>
      <c r="C21" s="6">
        <f>E9+VLOOKUP(B21,J20:K24,2,0)</f>
        <v/>
      </c>
      <c r="D21" s="8" t="inlineStr">
        <is>
          <t>Healing +50%</t>
        </is>
      </c>
      <c r="J21" s="7" t="inlineStr">
        <is>
          <t>Shoden</t>
        </is>
      </c>
      <c r="K21" s="7" t="n">
        <v>0</v>
      </c>
    </row>
    <row r="22">
      <c r="A22" s="4" t="inlineStr">
        <is>
          <t>Etiquette</t>
        </is>
      </c>
      <c r="B22" s="4" t="inlineStr">
        <is>
          <t>Kaiden</t>
        </is>
      </c>
      <c r="C22" s="6">
        <f>E9+VLOOKUP(B22,J20:K24,2,0)</f>
        <v/>
      </c>
      <c r="D22" s="8" t="inlineStr"/>
      <c r="J22" s="7" t="inlineStr">
        <is>
          <t>Chūden</t>
        </is>
      </c>
      <c r="K22" s="7" t="n">
        <v>2</v>
      </c>
    </row>
    <row r="23">
      <c r="A23" s="4" t="inlineStr">
        <is>
          <t>Persuasion</t>
        </is>
      </c>
      <c r="B23" s="4" t="inlineStr">
        <is>
          <t>Okuden</t>
        </is>
      </c>
      <c r="C23" s="6">
        <f>E9+VLOOKUP(B23,J20:K24,2,0)</f>
        <v/>
      </c>
      <c r="D23" s="8" t="inlineStr"/>
      <c r="J23" s="7" t="inlineStr">
        <is>
          <t>Okuden</t>
        </is>
      </c>
      <c r="K23" s="7" t="n">
        <v>4</v>
      </c>
    </row>
    <row r="24">
      <c r="A24" s="4" t="inlineStr">
        <is>
          <t>Athletics</t>
        </is>
      </c>
      <c r="B24" s="4" t="inlineStr">
        <is>
          <t>Chūden</t>
        </is>
      </c>
      <c r="C24" s="6">
        <f>B9+VLOOKUP(B24,J20:K24,2,0)</f>
        <v/>
      </c>
      <c r="D24" s="8" t="inlineStr"/>
      <c r="J24" s="7" t="inlineStr">
        <is>
          <t>Kaiden</t>
        </is>
      </c>
      <c r="K24" s="7" t="n">
        <v>6</v>
      </c>
    </row>
    <row r="25">
      <c r="A25" s="4" t="inlineStr">
        <is>
          <t>Insight</t>
        </is>
      </c>
      <c r="B25" s="4" t="inlineStr">
        <is>
          <t>Okuden</t>
        </is>
      </c>
      <c r="C25" s="6">
        <f>D9+VLOOKUP(B25,J20:K24,2,0)</f>
        <v/>
      </c>
      <c r="D25" s="8" t="inlineStr"/>
    </row>
    <row r="26">
      <c r="A26" s="4" t="inlineStr">
        <is>
          <t>Tea Ceremony</t>
        </is>
      </c>
      <c r="B26" s="4" t="inlineStr">
        <is>
          <t>Kaiden</t>
        </is>
      </c>
      <c r="C26" s="6">
        <f>A9+VLOOKUP(B26,J20:K24,2,0)</f>
        <v/>
      </c>
      <c r="D26" s="8" t="inlineStr"/>
    </row>
    <row r="27">
      <c r="A27" s="4" t="inlineStr">
        <is>
          <t>Alchemy</t>
        </is>
      </c>
      <c r="B27" s="4" t="inlineStr">
        <is>
          <t>Okuden</t>
        </is>
      </c>
      <c r="C27" s="6">
        <f>C9+VLOOKUP(B27,J20:K24,2,0)</f>
        <v/>
      </c>
      <c r="D27" s="8" t="inlineStr"/>
    </row>
    <row r="28"/>
    <row r="29" ht="24" customHeight="1">
      <c r="A29" s="2" t="inlineStr">
        <is>
          <t>Equipment &amp; Special Abilities</t>
        </is>
      </c>
    </row>
    <row r="30">
      <c r="A30" s="9" t="inlineStr">
        <is>
          <t>Pure Land Rosary (sacred implement)</t>
        </is>
      </c>
      <c r="B30" s="10" t="n"/>
      <c r="C30" s="10" t="n"/>
      <c r="D30" s="10" t="n"/>
      <c r="E30" s="11" t="n"/>
    </row>
    <row r="31">
      <c r="A31" s="9" t="inlineStr">
        <is>
          <t>Monk Robe (DV +1)</t>
        </is>
      </c>
      <c r="B31" s="10" t="n"/>
      <c r="C31" s="10" t="n"/>
      <c r="D31" s="10" t="n"/>
      <c r="E31" s="11" t="n"/>
    </row>
    <row r="32">
      <c r="A32" s="9" t="inlineStr">
        <is>
          <t>Medicine Box (full healing kit)</t>
        </is>
      </c>
      <c r="B32" s="10" t="n"/>
      <c r="C32" s="10" t="n"/>
      <c r="D32" s="10" t="n"/>
      <c r="E32" s="11" t="n"/>
    </row>
    <row r="33"/>
    <row r="34" ht="24" customHeight="1">
      <c r="A34" s="2" t="inlineStr">
        <is>
          <t>Special Abilities</t>
        </is>
      </c>
    </row>
    <row r="35">
      <c r="A35" s="9" t="inlineStr">
        <is>
          <t>Pure Land Healing: Area healing, restores HP = (Spirit value) × 3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9" t="inlineStr">
        <is>
          <t>Acalanātha Dharma Protector: Self DV +3, immune to mental effects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Sheep Clan Compassion: Sense the HP status of all allies in range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9" t="inlineStr">
        <is>
          <t>Grandmaster Wisdom: Can remove any abnormal status</t>
        </is>
      </c>
      <c r="B38" s="10" t="n"/>
      <c r="C38" s="10" t="n"/>
      <c r="D38" s="10" t="n"/>
      <c r="E38" s="10" t="n"/>
      <c r="F38" s="10" t="n"/>
      <c r="G38" s="10" t="n"/>
      <c r="H38" s="11" t="n"/>
    </row>
    <row r="39">
      <c r="A39" s="9" t="inlineStr">
        <is>
          <t>Karmic Retribution: +2d6 damage vs. evil creatures</t>
        </is>
      </c>
      <c r="B39" s="10" t="n"/>
      <c r="C39" s="10" t="n"/>
      <c r="D39" s="10" t="n"/>
      <c r="E39" s="10" t="n"/>
      <c r="F39" s="10" t="n"/>
      <c r="G39" s="10" t="n"/>
      <c r="H39" s="11" t="n"/>
    </row>
  </sheetData>
  <mergeCells count="15">
    <mergeCell ref="A30:E30"/>
    <mergeCell ref="A3:H3"/>
    <mergeCell ref="A39:H39"/>
    <mergeCell ref="A29:H29"/>
    <mergeCell ref="A7:H7"/>
    <mergeCell ref="A35:H35"/>
    <mergeCell ref="A38:H38"/>
    <mergeCell ref="A19:H19"/>
    <mergeCell ref="A11:H11"/>
    <mergeCell ref="A32:E32"/>
    <mergeCell ref="A36:H36"/>
    <mergeCell ref="A1:H1"/>
    <mergeCell ref="A37:H37"/>
    <mergeCell ref="A31:E31"/>
    <mergeCell ref="A34:H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Beastman Warring States TRPG NPC — Hōōin Mitsuteru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Hōōin Mitsuteru</t>
        </is>
      </c>
      <c r="C4" s="3" t="inlineStr">
        <is>
          <t>Clan</t>
        </is>
      </c>
      <c r="D4" s="4" t="inlineStr">
        <is>
          <t>Rooster Clan</t>
        </is>
      </c>
      <c r="E4" s="3" t="inlineStr">
        <is>
          <t>School</t>
        </is>
      </c>
      <c r="F4" s="4" t="inlineStr">
        <is>
          <t>Phoenix Style</t>
        </is>
      </c>
      <c r="G4" s="3" t="inlineStr">
        <is>
          <t>Level</t>
        </is>
      </c>
      <c r="H4" s="4" t="n">
        <v>15</v>
      </c>
    </row>
    <row r="5">
      <c r="A5" s="3" t="inlineStr">
        <is>
          <t>Title / Status</t>
        </is>
      </c>
      <c r="B5" s="4" t="inlineStr">
        <is>
          <t>Rooster Clan Archery Master · Phoenix Style Grandmaster</t>
        </is>
      </c>
      <c r="C5" s="3" t="inlineStr">
        <is>
          <t>Loyalty To</t>
        </is>
      </c>
      <c r="D5" s="4" t="inlineStr">
        <is>
          <t>Rooster Clan &amp; Phoenix Style Legacy</t>
        </is>
      </c>
    </row>
    <row r="6"/>
    <row r="7" ht="24" customHeight="1">
      <c r="A7" s="2" t="inlineStr">
        <is>
          <t>Five Core Attributes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7</v>
      </c>
      <c r="B9" s="6" t="n">
        <v>5</v>
      </c>
      <c r="C9" s="6" t="n">
        <v>8</v>
      </c>
      <c r="D9" s="6" t="n">
        <v>10</v>
      </c>
      <c r="E9" s="6" t="n">
        <v>9</v>
      </c>
    </row>
    <row r="10"/>
    <row r="11" ht="24" customHeight="1">
      <c r="A11" s="2" t="inlineStr">
        <is>
          <t>Derived Stats (Auto-Calculated)</t>
        </is>
      </c>
    </row>
    <row r="12">
      <c r="A12" s="3" t="inlineStr">
        <is>
          <t>Hit Points (HP)</t>
        </is>
      </c>
      <c r="B12" s="6">
        <f>B9*5+15*3</f>
        <v/>
      </c>
      <c r="E12" s="3" t="inlineStr">
        <is>
          <t>Current HP</t>
        </is>
      </c>
      <c r="F12" s="4" t="inlineStr"/>
    </row>
    <row r="13">
      <c r="A13" s="3" t="inlineStr">
        <is>
          <t>Defense Value (DV)</t>
        </is>
      </c>
      <c r="B13" s="6">
        <f>10+D9+G13</f>
        <v/>
      </c>
      <c r="G13" s="4" t="inlineStr"/>
    </row>
    <row r="14">
      <c r="A14" s="3" t="inlineStr">
        <is>
          <t>Movement (MOVE)</t>
        </is>
      </c>
      <c r="B14" s="6">
        <f>5+D9</f>
        <v/>
      </c>
    </row>
    <row r="15">
      <c r="A15" s="3" t="inlineStr">
        <is>
          <t>Initiative Bonus</t>
        </is>
      </c>
      <c r="B15" s="6">
        <f>D9</f>
        <v/>
      </c>
    </row>
    <row r="16">
      <c r="A16" s="3" t="inlineStr">
        <is>
          <t>Blade Bond (BB)</t>
        </is>
      </c>
      <c r="B16" s="6">
        <f>E9*5</f>
        <v/>
      </c>
    </row>
    <row r="17">
      <c r="A17" s="3" t="inlineStr">
        <is>
          <t>Sword Aura Value (SAV)</t>
        </is>
      </c>
      <c r="B17" s="6">
        <f>INT(A9+E9+G17/10)</f>
        <v/>
      </c>
    </row>
    <row r="18"/>
    <row r="19" ht="24" customHeight="1">
      <c r="A19" s="2" t="inlineStr">
        <is>
          <t>Key Skills</t>
        </is>
      </c>
      <c r="J19" s="3" t="inlineStr">
        <is>
          <t>Proficiency Bonus</t>
        </is>
      </c>
    </row>
    <row r="20">
      <c r="A20" s="5" t="inlineStr">
        <is>
          <t>Skill Name</t>
        </is>
      </c>
      <c r="B20" s="5" t="inlineStr">
        <is>
          <t>Proficiency</t>
        </is>
      </c>
      <c r="C20" s="5" t="inlineStr">
        <is>
          <t>Total Bonus</t>
        </is>
      </c>
      <c r="D20" s="5" t="inlineStr">
        <is>
          <t>Notes</t>
        </is>
      </c>
      <c r="E20" s="5" t="inlineStr"/>
      <c r="F20" s="5" t="inlineStr"/>
      <c r="G20" s="5" t="inlineStr"/>
      <c r="H20" s="5" t="inlineStr"/>
      <c r="J20" s="7" t="inlineStr">
        <is>
          <t>Unskilled</t>
        </is>
      </c>
      <c r="K20" s="7" t="n">
        <v>-2</v>
      </c>
    </row>
    <row r="21">
      <c r="A21" s="4" t="inlineStr">
        <is>
          <t>Archery</t>
        </is>
      </c>
      <c r="B21" s="4" t="inlineStr">
        <is>
          <t>Kaiden</t>
        </is>
      </c>
      <c r="C21" s="6">
        <f>D9+VLOOKUP(B21,J20:K24,2,0)</f>
        <v/>
      </c>
      <c r="D21" s="8" t="inlineStr">
        <is>
          <t>Phoenix Style archery +2 to hit</t>
        </is>
      </c>
      <c r="J21" s="7" t="inlineStr">
        <is>
          <t>Shoden</t>
        </is>
      </c>
      <c r="K21" s="7" t="n">
        <v>0</v>
      </c>
    </row>
    <row r="22">
      <c r="A22" s="4" t="inlineStr">
        <is>
          <t>Etiquette</t>
        </is>
      </c>
      <c r="B22" s="4" t="inlineStr">
        <is>
          <t>Okuden</t>
        </is>
      </c>
      <c r="C22" s="6">
        <f>E9+VLOOKUP(B22,J20:K24,2,0)</f>
        <v/>
      </c>
      <c r="D22" s="8" t="inlineStr"/>
      <c r="J22" s="7" t="inlineStr">
        <is>
          <t>Chūden</t>
        </is>
      </c>
      <c r="K22" s="7" t="n">
        <v>2</v>
      </c>
    </row>
    <row r="23">
      <c r="A23" s="4" t="inlineStr">
        <is>
          <t>Insight</t>
        </is>
      </c>
      <c r="B23" s="4" t="inlineStr">
        <is>
          <t>Okuden</t>
        </is>
      </c>
      <c r="C23" s="6">
        <f>D9+VLOOKUP(B23,J20:K24,2,0)</f>
        <v/>
      </c>
      <c r="D23" s="8" t="inlineStr"/>
      <c r="J23" s="7" t="inlineStr">
        <is>
          <t>Okuden</t>
        </is>
      </c>
      <c r="K23" s="7" t="n">
        <v>4</v>
      </c>
    </row>
    <row r="24">
      <c r="A24" s="4" t="inlineStr">
        <is>
          <t>Perception</t>
        </is>
      </c>
      <c r="B24" s="4" t="inlineStr">
        <is>
          <t>Okuden</t>
        </is>
      </c>
      <c r="C24" s="6">
        <f>D9+VLOOKUP(B24,J20:K24,2,0)</f>
        <v/>
      </c>
      <c r="D24" s="8" t="inlineStr"/>
      <c r="J24" s="7" t="inlineStr">
        <is>
          <t>Kaiden</t>
        </is>
      </c>
      <c r="K24" s="7" t="n">
        <v>6</v>
      </c>
    </row>
    <row r="25">
      <c r="A25" s="4" t="inlineStr">
        <is>
          <t>Persuasion</t>
        </is>
      </c>
      <c r="B25" s="4" t="inlineStr">
        <is>
          <t>Chūden</t>
        </is>
      </c>
      <c r="C25" s="6">
        <f>E9+VLOOKUP(B25,J20:K24,2,0)</f>
        <v/>
      </c>
      <c r="D25" s="8" t="inlineStr"/>
    </row>
    <row r="26">
      <c r="A26" s="4" t="inlineStr">
        <is>
          <t>Intimidation</t>
        </is>
      </c>
      <c r="B26" s="4" t="inlineStr">
        <is>
          <t>Chūden</t>
        </is>
      </c>
      <c r="C26" s="6">
        <f>E9+VLOOKUP(B26,J20:K24,2,0)</f>
        <v/>
      </c>
      <c r="D26" s="8" t="inlineStr"/>
    </row>
    <row r="27">
      <c r="A27" s="4" t="inlineStr">
        <is>
          <t>Tactics</t>
        </is>
      </c>
      <c r="B27" s="4" t="inlineStr">
        <is>
          <t>Chūden</t>
        </is>
      </c>
      <c r="C27" s="6">
        <f>A9+VLOOKUP(B27,J20:K24,2,0)</f>
        <v/>
      </c>
      <c r="D27" s="8" t="inlineStr"/>
    </row>
    <row r="28"/>
    <row r="29" ht="24" customHeight="1">
      <c r="A29" s="2" t="inlineStr">
        <is>
          <t>Equipment &amp; Special Abilities</t>
        </is>
      </c>
    </row>
    <row r="30">
      <c r="A30" s="9" t="inlineStr">
        <is>
          <t>Phoenix Longbow (Legendary, extreme range)</t>
        </is>
      </c>
      <c r="B30" s="10" t="n"/>
      <c r="C30" s="10" t="n"/>
      <c r="D30" s="10" t="n"/>
      <c r="E30" s="11" t="n"/>
    </row>
    <row r="31">
      <c r="A31" s="9" t="inlineStr">
        <is>
          <t>Feather Robe Light Armor (DV +3, no movement penalty)</t>
        </is>
      </c>
      <c r="B31" s="10" t="n"/>
      <c r="C31" s="10" t="n"/>
      <c r="D31" s="10" t="n"/>
      <c r="E31" s="11" t="n"/>
    </row>
    <row r="32"/>
    <row r="33" ht="24" customHeight="1">
      <c r="A33" s="2" t="inlineStr">
        <is>
          <t>Special Abilities</t>
        </is>
      </c>
    </row>
    <row r="34">
      <c r="A34" s="9" t="inlineStr">
        <is>
          <t>Phoenix Arrow: Spend 5 Blade Aura; ranged attack always hits and crits</t>
        </is>
      </c>
      <c r="B34" s="10" t="n"/>
      <c r="C34" s="10" t="n"/>
      <c r="D34" s="10" t="n"/>
      <c r="E34" s="10" t="n"/>
      <c r="F34" s="10" t="n"/>
      <c r="G34" s="10" t="n"/>
      <c r="H34" s="11" t="n"/>
    </row>
    <row r="35">
      <c r="A35" s="9" t="inlineStr">
        <is>
          <t>Fire Feather Scatter: Ranged attack against all enemies in range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9" t="inlineStr">
        <is>
          <t>Rooster Clan Dawn Call: Whole party Initiative +2 at start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Grandmaster Arrow: Ranged attacks ignore cover</t>
        </is>
      </c>
      <c r="B37" s="10" t="n"/>
      <c r="C37" s="10" t="n"/>
      <c r="D37" s="10" t="n"/>
      <c r="E37" s="10" t="n"/>
      <c r="F37" s="10" t="n"/>
      <c r="G37" s="10" t="n"/>
      <c r="H37" s="11" t="n"/>
    </row>
  </sheetData>
  <mergeCells count="13">
    <mergeCell ref="A30:E30"/>
    <mergeCell ref="A3:H3"/>
    <mergeCell ref="A29:H29"/>
    <mergeCell ref="A7:H7"/>
    <mergeCell ref="A35:H35"/>
    <mergeCell ref="A19:H19"/>
    <mergeCell ref="A11:H11"/>
    <mergeCell ref="A33:H33"/>
    <mergeCell ref="A36:H36"/>
    <mergeCell ref="A1:H1"/>
    <mergeCell ref="A37:H37"/>
    <mergeCell ref="A31:E31"/>
    <mergeCell ref="A34:H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Beastman Warring States TRPG NPC — Hebime Chiyo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Hebime Chiyo</t>
        </is>
      </c>
      <c r="C4" s="3" t="inlineStr">
        <is>
          <t>Clan</t>
        </is>
      </c>
      <c r="D4" s="4" t="inlineStr">
        <is>
          <t>Snake Clan</t>
        </is>
      </c>
      <c r="E4" s="3" t="inlineStr">
        <is>
          <t>School</t>
        </is>
      </c>
      <c r="F4" s="4" t="inlineStr">
        <is>
          <t>Snake Bite Style</t>
        </is>
      </c>
      <c r="G4" s="3" t="inlineStr">
        <is>
          <t>Level</t>
        </is>
      </c>
      <c r="H4" s="4" t="n">
        <v>15</v>
      </c>
    </row>
    <row r="5">
      <c r="A5" s="3" t="inlineStr">
        <is>
          <t>Title / Status</t>
        </is>
      </c>
      <c r="B5" s="4" t="inlineStr">
        <is>
          <t>Snake Clan Daimyō · Snake Bite Style Grandmaster</t>
        </is>
      </c>
      <c r="C5" s="3" t="inlineStr">
        <is>
          <t>Loyalty To</t>
        </is>
      </c>
      <c r="D5" s="4" t="inlineStr">
        <is>
          <t>Snake Clan &amp; Own Ambition</t>
        </is>
      </c>
    </row>
    <row r="6"/>
    <row r="7" ht="24" customHeight="1">
      <c r="A7" s="2" t="inlineStr">
        <is>
          <t>Five Core Attributes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9</v>
      </c>
      <c r="B9" s="6" t="n">
        <v>6</v>
      </c>
      <c r="C9" s="6" t="n">
        <v>10</v>
      </c>
      <c r="D9" s="6" t="n">
        <v>10</v>
      </c>
      <c r="E9" s="6" t="n">
        <v>8</v>
      </c>
    </row>
    <row r="10"/>
    <row r="11" ht="24" customHeight="1">
      <c r="A11" s="2" t="inlineStr">
        <is>
          <t>Derived Stats (Auto-Calculated)</t>
        </is>
      </c>
    </row>
    <row r="12">
      <c r="A12" s="3" t="inlineStr">
        <is>
          <t>Hit Points (HP)</t>
        </is>
      </c>
      <c r="B12" s="6">
        <f>B9*5+15*3</f>
        <v/>
      </c>
      <c r="E12" s="3" t="inlineStr">
        <is>
          <t>Current HP</t>
        </is>
      </c>
      <c r="F12" s="4" t="inlineStr"/>
    </row>
    <row r="13">
      <c r="A13" s="3" t="inlineStr">
        <is>
          <t>Defense Value (DV)</t>
        </is>
      </c>
      <c r="B13" s="6">
        <f>10+D9+G13</f>
        <v/>
      </c>
      <c r="G13" s="4" t="inlineStr"/>
    </row>
    <row r="14">
      <c r="A14" s="3" t="inlineStr">
        <is>
          <t>Movement (MOVE)</t>
        </is>
      </c>
      <c r="B14" s="6">
        <f>5+D9</f>
        <v/>
      </c>
    </row>
    <row r="15">
      <c r="A15" s="3" t="inlineStr">
        <is>
          <t>Initiative Bonus</t>
        </is>
      </c>
      <c r="B15" s="6">
        <f>D9</f>
        <v/>
      </c>
    </row>
    <row r="16">
      <c r="A16" s="3" t="inlineStr">
        <is>
          <t>Blade Bond (BB)</t>
        </is>
      </c>
      <c r="B16" s="6">
        <f>E9*5</f>
        <v/>
      </c>
    </row>
    <row r="17">
      <c r="A17" s="3" t="inlineStr">
        <is>
          <t>Sword Aura Value (SAV)</t>
        </is>
      </c>
      <c r="B17" s="6">
        <f>INT(A9+E9+G17/10)</f>
        <v/>
      </c>
    </row>
    <row r="18"/>
    <row r="19" ht="24" customHeight="1">
      <c r="A19" s="2" t="inlineStr">
        <is>
          <t>Key Skills</t>
        </is>
      </c>
      <c r="J19" s="3" t="inlineStr">
        <is>
          <t>Proficiency Bonus</t>
        </is>
      </c>
    </row>
    <row r="20">
      <c r="A20" s="5" t="inlineStr">
        <is>
          <t>Skill Name</t>
        </is>
      </c>
      <c r="B20" s="5" t="inlineStr">
        <is>
          <t>Proficiency</t>
        </is>
      </c>
      <c r="C20" s="5" t="inlineStr">
        <is>
          <t>Total Bonus</t>
        </is>
      </c>
      <c r="D20" s="5" t="inlineStr">
        <is>
          <t>Notes</t>
        </is>
      </c>
      <c r="E20" s="5" t="inlineStr"/>
      <c r="F20" s="5" t="inlineStr"/>
      <c r="G20" s="5" t="inlineStr"/>
      <c r="H20" s="5" t="inlineStr"/>
      <c r="J20" s="7" t="inlineStr">
        <is>
          <t>Unskilled</t>
        </is>
      </c>
      <c r="K20" s="7" t="n">
        <v>-2</v>
      </c>
    </row>
    <row r="21">
      <c r="A21" s="4" t="inlineStr">
        <is>
          <t>Blade Technique</t>
        </is>
      </c>
      <c r="B21" s="4" t="inlineStr">
        <is>
          <t>Okuden</t>
        </is>
      </c>
      <c r="C21" s="6">
        <f>A9+VLOOKUP(B21,J20:K24,2,0)</f>
        <v/>
      </c>
      <c r="D21" s="8" t="inlineStr">
        <is>
          <t>Snake Bite Style attacks apply venom</t>
        </is>
      </c>
      <c r="J21" s="7" t="inlineStr">
        <is>
          <t>Shoden</t>
        </is>
      </c>
      <c r="K21" s="7" t="n">
        <v>0</v>
      </c>
    </row>
    <row r="22">
      <c r="A22" s="4" t="inlineStr">
        <is>
          <t>Stealth</t>
        </is>
      </c>
      <c r="B22" s="4" t="inlineStr">
        <is>
          <t>Kaiden</t>
        </is>
      </c>
      <c r="C22" s="6">
        <f>D9+VLOOKUP(B22,J20:K24,2,0)</f>
        <v/>
      </c>
      <c r="D22" s="8" t="inlineStr"/>
      <c r="J22" s="7" t="inlineStr">
        <is>
          <t>Chūden</t>
        </is>
      </c>
      <c r="K22" s="7" t="n">
        <v>2</v>
      </c>
    </row>
    <row r="23">
      <c r="A23" s="4" t="inlineStr">
        <is>
          <t>Deception</t>
        </is>
      </c>
      <c r="B23" s="4" t="inlineStr">
        <is>
          <t>Okuden</t>
        </is>
      </c>
      <c r="C23" s="6">
        <f>A9+VLOOKUP(B23,J20:K24,2,0)</f>
        <v/>
      </c>
      <c r="D23" s="8" t="inlineStr"/>
      <c r="J23" s="7" t="inlineStr">
        <is>
          <t>Okuden</t>
        </is>
      </c>
      <c r="K23" s="7" t="n">
        <v>4</v>
      </c>
    </row>
    <row r="24">
      <c r="A24" s="4" t="inlineStr">
        <is>
          <t>Intimidation</t>
        </is>
      </c>
      <c r="B24" s="4" t="inlineStr">
        <is>
          <t>Okuden</t>
        </is>
      </c>
      <c r="C24" s="6">
        <f>E9+VLOOKUP(B24,J20:K24,2,0)</f>
        <v/>
      </c>
      <c r="D24" s="8" t="inlineStr"/>
      <c r="J24" s="7" t="inlineStr">
        <is>
          <t>Kaiden</t>
        </is>
      </c>
      <c r="K24" s="7" t="n">
        <v>6</v>
      </c>
    </row>
    <row r="25">
      <c r="A25" s="4" t="inlineStr">
        <is>
          <t>Insight</t>
        </is>
      </c>
      <c r="B25" s="4" t="inlineStr">
        <is>
          <t>Okuden</t>
        </is>
      </c>
      <c r="C25" s="6">
        <f>D9+VLOOKUP(B25,J20:K24,2,0)</f>
        <v/>
      </c>
      <c r="D25" s="8" t="inlineStr"/>
    </row>
    <row r="26">
      <c r="A26" s="4" t="inlineStr">
        <is>
          <t>Perception</t>
        </is>
      </c>
      <c r="B26" s="4" t="inlineStr">
        <is>
          <t>Okuden</t>
        </is>
      </c>
      <c r="C26" s="6">
        <f>D9+VLOOKUP(B26,J20:K24,2,0)</f>
        <v/>
      </c>
      <c r="D26" s="8" t="inlineStr"/>
    </row>
    <row r="27">
      <c r="A27" s="4" t="inlineStr">
        <is>
          <t>Alchemy</t>
        </is>
      </c>
      <c r="B27" s="4" t="inlineStr">
        <is>
          <t>Okuden</t>
        </is>
      </c>
      <c r="C27" s="6">
        <f>C9+VLOOKUP(B27,J20:K24,2,0)</f>
        <v/>
      </c>
      <c r="D27" s="8" t="inlineStr"/>
    </row>
    <row r="28"/>
    <row r="29" ht="24" customHeight="1">
      <c r="A29" s="2" t="inlineStr">
        <is>
          <t>Equipment &amp; Special Abilities</t>
        </is>
      </c>
    </row>
    <row r="30">
      <c r="A30" s="9" t="inlineStr">
        <is>
          <t>Snake Bite Poison Blade (venom applied)</t>
        </is>
      </c>
      <c r="B30" s="10" t="n"/>
      <c r="C30" s="10" t="n"/>
      <c r="D30" s="10" t="n"/>
      <c r="E30" s="11" t="n"/>
    </row>
    <row r="31">
      <c r="A31" s="9" t="inlineStr">
        <is>
          <t>Snake Scale Garb (DV +3, darkvision)</t>
        </is>
      </c>
      <c r="B31" s="10" t="n"/>
      <c r="C31" s="10" t="n"/>
      <c r="D31" s="10" t="n"/>
      <c r="E31" s="11" t="n"/>
    </row>
    <row r="32"/>
    <row r="33" ht="24" customHeight="1">
      <c r="A33" s="2" t="inlineStr">
        <is>
          <t>Special Abilities</t>
        </is>
      </c>
    </row>
    <row r="34">
      <c r="A34" s="9" t="inlineStr">
        <is>
          <t>Snake Venom Bite: After a hit, target must make a Physique save or be poisoned (1d6 damage/round)</t>
        </is>
      </c>
      <c r="B34" s="10" t="n"/>
      <c r="C34" s="10" t="n"/>
      <c r="D34" s="10" t="n"/>
      <c r="E34" s="10" t="n"/>
      <c r="F34" s="10" t="n"/>
      <c r="G34" s="10" t="n"/>
      <c r="H34" s="11" t="n"/>
    </row>
    <row r="35">
      <c r="A35" s="9" t="inlineStr">
        <is>
          <t>Serpentine Shadow: Stealth movement does not provoke opportunity attacks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9" t="inlineStr">
        <is>
          <t>Snake Clan Hypnosis: Can hypnotize on eye contact (Spirit contest)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Poison Immunity: Immune to all poison effects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9" t="inlineStr">
        <is>
          <t>Shadow Step: Can move ignoring obstacles</t>
        </is>
      </c>
      <c r="B38" s="10" t="n"/>
      <c r="C38" s="10" t="n"/>
      <c r="D38" s="10" t="n"/>
      <c r="E38" s="10" t="n"/>
      <c r="F38" s="10" t="n"/>
      <c r="G38" s="10" t="n"/>
      <c r="H38" s="11" t="n"/>
    </row>
  </sheetData>
  <mergeCells count="14">
    <mergeCell ref="A30:E30"/>
    <mergeCell ref="A3:H3"/>
    <mergeCell ref="A29:H29"/>
    <mergeCell ref="A7:H7"/>
    <mergeCell ref="A35:H35"/>
    <mergeCell ref="A38:H38"/>
    <mergeCell ref="A19:H19"/>
    <mergeCell ref="A11:H11"/>
    <mergeCell ref="A33:H33"/>
    <mergeCell ref="A36:H36"/>
    <mergeCell ref="A1:H1"/>
    <mergeCell ref="A37:H37"/>
    <mergeCell ref="A31:E31"/>
    <mergeCell ref="A34:H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Beastman Warring States TRPG NPC — Nezumi Kozō</t>
        </is>
      </c>
    </row>
    <row r="2"/>
    <row r="3" ht="24" customHeight="1">
      <c r="A3" s="2" t="inlineStr">
        <is>
          <t>Basic Info</t>
        </is>
      </c>
    </row>
    <row r="4">
      <c r="A4" s="3" t="inlineStr">
        <is>
          <t>Name</t>
        </is>
      </c>
      <c r="B4" s="4" t="inlineStr">
        <is>
          <t>Nezumi Kozō</t>
        </is>
      </c>
      <c r="C4" s="3" t="inlineStr">
        <is>
          <t>Clan</t>
        </is>
      </c>
      <c r="D4" s="4" t="inlineStr">
        <is>
          <t>Rat Clan</t>
        </is>
      </c>
      <c r="E4" s="3" t="inlineStr">
        <is>
          <t>School</t>
        </is>
      </c>
      <c r="F4" s="4" t="inlineStr">
        <is>
          <t>Shadowmeld Style</t>
        </is>
      </c>
      <c r="G4" s="3" t="inlineStr">
        <is>
          <t>Level</t>
        </is>
      </c>
      <c r="H4" s="4" t="n">
        <v>10</v>
      </c>
    </row>
    <row r="5">
      <c r="A5" s="3" t="inlineStr">
        <is>
          <t>Title / Status</t>
        </is>
      </c>
      <c r="B5" s="4" t="inlineStr">
        <is>
          <t>Rat Clan Ninja · Shadowmeld Style Adept</t>
        </is>
      </c>
      <c r="C5" s="3" t="inlineStr">
        <is>
          <t>Loyalty To</t>
        </is>
      </c>
      <c r="D5" s="4" t="inlineStr">
        <is>
          <t>Highest Bidder</t>
        </is>
      </c>
    </row>
    <row r="6"/>
    <row r="7" ht="24" customHeight="1">
      <c r="A7" s="2" t="inlineStr">
        <is>
          <t>Five Core Attributes</t>
        </is>
      </c>
    </row>
    <row r="8">
      <c r="A8" s="5" t="inlineStr">
        <is>
          <t>Swordsmanship (SWM)</t>
        </is>
      </c>
      <c r="B8" s="5" t="inlineStr">
        <is>
          <t>Physique (PHY)</t>
        </is>
      </c>
      <c r="C8" s="5" t="inlineStr">
        <is>
          <t>Yokai Power (YP)</t>
        </is>
      </c>
      <c r="D8" s="5" t="inlineStr">
        <is>
          <t>Agility (AGI)</t>
        </is>
      </c>
      <c r="E8" s="5" t="inlineStr">
        <is>
          <t>Spirit (SPT)</t>
        </is>
      </c>
    </row>
    <row r="9">
      <c r="A9" s="6" t="n">
        <v>6</v>
      </c>
      <c r="B9" s="6" t="n">
        <v>4</v>
      </c>
      <c r="C9" s="6" t="n">
        <v>5</v>
      </c>
      <c r="D9" s="6" t="n">
        <v>10</v>
      </c>
      <c r="E9" s="6" t="n">
        <v>7</v>
      </c>
    </row>
    <row r="10"/>
    <row r="11" ht="24" customHeight="1">
      <c r="A11" s="2" t="inlineStr">
        <is>
          <t>Derived Stats (Auto-Calculated)</t>
        </is>
      </c>
    </row>
    <row r="12">
      <c r="A12" s="3" t="inlineStr">
        <is>
          <t>Hit Points (HP)</t>
        </is>
      </c>
      <c r="B12" s="6">
        <f>B9*5+10*3</f>
        <v/>
      </c>
      <c r="E12" s="3" t="inlineStr">
        <is>
          <t>Current HP</t>
        </is>
      </c>
      <c r="F12" s="4" t="inlineStr"/>
    </row>
    <row r="13">
      <c r="A13" s="3" t="inlineStr">
        <is>
          <t>Defense Value (DV)</t>
        </is>
      </c>
      <c r="B13" s="6">
        <f>10+D9+G13</f>
        <v/>
      </c>
      <c r="G13" s="4" t="inlineStr"/>
    </row>
    <row r="14">
      <c r="A14" s="3" t="inlineStr">
        <is>
          <t>Movement (MOVE)</t>
        </is>
      </c>
      <c r="B14" s="6">
        <f>5+D9</f>
        <v/>
      </c>
    </row>
    <row r="15">
      <c r="A15" s="3" t="inlineStr">
        <is>
          <t>Initiative Bonus</t>
        </is>
      </c>
      <c r="B15" s="6">
        <f>D9</f>
        <v/>
      </c>
    </row>
    <row r="16">
      <c r="A16" s="3" t="inlineStr">
        <is>
          <t>Blade Bond (BB)</t>
        </is>
      </c>
      <c r="B16" s="6">
        <f>E9*5</f>
        <v/>
      </c>
    </row>
    <row r="17">
      <c r="A17" s="3" t="inlineStr">
        <is>
          <t>Sword Aura Value (SAV)</t>
        </is>
      </c>
      <c r="B17" s="6">
        <f>INT(A9+E9+G17/10)</f>
        <v/>
      </c>
    </row>
    <row r="18"/>
    <row r="19" ht="24" customHeight="1">
      <c r="A19" s="2" t="inlineStr">
        <is>
          <t>Key Skills</t>
        </is>
      </c>
      <c r="J19" s="3" t="inlineStr">
        <is>
          <t>Proficiency Bonus</t>
        </is>
      </c>
    </row>
    <row r="20">
      <c r="A20" s="5" t="inlineStr">
        <is>
          <t>Skill Name</t>
        </is>
      </c>
      <c r="B20" s="5" t="inlineStr">
        <is>
          <t>Proficiency</t>
        </is>
      </c>
      <c r="C20" s="5" t="inlineStr">
        <is>
          <t>Total Bonus</t>
        </is>
      </c>
      <c r="D20" s="5" t="inlineStr">
        <is>
          <t>Notes</t>
        </is>
      </c>
      <c r="E20" s="5" t="inlineStr"/>
      <c r="F20" s="5" t="inlineStr"/>
      <c r="G20" s="5" t="inlineStr"/>
      <c r="H20" s="5" t="inlineStr"/>
      <c r="J20" s="7" t="inlineStr">
        <is>
          <t>Unskilled</t>
        </is>
      </c>
      <c r="K20" s="7" t="n">
        <v>-2</v>
      </c>
    </row>
    <row r="21">
      <c r="A21" s="4" t="inlineStr">
        <is>
          <t>Stealth</t>
        </is>
      </c>
      <c r="B21" s="4" t="inlineStr">
        <is>
          <t>Kaiden</t>
        </is>
      </c>
      <c r="C21" s="6">
        <f>D9+VLOOKUP(B21,J20:K24,2,0)</f>
        <v/>
      </c>
      <c r="D21" s="8" t="inlineStr">
        <is>
          <t>Silent while stealthing</t>
        </is>
      </c>
      <c r="J21" s="7" t="inlineStr">
        <is>
          <t>Shoden</t>
        </is>
      </c>
      <c r="K21" s="7" t="n">
        <v>0</v>
      </c>
    </row>
    <row r="22">
      <c r="A22" s="4" t="inlineStr">
        <is>
          <t>Mechanisms</t>
        </is>
      </c>
      <c r="B22" s="4" t="inlineStr">
        <is>
          <t>Okuden</t>
        </is>
      </c>
      <c r="C22" s="6">
        <f>D9+VLOOKUP(B22,J20:K24,2,0)</f>
        <v/>
      </c>
      <c r="D22" s="8" t="inlineStr"/>
      <c r="J22" s="7" t="inlineStr">
        <is>
          <t>Chūden</t>
        </is>
      </c>
      <c r="K22" s="7" t="n">
        <v>2</v>
      </c>
    </row>
    <row r="23">
      <c r="A23" s="4" t="inlineStr">
        <is>
          <t>Perception</t>
        </is>
      </c>
      <c r="B23" s="4" t="inlineStr">
        <is>
          <t>Okuden</t>
        </is>
      </c>
      <c r="C23" s="6">
        <f>D9+VLOOKUP(B23,J20:K24,2,0)</f>
        <v/>
      </c>
      <c r="D23" s="8" t="inlineStr"/>
      <c r="J23" s="7" t="inlineStr">
        <is>
          <t>Okuden</t>
        </is>
      </c>
      <c r="K23" s="7" t="n">
        <v>4</v>
      </c>
    </row>
    <row r="24">
      <c r="A24" s="4" t="inlineStr">
        <is>
          <t>Athletics</t>
        </is>
      </c>
      <c r="B24" s="4" t="inlineStr">
        <is>
          <t>Chūden</t>
        </is>
      </c>
      <c r="C24" s="6">
        <f>B9+VLOOKUP(B24,J20:K24,2,0)</f>
        <v/>
      </c>
      <c r="D24" s="8" t="inlineStr"/>
      <c r="J24" s="7" t="inlineStr">
        <is>
          <t>Kaiden</t>
        </is>
      </c>
      <c r="K24" s="7" t="n">
        <v>6</v>
      </c>
    </row>
    <row r="25">
      <c r="A25" s="4" t="inlineStr">
        <is>
          <t>Climbing</t>
        </is>
      </c>
      <c r="B25" s="4" t="inlineStr">
        <is>
          <t>Okuden</t>
        </is>
      </c>
      <c r="C25" s="6">
        <f>A9+VLOOKUP(B25,J20:K24,2,0)</f>
        <v/>
      </c>
      <c r="D25" s="8" t="inlineStr"/>
    </row>
    <row r="26">
      <c r="A26" s="4" t="inlineStr">
        <is>
          <t>Deception</t>
        </is>
      </c>
      <c r="B26" s="4" t="inlineStr">
        <is>
          <t>Chūden</t>
        </is>
      </c>
      <c r="C26" s="6">
        <f>A9+VLOOKUP(B26,J20:K24,2,0)</f>
        <v/>
      </c>
      <c r="D26" s="8" t="inlineStr"/>
    </row>
    <row r="27">
      <c r="A27" s="4" t="inlineStr">
        <is>
          <t>Insight</t>
        </is>
      </c>
      <c r="B27" s="4" t="inlineStr">
        <is>
          <t>Chūden</t>
        </is>
      </c>
      <c r="C27" s="6">
        <f>D9+VLOOKUP(B27,J20:K24,2,0)</f>
        <v/>
      </c>
      <c r="D27" s="8" t="inlineStr"/>
    </row>
    <row r="28"/>
    <row r="29" ht="24" customHeight="1">
      <c r="A29" s="2" t="inlineStr">
        <is>
          <t>Equipment &amp; Special Abilities</t>
        </is>
      </c>
    </row>
    <row r="30">
      <c r="A30" s="9" t="inlineStr">
        <is>
          <t>Ninja Blade (short sword)</t>
        </is>
      </c>
      <c r="B30" s="10" t="n"/>
      <c r="C30" s="10" t="n"/>
      <c r="D30" s="10" t="n"/>
      <c r="E30" s="11" t="n"/>
    </row>
    <row r="31">
      <c r="A31" s="9" t="inlineStr">
        <is>
          <t>Shuriken ×20</t>
        </is>
      </c>
      <c r="B31" s="10" t="n"/>
      <c r="C31" s="10" t="n"/>
      <c r="D31" s="10" t="n"/>
      <c r="E31" s="11" t="n"/>
    </row>
    <row r="32">
      <c r="A32" s="9" t="inlineStr">
        <is>
          <t>Smoke Bomb ×5</t>
        </is>
      </c>
      <c r="B32" s="10" t="n"/>
      <c r="C32" s="10" t="n"/>
      <c r="D32" s="10" t="n"/>
      <c r="E32" s="11" t="n"/>
    </row>
    <row r="33">
      <c r="A33" s="9" t="inlineStr">
        <is>
          <t>Grappling Hook</t>
        </is>
      </c>
      <c r="B33" s="10" t="n"/>
      <c r="C33" s="10" t="n"/>
      <c r="D33" s="10" t="n"/>
      <c r="E33" s="11" t="n"/>
    </row>
    <row r="34"/>
    <row r="35" ht="24" customHeight="1">
      <c r="A35" s="2" t="inlineStr">
        <is>
          <t>Special Abilities</t>
        </is>
      </c>
    </row>
    <row r="36">
      <c r="A36" s="9" t="inlineStr">
        <is>
          <t>Shadow Veil: Spend 1 action in combat to turn invisible for 1 round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Rat Clan Infiltration: Can pass through narrow spaces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9" t="inlineStr">
        <is>
          <t>Mechanism Decryption: Automatically find and disarm traps in range</t>
        </is>
      </c>
      <c r="B38" s="10" t="n"/>
      <c r="C38" s="10" t="n"/>
      <c r="D38" s="10" t="n"/>
      <c r="E38" s="10" t="n"/>
      <c r="F38" s="10" t="n"/>
      <c r="G38" s="10" t="n"/>
      <c r="H38" s="11" t="n"/>
    </row>
    <row r="39">
      <c r="A39" s="9" t="inlineStr">
        <is>
          <t>Ninja Sprint: Full-speed movement still allows Stealth</t>
        </is>
      </c>
      <c r="B39" s="10" t="n"/>
      <c r="C39" s="10" t="n"/>
      <c r="D39" s="10" t="n"/>
      <c r="E39" s="10" t="n"/>
      <c r="F39" s="10" t="n"/>
      <c r="G39" s="10" t="n"/>
      <c r="H39" s="11" t="n"/>
    </row>
  </sheetData>
  <mergeCells count="15">
    <mergeCell ref="A30:E30"/>
    <mergeCell ref="A3:H3"/>
    <mergeCell ref="A39:H39"/>
    <mergeCell ref="A29:H29"/>
    <mergeCell ref="A7:H7"/>
    <mergeCell ref="A35:H35"/>
    <mergeCell ref="A38:H38"/>
    <mergeCell ref="A33:E33"/>
    <mergeCell ref="A19:H19"/>
    <mergeCell ref="A11:H11"/>
    <mergeCell ref="A32:E32"/>
    <mergeCell ref="A36:H36"/>
    <mergeCell ref="A1:H1"/>
    <mergeCell ref="A37:H37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2026-07-11T09:22:14Z</dcterms:created>
  <dcterms:modified xsi:type="dcterms:W3CDTF">2026-08-10T14:42:37Z</dcterms:modified>
</cp:coreProperties>
</file>