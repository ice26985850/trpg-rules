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ra Gen" sheetId="1" state="visible" r:id="rId1"/>
    <sheet name="Tsukikage" sheetId="2" state="visible" r:id="rId2"/>
    <sheet name="Inuyama Chūgi" sheetId="3" state="visible" r:id="rId3"/>
    <sheet name="Tesshin" sheetId="4" state="visible" r:id="rId4"/>
    <sheet name="Ju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sz val="14"/>
    </font>
    <font>
      <name val="Microsoft JhengHei"/>
      <b val="1"/>
      <sz val="12"/>
    </font>
    <font>
      <name val="Microsoft JhengHei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16" customWidth="1" min="4" max="4"/>
  </cols>
  <sheetData>
    <row r="1">
      <c r="A1" s="1" t="inlineStr">
        <is>
          <t>Tora Gen — Tiger Clan · Tiger Might Style · Level 5</t>
        </is>
      </c>
    </row>
    <row r="2"/>
    <row r="3">
      <c r="A3" s="2" t="inlineStr">
        <is>
          <t>Character Name</t>
        </is>
      </c>
      <c r="B3" s="2" t="inlineStr">
        <is>
          <t>Tora Gen</t>
        </is>
      </c>
      <c r="C3" s="2" t="inlineStr">
        <is>
          <t>Player</t>
        </is>
      </c>
      <c r="D3" s="2" t="inlineStr">
        <is>
          <t>Example</t>
        </is>
      </c>
    </row>
    <row r="4">
      <c r="A4" s="2" t="inlineStr">
        <is>
          <t>Level</t>
        </is>
      </c>
      <c r="B4" s="2" t="n">
        <v>5</v>
      </c>
      <c r="C4" s="2" t="inlineStr">
        <is>
          <t>Cultivation Points (XP)</t>
        </is>
      </c>
      <c r="D4" s="2" t="n">
        <v>3000</v>
      </c>
    </row>
    <row r="5">
      <c r="A5" s="2" t="inlineStr">
        <is>
          <t>Clan</t>
        </is>
      </c>
      <c r="B5" s="2" t="inlineStr">
        <is>
          <t>Tiger Clan</t>
        </is>
      </c>
      <c r="C5" s="2" t="inlineStr">
        <is>
          <t>School</t>
        </is>
      </c>
      <c r="D5" s="2" t="inlineStr">
        <is>
          <t>Tiger Might Style</t>
        </is>
      </c>
    </row>
    <row r="6">
      <c r="A6" s="2" t="inlineStr">
        <is>
          <t>Background</t>
        </is>
      </c>
      <c r="B6" s="2" t="inlineStr">
        <is>
          <t>Samurai Lineage</t>
        </is>
      </c>
      <c r="C6" s="2" t="inlineStr">
        <is>
          <t>School Cultivation Points</t>
        </is>
      </c>
      <c r="D6" s="2" t="n">
        <v>35</v>
      </c>
    </row>
    <row r="7">
      <c r="A7" s="2" t="inlineStr">
        <is>
          <t>Loyalty To</t>
        </is>
      </c>
      <c r="B7" s="2" t="inlineStr">
        <is>
          <t>School (Grandmaster)</t>
        </is>
      </c>
      <c r="C7" s="2" t="inlineStr">
        <is>
          <t>Giri Value (GI)</t>
        </is>
      </c>
      <c r="D7" s="2" t="n">
        <v>3</v>
      </c>
    </row>
    <row r="8">
      <c r="A8" s="2" t="inlineStr">
        <is>
          <t>Bond Target</t>
        </is>
      </c>
      <c r="B8" s="2" t="inlineStr">
        <is>
          <t>Inuyama Chūgi</t>
        </is>
      </c>
      <c r="C8" s="2" t="inlineStr">
        <is>
          <t>Bond Type</t>
        </is>
      </c>
      <c r="D8" s="2" t="inlineStr">
        <is>
          <t>Sworn Friend</t>
        </is>
      </c>
    </row>
    <row r="9">
      <c r="A9" s="2" t="inlineStr">
        <is>
          <t>Blade Origin</t>
        </is>
      </c>
      <c r="B9" s="2" t="inlineStr">
        <is>
          <t>Master's Legacy</t>
        </is>
      </c>
      <c r="C9" s="2" t="inlineStr">
        <is>
          <t>Blade Name</t>
        </is>
      </c>
      <c r="D9" s="2" t="inlineStr">
        <is>
          <t>Tiger Claw (Masterwork)</t>
        </is>
      </c>
    </row>
    <row r="10">
      <c r="A10" s="2" t="n"/>
      <c r="B10" s="2" t="n"/>
      <c r="C10" s="2" t="n"/>
      <c r="D10" s="2" t="n"/>
    </row>
    <row r="11">
      <c r="A11" s="2" t="inlineStr">
        <is>
          <t>Five Core Attributes</t>
        </is>
      </c>
      <c r="B11" s="3" t="n"/>
      <c r="C11" s="3" t="n"/>
      <c r="D11" s="4" t="n"/>
    </row>
    <row r="12">
      <c r="A12" s="2" t="inlineStr">
        <is>
          <t>Swordsmanship (SWM)</t>
        </is>
      </c>
      <c r="B12" s="2" t="n">
        <v>8</v>
      </c>
      <c r="C12" s="2" t="n"/>
      <c r="D12" s="2" t="n"/>
    </row>
    <row r="13">
      <c r="A13" s="2" t="inlineStr">
        <is>
          <t>Physique (PHY)</t>
        </is>
      </c>
      <c r="B13" s="2" t="n">
        <v>5</v>
      </c>
      <c r="C13" s="2" t="n"/>
      <c r="D13" s="2" t="n"/>
    </row>
    <row r="14">
      <c r="A14" s="2" t="inlineStr">
        <is>
          <t>Yokai Power (YP)</t>
        </is>
      </c>
      <c r="B14" s="2" t="n">
        <v>5</v>
      </c>
      <c r="C14" s="2" t="n"/>
      <c r="D14" s="2" t="n"/>
    </row>
    <row r="15">
      <c r="A15" s="2" t="inlineStr">
        <is>
          <t>Agility (AGI)</t>
        </is>
      </c>
      <c r="B15" s="2" t="n">
        <v>5</v>
      </c>
      <c r="C15" s="2" t="n"/>
      <c r="D15" s="2" t="n"/>
    </row>
    <row r="16">
      <c r="A16" s="2" t="inlineStr">
        <is>
          <t>Spirit (SPT)</t>
        </is>
      </c>
      <c r="B16" s="2" t="n">
        <v>4</v>
      </c>
      <c r="C16" s="2" t="n"/>
      <c r="D16" s="2" t="n"/>
    </row>
    <row r="17">
      <c r="A17" s="2" t="inlineStr">
        <is>
          <t>Derived Attributes</t>
        </is>
      </c>
      <c r="B17" s="3" t="n"/>
      <c r="C17" s="3" t="n"/>
      <c r="D17" s="4" t="n"/>
    </row>
    <row r="18">
      <c r="A18" s="2" t="inlineStr">
        <is>
          <t>Hit Points (HP)</t>
        </is>
      </c>
      <c r="B18" s="2">
        <f> 40</f>
        <v/>
      </c>
      <c r="C18" s="2" t="n"/>
      <c r="D18" s="2" t="n"/>
    </row>
    <row r="19">
      <c r="A19" s="2" t="inlineStr">
        <is>
          <t>Defense Value (DV)</t>
        </is>
      </c>
      <c r="B19" s="2">
        <f> 15</f>
        <v/>
      </c>
      <c r="C19" s="2" t="n"/>
      <c r="D19" s="2" t="n"/>
    </row>
    <row r="20">
      <c r="A20" s="2" t="inlineStr">
        <is>
          <t>Movement (MOVE)</t>
        </is>
      </c>
      <c r="B20" s="2">
        <f> 10</f>
        <v/>
      </c>
      <c r="C20" s="2" t="n"/>
      <c r="D20" s="2" t="n"/>
    </row>
    <row r="21">
      <c r="A21" s="2" t="inlineStr">
        <is>
          <t>Yokai Pool Max (YKP)</t>
        </is>
      </c>
      <c r="B21" s="2">
        <f> 15</f>
        <v/>
      </c>
      <c r="C21" s="2" t="n"/>
      <c r="D21" s="2" t="n"/>
    </row>
    <row r="22">
      <c r="A22" s="2" t="inlineStr">
        <is>
          <t>Yokai Value (YK) (Current)</t>
        </is>
      </c>
      <c r="B22" s="2" t="inlineStr">
        <is>
          <t>0</t>
        </is>
      </c>
      <c r="C22" s="2" t="n"/>
      <c r="D22" s="2" t="n"/>
    </row>
    <row r="23">
      <c r="A23" s="2" t="inlineStr">
        <is>
          <t>Initiative</t>
        </is>
      </c>
      <c r="B23" s="2">
        <f> 5 +1d6</f>
        <v/>
      </c>
      <c r="C23" s="2" t="n"/>
      <c r="D23" s="2" t="n"/>
    </row>
    <row r="24">
      <c r="A24" s="2" t="inlineStr">
        <is>
          <t>Blade Bond (BB)</t>
        </is>
      </c>
      <c r="B24" s="2">
        <f> 20</f>
        <v/>
      </c>
      <c r="C24" s="2" t="n"/>
      <c r="D24" s="2" t="n"/>
    </row>
    <row r="25">
      <c r="A25" s="2" t="inlineStr">
        <is>
          <t>Sword Aura Value (SAV)</t>
        </is>
      </c>
      <c r="B25" s="2">
        <f> 15</f>
        <v/>
      </c>
      <c r="C25" s="2" t="n"/>
      <c r="D25" s="2" t="n"/>
    </row>
    <row r="26">
      <c r="A26" s="2" t="n"/>
      <c r="B26" s="2" t="n"/>
      <c r="C26" s="2" t="n"/>
      <c r="D26" s="2" t="n"/>
    </row>
  </sheetData>
  <mergeCells count="3">
    <mergeCell ref="A1:D1"/>
    <mergeCell ref="A17:D17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16" customWidth="1" min="4" max="4"/>
  </cols>
  <sheetData>
    <row r="1">
      <c r="A1" s="1" t="inlineStr">
        <is>
          <t>Tsukikage — Rabbit Clan · Moon Shadow Style · Level 5</t>
        </is>
      </c>
    </row>
    <row r="2"/>
    <row r="3">
      <c r="A3" s="2" t="inlineStr">
        <is>
          <t>Character Name</t>
        </is>
      </c>
      <c r="B3" s="2" t="inlineStr">
        <is>
          <t>Tsukikage</t>
        </is>
      </c>
      <c r="C3" s="2" t="inlineStr">
        <is>
          <t>Player</t>
        </is>
      </c>
      <c r="D3" s="2" t="inlineStr">
        <is>
          <t>Example</t>
        </is>
      </c>
    </row>
    <row r="4">
      <c r="A4" s="2" t="inlineStr">
        <is>
          <t>Level</t>
        </is>
      </c>
      <c r="B4" s="2" t="n">
        <v>5</v>
      </c>
      <c r="C4" s="2" t="inlineStr">
        <is>
          <t>Cultivation Points (XP)</t>
        </is>
      </c>
      <c r="D4" s="2" t="n">
        <v>3000</v>
      </c>
    </row>
    <row r="5">
      <c r="A5" s="2" t="inlineStr">
        <is>
          <t>Clan</t>
        </is>
      </c>
      <c r="B5" s="2" t="inlineStr">
        <is>
          <t>Rabbit Clan</t>
        </is>
      </c>
      <c r="C5" s="2" t="inlineStr">
        <is>
          <t>School</t>
        </is>
      </c>
      <c r="D5" s="2" t="inlineStr">
        <is>
          <t>Moon Shadow Style</t>
        </is>
      </c>
    </row>
    <row r="6">
      <c r="A6" s="2" t="inlineStr">
        <is>
          <t>Background</t>
        </is>
      </c>
      <c r="B6" s="2" t="inlineStr">
        <is>
          <t>Child of the Shrine</t>
        </is>
      </c>
      <c r="C6" s="2" t="inlineStr">
        <is>
          <t>School Cultivation Points</t>
        </is>
      </c>
      <c r="D6" s="2" t="n">
        <v>35</v>
      </c>
    </row>
    <row r="7">
      <c r="A7" s="2" t="inlineStr">
        <is>
          <t>Loyalty To</t>
        </is>
      </c>
      <c r="B7" s="2" t="inlineStr">
        <is>
          <t>Self (conviction)</t>
        </is>
      </c>
      <c r="C7" s="2" t="inlineStr">
        <is>
          <t>Giri Value (GI)</t>
        </is>
      </c>
      <c r="D7" s="2" t="n">
        <v>3</v>
      </c>
    </row>
    <row r="8">
      <c r="A8" s="2" t="inlineStr">
        <is>
          <t>Bond Target</t>
        </is>
      </c>
      <c r="B8" s="2" t="inlineStr">
        <is>
          <t>Jun</t>
        </is>
      </c>
      <c r="C8" s="2" t="inlineStr">
        <is>
          <t>Bond Type</t>
        </is>
      </c>
      <c r="D8" s="2" t="inlineStr">
        <is>
          <t>Master-Disciple Bond</t>
        </is>
      </c>
    </row>
    <row r="9">
      <c r="A9" s="2" t="inlineStr">
        <is>
          <t>Blade Origin</t>
        </is>
      </c>
      <c r="B9" s="2" t="inlineStr">
        <is>
          <t>Granted by School</t>
        </is>
      </c>
      <c r="C9" s="2" t="inlineStr">
        <is>
          <t>Blade Name</t>
        </is>
      </c>
      <c r="D9" s="2" t="inlineStr">
        <is>
          <t>Lunar Droplet (Masterwork)</t>
        </is>
      </c>
    </row>
    <row r="10">
      <c r="A10" s="2" t="n"/>
      <c r="B10" s="2" t="n"/>
      <c r="C10" s="2" t="n"/>
      <c r="D10" s="2" t="n"/>
    </row>
    <row r="11">
      <c r="A11" s="2" t="inlineStr">
        <is>
          <t>Five Core Attributes</t>
        </is>
      </c>
      <c r="B11" s="3" t="n"/>
      <c r="C11" s="3" t="n"/>
      <c r="D11" s="4" t="n"/>
    </row>
    <row r="12">
      <c r="A12" s="2" t="inlineStr">
        <is>
          <t>Swordsmanship (SWM)</t>
        </is>
      </c>
      <c r="B12" s="2" t="n">
        <v>5</v>
      </c>
      <c r="C12" s="2" t="n"/>
      <c r="D12" s="2" t="n"/>
    </row>
    <row r="13">
      <c r="A13" s="2" t="inlineStr">
        <is>
          <t>Physique (PHY)</t>
        </is>
      </c>
      <c r="B13" s="2" t="n">
        <v>3</v>
      </c>
      <c r="C13" s="2" t="n"/>
      <c r="D13" s="2" t="n"/>
    </row>
    <row r="14">
      <c r="A14" s="2" t="inlineStr">
        <is>
          <t>Yokai Power (YP)</t>
        </is>
      </c>
      <c r="B14" s="2" t="n">
        <v>5</v>
      </c>
      <c r="C14" s="2" t="n"/>
      <c r="D14" s="2" t="n"/>
    </row>
    <row r="15">
      <c r="A15" s="2" t="inlineStr">
        <is>
          <t>Agility (AGI)</t>
        </is>
      </c>
      <c r="B15" s="2" t="n">
        <v>8</v>
      </c>
      <c r="C15" s="2" t="n"/>
      <c r="D15" s="2" t="n"/>
    </row>
    <row r="16">
      <c r="A16" s="2" t="inlineStr">
        <is>
          <t>Spirit (SPT)</t>
        </is>
      </c>
      <c r="B16" s="2" t="n">
        <v>6</v>
      </c>
      <c r="C16" s="2" t="n"/>
      <c r="D16" s="2" t="n"/>
    </row>
    <row r="17">
      <c r="A17" s="2" t="inlineStr">
        <is>
          <t>Derived Attributes</t>
        </is>
      </c>
      <c r="B17" s="3" t="n"/>
      <c r="C17" s="3" t="n"/>
      <c r="D17" s="4" t="n"/>
    </row>
    <row r="18">
      <c r="A18" s="2" t="inlineStr">
        <is>
          <t>Hit Points (HP)</t>
        </is>
      </c>
      <c r="B18" s="2">
        <f> 30</f>
        <v/>
      </c>
      <c r="C18" s="2" t="n"/>
      <c r="D18" s="2" t="n"/>
    </row>
    <row r="19">
      <c r="A19" s="2" t="inlineStr">
        <is>
          <t>Defense Value (DV)</t>
        </is>
      </c>
      <c r="B19" s="2">
        <f> 18</f>
        <v/>
      </c>
      <c r="C19" s="2" t="n"/>
      <c r="D19" s="2" t="n"/>
    </row>
    <row r="20">
      <c r="A20" s="2" t="inlineStr">
        <is>
          <t>Movement (MOVE)</t>
        </is>
      </c>
      <c r="B20" s="2">
        <f> 13</f>
        <v/>
      </c>
      <c r="C20" s="2" t="n"/>
      <c r="D20" s="2" t="n"/>
    </row>
    <row r="21">
      <c r="A21" s="2" t="inlineStr">
        <is>
          <t>Yokai Pool Max (YKP)</t>
        </is>
      </c>
      <c r="B21" s="2">
        <f> 15</f>
        <v/>
      </c>
      <c r="C21" s="2" t="n"/>
      <c r="D21" s="2" t="n"/>
    </row>
    <row r="22">
      <c r="A22" s="2" t="inlineStr">
        <is>
          <t>Yokai Value (YK) (Current)</t>
        </is>
      </c>
      <c r="B22" s="2" t="inlineStr">
        <is>
          <t>0</t>
        </is>
      </c>
      <c r="C22" s="2" t="n"/>
      <c r="D22" s="2" t="n"/>
    </row>
    <row r="23">
      <c r="A23" s="2" t="inlineStr">
        <is>
          <t>Initiative</t>
        </is>
      </c>
      <c r="B23" s="2">
        <f> 8 +1d6</f>
        <v/>
      </c>
      <c r="C23" s="2" t="n"/>
      <c r="D23" s="2" t="n"/>
    </row>
    <row r="24">
      <c r="A24" s="2" t="inlineStr">
        <is>
          <t>Blade Bond (BB)</t>
        </is>
      </c>
      <c r="B24" s="2">
        <f> 30</f>
        <v/>
      </c>
      <c r="C24" s="2" t="n"/>
      <c r="D24" s="2" t="n"/>
    </row>
    <row r="25">
      <c r="A25" s="2" t="inlineStr">
        <is>
          <t>Sword Aura Value (SAV)</t>
        </is>
      </c>
      <c r="B25" s="2">
        <f> 14</f>
        <v/>
      </c>
      <c r="C25" s="2" t="n"/>
      <c r="D25" s="2" t="n"/>
    </row>
    <row r="26">
      <c r="A26" s="2" t="n"/>
      <c r="B26" s="2" t="n"/>
      <c r="C26" s="2" t="n"/>
      <c r="D26" s="2" t="n"/>
    </row>
  </sheetData>
  <mergeCells count="3">
    <mergeCell ref="A1:D1"/>
    <mergeCell ref="A17:D17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16" customWidth="1" min="4" max="4"/>
  </cols>
  <sheetData>
    <row r="1">
      <c r="A1" s="1" t="inlineStr">
        <is>
          <t>Inuyama Chūgi — Dog Clan · Loyalty Style · Level 5</t>
        </is>
      </c>
    </row>
    <row r="2"/>
    <row r="3">
      <c r="A3" s="2" t="inlineStr">
        <is>
          <t>Character Name</t>
        </is>
      </c>
      <c r="B3" s="2" t="inlineStr">
        <is>
          <t>Inuyama Chūgi</t>
        </is>
      </c>
      <c r="C3" s="2" t="inlineStr">
        <is>
          <t>Player</t>
        </is>
      </c>
      <c r="D3" s="2" t="inlineStr">
        <is>
          <t>Example</t>
        </is>
      </c>
    </row>
    <row r="4">
      <c r="A4" s="2" t="inlineStr">
        <is>
          <t>Level</t>
        </is>
      </c>
      <c r="B4" s="2" t="n">
        <v>5</v>
      </c>
      <c r="C4" s="2" t="inlineStr">
        <is>
          <t>Cultivation Points (XP)</t>
        </is>
      </c>
      <c r="D4" s="2" t="n">
        <v>3000</v>
      </c>
    </row>
    <row r="5">
      <c r="A5" s="2" t="inlineStr">
        <is>
          <t>Clan</t>
        </is>
      </c>
      <c r="B5" s="2" t="inlineStr">
        <is>
          <t>Dog Clan</t>
        </is>
      </c>
      <c r="C5" s="2" t="inlineStr">
        <is>
          <t>School</t>
        </is>
      </c>
      <c r="D5" s="2" t="inlineStr">
        <is>
          <t>Loyalty Style</t>
        </is>
      </c>
    </row>
    <row r="6">
      <c r="A6" s="2" t="inlineStr">
        <is>
          <t>Background</t>
        </is>
      </c>
      <c r="B6" s="2" t="inlineStr">
        <is>
          <t>Samurai Lineage</t>
        </is>
      </c>
      <c r="C6" s="2" t="inlineStr">
        <is>
          <t>School Cultivation Points</t>
        </is>
      </c>
      <c r="D6" s="2" t="n">
        <v>35</v>
      </c>
    </row>
    <row r="7">
      <c r="A7" s="2" t="inlineStr">
        <is>
          <t>Loyalty To</t>
        </is>
      </c>
      <c r="B7" s="2" t="inlineStr">
        <is>
          <t>Companion</t>
        </is>
      </c>
      <c r="C7" s="2" t="inlineStr">
        <is>
          <t>Giri Value (GI)</t>
        </is>
      </c>
      <c r="D7" s="2" t="n">
        <v>3</v>
      </c>
    </row>
    <row r="8">
      <c r="A8" s="2" t="inlineStr">
        <is>
          <t>Bond Target</t>
        </is>
      </c>
      <c r="B8" s="2" t="inlineStr">
        <is>
          <t>Tora Gen</t>
        </is>
      </c>
      <c r="C8" s="2" t="inlineStr">
        <is>
          <t>Bond Type</t>
        </is>
      </c>
      <c r="D8" s="2" t="inlineStr">
        <is>
          <t>Sworn Friend</t>
        </is>
      </c>
    </row>
    <row r="9">
      <c r="A9" s="2" t="inlineStr">
        <is>
          <t>Blade Origin</t>
        </is>
      </c>
      <c r="B9" s="2" t="inlineStr">
        <is>
          <t>Family Heirloom</t>
        </is>
      </c>
      <c r="C9" s="2" t="inlineStr">
        <is>
          <t>Blade Name</t>
        </is>
      </c>
      <c r="D9" s="2" t="inlineStr">
        <is>
          <t>Gi (Family Masterwork)</t>
        </is>
      </c>
    </row>
    <row r="10">
      <c r="A10" s="2" t="n"/>
      <c r="B10" s="2" t="n"/>
      <c r="C10" s="2" t="n"/>
      <c r="D10" s="2" t="n"/>
    </row>
    <row r="11">
      <c r="A11" s="2" t="inlineStr">
        <is>
          <t>Five Core Attributes</t>
        </is>
      </c>
      <c r="B11" s="3" t="n"/>
      <c r="C11" s="3" t="n"/>
      <c r="D11" s="4" t="n"/>
    </row>
    <row r="12">
      <c r="A12" s="2" t="inlineStr">
        <is>
          <t>Swordsmanship (SWM)</t>
        </is>
      </c>
      <c r="B12" s="2" t="n">
        <v>6</v>
      </c>
      <c r="C12" s="2" t="n"/>
      <c r="D12" s="2" t="n"/>
    </row>
    <row r="13">
      <c r="A13" s="2" t="inlineStr">
        <is>
          <t>Physique (PHY)</t>
        </is>
      </c>
      <c r="B13" s="2" t="n">
        <v>6</v>
      </c>
      <c r="C13" s="2" t="n"/>
      <c r="D13" s="2" t="n"/>
    </row>
    <row r="14">
      <c r="A14" s="2" t="inlineStr">
        <is>
          <t>Yokai Power (YP)</t>
        </is>
      </c>
      <c r="B14" s="2" t="n">
        <v>4</v>
      </c>
      <c r="C14" s="2" t="n"/>
      <c r="D14" s="2" t="n"/>
    </row>
    <row r="15">
      <c r="A15" s="2" t="inlineStr">
        <is>
          <t>Agility (AGI)</t>
        </is>
      </c>
      <c r="B15" s="2" t="n">
        <v>5</v>
      </c>
      <c r="C15" s="2" t="n"/>
      <c r="D15" s="2" t="n"/>
    </row>
    <row r="16">
      <c r="A16" s="2" t="inlineStr">
        <is>
          <t>Spirit (SPT)</t>
        </is>
      </c>
      <c r="B16" s="2" t="n">
        <v>6</v>
      </c>
      <c r="C16" s="2" t="n"/>
      <c r="D16" s="2" t="n"/>
    </row>
    <row r="17">
      <c r="A17" s="2" t="inlineStr">
        <is>
          <t>Derived Attributes</t>
        </is>
      </c>
      <c r="B17" s="3" t="n"/>
      <c r="C17" s="3" t="n"/>
      <c r="D17" s="4" t="n"/>
    </row>
    <row r="18">
      <c r="A18" s="2" t="inlineStr">
        <is>
          <t>Hit Points (HP)</t>
        </is>
      </c>
      <c r="B18" s="2">
        <f> 45</f>
        <v/>
      </c>
      <c r="C18" s="2" t="n"/>
      <c r="D18" s="2" t="n"/>
    </row>
    <row r="19">
      <c r="A19" s="2" t="inlineStr">
        <is>
          <t>Defense Value (DV)</t>
        </is>
      </c>
      <c r="B19" s="2">
        <f> 15</f>
        <v/>
      </c>
      <c r="C19" s="2" t="n"/>
      <c r="D19" s="2" t="n"/>
    </row>
    <row r="20">
      <c r="A20" s="2" t="inlineStr">
        <is>
          <t>Movement (MOVE)</t>
        </is>
      </c>
      <c r="B20" s="2">
        <f> 10</f>
        <v/>
      </c>
      <c r="C20" s="2" t="n"/>
      <c r="D20" s="2" t="n"/>
    </row>
    <row r="21">
      <c r="A21" s="2" t="inlineStr">
        <is>
          <t>Yokai Pool Max (YKP)</t>
        </is>
      </c>
      <c r="B21" s="2">
        <f> 13</f>
        <v/>
      </c>
      <c r="C21" s="2" t="n"/>
      <c r="D21" s="2" t="n"/>
    </row>
    <row r="22">
      <c r="A22" s="2" t="inlineStr">
        <is>
          <t>Yokai Value (YK) (Current)</t>
        </is>
      </c>
      <c r="B22" s="2" t="inlineStr">
        <is>
          <t>0</t>
        </is>
      </c>
      <c r="C22" s="2" t="n"/>
      <c r="D22" s="2" t="n"/>
    </row>
    <row r="23">
      <c r="A23" s="2" t="inlineStr">
        <is>
          <t>Initiative</t>
        </is>
      </c>
      <c r="B23" s="2">
        <f> 5 +1d6</f>
        <v/>
      </c>
      <c r="C23" s="2" t="n"/>
      <c r="D23" s="2" t="n"/>
    </row>
    <row r="24">
      <c r="A24" s="2" t="inlineStr">
        <is>
          <t>Blade Bond (BB)</t>
        </is>
      </c>
      <c r="B24" s="2">
        <f> 30</f>
        <v/>
      </c>
      <c r="C24" s="2" t="n"/>
      <c r="D24" s="2" t="n"/>
    </row>
    <row r="25">
      <c r="A25" s="2" t="inlineStr">
        <is>
          <t>Sword Aura Value (SAV)</t>
        </is>
      </c>
      <c r="B25" s="2">
        <f> 15</f>
        <v/>
      </c>
      <c r="C25" s="2" t="n"/>
      <c r="D25" s="2" t="n"/>
    </row>
    <row r="26">
      <c r="A26" s="2" t="n"/>
      <c r="B26" s="2" t="n"/>
      <c r="C26" s="2" t="n"/>
      <c r="D26" s="2" t="n"/>
    </row>
  </sheetData>
  <mergeCells count="3">
    <mergeCell ref="A1:D1"/>
    <mergeCell ref="A17:D17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16" customWidth="1" min="4" max="4"/>
  </cols>
  <sheetData>
    <row r="1">
      <c r="A1" s="1" t="inlineStr">
        <is>
          <t>Tesshin — Ox Clan · Immovable Style · Level 5</t>
        </is>
      </c>
    </row>
    <row r="2"/>
    <row r="3">
      <c r="A3" s="2" t="inlineStr">
        <is>
          <t>Character Name</t>
        </is>
      </c>
      <c r="B3" s="2" t="inlineStr">
        <is>
          <t>Tesshin</t>
        </is>
      </c>
      <c r="C3" s="2" t="inlineStr">
        <is>
          <t>Player</t>
        </is>
      </c>
      <c r="D3" s="2" t="inlineStr">
        <is>
          <t>Example</t>
        </is>
      </c>
    </row>
    <row r="4">
      <c r="A4" s="2" t="inlineStr">
        <is>
          <t>Level</t>
        </is>
      </c>
      <c r="B4" s="2" t="n">
        <v>5</v>
      </c>
      <c r="C4" s="2" t="inlineStr">
        <is>
          <t>Cultivation Points (XP)</t>
        </is>
      </c>
      <c r="D4" s="2" t="n">
        <v>3000</v>
      </c>
    </row>
    <row r="5">
      <c r="A5" s="2" t="inlineStr">
        <is>
          <t>Clan</t>
        </is>
      </c>
      <c r="B5" s="2" t="inlineStr">
        <is>
          <t>Ox Clan</t>
        </is>
      </c>
      <c r="C5" s="2" t="inlineStr">
        <is>
          <t>School</t>
        </is>
      </c>
      <c r="D5" s="2" t="inlineStr">
        <is>
          <t>Immovable Style</t>
        </is>
      </c>
    </row>
    <row r="6">
      <c r="A6" s="2" t="inlineStr">
        <is>
          <t>Background</t>
        </is>
      </c>
      <c r="B6" s="2" t="inlineStr">
        <is>
          <t>Bladesmith's Descendant</t>
        </is>
      </c>
      <c r="C6" s="2" t="inlineStr">
        <is>
          <t>School Cultivation Points</t>
        </is>
      </c>
      <c r="D6" s="2" t="n">
        <v>35</v>
      </c>
    </row>
    <row r="7">
      <c r="A7" s="2" t="inlineStr">
        <is>
          <t>Loyalty To</t>
        </is>
      </c>
      <c r="B7" s="2" t="inlineStr">
        <is>
          <t>Family</t>
        </is>
      </c>
      <c r="C7" s="2" t="inlineStr">
        <is>
          <t>Giri Value (GI)</t>
        </is>
      </c>
      <c r="D7" s="2" t="n">
        <v>3</v>
      </c>
    </row>
    <row r="8">
      <c r="A8" s="2" t="inlineStr">
        <is>
          <t>Bond Target</t>
        </is>
      </c>
      <c r="B8" s="2" t="inlineStr">
        <is>
          <t>Master</t>
        </is>
      </c>
      <c r="C8" s="2" t="inlineStr">
        <is>
          <t>Bond Type</t>
        </is>
      </c>
      <c r="D8" s="2" t="inlineStr">
        <is>
          <t>Master-Disciple Bond</t>
        </is>
      </c>
    </row>
    <row r="9">
      <c r="A9" s="2" t="inlineStr">
        <is>
          <t>Blade Origin</t>
        </is>
      </c>
      <c r="B9" s="2" t="inlineStr">
        <is>
          <t>Self-forged</t>
        </is>
      </c>
      <c r="C9" s="2" t="inlineStr">
        <is>
          <t>Blade Name</t>
        </is>
      </c>
      <c r="D9" s="2" t="inlineStr">
        <is>
          <t>Iwato (Masterwork)</t>
        </is>
      </c>
    </row>
    <row r="10">
      <c r="A10" s="2" t="n"/>
      <c r="B10" s="2" t="n"/>
      <c r="C10" s="2" t="n"/>
      <c r="D10" s="2" t="n"/>
    </row>
    <row r="11">
      <c r="A11" s="2" t="inlineStr">
        <is>
          <t>Five Core Attributes</t>
        </is>
      </c>
      <c r="B11" s="3" t="n"/>
      <c r="C11" s="3" t="n"/>
      <c r="D11" s="4" t="n"/>
    </row>
    <row r="12">
      <c r="A12" s="2" t="inlineStr">
        <is>
          <t>Swordsmanship (SWM)</t>
        </is>
      </c>
      <c r="B12" s="2" t="n">
        <v>4</v>
      </c>
      <c r="C12" s="2" t="n"/>
      <c r="D12" s="2" t="n"/>
    </row>
    <row r="13">
      <c r="A13" s="2" t="inlineStr">
        <is>
          <t>Physique (PHY)</t>
        </is>
      </c>
      <c r="B13" s="2" t="n">
        <v>8</v>
      </c>
      <c r="C13" s="2" t="n"/>
      <c r="D13" s="2" t="n"/>
    </row>
    <row r="14">
      <c r="A14" s="2" t="inlineStr">
        <is>
          <t>Yokai Power (YP)</t>
        </is>
      </c>
      <c r="B14" s="2" t="n">
        <v>5</v>
      </c>
      <c r="C14" s="2" t="n"/>
      <c r="D14" s="2" t="n"/>
    </row>
    <row r="15">
      <c r="A15" s="2" t="inlineStr">
        <is>
          <t>Agility (AGI)</t>
        </is>
      </c>
      <c r="B15" s="2" t="n">
        <v>3</v>
      </c>
      <c r="C15" s="2" t="n"/>
      <c r="D15" s="2" t="n"/>
    </row>
    <row r="16">
      <c r="A16" s="2" t="inlineStr">
        <is>
          <t>Spirit (SPT)</t>
        </is>
      </c>
      <c r="B16" s="2" t="n">
        <v>7</v>
      </c>
      <c r="C16" s="2" t="n"/>
      <c r="D16" s="2" t="n"/>
    </row>
    <row r="17">
      <c r="A17" s="2" t="inlineStr">
        <is>
          <t>Derived Attributes</t>
        </is>
      </c>
      <c r="B17" s="3" t="n"/>
      <c r="C17" s="3" t="n"/>
      <c r="D17" s="4" t="n"/>
    </row>
    <row r="18">
      <c r="A18" s="2" t="inlineStr">
        <is>
          <t>Hit Points (HP)</t>
        </is>
      </c>
      <c r="B18" s="2">
        <f> 55</f>
        <v/>
      </c>
      <c r="C18" s="2" t="n"/>
      <c r="D18" s="2" t="n"/>
    </row>
    <row r="19">
      <c r="A19" s="2" t="inlineStr">
        <is>
          <t>Defense Value (DV)</t>
        </is>
      </c>
      <c r="B19" s="2">
        <f> 13</f>
        <v/>
      </c>
      <c r="C19" s="2" t="n"/>
      <c r="D19" s="2" t="n"/>
    </row>
    <row r="20">
      <c r="A20" s="2" t="inlineStr">
        <is>
          <t>Movement (MOVE)</t>
        </is>
      </c>
      <c r="B20" s="2">
        <f> 8</f>
        <v/>
      </c>
      <c r="C20" s="2" t="n"/>
      <c r="D20" s="2" t="n"/>
    </row>
    <row r="21">
      <c r="A21" s="2" t="inlineStr">
        <is>
          <t>Yokai Pool Max (YKP)</t>
        </is>
      </c>
      <c r="B21" s="2">
        <f> 15</f>
        <v/>
      </c>
      <c r="C21" s="2" t="n"/>
      <c r="D21" s="2" t="n"/>
    </row>
    <row r="22">
      <c r="A22" s="2" t="inlineStr">
        <is>
          <t>Yokai Value (YK) (Current)</t>
        </is>
      </c>
      <c r="B22" s="2" t="inlineStr">
        <is>
          <t>0</t>
        </is>
      </c>
      <c r="C22" s="2" t="n"/>
      <c r="D22" s="2" t="n"/>
    </row>
    <row r="23">
      <c r="A23" s="2" t="inlineStr">
        <is>
          <t>Initiative</t>
        </is>
      </c>
      <c r="B23" s="2">
        <f> 3 +1d6</f>
        <v/>
      </c>
      <c r="C23" s="2" t="n"/>
      <c r="D23" s="2" t="n"/>
    </row>
    <row r="24">
      <c r="A24" s="2" t="inlineStr">
        <is>
          <t>Blade Bond (BB)</t>
        </is>
      </c>
      <c r="B24" s="2">
        <f> 35</f>
        <v/>
      </c>
      <c r="C24" s="2" t="n"/>
      <c r="D24" s="2" t="n"/>
    </row>
    <row r="25">
      <c r="A25" s="2" t="inlineStr">
        <is>
          <t>Sword Aura Value (SAV)</t>
        </is>
      </c>
      <c r="B25" s="2">
        <f> 14</f>
        <v/>
      </c>
      <c r="C25" s="2" t="n"/>
      <c r="D25" s="2" t="n"/>
    </row>
    <row r="26">
      <c r="A26" s="2" t="n"/>
      <c r="B26" s="2" t="n"/>
      <c r="C26" s="2" t="n"/>
      <c r="D26" s="2" t="n"/>
    </row>
  </sheetData>
  <mergeCells count="3">
    <mergeCell ref="A1:D1"/>
    <mergeCell ref="A17:D17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16" customWidth="1" min="4" max="4"/>
  </cols>
  <sheetData>
    <row r="1">
      <c r="A1" s="1" t="inlineStr">
        <is>
          <t>Jun — Horse Clan · Gale Style · Level 5</t>
        </is>
      </c>
    </row>
    <row r="2"/>
    <row r="3">
      <c r="A3" s="2" t="inlineStr">
        <is>
          <t>Character Name</t>
        </is>
      </c>
      <c r="B3" s="2" t="inlineStr">
        <is>
          <t>Jun</t>
        </is>
      </c>
      <c r="C3" s="2" t="inlineStr">
        <is>
          <t>Player</t>
        </is>
      </c>
      <c r="D3" s="2" t="inlineStr">
        <is>
          <t>Example</t>
        </is>
      </c>
    </row>
    <row r="4">
      <c r="A4" s="2" t="inlineStr">
        <is>
          <t>Level</t>
        </is>
      </c>
      <c r="B4" s="2" t="n">
        <v>5</v>
      </c>
      <c r="C4" s="2" t="inlineStr">
        <is>
          <t>Cultivation Points (XP)</t>
        </is>
      </c>
      <c r="D4" s="2" t="n">
        <v>3000</v>
      </c>
    </row>
    <row r="5">
      <c r="A5" s="2" t="inlineStr">
        <is>
          <t>Clan</t>
        </is>
      </c>
      <c r="B5" s="2" t="inlineStr">
        <is>
          <t>Horse Clan</t>
        </is>
      </c>
      <c r="C5" s="2" t="inlineStr">
        <is>
          <t>School</t>
        </is>
      </c>
      <c r="D5" s="2" t="inlineStr">
        <is>
          <t>Gale Style</t>
        </is>
      </c>
    </row>
    <row r="6">
      <c r="A6" s="2" t="inlineStr">
        <is>
          <t>Background</t>
        </is>
      </c>
      <c r="B6" s="2" t="inlineStr">
        <is>
          <t>Rōnin</t>
        </is>
      </c>
      <c r="C6" s="2" t="inlineStr">
        <is>
          <t>School Cultivation Points</t>
        </is>
      </c>
      <c r="D6" s="2" t="n">
        <v>35</v>
      </c>
    </row>
    <row r="7">
      <c r="A7" s="2" t="inlineStr">
        <is>
          <t>Loyalty To</t>
        </is>
      </c>
      <c r="B7" s="2" t="inlineStr">
        <is>
          <t>None (searching)</t>
        </is>
      </c>
      <c r="C7" s="2" t="inlineStr">
        <is>
          <t>Giri Value (GI)</t>
        </is>
      </c>
      <c r="D7" s="2" t="n">
        <v>0</v>
      </c>
    </row>
    <row r="8">
      <c r="A8" s="2" t="inlineStr">
        <is>
          <t>Bond Target</t>
        </is>
      </c>
      <c r="B8" s="2" t="inlineStr">
        <is>
          <t>Tsukikage</t>
        </is>
      </c>
      <c r="C8" s="2" t="inlineStr">
        <is>
          <t>Bond Type</t>
        </is>
      </c>
      <c r="D8" s="2" t="inlineStr">
        <is>
          <t>Debt of Honor</t>
        </is>
      </c>
    </row>
    <row r="9">
      <c r="A9" s="2" t="inlineStr">
        <is>
          <t>Blade Origin</t>
        </is>
      </c>
      <c r="B9" s="2" t="inlineStr">
        <is>
          <t>Found on the battlefield</t>
        </is>
      </c>
      <c r="C9" s="2" t="inlineStr">
        <is>
          <t>Blade Name</t>
        </is>
      </c>
      <c r="D9" s="2" t="inlineStr">
        <is>
          <t>Uninscribed Katana</t>
        </is>
      </c>
    </row>
    <row r="10">
      <c r="A10" s="2" t="n"/>
      <c r="B10" s="2" t="n"/>
      <c r="C10" s="2" t="n"/>
      <c r="D10" s="2" t="n"/>
    </row>
    <row r="11">
      <c r="A11" s="2" t="inlineStr">
        <is>
          <t>Five Core Attributes</t>
        </is>
      </c>
      <c r="B11" s="3" t="n"/>
      <c r="C11" s="3" t="n"/>
      <c r="D11" s="4" t="n"/>
    </row>
    <row r="12">
      <c r="A12" s="2" t="inlineStr">
        <is>
          <t>Swordsmanship (SWM)</t>
        </is>
      </c>
      <c r="B12" s="2" t="n">
        <v>7</v>
      </c>
      <c r="C12" s="2" t="n"/>
      <c r="D12" s="2" t="n"/>
    </row>
    <row r="13">
      <c r="A13" s="2" t="inlineStr">
        <is>
          <t>Physique (PHY)</t>
        </is>
      </c>
      <c r="B13" s="2" t="n">
        <v>5</v>
      </c>
      <c r="C13" s="2" t="n"/>
      <c r="D13" s="2" t="n"/>
    </row>
    <row r="14">
      <c r="A14" s="2" t="inlineStr">
        <is>
          <t>Yokai Power (YP)</t>
        </is>
      </c>
      <c r="B14" s="2" t="n">
        <v>4</v>
      </c>
      <c r="C14" s="2" t="n"/>
      <c r="D14" s="2" t="n"/>
    </row>
    <row r="15">
      <c r="A15" s="2" t="inlineStr">
        <is>
          <t>Agility (AGI)</t>
        </is>
      </c>
      <c r="B15" s="2" t="n">
        <v>7</v>
      </c>
      <c r="C15" s="2" t="n"/>
      <c r="D15" s="2" t="n"/>
    </row>
    <row r="16">
      <c r="A16" s="2" t="inlineStr">
        <is>
          <t>Spirit (SPT)</t>
        </is>
      </c>
      <c r="B16" s="2" t="n">
        <v>4</v>
      </c>
      <c r="C16" s="2" t="n"/>
      <c r="D16" s="2" t="n"/>
    </row>
    <row r="17">
      <c r="A17" s="2" t="inlineStr">
        <is>
          <t>Derived Attributes</t>
        </is>
      </c>
      <c r="B17" s="3" t="n"/>
      <c r="C17" s="3" t="n"/>
      <c r="D17" s="4" t="n"/>
    </row>
    <row r="18">
      <c r="A18" s="2" t="inlineStr">
        <is>
          <t>Hit Points (HP)</t>
        </is>
      </c>
      <c r="B18" s="2">
        <f> 40</f>
        <v/>
      </c>
      <c r="C18" s="2" t="n"/>
      <c r="D18" s="2" t="n"/>
    </row>
    <row r="19">
      <c r="A19" s="2" t="inlineStr">
        <is>
          <t>Defense Value (DV)</t>
        </is>
      </c>
      <c r="B19" s="2">
        <f> 17</f>
        <v/>
      </c>
      <c r="C19" s="2" t="n"/>
      <c r="D19" s="2" t="n"/>
    </row>
    <row r="20">
      <c r="A20" s="2" t="inlineStr">
        <is>
          <t>Movement (MOVE)</t>
        </is>
      </c>
      <c r="B20" s="2">
        <f> 12</f>
        <v/>
      </c>
      <c r="C20" s="2" t="n"/>
      <c r="D20" s="2" t="n"/>
    </row>
    <row r="21">
      <c r="A21" s="2" t="inlineStr">
        <is>
          <t>Yokai Pool Max (YKP)</t>
        </is>
      </c>
      <c r="B21" s="2">
        <f> 13</f>
        <v/>
      </c>
      <c r="C21" s="2" t="n"/>
      <c r="D21" s="2" t="n"/>
    </row>
    <row r="22">
      <c r="A22" s="2" t="inlineStr">
        <is>
          <t>Yokai Value (YK) (Current)</t>
        </is>
      </c>
      <c r="B22" s="2" t="inlineStr">
        <is>
          <t>0</t>
        </is>
      </c>
      <c r="C22" s="2" t="n"/>
      <c r="D22" s="2" t="n"/>
    </row>
    <row r="23">
      <c r="A23" s="2" t="inlineStr">
        <is>
          <t>Initiative</t>
        </is>
      </c>
      <c r="B23" s="2">
        <f> 7 +1d6</f>
        <v/>
      </c>
      <c r="C23" s="2" t="n"/>
      <c r="D23" s="2" t="n"/>
    </row>
    <row r="24">
      <c r="A24" s="2" t="inlineStr">
        <is>
          <t>Blade Bond (BB)</t>
        </is>
      </c>
      <c r="B24" s="2">
        <f> 20</f>
        <v/>
      </c>
      <c r="C24" s="2" t="n"/>
      <c r="D24" s="2" t="n"/>
    </row>
    <row r="25">
      <c r="A25" s="2" t="inlineStr">
        <is>
          <t>Sword Aura Value (SAV)</t>
        </is>
      </c>
      <c r="B25" s="2">
        <f> 14</f>
        <v/>
      </c>
      <c r="C25" s="2" t="n"/>
      <c r="D25" s="2" t="n"/>
    </row>
    <row r="26">
      <c r="A26" s="2" t="n"/>
      <c r="B26" s="2" t="n"/>
      <c r="C26" s="2" t="n"/>
      <c r="D26" s="2" t="n"/>
    </row>
  </sheetData>
  <mergeCells count="3">
    <mergeCell ref="A1:D1"/>
    <mergeCell ref="A17:D17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2026-07-13T07:22:02Z</dcterms:created>
  <dcterms:modified xsi:type="dcterms:W3CDTF">2026-08-10T14:42:38Z</dcterms:modified>
</cp:coreProperties>
</file>