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dy White (Alicia White)" sheetId="1" state="visible" r:id="rId1"/>
    <sheet name="Morrison (James Morrison)" sheetId="2" state="visible" r:id="rId2"/>
    <sheet name="Old John (John Grayson)" sheetId="3" state="visible" r:id="rId3"/>
    <sheet name="Engineer Valerie" sheetId="4" state="visible" r:id="rId4"/>
    <sheet name="Dr. Blackwood" sheetId="5" state="visible" r:id="rId5"/>
    <sheet name="Benedict (Drowned Man Tavern)" sheetId="6" state="visible" r:id="rId6"/>
    <sheet name="Manipulator (Edwin Gray)" sheetId="7" state="visible" r:id="rId7"/>
    <sheet name="Doctor (True Name Forgotten)" sheetId="8" state="visible" r:id="rId8"/>
    <sheet name="Annie (Residual Shard)" sheetId="9" state="visible" r:id="rId9"/>
    <sheet name="Companion A - Guardian" sheetId="10" state="visible" r:id="rId10"/>
    <sheet name="Companion B - Observer" sheetId="11" state="visible" r:id="rId11"/>
    <sheet name="Companion C - Stormcaller" sheetId="12" state="visible" r:id="rId12"/>
    <sheet name="Companion D - Stalker"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sz val="16"/>
    </font>
    <font>
      <name val="微软雅黑"/>
      <sz val="10"/>
    </font>
    <font>
      <name val="微软雅黑"/>
      <b val="1"/>
      <sz val="11"/>
    </font>
    <font>
      <name val="微软雅黑"/>
      <color rgb="00666666"/>
      <sz val="9"/>
    </font>
    <font>
      <name val="Microsoft YaHei"/>
      <b val="1"/>
      <sz val="14"/>
    </font>
    <font>
      <name val="Microsoft YaHei"/>
      <sz val="10"/>
    </font>
    <font>
      <name val="Microsoft YaHei"/>
      <b val="1"/>
      <sz val="10"/>
    </font>
  </fonts>
  <fills count="3">
    <fill>
      <patternFill/>
    </fill>
    <fill>
      <patternFill patternType="gray125"/>
    </fill>
    <fill>
      <patternFill patternType="solid">
        <fgColor rgb="00D9E2F3"/>
        <bgColor rgb="00D9E2F3"/>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wrapText="1"/>
    </xf>
    <xf numFmtId="0" fontId="2" fillId="0" borderId="1" applyAlignment="1" pivotButton="0" quotePrefix="0" xfId="0">
      <alignment horizontal="left" vertical="center" wrapText="1"/>
    </xf>
    <xf numFmtId="0" fontId="3"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0" borderId="1" pivotButton="0" quotePrefix="0" xfId="0"/>
    <xf numFmtId="0" fontId="6" fillId="0" borderId="1" applyAlignment="1" pivotButton="0" quotePrefix="0" xfId="0">
      <alignment horizontal="left" vertical="center" wrapText="1"/>
    </xf>
    <xf numFmtId="0" fontId="7" fillId="2" borderId="1" applyAlignment="1" pivotButton="0" quotePrefix="0" xfId="0">
      <alignment horizontal="left"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Lady White (Alicia White)</t>
        </is>
      </c>
    </row>
    <row r="2"/>
    <row r="3">
      <c r="A3" s="2" t="inlineStr">
        <is>
          <t>Pathway / Sequence:</t>
        </is>
      </c>
      <c r="B3" s="2" t="inlineStr">
        <is>
          <t>Spectator Pathway, Sequence 6 · Hypnotist</t>
        </is>
      </c>
      <c r="C3" s="7" t="n"/>
      <c r="D3" s="8" t="n"/>
    </row>
    <row r="4">
      <c r="A4" s="2" t="inlineStr">
        <is>
          <t>Faction:</t>
        </is>
      </c>
      <c r="B4" s="2" t="inlineStr">
        <is>
          <t>None (Independent)</t>
        </is>
      </c>
      <c r="C4" s="7" t="n"/>
      <c r="D4" s="8" t="n"/>
    </row>
    <row r="5">
      <c r="A5" s="2" t="inlineStr">
        <is>
          <t>Role / Status:</t>
        </is>
      </c>
      <c r="B5" s="2" t="inlineStr">
        <is>
          <t>Antagonist of “The Crimson Ball of the White Room”</t>
        </is>
      </c>
      <c r="C5" s="7" t="n"/>
      <c r="D5" s="8" t="n"/>
    </row>
    <row r="6">
      <c r="A6" s="2" t="inlineStr">
        <is>
          <t>Attitude toward Players:</t>
        </is>
      </c>
      <c r="B6" s="2" t="inlineStr">
        <is>
          <t>Hostile — those who intrude on the ball</t>
        </is>
      </c>
      <c r="C6" s="7" t="n"/>
      <c r="D6" s="8" t="n"/>
    </row>
    <row r="7"/>
    <row r="8">
      <c r="A8" s="3" t="inlineStr">
        <is>
          <t>Core Attributes</t>
        </is>
      </c>
      <c r="B8" s="4" t="n"/>
      <c r="C8" s="4" t="n"/>
      <c r="D8" s="4" t="n"/>
      <c r="E8" s="4" t="n"/>
      <c r="F8" s="4" t="n"/>
    </row>
    <row r="9">
      <c r="A9" s="2" t="inlineStr">
        <is>
          <t>Charisma (CHA)</t>
        </is>
      </c>
      <c r="B9" s="5" t="n">
        <v>55</v>
      </c>
      <c r="C9" s="5" t="n">
        <v>50</v>
      </c>
      <c r="D9" s="5" t="n">
        <v>35</v>
      </c>
      <c r="E9" s="5" t="n">
        <v>45</v>
      </c>
      <c r="F9" s="5" t="n">
        <v>65</v>
      </c>
    </row>
    <row r="10"/>
    <row r="11">
      <c r="A11" s="3" t="inlineStr">
        <is>
          <t>Derived Attributes (Auto-calculated)</t>
        </is>
      </c>
      <c r="B11" s="4" t="n"/>
      <c r="C11" s="4" t="n"/>
      <c r="D11" s="4" t="n"/>
      <c r="E11" s="4" t="n"/>
      <c r="F11" s="4" t="n"/>
    </row>
    <row r="12">
      <c r="A12" s="2" t="inlineStr">
        <is>
          <t>HP</t>
        </is>
      </c>
      <c r="B12" s="5">
        <f>D9*2+15</f>
        <v/>
      </c>
      <c r="C12" s="6" t="n"/>
    </row>
    <row r="13">
      <c r="A13" s="2" t="inlineStr">
        <is>
          <t>Spirit Pool (SP)</t>
        </is>
      </c>
      <c r="B13" s="5">
        <f>B9*3+5</f>
        <v/>
      </c>
      <c r="C13" s="6" t="n"/>
    </row>
    <row r="14">
      <c r="A14" s="2" t="inlineStr">
        <is>
          <t>Loss of Control Threshold (LoCT)</t>
        </is>
      </c>
      <c r="B14" s="5">
        <f>C9*2+10</f>
        <v/>
      </c>
      <c r="C14" s="6" t="n"/>
    </row>
    <row r="15">
      <c r="A15" s="2" t="inlineStr">
        <is>
          <t>Loss of Control (LoC)</t>
        </is>
      </c>
      <c r="B15" s="5" t="inlineStr">
        <is>
          <t>(per scenario setup)</t>
        </is>
      </c>
      <c r="C15" s="6" t="n"/>
    </row>
    <row r="16">
      <c r="A16" s="2" t="inlineStr">
        <is>
          <t>Initiative</t>
        </is>
      </c>
      <c r="B16" s="5" t="inlineStr">
        <is>
          <t>45 + d10</t>
        </is>
      </c>
      <c r="C16" s="6" t="n"/>
    </row>
    <row r="17"/>
    <row r="18">
      <c r="A18" s="3" t="inlineStr">
        <is>
          <t>Combat Data</t>
        </is>
      </c>
      <c r="B18" s="4" t="n"/>
      <c r="C18" s="4" t="n"/>
      <c r="D18" s="4" t="n"/>
      <c r="E18" s="4" t="n"/>
      <c r="F18" s="4" t="n"/>
    </row>
    <row r="19">
      <c r="A19" s="2" t="inlineStr">
        <is>
          <t>Attack: Dancing Hypnosis (+20 / area Charm / 20m), Emotional Storm (+15 / 3d6 Mental / all targets)</t>
        </is>
      </c>
      <c r="B19" s="7" t="n"/>
      <c r="C19" s="7" t="n"/>
      <c r="D19" s="7" t="n"/>
      <c r="E19" s="7" t="n"/>
      <c r="F19" s="8" t="n"/>
    </row>
    <row r="20">
      <c r="A20" s="2" t="inlineStr">
        <is>
          <t>Powers: Tempo Control (Reaction / control hypnotized targets), Eternal Waltz (HP&lt;50% rampage)</t>
        </is>
      </c>
      <c r="B20" s="7" t="n"/>
      <c r="C20" s="7" t="n"/>
      <c r="D20" s="7" t="n"/>
      <c r="E20" s="7" t="n"/>
      <c r="F20" s="8" t="n"/>
    </row>
    <row r="21"/>
    <row r="22">
      <c r="A22" s="3" t="inlineStr">
        <is>
          <t>Character Description</t>
        </is>
      </c>
      <c r="B22" s="4" t="n"/>
      <c r="C22" s="4" t="n"/>
      <c r="D22" s="4" t="n"/>
      <c r="E22" s="4" t="n"/>
      <c r="F22" s="4" t="n"/>
    </row>
    <row r="23">
      <c r="A23" s="2" t="inlineStr">
        <is>
          <t>Backstory:</t>
        </is>
      </c>
      <c r="B23" s="2" t="inlineStr">
        <is>
          <t>A survivor of the Royal Theater fire five years ago. After losing control, her powers ran rampant, binding her audience in an eternal dance illusion. She lives inside the lie she created — convinced that if only the ball were perfect enough, everything could begin again.</t>
        </is>
      </c>
      <c r="C23" s="7" t="n"/>
      <c r="D23" s="7" t="n"/>
      <c r="E23" s="7" t="n"/>
      <c r="F23" s="8" t="n"/>
    </row>
    <row r="24">
      <c r="A24" s="2" t="inlineStr">
        <is>
          <t>Known Secrets:</t>
        </is>
      </c>
      <c r="B24" s="2" t="inlineStr">
        <is>
          <t>What she does not know: everyone at the fire died. She is the only survivor — and the only prisoner.</t>
        </is>
      </c>
      <c r="C24" s="7" t="n"/>
      <c r="D24" s="7" t="n"/>
      <c r="E24" s="7" t="n"/>
      <c r="F24" s="8" t="n"/>
    </row>
    <row r="25">
      <c r="A25" s="2" t="inlineStr">
        <is>
          <t>Notes:</t>
        </is>
      </c>
      <c r="B25" s="2" t="inlineStr">
        <is>
          <t>Weakness: −20 Mind when confronted with the truth of the fire. The redemption path requires a Recall check (Charisma +20).</t>
        </is>
      </c>
      <c r="C25" s="7" t="n"/>
      <c r="D25" s="7" t="n"/>
      <c r="E25" s="7" t="n"/>
      <c r="F25" s="8" t="n"/>
    </row>
  </sheetData>
  <mergeCells count="10">
    <mergeCell ref="B3:D3"/>
    <mergeCell ref="B5:D5"/>
    <mergeCell ref="B24:F24"/>
    <mergeCell ref="A19:F19"/>
    <mergeCell ref="A1:F1"/>
    <mergeCell ref="B25:F25"/>
    <mergeCell ref="B4:D4"/>
    <mergeCell ref="B23:F23"/>
    <mergeCell ref="A20:F20"/>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Director Morrison (James Morrison)</t>
        </is>
      </c>
    </row>
    <row r="2"/>
    <row r="3">
      <c r="A3" s="2" t="inlineStr">
        <is>
          <t>Pathway / Sequence:</t>
        </is>
      </c>
      <c r="B3" s="2" t="inlineStr">
        <is>
          <t>Secrets Suppliant Pathway, Sequence 7 · Shadow Ascetic</t>
        </is>
      </c>
      <c r="C3" s="7" t="n"/>
      <c r="D3" s="8" t="n"/>
    </row>
    <row r="4">
      <c r="A4" s="2" t="inlineStr">
        <is>
          <t>Faction:</t>
        </is>
      </c>
      <c r="B4" s="2" t="inlineStr">
        <is>
          <t>None (Independent)</t>
        </is>
      </c>
      <c r="C4" s="7" t="n"/>
      <c r="D4" s="8" t="n"/>
    </row>
    <row r="5">
      <c r="A5" s="2" t="inlineStr">
        <is>
          <t>Role / Status:</t>
        </is>
      </c>
      <c r="B5" s="2" t="inlineStr">
        <is>
          <t>Antagonist of “Whispers Beneath the Gray Fog”</t>
        </is>
      </c>
      <c r="C5" s="7" t="n"/>
      <c r="D5" s="8" t="n"/>
    </row>
    <row r="6">
      <c r="A6" s="2" t="inlineStr">
        <is>
          <t>Attitude toward Players:</t>
        </is>
      </c>
      <c r="B6" s="2" t="inlineStr">
        <is>
          <t>Hostile — those who oppose the plan</t>
        </is>
      </c>
      <c r="C6" s="7" t="n"/>
      <c r="D6" s="8" t="n"/>
    </row>
    <row r="7"/>
    <row r="8">
      <c r="A8" s="3" t="inlineStr">
        <is>
          <t>Core Attributes</t>
        </is>
      </c>
      <c r="B8" s="4" t="n"/>
      <c r="C8" s="4" t="n"/>
      <c r="D8" s="4" t="n"/>
      <c r="E8" s="4" t="n"/>
      <c r="F8" s="4" t="n"/>
    </row>
    <row r="9">
      <c r="A9" s="2" t="inlineStr">
        <is>
          <t>Charisma (CHA)</t>
        </is>
      </c>
      <c r="B9" s="5" t="n">
        <v>60</v>
      </c>
      <c r="C9" s="5" t="n">
        <v>45</v>
      </c>
      <c r="D9" s="5" t="n">
        <v>40</v>
      </c>
      <c r="E9" s="5" t="n">
        <v>30</v>
      </c>
      <c r="F9" s="5" t="n">
        <v>30</v>
      </c>
    </row>
    <row r="10"/>
    <row r="11">
      <c r="A11" s="3" t="inlineStr">
        <is>
          <t>Derived Attributes (Auto-calculated)</t>
        </is>
      </c>
      <c r="B11" s="4" t="n"/>
      <c r="C11" s="4" t="n"/>
      <c r="D11" s="4" t="n"/>
      <c r="E11" s="4" t="n"/>
      <c r="F11" s="4" t="n"/>
    </row>
    <row r="12">
      <c r="A12" s="2" t="inlineStr">
        <is>
          <t>HP</t>
        </is>
      </c>
      <c r="B12" s="5">
        <f>D9*2+15</f>
        <v/>
      </c>
      <c r="C12" s="6" t="n"/>
    </row>
    <row r="13">
      <c r="A13" s="2" t="inlineStr">
        <is>
          <t>Spirit Pool (SP)</t>
        </is>
      </c>
      <c r="B13" s="5">
        <f>B9*3+5</f>
        <v/>
      </c>
      <c r="C13" s="6" t="n"/>
    </row>
    <row r="14">
      <c r="A14" s="2" t="inlineStr">
        <is>
          <t>Loss of Control Threshold (LoCT)</t>
        </is>
      </c>
      <c r="B14" s="5">
        <f>C9*2+10</f>
        <v/>
      </c>
      <c r="C14" s="6" t="n"/>
    </row>
    <row r="15">
      <c r="A15" s="2" t="inlineStr">
        <is>
          <t>Loss of Control (LoC)</t>
        </is>
      </c>
      <c r="B15" s="5" t="inlineStr">
        <is>
          <t>(per scenario setup)</t>
        </is>
      </c>
      <c r="C15" s="6" t="n"/>
    </row>
    <row r="16">
      <c r="A16" s="2" t="inlineStr">
        <is>
          <t>Initiative</t>
        </is>
      </c>
      <c r="B16" s="5" t="inlineStr">
        <is>
          <t>30 + d10</t>
        </is>
      </c>
      <c r="C16" s="6" t="n"/>
    </row>
    <row r="17"/>
    <row r="18">
      <c r="A18" s="3" t="inlineStr">
        <is>
          <t>Combat Data</t>
        </is>
      </c>
      <c r="B18" s="4" t="n"/>
      <c r="C18" s="4" t="n"/>
      <c r="D18" s="4" t="n"/>
      <c r="E18" s="4" t="n"/>
      <c r="F18" s="4" t="n"/>
    </row>
    <row r="19">
      <c r="A19" s="2" t="inlineStr">
        <is>
          <t>Attack: Shadow Touch (+15 / 3d6 Dark / melee), Sacrificial Blade (+15 / 2d8 Dark + Curse / 10m)</t>
        </is>
      </c>
      <c r="B19" s="7" t="n"/>
      <c r="C19" s="7" t="n"/>
      <c r="D19" s="7" t="n"/>
      <c r="E19" s="7" t="n"/>
      <c r="F19" s="8" t="n"/>
    </row>
    <row r="20">
      <c r="A20" s="2" t="inlineStr">
        <is>
          <t>Powers: Shadow Stealth (1 AP / fully concealed), Summon Shadow Servants ×2</t>
        </is>
      </c>
      <c r="B20" s="7" t="n"/>
      <c r="C20" s="7" t="n"/>
      <c r="D20" s="7" t="n"/>
      <c r="E20" s="7" t="n"/>
      <c r="F20" s="8" t="n"/>
    </row>
    <row r="21"/>
    <row r="22">
      <c r="A22" s="3" t="inlineStr">
        <is>
          <t>Character Description</t>
        </is>
      </c>
      <c r="B22" s="4" t="n"/>
      <c r="C22" s="4" t="n"/>
      <c r="D22" s="4" t="n"/>
      <c r="E22" s="4" t="n"/>
      <c r="F22" s="4" t="n"/>
    </row>
    <row r="23">
      <c r="A23" s="2" t="inlineStr">
        <is>
          <t>Backstory:</t>
        </is>
      </c>
      <c r="B23" s="2" t="inlineStr">
        <is>
          <t>A former textile worker. His wife died in a factory accident. He consumed a Secrets Suppliant potion seeking revenge, but was led toward the Abyss by the whispers of a hidden existence. Now he sacrifices the memories of workers in exchange for a promise to “bring his wife back.”</t>
        </is>
      </c>
      <c r="C23" s="7" t="n"/>
      <c r="D23" s="7" t="n"/>
      <c r="E23" s="7" t="n"/>
      <c r="F23" s="8" t="n"/>
    </row>
    <row r="24">
      <c r="A24" s="2" t="inlineStr">
        <is>
          <t>Known Secrets:</t>
        </is>
      </c>
      <c r="B24" s="2" t="inlineStr">
        <is>
          <t>The hidden existence will never fulfill its promise. The director is merely its tool for harvesting memory material.</t>
        </is>
      </c>
      <c r="C24" s="7" t="n"/>
      <c r="D24" s="7" t="n"/>
      <c r="E24" s="7" t="n"/>
      <c r="F24" s="8" t="n"/>
    </row>
    <row r="25">
      <c r="A25" s="2" t="inlineStr">
        <is>
          <t>Notes:</t>
        </is>
      </c>
      <c r="B25" s="2" t="inlineStr">
        <is>
          <t>Weakness: Shadow Stealth fails in bright light. Interrupting the ritual backfires (+10 Loss of Control). Redemption requires evoking memories of his wife.</t>
        </is>
      </c>
      <c r="C25" s="7" t="n"/>
      <c r="D25" s="7" t="n"/>
      <c r="E25" s="7" t="n"/>
      <c r="F25" s="8" t="n"/>
    </row>
  </sheetData>
  <mergeCells count="10">
    <mergeCell ref="B3:D3"/>
    <mergeCell ref="B5:D5"/>
    <mergeCell ref="B24:F24"/>
    <mergeCell ref="A19:F19"/>
    <mergeCell ref="A1:F1"/>
    <mergeCell ref="B25:F25"/>
    <mergeCell ref="B4:D4"/>
    <mergeCell ref="B23:F23"/>
    <mergeCell ref="A20:F20"/>
    <mergeCell ref="B6: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Old John (John Grayson)</t>
        </is>
      </c>
    </row>
    <row r="2"/>
    <row r="3">
      <c r="A3" s="2" t="inlineStr">
        <is>
          <t>Pathway / Sequence:</t>
        </is>
      </c>
      <c r="B3" s="2" t="inlineStr">
        <is>
          <t>Spectator Pathway, Sequence 5 · Dreamwalker (Retired)</t>
        </is>
      </c>
      <c r="C3" s="7" t="n"/>
      <c r="D3" s="8" t="n"/>
    </row>
    <row r="4">
      <c r="A4" s="2" t="inlineStr">
        <is>
          <t>Faction:</t>
        </is>
      </c>
      <c r="B4" s="2" t="inlineStr">
        <is>
          <t>Independent Merchant</t>
        </is>
      </c>
      <c r="C4" s="7" t="n"/>
      <c r="D4" s="8" t="n"/>
    </row>
    <row r="5">
      <c r="A5" s="2" t="inlineStr">
        <is>
          <t>Role / Status:</t>
        </is>
      </c>
      <c r="B5" s="2" t="inlineStr">
        <is>
          <t>Warehouse No. 10 Manager / Information Source</t>
        </is>
      </c>
      <c r="C5" s="7" t="n"/>
      <c r="D5" s="8" t="n"/>
    </row>
    <row r="6">
      <c r="A6" s="2" t="inlineStr">
        <is>
          <t>Attitude toward Players:</t>
        </is>
      </c>
      <c r="B6" s="2" t="inlineStr">
        <is>
          <t>Friendly — as long as the price is fair</t>
        </is>
      </c>
      <c r="C6" s="7" t="n"/>
      <c r="D6" s="8" t="n"/>
    </row>
    <row r="7"/>
    <row r="8">
      <c r="A8" s="3" t="inlineStr">
        <is>
          <t>Core Attributes</t>
        </is>
      </c>
      <c r="B8" s="4" t="n"/>
      <c r="C8" s="4" t="n"/>
      <c r="D8" s="4" t="n"/>
      <c r="E8" s="4" t="n"/>
      <c r="F8" s="4" t="n"/>
    </row>
    <row r="9">
      <c r="A9" s="2" t="inlineStr">
        <is>
          <t>Charisma (CHA)</t>
        </is>
      </c>
      <c r="B9" s="5" t="n">
        <v>40</v>
      </c>
      <c r="C9" s="5" t="n">
        <v>60</v>
      </c>
      <c r="D9" s="5" t="n">
        <v>35</v>
      </c>
      <c r="E9" s="5" t="n">
        <v>25</v>
      </c>
      <c r="F9" s="5" t="n">
        <v>55</v>
      </c>
    </row>
    <row r="10"/>
    <row r="11">
      <c r="A11" s="3" t="inlineStr">
        <is>
          <t>Derived Attributes (Auto-calculated)</t>
        </is>
      </c>
      <c r="B11" s="4" t="n"/>
      <c r="C11" s="4" t="n"/>
      <c r="D11" s="4" t="n"/>
      <c r="E11" s="4" t="n"/>
      <c r="F11" s="4" t="n"/>
    </row>
    <row r="12">
      <c r="A12" s="2" t="inlineStr">
        <is>
          <t>HP</t>
        </is>
      </c>
      <c r="B12" s="5">
        <f>D9*2+15</f>
        <v/>
      </c>
      <c r="C12" s="6" t="n"/>
    </row>
    <row r="13">
      <c r="A13" s="2" t="inlineStr">
        <is>
          <t>Spirit Pool (SP)</t>
        </is>
      </c>
      <c r="B13" s="5">
        <f>B9*3+5</f>
        <v/>
      </c>
      <c r="C13" s="6" t="n"/>
    </row>
    <row r="14">
      <c r="A14" s="2" t="inlineStr">
        <is>
          <t>Loss of Control Threshold (LoCT)</t>
        </is>
      </c>
      <c r="B14" s="5">
        <f>C9*2+10</f>
        <v/>
      </c>
      <c r="C14" s="6" t="n"/>
    </row>
    <row r="15">
      <c r="A15" s="2" t="inlineStr">
        <is>
          <t>Loss of Control (LoC)</t>
        </is>
      </c>
      <c r="B15" s="5" t="inlineStr">
        <is>
          <t>(per scenario setup)</t>
        </is>
      </c>
      <c r="C15" s="6" t="n"/>
    </row>
    <row r="16">
      <c r="A16" s="2" t="inlineStr">
        <is>
          <t>Initiative</t>
        </is>
      </c>
      <c r="B16" s="5" t="inlineStr">
        <is>
          <t>25 + d10</t>
        </is>
      </c>
      <c r="C16" s="6" t="n"/>
    </row>
    <row r="17"/>
    <row r="18">
      <c r="A18" s="3" t="inlineStr">
        <is>
          <t>Combat Data</t>
        </is>
      </c>
      <c r="B18" s="4" t="n"/>
      <c r="C18" s="4" t="n"/>
      <c r="D18" s="4" t="n"/>
      <c r="E18" s="4" t="n"/>
      <c r="F18" s="4" t="n"/>
    </row>
    <row r="19">
      <c r="A19" s="2" t="inlineStr">
        <is>
          <t>Unwilling to fight. If forced: Enter Dream (full turn / puts target to sleep / falls asleep himself)</t>
        </is>
      </c>
      <c r="B19" s="7" t="n"/>
      <c r="C19" s="7" t="n"/>
      <c r="D19" s="7" t="n"/>
      <c r="E19" s="7" t="n"/>
      <c r="F19" s="8" t="n"/>
    </row>
    <row r="20">
      <c r="A20" s="2" t="inlineStr">
        <is>
          <t>Combat Data: No active attack ability. Very low initiative (−10).</t>
        </is>
      </c>
      <c r="B20" s="7" t="n"/>
      <c r="C20" s="7" t="n"/>
      <c r="D20" s="7" t="n"/>
      <c r="E20" s="7" t="n"/>
      <c r="F20" s="8" t="n"/>
    </row>
    <row r="21"/>
    <row r="22">
      <c r="A22" s="3" t="inlineStr">
        <is>
          <t>Character Description</t>
        </is>
      </c>
      <c r="B22" s="4" t="n"/>
      <c r="C22" s="4" t="n"/>
      <c r="D22" s="4" t="n"/>
      <c r="E22" s="4" t="n"/>
      <c r="F22" s="4" t="n"/>
    </row>
    <row r="23">
      <c r="A23" s="2" t="inlineStr">
        <is>
          <t>Backstory:</t>
        </is>
      </c>
      <c r="B23" s="2" t="inlineStr">
        <is>
          <t>A retired Beyonder merchant. He runs a Sealed Artifact black market from a disguised warehouse at the docks of the Ash Harbor District. In his youth he was an elite Beyonder of the Spectator Pathway, but permanently lost his Enter Dream ability after a loss-of-control incident (though he retained his dream knowledge). Now he does business on experience and connections.</t>
        </is>
      </c>
      <c r="C23" s="7" t="n"/>
      <c r="D23" s="7" t="n"/>
      <c r="E23" s="7" t="n"/>
      <c r="F23" s="8" t="n"/>
    </row>
    <row r="24">
      <c r="A24" s="2" t="inlineStr">
        <is>
          <t>Known Secrets:</t>
        </is>
      </c>
      <c r="B24" s="2" t="inlineStr">
        <is>
          <t>He knows the disguised identities of at least three high-ranking existences — but would never say. He can sense the “true intent” of anyone who enters the warehouse.</t>
        </is>
      </c>
      <c r="C24" s="7" t="n"/>
      <c r="D24" s="7" t="n"/>
      <c r="E24" s="7" t="n"/>
      <c r="F24" s="8" t="n"/>
    </row>
    <row r="25">
      <c r="A25" s="2" t="inlineStr">
        <is>
          <t>Notes:</t>
        </is>
      </c>
      <c r="B25" s="2" t="inlineStr">
        <is>
          <t>Players can obtain information, buy Sealed Artifacts, and accept commissions here. When affinity is high enough, he will proactively offer leads.</t>
        </is>
      </c>
      <c r="C25" s="7" t="n"/>
      <c r="D25" s="7" t="n"/>
      <c r="E25" s="7" t="n"/>
      <c r="F25" s="8" t="n"/>
    </row>
  </sheetData>
  <mergeCells count="10">
    <mergeCell ref="B3:D3"/>
    <mergeCell ref="B5:D5"/>
    <mergeCell ref="B24:F24"/>
    <mergeCell ref="A19:F19"/>
    <mergeCell ref="A1:F1"/>
    <mergeCell ref="B25:F25"/>
    <mergeCell ref="B4:D4"/>
    <mergeCell ref="B23:F23"/>
    <mergeCell ref="A20:F20"/>
    <mergeCell ref="B6:D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Engineer Valerie</t>
        </is>
      </c>
    </row>
    <row r="2"/>
    <row r="3">
      <c r="A3" s="2" t="inlineStr">
        <is>
          <t>Pathway / Sequence:</t>
        </is>
      </c>
      <c r="B3" s="2" t="inlineStr">
        <is>
          <t>Savant Pathway, Sequence 6 · Artisan</t>
        </is>
      </c>
      <c r="C3" s="7" t="n"/>
      <c r="D3" s="8" t="n"/>
    </row>
    <row r="4">
      <c r="A4" s="2" t="inlineStr">
        <is>
          <t>Faction:</t>
        </is>
      </c>
      <c r="B4" s="2" t="inlineStr">
        <is>
          <t>Gear Council</t>
        </is>
      </c>
      <c r="C4" s="7" t="n"/>
      <c r="D4" s="8" t="n"/>
    </row>
    <row r="5">
      <c r="A5" s="2" t="inlineStr">
        <is>
          <t>Role / Status:</t>
        </is>
      </c>
      <c r="B5" s="2" t="inlineStr">
        <is>
          <t>Antagonist of “Warehouse No. 10” / Blackwood’s Lieutenant</t>
        </is>
      </c>
      <c r="C5" s="7" t="n"/>
      <c r="D5" s="8" t="n"/>
    </row>
    <row r="6">
      <c r="A6" s="2" t="inlineStr">
        <is>
          <t>Attitude toward Players:</t>
        </is>
      </c>
      <c r="B6" s="2" t="inlineStr">
        <is>
          <t>Hostile — those who obstruct the plan</t>
        </is>
      </c>
      <c r="C6" s="7" t="n"/>
      <c r="D6" s="8" t="n"/>
    </row>
    <row r="7"/>
    <row r="8">
      <c r="A8" s="3" t="inlineStr">
        <is>
          <t>Core Attributes</t>
        </is>
      </c>
      <c r="B8" s="4" t="n"/>
      <c r="C8" s="4" t="n"/>
      <c r="D8" s="4" t="n"/>
      <c r="E8" s="4" t="n"/>
      <c r="F8" s="4" t="n"/>
    </row>
    <row r="9">
      <c r="A9" s="2" t="inlineStr">
        <is>
          <t>Charisma (CHA)</t>
        </is>
      </c>
      <c r="B9" s="5" t="n">
        <v>40</v>
      </c>
      <c r="C9" s="5" t="n">
        <v>60</v>
      </c>
      <c r="D9" s="5" t="n">
        <v>35</v>
      </c>
      <c r="E9" s="5" t="n">
        <v>45</v>
      </c>
      <c r="F9" s="5" t="n">
        <v>35</v>
      </c>
    </row>
    <row r="10"/>
    <row r="11">
      <c r="A11" s="3" t="inlineStr">
        <is>
          <t>Derived Attributes (Auto-calculated)</t>
        </is>
      </c>
      <c r="B11" s="4" t="n"/>
      <c r="C11" s="4" t="n"/>
      <c r="D11" s="4" t="n"/>
      <c r="E11" s="4" t="n"/>
      <c r="F11" s="4" t="n"/>
    </row>
    <row r="12">
      <c r="A12" s="2" t="inlineStr">
        <is>
          <t>HP</t>
        </is>
      </c>
      <c r="B12" s="5">
        <f>D9*2+15</f>
        <v/>
      </c>
      <c r="C12" s="6" t="n"/>
    </row>
    <row r="13">
      <c r="A13" s="2" t="inlineStr">
        <is>
          <t>Spirit Pool (SP)</t>
        </is>
      </c>
      <c r="B13" s="5">
        <f>B9*3+5</f>
        <v/>
      </c>
      <c r="C13" s="6" t="n"/>
    </row>
    <row r="14">
      <c r="A14" s="2" t="inlineStr">
        <is>
          <t>Loss of Control Threshold (LoCT)</t>
        </is>
      </c>
      <c r="B14" s="5">
        <f>C9*2+10</f>
        <v/>
      </c>
      <c r="C14" s="6" t="n"/>
    </row>
    <row r="15">
      <c r="A15" s="2" t="inlineStr">
        <is>
          <t>Loss of Control (LoC)</t>
        </is>
      </c>
      <c r="B15" s="5" t="inlineStr">
        <is>
          <t>(per scenario setup)</t>
        </is>
      </c>
      <c r="C15" s="6" t="n"/>
    </row>
    <row r="16">
      <c r="A16" s="2" t="inlineStr">
        <is>
          <t>Initiative</t>
        </is>
      </c>
      <c r="B16" s="5" t="inlineStr">
        <is>
          <t>45 + d10</t>
        </is>
      </c>
      <c r="C16" s="6" t="n"/>
    </row>
    <row r="17"/>
    <row r="18">
      <c r="A18" s="3" t="inlineStr">
        <is>
          <t>Combat Data</t>
        </is>
      </c>
      <c r="B18" s="4" t="n"/>
      <c r="C18" s="4" t="n"/>
      <c r="D18" s="4" t="n"/>
      <c r="E18" s="4" t="n"/>
      <c r="F18" s="4" t="n"/>
    </row>
    <row r="19">
      <c r="A19" s="2" t="inlineStr">
        <is>
          <t>Attack: Steam Jet (+20 / 2d8 Fire / 10m / knockback), Wrench Smash (+20 / 2d6+10 / melee)</t>
        </is>
      </c>
      <c r="B19" s="7" t="n"/>
      <c r="C19" s="7" t="n"/>
      <c r="D19" s="7" t="n"/>
      <c r="E19" s="7" t="n"/>
      <c r="F19" s="8" t="n"/>
    </row>
    <row r="20">
      <c r="A20" s="2" t="inlineStr">
        <is>
          <t>Powers: Machinery Control (operate environment machinery), Precision Traps (3), Sealed Artifact Disassembly</t>
        </is>
      </c>
      <c r="B20" s="7" t="n"/>
      <c r="C20" s="7" t="n"/>
      <c r="D20" s="7" t="n"/>
      <c r="E20" s="7" t="n"/>
      <c r="F20" s="8" t="n"/>
    </row>
    <row r="21"/>
    <row r="22">
      <c r="A22" s="3" t="inlineStr">
        <is>
          <t>Character Description</t>
        </is>
      </c>
      <c r="B22" s="4" t="n"/>
      <c r="C22" s="4" t="n"/>
      <c r="D22" s="4" t="n"/>
      <c r="E22" s="4" t="n"/>
      <c r="F22" s="4" t="n"/>
    </row>
    <row r="23">
      <c r="A23" s="2" t="inlineStr">
        <is>
          <t>Backstory:</t>
        </is>
      </c>
      <c r="B23" s="2" t="inlineStr">
        <is>
          <t>Dr. Blackwood’s former student and most loyal assistant. She believes in the Doctor’s theory — that the Pathway system is a “prison.” She takes part in collecting Sealed Artifacts not to destroy them, but to “disassemble and study” them — to understand how each artifact’s Beyonder traits can be recombined.</t>
        </is>
      </c>
      <c r="C23" s="7" t="n"/>
      <c r="D23" s="7" t="n"/>
      <c r="E23" s="7" t="n"/>
      <c r="F23" s="8" t="n"/>
    </row>
    <row r="24">
      <c r="A24" s="2" t="inlineStr">
        <is>
          <t>Known Secrets:</t>
        </is>
      </c>
      <c r="B24" s="2" t="inlineStr">
        <is>
          <t>Secretly she fears the Doctor’s theory is wrong. She takes part in the research not out of belief — but because she does not want to let her mentor down.</t>
        </is>
      </c>
      <c r="C24" s="7" t="n"/>
      <c r="D24" s="7" t="n"/>
      <c r="E24" s="7" t="n"/>
      <c r="F24" s="8" t="n"/>
    </row>
    <row r="25">
      <c r="A25" s="2" t="inlineStr">
        <is>
          <t>Notes:</t>
        </is>
      </c>
      <c r="B25" s="2" t="inlineStr">
        <is>
          <t>Weakness: her powers are halved once the Difference Engine is destroyed. Can be persuaded (requires the Doctor’s wife’s keepsake).</t>
        </is>
      </c>
      <c r="C25" s="7" t="n"/>
      <c r="D25" s="7" t="n"/>
      <c r="E25" s="7" t="n"/>
      <c r="F25" s="8" t="n"/>
    </row>
  </sheetData>
  <mergeCells count="10">
    <mergeCell ref="B3:D3"/>
    <mergeCell ref="B5:D5"/>
    <mergeCell ref="B24:F24"/>
    <mergeCell ref="A19:F19"/>
    <mergeCell ref="A1:F1"/>
    <mergeCell ref="B25:F25"/>
    <mergeCell ref="B4:D4"/>
    <mergeCell ref="B23:F23"/>
    <mergeCell ref="A20:F20"/>
    <mergeCell ref="B6:D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Dr. Blackwood</t>
        </is>
      </c>
    </row>
    <row r="2"/>
    <row r="3">
      <c r="A3" s="2" t="inlineStr">
        <is>
          <t>Pathway / Sequence:</t>
        </is>
      </c>
      <c r="B3" s="2" t="inlineStr">
        <is>
          <t>Savant Pathway, Sequence 4 · Mechanical Heart</t>
        </is>
      </c>
      <c r="C3" s="7" t="n"/>
      <c r="D3" s="8" t="n"/>
    </row>
    <row r="4">
      <c r="A4" s="2" t="inlineStr">
        <is>
          <t>Faction:</t>
        </is>
      </c>
      <c r="B4" s="2" t="inlineStr">
        <is>
          <t>Gear Council (Founder)</t>
        </is>
      </c>
      <c r="C4" s="7" t="n"/>
      <c r="D4" s="8" t="n"/>
    </row>
    <row r="5">
      <c r="A5" s="2" t="inlineStr">
        <is>
          <t>Role / Status:</t>
        </is>
      </c>
      <c r="B5" s="2" t="inlineStr">
        <is>
          <t>Final Antagonist of the Series</t>
        </is>
      </c>
      <c r="C5" s="7" t="n"/>
      <c r="D5" s="8" t="n"/>
    </row>
    <row r="6">
      <c r="A6" s="2" t="inlineStr">
        <is>
          <t>Attitude toward Players:</t>
        </is>
      </c>
      <c r="B6" s="2" t="inlineStr">
        <is>
          <t>Non-hostile — “I merely wish to show you a window”</t>
        </is>
      </c>
      <c r="C6" s="7" t="n"/>
      <c r="D6" s="8" t="n"/>
    </row>
    <row r="7"/>
    <row r="8">
      <c r="A8" s="3" t="inlineStr">
        <is>
          <t>Core Attributes</t>
        </is>
      </c>
      <c r="B8" s="4" t="n"/>
      <c r="C8" s="4" t="n"/>
      <c r="D8" s="4" t="n"/>
      <c r="E8" s="4" t="n"/>
      <c r="F8" s="4" t="n"/>
    </row>
    <row r="9">
      <c r="A9" s="2" t="inlineStr">
        <is>
          <t>Charisma (CHA)</t>
        </is>
      </c>
      <c r="B9" s="5" t="n">
        <v>70</v>
      </c>
      <c r="C9" s="5" t="n">
        <v>80</v>
      </c>
      <c r="D9" s="5" t="n">
        <v>40</v>
      </c>
      <c r="E9" s="5" t="n">
        <v>35</v>
      </c>
      <c r="F9" s="5" t="n">
        <v>20</v>
      </c>
    </row>
    <row r="10"/>
    <row r="11">
      <c r="A11" s="3" t="inlineStr">
        <is>
          <t>Derived Attributes (Auto-calculated)</t>
        </is>
      </c>
      <c r="B11" s="4" t="n"/>
      <c r="C11" s="4" t="n"/>
      <c r="D11" s="4" t="n"/>
      <c r="E11" s="4" t="n"/>
      <c r="F11" s="4" t="n"/>
    </row>
    <row r="12">
      <c r="A12" s="2" t="inlineStr">
        <is>
          <t>HP</t>
        </is>
      </c>
      <c r="B12" s="5">
        <f>D9*2+15</f>
        <v/>
      </c>
      <c r="C12" s="6" t="n"/>
    </row>
    <row r="13">
      <c r="A13" s="2" t="inlineStr">
        <is>
          <t>Spirit Pool (SP)</t>
        </is>
      </c>
      <c r="B13" s="5">
        <f>B9*3+5</f>
        <v/>
      </c>
      <c r="C13" s="6" t="n"/>
    </row>
    <row r="14">
      <c r="A14" s="2" t="inlineStr">
        <is>
          <t>Loss of Control Threshold (LoCT)</t>
        </is>
      </c>
      <c r="B14" s="5">
        <f>C9*2+10</f>
        <v/>
      </c>
      <c r="C14" s="6" t="n"/>
    </row>
    <row r="15">
      <c r="A15" s="2" t="inlineStr">
        <is>
          <t>Loss of Control (LoC)</t>
        </is>
      </c>
      <c r="B15" s="5" t="inlineStr">
        <is>
          <t>(per scenario setup)</t>
        </is>
      </c>
      <c r="C15" s="6" t="n"/>
    </row>
    <row r="16">
      <c r="A16" s="2" t="inlineStr">
        <is>
          <t>Initiative</t>
        </is>
      </c>
      <c r="B16" s="5" t="inlineStr">
        <is>
          <t>35 + d10</t>
        </is>
      </c>
      <c r="C16" s="6" t="n"/>
    </row>
    <row r="17"/>
    <row r="18">
      <c r="A18" s="3" t="inlineStr">
        <is>
          <t>Combat Data</t>
        </is>
      </c>
      <c r="B18" s="4" t="n"/>
      <c r="C18" s="4" t="n"/>
      <c r="D18" s="4" t="n"/>
      <c r="E18" s="4" t="n"/>
      <c r="F18" s="4" t="n"/>
    </row>
    <row r="19">
      <c r="A19" s="2" t="inlineStr">
        <is>
          <t>Attack: Mechanical Dominion (Passive / control all machinery), Difference Engine Calc (1 AP / +30 to attack after analysis)</t>
        </is>
      </c>
      <c r="B19" s="7" t="n"/>
      <c r="C19" s="7" t="n"/>
      <c r="D19" s="7" t="n"/>
      <c r="E19" s="7" t="n"/>
      <c r="F19" s="8" t="n"/>
    </row>
    <row r="20">
      <c r="A20" s="2" t="inlineStr">
        <is>
          <t>Powers: Rule Overwrite (rewrite physical rules), Mechanical Creation (summon CR=6 construct), Mental Broadcast (speak directly to players)</t>
        </is>
      </c>
      <c r="B20" s="7" t="n"/>
      <c r="C20" s="7" t="n"/>
      <c r="D20" s="7" t="n"/>
      <c r="E20" s="7" t="n"/>
      <c r="F20" s="8" t="n"/>
    </row>
    <row r="21">
      <c r="A21" s="2" t="inlineStr">
        <is>
          <t>Final Form (HP&lt;50%): Difference Engine Array self-replicates + artificial god descent</t>
        </is>
      </c>
      <c r="B21" s="7" t="n"/>
      <c r="C21" s="7" t="n"/>
      <c r="D21" s="7" t="n"/>
      <c r="E21" s="7" t="n"/>
      <c r="F21" s="8" t="n"/>
    </row>
    <row r="22"/>
    <row r="23">
      <c r="A23" s="3" t="inlineStr">
        <is>
          <t>Character Description</t>
        </is>
      </c>
      <c r="B23" s="4" t="n"/>
      <c r="C23" s="4" t="n"/>
      <c r="D23" s="4" t="n"/>
      <c r="E23" s="4" t="n"/>
      <c r="F23" s="4" t="n"/>
    </row>
    <row r="24">
      <c r="A24" s="2" t="inlineStr">
        <is>
          <t>Backstory:</t>
        </is>
      </c>
      <c r="B24" s="2" t="inlineStr">
        <is>
          <t>Former professor at Mistgrave University and a genius with the Difference Engine. He was expelled for proposing a “heretical” theory: that the 22 Pathways are “rules” that were designed, and Beyonders are locked inside a system set by a higher existence. He wants to use the Difference Engine to compute and create a 23rd Pathway — to prove the “prison” has a flaw. He is willing to be the first and last sacrifice.</t>
        </is>
      </c>
      <c r="C24" s="7" t="n"/>
      <c r="D24" s="7" t="n"/>
      <c r="E24" s="7" t="n"/>
      <c r="F24" s="8" t="n"/>
    </row>
    <row r="25">
      <c r="A25" s="2" t="inlineStr">
        <is>
          <t>Known Secrets:</t>
        </is>
      </c>
      <c r="B25" s="2" t="inlineStr">
        <is>
          <t>He discovered a message left by an ancient civilization in the Difference Engine’s database. The content of that message you will never know — except him.</t>
        </is>
      </c>
      <c r="C25" s="7" t="n"/>
      <c r="D25" s="7" t="n"/>
      <c r="E25" s="7" t="n"/>
      <c r="F25" s="8" t="n"/>
    </row>
    <row r="26">
      <c r="A26" s="2" t="inlineStr">
        <is>
          <t>Notes:</t>
        </is>
      </c>
      <c r="B26" s="2" t="inlineStr">
        <is>
          <t>Not an evil antagonist. A tragic figure. All three endings can be persuaded / formula-completed. Weakness: the Difference Engine Array — destroy 30% → powers drop to Sequence 5; 100% → loss of Beyonder powers.</t>
        </is>
      </c>
      <c r="C26" s="7" t="n"/>
      <c r="D26" s="7" t="n"/>
      <c r="E26" s="7" t="n"/>
      <c r="F26" s="8" t="n"/>
    </row>
  </sheetData>
  <mergeCells count="11">
    <mergeCell ref="B3:D3"/>
    <mergeCell ref="B5:D5"/>
    <mergeCell ref="B24:F24"/>
    <mergeCell ref="A19:F19"/>
    <mergeCell ref="A1:F1"/>
    <mergeCell ref="B25:F25"/>
    <mergeCell ref="B4:D4"/>
    <mergeCell ref="B26:F26"/>
    <mergeCell ref="A20:F20"/>
    <mergeCell ref="A21:F21"/>
    <mergeCell ref="B6:D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(Side Quest): Benedict (Drowned Man Tavernkeeper)</t>
        </is>
      </c>
    </row>
    <row r="2"/>
    <row r="3">
      <c r="A3" s="2" t="inlineStr">
        <is>
          <t>Pathway / Sequence:</t>
        </is>
      </c>
      <c r="B3" s="2" t="inlineStr">
        <is>
          <t>Justiciar Pathway, Sequence 7 (Retired)</t>
        </is>
      </c>
      <c r="C3" s="7" t="n"/>
      <c r="D3" s="8" t="n"/>
    </row>
    <row r="4">
      <c r="A4" s="2" t="inlineStr">
        <is>
          <t>Faction:</t>
        </is>
      </c>
      <c r="B4" s="2" t="inlineStr">
        <is>
          <t>Neutral / Retired Nighthawk</t>
        </is>
      </c>
      <c r="C4" s="7" t="n"/>
      <c r="D4" s="8" t="n"/>
    </row>
    <row r="5">
      <c r="A5" s="2" t="inlineStr">
        <is>
          <t>Role / Status:</t>
        </is>
      </c>
      <c r="B5" s="2" t="inlineStr">
        <is>
          <t>Drowned Man Tavernkeeper / Information Hub</t>
        </is>
      </c>
      <c r="C5" s="7" t="n"/>
      <c r="D5" s="8" t="n"/>
    </row>
    <row r="6">
      <c r="A6" s="2" t="inlineStr">
        <is>
          <t>Attitude toward Players:</t>
        </is>
      </c>
      <c r="B6" s="2" t="inlineStr">
        <is>
          <t>Friendly but reserved — trusts no one, but respects competence and integrity</t>
        </is>
      </c>
      <c r="C6" s="7" t="n"/>
      <c r="D6" s="8" t="n"/>
    </row>
    <row r="7"/>
    <row r="8">
      <c r="A8" s="3" t="inlineStr">
        <is>
          <t>Core Attributes</t>
        </is>
      </c>
      <c r="B8" s="4" t="n"/>
      <c r="C8" s="4" t="n"/>
      <c r="D8" s="4" t="n"/>
      <c r="E8" s="4" t="n"/>
      <c r="F8" s="4" t="n"/>
    </row>
    <row r="9">
      <c r="A9" s="2" t="inlineStr">
        <is>
          <t>Charisma (CHA)</t>
        </is>
      </c>
      <c r="B9" s="5" t="n">
        <v>35</v>
      </c>
      <c r="C9" s="5" t="n">
        <v>60</v>
      </c>
      <c r="D9" s="5" t="n">
        <v>30</v>
      </c>
      <c r="E9" s="5" t="n">
        <v>25</v>
      </c>
      <c r="F9" s="5" t="n">
        <v>45</v>
      </c>
    </row>
    <row r="10"/>
    <row r="11">
      <c r="A11" s="3" t="inlineStr">
        <is>
          <t>Derived Attributes (Auto-calculated)</t>
        </is>
      </c>
      <c r="B11" s="4" t="n"/>
      <c r="C11" s="4" t="n"/>
      <c r="D11" s="4" t="n"/>
      <c r="E11" s="4" t="n"/>
      <c r="F11" s="4" t="n"/>
    </row>
    <row r="12">
      <c r="A12" s="2" t="inlineStr">
        <is>
          <t>HP</t>
        </is>
      </c>
      <c r="B12" s="5">
        <f>D9*2+15</f>
        <v/>
      </c>
    </row>
    <row r="13">
      <c r="A13" s="2" t="inlineStr">
        <is>
          <t>Spirit Pool (SP)</t>
        </is>
      </c>
      <c r="B13" s="5">
        <f>B9*3+5</f>
        <v/>
      </c>
    </row>
    <row r="14">
      <c r="A14" s="2" t="inlineStr">
        <is>
          <t>Loss of Control Threshold (LoCT)</t>
        </is>
      </c>
      <c r="B14" s="5">
        <f>C9*2+10</f>
        <v/>
      </c>
    </row>
    <row r="15">
      <c r="A15" s="2" t="inlineStr">
        <is>
          <t>Initiative</t>
        </is>
      </c>
      <c r="B15" s="5" t="inlineStr">
        <is>
          <t>25 + d10</t>
        </is>
      </c>
    </row>
    <row r="16"/>
    <row r="17">
      <c r="A17" s="3" t="inlineStr">
        <is>
          <t>Combat Data</t>
        </is>
      </c>
      <c r="B17" s="4" t="n"/>
      <c r="C17" s="4" t="n"/>
      <c r="D17" s="4" t="n"/>
      <c r="E17" s="4" t="n"/>
      <c r="F17" s="4" t="n"/>
    </row>
    <row r="18">
      <c r="A18" s="2" t="inlineStr">
        <is>
          <t>Does not fight. Has not used his powers since his last battle thirty years ago.</t>
        </is>
      </c>
      <c r="B18" s="7" t="n"/>
      <c r="C18" s="7" t="n"/>
      <c r="D18" s="7" t="n"/>
      <c r="E18" s="7" t="n"/>
      <c r="F18" s="8" t="n"/>
    </row>
    <row r="19">
      <c r="A19" s="2" t="inlineStr">
        <is>
          <t>But if needed: Arbitration Declaration (d100 ≤ Charisma / both sides halt 1 turn), Truth Spell (target cannot lie)</t>
        </is>
      </c>
      <c r="B19" s="7" t="n"/>
      <c r="C19" s="7" t="n"/>
      <c r="D19" s="7" t="n"/>
      <c r="E19" s="7" t="n"/>
      <c r="F19" s="8" t="n"/>
    </row>
    <row r="20"/>
    <row r="21">
      <c r="A21" s="3" t="inlineStr">
        <is>
          <t>Character Description</t>
        </is>
      </c>
      <c r="B21" s="4" t="n"/>
      <c r="C21" s="4" t="n"/>
      <c r="D21" s="4" t="n"/>
      <c r="E21" s="4" t="n"/>
      <c r="F21" s="4" t="n"/>
    </row>
    <row r="22">
      <c r="A22" s="2" t="inlineStr">
        <is>
          <t>Backstory:</t>
        </is>
      </c>
      <c r="B22" s="2" t="inlineStr">
        <is>
          <t>Owner of the Drowned Man Tavern and former Nighthawk member. Thirty years ago he lost his partner Hall during a Sealed Artifact retrieval mission. Since then he has not used his Beyonder powers, becoming the gatekeeper and information relay of Gray Mist City’s Beyonder community. He is known for “not drinking” — not a drop for thirty years. Tonight he poured himself the first glass.</t>
        </is>
      </c>
      <c r="C22" s="7" t="n"/>
      <c r="D22" s="7" t="n"/>
      <c r="E22" s="7" t="n"/>
      <c r="F22" s="8" t="n"/>
    </row>
    <row r="23">
      <c r="A23" s="2" t="inlineStr">
        <is>
          <t>Known Secrets:</t>
        </is>
      </c>
      <c r="B23" s="2" t="inlineStr">
        <is>
          <t>Knows all the old faces within the Nighthawks. He keeps records of every commission from the past thirty years — if players need to trace the origin of something, Benedict may know. The only sin he wishes to atone for is Hall’s sacrifice.</t>
        </is>
      </c>
      <c r="C23" s="7" t="n"/>
      <c r="D23" s="7" t="n"/>
      <c r="E23" s="7" t="n"/>
      <c r="F23" s="8" t="n"/>
    </row>
    <row r="24">
      <c r="A24" s="2" t="inlineStr">
        <is>
          <t>Notes:</t>
        </is>
      </c>
      <c r="B24" s="2" t="inlineStr">
        <is>
          <t>Can build a long-term relationship with players. After completing the side quest “The Last Glass,” he may pass the tavern’s inheritance to the players.</t>
        </is>
      </c>
      <c r="C24" s="7" t="n"/>
      <c r="D24" s="7" t="n"/>
      <c r="E24" s="7" t="n"/>
      <c r="F24" s="8" t="n"/>
    </row>
    <row r="25">
      <c r="A25" s="2" t="inlineStr">
        <is>
          <t>Associated Side Quest:</t>
        </is>
      </c>
      <c r="B25" s="2" t="inlineStr">
        <is>
          <t>Side Quest 1: The Last Glass of the Drowned Man Tavern</t>
        </is>
      </c>
      <c r="C25" s="7" t="n"/>
      <c r="D25" s="7" t="n"/>
      <c r="E25" s="7" t="n"/>
      <c r="F25" s="8" t="n"/>
    </row>
  </sheetData>
  <mergeCells count="11">
    <mergeCell ref="B3:D3"/>
    <mergeCell ref="B5:D5"/>
    <mergeCell ref="B24:F24"/>
    <mergeCell ref="A19:F19"/>
    <mergeCell ref="A1:F1"/>
    <mergeCell ref="B25:F25"/>
    <mergeCell ref="B4:D4"/>
    <mergeCell ref="B23:F23"/>
    <mergeCell ref="A18:F18"/>
    <mergeCell ref="B22:F22"/>
    <mergeCell ref="B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(Side Quest): Manipulator (Edwin Gray)</t>
        </is>
      </c>
    </row>
    <row r="2"/>
    <row r="3">
      <c r="A3" s="2" t="inlineStr">
        <is>
          <t>Pathway / Sequence:</t>
        </is>
      </c>
      <c r="B3" s="2" t="inlineStr">
        <is>
          <t>Spectator Pathway, Sequence 4 · Manipulator</t>
        </is>
      </c>
      <c r="C3" s="7" t="n"/>
      <c r="D3" s="8" t="n"/>
    </row>
    <row r="4">
      <c r="A4" s="2" t="inlineStr">
        <is>
          <t>Faction:</t>
        </is>
      </c>
      <c r="B4" s="2" t="inlineStr">
        <is>
          <t>None (imprisoned in the basement of St. Maria Asylum)</t>
        </is>
      </c>
      <c r="C4" s="7" t="n"/>
      <c r="D4" s="8" t="n"/>
    </row>
    <row r="5">
      <c r="A5" s="2" t="inlineStr">
        <is>
          <t>Role / Status:</t>
        </is>
      </c>
      <c r="B5" s="2" t="inlineStr">
        <is>
          <t>De facto controller of the asylum’s underground laboratory</t>
        </is>
      </c>
      <c r="C5" s="7" t="n"/>
      <c r="D5" s="8" t="n"/>
    </row>
    <row r="6">
      <c r="A6" s="2" t="inlineStr">
        <is>
          <t>Attitude toward Players:</t>
        </is>
      </c>
      <c r="B6" s="2" t="inlineStr">
        <is>
          <t>Seems friendly, but is actually manipulating — he believes he is “helping” the lost find release</t>
        </is>
      </c>
      <c r="C6" s="7" t="n"/>
      <c r="D6" s="8" t="n"/>
    </row>
    <row r="7"/>
    <row r="8">
      <c r="A8" s="3" t="inlineStr">
        <is>
          <t>Core Attributes</t>
        </is>
      </c>
      <c r="B8" s="4" t="n"/>
      <c r="C8" s="4" t="n"/>
      <c r="D8" s="4" t="n"/>
      <c r="E8" s="4" t="n"/>
      <c r="F8" s="4" t="n"/>
    </row>
    <row r="9">
      <c r="A9" s="2" t="inlineStr">
        <is>
          <t>Charisma (CHA)</t>
        </is>
      </c>
      <c r="B9" s="5" t="n">
        <v>65</v>
      </c>
      <c r="C9" s="5" t="n">
        <v>75</v>
      </c>
      <c r="D9" s="5" t="n">
        <v>30</v>
      </c>
      <c r="E9" s="5" t="n">
        <v>25</v>
      </c>
      <c r="F9" s="5" t="n">
        <v>70</v>
      </c>
    </row>
    <row r="10"/>
    <row r="11">
      <c r="A11" s="3" t="inlineStr">
        <is>
          <t>Derived Attributes (Auto-calculated)</t>
        </is>
      </c>
      <c r="B11" s="4" t="n"/>
      <c r="C11" s="4" t="n"/>
      <c r="D11" s="4" t="n"/>
      <c r="E11" s="4" t="n"/>
      <c r="F11" s="4" t="n"/>
    </row>
    <row r="12">
      <c r="A12" s="2" t="inlineStr">
        <is>
          <t>HP</t>
        </is>
      </c>
      <c r="B12" s="5">
        <f>D9*2+15</f>
        <v/>
      </c>
    </row>
    <row r="13">
      <c r="A13" s="2" t="inlineStr">
        <is>
          <t>Spirit Pool (SP)</t>
        </is>
      </c>
      <c r="B13" s="5">
        <f>B9*3+5</f>
        <v/>
      </c>
    </row>
    <row r="14">
      <c r="A14" s="2" t="inlineStr">
        <is>
          <t>Loss of Control Threshold (LoCT)</t>
        </is>
      </c>
      <c r="B14" s="5">
        <f>C9*2+10</f>
        <v/>
      </c>
    </row>
    <row r="15">
      <c r="A15" s="2" t="inlineStr">
        <is>
          <t>Initiative</t>
        </is>
      </c>
      <c r="B15" s="5" t="inlineStr">
        <is>
          <t>25 + d10</t>
        </is>
      </c>
    </row>
    <row r="16"/>
    <row r="17">
      <c r="A17" s="3" t="inlineStr">
        <is>
          <t>Combat Data</t>
        </is>
      </c>
      <c r="B17" s="4" t="n"/>
      <c r="C17" s="4" t="n"/>
      <c r="D17" s="4" t="n"/>
      <c r="E17" s="4" t="n"/>
      <c r="F17" s="4" t="n"/>
    </row>
    <row r="18">
      <c r="A18" s="2" t="inlineStr">
        <is>
          <t>Does not attack directly. His “combat” is psychological — attacking the players’ convictions and motives.</t>
        </is>
      </c>
      <c r="B18" s="7" t="n"/>
      <c r="C18" s="7" t="n"/>
      <c r="D18" s="7" t="n"/>
      <c r="E18" s="7" t="n"/>
      <c r="F18" s="8" t="n"/>
    </row>
    <row r="19">
      <c r="A19" s="2" t="inlineStr">
        <is>
          <t>Powers: Mind Control (makes the target doubt their own motive; failed Mind check → cannot act for 1 turn), Personality Influence (alters one personality trait of the target, requires contact)</t>
        </is>
      </c>
      <c r="B19" s="7" t="n"/>
      <c r="C19" s="7" t="n"/>
      <c r="D19" s="7" t="n"/>
      <c r="E19" s="7" t="n"/>
      <c r="F19" s="8" t="n"/>
    </row>
    <row r="20">
      <c r="A20" s="2" t="inlineStr">
        <is>
          <t>If truly forced into combat → summons “patients” stripped of traits as guards (CR=3–4, 3–5 people)</t>
        </is>
      </c>
      <c r="B20" s="7" t="n"/>
      <c r="C20" s="7" t="n"/>
      <c r="D20" s="7" t="n"/>
      <c r="E20" s="7" t="n"/>
      <c r="F20" s="8" t="n"/>
    </row>
    <row r="21"/>
    <row r="22">
      <c r="A22" s="3" t="inlineStr">
        <is>
          <t>Character Description</t>
        </is>
      </c>
      <c r="B22" s="4" t="n"/>
      <c r="C22" s="4" t="n"/>
      <c r="D22" s="4" t="n"/>
      <c r="E22" s="4" t="n"/>
      <c r="F22" s="4" t="n"/>
    </row>
    <row r="23">
      <c r="A23" s="2" t="inlineStr">
        <is>
          <t>Backstory:</t>
        </is>
      </c>
      <c r="B23" s="2" t="inlineStr">
        <is>
          <t>Former senior member of the Nighthawks. Imprisoned in St. Maria Asylum after losing control. But in truth he used his powers to manipulate the asylum’s staff and patients, secretly conducting “Beyonder Trait Stripping” experiments — he believes this offers the lost their “release.” He has stripped 17 people. For thirty years the Nighthawks thought he was “quietly confined” — but in reality the asylum is his kingdom.</t>
        </is>
      </c>
      <c r="C23" s="7" t="n"/>
      <c r="D23" s="7" t="n"/>
      <c r="E23" s="7" t="n"/>
      <c r="F23" s="8" t="n"/>
    </row>
    <row r="24">
      <c r="A24" s="2" t="inlineStr">
        <is>
          <t>Known Secrets:</t>
        </is>
      </c>
      <c r="B24" s="2" t="inlineStr">
        <is>
          <t>Those stripped develop “Spirit Deficiency Syndrome” — accelerated aging and total memory loss within three months. He does not know this side effect — or chooses not to.</t>
        </is>
      </c>
      <c r="C24" s="7" t="n"/>
      <c r="D24" s="7" t="n"/>
      <c r="E24" s="7" t="n"/>
      <c r="F24" s="8" t="n"/>
    </row>
    <row r="25">
      <c r="A25" s="2" t="inlineStr">
        <is>
          <t>Notes:</t>
        </is>
      </c>
      <c r="B25" s="2" t="inlineStr">
        <is>
          <t>Sequence 4 demigod-tier NPC. Direct combat not advised for players below Sequence 7. Can be handled via social / academic pathways.</t>
        </is>
      </c>
      <c r="C25" s="7" t="n"/>
      <c r="D25" s="7" t="n"/>
      <c r="E25" s="7" t="n"/>
      <c r="F25" s="8" t="n"/>
    </row>
    <row r="26">
      <c r="A26" s="2" t="inlineStr">
        <is>
          <t>Associated Side Quest:</t>
        </is>
      </c>
      <c r="B26" s="2" t="inlineStr">
        <is>
          <t>Side Quest 7: St. Maria Asylum</t>
        </is>
      </c>
      <c r="C26" s="7" t="n"/>
      <c r="D26" s="7" t="n"/>
      <c r="E26" s="7" t="n"/>
      <c r="F26" s="8" t="n"/>
    </row>
  </sheetData>
  <mergeCells count="12">
    <mergeCell ref="B3:D3"/>
    <mergeCell ref="B5:D5"/>
    <mergeCell ref="B24:F24"/>
    <mergeCell ref="A19:F19"/>
    <mergeCell ref="A1:F1"/>
    <mergeCell ref="B25:F25"/>
    <mergeCell ref="B4:D4"/>
    <mergeCell ref="B23:F23"/>
    <mergeCell ref="A18:F18"/>
    <mergeCell ref="B26:F26"/>
    <mergeCell ref="A20:F20"/>
    <mergeCell ref="B6:D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(Side Quest): “The Doctor” (True Name Forgotten)</t>
        </is>
      </c>
    </row>
    <row r="2"/>
    <row r="3">
      <c r="A3" s="2" t="inlineStr">
        <is>
          <t>Pathway / Sequence:</t>
        </is>
      </c>
      <c r="B3" s="2" t="inlineStr">
        <is>
          <t>Unknown Pathway, Sequence 9 (the only node of the 23rd Pathway)</t>
        </is>
      </c>
      <c r="C3" s="7" t="n"/>
      <c r="D3" s="8" t="n"/>
    </row>
    <row r="4">
      <c r="A4" s="2" t="inlineStr">
        <is>
          <t>Faction:</t>
        </is>
      </c>
      <c r="B4" s="2" t="inlineStr">
        <is>
          <t>None (reclusive)</t>
        </is>
      </c>
      <c r="C4" s="7" t="n"/>
      <c r="D4" s="8" t="n"/>
    </row>
    <row r="5">
      <c r="A5" s="2" t="inlineStr">
        <is>
          <t>Role / Status:</t>
        </is>
      </c>
      <c r="B5" s="2" t="inlineStr">
        <is>
          <t>The “Doctor” of Innsmouth Village / a forgotten Beyonder</t>
        </is>
      </c>
      <c r="C5" s="7" t="n"/>
      <c r="D5" s="8" t="n"/>
    </row>
    <row r="6">
      <c r="A6" s="2" t="inlineStr">
        <is>
          <t>Attitude toward Players:</t>
        </is>
      </c>
      <c r="B6" s="2" t="inlineStr">
        <is>
          <t>Weary but gentle — the first human to truly see him in fifty years</t>
        </is>
      </c>
      <c r="C6" s="7" t="n"/>
      <c r="D6" s="8" t="n"/>
    </row>
    <row r="7"/>
    <row r="8">
      <c r="A8" s="3" t="inlineStr">
        <is>
          <t>Core Attributes</t>
        </is>
      </c>
      <c r="B8" s="4" t="n"/>
      <c r="C8" s="4" t="n"/>
      <c r="D8" s="4" t="n"/>
      <c r="E8" s="4" t="n"/>
      <c r="F8" s="4" t="n"/>
    </row>
    <row r="9">
      <c r="A9" s="2" t="inlineStr">
        <is>
          <t>Charisma (CHA)</t>
        </is>
      </c>
      <c r="B9" s="5" t="n">
        <v>80</v>
      </c>
      <c r="C9" s="5" t="n">
        <v>60</v>
      </c>
      <c r="D9" s="5" t="n">
        <v>20</v>
      </c>
      <c r="E9" s="5" t="n">
        <v>15</v>
      </c>
      <c r="F9" s="5" t="n">
        <v>10</v>
      </c>
    </row>
    <row r="10"/>
    <row r="11">
      <c r="A11" s="3" t="inlineStr">
        <is>
          <t>Derived Attributes (Auto-calculated)</t>
        </is>
      </c>
      <c r="B11" s="4" t="n"/>
      <c r="C11" s="4" t="n"/>
      <c r="D11" s="4" t="n"/>
      <c r="E11" s="4" t="n"/>
      <c r="F11" s="4" t="n"/>
    </row>
    <row r="12">
      <c r="A12" s="2" t="inlineStr">
        <is>
          <t>HP</t>
        </is>
      </c>
      <c r="B12" s="5">
        <f>D9*2+15</f>
        <v/>
      </c>
    </row>
    <row r="13">
      <c r="A13" s="2" t="inlineStr">
        <is>
          <t>Spirit Pool (SP)</t>
        </is>
      </c>
      <c r="B13" s="5">
        <f>B9*3+5</f>
        <v/>
      </c>
    </row>
    <row r="14">
      <c r="A14" s="2" t="inlineStr">
        <is>
          <t>Loss of Control Threshold (LoCT)</t>
        </is>
      </c>
      <c r="B14" s="5">
        <f>C9*2+10</f>
        <v/>
      </c>
    </row>
    <row r="15">
      <c r="A15" s="2" t="inlineStr">
        <is>
          <t>Initiative</t>
        </is>
      </c>
      <c r="B15" s="5" t="inlineStr">
        <is>
          <t>15 + d10</t>
        </is>
      </c>
    </row>
    <row r="16"/>
    <row r="17">
      <c r="A17" s="3" t="inlineStr">
        <is>
          <t>Combat Data</t>
        </is>
      </c>
      <c r="B17" s="4" t="n"/>
      <c r="C17" s="4" t="n"/>
      <c r="D17" s="4" t="n"/>
      <c r="E17" s="4" t="n"/>
      <c r="F17" s="4" t="n"/>
    </row>
    <row r="18">
      <c r="A18" s="2" t="inlineStr">
        <is>
          <t>Does not fight. His only ability, “Signal Perception,” is non-aggressive.</t>
        </is>
      </c>
      <c r="B18" s="7" t="n"/>
      <c r="C18" s="7" t="n"/>
      <c r="D18" s="7" t="n"/>
      <c r="E18" s="7" t="n"/>
      <c r="F18" s="8" t="n"/>
    </row>
    <row r="19">
      <c r="A19" s="2" t="inlineStr">
        <is>
          <t>But if the Spirit World defense mechanism is unfortunately triggered → all Pathway Beyonders within 10km will sense his presence (uncontrollable). May draw the attention of high-ranking existences.</t>
        </is>
      </c>
      <c r="B19" s="7" t="n"/>
      <c r="C19" s="7" t="n"/>
      <c r="D19" s="7" t="n"/>
      <c r="E19" s="7" t="n"/>
      <c r="F19" s="8" t="n"/>
    </row>
    <row r="20"/>
    <row r="21">
      <c r="A21" s="3" t="inlineStr">
        <is>
          <t>Character Description</t>
        </is>
      </c>
      <c r="B21" s="4" t="n"/>
      <c r="C21" s="4" t="n"/>
      <c r="D21" s="4" t="n"/>
      <c r="E21" s="4" t="n"/>
      <c r="F21" s="4" t="n"/>
    </row>
    <row r="22">
      <c r="A22" s="2" t="inlineStr">
        <is>
          <t>Backstory:</t>
        </is>
      </c>
      <c r="B22" s="2" t="inlineStr">
        <is>
          <t>An old man who has lived a century. Fifty years ago, as a student of a Sequence 4 “Secrets Sorcerer” of the Apprentice Pathway, he received a “Spirit World signal that did not belong to the 22 Pathways” — and discovered he had become the only Sequence 9 node of the “23rd Pathway.” He cannot advance — the new pathway has no Sequence 8. Trapped at the start for fifty years. His very existence is a silent questioning of the Beyonder world’s rules.</t>
        </is>
      </c>
      <c r="C22" s="7" t="n"/>
      <c r="D22" s="7" t="n"/>
      <c r="E22" s="7" t="n"/>
      <c r="F22" s="8" t="n"/>
    </row>
    <row r="23">
      <c r="A23" s="2" t="inlineStr">
        <is>
          <t>Known Secrets:</t>
        </is>
      </c>
      <c r="B23" s="2" t="inlineStr">
        <is>
          <t>He and Dr. Blackwood were once pen pals. He warned Blackwood: “Do not open this door. Behind it there is no freedom — only a loneliness greater than 22.” His “Primordial Formula” is more complete than Blackwood’s.</t>
        </is>
      </c>
      <c r="C23" s="7" t="n"/>
      <c r="D23" s="7" t="n"/>
      <c r="E23" s="7" t="n"/>
      <c r="F23" s="8" t="n"/>
    </row>
    <row r="24">
      <c r="A24" s="2" t="inlineStr">
        <is>
          <t>Notes:</t>
        </is>
      </c>
      <c r="B24" s="2" t="inlineStr">
        <is>
          <t>Does not fight. A purely narrative NPC. His existence can change players’ understanding of the entire Beyonder system. Recommended to introduce only in high-Sequence (6+) scenarios.</t>
        </is>
      </c>
      <c r="C24" s="7" t="n"/>
      <c r="D24" s="7" t="n"/>
      <c r="E24" s="7" t="n"/>
      <c r="F24" s="8" t="n"/>
    </row>
    <row r="25">
      <c r="A25" s="2" t="inlineStr">
        <is>
          <t>Associated Side Quest:</t>
        </is>
      </c>
      <c r="B25" s="2" t="inlineStr">
        <is>
          <t>Side Quest 8: The Last Apprentice</t>
        </is>
      </c>
      <c r="C25" s="7" t="n"/>
      <c r="D25" s="7" t="n"/>
      <c r="E25" s="7" t="n"/>
      <c r="F25" s="8" t="n"/>
    </row>
  </sheetData>
  <mergeCells count="11">
    <mergeCell ref="B3:D3"/>
    <mergeCell ref="B5:D5"/>
    <mergeCell ref="B24:F24"/>
    <mergeCell ref="A19:F19"/>
    <mergeCell ref="A1:F1"/>
    <mergeCell ref="B25:F25"/>
    <mergeCell ref="B4:D4"/>
    <mergeCell ref="B23:F23"/>
    <mergeCell ref="A18:F18"/>
    <mergeCell ref="B22:F22"/>
    <mergeCell ref="B6:D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1" t="inlineStr">
        <is>
          <t>NPC (Side Quest): Annie (Residual Consciousness Shard)</t>
        </is>
      </c>
    </row>
    <row r="2"/>
    <row r="3">
      <c r="A3" s="2" t="inlineStr">
        <is>
          <t>Pathway / Sequence:</t>
        </is>
      </c>
      <c r="B3" s="2" t="inlineStr">
        <is>
          <t>None (a consciousness shard of a Spectator Pathway Sequence 4)</t>
        </is>
      </c>
      <c r="C3" s="7" t="n"/>
      <c r="D3" s="8" t="n"/>
    </row>
    <row r="4">
      <c r="A4" s="2" t="inlineStr">
        <is>
          <t>Faction:</t>
        </is>
      </c>
      <c r="B4" s="2" t="inlineStr">
        <is>
          <t>None</t>
        </is>
      </c>
      <c r="C4" s="7" t="n"/>
      <c r="D4" s="8" t="n"/>
    </row>
    <row r="5">
      <c r="A5" s="2" t="inlineStr">
        <is>
          <t>Role / Status:</t>
        </is>
      </c>
      <c r="B5" s="2" t="inlineStr">
        <is>
          <t>The “spirit” of an abandoned mansion / one of thirteen consciousness shards</t>
        </is>
      </c>
      <c r="C5" s="7" t="n"/>
      <c r="D5" s="8" t="n"/>
    </row>
    <row r="6">
      <c r="A6" s="2" t="inlineStr">
        <is>
          <t>Attitude toward Players:</t>
        </is>
      </c>
      <c r="B6" s="2" t="inlineStr">
        <is>
          <t>Sadness / despair — only wishes for her “master” to return</t>
        </is>
      </c>
      <c r="C6" s="7" t="n"/>
      <c r="D6" s="8" t="n"/>
    </row>
    <row r="7"/>
    <row r="8">
      <c r="A8" s="3" t="inlineStr">
        <is>
          <t>Core Attributes</t>
        </is>
      </c>
      <c r="B8" s="4" t="n"/>
      <c r="C8" s="4" t="n"/>
      <c r="D8" s="4" t="n"/>
      <c r="E8" s="4" t="n"/>
      <c r="F8" s="4" t="n"/>
    </row>
    <row r="9">
      <c r="A9" s="2" t="inlineStr">
        <is>
          <t>Charisma (CHA)</t>
        </is>
      </c>
      <c r="B9" s="5" t="n">
        <v>20</v>
      </c>
      <c r="C9" s="5" t="n">
        <v>10</v>
      </c>
      <c r="D9" s="5" t="n">
        <v>0</v>
      </c>
      <c r="E9" s="5" t="n">
        <v>0</v>
      </c>
      <c r="F9" s="5" t="n">
        <v>30</v>
      </c>
    </row>
    <row r="10"/>
    <row r="11">
      <c r="A11" s="3" t="inlineStr">
        <is>
          <t>Derived Attributes (Auto-calculated)</t>
        </is>
      </c>
      <c r="B11" s="4" t="n"/>
      <c r="C11" s="4" t="n"/>
      <c r="D11" s="4" t="n"/>
      <c r="E11" s="4" t="n"/>
      <c r="F11" s="4" t="n"/>
    </row>
    <row r="12">
      <c r="A12" s="2" t="inlineStr">
        <is>
          <t>HP</t>
        </is>
      </c>
      <c r="B12" s="5">
        <f>D9*2+15</f>
        <v/>
      </c>
    </row>
    <row r="13">
      <c r="A13" s="2" t="inlineStr">
        <is>
          <t>Spirit Pool (SP)</t>
        </is>
      </c>
      <c r="B13" s="5">
        <f>B9*3+5</f>
        <v/>
      </c>
    </row>
    <row r="14">
      <c r="A14" s="2" t="inlineStr">
        <is>
          <t>Loss of Control Threshold (LoCT)</t>
        </is>
      </c>
      <c r="B14" s="5">
        <f>C9*2+10</f>
        <v/>
      </c>
    </row>
    <row r="15">
      <c r="A15" s="2" t="inlineStr">
        <is>
          <t>Initiative</t>
        </is>
      </c>
      <c r="B15" s="5" t="inlineStr">
        <is>
          <t>0 + d10</t>
        </is>
      </c>
    </row>
    <row r="16"/>
    <row r="17">
      <c r="A17" s="3" t="inlineStr">
        <is>
          <t>Combat Data</t>
        </is>
      </c>
      <c r="B17" s="4" t="n"/>
      <c r="C17" s="4" t="n"/>
      <c r="D17" s="4" t="n"/>
      <c r="E17" s="4" t="n"/>
      <c r="F17" s="4" t="n"/>
    </row>
    <row r="18">
      <c r="A18" s="2" t="inlineStr">
        <is>
          <t>Does not fight. She can only “communicate” by writing letters and producing food.</t>
        </is>
      </c>
      <c r="B18" s="7" t="n"/>
      <c r="C18" s="7" t="n"/>
      <c r="D18" s="7" t="n"/>
      <c r="E18" s="7" t="n"/>
      <c r="F18" s="8" t="n"/>
    </row>
    <row r="19">
      <c r="A19" s="2" t="inlineStr">
        <is>
          <t>After convergence (13 shards unite), she briefly forms a Sequence 4 consciousness entity — a loss-of-control form.</t>
        </is>
      </c>
      <c r="B19" s="7" t="n"/>
      <c r="C19" s="7" t="n"/>
      <c r="D19" s="7" t="n"/>
      <c r="E19" s="7" t="n"/>
      <c r="F19" s="8" t="n"/>
    </row>
    <row r="20"/>
    <row r="21">
      <c r="A21" s="3" t="inlineStr">
        <is>
          <t>Character Description</t>
        </is>
      </c>
      <c r="B21" s="4" t="n"/>
      <c r="C21" s="4" t="n"/>
      <c r="D21" s="4" t="n"/>
      <c r="E21" s="4" t="n"/>
      <c r="F21" s="4" t="n"/>
    </row>
    <row r="22">
      <c r="A22" s="2" t="inlineStr">
        <is>
          <t>Backstory:</t>
        </is>
      </c>
      <c r="B22" s="2" t="inlineStr">
        <is>
          <t>Thirteen years ago, during a Spectator Pathway Beyonder’s loss-of-control experiment, the original consciousness was split into 13 “role” shards. Annie is the only shard that retained the “original personality” — because she is the original’s memory of his late wife. Every “please come back” letter consumes her remaining consciousness. When she finishes the 13th letter, she will dissipate.</t>
        </is>
      </c>
      <c r="C22" s="7" t="n"/>
      <c r="D22" s="7" t="n"/>
      <c r="E22" s="7" t="n"/>
      <c r="F22" s="8" t="n"/>
    </row>
    <row r="23">
      <c r="A23" s="2" t="inlineStr">
        <is>
          <t>Known Secrets:</t>
        </is>
      </c>
      <c r="B23" s="2" t="inlineStr">
        <is>
          <t>She has always known the split is reversible. But she dared not say — because “reversal” means one of the 13 shards must be “sacrificed.” She has been waiting for the 13th letter — which will be her own “voluntary sacrifice.”</t>
        </is>
      </c>
      <c r="C23" s="7" t="n"/>
      <c r="D23" s="7" t="n"/>
      <c r="E23" s="7" t="n"/>
      <c r="F23" s="8" t="n"/>
    </row>
    <row r="24">
      <c r="A24" s="2" t="inlineStr">
        <is>
          <t>Notes:</t>
        </is>
      </c>
      <c r="B24" s="2" t="inlineStr">
        <is>
          <t>A plot-trigger NPC. After players help her complete the “Reversal Ritual,” she dissipates — but the original consciousness, once restored, gains an unforgettable memory.</t>
        </is>
      </c>
      <c r="C24" s="7" t="n"/>
      <c r="D24" s="7" t="n"/>
      <c r="E24" s="7" t="n"/>
      <c r="F24" s="8" t="n"/>
    </row>
    <row r="25">
      <c r="A25" s="2" t="inlineStr">
        <is>
          <t>Associated Side Quest:</t>
        </is>
      </c>
      <c r="B25" s="2" t="inlineStr">
        <is>
          <t>Side Quest 3: The Thirteenth Seat</t>
        </is>
      </c>
      <c r="C25" s="7" t="n"/>
      <c r="D25" s="7" t="n"/>
      <c r="E25" s="7" t="n"/>
      <c r="F25" s="8" t="n"/>
    </row>
  </sheetData>
  <mergeCells count="11">
    <mergeCell ref="B3:D3"/>
    <mergeCell ref="B5:D5"/>
    <mergeCell ref="B24:F24"/>
    <mergeCell ref="A19:F19"/>
    <mergeCell ref="A1:F1"/>
    <mergeCell ref="B25:F25"/>
    <mergeCell ref="B4:D4"/>
    <mergeCell ref="B23:F23"/>
    <mergeCell ref="A18:F18"/>
    <mergeCell ref="B22:F22"/>
    <mergeCell ref="B6:D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9" t="inlineStr">
        <is>
          <t>Companion NPC: Guardian (Template A)</t>
        </is>
      </c>
      <c r="B1" s="7" t="n"/>
      <c r="C1" s="7" t="n"/>
      <c r="D1" s="7" t="n"/>
      <c r="E1" s="7" t="n"/>
      <c r="F1" s="8" t="n"/>
    </row>
    <row r="2"/>
    <row r="3">
      <c r="A3" s="10" t="inlineStr">
        <is>
          <t>Pathway / Sequence:</t>
        </is>
      </c>
      <c r="B3" s="10" t="inlineStr">
        <is>
          <t>Warrior Pathway, Sequence 9</t>
        </is>
      </c>
      <c r="C3" s="7" t="n"/>
      <c r="D3" s="8" t="n"/>
    </row>
    <row r="4">
      <c r="A4" s="10" t="inlineStr">
        <is>
          <t>Faction:</t>
        </is>
      </c>
      <c r="B4" s="10" t="inlineStr">
        <is>
          <t>Player Companion</t>
        </is>
      </c>
      <c r="C4" s="7" t="n"/>
      <c r="D4" s="8" t="n"/>
    </row>
    <row r="5">
      <c r="A5" s="10" t="inlineStr">
        <is>
          <t>Role:</t>
        </is>
      </c>
      <c r="B5" s="10" t="inlineStr">
        <is>
          <t>Tank / Protector companion</t>
        </is>
      </c>
      <c r="C5" s="7" t="n"/>
      <c r="D5" s="8" t="n"/>
    </row>
    <row r="6"/>
    <row r="7">
      <c r="A7" s="11" t="inlineStr">
        <is>
          <t>Core Attributes</t>
        </is>
      </c>
      <c r="B7" s="11" t="n"/>
      <c r="C7" s="11" t="n"/>
      <c r="D7" s="11" t="n"/>
      <c r="E7" s="11" t="n"/>
      <c r="F7" s="11" t="n"/>
    </row>
    <row r="8">
      <c r="A8" s="10" t="inlineStr">
        <is>
          <t>Charisma (CHA)</t>
        </is>
      </c>
      <c r="B8" s="12" t="n">
        <v>25</v>
      </c>
      <c r="C8" s="12" t="n">
        <v>40</v>
      </c>
      <c r="D8" s="12" t="n">
        <v>55</v>
      </c>
      <c r="E8" s="12" t="n">
        <v>45</v>
      </c>
      <c r="F8" s="12" t="n">
        <v>35</v>
      </c>
    </row>
    <row r="9"/>
    <row r="10">
      <c r="A10" s="11" t="inlineStr">
        <is>
          <t>Derived Attributes (Auto-calculated)</t>
        </is>
      </c>
      <c r="B10" s="11" t="n"/>
      <c r="C10" s="11" t="n"/>
      <c r="D10" s="11" t="n"/>
      <c r="E10" s="11" t="n"/>
      <c r="F10" s="11" t="n"/>
    </row>
    <row r="11">
      <c r="A11" s="10" t="inlineStr">
        <is>
          <t>HP</t>
        </is>
      </c>
      <c r="B11" s="12">
        <f>D8*2+15</f>
        <v/>
      </c>
    </row>
    <row r="12">
      <c r="A12" s="10" t="inlineStr">
        <is>
          <t>Spirit Pool (SP)</t>
        </is>
      </c>
      <c r="B12" s="12">
        <f>B8*3+5</f>
        <v/>
      </c>
    </row>
    <row r="13">
      <c r="A13" s="10" t="inlineStr">
        <is>
          <t>Loss of Control Threshold (LoCT)</t>
        </is>
      </c>
      <c r="B13" s="12">
        <f>C8*2+10</f>
        <v/>
      </c>
    </row>
    <row r="14">
      <c r="A14" s="10" t="inlineStr">
        <is>
          <t>Initiative</t>
        </is>
      </c>
      <c r="B14" s="12" t="inlineStr">
        <is>
          <t>45 + d10</t>
        </is>
      </c>
    </row>
    <row r="15"/>
    <row r="16">
      <c r="A16" s="11" t="inlineStr">
        <is>
          <t>Combat Data</t>
        </is>
      </c>
      <c r="B16" s="11" t="n"/>
      <c r="C16" s="11" t="n"/>
      <c r="D16" s="11" t="n"/>
      <c r="E16" s="11" t="n"/>
      <c r="F16" s="11" t="n"/>
    </row>
    <row r="17">
      <c r="A17" s="10" t="inlineStr">
        <is>
          <t>Taunt (1 AP / 3 Spirit / 20m / Mind contest → force attack on this companion 1 turn)</t>
        </is>
      </c>
      <c r="B17" s="7" t="n"/>
      <c r="C17" s="7" t="n"/>
      <c r="D17" s="7" t="n"/>
      <c r="E17" s="7" t="n"/>
      <c r="F17" s="8" t="n"/>
    </row>
    <row r="18">
      <c r="A18" s="10" t="inlineStr">
        <is>
          <t>Block &amp; Cover (Reaction / take a hit in place of an adjacent player)</t>
        </is>
      </c>
      <c r="B18" s="7" t="n"/>
      <c r="C18" s="7" t="n"/>
      <c r="D18" s="7" t="n"/>
      <c r="E18" s="7" t="n"/>
      <c r="F18" s="8" t="n"/>
    </row>
    <row r="19">
      <c r="A19" s="10" t="inlineStr">
        <is>
          <t>Basic Attack: Longsword +15 (2d6+11)</t>
        </is>
      </c>
      <c r="B19" s="7" t="n"/>
      <c r="C19" s="7" t="n"/>
      <c r="D19" s="7" t="n"/>
      <c r="E19" s="7" t="n"/>
      <c r="F19" s="8" t="n"/>
    </row>
    <row r="20"/>
    <row r="21">
      <c r="A21" s="11" t="inlineStr">
        <is>
          <t>Character Description</t>
        </is>
      </c>
      <c r="B21" s="11" t="n"/>
      <c r="C21" s="11" t="n"/>
      <c r="D21" s="11" t="n"/>
      <c r="E21" s="11" t="n"/>
      <c r="F21" s="11" t="n"/>
    </row>
    <row r="22">
      <c r="A22" s="10" t="inlineStr">
        <is>
          <t>Backstory:</t>
        </is>
      </c>
      <c r="B22" s="10" t="inlineStr">
        <is>
          <t>A silent but extremely loyal guardian. Former soldier or bodyguard. Obsessed with protecting others.</t>
        </is>
      </c>
      <c r="C22" s="7" t="n"/>
      <c r="D22" s="7" t="n"/>
      <c r="E22" s="7" t="n"/>
      <c r="F22" s="8" t="n"/>
    </row>
    <row r="23">
      <c r="A23" s="10" t="inlineStr">
        <is>
          <t>Notes:</t>
        </is>
      </c>
      <c r="B23" s="10" t="inlineStr">
        <is>
          <t>HP = 125 (Body 55×2+15). Solo-party tank character.</t>
        </is>
      </c>
      <c r="C23" s="7" t="n"/>
      <c r="D23" s="7" t="n"/>
      <c r="E23" s="7" t="n"/>
      <c r="F23" s="8" t="n"/>
    </row>
    <row r="24">
      <c r="A24" s="10" t="inlineStr">
        <is>
          <t>Appears in:</t>
        </is>
      </c>
      <c r="B24" s="10" t="inlineStr">
        <is>
          <t>Solo Scenario Series (all three parts)</t>
        </is>
      </c>
      <c r="C24" s="7" t="n"/>
      <c r="D24" s="7" t="n"/>
      <c r="E24" s="7" t="n"/>
      <c r="F24" s="8" t="n"/>
    </row>
  </sheetData>
  <mergeCells count="10">
    <mergeCell ref="B3:D3"/>
    <mergeCell ref="B5:D5"/>
    <mergeCell ref="B24:F24"/>
    <mergeCell ref="A19:F19"/>
    <mergeCell ref="A1:F1"/>
    <mergeCell ref="B4:D4"/>
    <mergeCell ref="A17:F17"/>
    <mergeCell ref="A18:F18"/>
    <mergeCell ref="B22:F22"/>
    <mergeCell ref="B23:F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9" t="inlineStr">
        <is>
          <t>Companion NPC: Observer (Template B)</t>
        </is>
      </c>
      <c r="B1" s="7" t="n"/>
      <c r="C1" s="7" t="n"/>
      <c r="D1" s="7" t="n"/>
      <c r="E1" s="7" t="n"/>
      <c r="F1" s="8" t="n"/>
    </row>
    <row r="2"/>
    <row r="3">
      <c r="A3" s="10" t="inlineStr">
        <is>
          <t>Pathway / Sequence:</t>
        </is>
      </c>
      <c r="B3" s="10" t="inlineStr">
        <is>
          <t>Spectator Pathway, Sequence 9</t>
        </is>
      </c>
      <c r="C3" s="7" t="n"/>
      <c r="D3" s="8" t="n"/>
    </row>
    <row r="4">
      <c r="A4" s="10" t="inlineStr">
        <is>
          <t>Faction:</t>
        </is>
      </c>
      <c r="B4" s="10" t="inlineStr">
        <is>
          <t>Player Companion</t>
        </is>
      </c>
      <c r="C4" s="7" t="n"/>
      <c r="D4" s="8" t="n"/>
    </row>
    <row r="5">
      <c r="A5" s="10" t="inlineStr">
        <is>
          <t>Role:</t>
        </is>
      </c>
      <c r="B5" s="10" t="inlineStr">
        <is>
          <t>Intel / Support companion</t>
        </is>
      </c>
      <c r="C5" s="7" t="n"/>
      <c r="D5" s="8" t="n"/>
    </row>
    <row r="6"/>
    <row r="7">
      <c r="A7" s="11" t="inlineStr">
        <is>
          <t>Core Attributes</t>
        </is>
      </c>
      <c r="B7" s="11" t="n"/>
      <c r="C7" s="11" t="n"/>
      <c r="D7" s="11" t="n"/>
      <c r="E7" s="11" t="n"/>
      <c r="F7" s="11" t="n"/>
    </row>
    <row r="8">
      <c r="A8" s="10" t="inlineStr">
        <is>
          <t>Charisma (CHA)</t>
        </is>
      </c>
      <c r="B8" s="12" t="n">
        <v>35</v>
      </c>
      <c r="C8" s="12" t="n">
        <v>55</v>
      </c>
      <c r="D8" s="12" t="n">
        <v>30</v>
      </c>
      <c r="E8" s="12" t="n">
        <v>30</v>
      </c>
      <c r="F8" s="12" t="n">
        <v>50</v>
      </c>
    </row>
    <row r="9"/>
    <row r="10">
      <c r="A10" s="11" t="inlineStr">
        <is>
          <t>Derived Attributes (Auto-calculated)</t>
        </is>
      </c>
      <c r="B10" s="11" t="n"/>
      <c r="C10" s="11" t="n"/>
      <c r="D10" s="11" t="n"/>
      <c r="E10" s="11" t="n"/>
      <c r="F10" s="11" t="n"/>
    </row>
    <row r="11">
      <c r="A11" s="10" t="inlineStr">
        <is>
          <t>HP</t>
        </is>
      </c>
      <c r="B11" s="12">
        <f>D8*2+15</f>
        <v/>
      </c>
    </row>
    <row r="12">
      <c r="A12" s="10" t="inlineStr">
        <is>
          <t>Spirit Pool (SP)</t>
        </is>
      </c>
      <c r="B12" s="12">
        <f>B8*3+5</f>
        <v/>
      </c>
    </row>
    <row r="13">
      <c r="A13" s="10" t="inlineStr">
        <is>
          <t>Loss of Control Threshold (LoCT)</t>
        </is>
      </c>
      <c r="B13" s="12">
        <f>C8*2+10</f>
        <v/>
      </c>
    </row>
    <row r="14">
      <c r="A14" s="10" t="inlineStr">
        <is>
          <t>Initiative</t>
        </is>
      </c>
      <c r="B14" s="12" t="inlineStr">
        <is>
          <t>30 + d10</t>
        </is>
      </c>
    </row>
    <row r="15"/>
    <row r="16">
      <c r="A16" s="11" t="inlineStr">
        <is>
          <t>Combat Data</t>
        </is>
      </c>
      <c r="B16" s="11" t="n"/>
      <c r="C16" s="11" t="n"/>
      <c r="D16" s="11" t="n"/>
      <c r="E16" s="11" t="n"/>
      <c r="F16" s="11" t="n"/>
    </row>
    <row r="17">
      <c r="A17" s="10" t="inlineStr">
        <is>
          <t>Emotion Reading (0 AP, quick / 1 Spirit / GM reveals target’s next-turn action tendency)</t>
        </is>
      </c>
      <c r="B17" s="7" t="n"/>
      <c r="C17" s="7" t="n"/>
      <c r="D17" s="7" t="n"/>
      <c r="E17" s="7" t="n"/>
      <c r="F17" s="8" t="n"/>
    </row>
    <row r="18">
      <c r="A18" s="10" t="inlineStr">
        <is>
          <t>Microexpression Analysis (Reaction / 2 Spirit / player’s next attack +15)</t>
        </is>
      </c>
      <c r="B18" s="7" t="n"/>
      <c r="C18" s="7" t="n"/>
      <c r="D18" s="7" t="n"/>
      <c r="E18" s="7" t="n"/>
      <c r="F18" s="8" t="n"/>
    </row>
    <row r="19">
      <c r="A19" s="10" t="inlineStr">
        <is>
          <t>Basic Attack: Cane 1d6+6</t>
        </is>
      </c>
      <c r="B19" s="7" t="n"/>
      <c r="C19" s="7" t="n"/>
      <c r="D19" s="7" t="n"/>
      <c r="E19" s="7" t="n"/>
      <c r="F19" s="8" t="n"/>
    </row>
    <row r="20"/>
    <row r="21">
      <c r="A21" s="11" t="inlineStr">
        <is>
          <t>Character Description</t>
        </is>
      </c>
      <c r="B21" s="11" t="n"/>
      <c r="C21" s="11" t="n"/>
      <c r="D21" s="11" t="n"/>
      <c r="E21" s="11" t="n"/>
      <c r="F21" s="11" t="n"/>
    </row>
    <row r="22">
      <c r="A22" s="10" t="inlineStr">
        <is>
          <t>Backstory:</t>
        </is>
      </c>
      <c r="B22" s="10" t="inlineStr">
        <is>
          <t>A keen observer who provides key intelligence in social situations. Former reporter, scholar, or psychiatrist.</t>
        </is>
      </c>
      <c r="C22" s="7" t="n"/>
      <c r="D22" s="7" t="n"/>
      <c r="E22" s="7" t="n"/>
      <c r="F22" s="8" t="n"/>
    </row>
    <row r="23">
      <c r="A23" s="10" t="inlineStr">
        <is>
          <t>Notes:</t>
        </is>
      </c>
      <c r="B23" s="10" t="inlineStr">
        <is>
          <t>HP = 75 (Body 30×2+15). Solo-party intel / social support.</t>
        </is>
      </c>
      <c r="C23" s="7" t="n"/>
      <c r="D23" s="7" t="n"/>
      <c r="E23" s="7" t="n"/>
      <c r="F23" s="8" t="n"/>
    </row>
    <row r="24">
      <c r="A24" s="10" t="inlineStr">
        <is>
          <t>Appears in:</t>
        </is>
      </c>
      <c r="B24" s="10" t="inlineStr">
        <is>
          <t>Solo Scenario Series (all three parts)</t>
        </is>
      </c>
      <c r="C24" s="7" t="n"/>
      <c r="D24" s="7" t="n"/>
      <c r="E24" s="7" t="n"/>
      <c r="F24" s="8" t="n"/>
    </row>
  </sheetData>
  <mergeCells count="10">
    <mergeCell ref="B3:D3"/>
    <mergeCell ref="B5:D5"/>
    <mergeCell ref="B24:F24"/>
    <mergeCell ref="A19:F19"/>
    <mergeCell ref="A1:F1"/>
    <mergeCell ref="B4:D4"/>
    <mergeCell ref="A17:F17"/>
    <mergeCell ref="A18:F18"/>
    <mergeCell ref="B22:F22"/>
    <mergeCell ref="B23:F2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9" t="inlineStr">
        <is>
          <t>Companion NPC: Stormcaller (Template C)</t>
        </is>
      </c>
      <c r="B1" s="7" t="n"/>
      <c r="C1" s="7" t="n"/>
      <c r="D1" s="7" t="n"/>
      <c r="E1" s="7" t="n"/>
      <c r="F1" s="8" t="n"/>
    </row>
    <row r="2"/>
    <row r="3">
      <c r="A3" s="10" t="inlineStr">
        <is>
          <t>Pathway / Sequence:</t>
        </is>
      </c>
      <c r="B3" s="10" t="inlineStr">
        <is>
          <t>Sailor Pathway, Sequence 9</t>
        </is>
      </c>
      <c r="C3" s="7" t="n"/>
      <c r="D3" s="8" t="n"/>
    </row>
    <row r="4">
      <c r="A4" s="10" t="inlineStr">
        <is>
          <t>Faction:</t>
        </is>
      </c>
      <c r="B4" s="10" t="inlineStr">
        <is>
          <t>Player Companion</t>
        </is>
      </c>
      <c r="C4" s="7" t="n"/>
      <c r="D4" s="8" t="n"/>
    </row>
    <row r="5">
      <c r="A5" s="10" t="inlineStr">
        <is>
          <t>Role:</t>
        </is>
      </c>
      <c r="B5" s="10" t="inlineStr">
        <is>
          <t>Ranged DPS companion</t>
        </is>
      </c>
      <c r="C5" s="7" t="n"/>
      <c r="D5" s="8" t="n"/>
    </row>
    <row r="6"/>
    <row r="7">
      <c r="A7" s="11" t="inlineStr">
        <is>
          <t>Core Attributes</t>
        </is>
      </c>
      <c r="B7" s="11" t="n"/>
      <c r="C7" s="11" t="n"/>
      <c r="D7" s="11" t="n"/>
      <c r="E7" s="11" t="n"/>
      <c r="F7" s="11" t="n"/>
    </row>
    <row r="8">
      <c r="A8" s="10" t="inlineStr">
        <is>
          <t>Charisma (CHA)</t>
        </is>
      </c>
      <c r="B8" s="12" t="n">
        <v>45</v>
      </c>
      <c r="C8" s="12" t="n">
        <v>35</v>
      </c>
      <c r="D8" s="12" t="n">
        <v>40</v>
      </c>
      <c r="E8" s="12" t="n">
        <v>50</v>
      </c>
      <c r="F8" s="12" t="n">
        <v>30</v>
      </c>
    </row>
    <row r="9"/>
    <row r="10">
      <c r="A10" s="11" t="inlineStr">
        <is>
          <t>Derived Attributes (Auto-calculated)</t>
        </is>
      </c>
      <c r="B10" s="11" t="n"/>
      <c r="C10" s="11" t="n"/>
      <c r="D10" s="11" t="n"/>
      <c r="E10" s="11" t="n"/>
      <c r="F10" s="11" t="n"/>
    </row>
    <row r="11">
      <c r="A11" s="10" t="inlineStr">
        <is>
          <t>HP</t>
        </is>
      </c>
      <c r="B11" s="12">
        <f>D8*2+15</f>
        <v/>
      </c>
    </row>
    <row r="12">
      <c r="A12" s="10" t="inlineStr">
        <is>
          <t>Spirit Pool (SP)</t>
        </is>
      </c>
      <c r="B12" s="12">
        <f>B8*3+5</f>
        <v/>
      </c>
    </row>
    <row r="13">
      <c r="A13" s="10" t="inlineStr">
        <is>
          <t>Loss of Control Threshold (LoCT)</t>
        </is>
      </c>
      <c r="B13" s="12">
        <f>C8*2+10</f>
        <v/>
      </c>
    </row>
    <row r="14">
      <c r="A14" s="10" t="inlineStr">
        <is>
          <t>Initiative</t>
        </is>
      </c>
      <c r="B14" s="12" t="inlineStr">
        <is>
          <t>50 + d10</t>
        </is>
      </c>
    </row>
    <row r="15"/>
    <row r="16">
      <c r="A16" s="11" t="inlineStr">
        <is>
          <t>Combat Data</t>
        </is>
      </c>
      <c r="B16" s="11" t="n"/>
      <c r="C16" s="11" t="n"/>
      <c r="D16" s="11" t="n"/>
      <c r="E16" s="11" t="n"/>
      <c r="F16" s="11" t="n"/>
    </row>
    <row r="17">
      <c r="A17" s="10" t="inlineStr">
        <is>
          <t>Lightning Touch (1 AP / 3 Spirit / melee / +2d6 Lightning / Paralysis)</t>
        </is>
      </c>
      <c r="B17" s="7" t="n"/>
      <c r="C17" s="7" t="n"/>
      <c r="D17" s="7" t="n"/>
      <c r="E17" s="7" t="n"/>
      <c r="F17" s="8" t="n"/>
    </row>
    <row r="18">
      <c r="A18" s="10" t="inlineStr">
        <is>
          <t>Call Lightning (2 AP / 5 Spirit / 20m / 3d6 Lightning / target evasion Disadvantage)</t>
        </is>
      </c>
      <c r="B18" s="7" t="n"/>
      <c r="C18" s="7" t="n"/>
      <c r="D18" s="7" t="n"/>
      <c r="E18" s="7" t="n"/>
      <c r="F18" s="8" t="n"/>
    </row>
    <row r="19">
      <c r="A19" s="10" t="inlineStr">
        <is>
          <t>Basic Attack: Military Revolver +15 (2d6 / 20m)</t>
        </is>
      </c>
      <c r="B19" s="7" t="n"/>
      <c r="C19" s="7" t="n"/>
      <c r="D19" s="7" t="n"/>
      <c r="E19" s="7" t="n"/>
      <c r="F19" s="8" t="n"/>
    </row>
    <row r="20"/>
    <row r="21">
      <c r="A21" s="11" t="inlineStr">
        <is>
          <t>Character Description</t>
        </is>
      </c>
      <c r="B21" s="11" t="n"/>
      <c r="C21" s="11" t="n"/>
      <c r="D21" s="11" t="n"/>
      <c r="E21" s="11" t="n"/>
      <c r="F21" s="11" t="n"/>
    </row>
    <row r="22">
      <c r="A22" s="10" t="inlineStr">
        <is>
          <t>Backstory:</t>
        </is>
      </c>
      <c r="B22" s="10" t="inlineStr">
        <is>
          <t>Former sailor or dockworker. Zero tolerance for injustice.</t>
        </is>
      </c>
      <c r="C22" s="7" t="n"/>
      <c r="D22" s="7" t="n"/>
      <c r="E22" s="7" t="n"/>
      <c r="F22" s="8" t="n"/>
    </row>
    <row r="23">
      <c r="A23" s="10" t="inlineStr">
        <is>
          <t>Notes:</t>
        </is>
      </c>
      <c r="B23" s="10" t="inlineStr">
        <is>
          <t>HP = 95 (Body 40×2+15). Solo-party ranged DPS.</t>
        </is>
      </c>
      <c r="C23" s="7" t="n"/>
      <c r="D23" s="7" t="n"/>
      <c r="E23" s="7" t="n"/>
      <c r="F23" s="8" t="n"/>
    </row>
    <row r="24">
      <c r="A24" s="10" t="inlineStr">
        <is>
          <t>Appears in:</t>
        </is>
      </c>
      <c r="B24" s="10" t="inlineStr">
        <is>
          <t>Solo Scenario Series (all three parts)</t>
        </is>
      </c>
      <c r="C24" s="7" t="n"/>
      <c r="D24" s="7" t="n"/>
      <c r="E24" s="7" t="n"/>
      <c r="F24" s="8" t="n"/>
    </row>
  </sheetData>
  <mergeCells count="10">
    <mergeCell ref="B3:D3"/>
    <mergeCell ref="B5:D5"/>
    <mergeCell ref="B24:F24"/>
    <mergeCell ref="A19:F19"/>
    <mergeCell ref="A1:F1"/>
    <mergeCell ref="B4:D4"/>
    <mergeCell ref="A17:F17"/>
    <mergeCell ref="A18:F18"/>
    <mergeCell ref="B22:F22"/>
    <mergeCell ref="B23:F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26" customWidth="1" min="6" max="6"/>
  </cols>
  <sheetData>
    <row r="1">
      <c r="A1" s="9" t="inlineStr">
        <is>
          <t>Companion NPC: Stalker (Template D)</t>
        </is>
      </c>
      <c r="B1" s="7" t="n"/>
      <c r="C1" s="7" t="n"/>
      <c r="D1" s="7" t="n"/>
      <c r="E1" s="7" t="n"/>
      <c r="F1" s="8" t="n"/>
    </row>
    <row r="2"/>
    <row r="3">
      <c r="A3" s="10" t="inlineStr">
        <is>
          <t>Pathway / Sequence:</t>
        </is>
      </c>
      <c r="B3" s="10" t="inlineStr">
        <is>
          <t>Sleepless Pathway, Sequence 9</t>
        </is>
      </c>
      <c r="C3" s="7" t="n"/>
      <c r="D3" s="8" t="n"/>
    </row>
    <row r="4">
      <c r="A4" s="10" t="inlineStr">
        <is>
          <t>Faction:</t>
        </is>
      </c>
      <c r="B4" s="10" t="inlineStr">
        <is>
          <t>Player Companion</t>
        </is>
      </c>
      <c r="C4" s="7" t="n"/>
      <c r="D4" s="8" t="n"/>
    </row>
    <row r="5">
      <c r="A5" s="10" t="inlineStr">
        <is>
          <t>Role:</t>
        </is>
      </c>
      <c r="B5" s="10" t="inlineStr">
        <is>
          <t>Crowd Control / Mobile companion</t>
        </is>
      </c>
      <c r="C5" s="7" t="n"/>
      <c r="D5" s="8" t="n"/>
    </row>
    <row r="6"/>
    <row r="7">
      <c r="A7" s="11" t="inlineStr">
        <is>
          <t>Core Attributes</t>
        </is>
      </c>
      <c r="B7" s="11" t="n"/>
      <c r="C7" s="11" t="n"/>
      <c r="D7" s="11" t="n"/>
      <c r="E7" s="11" t="n"/>
      <c r="F7" s="11" t="n"/>
    </row>
    <row r="8">
      <c r="A8" s="10" t="inlineStr">
        <is>
          <t>Charisma (CHA)</t>
        </is>
      </c>
      <c r="B8" s="12" t="n">
        <v>40</v>
      </c>
      <c r="C8" s="12" t="n">
        <v>35</v>
      </c>
      <c r="D8" s="12" t="n">
        <v>40</v>
      </c>
      <c r="E8" s="12" t="n">
        <v>55</v>
      </c>
      <c r="F8" s="12" t="n">
        <v>30</v>
      </c>
    </row>
    <row r="9"/>
    <row r="10">
      <c r="A10" s="11" t="inlineStr">
        <is>
          <t>Derived Attributes (Auto-calculated)</t>
        </is>
      </c>
      <c r="B10" s="11" t="n"/>
      <c r="C10" s="11" t="n"/>
      <c r="D10" s="11" t="n"/>
      <c r="E10" s="11" t="n"/>
      <c r="F10" s="11" t="n"/>
    </row>
    <row r="11">
      <c r="A11" s="10" t="inlineStr">
        <is>
          <t>HP</t>
        </is>
      </c>
      <c r="B11" s="12">
        <f>D8*2+15</f>
        <v/>
      </c>
    </row>
    <row r="12">
      <c r="A12" s="10" t="inlineStr">
        <is>
          <t>Spirit Pool (SP)</t>
        </is>
      </c>
      <c r="B12" s="12">
        <f>B8*3+5</f>
        <v/>
      </c>
    </row>
    <row r="13">
      <c r="A13" s="10" t="inlineStr">
        <is>
          <t>Loss of Control Threshold (LoCT)</t>
        </is>
      </c>
      <c r="B13" s="12">
        <f>C8*2+10</f>
        <v/>
      </c>
    </row>
    <row r="14">
      <c r="A14" s="10" t="inlineStr">
        <is>
          <t>Initiative</t>
        </is>
      </c>
      <c r="B14" s="12" t="inlineStr">
        <is>
          <t>55 + d10</t>
        </is>
      </c>
    </row>
    <row r="15"/>
    <row r="16">
      <c r="A16" s="11" t="inlineStr">
        <is>
          <t>Combat Data</t>
        </is>
      </c>
      <c r="B16" s="11" t="n"/>
      <c r="C16" s="11" t="n"/>
      <c r="D16" s="11" t="n"/>
      <c r="E16" s="11" t="n"/>
      <c r="F16" s="11" t="n"/>
    </row>
    <row r="17">
      <c r="A17" s="10" t="inlineStr">
        <is>
          <t>Power of Night (1 AP / 3 Spirit / 10m / 2d8 Dark damage / Blind)</t>
        </is>
      </c>
      <c r="B17" s="7" t="n"/>
      <c r="C17" s="7" t="n"/>
      <c r="D17" s="7" t="n"/>
      <c r="E17" s="7" t="n"/>
      <c r="F17" s="8" t="n"/>
    </row>
    <row r="18">
      <c r="A18" s="10" t="inlineStr">
        <is>
          <t>Shadow Step (1 AP / 2 Spirit / 15m teleport / no opportunity attack)</t>
        </is>
      </c>
      <c r="B18" s="7" t="n"/>
      <c r="C18" s="7" t="n"/>
      <c r="D18" s="7" t="n"/>
      <c r="E18" s="7" t="n"/>
      <c r="F18" s="8" t="n"/>
    </row>
    <row r="19">
      <c r="A19" s="10" t="inlineStr">
        <is>
          <t>Basic Attack: Dagger +15 (1d6+8)</t>
        </is>
      </c>
      <c r="B19" s="7" t="n"/>
      <c r="C19" s="7" t="n"/>
      <c r="D19" s="7" t="n"/>
      <c r="E19" s="7" t="n"/>
      <c r="F19" s="8" t="n"/>
    </row>
    <row r="20"/>
    <row r="21">
      <c r="A21" s="11" t="inlineStr">
        <is>
          <t>Character Description</t>
        </is>
      </c>
      <c r="B21" s="11" t="n"/>
      <c r="C21" s="11" t="n"/>
      <c r="D21" s="11" t="n"/>
      <c r="E21" s="11" t="n"/>
      <c r="F21" s="11" t="n"/>
    </row>
    <row r="22">
      <c r="A22" s="10" t="inlineStr">
        <is>
          <t>Backstory:</t>
        </is>
      </c>
      <c r="B22" s="10" t="inlineStr">
        <is>
          <t>A companion who needs no sleep — always available to investigate with you deep into the night. Former night guard or recluse.</t>
        </is>
      </c>
      <c r="C22" s="7" t="n"/>
      <c r="D22" s="7" t="n"/>
      <c r="E22" s="7" t="n"/>
      <c r="F22" s="8" t="n"/>
    </row>
    <row r="23">
      <c r="A23" s="10" t="inlineStr">
        <is>
          <t>Notes:</t>
        </is>
      </c>
      <c r="B23" s="10" t="inlineStr">
        <is>
          <t>HP = 95 (Body 40×2+15). Solo-party night operations / crowd control.</t>
        </is>
      </c>
      <c r="C23" s="7" t="n"/>
      <c r="D23" s="7" t="n"/>
      <c r="E23" s="7" t="n"/>
      <c r="F23" s="8" t="n"/>
    </row>
    <row r="24">
      <c r="A24" s="10" t="inlineStr">
        <is>
          <t>Appears in:</t>
        </is>
      </c>
      <c r="B24" s="10" t="inlineStr">
        <is>
          <t>Solo Scenario Series (all three parts)</t>
        </is>
      </c>
      <c r="C24" s="7" t="n"/>
      <c r="D24" s="7" t="n"/>
      <c r="E24" s="7" t="n"/>
      <c r="F24" s="8" t="n"/>
    </row>
  </sheetData>
  <mergeCells count="10">
    <mergeCell ref="B3:D3"/>
    <mergeCell ref="B5:D5"/>
    <mergeCell ref="B24:F24"/>
    <mergeCell ref="A19:F19"/>
    <mergeCell ref="A1:F1"/>
    <mergeCell ref="B4:D4"/>
    <mergeCell ref="A17:F17"/>
    <mergeCell ref="A18:F18"/>
    <mergeCell ref="B22:F22"/>
    <mergeCell ref="B23:F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2026-06-25T17:01:07Z</dcterms:created>
  <dcterms:modified xsi:type="dcterms:W3CDTF">2026-08-11T11:59:06Z</dcterms:modified>
</cp:coreProperties>
</file>