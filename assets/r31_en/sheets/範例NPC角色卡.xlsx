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dy White (Alicia White)" sheetId="1" state="visible" r:id="rId1"/>
    <sheet name="Foreman Morrison (James M.)" sheetId="2" state="visible" r:id="rId2"/>
    <sheet name="Old John (John Grayson)" sheetId="3" state="visible" r:id="rId3"/>
    <sheet name="Engineer Valerie" sheetId="4" state="visible" r:id="rId4"/>
    <sheet name="Dr. Blackwood" sheetId="5" state="visible" r:id="rId5"/>
    <sheet name="Benedict (Drowned Man Tavern)" sheetId="6" state="visible" r:id="rId6"/>
    <sheet name="Manipulator (Edwin Gray)" sheetId="7" state="visible" r:id="rId7"/>
    <sheet name="Doctor (True Name Forgotten)" sheetId="8" state="visible" r:id="rId8"/>
    <sheet name="Annie (Consciousness Fragment)" sheetId="9" state="visible" r:id="rId9"/>
    <sheet name="Template A - Guardian" sheetId="10" state="visible" r:id="rId10"/>
    <sheet name="Template B - Observer" sheetId="11" state="visible" r:id="rId11"/>
    <sheet name="Template C - Stormcaller" sheetId="12" state="visible" r:id="rId12"/>
    <sheet name="Template D - Stalker"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sz val="16"/>
    </font>
    <font>
      <name val="微软雅黑"/>
      <sz val="10"/>
    </font>
    <font>
      <name val="微软雅黑"/>
      <b val="1"/>
      <sz val="11"/>
    </font>
    <font>
      <name val="微软雅黑"/>
      <color rgb="00666666"/>
      <sz val="9"/>
    </font>
    <font>
      <name val="Microsoft YaHei"/>
      <b val="1"/>
      <sz val="14"/>
    </font>
    <font>
      <name val="Microsoft YaHei"/>
      <sz val="10"/>
    </font>
    <font>
      <name val="Microsoft YaHei"/>
      <b val="1"/>
      <sz val="10"/>
    </font>
  </fonts>
  <fills count="3">
    <fill>
      <patternFill/>
    </fill>
    <fill>
      <patternFill patternType="gray125"/>
    </fill>
    <fill>
      <patternFill patternType="solid">
        <fgColor rgb="00D9E2F3"/>
        <bgColor rgb="00D9E2F3"/>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wrapText="1"/>
    </xf>
    <xf numFmtId="0" fontId="2" fillId="0" borderId="1" applyAlignment="1" pivotButton="0" quotePrefix="0" xfId="0">
      <alignment horizontal="left" vertical="center" wrapText="1"/>
    </xf>
    <xf numFmtId="0" fontId="3"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1" pivotButton="0" quotePrefix="0" xfId="0"/>
    <xf numFmtId="0" fontId="6" fillId="0" borderId="1" applyAlignment="1" pivotButton="0" quotePrefix="0" xfId="0">
      <alignment horizontal="left" vertical="center" wrapText="1"/>
    </xf>
    <xf numFmtId="0" fontId="7" fillId="2"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Lady White (Alicia White)</t>
        </is>
      </c>
    </row>
    <row r="2"/>
    <row r="3">
      <c r="A3" s="2" t="inlineStr">
        <is>
          <t>Pathway/Sequence:</t>
        </is>
      </c>
      <c r="B3" s="2" t="inlineStr">
        <is>
          <t>Spectator Pathway, Sequence 6 - Hypnotist</t>
        </is>
      </c>
      <c r="C3" s="7" t="n"/>
      <c r="D3" s="8" t="n"/>
    </row>
    <row r="4">
      <c r="A4" s="2" t="inlineStr">
        <is>
          <t>Affiliated Faction:</t>
        </is>
      </c>
      <c r="B4" s="2" t="inlineStr">
        <is>
          <t>None (Independent)</t>
        </is>
      </c>
      <c r="C4" s="7" t="n"/>
      <c r="D4" s="8" t="n"/>
    </row>
    <row r="5">
      <c r="A5" s="2" t="inlineStr">
        <is>
          <t>Position/Identity:</t>
        </is>
      </c>
      <c r="B5" s="2" t="inlineStr">
        <is>
          <t xml:space="preserve"> "The Crimson Ball of the White Room" Antagonist </t>
        </is>
      </c>
      <c r="C5" s="7" t="n"/>
      <c r="D5" s="8" t="n"/>
    </row>
    <row r="6">
      <c r="A6" s="2" t="inlineStr">
        <is>
          <t>Attitude toward Players:</t>
        </is>
      </c>
      <c r="B6" s="2" t="inlineStr">
        <is>
          <t>Hostile - Intruders into the ball</t>
        </is>
      </c>
      <c r="C6" s="7" t="n"/>
      <c r="D6" s="8" t="n"/>
    </row>
    <row r="7"/>
    <row r="8">
      <c r="A8" s="3" t="inlineStr">
        <is>
          <t>Core Attributes</t>
        </is>
      </c>
      <c r="B8" s="4" t="inlineStr"/>
      <c r="C8" s="4" t="inlineStr"/>
      <c r="D8" s="4" t="inlineStr"/>
      <c r="E8" s="4" t="inlineStr"/>
      <c r="F8" s="4" t="inlineStr"/>
    </row>
    <row r="9">
      <c r="A9" s="2" t="inlineStr">
        <is>
          <t>Charisma (CHA)</t>
        </is>
      </c>
      <c r="B9" s="5" t="n">
        <v>55</v>
      </c>
      <c r="C9" s="5" t="n">
        <v>50</v>
      </c>
      <c r="D9" s="5" t="n">
        <v>35</v>
      </c>
      <c r="E9" s="5" t="n">
        <v>45</v>
      </c>
      <c r="F9" s="5" t="n">
        <v>65</v>
      </c>
    </row>
    <row r="10"/>
    <row r="11">
      <c r="A11" s="3" t="inlineStr">
        <is>
          <t>Derived Attributes (Auto-calculated)</t>
        </is>
      </c>
      <c r="B11" s="4" t="inlineStr"/>
      <c r="C11" s="4" t="inlineStr"/>
      <c r="D11" s="4" t="inlineStr"/>
      <c r="E11" s="4" t="inlineStr"/>
      <c r="F11" s="4" t="inlineStr"/>
    </row>
    <row r="12">
      <c r="A12" s="2" t="inlineStr">
        <is>
          <t>HP</t>
        </is>
      </c>
      <c r="B12" s="5">
        <f>D9*2+15</f>
        <v/>
      </c>
      <c r="C12" s="6" t="inlineStr"/>
    </row>
    <row r="13">
      <c r="A13" s="2" t="inlineStr">
        <is>
          <t>Spirit Pool</t>
        </is>
      </c>
      <c r="B13" s="5">
        <f>B9*3+5</f>
        <v/>
      </c>
      <c r="C13" s="6" t="inlineStr"/>
    </row>
    <row r="14">
      <c r="A14" s="2" t="inlineStr">
        <is>
          <t>Loss of Control Threshold</t>
        </is>
      </c>
      <c r="B14" s="5">
        <f>C9*2+10</f>
        <v/>
      </c>
      <c r="C14" s="6" t="inlineStr"/>
    </row>
    <row r="15">
      <c r="A15" s="2" t="inlineStr">
        <is>
          <t>Loss of Control</t>
        </is>
      </c>
      <c r="B15" s="5" t="inlineStr">
        <is>
          <t>(Per scenario setting)</t>
        </is>
      </c>
      <c r="C15" s="6" t="inlineStr"/>
    </row>
    <row r="16">
      <c r="A16" s="2" t="inlineStr">
        <is>
          <t>Initiative</t>
        </is>
      </c>
      <c r="B16" s="5" t="inlineStr">
        <is>
          <t>45 + d10</t>
        </is>
      </c>
      <c r="C16" s="6" t="inlineStr"/>
    </row>
    <row r="17"/>
    <row r="18">
      <c r="A18" s="3" t="inlineStr">
        <is>
          <t>Combat Data</t>
        </is>
      </c>
      <c r="B18" s="4" t="inlineStr"/>
      <c r="C18" s="4" t="inlineStr"/>
      <c r="D18" s="4" t="inlineStr"/>
      <c r="E18" s="4" t="inlineStr"/>
      <c r="F18" s="4" t="inlineStr"/>
    </row>
    <row r="19">
      <c r="A19" s="2" t="inlineStr">
        <is>
          <t>Attack: Dance Hypnosis (+20 / Area Charm / 20m), Emotional Storm (+15 / 3d6 Mental / Whole Area)</t>
        </is>
      </c>
      <c r="B19" s="7" t="n"/>
      <c r="C19" s="7" t="n"/>
      <c r="D19" s="7" t="n"/>
      <c r="E19" s="7" t="n"/>
      <c r="F19" s="8" t="n"/>
    </row>
    <row r="20">
      <c r="A20" s="2" t="inlineStr">
        <is>
          <t>Abilities: Tempo Control (Reaction / control the hypnotized), Eternal Waltz (HP&lt;50% Berserk)</t>
        </is>
      </c>
      <c r="B20" s="7" t="n"/>
      <c r="C20" s="7" t="n"/>
      <c r="D20" s="7" t="n"/>
      <c r="E20" s="7" t="n"/>
      <c r="F20" s="8" t="n"/>
    </row>
    <row r="21"/>
    <row r="22">
      <c r="A22" s="3" t="inlineStr">
        <is>
          <t>Character Description</t>
        </is>
      </c>
      <c r="B22" s="4" t="inlineStr"/>
      <c r="C22" s="4" t="inlineStr"/>
      <c r="D22" s="4" t="inlineStr"/>
      <c r="E22" s="4" t="inlineStr"/>
      <c r="F22" s="4" t="inlineStr"/>
    </row>
    <row r="23">
      <c r="A23" s="2" t="inlineStr">
        <is>
          <t>Backstory:</t>
        </is>
      </c>
      <c r="B23" s="2" t="inlineStr">
        <is>
          <t>A survivor of the Royal Theater fire five years ago. After her Loss of Control, her powers went berserk, binding the audience in an eternal dance hallucination. She lives within the lies she created - certain that as long as the ball is perfect enough, everything can begin anew.</t>
        </is>
      </c>
      <c r="C23" s="7" t="n"/>
      <c r="D23" s="7" t="n"/>
      <c r="E23" s="7" t="n"/>
      <c r="F23" s="8" t="n"/>
    </row>
    <row r="24">
      <c r="A24" s="2" t="inlineStr">
        <is>
          <t>Known Secrets:</t>
        </is>
      </c>
      <c r="B24" s="2" t="inlineStr">
        <is>
          <t>What she does not know: all of the audience died in the fire. She is the only survivor - and the only prisoner.</t>
        </is>
      </c>
      <c r="C24" s="7" t="n"/>
      <c r="D24" s="7" t="n"/>
      <c r="E24" s="7" t="n"/>
      <c r="F24" s="8" t="n"/>
    </row>
    <row r="25">
      <c r="A25" s="2" t="inlineStr">
        <is>
          <t>Notes:</t>
        </is>
      </c>
      <c r="B25" s="2" t="inlineStr">
        <is>
          <t>Weakness: Mind -20 when facing the truth of the fire. The redemption route requires a recall check (Charisma +20).</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Foreman Morrison (James Morrison)</t>
        </is>
      </c>
    </row>
    <row r="2"/>
    <row r="3">
      <c r="A3" s="2" t="inlineStr">
        <is>
          <t>Pathway/Sequence:</t>
        </is>
      </c>
      <c r="B3" s="2" t="inlineStr">
        <is>
          <t>Secrets Suppliant Pathway, Sequence 7 - Shadow Ascetic</t>
        </is>
      </c>
      <c r="C3" s="7" t="n"/>
      <c r="D3" s="8" t="n"/>
    </row>
    <row r="4">
      <c r="A4" s="2" t="inlineStr">
        <is>
          <t>Affiliated Faction:</t>
        </is>
      </c>
      <c r="B4" s="2" t="inlineStr">
        <is>
          <t>None (Independent)</t>
        </is>
      </c>
      <c r="C4" s="7" t="n"/>
      <c r="D4" s="8" t="n"/>
    </row>
    <row r="5">
      <c r="A5" s="2" t="inlineStr">
        <is>
          <t>Position/Identity:</t>
        </is>
      </c>
      <c r="B5" s="2" t="inlineStr">
        <is>
          <t xml:space="preserve"> "Whispers Beneath the Gray Fog" Antagonist </t>
        </is>
      </c>
      <c r="C5" s="7" t="n"/>
      <c r="D5" s="8" t="n"/>
    </row>
    <row r="6">
      <c r="A6" s="2" t="inlineStr">
        <is>
          <t>Attitude toward Players:</t>
        </is>
      </c>
      <c r="B6" s="2" t="inlineStr">
        <is>
          <t>Hostile - Opponents of the plan</t>
        </is>
      </c>
      <c r="C6" s="7" t="n"/>
      <c r="D6" s="8" t="n"/>
    </row>
    <row r="7"/>
    <row r="8">
      <c r="A8" s="3" t="inlineStr">
        <is>
          <t>Core Attributes</t>
        </is>
      </c>
      <c r="B8" s="4" t="inlineStr"/>
      <c r="C8" s="4" t="inlineStr"/>
      <c r="D8" s="4" t="inlineStr"/>
      <c r="E8" s="4" t="inlineStr"/>
      <c r="F8" s="4" t="inlineStr"/>
    </row>
    <row r="9">
      <c r="A9" s="2" t="inlineStr">
        <is>
          <t>Charisma (CHA)</t>
        </is>
      </c>
      <c r="B9" s="5" t="n">
        <v>60</v>
      </c>
      <c r="C9" s="5" t="n">
        <v>45</v>
      </c>
      <c r="D9" s="5" t="n">
        <v>40</v>
      </c>
      <c r="E9" s="5" t="n">
        <v>30</v>
      </c>
      <c r="F9" s="5" t="n">
        <v>30</v>
      </c>
    </row>
    <row r="10"/>
    <row r="11">
      <c r="A11" s="3" t="inlineStr">
        <is>
          <t>Derived Attributes (Auto-calculated)</t>
        </is>
      </c>
      <c r="B11" s="4" t="inlineStr"/>
      <c r="C11" s="4" t="inlineStr"/>
      <c r="D11" s="4" t="inlineStr"/>
      <c r="E11" s="4" t="inlineStr"/>
      <c r="F11" s="4" t="inlineStr"/>
    </row>
    <row r="12">
      <c r="A12" s="2" t="inlineStr">
        <is>
          <t>HP</t>
        </is>
      </c>
      <c r="B12" s="5">
        <f>D9*2+15</f>
        <v/>
      </c>
      <c r="C12" s="6" t="inlineStr"/>
    </row>
    <row r="13">
      <c r="A13" s="2" t="inlineStr">
        <is>
          <t>Spirit Pool</t>
        </is>
      </c>
      <c r="B13" s="5">
        <f>B9*3+5</f>
        <v/>
      </c>
      <c r="C13" s="6" t="inlineStr"/>
    </row>
    <row r="14">
      <c r="A14" s="2" t="inlineStr">
        <is>
          <t>Loss of Control Threshold</t>
        </is>
      </c>
      <c r="B14" s="5">
        <f>C9*2+10</f>
        <v/>
      </c>
      <c r="C14" s="6" t="inlineStr"/>
    </row>
    <row r="15">
      <c r="A15" s="2" t="inlineStr">
        <is>
          <t>Loss of Control</t>
        </is>
      </c>
      <c r="B15" s="5" t="inlineStr">
        <is>
          <t>(Per scenario setting)</t>
        </is>
      </c>
      <c r="C15" s="6" t="inlineStr"/>
    </row>
    <row r="16">
      <c r="A16" s="2" t="inlineStr">
        <is>
          <t>Initiative</t>
        </is>
      </c>
      <c r="B16" s="5" t="inlineStr">
        <is>
          <t>30 + d10</t>
        </is>
      </c>
      <c r="C16" s="6" t="inlineStr"/>
    </row>
    <row r="17"/>
    <row r="18">
      <c r="A18" s="3" t="inlineStr">
        <is>
          <t>Combat Data</t>
        </is>
      </c>
      <c r="B18" s="4" t="inlineStr"/>
      <c r="C18" s="4" t="inlineStr"/>
      <c r="D18" s="4" t="inlineStr"/>
      <c r="E18" s="4" t="inlineStr"/>
      <c r="F18" s="4" t="inlineStr"/>
    </row>
    <row r="19">
      <c r="A19" s="2" t="inlineStr">
        <is>
          <t>Attack: Shadow Touch (+15 / 3d6 Dark / Melee), Sacrificial Blade (+15 / 2d8 Dark + Curse / 10m)</t>
        </is>
      </c>
      <c r="B19" s="7" t="n"/>
      <c r="C19" s="7" t="n"/>
      <c r="D19" s="7" t="n"/>
      <c r="E19" s="7" t="n"/>
      <c r="F19" s="8" t="n"/>
    </row>
    <row r="20">
      <c r="A20" s="2" t="inlineStr">
        <is>
          <t>Abilities: Shadow Stealth (1 AP / fully concealed), Summon Shadow Servants x2</t>
        </is>
      </c>
      <c r="B20" s="7" t="n"/>
      <c r="C20" s="7" t="n"/>
      <c r="D20" s="7" t="n"/>
      <c r="E20" s="7" t="n"/>
      <c r="F20" s="8" t="n"/>
    </row>
    <row r="21"/>
    <row r="22">
      <c r="A22" s="3" t="inlineStr">
        <is>
          <t>Character Description</t>
        </is>
      </c>
      <c r="B22" s="4" t="inlineStr"/>
      <c r="C22" s="4" t="inlineStr"/>
      <c r="D22" s="4" t="inlineStr"/>
      <c r="E22" s="4" t="inlineStr"/>
      <c r="F22" s="4" t="inlineStr"/>
    </row>
    <row r="23">
      <c r="A23" s="2" t="inlineStr">
        <is>
          <t>Backstory:</t>
        </is>
      </c>
      <c r="B23" s="2" t="inlineStr">
        <is>
          <t>Former textile worker. His wife died in a factory accident. He consumed a Secrets Suppliant potion to seek revenge, but was led toward the Abyss by the whispers of a hidden existence. Now he sacrifices the workers' memories in exchange for the promise of 'bringing his wife back.'</t>
        </is>
      </c>
      <c r="C23" s="7" t="n"/>
      <c r="D23" s="7" t="n"/>
      <c r="E23" s="7" t="n"/>
      <c r="F23" s="8" t="n"/>
    </row>
    <row r="24">
      <c r="A24" s="2" t="inlineStr">
        <is>
          <t>Known Secrets:</t>
        </is>
      </c>
      <c r="B24" s="2" t="inlineStr">
        <is>
          <t>The hidden existence will never fulfill its promise. The foreman is merely its tool for harvesting memory material.</t>
        </is>
      </c>
      <c r="C24" s="7" t="n"/>
      <c r="D24" s="7" t="n"/>
      <c r="E24" s="7" t="n"/>
      <c r="F24" s="8" t="n"/>
    </row>
    <row r="25">
      <c r="A25" s="2" t="inlineStr">
        <is>
          <t>Notes:</t>
        </is>
      </c>
      <c r="B25" s="2" t="inlineStr">
        <is>
          <t>Weakness: Shadow Stealth fails in bright-light environments. Interrupting the ritual causes backlash (+10 Loss of Control). Redemption requires evoking memories of his wife.</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Old John (John Grayson)</t>
        </is>
      </c>
    </row>
    <row r="2"/>
    <row r="3">
      <c r="A3" s="2" t="inlineStr">
        <is>
          <t>Pathway/Sequence:</t>
        </is>
      </c>
      <c r="B3" s="2" t="inlineStr">
        <is>
          <t>Spectator Pathway, Sequence 5 - Dreamwalker (Retired)</t>
        </is>
      </c>
      <c r="C3" s="7" t="n"/>
      <c r="D3" s="8" t="n"/>
    </row>
    <row r="4">
      <c r="A4" s="2" t="inlineStr">
        <is>
          <t>Affiliated Faction:</t>
        </is>
      </c>
      <c r="B4" s="2" t="inlineStr">
        <is>
          <t>Independent Merchant</t>
        </is>
      </c>
      <c r="C4" s="7" t="n"/>
      <c r="D4" s="8" t="n"/>
    </row>
    <row r="5">
      <c r="A5" s="2" t="inlineStr">
        <is>
          <t>Position/Identity:</t>
        </is>
      </c>
      <c r="B5" s="2" t="inlineStr">
        <is>
          <t>Warehouse No. 10 Manager / Information Source</t>
        </is>
      </c>
      <c r="C5" s="7" t="n"/>
      <c r="D5" s="8" t="n"/>
    </row>
    <row r="6">
      <c r="A6" s="2" t="inlineStr">
        <is>
          <t>Attitude toward Players:</t>
        </is>
      </c>
      <c r="B6" s="2" t="inlineStr">
        <is>
          <t>Friendly - As long as the price is fair</t>
        </is>
      </c>
      <c r="C6" s="7" t="n"/>
      <c r="D6" s="8" t="n"/>
    </row>
    <row r="7"/>
    <row r="8">
      <c r="A8" s="3" t="inlineStr">
        <is>
          <t>Core Attributes</t>
        </is>
      </c>
      <c r="B8" s="4" t="inlineStr"/>
      <c r="C8" s="4" t="inlineStr"/>
      <c r="D8" s="4" t="inlineStr"/>
      <c r="E8" s="4" t="inlineStr"/>
      <c r="F8" s="4" t="inlineStr"/>
    </row>
    <row r="9">
      <c r="A9" s="2" t="inlineStr">
        <is>
          <t>Charisma (CHA)</t>
        </is>
      </c>
      <c r="B9" s="5" t="n">
        <v>40</v>
      </c>
      <c r="C9" s="5" t="n">
        <v>60</v>
      </c>
      <c r="D9" s="5" t="n">
        <v>35</v>
      </c>
      <c r="E9" s="5" t="n">
        <v>25</v>
      </c>
      <c r="F9" s="5" t="n">
        <v>55</v>
      </c>
    </row>
    <row r="10"/>
    <row r="11">
      <c r="A11" s="3" t="inlineStr">
        <is>
          <t>Derived Attributes (Auto-calculated)</t>
        </is>
      </c>
      <c r="B11" s="4" t="inlineStr"/>
      <c r="C11" s="4" t="inlineStr"/>
      <c r="D11" s="4" t="inlineStr"/>
      <c r="E11" s="4" t="inlineStr"/>
      <c r="F11" s="4" t="inlineStr"/>
    </row>
    <row r="12">
      <c r="A12" s="2" t="inlineStr">
        <is>
          <t>HP</t>
        </is>
      </c>
      <c r="B12" s="5">
        <f>D9*2+15</f>
        <v/>
      </c>
      <c r="C12" s="6" t="inlineStr"/>
    </row>
    <row r="13">
      <c r="A13" s="2" t="inlineStr">
        <is>
          <t>Spirit Pool</t>
        </is>
      </c>
      <c r="B13" s="5">
        <f>B9*3+5</f>
        <v/>
      </c>
      <c r="C13" s="6" t="inlineStr"/>
    </row>
    <row r="14">
      <c r="A14" s="2" t="inlineStr">
        <is>
          <t>Loss of Control Threshold</t>
        </is>
      </c>
      <c r="B14" s="5">
        <f>C9*2+10</f>
        <v/>
      </c>
      <c r="C14" s="6" t="inlineStr"/>
    </row>
    <row r="15">
      <c r="A15" s="2" t="inlineStr">
        <is>
          <t>Loss of Control</t>
        </is>
      </c>
      <c r="B15" s="5" t="inlineStr">
        <is>
          <t>(Per scenario setting)</t>
        </is>
      </c>
      <c r="C15" s="6" t="inlineStr"/>
    </row>
    <row r="16">
      <c r="A16" s="2" t="inlineStr">
        <is>
          <t>Initiative</t>
        </is>
      </c>
      <c r="B16" s="5" t="inlineStr">
        <is>
          <t>25 + d10</t>
        </is>
      </c>
      <c r="C16" s="6" t="inlineStr"/>
    </row>
    <row r="17"/>
    <row r="18">
      <c r="A18" s="3" t="inlineStr">
        <is>
          <t>Combat Data</t>
        </is>
      </c>
      <c r="B18" s="4" t="inlineStr"/>
      <c r="C18" s="4" t="inlineStr"/>
      <c r="D18" s="4" t="inlineStr"/>
      <c r="E18" s="4" t="inlineStr"/>
      <c r="F18" s="4" t="inlineStr"/>
    </row>
    <row r="19">
      <c r="A19" s="2" t="inlineStr">
        <is>
          <t>Unwilling to fight. If forced: Enter Dream (full turn / put target to sleep / falls asleep itself)</t>
        </is>
      </c>
      <c r="B19" s="7" t="n"/>
      <c r="C19" s="7" t="n"/>
      <c r="D19" s="7" t="n"/>
      <c r="E19" s="7" t="n"/>
      <c r="F19" s="8" t="n"/>
    </row>
    <row r="20">
      <c r="A20" s="2" t="inlineStr">
        <is>
          <t>Combat Data: No active attack ability. Very low Initiative (-10).</t>
        </is>
      </c>
      <c r="B20" s="7" t="n"/>
      <c r="C20" s="7" t="n"/>
      <c r="D20" s="7" t="n"/>
      <c r="E20" s="7" t="n"/>
      <c r="F20" s="8" t="n"/>
    </row>
    <row r="21"/>
    <row r="22">
      <c r="A22" s="3" t="inlineStr">
        <is>
          <t>Character Description</t>
        </is>
      </c>
      <c r="B22" s="4" t="inlineStr"/>
      <c r="C22" s="4" t="inlineStr"/>
      <c r="D22" s="4" t="inlineStr"/>
      <c r="E22" s="4" t="inlineStr"/>
      <c r="F22" s="4" t="inlineStr"/>
    </row>
    <row r="23">
      <c r="A23" s="2" t="inlineStr">
        <is>
          <t>Backstory:</t>
        </is>
      </c>
      <c r="B23" s="2" t="inlineStr">
        <is>
          <t>A retired Beyonder merchant. He runs a black market for Sealed Artifacts inside a disguised warehouse at the Ash Harbor District docks. In his youth he was an elite Beyonder of the Spectator Pathway, but permanently lost his Enter Dream ability after a Loss of Control incident (though he retained his dream knowledge). Now he does business on experience and connections.</t>
        </is>
      </c>
      <c r="C23" s="7" t="n"/>
      <c r="D23" s="7" t="n"/>
      <c r="E23" s="7" t="n"/>
      <c r="F23" s="8" t="n"/>
    </row>
    <row r="24">
      <c r="A24" s="2" t="inlineStr">
        <is>
          <t>Known Secrets:</t>
        </is>
      </c>
      <c r="B24" s="2" t="inlineStr">
        <is>
          <t>He knows the disguised identities of at least three high-ranking entities - but will never speak of them. He can sense the "true intent" of anyone entering the warehouse.</t>
        </is>
      </c>
      <c r="C24" s="7" t="n"/>
      <c r="D24" s="7" t="n"/>
      <c r="E24" s="7" t="n"/>
      <c r="F24" s="8" t="n"/>
    </row>
    <row r="25">
      <c r="A25" s="2" t="inlineStr">
        <is>
          <t>Notes:</t>
        </is>
      </c>
      <c r="B25" s="2" t="inlineStr">
        <is>
          <t>Players can gather information here, purchase Sealed Artifacts, and accept commissions. When fondness is high enough, he will proactively offer leads.</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Engineer Valerie</t>
        </is>
      </c>
    </row>
    <row r="2"/>
    <row r="3">
      <c r="A3" s="2" t="inlineStr">
        <is>
          <t>Pathway/Sequence:</t>
        </is>
      </c>
      <c r="B3" s="2" t="inlineStr">
        <is>
          <t>Savant Pathway, Sequence 6 - Artisan</t>
        </is>
      </c>
      <c r="C3" s="7" t="n"/>
      <c r="D3" s="8" t="n"/>
    </row>
    <row r="4">
      <c r="A4" s="2" t="inlineStr">
        <is>
          <t>Affiliated Faction:</t>
        </is>
      </c>
      <c r="B4" s="2" t="inlineStr">
        <is>
          <t>Gear Council</t>
        </is>
      </c>
      <c r="C4" s="7" t="n"/>
      <c r="D4" s="8" t="n"/>
    </row>
    <row r="5">
      <c r="A5" s="2" t="inlineStr">
        <is>
          <t>Position/Identity:</t>
        </is>
      </c>
      <c r="B5" s="2" t="inlineStr">
        <is>
          <t xml:space="preserve"> "Warehouse No. 10" Antagonist / Blackwood's Deputy </t>
        </is>
      </c>
      <c r="C5" s="7" t="n"/>
      <c r="D5" s="8" t="n"/>
    </row>
    <row r="6">
      <c r="A6" s="2" t="inlineStr">
        <is>
          <t>Attitude toward Players:</t>
        </is>
      </c>
      <c r="B6" s="2" t="inlineStr">
        <is>
          <t>Hostile - Obstacles to the plan</t>
        </is>
      </c>
      <c r="C6" s="7" t="n"/>
      <c r="D6" s="8" t="n"/>
    </row>
    <row r="7"/>
    <row r="8">
      <c r="A8" s="3" t="inlineStr">
        <is>
          <t>Core Attributes</t>
        </is>
      </c>
      <c r="B8" s="4" t="inlineStr"/>
      <c r="C8" s="4" t="inlineStr"/>
      <c r="D8" s="4" t="inlineStr"/>
      <c r="E8" s="4" t="inlineStr"/>
      <c r="F8" s="4" t="inlineStr"/>
    </row>
    <row r="9">
      <c r="A9" s="2" t="inlineStr">
        <is>
          <t>Charisma (CHA)</t>
        </is>
      </c>
      <c r="B9" s="5" t="n">
        <v>40</v>
      </c>
      <c r="C9" s="5" t="n">
        <v>60</v>
      </c>
      <c r="D9" s="5" t="n">
        <v>35</v>
      </c>
      <c r="E9" s="5" t="n">
        <v>45</v>
      </c>
      <c r="F9" s="5" t="n">
        <v>35</v>
      </c>
    </row>
    <row r="10"/>
    <row r="11">
      <c r="A11" s="3" t="inlineStr">
        <is>
          <t>Derived Attributes (Auto-calculated)</t>
        </is>
      </c>
      <c r="B11" s="4" t="inlineStr"/>
      <c r="C11" s="4" t="inlineStr"/>
      <c r="D11" s="4" t="inlineStr"/>
      <c r="E11" s="4" t="inlineStr"/>
      <c r="F11" s="4" t="inlineStr"/>
    </row>
    <row r="12">
      <c r="A12" s="2" t="inlineStr">
        <is>
          <t>HP</t>
        </is>
      </c>
      <c r="B12" s="5">
        <f>D9*2+15</f>
        <v/>
      </c>
      <c r="C12" s="6" t="inlineStr"/>
    </row>
    <row r="13">
      <c r="A13" s="2" t="inlineStr">
        <is>
          <t>Spirit Pool</t>
        </is>
      </c>
      <c r="B13" s="5">
        <f>B9*3+5</f>
        <v/>
      </c>
      <c r="C13" s="6" t="inlineStr"/>
    </row>
    <row r="14">
      <c r="A14" s="2" t="inlineStr">
        <is>
          <t>Loss of Control Threshold</t>
        </is>
      </c>
      <c r="B14" s="5">
        <f>C9*2+10</f>
        <v/>
      </c>
      <c r="C14" s="6" t="inlineStr"/>
    </row>
    <row r="15">
      <c r="A15" s="2" t="inlineStr">
        <is>
          <t>Loss of Control</t>
        </is>
      </c>
      <c r="B15" s="5" t="inlineStr">
        <is>
          <t>(Per scenario setting)</t>
        </is>
      </c>
      <c r="C15" s="6" t="inlineStr"/>
    </row>
    <row r="16">
      <c r="A16" s="2" t="inlineStr">
        <is>
          <t>Initiative</t>
        </is>
      </c>
      <c r="B16" s="5" t="inlineStr">
        <is>
          <t>45 + d10</t>
        </is>
      </c>
      <c r="C16" s="6" t="inlineStr"/>
    </row>
    <row r="17"/>
    <row r="18">
      <c r="A18" s="3" t="inlineStr">
        <is>
          <t>Combat Data</t>
        </is>
      </c>
      <c r="B18" s="4" t="inlineStr"/>
      <c r="C18" s="4" t="inlineStr"/>
      <c r="D18" s="4" t="inlineStr"/>
      <c r="E18" s="4" t="inlineStr"/>
      <c r="F18" s="4" t="inlineStr"/>
    </row>
    <row r="19">
      <c r="A19" s="2" t="inlineStr">
        <is>
          <t>Attack: Steam Jet (+20 / 2d8 Fire / 10m / Knockback), Wrench Smash (+20 / 2d6+10 / Melee)</t>
        </is>
      </c>
      <c r="B19" s="7" t="n"/>
      <c r="C19" s="7" t="n"/>
      <c r="D19" s="7" t="n"/>
      <c r="E19" s="7" t="n"/>
      <c r="F19" s="8" t="n"/>
    </row>
    <row r="20">
      <c r="A20" s="2" t="inlineStr">
        <is>
          <t>Abilities: Machine Manipulation (operate environmental machinery), Precision Traps (3), Sealed Artifact Dismantling</t>
        </is>
      </c>
      <c r="B20" s="7" t="n"/>
      <c r="C20" s="7" t="n"/>
      <c r="D20" s="7" t="n"/>
      <c r="E20" s="7" t="n"/>
      <c r="F20" s="8" t="n"/>
    </row>
    <row r="21"/>
    <row r="22">
      <c r="A22" s="3" t="inlineStr">
        <is>
          <t>Character Description</t>
        </is>
      </c>
      <c r="B22" s="4" t="inlineStr"/>
      <c r="C22" s="4" t="inlineStr"/>
      <c r="D22" s="4" t="inlineStr"/>
      <c r="E22" s="4" t="inlineStr"/>
      <c r="F22" s="4" t="inlineStr"/>
    </row>
    <row r="23">
      <c r="A23" s="2" t="inlineStr">
        <is>
          <t>Backstory:</t>
        </is>
      </c>
      <c r="B23" s="2" t="inlineStr">
        <is>
          <t>Dr. Blackwood's former student and most loyal assistant. She believes in the doctor's theory - that the Pathway System is a 'prison.' She takes part in collecting Sealed Artifacts not to destroy them, but to 'dismantle and study' them - to understand how each artifact's Beyonder Characteristics can be recombined.</t>
        </is>
      </c>
      <c r="C23" s="7" t="n"/>
      <c r="D23" s="7" t="n"/>
      <c r="E23" s="7" t="n"/>
      <c r="F23" s="8" t="n"/>
    </row>
    <row r="24">
      <c r="A24" s="2" t="inlineStr">
        <is>
          <t>Known Secrets:</t>
        </is>
      </c>
      <c r="B24" s="2" t="inlineStr">
        <is>
          <t>Privately she fears the doctor's theory is wrong. She takes part in the research not out of belief - but because she does not want to let down her mentor.</t>
        </is>
      </c>
      <c r="C24" s="7" t="n"/>
      <c r="D24" s="7" t="n"/>
      <c r="E24" s="7" t="n"/>
      <c r="F24" s="8" t="n"/>
    </row>
    <row r="25">
      <c r="A25" s="2" t="inlineStr">
        <is>
          <t>Notes:</t>
        </is>
      </c>
      <c r="B25" s="2" t="inlineStr">
        <is>
          <t>Weakness: after the Difference Engine is destroyed, her abilities are halved. Can be persuaded (requires the doctor's wife's keepsake).</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Dr. Blackwood</t>
        </is>
      </c>
    </row>
    <row r="2"/>
    <row r="3">
      <c r="A3" s="2" t="inlineStr">
        <is>
          <t>Pathway/Sequence:</t>
        </is>
      </c>
      <c r="B3" s="2" t="inlineStr">
        <is>
          <t>Savant Pathway, Sequence 4 - Mechanical Heart</t>
        </is>
      </c>
      <c r="C3" s="7" t="n"/>
      <c r="D3" s="8" t="n"/>
    </row>
    <row r="4">
      <c r="A4" s="2" t="inlineStr">
        <is>
          <t>Affiliated Faction:</t>
        </is>
      </c>
      <c r="B4" s="2" t="inlineStr">
        <is>
          <t>Gear Council (Founder)</t>
        </is>
      </c>
      <c r="C4" s="7" t="n"/>
      <c r="D4" s="8" t="n"/>
    </row>
    <row r="5">
      <c r="A5" s="2" t="inlineStr">
        <is>
          <t>Position/Identity:</t>
        </is>
      </c>
      <c r="B5" s="2" t="inlineStr">
        <is>
          <t>Final Antagonist of the Series</t>
        </is>
      </c>
      <c r="C5" s="7" t="n"/>
      <c r="D5" s="8" t="n"/>
    </row>
    <row r="6">
      <c r="A6" s="2" t="inlineStr">
        <is>
          <t>Attitude toward Players:</t>
        </is>
      </c>
      <c r="B6" s="2" t="inlineStr">
        <is>
          <t xml:space="preserve">Non-hostile - "I merely wish to show you a window." </t>
        </is>
      </c>
      <c r="C6" s="7" t="n"/>
      <c r="D6" s="8" t="n"/>
    </row>
    <row r="7"/>
    <row r="8">
      <c r="A8" s="3" t="inlineStr">
        <is>
          <t>Core Attributes</t>
        </is>
      </c>
      <c r="B8" s="4" t="inlineStr"/>
      <c r="C8" s="4" t="inlineStr"/>
      <c r="D8" s="4" t="inlineStr"/>
      <c r="E8" s="4" t="inlineStr"/>
      <c r="F8" s="4" t="inlineStr"/>
    </row>
    <row r="9">
      <c r="A9" s="2" t="inlineStr">
        <is>
          <t>Charisma (CHA)</t>
        </is>
      </c>
      <c r="B9" s="5" t="n">
        <v>70</v>
      </c>
      <c r="C9" s="5" t="n">
        <v>80</v>
      </c>
      <c r="D9" s="5" t="n">
        <v>40</v>
      </c>
      <c r="E9" s="5" t="n">
        <v>35</v>
      </c>
      <c r="F9" s="5" t="n">
        <v>20</v>
      </c>
    </row>
    <row r="10"/>
    <row r="11">
      <c r="A11" s="3" t="inlineStr">
        <is>
          <t>Derived Attributes (Auto-calculated)</t>
        </is>
      </c>
      <c r="B11" s="4" t="inlineStr"/>
      <c r="C11" s="4" t="inlineStr"/>
      <c r="D11" s="4" t="inlineStr"/>
      <c r="E11" s="4" t="inlineStr"/>
      <c r="F11" s="4" t="inlineStr"/>
    </row>
    <row r="12">
      <c r="A12" s="2" t="inlineStr">
        <is>
          <t>HP</t>
        </is>
      </c>
      <c r="B12" s="5">
        <f>D9*2+15</f>
        <v/>
      </c>
      <c r="C12" s="6" t="inlineStr"/>
    </row>
    <row r="13">
      <c r="A13" s="2" t="inlineStr">
        <is>
          <t>Spirit Pool</t>
        </is>
      </c>
      <c r="B13" s="5">
        <f>B9*3+5</f>
        <v/>
      </c>
      <c r="C13" s="6" t="inlineStr"/>
    </row>
    <row r="14">
      <c r="A14" s="2" t="inlineStr">
        <is>
          <t>Loss of Control Threshold</t>
        </is>
      </c>
      <c r="B14" s="5">
        <f>C9*2+10</f>
        <v/>
      </c>
      <c r="C14" s="6" t="inlineStr"/>
    </row>
    <row r="15">
      <c r="A15" s="2" t="inlineStr">
        <is>
          <t>Loss of Control</t>
        </is>
      </c>
      <c r="B15" s="5" t="inlineStr">
        <is>
          <t>(Per scenario setting)</t>
        </is>
      </c>
      <c r="C15" s="6" t="inlineStr"/>
    </row>
    <row r="16">
      <c r="A16" s="2" t="inlineStr">
        <is>
          <t>Initiative</t>
        </is>
      </c>
      <c r="B16" s="5" t="inlineStr">
        <is>
          <t>35 + d10</t>
        </is>
      </c>
      <c r="C16" s="6" t="inlineStr"/>
    </row>
    <row r="17"/>
    <row r="18">
      <c r="A18" s="3" t="inlineStr">
        <is>
          <t>Combat Data</t>
        </is>
      </c>
      <c r="B18" s="4" t="inlineStr"/>
      <c r="C18" s="4" t="inlineStr"/>
      <c r="D18" s="4" t="inlineStr"/>
      <c r="E18" s="4" t="inlineStr"/>
      <c r="F18" s="4" t="inlineStr"/>
    </row>
    <row r="19">
      <c r="A19" s="2" t="inlineStr">
        <is>
          <t>Attack: Machine Dominion (Passive / control all machinery), Difference Engine Calculation (1 AP / +30 to attack after analysis)</t>
        </is>
      </c>
      <c r="B19" s="7" t="n"/>
      <c r="C19" s="7" t="n"/>
      <c r="D19" s="7" t="n"/>
      <c r="E19" s="7" t="n"/>
      <c r="F19" s="8" t="n"/>
    </row>
    <row r="20">
      <c r="A20" s="2" t="inlineStr">
        <is>
          <t>Abilities: Rule Override (rewrite physical laws), Mechanical Creations (summon CR=6 construct), Mind Broadcast (speak directly to players)</t>
        </is>
      </c>
      <c r="B20" s="7" t="n"/>
      <c r="C20" s="7" t="n"/>
      <c r="D20" s="7" t="n"/>
      <c r="E20" s="7" t="n"/>
      <c r="F20" s="8" t="n"/>
    </row>
    <row r="21">
      <c r="A21" s="2" t="inlineStr">
        <is>
          <t>Final Form (HP&lt;50%): Difference Engine Array self-replicates + Artificial Divine Descent</t>
        </is>
      </c>
      <c r="B21" s="7" t="n"/>
      <c r="C21" s="7" t="n"/>
      <c r="D21" s="7" t="n"/>
      <c r="E21" s="7" t="n"/>
      <c r="F21" s="8" t="n"/>
    </row>
    <row r="22"/>
    <row r="23">
      <c r="A23" s="3" t="inlineStr">
        <is>
          <t>Character Description</t>
        </is>
      </c>
      <c r="B23" s="4" t="inlineStr"/>
      <c r="C23" s="4" t="inlineStr"/>
      <c r="D23" s="4" t="inlineStr"/>
      <c r="E23" s="4" t="inlineStr"/>
      <c r="F23" s="4" t="inlineStr"/>
    </row>
    <row r="24">
      <c r="A24" s="2" t="inlineStr">
        <is>
          <t>Backstory:</t>
        </is>
      </c>
      <c r="B24" s="2" t="inlineStr">
        <is>
          <t>Former Mistgrave University professor and a genius with the Difference Engine. He was expelled for proposing a 'heretical' theory: that the 22 Pathways are 'rules' that were designed, and Beyonders are locked within a system set by a higher existence. He wants to use the Difference Engine to calculate and create a 23rd Pathway - to prove the 'prison' has a flaw. He is willing to become its first and last sacrifice.</t>
        </is>
      </c>
      <c r="C24" s="7" t="n"/>
      <c r="D24" s="7" t="n"/>
      <c r="E24" s="7" t="n"/>
      <c r="F24" s="8" t="n"/>
    </row>
    <row r="25">
      <c r="A25" s="2" t="inlineStr">
        <is>
          <t>Known Secrets:</t>
        </is>
      </c>
      <c r="B25" s="2" t="inlineStr">
        <is>
          <t>He discovered a message left by an ancient civilization within the Difference Engine's database. The content of that message you will never know - except him.</t>
        </is>
      </c>
      <c r="C25" s="7" t="n"/>
      <c r="D25" s="7" t="n"/>
      <c r="E25" s="7" t="n"/>
      <c r="F25" s="8" t="n"/>
    </row>
    <row r="26">
      <c r="A26" s="2" t="inlineStr">
        <is>
          <t>Notes:</t>
        </is>
      </c>
      <c r="B26" s="2" t="inlineStr">
        <is>
          <t>Not an evil antagonist. A tragic figure. All three endings can be persuaded / completed via formula. Weakness: the Difference Engine Array - destroy 30% -&gt; abilities drop to Sequence 5; 100% -&gt; loses Beyonder abilities.</t>
        </is>
      </c>
      <c r="C26" s="7" t="n"/>
      <c r="D26" s="7" t="n"/>
      <c r="E26" s="7" t="n"/>
      <c r="F26" s="8" t="n"/>
    </row>
  </sheetData>
  <mergeCells count="11">
    <mergeCell ref="B3:D3"/>
    <mergeCell ref="B5:D5"/>
    <mergeCell ref="B24:F24"/>
    <mergeCell ref="A19:F19"/>
    <mergeCell ref="A1:F1"/>
    <mergeCell ref="B25:F25"/>
    <mergeCell ref="B4:D4"/>
    <mergeCell ref="B26:F26"/>
    <mergeCell ref="A20:F20"/>
    <mergeCell ref="A21:F21"/>
    <mergeCell ref="B6:D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Benedict (Drowned Man Tavern Owner)</t>
        </is>
      </c>
    </row>
    <row r="2"/>
    <row r="3">
      <c r="A3" s="2" t="inlineStr">
        <is>
          <t>Pathway/Sequence:</t>
        </is>
      </c>
      <c r="B3" s="2" t="inlineStr">
        <is>
          <t>Arbiter Pathway, Sequence 7 (Retired)</t>
        </is>
      </c>
      <c r="C3" s="7" t="n"/>
      <c r="D3" s="8" t="n"/>
    </row>
    <row r="4">
      <c r="A4" s="2" t="inlineStr">
        <is>
          <t>Affiliated Faction:</t>
        </is>
      </c>
      <c r="B4" s="2" t="inlineStr">
        <is>
          <t>Neutral / Retired Nighthawk</t>
        </is>
      </c>
      <c r="C4" s="7" t="n"/>
      <c r="D4" s="8" t="n"/>
    </row>
    <row r="5">
      <c r="A5" s="2" t="inlineStr">
        <is>
          <t>Position/Identity:</t>
        </is>
      </c>
      <c r="B5" s="2" t="inlineStr">
        <is>
          <t>Drowned Man Tavern Owner / Information Hub</t>
        </is>
      </c>
      <c r="C5" s="7" t="n"/>
      <c r="D5" s="8" t="n"/>
    </row>
    <row r="6">
      <c r="A6" s="2" t="inlineStr">
        <is>
          <t>Attitude toward Players:</t>
        </is>
      </c>
      <c r="B6" s="2" t="inlineStr">
        <is>
          <t>Friendly but Reserved - Trusts no one, but respects competence and integrity</t>
        </is>
      </c>
      <c r="C6" s="7" t="n"/>
      <c r="D6" s="8" t="n"/>
    </row>
    <row r="7"/>
    <row r="8">
      <c r="A8" s="3" t="inlineStr">
        <is>
          <t>Core Attributes</t>
        </is>
      </c>
      <c r="B8" s="4" t="inlineStr"/>
      <c r="C8" s="4" t="inlineStr"/>
      <c r="D8" s="4" t="inlineStr"/>
      <c r="E8" s="4" t="inlineStr"/>
      <c r="F8" s="4" t="inlineStr"/>
    </row>
    <row r="9">
      <c r="A9" s="2" t="inlineStr">
        <is>
          <t>Charisma (CHA)</t>
        </is>
      </c>
      <c r="B9" s="5" t="n">
        <v>35</v>
      </c>
      <c r="C9" s="5" t="n">
        <v>60</v>
      </c>
      <c r="D9" s="5" t="n">
        <v>30</v>
      </c>
      <c r="E9" s="5" t="n">
        <v>25</v>
      </c>
      <c r="F9" s="5" t="n">
        <v>45</v>
      </c>
    </row>
    <row r="10"/>
    <row r="11">
      <c r="A11" s="3" t="inlineStr">
        <is>
          <t>Derived Attributes (Auto-calculated)</t>
        </is>
      </c>
      <c r="B11" s="4" t="inlineStr"/>
      <c r="C11" s="4" t="inlineStr"/>
      <c r="D11" s="4" t="inlineStr"/>
      <c r="E11" s="4" t="inlineStr"/>
      <c r="F11" s="4" t="inlineStr"/>
    </row>
    <row r="12">
      <c r="A12" s="2" t="inlineStr">
        <is>
          <t>HP</t>
        </is>
      </c>
      <c r="B12" s="5">
        <f>D9*2+15</f>
        <v/>
      </c>
    </row>
    <row r="13">
      <c r="A13" s="2" t="inlineStr">
        <is>
          <t>Spirit Pool</t>
        </is>
      </c>
      <c r="B13" s="5">
        <f>B9*3+5</f>
        <v/>
      </c>
    </row>
    <row r="14">
      <c r="A14" s="2" t="inlineStr">
        <is>
          <t>Loss of Control Threshold</t>
        </is>
      </c>
      <c r="B14" s="5">
        <f>C9*2+10</f>
        <v/>
      </c>
    </row>
    <row r="15">
      <c r="A15" s="2" t="inlineStr">
        <is>
          <t>Initiative</t>
        </is>
      </c>
      <c r="B15" s="5" t="inlineStr">
        <is>
          <t>25 + d10</t>
        </is>
      </c>
    </row>
    <row r="16"/>
    <row r="17">
      <c r="A17" s="3" t="inlineStr">
        <is>
          <t>Combat Data</t>
        </is>
      </c>
      <c r="B17" s="4" t="inlineStr"/>
      <c r="C17" s="4" t="inlineStr"/>
      <c r="D17" s="4" t="inlineStr"/>
      <c r="E17" s="4" t="inlineStr"/>
      <c r="F17" s="4" t="inlineStr"/>
    </row>
    <row r="18">
      <c r="A18" s="2" t="inlineStr">
        <is>
          <t>Does not fight. Has not used his powers since his last battle thirty years ago.</t>
        </is>
      </c>
      <c r="B18" s="7" t="n"/>
      <c r="C18" s="7" t="n"/>
      <c r="D18" s="7" t="n"/>
      <c r="E18" s="7" t="n"/>
      <c r="F18" s="8" t="n"/>
    </row>
    <row r="19">
      <c r="A19" s="2" t="inlineStr">
        <is>
          <t>But if needed: Arbiter's Decree (d100 &lt;= Charisma / make both sides halt for 1 round), Truth Spell (target cannot lie)</t>
        </is>
      </c>
      <c r="B19" s="7" t="n"/>
      <c r="C19" s="7" t="n"/>
      <c r="D19" s="7" t="n"/>
      <c r="E19" s="7" t="n"/>
      <c r="F19" s="8" t="n"/>
    </row>
    <row r="20"/>
    <row r="21">
      <c r="A21" s="3" t="inlineStr">
        <is>
          <t>Character Description</t>
        </is>
      </c>
      <c r="B21" s="4" t="inlineStr"/>
      <c r="C21" s="4" t="inlineStr"/>
      <c r="D21" s="4" t="inlineStr"/>
      <c r="E21" s="4" t="inlineStr"/>
      <c r="F21" s="4" t="inlineStr"/>
    </row>
    <row r="22">
      <c r="A22" s="2" t="inlineStr">
        <is>
          <t>Backstory:</t>
        </is>
      </c>
      <c r="B22" s="2" t="inlineStr">
        <is>
          <t>Owner of the Drowned Man Tavern and former member of the Nighthawks. Thirty years ago he lost his partner Hall during a Sealed Artifact recovery mission. Since then he has not used his Beyonder abilities, becoming the gatekeeper and information relay for Gray Mist City's Beyonder community. He is known for 'not drinking' - not a drop for thirty years. Tonight he poured himself his first glass.</t>
        </is>
      </c>
      <c r="C22" s="7" t="n"/>
      <c r="D22" s="7" t="n"/>
      <c r="E22" s="7" t="n"/>
      <c r="F22" s="8" t="n"/>
    </row>
    <row r="23">
      <c r="A23" s="2" t="inlineStr">
        <is>
          <t>Known Secrets:</t>
        </is>
      </c>
      <c r="B23" s="2" t="inlineStr">
        <is>
          <t>Knows all the old faces within the Nighthawks. He keeps records of every commission from the past thirty years - if players need to trace the source of something, Benedict may know. The only sin he wishes to atone for is Hall's sacrifice.</t>
        </is>
      </c>
      <c r="C23" s="7" t="n"/>
      <c r="D23" s="7" t="n"/>
      <c r="E23" s="7" t="n"/>
      <c r="F23" s="8" t="n"/>
    </row>
    <row r="24">
      <c r="A24" s="2" t="inlineStr">
        <is>
          <t>Notes:</t>
        </is>
      </c>
      <c r="B24" s="2" t="inlineStr">
        <is>
          <t>Can build a long-term relationship with players. After completing the side quest "The Last Drink," he may hand the tavern's inheritance to the players.</t>
        </is>
      </c>
      <c r="C24" s="7" t="n"/>
      <c r="D24" s="7" t="n"/>
      <c r="E24" s="7" t="n"/>
      <c r="F24" s="8" t="n"/>
    </row>
    <row r="25">
      <c r="A25" s="2" t="inlineStr">
        <is>
          <t>Affiliated Side Quest:</t>
        </is>
      </c>
      <c r="B25" s="2" t="inlineStr">
        <is>
          <t xml:space="preserve">Side Quest 1: "The Last Drink at the Drowned Man Tavern" </t>
        </is>
      </c>
      <c r="C25" s="7" t="n"/>
      <c r="D25" s="7" t="n"/>
      <c r="E25" s="7" t="n"/>
      <c r="F25" s="8" t="n"/>
    </row>
  </sheetData>
  <mergeCells count="11">
    <mergeCell ref="B3:D3"/>
    <mergeCell ref="B5:D5"/>
    <mergeCell ref="B24:F24"/>
    <mergeCell ref="A19:F19"/>
    <mergeCell ref="A1:F1"/>
    <mergeCell ref="B25:F25"/>
    <mergeCell ref="B4:D4"/>
    <mergeCell ref="B23:F23"/>
    <mergeCell ref="A18:F18"/>
    <mergeCell ref="B22:F22"/>
    <mergeCell ref="B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Manipulator (Edwin Gray)</t>
        </is>
      </c>
    </row>
    <row r="2"/>
    <row r="3">
      <c r="A3" s="2" t="inlineStr">
        <is>
          <t>Pathway/Sequence:</t>
        </is>
      </c>
      <c r="B3" s="2" t="inlineStr">
        <is>
          <t>Spectator Pathway, Sequence 4 - Manipulator</t>
        </is>
      </c>
      <c r="C3" s="7" t="n"/>
      <c r="D3" s="8" t="n"/>
    </row>
    <row r="4">
      <c r="A4" s="2" t="inlineStr">
        <is>
          <t>Affiliated Faction:</t>
        </is>
      </c>
      <c r="B4" s="2" t="inlineStr">
        <is>
          <t>None (Imprisoned in the basement of St. Maria Asylum)</t>
        </is>
      </c>
      <c r="C4" s="7" t="n"/>
      <c r="D4" s="8" t="n"/>
    </row>
    <row r="5">
      <c r="A5" s="2" t="inlineStr">
        <is>
          <t>Position/Identity:</t>
        </is>
      </c>
      <c r="B5" s="2" t="inlineStr">
        <is>
          <t>True Controller of the Asylum Basement Laboratory</t>
        </is>
      </c>
      <c r="C5" s="7" t="n"/>
      <c r="D5" s="8" t="n"/>
    </row>
    <row r="6">
      <c r="A6" s="2" t="inlineStr">
        <is>
          <t>Attitude toward Players:</t>
        </is>
      </c>
      <c r="B6" s="2" t="inlineStr">
        <is>
          <t>Seemingly friendly, but actually manipulative - He believes he is "helping" the lost find release</t>
        </is>
      </c>
      <c r="C6" s="7" t="n"/>
      <c r="D6" s="8" t="n"/>
    </row>
    <row r="7"/>
    <row r="8">
      <c r="A8" s="3" t="inlineStr">
        <is>
          <t>Core Attributes</t>
        </is>
      </c>
      <c r="B8" s="4" t="inlineStr"/>
      <c r="C8" s="4" t="inlineStr"/>
      <c r="D8" s="4" t="inlineStr"/>
      <c r="E8" s="4" t="inlineStr"/>
      <c r="F8" s="4" t="inlineStr"/>
    </row>
    <row r="9">
      <c r="A9" s="2" t="inlineStr">
        <is>
          <t>Charisma (CHA)</t>
        </is>
      </c>
      <c r="B9" s="5" t="n">
        <v>65</v>
      </c>
      <c r="C9" s="5" t="n">
        <v>75</v>
      </c>
      <c r="D9" s="5" t="n">
        <v>30</v>
      </c>
      <c r="E9" s="5" t="n">
        <v>25</v>
      </c>
      <c r="F9" s="5" t="n">
        <v>70</v>
      </c>
    </row>
    <row r="10"/>
    <row r="11">
      <c r="A11" s="3" t="inlineStr">
        <is>
          <t>Derived Attributes (Auto-calculated)</t>
        </is>
      </c>
      <c r="B11" s="4" t="inlineStr"/>
      <c r="C11" s="4" t="inlineStr"/>
      <c r="D11" s="4" t="inlineStr"/>
      <c r="E11" s="4" t="inlineStr"/>
      <c r="F11" s="4" t="inlineStr"/>
    </row>
    <row r="12">
      <c r="A12" s="2" t="inlineStr">
        <is>
          <t>HP</t>
        </is>
      </c>
      <c r="B12" s="5">
        <f>D9*2+15</f>
        <v/>
      </c>
    </row>
    <row r="13">
      <c r="A13" s="2" t="inlineStr">
        <is>
          <t>Spirit Pool</t>
        </is>
      </c>
      <c r="B13" s="5">
        <f>B9*3+5</f>
        <v/>
      </c>
    </row>
    <row r="14">
      <c r="A14" s="2" t="inlineStr">
        <is>
          <t>Loss of Control Threshold</t>
        </is>
      </c>
      <c r="B14" s="5">
        <f>C9*2+10</f>
        <v/>
      </c>
    </row>
    <row r="15">
      <c r="A15" s="2" t="inlineStr">
        <is>
          <t>Initiative</t>
        </is>
      </c>
      <c r="B15" s="5" t="inlineStr">
        <is>
          <t>25 + d10</t>
        </is>
      </c>
    </row>
    <row r="16"/>
    <row r="17">
      <c r="A17" s="3" t="inlineStr">
        <is>
          <t>Combat Data</t>
        </is>
      </c>
      <c r="B17" s="4" t="inlineStr"/>
      <c r="C17" s="4" t="inlineStr"/>
      <c r="D17" s="4" t="inlineStr"/>
      <c r="E17" s="4" t="inlineStr"/>
      <c r="F17" s="4" t="inlineStr"/>
    </row>
    <row r="18">
      <c r="A18" s="2" t="inlineStr">
        <is>
          <t>Does not attack directly. His "battle" is psychological - attacking the players' Conviction and motivation.</t>
        </is>
      </c>
      <c r="B18" s="7" t="n"/>
      <c r="C18" s="7" t="n"/>
      <c r="D18" s="7" t="n"/>
      <c r="E18" s="7" t="n"/>
      <c r="F18" s="8" t="n"/>
    </row>
    <row r="19">
      <c r="A19" s="2" t="inlineStr">
        <is>
          <t>Abilities: Mind Manipulation (make target doubt their own motivation; failed Mind check -&gt; unable to act for 1 round), Personality Influence (alter one personality trait of the target; requires contact)</t>
        </is>
      </c>
      <c r="B19" s="7" t="n"/>
      <c r="C19" s="7" t="n"/>
      <c r="D19" s="7" t="n"/>
      <c r="E19" s="7" t="n"/>
      <c r="F19" s="8" t="n"/>
    </row>
    <row r="20">
      <c r="A20" s="2" t="inlineStr">
        <is>
          <t>If truly forced to fight -&gt; summon "patients" stripped of their characteristics as guards (CR=3-4, 3-5 people)</t>
        </is>
      </c>
      <c r="B20" s="7" t="n"/>
      <c r="C20" s="7" t="n"/>
      <c r="D20" s="7" t="n"/>
      <c r="E20" s="7" t="n"/>
      <c r="F20" s="8" t="n"/>
    </row>
    <row r="21"/>
    <row r="22">
      <c r="A22" s="3" t="inlineStr">
        <is>
          <t>Character Description</t>
        </is>
      </c>
      <c r="B22" s="4" t="inlineStr"/>
      <c r="C22" s="4" t="inlineStr"/>
      <c r="D22" s="4" t="inlineStr"/>
      <c r="E22" s="4" t="inlineStr"/>
      <c r="F22" s="4" t="inlineStr"/>
    </row>
    <row r="23">
      <c r="A23" s="2" t="inlineStr">
        <is>
          <t>Backstory:</t>
        </is>
      </c>
      <c r="B23" s="2" t="inlineStr">
        <is>
          <t>Former senior member of the Nighthawks. Committed to St. Maria Asylum for Loss of Control. But in truth he used his powers to manipulate the asylum's staff and patients, secretly conducting "Beyonder Characteristic extraction" experiments - he believes this offers the lost their "release." Seventeen people have been extracted. For thirty years the Nighthawks thought he was "quietly contained" - but the asylum was actually his kingdom.</t>
        </is>
      </c>
      <c r="C23" s="7" t="n"/>
      <c r="D23" s="7" t="n"/>
      <c r="E23" s="7" t="n"/>
      <c r="F23" s="8" t="n"/>
    </row>
    <row r="24">
      <c r="A24" s="2" t="inlineStr">
        <is>
          <t>Known Secrets:</t>
        </is>
      </c>
      <c r="B24" s="2" t="inlineStr">
        <is>
          <t>Those extracted develop "Spirit Deficiency Syndrome" - accelerated aging and total memory loss within three months. He does not know this side effect - or chooses not to.</t>
        </is>
      </c>
      <c r="C24" s="7" t="n"/>
      <c r="D24" s="7" t="n"/>
      <c r="E24" s="7" t="n"/>
      <c r="F24" s="8" t="n"/>
    </row>
    <row r="25">
      <c r="A25" s="2" t="inlineStr">
        <is>
          <t>Notes:</t>
        </is>
      </c>
      <c r="B25" s="2" t="inlineStr">
        <is>
          <t>A Sequence 4, Demigod-tier NPC. Direct combat is not advised for players below Sequence 7. Can be handled via social / academic pathways.</t>
        </is>
      </c>
      <c r="C25" s="7" t="n"/>
      <c r="D25" s="7" t="n"/>
      <c r="E25" s="7" t="n"/>
      <c r="F25" s="8" t="n"/>
    </row>
    <row r="26">
      <c r="A26" s="2" t="inlineStr">
        <is>
          <t>Affiliated Side Quest:</t>
        </is>
      </c>
      <c r="B26" s="2" t="inlineStr">
        <is>
          <t xml:space="preserve">Side Quest 7: "St. Maria Asylum" </t>
        </is>
      </c>
      <c r="C26" s="7" t="n"/>
      <c r="D26" s="7" t="n"/>
      <c r="E26" s="7" t="n"/>
      <c r="F26" s="8" t="n"/>
    </row>
  </sheetData>
  <mergeCells count="12">
    <mergeCell ref="B3:D3"/>
    <mergeCell ref="B5:D5"/>
    <mergeCell ref="B24:F24"/>
    <mergeCell ref="A19:F19"/>
    <mergeCell ref="A1:F1"/>
    <mergeCell ref="B25:F25"/>
    <mergeCell ref="B4:D4"/>
    <mergeCell ref="B23:F23"/>
    <mergeCell ref="A18:F18"/>
    <mergeCell ref="B26:F26"/>
    <mergeCell ref="A20:F20"/>
    <mergeCell ref="B6:D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"Doctor" (True Name Forgotten)</t>
        </is>
      </c>
    </row>
    <row r="2"/>
    <row r="3">
      <c r="A3" s="2" t="inlineStr">
        <is>
          <t>Pathway/Sequence:</t>
        </is>
      </c>
      <c r="B3" s="2" t="inlineStr">
        <is>
          <t>Unknown Pathway, Sequence 9 (Sole Node of the 23rd Pathway)</t>
        </is>
      </c>
      <c r="C3" s="7" t="n"/>
      <c r="D3" s="8" t="n"/>
    </row>
    <row r="4">
      <c r="A4" s="2" t="inlineStr">
        <is>
          <t>Affiliated Faction:</t>
        </is>
      </c>
      <c r="B4" s="2" t="inlineStr">
        <is>
          <t>None (Reclusive)</t>
        </is>
      </c>
      <c r="C4" s="7" t="n"/>
      <c r="D4" s="8" t="n"/>
    </row>
    <row r="5">
      <c r="A5" s="2" t="inlineStr">
        <is>
          <t>Position/Identity:</t>
        </is>
      </c>
      <c r="B5" s="2" t="inlineStr">
        <is>
          <t xml:space="preserve"> "Doctor" of Innsmouth Village / The Forgotten Beyonder </t>
        </is>
      </c>
      <c r="C5" s="7" t="n"/>
      <c r="D5" s="8" t="n"/>
    </row>
    <row r="6">
      <c r="A6" s="2" t="inlineStr">
        <is>
          <t>Attitude toward Players:</t>
        </is>
      </c>
      <c r="B6" s="2" t="inlineStr">
        <is>
          <t>Weary but gentle - The first human in fifty years to truly see him</t>
        </is>
      </c>
      <c r="C6" s="7" t="n"/>
      <c r="D6" s="8" t="n"/>
    </row>
    <row r="7"/>
    <row r="8">
      <c r="A8" s="3" t="inlineStr">
        <is>
          <t>Core Attributes</t>
        </is>
      </c>
      <c r="B8" s="4" t="inlineStr"/>
      <c r="C8" s="4" t="inlineStr"/>
      <c r="D8" s="4" t="inlineStr"/>
      <c r="E8" s="4" t="inlineStr"/>
      <c r="F8" s="4" t="inlineStr"/>
    </row>
    <row r="9">
      <c r="A9" s="2" t="inlineStr">
        <is>
          <t>Charisma (CHA)</t>
        </is>
      </c>
      <c r="B9" s="5" t="n">
        <v>80</v>
      </c>
      <c r="C9" s="5" t="n">
        <v>60</v>
      </c>
      <c r="D9" s="5" t="n">
        <v>20</v>
      </c>
      <c r="E9" s="5" t="n">
        <v>15</v>
      </c>
      <c r="F9" s="5" t="n">
        <v>10</v>
      </c>
    </row>
    <row r="10"/>
    <row r="11">
      <c r="A11" s="3" t="inlineStr">
        <is>
          <t>Derived Attributes (Auto-calculated)</t>
        </is>
      </c>
      <c r="B11" s="4" t="inlineStr"/>
      <c r="C11" s="4" t="inlineStr"/>
      <c r="D11" s="4" t="inlineStr"/>
      <c r="E11" s="4" t="inlineStr"/>
      <c r="F11" s="4" t="inlineStr"/>
    </row>
    <row r="12">
      <c r="A12" s="2" t="inlineStr">
        <is>
          <t>HP</t>
        </is>
      </c>
      <c r="B12" s="5">
        <f>D9*2+15</f>
        <v/>
      </c>
    </row>
    <row r="13">
      <c r="A13" s="2" t="inlineStr">
        <is>
          <t>Spirit Pool</t>
        </is>
      </c>
      <c r="B13" s="5">
        <f>B9*3+5</f>
        <v/>
      </c>
    </row>
    <row r="14">
      <c r="A14" s="2" t="inlineStr">
        <is>
          <t>Loss of Control Threshold</t>
        </is>
      </c>
      <c r="B14" s="5">
        <f>C9*2+10</f>
        <v/>
      </c>
    </row>
    <row r="15">
      <c r="A15" s="2" t="inlineStr">
        <is>
          <t>Initiative</t>
        </is>
      </c>
      <c r="B15" s="5" t="inlineStr">
        <is>
          <t>15 + d10</t>
        </is>
      </c>
    </row>
    <row r="16"/>
    <row r="17">
      <c r="A17" s="3" t="inlineStr">
        <is>
          <t>Combat Data</t>
        </is>
      </c>
      <c r="B17" s="4" t="inlineStr"/>
      <c r="C17" s="4" t="inlineStr"/>
      <c r="D17" s="4" t="inlineStr"/>
      <c r="E17" s="4" t="inlineStr"/>
      <c r="F17" s="4" t="inlineStr"/>
    </row>
    <row r="18">
      <c r="A18" s="2" t="inlineStr">
        <is>
          <t>Does not fight. His only ability, "Signal Perception," is non-aggressive.</t>
        </is>
      </c>
      <c r="B18" s="7" t="n"/>
      <c r="C18" s="7" t="n"/>
      <c r="D18" s="7" t="n"/>
      <c r="E18" s="7" t="n"/>
      <c r="F18" s="8" t="n"/>
    </row>
    <row r="19">
      <c r="A19" s="2" t="inlineStr">
        <is>
          <t>But if the Spirit World defense mechanism is unfortunately triggered -&gt; all Beyonders of any pathway within 10 km will sense his presence (uncontrollable). May attract the attention of high-ranking entities.</t>
        </is>
      </c>
      <c r="B19" s="7" t="n"/>
      <c r="C19" s="7" t="n"/>
      <c r="D19" s="7" t="n"/>
      <c r="E19" s="7" t="n"/>
      <c r="F19" s="8" t="n"/>
    </row>
    <row r="20"/>
    <row r="21">
      <c r="A21" s="3" t="inlineStr">
        <is>
          <t>Character Description</t>
        </is>
      </c>
      <c r="B21" s="4" t="inlineStr"/>
      <c r="C21" s="4" t="inlineStr"/>
      <c r="D21" s="4" t="inlineStr"/>
      <c r="E21" s="4" t="inlineStr"/>
      <c r="F21" s="4" t="inlineStr"/>
    </row>
    <row r="22">
      <c r="A22" s="2" t="inlineStr">
        <is>
          <t>Backstory:</t>
        </is>
      </c>
      <c r="B22" s="2" t="inlineStr">
        <is>
          <t>An old man who has lived a century. Fifty years ago, as a student of an Apprentice Pathway Sequence 4 "Secrets Sorcerer," he received a "Spirit World signal that belongs to none of the 22 Pathways" - and discovered he had become the sole Sequence 9 node of the "23rd Pathway." He cannot advance - the new pathway has no Sequence 8. Trapped at the starting point for fifty years. His very existence is a silent question against the rules of the Beyonder world.</t>
        </is>
      </c>
      <c r="C22" s="7" t="n"/>
      <c r="D22" s="7" t="n"/>
      <c r="E22" s="7" t="n"/>
      <c r="F22" s="8" t="n"/>
    </row>
    <row r="23">
      <c r="A23" s="2" t="inlineStr">
        <is>
          <t>Known Secrets:</t>
        </is>
      </c>
      <c r="B23" s="2" t="inlineStr">
        <is>
          <t>He and Dr. Blackwood were once pen pals. He warned Blackwood: "Do not open this door. Behind it there is no freedom - only a loneliness greater than 22." His "primordial formula" is more complete than Blackwood's.</t>
        </is>
      </c>
      <c r="C23" s="7" t="n"/>
      <c r="D23" s="7" t="n"/>
      <c r="E23" s="7" t="n"/>
      <c r="F23" s="8" t="n"/>
    </row>
    <row r="24">
      <c r="A24" s="2" t="inlineStr">
        <is>
          <t>Notes:</t>
        </is>
      </c>
      <c r="B24" s="2" t="inlineStr">
        <is>
          <t>Does not fight. A purely narrative NPC. His existence can change players' understanding of the entire Beyonder system. Recommended to introduce only in high-Sequence (6+) scenarios.</t>
        </is>
      </c>
      <c r="C24" s="7" t="n"/>
      <c r="D24" s="7" t="n"/>
      <c r="E24" s="7" t="n"/>
      <c r="F24" s="8" t="n"/>
    </row>
    <row r="25">
      <c r="A25" s="2" t="inlineStr">
        <is>
          <t>Affiliated Side Quest:</t>
        </is>
      </c>
      <c r="B25" s="2" t="inlineStr">
        <is>
          <t xml:space="preserve">Side Quest 8: "The Last Apprentice" </t>
        </is>
      </c>
      <c r="C25" s="7" t="n"/>
      <c r="D25" s="7" t="n"/>
      <c r="E25" s="7" t="n"/>
      <c r="F25" s="8" t="n"/>
    </row>
  </sheetData>
  <mergeCells count="11">
    <mergeCell ref="B3:D3"/>
    <mergeCell ref="B5:D5"/>
    <mergeCell ref="B24:F24"/>
    <mergeCell ref="A19:F19"/>
    <mergeCell ref="A1:F1"/>
    <mergeCell ref="B25:F25"/>
    <mergeCell ref="B4:D4"/>
    <mergeCell ref="B23:F23"/>
    <mergeCell ref="A18:F18"/>
    <mergeCell ref="B22:F22"/>
    <mergeCell ref="B6:D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Annie (Residual Consciousness Fragment)</t>
        </is>
      </c>
    </row>
    <row r="2"/>
    <row r="3">
      <c r="A3" s="2" t="inlineStr">
        <is>
          <t>Pathway/Sequence:</t>
        </is>
      </c>
      <c r="B3" s="2" t="inlineStr">
        <is>
          <t>None (Consciousness fragment of a Spectator Pathway Sequence 4)</t>
        </is>
      </c>
      <c r="C3" s="7" t="n"/>
      <c r="D3" s="8" t="n"/>
    </row>
    <row r="4">
      <c r="A4" s="2" t="inlineStr">
        <is>
          <t>Affiliated Faction:</t>
        </is>
      </c>
      <c r="B4" s="2" t="inlineStr">
        <is>
          <t>None</t>
        </is>
      </c>
      <c r="C4" s="7" t="n"/>
      <c r="D4" s="8" t="n"/>
    </row>
    <row r="5">
      <c r="A5" s="2" t="inlineStr">
        <is>
          <t>Position/Identity:</t>
        </is>
      </c>
      <c r="B5" s="2" t="inlineStr">
        <is>
          <t xml:space="preserve"> "Haunt" of the Abandoned Mansion / One of Thirteen Consciousness Fragments </t>
        </is>
      </c>
      <c r="C5" s="7" t="n"/>
      <c r="D5" s="8" t="n"/>
    </row>
    <row r="6">
      <c r="A6" s="2" t="inlineStr">
        <is>
          <t>Attitude toward Players:</t>
        </is>
      </c>
      <c r="B6" s="2" t="inlineStr">
        <is>
          <t>Sorrowful / Despairing - Only wishes for the "Master" to return</t>
        </is>
      </c>
      <c r="C6" s="7" t="n"/>
      <c r="D6" s="8" t="n"/>
    </row>
    <row r="7"/>
    <row r="8">
      <c r="A8" s="3" t="inlineStr">
        <is>
          <t>Core Attributes</t>
        </is>
      </c>
      <c r="B8" s="4" t="inlineStr"/>
      <c r="C8" s="4" t="inlineStr"/>
      <c r="D8" s="4" t="inlineStr"/>
      <c r="E8" s="4" t="inlineStr"/>
      <c r="F8" s="4" t="inlineStr"/>
    </row>
    <row r="9">
      <c r="A9" s="2" t="inlineStr">
        <is>
          <t>Charisma (CHA)</t>
        </is>
      </c>
      <c r="B9" s="5" t="n">
        <v>20</v>
      </c>
      <c r="C9" s="5" t="n">
        <v>10</v>
      </c>
      <c r="D9" s="5" t="n">
        <v>0</v>
      </c>
      <c r="E9" s="5" t="n">
        <v>0</v>
      </c>
      <c r="F9" s="5" t="n">
        <v>30</v>
      </c>
    </row>
    <row r="10"/>
    <row r="11">
      <c r="A11" s="3" t="inlineStr">
        <is>
          <t>Derived Attributes (Auto-calculated)</t>
        </is>
      </c>
      <c r="B11" s="4" t="inlineStr"/>
      <c r="C11" s="4" t="inlineStr"/>
      <c r="D11" s="4" t="inlineStr"/>
      <c r="E11" s="4" t="inlineStr"/>
      <c r="F11" s="4" t="inlineStr"/>
    </row>
    <row r="12">
      <c r="A12" s="2" t="inlineStr">
        <is>
          <t>HP</t>
        </is>
      </c>
      <c r="B12" s="5">
        <f>D9*2+15</f>
        <v/>
      </c>
    </row>
    <row r="13">
      <c r="A13" s="2" t="inlineStr">
        <is>
          <t>Spirit Pool</t>
        </is>
      </c>
      <c r="B13" s="5">
        <f>B9*3+5</f>
        <v/>
      </c>
    </row>
    <row r="14">
      <c r="A14" s="2" t="inlineStr">
        <is>
          <t>Loss of Control Threshold</t>
        </is>
      </c>
      <c r="B14" s="5">
        <f>C9*2+10</f>
        <v/>
      </c>
    </row>
    <row r="15">
      <c r="A15" s="2" t="inlineStr">
        <is>
          <t>Initiative</t>
        </is>
      </c>
      <c r="B15" s="5" t="inlineStr">
        <is>
          <t>0 + d10</t>
        </is>
      </c>
    </row>
    <row r="16"/>
    <row r="17">
      <c r="A17" s="3" t="inlineStr">
        <is>
          <t>Combat Data</t>
        </is>
      </c>
      <c r="B17" s="4" t="inlineStr"/>
      <c r="C17" s="4" t="inlineStr"/>
      <c r="D17" s="4" t="inlineStr"/>
      <c r="E17" s="4" t="inlineStr"/>
      <c r="F17" s="4" t="inlineStr"/>
    </row>
    <row r="18">
      <c r="A18" s="2" t="inlineStr">
        <is>
          <t>Does not fight. She can only "communicate" by writing letters and creating food.</t>
        </is>
      </c>
      <c r="B18" s="7" t="n"/>
      <c r="C18" s="7" t="n"/>
      <c r="D18" s="7" t="n"/>
      <c r="E18" s="7" t="n"/>
      <c r="F18" s="8" t="n"/>
    </row>
    <row r="19">
      <c r="A19" s="2" t="inlineStr">
        <is>
          <t>After convergence (the thirteen consciousness fragments unite) she briefly forms a Sequence 4 consciousness entity - a Loss of Control form.</t>
        </is>
      </c>
      <c r="B19" s="7" t="n"/>
      <c r="C19" s="7" t="n"/>
      <c r="D19" s="7" t="n"/>
      <c r="E19" s="7" t="n"/>
      <c r="F19" s="8" t="n"/>
    </row>
    <row r="20"/>
    <row r="21">
      <c r="A21" s="3" t="inlineStr">
        <is>
          <t>Character Description</t>
        </is>
      </c>
      <c r="B21" s="4" t="inlineStr"/>
      <c r="C21" s="4" t="inlineStr"/>
      <c r="D21" s="4" t="inlineStr"/>
      <c r="E21" s="4" t="inlineStr"/>
      <c r="F21" s="4" t="inlineStr"/>
    </row>
    <row r="22">
      <c r="A22" s="2" t="inlineStr">
        <is>
          <t>Backstory:</t>
        </is>
      </c>
      <c r="B22" s="2" t="inlineStr">
        <is>
          <t>Thirteen years ago, during a Spectator Pathway Beyonder's Loss of Control experiment, the subject's consciousness was split into thirteen "role" fragments. Annie is the only fragment that retains the "original personality" - because she is the subject's memory of his late wife. Every "please come back" letter consumes her remaining consciousness. When she finishes the thirteenth letter, she will dissipate.</t>
        </is>
      </c>
      <c r="C22" s="7" t="n"/>
      <c r="D22" s="7" t="n"/>
      <c r="E22" s="7" t="n"/>
      <c r="F22" s="8" t="n"/>
    </row>
    <row r="23">
      <c r="A23" s="2" t="inlineStr">
        <is>
          <t>Known Secrets:</t>
        </is>
      </c>
      <c r="B23" s="2" t="inlineStr">
        <is>
          <t>She has always known the split is reversible. But she dared not say - because "reversal" means one of the thirteen fragments must be "sacrificed." She has been waiting for the thirteenth letter - which will be her own "voluntary sacrifice."</t>
        </is>
      </c>
      <c r="C23" s="7" t="n"/>
      <c r="D23" s="7" t="n"/>
      <c r="E23" s="7" t="n"/>
      <c r="F23" s="8" t="n"/>
    </row>
    <row r="24">
      <c r="A24" s="2" t="inlineStr">
        <is>
          <t>Notes:</t>
        </is>
      </c>
      <c r="B24" s="2" t="inlineStr">
        <is>
          <t>A plot-trigger NPC. After players help her complete the "Reversal Ritual" she will dissipate - but the restored subject consciousness gains an unforgettable memory.</t>
        </is>
      </c>
      <c r="C24" s="7" t="n"/>
      <c r="D24" s="7" t="n"/>
      <c r="E24" s="7" t="n"/>
      <c r="F24" s="8" t="n"/>
    </row>
    <row r="25">
      <c r="A25" s="2" t="inlineStr">
        <is>
          <t>Affiliated Side Quest:</t>
        </is>
      </c>
      <c r="B25" s="2" t="inlineStr">
        <is>
          <t xml:space="preserve">Side Quest 3: "The Thirteenth Seat" </t>
        </is>
      </c>
      <c r="C25" s="7" t="n"/>
      <c r="D25" s="7" t="n"/>
      <c r="E25" s="7" t="n"/>
      <c r="F25" s="8" t="n"/>
    </row>
  </sheetData>
  <mergeCells count="11">
    <mergeCell ref="B3:D3"/>
    <mergeCell ref="B5:D5"/>
    <mergeCell ref="B24:F24"/>
    <mergeCell ref="A19:F19"/>
    <mergeCell ref="A1:F1"/>
    <mergeCell ref="B25:F25"/>
    <mergeCell ref="B4:D4"/>
    <mergeCell ref="B23:F23"/>
    <mergeCell ref="A18:F18"/>
    <mergeCell ref="B22:F22"/>
    <mergeCell ref="B6:D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Partner Template A - Guardian</t>
        </is>
      </c>
      <c r="B1" s="7" t="n"/>
      <c r="C1" s="7" t="n"/>
      <c r="D1" s="7" t="n"/>
      <c r="E1" s="7" t="n"/>
      <c r="F1" s="8" t="n"/>
    </row>
    <row r="2"/>
    <row r="3">
      <c r="A3" s="10" t="inlineStr">
        <is>
          <t>Pathway/Sequence:</t>
        </is>
      </c>
      <c r="B3" s="10" t="inlineStr">
        <is>
          <t>Warrior Pathway, Sequence 9</t>
        </is>
      </c>
      <c r="C3" s="7" t="n"/>
      <c r="D3" s="8" t="n"/>
    </row>
    <row r="4">
      <c r="A4" s="10" t="inlineStr">
        <is>
          <t>Affiliated Faction:</t>
        </is>
      </c>
      <c r="B4" s="10" t="inlineStr">
        <is>
          <t>Player Companion</t>
        </is>
      </c>
      <c r="C4" s="7" t="n"/>
      <c r="D4" s="8" t="n"/>
    </row>
    <row r="5">
      <c r="A5" s="10" t="inlineStr">
        <is>
          <t>Role:</t>
        </is>
      </c>
      <c r="B5" s="10" t="inlineStr">
        <is>
          <t>Tank / Protection-type Companion</t>
        </is>
      </c>
      <c r="C5" s="7" t="n"/>
      <c r="D5" s="8" t="n"/>
    </row>
    <row r="6"/>
    <row r="7">
      <c r="A7" s="11" t="inlineStr">
        <is>
          <t>Core Attributes</t>
        </is>
      </c>
      <c r="B7" s="11" t="inlineStr"/>
      <c r="C7" s="11" t="inlineStr"/>
      <c r="D7" s="11" t="inlineStr"/>
      <c r="E7" s="11" t="inlineStr"/>
      <c r="F7" s="11" t="inlineStr"/>
    </row>
    <row r="8">
      <c r="A8" s="10" t="inlineStr">
        <is>
          <t>Charisma (CHA)</t>
        </is>
      </c>
      <c r="B8" s="12" t="n">
        <v>25</v>
      </c>
      <c r="C8" s="12" t="n">
        <v>40</v>
      </c>
      <c r="D8" s="12" t="n">
        <v>55</v>
      </c>
      <c r="E8" s="12" t="n">
        <v>45</v>
      </c>
      <c r="F8" s="12" t="n">
        <v>35</v>
      </c>
    </row>
    <row r="9"/>
    <row r="10">
      <c r="A10" s="11" t="inlineStr">
        <is>
          <t>Derived Attributes (Auto-calculated)</t>
        </is>
      </c>
      <c r="B10" s="11" t="inlineStr"/>
      <c r="C10" s="11" t="inlineStr"/>
      <c r="D10" s="11" t="inlineStr"/>
      <c r="E10" s="11" t="inlineStr"/>
      <c r="F10" s="11" t="inlineStr"/>
    </row>
    <row r="11">
      <c r="A11" s="10" t="inlineStr">
        <is>
          <t>HP</t>
        </is>
      </c>
      <c r="B11" s="12">
        <f>D8*2+15</f>
        <v/>
      </c>
    </row>
    <row r="12">
      <c r="A12" s="10" t="inlineStr">
        <is>
          <t>Spirit Pool</t>
        </is>
      </c>
      <c r="B12" s="12">
        <f>B8*3+5</f>
        <v/>
      </c>
    </row>
    <row r="13">
      <c r="A13" s="10" t="inlineStr">
        <is>
          <t>Loss of Control Threshold</t>
        </is>
      </c>
      <c r="B13" s="12">
        <f>C8*2+10</f>
        <v/>
      </c>
    </row>
    <row r="14">
      <c r="A14" s="10" t="inlineStr">
        <is>
          <t>Initiative</t>
        </is>
      </c>
      <c r="B14" s="12" t="inlineStr">
        <is>
          <t>45 + d10</t>
        </is>
      </c>
    </row>
    <row r="15"/>
    <row r="16">
      <c r="A16" s="11" t="inlineStr">
        <is>
          <t>Combat Data</t>
        </is>
      </c>
      <c r="B16" s="11" t="inlineStr"/>
      <c r="C16" s="11" t="inlineStr"/>
      <c r="D16" s="11" t="inlineStr"/>
      <c r="E16" s="11" t="inlineStr"/>
      <c r="F16" s="11" t="inlineStr"/>
    </row>
    <row r="17">
      <c r="A17" s="10" t="inlineStr">
        <is>
          <t>Taunt (1 AP / 3 Spirit / 20m / Mind contest -&gt; force attack on this companion for 1 round)</t>
        </is>
      </c>
      <c r="B17" s="7" t="n"/>
      <c r="C17" s="7" t="n"/>
      <c r="D17" s="7" t="n"/>
      <c r="E17" s="7" t="n"/>
      <c r="F17" s="8" t="n"/>
    </row>
    <row r="18">
      <c r="A18" s="10" t="inlineStr">
        <is>
          <t>Block Cover (Reaction / take a hit in place of an adjacent player)</t>
        </is>
      </c>
      <c r="B18" s="7" t="n"/>
      <c r="C18" s="7" t="n"/>
      <c r="D18" s="7" t="n"/>
      <c r="E18" s="7" t="n"/>
      <c r="F18" s="8" t="n"/>
    </row>
    <row r="19">
      <c r="A19" s="10" t="inlineStr">
        <is>
          <t>Basic Attack: Longsword +15 (2d6+11)</t>
        </is>
      </c>
      <c r="B19" s="7" t="n"/>
      <c r="C19" s="7" t="n"/>
      <c r="D19" s="7" t="n"/>
      <c r="E19" s="7" t="n"/>
      <c r="F19" s="8" t="n"/>
    </row>
    <row r="20"/>
    <row r="21">
      <c r="A21" s="11" t="inlineStr">
        <is>
          <t>Character Description</t>
        </is>
      </c>
      <c r="B21" s="11" t="inlineStr"/>
      <c r="C21" s="11" t="inlineStr"/>
      <c r="D21" s="11" t="inlineStr"/>
      <c r="E21" s="11" t="inlineStr"/>
      <c r="F21" s="11" t="inlineStr"/>
    </row>
    <row r="22">
      <c r="A22" s="10" t="inlineStr">
        <is>
          <t>Backstory:</t>
        </is>
      </c>
      <c r="B22" s="10" t="inlineStr">
        <is>
          <t>A silent but extremely loyal guardian. Former soldier or bodyguard. Obsessed with protecting others.</t>
        </is>
      </c>
      <c r="C22" s="7" t="n"/>
      <c r="D22" s="7" t="n"/>
      <c r="E22" s="7" t="n"/>
      <c r="F22" s="8" t="n"/>
    </row>
    <row r="23">
      <c r="A23" s="10" t="inlineStr">
        <is>
          <t>Notes:</t>
        </is>
      </c>
      <c r="B23" s="10" t="inlineStr">
        <is>
          <t>HP=125 (Body 55x2+15). Solo-party tank character.</t>
        </is>
      </c>
      <c r="C23" s="7" t="n"/>
      <c r="D23" s="7" t="n"/>
      <c r="E23" s="7" t="n"/>
      <c r="F23" s="8" t="n"/>
    </row>
    <row r="24">
      <c r="A24" s="10" t="inlineStr">
        <is>
          <t>Appears in Scenario:</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Partner Template B - Observer</t>
        </is>
      </c>
      <c r="B1" s="7" t="n"/>
      <c r="C1" s="7" t="n"/>
      <c r="D1" s="7" t="n"/>
      <c r="E1" s="7" t="n"/>
      <c r="F1" s="8" t="n"/>
    </row>
    <row r="2"/>
    <row r="3">
      <c r="A3" s="10" t="inlineStr">
        <is>
          <t>Pathway/Sequence:</t>
        </is>
      </c>
      <c r="B3" s="10" t="inlineStr">
        <is>
          <t>Spectator Pathway, Sequence 9</t>
        </is>
      </c>
      <c r="C3" s="7" t="n"/>
      <c r="D3" s="8" t="n"/>
    </row>
    <row r="4">
      <c r="A4" s="10" t="inlineStr">
        <is>
          <t>Affiliated Faction:</t>
        </is>
      </c>
      <c r="B4" s="10" t="inlineStr">
        <is>
          <t>Player Companion</t>
        </is>
      </c>
      <c r="C4" s="7" t="n"/>
      <c r="D4" s="8" t="n"/>
    </row>
    <row r="5">
      <c r="A5" s="10" t="inlineStr">
        <is>
          <t>Role:</t>
        </is>
      </c>
      <c r="B5" s="10" t="inlineStr">
        <is>
          <t>Information / Support-type Companion</t>
        </is>
      </c>
      <c r="C5" s="7" t="n"/>
      <c r="D5" s="8" t="n"/>
    </row>
    <row r="6"/>
    <row r="7">
      <c r="A7" s="11" t="inlineStr">
        <is>
          <t>Core Attributes</t>
        </is>
      </c>
      <c r="B7" s="11" t="inlineStr"/>
      <c r="C7" s="11" t="inlineStr"/>
      <c r="D7" s="11" t="inlineStr"/>
      <c r="E7" s="11" t="inlineStr"/>
      <c r="F7" s="11" t="inlineStr"/>
    </row>
    <row r="8">
      <c r="A8" s="10" t="inlineStr">
        <is>
          <t>Charisma (CHA)</t>
        </is>
      </c>
      <c r="B8" s="12" t="n">
        <v>35</v>
      </c>
      <c r="C8" s="12" t="n">
        <v>55</v>
      </c>
      <c r="D8" s="12" t="n">
        <v>30</v>
      </c>
      <c r="E8" s="12" t="n">
        <v>30</v>
      </c>
      <c r="F8" s="12" t="n">
        <v>50</v>
      </c>
    </row>
    <row r="9"/>
    <row r="10">
      <c r="A10" s="11" t="inlineStr">
        <is>
          <t>Derived Attributes (Auto-calculated)</t>
        </is>
      </c>
      <c r="B10" s="11" t="inlineStr"/>
      <c r="C10" s="11" t="inlineStr"/>
      <c r="D10" s="11" t="inlineStr"/>
      <c r="E10" s="11" t="inlineStr"/>
      <c r="F10" s="11" t="inlineStr"/>
    </row>
    <row r="11">
      <c r="A11" s="10" t="inlineStr">
        <is>
          <t>HP</t>
        </is>
      </c>
      <c r="B11" s="12">
        <f>D8*2+15</f>
        <v/>
      </c>
    </row>
    <row r="12">
      <c r="A12" s="10" t="inlineStr">
        <is>
          <t>Spirit Pool</t>
        </is>
      </c>
      <c r="B12" s="12">
        <f>B8*3+5</f>
        <v/>
      </c>
    </row>
    <row r="13">
      <c r="A13" s="10" t="inlineStr">
        <is>
          <t>Loss of Control Threshold</t>
        </is>
      </c>
      <c r="B13" s="12">
        <f>C8*2+10</f>
        <v/>
      </c>
    </row>
    <row r="14">
      <c r="A14" s="10" t="inlineStr">
        <is>
          <t>Initiative</t>
        </is>
      </c>
      <c r="B14" s="12" t="inlineStr">
        <is>
          <t>30 + d10</t>
        </is>
      </c>
    </row>
    <row r="15"/>
    <row r="16">
      <c r="A16" s="11" t="inlineStr">
        <is>
          <t>Combat Data</t>
        </is>
      </c>
      <c r="B16" s="11" t="inlineStr"/>
      <c r="C16" s="11" t="inlineStr"/>
      <c r="D16" s="11" t="inlineStr"/>
      <c r="E16" s="11" t="inlineStr"/>
      <c r="F16" s="11" t="inlineStr"/>
    </row>
    <row r="17">
      <c r="A17" s="10" t="inlineStr">
        <is>
          <t>Emotion Read (0 AP quick / 1 Spirit / GM reveals target's next-turn action tendency)</t>
        </is>
      </c>
      <c r="B17" s="7" t="n"/>
      <c r="C17" s="7" t="n"/>
      <c r="D17" s="7" t="n"/>
      <c r="E17" s="7" t="n"/>
      <c r="F17" s="8" t="n"/>
    </row>
    <row r="18">
      <c r="A18" s="10" t="inlineStr">
        <is>
          <t>Microexpression Analysis (Reaction / 2 Spirit / player's next attack +15)</t>
        </is>
      </c>
      <c r="B18" s="7" t="n"/>
      <c r="C18" s="7" t="n"/>
      <c r="D18" s="7" t="n"/>
      <c r="E18" s="7" t="n"/>
      <c r="F18" s="8" t="n"/>
    </row>
    <row r="19">
      <c r="A19" s="10" t="inlineStr">
        <is>
          <t>Basic Attack: Cane 1d6+6</t>
        </is>
      </c>
      <c r="B19" s="7" t="n"/>
      <c r="C19" s="7" t="n"/>
      <c r="D19" s="7" t="n"/>
      <c r="E19" s="7" t="n"/>
      <c r="F19" s="8" t="n"/>
    </row>
    <row r="20"/>
    <row r="21">
      <c r="A21" s="11" t="inlineStr">
        <is>
          <t>Character Description</t>
        </is>
      </c>
      <c r="B21" s="11" t="inlineStr"/>
      <c r="C21" s="11" t="inlineStr"/>
      <c r="D21" s="11" t="inlineStr"/>
      <c r="E21" s="11" t="inlineStr"/>
      <c r="F21" s="11" t="inlineStr"/>
    </row>
    <row r="22">
      <c r="A22" s="10" t="inlineStr">
        <is>
          <t>Backstory:</t>
        </is>
      </c>
      <c r="B22" s="10" t="inlineStr">
        <is>
          <t>A keen observer who can provide crucial information in social situations. Former journalist, scholar, or psychiatrist.</t>
        </is>
      </c>
      <c r="C22" s="7" t="n"/>
      <c r="D22" s="7" t="n"/>
      <c r="E22" s="7" t="n"/>
      <c r="F22" s="8" t="n"/>
    </row>
    <row r="23">
      <c r="A23" s="10" t="inlineStr">
        <is>
          <t>Notes:</t>
        </is>
      </c>
      <c r="B23" s="10" t="inlineStr">
        <is>
          <t>HP=75 (Body 30x2+15). Solo-party information / social support.</t>
        </is>
      </c>
      <c r="C23" s="7" t="n"/>
      <c r="D23" s="7" t="n"/>
      <c r="E23" s="7" t="n"/>
      <c r="F23" s="8" t="n"/>
    </row>
    <row r="24">
      <c r="A24" s="10" t="inlineStr">
        <is>
          <t>Appears in Scenario:</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Partner Template C - Stormcaller</t>
        </is>
      </c>
      <c r="B1" s="7" t="n"/>
      <c r="C1" s="7" t="n"/>
      <c r="D1" s="7" t="n"/>
      <c r="E1" s="7" t="n"/>
      <c r="F1" s="8" t="n"/>
    </row>
    <row r="2"/>
    <row r="3">
      <c r="A3" s="10" t="inlineStr">
        <is>
          <t>Pathway/Sequence:</t>
        </is>
      </c>
      <c r="B3" s="10" t="inlineStr">
        <is>
          <t>Sailor Pathway, Sequence 9</t>
        </is>
      </c>
      <c r="C3" s="7" t="n"/>
      <c r="D3" s="8" t="n"/>
    </row>
    <row r="4">
      <c r="A4" s="10" t="inlineStr">
        <is>
          <t>Affiliated Faction:</t>
        </is>
      </c>
      <c r="B4" s="10" t="inlineStr">
        <is>
          <t>Player Companion</t>
        </is>
      </c>
      <c r="C4" s="7" t="n"/>
      <c r="D4" s="8" t="n"/>
    </row>
    <row r="5">
      <c r="A5" s="10" t="inlineStr">
        <is>
          <t>Role:</t>
        </is>
      </c>
      <c r="B5" s="10" t="inlineStr">
        <is>
          <t>Ranged DPS-type Companion</t>
        </is>
      </c>
      <c r="C5" s="7" t="n"/>
      <c r="D5" s="8" t="n"/>
    </row>
    <row r="6"/>
    <row r="7">
      <c r="A7" s="11" t="inlineStr">
        <is>
          <t>Core Attributes</t>
        </is>
      </c>
      <c r="B7" s="11" t="inlineStr"/>
      <c r="C7" s="11" t="inlineStr"/>
      <c r="D7" s="11" t="inlineStr"/>
      <c r="E7" s="11" t="inlineStr"/>
      <c r="F7" s="11" t="inlineStr"/>
    </row>
    <row r="8">
      <c r="A8" s="10" t="inlineStr">
        <is>
          <t>Charisma (CHA)</t>
        </is>
      </c>
      <c r="B8" s="12" t="n">
        <v>45</v>
      </c>
      <c r="C8" s="12" t="n">
        <v>35</v>
      </c>
      <c r="D8" s="12" t="n">
        <v>40</v>
      </c>
      <c r="E8" s="12" t="n">
        <v>50</v>
      </c>
      <c r="F8" s="12" t="n">
        <v>30</v>
      </c>
    </row>
    <row r="9"/>
    <row r="10">
      <c r="A10" s="11" t="inlineStr">
        <is>
          <t>Derived Attributes (Auto-calculated)</t>
        </is>
      </c>
      <c r="B10" s="11" t="inlineStr"/>
      <c r="C10" s="11" t="inlineStr"/>
      <c r="D10" s="11" t="inlineStr"/>
      <c r="E10" s="11" t="inlineStr"/>
      <c r="F10" s="11" t="inlineStr"/>
    </row>
    <row r="11">
      <c r="A11" s="10" t="inlineStr">
        <is>
          <t>HP</t>
        </is>
      </c>
      <c r="B11" s="12">
        <f>D8*2+15</f>
        <v/>
      </c>
    </row>
    <row r="12">
      <c r="A12" s="10" t="inlineStr">
        <is>
          <t>Spirit Pool</t>
        </is>
      </c>
      <c r="B12" s="12">
        <f>B8*3+5</f>
        <v/>
      </c>
    </row>
    <row r="13">
      <c r="A13" s="10" t="inlineStr">
        <is>
          <t>Loss of Control Threshold</t>
        </is>
      </c>
      <c r="B13" s="12">
        <f>C8*2+10</f>
        <v/>
      </c>
    </row>
    <row r="14">
      <c r="A14" s="10" t="inlineStr">
        <is>
          <t>Initiative</t>
        </is>
      </c>
      <c r="B14" s="12" t="inlineStr">
        <is>
          <t>50 + d10</t>
        </is>
      </c>
    </row>
    <row r="15"/>
    <row r="16">
      <c r="A16" s="11" t="inlineStr">
        <is>
          <t>Combat Data</t>
        </is>
      </c>
      <c r="B16" s="11" t="inlineStr"/>
      <c r="C16" s="11" t="inlineStr"/>
      <c r="D16" s="11" t="inlineStr"/>
      <c r="E16" s="11" t="inlineStr"/>
      <c r="F16" s="11" t="inlineStr"/>
    </row>
    <row r="17">
      <c r="A17" s="10" t="inlineStr">
        <is>
          <t>Lightning Touch (1 AP / 3 Spirit / Melee / adds 2d6 Lightning / Paralysis)</t>
        </is>
      </c>
      <c r="B17" s="7" t="n"/>
      <c r="C17" s="7" t="n"/>
      <c r="D17" s="7" t="n"/>
      <c r="E17" s="7" t="n"/>
      <c r="F17" s="8" t="n"/>
    </row>
    <row r="18">
      <c r="A18" s="10" t="inlineStr">
        <is>
          <t>Call Lightning (2 AP / 5 Spirit / 20m / 3d6 Lightning / target has Disadvantage on evasion)</t>
        </is>
      </c>
      <c r="B18" s="7" t="n"/>
      <c r="C18" s="7" t="n"/>
      <c r="D18" s="7" t="n"/>
      <c r="E18" s="7" t="n"/>
      <c r="F18" s="8" t="n"/>
    </row>
    <row r="19">
      <c r="A19" s="10" t="inlineStr">
        <is>
          <t>Basic Attack: Military Revolver +15 (2d6 / 20m)</t>
        </is>
      </c>
      <c r="B19" s="7" t="n"/>
      <c r="C19" s="7" t="n"/>
      <c r="D19" s="7" t="n"/>
      <c r="E19" s="7" t="n"/>
      <c r="F19" s="8" t="n"/>
    </row>
    <row r="20"/>
    <row r="21">
      <c r="A21" s="11" t="inlineStr">
        <is>
          <t>Character Description</t>
        </is>
      </c>
      <c r="B21" s="11" t="inlineStr"/>
      <c r="C21" s="11" t="inlineStr"/>
      <c r="D21" s="11" t="inlineStr"/>
      <c r="E21" s="11" t="inlineStr"/>
      <c r="F21" s="11" t="inlineStr"/>
    </row>
    <row r="22">
      <c r="A22" s="10" t="inlineStr">
        <is>
          <t>Backstory:</t>
        </is>
      </c>
      <c r="B22" s="10" t="inlineStr">
        <is>
          <t>Former sailor or dockworker. Zero tolerance for injustice.</t>
        </is>
      </c>
      <c r="C22" s="7" t="n"/>
      <c r="D22" s="7" t="n"/>
      <c r="E22" s="7" t="n"/>
      <c r="F22" s="8" t="n"/>
    </row>
    <row r="23">
      <c r="A23" s="10" t="inlineStr">
        <is>
          <t>Notes:</t>
        </is>
      </c>
      <c r="B23" s="10" t="inlineStr">
        <is>
          <t>HP=95 (Body 40x2+15). Solo-party ranged DPS.</t>
        </is>
      </c>
      <c r="C23" s="7" t="n"/>
      <c r="D23" s="7" t="n"/>
      <c r="E23" s="7" t="n"/>
      <c r="F23" s="8" t="n"/>
    </row>
    <row r="24">
      <c r="A24" s="10" t="inlineStr">
        <is>
          <t>Appears in Scenario:</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Partner Template D - Stalker</t>
        </is>
      </c>
      <c r="B1" s="7" t="n"/>
      <c r="C1" s="7" t="n"/>
      <c r="D1" s="7" t="n"/>
      <c r="E1" s="7" t="n"/>
      <c r="F1" s="8" t="n"/>
    </row>
    <row r="2"/>
    <row r="3">
      <c r="A3" s="10" t="inlineStr">
        <is>
          <t>Pathway/Sequence:</t>
        </is>
      </c>
      <c r="B3" s="10" t="inlineStr">
        <is>
          <t>Sleepless Pathway, Sequence 9</t>
        </is>
      </c>
      <c r="C3" s="7" t="n"/>
      <c r="D3" s="8" t="n"/>
    </row>
    <row r="4">
      <c r="A4" s="10" t="inlineStr">
        <is>
          <t>Affiliated Faction:</t>
        </is>
      </c>
      <c r="B4" s="10" t="inlineStr">
        <is>
          <t>Player Companion</t>
        </is>
      </c>
      <c r="C4" s="7" t="n"/>
      <c r="D4" s="8" t="n"/>
    </row>
    <row r="5">
      <c r="A5" s="10" t="inlineStr">
        <is>
          <t>Role:</t>
        </is>
      </c>
      <c r="B5" s="10" t="inlineStr">
        <is>
          <t>Crowd Control / Mobility-type Companion</t>
        </is>
      </c>
      <c r="C5" s="7" t="n"/>
      <c r="D5" s="8" t="n"/>
    </row>
    <row r="6"/>
    <row r="7">
      <c r="A7" s="11" t="inlineStr">
        <is>
          <t>Core Attributes</t>
        </is>
      </c>
      <c r="B7" s="11" t="inlineStr"/>
      <c r="C7" s="11" t="inlineStr"/>
      <c r="D7" s="11" t="inlineStr"/>
      <c r="E7" s="11" t="inlineStr"/>
      <c r="F7" s="11" t="inlineStr"/>
    </row>
    <row r="8">
      <c r="A8" s="10" t="inlineStr">
        <is>
          <t>Charisma (CHA)</t>
        </is>
      </c>
      <c r="B8" s="12" t="n">
        <v>40</v>
      </c>
      <c r="C8" s="12" t="n">
        <v>35</v>
      </c>
      <c r="D8" s="12" t="n">
        <v>40</v>
      </c>
      <c r="E8" s="12" t="n">
        <v>55</v>
      </c>
      <c r="F8" s="12" t="n">
        <v>30</v>
      </c>
    </row>
    <row r="9"/>
    <row r="10">
      <c r="A10" s="11" t="inlineStr">
        <is>
          <t>Derived Attributes (Auto-calculated)</t>
        </is>
      </c>
      <c r="B10" s="11" t="inlineStr"/>
      <c r="C10" s="11" t="inlineStr"/>
      <c r="D10" s="11" t="inlineStr"/>
      <c r="E10" s="11" t="inlineStr"/>
      <c r="F10" s="11" t="inlineStr"/>
    </row>
    <row r="11">
      <c r="A11" s="10" t="inlineStr">
        <is>
          <t>HP</t>
        </is>
      </c>
      <c r="B11" s="12">
        <f>D8*2+15</f>
        <v/>
      </c>
    </row>
    <row r="12">
      <c r="A12" s="10" t="inlineStr">
        <is>
          <t>Spirit Pool</t>
        </is>
      </c>
      <c r="B12" s="12">
        <f>B8*3+5</f>
        <v/>
      </c>
    </row>
    <row r="13">
      <c r="A13" s="10" t="inlineStr">
        <is>
          <t>Loss of Control Threshold</t>
        </is>
      </c>
      <c r="B13" s="12">
        <f>C8*2+10</f>
        <v/>
      </c>
    </row>
    <row r="14">
      <c r="A14" s="10" t="inlineStr">
        <is>
          <t>Initiative</t>
        </is>
      </c>
      <c r="B14" s="12" t="inlineStr">
        <is>
          <t>55 + d10</t>
        </is>
      </c>
    </row>
    <row r="15"/>
    <row r="16">
      <c r="A16" s="11" t="inlineStr">
        <is>
          <t>Combat Data</t>
        </is>
      </c>
      <c r="B16" s="11" t="inlineStr"/>
      <c r="C16" s="11" t="inlineStr"/>
      <c r="D16" s="11" t="inlineStr"/>
      <c r="E16" s="11" t="inlineStr"/>
      <c r="F16" s="11" t="inlineStr"/>
    </row>
    <row r="17">
      <c r="A17" s="10" t="inlineStr">
        <is>
          <t>Power of Darkness (1 AP / 3 Spirit / 10m / 2d8 Dark damage / Blind)</t>
        </is>
      </c>
      <c r="B17" s="7" t="n"/>
      <c r="C17" s="7" t="n"/>
      <c r="D17" s="7" t="n"/>
      <c r="E17" s="7" t="n"/>
      <c r="F17" s="8" t="n"/>
    </row>
    <row r="18">
      <c r="A18" s="10" t="inlineStr">
        <is>
          <t>Shadow Step (1 AP / 2 Spirit / 15m teleport / does not trigger opportunity attacks)</t>
        </is>
      </c>
      <c r="B18" s="7" t="n"/>
      <c r="C18" s="7" t="n"/>
      <c r="D18" s="7" t="n"/>
      <c r="E18" s="7" t="n"/>
      <c r="F18" s="8" t="n"/>
    </row>
    <row r="19">
      <c r="A19" s="10" t="inlineStr">
        <is>
          <t>Basic Attack: Dagger +15 (1d6+8)</t>
        </is>
      </c>
      <c r="B19" s="7" t="n"/>
      <c r="C19" s="7" t="n"/>
      <c r="D19" s="7" t="n"/>
      <c r="E19" s="7" t="n"/>
      <c r="F19" s="8" t="n"/>
    </row>
    <row r="20"/>
    <row r="21">
      <c r="A21" s="11" t="inlineStr">
        <is>
          <t>Character Description</t>
        </is>
      </c>
      <c r="B21" s="11" t="inlineStr"/>
      <c r="C21" s="11" t="inlineStr"/>
      <c r="D21" s="11" t="inlineStr"/>
      <c r="E21" s="11" t="inlineStr"/>
      <c r="F21" s="11" t="inlineStr"/>
    </row>
    <row r="22">
      <c r="A22" s="10" t="inlineStr">
        <is>
          <t>Backstory:</t>
        </is>
      </c>
      <c r="B22" s="10" t="inlineStr">
        <is>
          <t>A companion who needs no sleep - always available to investigate with you late at night. Former night guard or loner.</t>
        </is>
      </c>
      <c r="C22" s="7" t="n"/>
      <c r="D22" s="7" t="n"/>
      <c r="E22" s="7" t="n"/>
      <c r="F22" s="8" t="n"/>
    </row>
    <row r="23">
      <c r="A23" s="10" t="inlineStr">
        <is>
          <t>Notes:</t>
        </is>
      </c>
      <c r="B23" s="10" t="inlineStr">
        <is>
          <t>HP=95 (Body 40x2+15). Solo-party nighttime operations / crowd control.</t>
        </is>
      </c>
      <c r="C23" s="7" t="n"/>
      <c r="D23" s="7" t="n"/>
      <c r="E23" s="7" t="n"/>
      <c r="F23" s="8" t="n"/>
    </row>
    <row r="24">
      <c r="A24" s="10" t="inlineStr">
        <is>
          <t>Appears in Scenario:</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2026-06-25T17:01:07Z</dcterms:created>
  <dcterms:modified xsi:type="dcterms:W3CDTF">2026-08-11T11:57:55Z</dcterms:modified>
</cp:coreProperties>
</file>