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List" sheetId="1" state="visible" r:id="rId1"/>
    <sheet name="Corroded Seer" sheetId="2" state="visible" r:id="rId2"/>
    <sheet name="Lady White (Alicia White)" sheetId="3" state="visible" r:id="rId3"/>
    <sheet name="Foreman Morrison" sheetId="4" state="visible" r:id="rId4"/>
    <sheet name="Shadow Servant" sheetId="5" state="visible" r:id="rId5"/>
    <sheet name="Valerie" sheetId="6" state="visible" r:id="rId6"/>
    <sheet name="Mechanical Sentinel" sheetId="7" state="visible" r:id="rId7"/>
    <sheet name="Dr. Blackwood" sheetId="8" state="visible" r:id="rId8"/>
    <sheet name="Spirit World Derivative (Std)" sheetId="9" state="visible" r:id="rId9"/>
    <sheet name="Fate Shard (Fateweaver Temple)" sheetId="10" state="visible" r:id="rId10"/>
    <sheet name="Loss-Stripped (by Manipulator)" sheetId="11" state="visible" r:id="rId11"/>
    <sheet name="13th Consciousness Shard (Aggr)" sheetId="12" state="visible" r:id="rId12"/>
    <sheet name="Swapped · Memory-Disordered" sheetId="13" state="visible" r:id="rId13"/>
    <sheet name="Swindler · Death Predicto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F2F2F"/>
        <bgColor rgb="002F2F2F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28" customWidth="1" min="4" max="4"/>
    <col width="22" customWidth="1" min="5" max="5"/>
  </cols>
  <sheetData>
    <row r="1">
      <c r="A1" s="1" t="inlineStr">
        <is>
          <t>Scenario Enemy Overview</t>
        </is>
      </c>
    </row>
    <row r="2"/>
    <row r="3">
      <c r="A3" s="2" t="inlineStr">
        <is>
          <t>Name</t>
        </is>
      </c>
      <c r="B3" s="2" t="inlineStr">
        <is>
          <t>CR</t>
        </is>
      </c>
      <c r="C3" s="2" t="inlineStr">
        <is>
          <t>Type</t>
        </is>
      </c>
      <c r="D3" s="2" t="inlineStr">
        <is>
          <t>Pathway/Sequence</t>
        </is>
      </c>
      <c r="E3" s="2" t="inlineStr">
        <is>
          <t>Scenario</t>
        </is>
      </c>
    </row>
    <row r="4">
      <c r="A4" s="3" t="inlineStr">
        <is>
          <t>Corroded Seer</t>
        </is>
      </c>
      <c r="B4" s="4" t="n">
        <v>2</v>
      </c>
      <c r="C4" s="3" t="inlineStr">
        <is>
          <t>Beyonder (Edge of Loss)</t>
        </is>
      </c>
      <c r="D4" s="3" t="inlineStr">
        <is>
          <t>Seer / Sequence 9</t>
        </is>
      </c>
      <c r="E4" s="3" t="inlineStr">
        <is>
          <t>Scenario 1: The Crimson Ball of the White Room</t>
        </is>
      </c>
    </row>
    <row r="5">
      <c r="A5" s="3" t="inlineStr">
        <is>
          <t>Lady White (Alicia White)</t>
        </is>
      </c>
      <c r="B5" s="4" t="n">
        <v>6</v>
      </c>
      <c r="C5" s="3" t="inlineStr">
        <is>
          <t>Beyonder (Sequence 6)</t>
        </is>
      </c>
      <c r="D5" s="3" t="inlineStr">
        <is>
          <t>Spectator / Sequence 6 · Hypnotist</t>
        </is>
      </c>
      <c r="E5" s="3" t="inlineStr">
        <is>
          <t>Scenario 1: The Crimson Ball of the White Room (Main Antagonist)</t>
        </is>
      </c>
    </row>
    <row r="6">
      <c r="A6" s="3" t="inlineStr">
        <is>
          <t>Foreman Morrison</t>
        </is>
      </c>
      <c r="B6" s="4" t="n">
        <v>4</v>
      </c>
      <c r="C6" s="3" t="inlineStr">
        <is>
          <t>Beyonder (Sequence 7)</t>
        </is>
      </c>
      <c r="D6" s="3" t="inlineStr">
        <is>
          <t>Secrets Suppliant / Sequence 7 · Shadow Ascetic</t>
        </is>
      </c>
      <c r="E6" s="3" t="inlineStr">
        <is>
          <t>Scenario 2: Whispers Beneath the Gray Fog (Main Antagonist)</t>
        </is>
      </c>
    </row>
    <row r="7">
      <c r="A7" s="3" t="inlineStr">
        <is>
          <t>Shadow Servant</t>
        </is>
      </c>
      <c r="B7" s="4" t="n">
        <v>2</v>
      </c>
      <c r="C7" s="3" t="inlineStr">
        <is>
          <t>Beyonder (Summon)</t>
        </is>
      </c>
      <c r="D7" s="3" t="inlineStr">
        <is>
          <t>Secrets Suppliant / Sequence 9</t>
        </is>
      </c>
      <c r="E7" s="3" t="inlineStr">
        <is>
          <t>Scenario 2: Whispers Beneath the Gray Fog (Mook)</t>
        </is>
      </c>
    </row>
    <row r="8">
      <c r="A8" s="3" t="inlineStr">
        <is>
          <t>Valerie</t>
        </is>
      </c>
      <c r="B8" s="4" t="n">
        <v>5</v>
      </c>
      <c r="C8" s="3" t="inlineStr">
        <is>
          <t>Beyonder (Sequence 6)</t>
        </is>
      </c>
      <c r="D8" s="3" t="inlineStr">
        <is>
          <t>Savant / Sequence 6 · Artisan</t>
        </is>
      </c>
      <c r="E8" s="3" t="inlineStr">
        <is>
          <t>Scenario 3: Warehouse No. 10 (Antagonist)</t>
        </is>
      </c>
    </row>
    <row r="9">
      <c r="A9" s="3" t="inlineStr">
        <is>
          <t>Mechanical Sentinel</t>
        </is>
      </c>
      <c r="B9" s="4" t="n">
        <v>3</v>
      </c>
      <c r="C9" s="3" t="inlineStr">
        <is>
          <t>Non-human (Mechanical Construct)</t>
        </is>
      </c>
      <c r="D9" s="3" t="inlineStr">
        <is>
          <t>Savant / Sequence 7</t>
        </is>
      </c>
      <c r="E9" s="3" t="inlineStr">
        <is>
          <t>Scenario 3/4 (Mook)</t>
        </is>
      </c>
    </row>
    <row r="10">
      <c r="A10" s="3" t="inlineStr">
        <is>
          <t>Dr. Blackwood</t>
        </is>
      </c>
      <c r="B10" s="4" t="n">
        <v>9</v>
      </c>
      <c r="C10" s="3" t="inlineStr">
        <is>
          <t>Beyonder (Sequence 4 · Demigod)</t>
        </is>
      </c>
      <c r="D10" s="3" t="inlineStr">
        <is>
          <t>Savant / Sequence 4 · Mechanical Heart</t>
        </is>
      </c>
      <c r="E10" s="3" t="inlineStr">
        <is>
          <t>Scenario 4: The Mechanical Heart (Final Antagonist)</t>
        </is>
      </c>
    </row>
    <row r="11">
      <c r="A11" s="3" t="inlineStr">
        <is>
          <t>Spirit World Derivative (Normal)</t>
        </is>
      </c>
      <c r="B11" s="4" t="n">
        <v>2</v>
      </c>
      <c r="C11" s="3" t="inlineStr">
        <is>
          <t>Spirit World Creature</t>
        </is>
      </c>
      <c r="D11" s="3" t="inlineStr">
        <is>
          <t>—</t>
        </is>
      </c>
      <c r="E11" s="3" t="inlineStr">
        <is>
          <t>Side Quest 2 / multiple random encounters (generic)</t>
        </is>
      </c>
    </row>
    <row r="12">
      <c r="A12" s="3" t="inlineStr">
        <is>
          <t>Fate Shard (Fateweaver Temple)</t>
        </is>
      </c>
      <c r="B12" s="4" t="n">
        <v>4</v>
      </c>
      <c r="C12" s="3" t="inlineStr">
        <is>
          <t>Ancient God Remnant / Spirit World Derivative</t>
        </is>
      </c>
      <c r="D12" s="3" t="inlineStr">
        <is>
          <t>Monster Pathway (Ancient God-related)</t>
        </is>
      </c>
      <c r="E12" s="3" t="inlineStr">
        <is>
          <t>Side Quest 6: The Sunken Chimney</t>
        </is>
      </c>
    </row>
    <row r="13">
      <c r="A13" s="3" t="inlineStr">
        <is>
          <t>Loss-Stripped One (controlled by Manipulator)</t>
        </is>
      </c>
      <c r="B13" s="4" t="n">
        <v>3</v>
      </c>
      <c r="C13" s="3" t="inlineStr">
        <is>
          <t>Beyonder (remnant after Characteristic stripping)</t>
        </is>
      </c>
      <c r="D13" s="3" t="inlineStr">
        <is>
          <t>Random Pathway / Sequence 8-7</t>
        </is>
      </c>
      <c r="E13" s="3" t="inlineStr">
        <is>
          <t>Side Quest 7: St. Maria Asylum</t>
        </is>
      </c>
    </row>
    <row r="14">
      <c r="A14" s="3" t="inlineStr">
        <is>
          <t>13th Consciousness Shard · Aggregate</t>
        </is>
      </c>
      <c r="B14" s="4" t="n">
        <v>5</v>
      </c>
      <c r="C14" s="3" t="inlineStr">
        <is>
          <t>Beyonder residual will-thought aggregate</t>
        </is>
      </c>
      <c r="D14" s="3" t="inlineStr">
        <is>
          <t>Spectator Pathway Sequence 4 (residual)</t>
        </is>
      </c>
      <c r="E14" s="3" t="inlineStr">
        <is>
          <t>Side Quest 3: The Thirteenth Seat</t>
        </is>
      </c>
    </row>
    <row r="15">
      <c r="A15" s="3" t="inlineStr">
        <is>
          <t>Swapped One · Memory-Disordered Entity</t>
        </is>
      </c>
      <c r="B15" s="4" t="n">
        <v>3</v>
      </c>
      <c r="C15" s="3" t="inlineStr">
        <is>
          <t>Beyonder (Sealed Artifact side-effect victim)</t>
        </is>
      </c>
      <c r="D15" s="3" t="inlineStr">
        <is>
          <t>Random Pathway / Random Sequence</t>
        </is>
      </c>
      <c r="E15" s="3" t="inlineStr">
        <is>
          <t>Side Quest 5: The Phantom Carriage of Iron Bridge District</t>
        </is>
      </c>
    </row>
    <row r="16">
      <c r="A16" s="3" t="inlineStr">
        <is>
          <t>Swindler · Death Predictor</t>
        </is>
      </c>
      <c r="B16" s="4" t="n">
        <v>2</v>
      </c>
      <c r="C16" s="3" t="inlineStr">
        <is>
          <t>Beyonder</t>
        </is>
      </c>
      <c r="D16" s="3" t="inlineStr">
        <is>
          <t>Marauder Pathway / Sequence 8 · Swindler</t>
        </is>
      </c>
      <c r="E16" s="3" t="inlineStr">
        <is>
          <t>Side Quest 2: The Difference Engine Malfunction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Corroded Seer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(Edge of Loss)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Seer / Sequence 9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45</v>
      </c>
      <c r="C8" s="4" t="n">
        <v>30</v>
      </c>
      <c r="D8" s="4" t="n">
        <v>35</v>
      </c>
      <c r="E8" s="4" t="n">
        <v>30</v>
      </c>
      <c r="F8" s="4" t="n">
        <v>10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58</t>
        </is>
      </c>
    </row>
    <row r="15">
      <c r="A15" s="3" t="inlineStr">
        <is>
          <t>Initiative</t>
        </is>
      </c>
      <c r="B15" s="4" t="inlineStr">
        <is>
          <t>30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Dagger Slash</t>
        </is>
      </c>
      <c r="B19" s="4" t="inlineStr">
        <is>
          <t>+10</t>
        </is>
      </c>
      <c r="C19" s="4" t="inlineStr">
        <is>
          <t>1d8+7</t>
        </is>
      </c>
      <c r="D19" s="4" t="inlineStr">
        <is>
          <t>Melee</t>
        </is>
      </c>
      <c r="E19" s="4" t="inlineStr"/>
    </row>
    <row r="20">
      <c r="A20" s="3" t="inlineStr">
        <is>
          <t>Mad Throw</t>
        </is>
      </c>
      <c r="B20" s="4" t="inlineStr">
        <is>
          <t>+5</t>
        </is>
      </c>
      <c r="C20" s="4" t="inlineStr">
        <is>
          <t>1d4+7</t>
        </is>
      </c>
      <c r="D20" s="4" t="inlineStr">
        <is>
          <t>10m</t>
        </is>
      </c>
      <c r="E20" s="4" t="inlineStr"/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Danger Premonition (Reaction / 2 Spirit / -10 Hit on one attack, weakened)</t>
        </is>
      </c>
      <c r="B23" s="7" t="n"/>
      <c r="C23" s="7" t="n"/>
      <c r="D23" s="7" t="n"/>
      <c r="E23" s="7" t="n"/>
      <c r="F23" s="8" t="n"/>
    </row>
    <row r="24">
      <c r="A24" s="3" t="inlineStr">
        <is>
          <t>Pendulum Tracking (distorted → points to target with highest Spirituality)</t>
        </is>
      </c>
      <c r="B24" s="7" t="n"/>
      <c r="C24" s="7" t="n"/>
      <c r="D24" s="7" t="n"/>
      <c r="E24" s="7" t="n"/>
      <c r="F24" s="8" t="n"/>
    </row>
    <row r="25">
      <c r="A25" s="3" t="inlineStr">
        <is>
          <t>Eye of Loss (Passive / every 3 rounds secretly roll +1 to Loss of Control)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Resistances &amp; Weaknesses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 xml:space="preserve">Resistances: </t>
        </is>
      </c>
      <c r="B28" s="3" t="inlineStr">
        <is>
          <t>None</t>
        </is>
      </c>
      <c r="C28" s="7" t="n"/>
      <c r="D28" s="7" t="n"/>
      <c r="E28" s="7" t="n"/>
      <c r="F28" s="8" t="n"/>
    </row>
    <row r="29">
      <c r="A29" s="3" t="inlineStr">
        <is>
          <t xml:space="preserve">Weakness: </t>
        </is>
      </c>
      <c r="B29" s="3" t="inlineStr">
        <is>
          <t>Mental Damage ×1.5</t>
        </is>
      </c>
      <c r="C29" s="7" t="n"/>
      <c r="D29" s="7" t="n"/>
      <c r="E29" s="7" t="n"/>
      <c r="F29" s="8" t="n"/>
    </row>
    <row r="30">
      <c r="A30" s="3" t="inlineStr">
        <is>
          <t xml:space="preserve">Drops: </t>
        </is>
      </c>
      <c r="B30" s="3" t="inlineStr">
        <is>
          <t>Pendulum (Tier 3 Sealed Artifact)</t>
        </is>
      </c>
      <c r="C30" s="7" t="n"/>
      <c r="D30" s="7" t="n"/>
      <c r="E30" s="7" t="n"/>
      <c r="F30" s="8" t="n"/>
    </row>
    <row r="31">
      <c r="A31" s="3" t="inlineStr">
        <is>
          <t xml:space="preserve">Tactics: </t>
        </is>
      </c>
      <c r="B31" s="3" t="inlineStr">
        <is>
          <t>Paranoid. Attacks the target with highest Spirituality. Flees when HP&lt;30.</t>
        </is>
      </c>
      <c r="C31" s="7" t="n"/>
      <c r="D31" s="7" t="n"/>
      <c r="E31" s="7" t="n"/>
      <c r="F31" s="8" t="n"/>
    </row>
    <row r="32">
      <c r="A32" s="3" t="inlineStr">
        <is>
          <t xml:space="preserve">Loss of Control Risk: </t>
        </is>
      </c>
      <c r="B32" s="3" t="inlineStr">
        <is>
          <t>Loss of Control +1 each round. May enter Full Loss during combat.</t>
        </is>
      </c>
      <c r="C32" s="7" t="n"/>
      <c r="D32" s="7" t="n"/>
      <c r="E32" s="7" t="n"/>
      <c r="F32" s="8" t="n"/>
    </row>
    <row r="33">
      <c r="A33" s="3" t="inlineStr">
        <is>
          <t xml:space="preserve">Scenario: </t>
        </is>
      </c>
      <c r="B33" s="3" t="inlineStr">
        <is>
          <t>Scenario 1: The Crimson Ball of the White Room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Lady White (Alicia White)</t>
        </is>
      </c>
    </row>
    <row r="2"/>
    <row r="3">
      <c r="A3" s="3" t="inlineStr">
        <is>
          <t>CR：</t>
        </is>
      </c>
      <c r="B3" s="3" t="n">
        <v>6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(Sequence 6)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Spectator / Sequence 6 · Hypnotist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55</v>
      </c>
      <c r="C8" s="4" t="n">
        <v>50</v>
      </c>
      <c r="D8" s="4" t="n">
        <v>35</v>
      </c>
      <c r="E8" s="4" t="n">
        <v>45</v>
      </c>
      <c r="F8" s="4" t="n">
        <v>65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45</t>
        </is>
      </c>
    </row>
    <row r="15">
      <c r="A15" s="3" t="inlineStr">
        <is>
          <t>Initiative</t>
        </is>
      </c>
      <c r="B15" s="4" t="inlineStr">
        <is>
          <t>45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Dance Hypnosis</t>
        </is>
      </c>
      <c r="B19" s="4" t="inlineStr">
        <is>
          <t>+20 (Charisma)</t>
        </is>
      </c>
      <c r="C19" s="4" t="inlineStr">
        <is>
          <t>Charm (Area)</t>
        </is>
      </c>
      <c r="D19" s="4" t="inlineStr">
        <is>
          <t>20m</t>
        </is>
      </c>
      <c r="E19" s="4" t="inlineStr">
        <is>
          <t>Failed Mind opposed check → Charmed for 1 scene</t>
        </is>
      </c>
    </row>
    <row r="20">
      <c r="A20" s="3" t="inlineStr">
        <is>
          <t>Emotional Storm</t>
        </is>
      </c>
      <c r="B20" s="4" t="inlineStr">
        <is>
          <t>+15 (Spirituality)</t>
        </is>
      </c>
      <c r="C20" s="4" t="inlineStr">
        <is>
          <t>3d6 Mental (Whole Field)</t>
        </is>
      </c>
      <c r="D20" s="4" t="inlineStr">
        <is>
          <t>Whole Field</t>
        </is>
      </c>
      <c r="E20" s="4" t="inlineStr">
        <is>
          <t>Area Mental damage + Whisper</t>
        </is>
      </c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Beat Manipulation (Reaction / command hypnotized targets to act)</t>
        </is>
      </c>
      <c r="B23" s="7" t="n"/>
      <c r="C23" s="7" t="n"/>
      <c r="D23" s="7" t="n"/>
      <c r="E23" s="7" t="n"/>
      <c r="F23" s="8" t="n"/>
    </row>
    <row r="24">
      <c r="A24" s="3" t="inlineStr">
        <is>
          <t>Eternal Waltz (HP&lt;50% / all attributes +5 but Loss of Control +10/round, cannot distinguish friend from foe)</t>
        </is>
      </c>
      <c r="B24" s="7" t="n"/>
      <c r="C24" s="7" t="n"/>
      <c r="D24" s="7" t="n"/>
      <c r="E24" s="7" t="n"/>
      <c r="F24" s="8" t="n"/>
    </row>
    <row r="25">
      <c r="A25" s="3" t="inlineStr">
        <is>
          <t>Presence Fade (1 AP / attackers -20 Hit)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Resistances &amp; Weaknesses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 xml:space="preserve">Resistances: </t>
        </is>
      </c>
      <c r="B28" s="3" t="inlineStr">
        <is>
          <t>Mental Damage halved</t>
        </is>
      </c>
      <c r="C28" s="7" t="n"/>
      <c r="D28" s="7" t="n"/>
      <c r="E28" s="7" t="n"/>
      <c r="F28" s="8" t="n"/>
    </row>
    <row r="29">
      <c r="A29" s="3" t="inlineStr">
        <is>
          <t xml:space="preserve">Weakness: </t>
        </is>
      </c>
      <c r="B29" s="3" t="inlineStr">
        <is>
          <t>Mind -20 when confronted with the truth of the fire; revealing her past can shake her abilities</t>
        </is>
      </c>
      <c r="C29" s="7" t="n"/>
      <c r="D29" s="7" t="n"/>
      <c r="E29" s="7" t="n"/>
      <c r="F29" s="8" t="n"/>
    </row>
    <row r="30">
      <c r="A30" s="3" t="inlineStr">
        <is>
          <t xml:space="preserve">Drops: </t>
        </is>
      </c>
      <c r="B30" s="3" t="inlineStr">
        <is>
          <t>Eternal Metronome (Tier 2 Sealed Artifact)</t>
        </is>
      </c>
      <c r="C30" s="7" t="n"/>
      <c r="D30" s="7" t="n"/>
      <c r="E30" s="7" t="n"/>
      <c r="F30" s="8" t="n"/>
    </row>
    <row r="31">
      <c r="A31" s="3" t="inlineStr">
        <is>
          <t xml:space="preserve">Tactics: </t>
        </is>
      </c>
      <c r="B31" s="3" t="inlineStr">
        <is>
          <t>Uses controlled guests as frontline blockers. At HP&lt;50% triggers 'Eternal Waltz' rampage.</t>
        </is>
      </c>
      <c r="C31" s="7" t="n"/>
      <c r="D31" s="7" t="n"/>
      <c r="E31" s="7" t="n"/>
      <c r="F31" s="8" t="n"/>
    </row>
    <row r="32">
      <c r="A32" s="3" t="inlineStr">
        <is>
          <t xml:space="preserve">Loss of Control Risk: </t>
        </is>
      </c>
      <c r="B32" s="3" t="inlineStr">
        <is>
          <t>Loss of Control 45/110. In rampage state, Loss of Control +10 each round.</t>
        </is>
      </c>
      <c r="C32" s="7" t="n"/>
      <c r="D32" s="7" t="n"/>
      <c r="E32" s="7" t="n"/>
      <c r="F32" s="8" t="n"/>
    </row>
    <row r="33">
      <c r="A33" s="3" t="inlineStr">
        <is>
          <t xml:space="preserve">Scenario: </t>
        </is>
      </c>
      <c r="B33" s="3" t="inlineStr">
        <is>
          <t>Scenario 1: The Crimson Ball of the White Room (Main Antagonist)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Foreman Morrison</t>
        </is>
      </c>
    </row>
    <row r="2"/>
    <row r="3">
      <c r="A3" s="3" t="inlineStr">
        <is>
          <t>CR：</t>
        </is>
      </c>
      <c r="B3" s="3" t="n">
        <v>4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(Sequence 7)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Secrets Suppliant / Sequence 7 · Shadow Ascetic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60</v>
      </c>
      <c r="C8" s="4" t="n">
        <v>45</v>
      </c>
      <c r="D8" s="4" t="n">
        <v>40</v>
      </c>
      <c r="E8" s="4" t="n">
        <v>30</v>
      </c>
      <c r="F8" s="4" t="n">
        <v>30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35</t>
        </is>
      </c>
    </row>
    <row r="15">
      <c r="A15" s="3" t="inlineStr">
        <is>
          <t>Initiative</t>
        </is>
      </c>
      <c r="B15" s="4" t="inlineStr">
        <is>
          <t>30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Shadow Touch</t>
        </is>
      </c>
      <c r="B19" s="4" t="inlineStr">
        <is>
          <t>+15</t>
        </is>
      </c>
      <c r="C19" s="4" t="inlineStr">
        <is>
          <t>3d6 Dark</t>
        </is>
      </c>
      <c r="D19" s="4" t="inlineStr">
        <is>
          <t>Melee</t>
        </is>
      </c>
      <c r="E19" s="4" t="inlineStr">
        <is>
          <t>Body check fails → Shadow Pollution (1d4/round ×2)</t>
        </is>
      </c>
    </row>
    <row r="20">
      <c r="A20" s="3" t="inlineStr">
        <is>
          <t>Sacrificial Blade</t>
        </is>
      </c>
      <c r="B20" s="4" t="inlineStr">
        <is>
          <t>+15</t>
        </is>
      </c>
      <c r="C20" s="4" t="inlineStr">
        <is>
          <t>2d8 Dark + Curse</t>
        </is>
      </c>
      <c r="D20" s="4" t="inlineStr">
        <is>
          <t>10m</t>
        </is>
      </c>
      <c r="E20" s="4" t="inlineStr">
        <is>
          <t>After hit, target check -10 for 2 rounds</t>
        </is>
      </c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Shadow Stealth (1 AP / 5 Spirit / fully hidden in shadows)</t>
        </is>
      </c>
      <c r="B23" s="7" t="n"/>
      <c r="C23" s="7" t="n"/>
      <c r="D23" s="7" t="n"/>
      <c r="E23" s="7" t="n"/>
      <c r="F23" s="8" t="n"/>
    </row>
    <row r="24">
      <c r="A24" s="3" t="inlineStr">
        <is>
          <t>Secret Ritual (Full round / continuously sacrifices to a hidden entity)</t>
        </is>
      </c>
      <c r="B24" s="7" t="n"/>
      <c r="C24" s="7" t="n"/>
      <c r="D24" s="7" t="n"/>
      <c r="E24" s="7" t="n"/>
      <c r="F24" s="8" t="n"/>
    </row>
    <row r="25">
      <c r="A25" s="3" t="inlineStr">
        <is>
          <t>Summon Shadow Servant (2 AP / 10 Spirit / summon Sequence 9 Secrets Suppliant ×2)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Resistances &amp; Weaknesses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 xml:space="preserve">Resistances: </t>
        </is>
      </c>
      <c r="B28" s="3" t="inlineStr">
        <is>
          <t>Dark halved</t>
        </is>
      </c>
      <c r="C28" s="7" t="n"/>
      <c r="D28" s="7" t="n"/>
      <c r="E28" s="7" t="n"/>
      <c r="F28" s="8" t="n"/>
    </row>
    <row r="29">
      <c r="A29" s="3" t="inlineStr">
        <is>
          <t xml:space="preserve">Weakness: </t>
        </is>
      </c>
      <c r="B29" s="3" t="inlineStr">
        <is>
          <t>Shadow Stealth fails in bright light; ritual interrupted → +10 Loss of Control</t>
        </is>
      </c>
      <c r="C29" s="7" t="n"/>
      <c r="D29" s="7" t="n"/>
      <c r="E29" s="7" t="n"/>
      <c r="F29" s="8" t="n"/>
    </row>
    <row r="30">
      <c r="A30" s="3" t="inlineStr">
        <is>
          <t xml:space="preserve">Drops: </t>
        </is>
      </c>
      <c r="B30" s="3" t="inlineStr">
        <is>
          <t>Shadow Rune ×3, Sacrificial Blade (Tier 2 Sealed Artifact)</t>
        </is>
      </c>
      <c r="C30" s="7" t="n"/>
      <c r="D30" s="7" t="n"/>
      <c r="E30" s="7" t="n"/>
      <c r="F30" s="8" t="n"/>
    </row>
    <row r="31">
      <c r="A31" s="3" t="inlineStr">
        <is>
          <t xml:space="preserve">Tactics: </t>
        </is>
      </c>
      <c r="B31" s="3" t="inlineStr">
        <is>
          <t>Uses steam cover. Shadow Servants block. At HP&lt;50% attempts to sacrifice self for power.</t>
        </is>
      </c>
      <c r="C31" s="7" t="n"/>
      <c r="D31" s="7" t="n"/>
      <c r="E31" s="7" t="n"/>
      <c r="F31" s="8" t="n"/>
    </row>
    <row r="32">
      <c r="A32" s="3" t="inlineStr">
        <is>
          <t xml:space="preserve">Loss of Control Risk: </t>
        </is>
      </c>
      <c r="B32" s="3" t="inlineStr">
        <is>
          <t>Loss of Control 35/100. At the Edge of Loss after ritual is interrupted.</t>
        </is>
      </c>
      <c r="C32" s="7" t="n"/>
      <c r="D32" s="7" t="n"/>
      <c r="E32" s="7" t="n"/>
      <c r="F32" s="8" t="n"/>
    </row>
    <row r="33">
      <c r="A33" s="3" t="inlineStr">
        <is>
          <t xml:space="preserve">Scenario: </t>
        </is>
      </c>
      <c r="B33" s="3" t="inlineStr">
        <is>
          <t>Scenario 2: Whispers Beneath the Gray Fog (Main Antagonist)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Shadow Servant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(Summon)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Secrets Suppliant / Sequence 9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40</v>
      </c>
      <c r="C8" s="4" t="n">
        <v>20</v>
      </c>
      <c r="D8" s="4" t="n">
        <v>35</v>
      </c>
      <c r="E8" s="4" t="n">
        <v>25</v>
      </c>
      <c r="F8" s="4" t="n">
        <v>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Initiative</t>
        </is>
      </c>
      <c r="B14" s="4" t="inlineStr">
        <is>
          <t>25 + d10</t>
        </is>
      </c>
    </row>
    <row r="15"/>
    <row r="16">
      <c r="A16" s="5" t="inlineStr">
        <is>
          <t>Attack Methods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Name</t>
        </is>
      </c>
      <c r="B17" s="2" t="inlineStr">
        <is>
          <t>Hit</t>
        </is>
      </c>
      <c r="C17" s="2" t="inlineStr">
        <is>
          <t>Damage</t>
        </is>
      </c>
      <c r="D17" s="2" t="inlineStr">
        <is>
          <t>Range</t>
        </is>
      </c>
      <c r="E17" s="2" t="inlineStr">
        <is>
          <t>Special</t>
        </is>
      </c>
    </row>
    <row r="18">
      <c r="A18" s="3" t="inlineStr">
        <is>
          <t>Shadow Claw</t>
        </is>
      </c>
      <c r="B18" s="4" t="inlineStr">
        <is>
          <t>+10</t>
        </is>
      </c>
      <c r="C18" s="4" t="inlineStr">
        <is>
          <t>1d8+7 Dark</t>
        </is>
      </c>
      <c r="D18" s="4" t="inlineStr">
        <is>
          <t>Melee</t>
        </is>
      </c>
      <c r="E18" s="4" t="inlineStr"/>
    </row>
    <row r="19"/>
    <row r="20">
      <c r="A20" s="5" t="inlineStr">
        <is>
          <t>Special Abilities</t>
        </is>
      </c>
      <c r="B20" s="6" t="inlineStr"/>
      <c r="C20" s="6" t="inlineStr"/>
      <c r="D20" s="6" t="inlineStr"/>
      <c r="E20" s="6" t="inlineStr"/>
      <c r="F20" s="6" t="inlineStr"/>
    </row>
    <row r="21">
      <c r="A21" s="3" t="inlineStr">
        <is>
          <t>Shadow Constitution (Passive / Physical Damage halved, Light Damage ×2)</t>
        </is>
      </c>
      <c r="B21" s="7" t="n"/>
      <c r="C21" s="7" t="n"/>
      <c r="D21" s="7" t="n"/>
      <c r="E21" s="7" t="n"/>
      <c r="F21" s="8" t="n"/>
    </row>
    <row r="22">
      <c r="A22" s="3" t="inlineStr">
        <is>
          <t>Sacrifice Resonance (Passive / shares Loss of Control accumulation with summoner)</t>
        </is>
      </c>
      <c r="B22" s="7" t="n"/>
      <c r="C22" s="7" t="n"/>
      <c r="D22" s="7" t="n"/>
      <c r="E22" s="7" t="n"/>
      <c r="F22" s="8" t="n"/>
    </row>
    <row r="23"/>
    <row r="24">
      <c r="A24" s="5" t="inlineStr">
        <is>
          <t>Resistances &amp; Weaknesses</t>
        </is>
      </c>
      <c r="B24" s="6" t="inlineStr"/>
      <c r="C24" s="6" t="inlineStr"/>
      <c r="D24" s="6" t="inlineStr"/>
      <c r="E24" s="6" t="inlineStr"/>
      <c r="F24" s="6" t="inlineStr"/>
    </row>
    <row r="25">
      <c r="A25" s="3" t="inlineStr">
        <is>
          <t xml:space="preserve">Resistances: </t>
        </is>
      </c>
      <c r="B25" s="3" t="inlineStr">
        <is>
          <t>Physical halved</t>
        </is>
      </c>
      <c r="C25" s="7" t="n"/>
      <c r="D25" s="7" t="n"/>
      <c r="E25" s="7" t="n"/>
      <c r="F25" s="8" t="n"/>
    </row>
    <row r="26">
      <c r="A26" s="3" t="inlineStr">
        <is>
          <t xml:space="preserve">Weakness: </t>
        </is>
      </c>
      <c r="B26" s="3" t="inlineStr">
        <is>
          <t>Light Damage ×2</t>
        </is>
      </c>
      <c r="C26" s="7" t="n"/>
      <c r="D26" s="7" t="n"/>
      <c r="E26" s="7" t="n"/>
      <c r="F26" s="8" t="n"/>
    </row>
    <row r="27">
      <c r="A27" s="3" t="inlineStr">
        <is>
          <t xml:space="preserve">Drops: </t>
        </is>
      </c>
      <c r="B27" s="3" t="inlineStr">
        <is>
          <t>None</t>
        </is>
      </c>
      <c r="C27" s="7" t="n"/>
      <c r="D27" s="7" t="n"/>
      <c r="E27" s="7" t="n"/>
      <c r="F27" s="8" t="n"/>
    </row>
    <row r="28">
      <c r="A28" s="3" t="inlineStr">
        <is>
          <t xml:space="preserve">Tactics: </t>
        </is>
      </c>
      <c r="B28" s="3" t="inlineStr">
        <is>
          <t>Blocks in front of the summoner. Protects the summoner at all costs.</t>
        </is>
      </c>
      <c r="C28" s="7" t="n"/>
      <c r="D28" s="7" t="n"/>
      <c r="E28" s="7" t="n"/>
      <c r="F28" s="8" t="n"/>
    </row>
    <row r="29">
      <c r="A29" s="3" t="inlineStr">
        <is>
          <t xml:space="preserve">Loss of Control Risk: </t>
        </is>
      </c>
      <c r="B29" s="3" t="inlineStr">
        <is>
          <t>No independent Loss of Control risk.</t>
        </is>
      </c>
      <c r="C29" s="7" t="n"/>
      <c r="D29" s="7" t="n"/>
      <c r="E29" s="7" t="n"/>
      <c r="F29" s="8" t="n"/>
    </row>
    <row r="30">
      <c r="A30" s="3" t="inlineStr">
        <is>
          <t xml:space="preserve">Scenario: </t>
        </is>
      </c>
      <c r="B30" s="3" t="inlineStr">
        <is>
          <t>Scenario 2: Whispers Beneath the Gray Fog (Mook)</t>
        </is>
      </c>
      <c r="C30" s="7" t="n"/>
      <c r="D30" s="7" t="n"/>
      <c r="E30" s="7" t="n"/>
      <c r="F30" s="8" t="n"/>
    </row>
  </sheetData>
  <mergeCells count="12">
    <mergeCell ref="B30:F30"/>
    <mergeCell ref="B3:D3"/>
    <mergeCell ref="B5:D5"/>
    <mergeCell ref="B29:F29"/>
    <mergeCell ref="B25:F25"/>
    <mergeCell ref="B28:F28"/>
    <mergeCell ref="B4:D4"/>
    <mergeCell ref="A1:E1"/>
    <mergeCell ref="A22:F22"/>
    <mergeCell ref="A21:F21"/>
    <mergeCell ref="B26:F26"/>
    <mergeCell ref="B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Valerie</t>
        </is>
      </c>
    </row>
    <row r="2"/>
    <row r="3">
      <c r="A3" s="3" t="inlineStr">
        <is>
          <t>CR：</t>
        </is>
      </c>
      <c r="B3" s="3" t="n">
        <v>5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(Sequence 6)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Savant / Sequence 6 · Artisan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40</v>
      </c>
      <c r="C8" s="4" t="n">
        <v>60</v>
      </c>
      <c r="D8" s="4" t="n">
        <v>35</v>
      </c>
      <c r="E8" s="4" t="n">
        <v>45</v>
      </c>
      <c r="F8" s="4" t="n">
        <v>35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20</t>
        </is>
      </c>
    </row>
    <row r="15">
      <c r="A15" s="3" t="inlineStr">
        <is>
          <t>Initiative</t>
        </is>
      </c>
      <c r="B15" s="4" t="inlineStr">
        <is>
          <t>45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Steam Jet</t>
        </is>
      </c>
      <c r="B19" s="4" t="inlineStr">
        <is>
          <t>+20</t>
        </is>
      </c>
      <c r="C19" s="4" t="inlineStr">
        <is>
          <t>2d8 Fire</t>
        </is>
      </c>
      <c r="D19" s="4" t="inlineStr">
        <is>
          <t>10m</t>
        </is>
      </c>
      <c r="E19" s="4" t="inlineStr">
        <is>
          <t>Knockback 3m</t>
        </is>
      </c>
    </row>
    <row r="20">
      <c r="A20" s="3" t="inlineStr">
        <is>
          <t>Wrench Smash</t>
        </is>
      </c>
      <c r="B20" s="4" t="inlineStr">
        <is>
          <t>+20</t>
        </is>
      </c>
      <c r="C20" s="4" t="inlineStr">
        <is>
          <t>2d6+10</t>
        </is>
      </c>
      <c r="D20" s="4" t="inlineStr">
        <is>
          <t>Melee</t>
        </is>
      </c>
      <c r="E20" s="4" t="inlineStr"/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Mechanical Control (1 AP / 3 Spirit / control difference engine and environmental machinery)</t>
        </is>
      </c>
      <c r="B23" s="7" t="n"/>
      <c r="C23" s="7" t="n"/>
      <c r="D23" s="7" t="n"/>
      <c r="E23" s="7" t="n"/>
      <c r="F23" s="8" t="n"/>
    </row>
    <row r="24">
      <c r="A24" s="3" t="inlineStr">
        <is>
          <t>Precision Trap (prepare / set up 3), Damage 2d8 + Burning</t>
        </is>
      </c>
      <c r="B24" s="7" t="n"/>
      <c r="C24" s="7" t="n"/>
      <c r="D24" s="7" t="n"/>
      <c r="E24" s="7" t="n"/>
      <c r="F24" s="8" t="n"/>
    </row>
    <row r="25">
      <c r="A25" s="3" t="inlineStr">
        <is>
          <t>Sealed Artifact Disassembly (can dismantle Sealed Artifacts for parts)</t>
        </is>
      </c>
      <c r="B25" s="7" t="n"/>
      <c r="C25" s="7" t="n"/>
      <c r="D25" s="7" t="n"/>
      <c r="E25" s="7" t="n"/>
      <c r="F25" s="8" t="n"/>
    </row>
    <row r="26">
      <c r="A26" s="3" t="inlineStr">
        <is>
          <t>Holds Blood Pact Chalice (Tier 2 / can force a contract)</t>
        </is>
      </c>
      <c r="B26" s="7" t="n"/>
      <c r="C26" s="7" t="n"/>
      <c r="D26" s="7" t="n"/>
      <c r="E26" s="7" t="n"/>
      <c r="F26" s="8" t="n"/>
    </row>
    <row r="27"/>
    <row r="28">
      <c r="A28" s="5" t="inlineStr">
        <is>
          <t>Resistances &amp; Weaknesses</t>
        </is>
      </c>
      <c r="B28" s="6" t="inlineStr"/>
      <c r="C28" s="6" t="inlineStr"/>
      <c r="D28" s="6" t="inlineStr"/>
      <c r="E28" s="6" t="inlineStr"/>
      <c r="F28" s="6" t="inlineStr"/>
    </row>
    <row r="29">
      <c r="A29" s="3" t="inlineStr">
        <is>
          <t xml:space="preserve">Resistances: </t>
        </is>
      </c>
      <c r="B29" s="3" t="inlineStr">
        <is>
          <t>Fire halved</t>
        </is>
      </c>
      <c r="C29" s="7" t="n"/>
      <c r="D29" s="7" t="n"/>
      <c r="E29" s="7" t="n"/>
      <c r="F29" s="8" t="n"/>
    </row>
    <row r="30">
      <c r="A30" s="3" t="inlineStr">
        <is>
          <t xml:space="preserve">Weakness: </t>
        </is>
      </c>
      <c r="B30" s="3" t="inlineStr">
        <is>
          <t>Abilities halved after difference engine is destroyed</t>
        </is>
      </c>
      <c r="C30" s="7" t="n"/>
      <c r="D30" s="7" t="n"/>
      <c r="E30" s="7" t="n"/>
      <c r="F30" s="8" t="n"/>
    </row>
    <row r="31">
      <c r="A31" s="3" t="inlineStr">
        <is>
          <t xml:space="preserve">Drops: </t>
        </is>
      </c>
      <c r="B31" s="3" t="inlineStr">
        <is>
          <t>Research Notes, Difference Engine Parts, Blood Pact Chalice (Tier 2 Sealed Artifact)</t>
        </is>
      </c>
      <c r="C31" s="7" t="n"/>
      <c r="D31" s="7" t="n"/>
      <c r="E31" s="7" t="n"/>
      <c r="F31" s="8" t="n"/>
    </row>
    <row r="32">
      <c r="A32" s="3" t="inlineStr">
        <is>
          <t xml:space="preserve">Tactics: </t>
        </is>
      </c>
      <c r="B32" s="3" t="inlineStr">
        <is>
          <t>Uses conveyor belts and traps to control the battlefield. Joins the fight personally after the difference engine is damaged.</t>
        </is>
      </c>
      <c r="C32" s="7" t="n"/>
      <c r="D32" s="7" t="n"/>
      <c r="E32" s="7" t="n"/>
      <c r="F32" s="8" t="n"/>
    </row>
    <row r="33">
      <c r="A33" s="3" t="inlineStr">
        <is>
          <t xml:space="preserve">Loss of Control Risk: </t>
        </is>
      </c>
      <c r="B33" s="3" t="inlineStr">
        <is>
          <t>Loss of Control 20/130, low risk.</t>
        </is>
      </c>
      <c r="C33" s="7" t="n"/>
      <c r="D33" s="7" t="n"/>
      <c r="E33" s="7" t="n"/>
      <c r="F33" s="8" t="n"/>
    </row>
    <row r="34">
      <c r="A34" s="3" t="inlineStr">
        <is>
          <t xml:space="preserve">Scenario: </t>
        </is>
      </c>
      <c r="B34" s="3" t="inlineStr">
        <is>
          <t>Scenario 3: Warehouse No. 10 (Antagonist)</t>
        </is>
      </c>
      <c r="C34" s="7" t="n"/>
      <c r="D34" s="7" t="n"/>
      <c r="E34" s="7" t="n"/>
      <c r="F34" s="8" t="n"/>
    </row>
  </sheetData>
  <mergeCells count="14">
    <mergeCell ref="A24:F24"/>
    <mergeCell ref="B30:F30"/>
    <mergeCell ref="B29:F29"/>
    <mergeCell ref="B5:D5"/>
    <mergeCell ref="B3:D3"/>
    <mergeCell ref="B32:F32"/>
    <mergeCell ref="B34:F34"/>
    <mergeCell ref="B33:F33"/>
    <mergeCell ref="A23:F23"/>
    <mergeCell ref="B4:D4"/>
    <mergeCell ref="A1:E1"/>
    <mergeCell ref="B31:F31"/>
    <mergeCell ref="A26:F26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Mechanical Sentinel</t>
        </is>
      </c>
    </row>
    <row r="2"/>
    <row r="3">
      <c r="A3" s="3" t="inlineStr">
        <is>
          <t>CR：</t>
        </is>
      </c>
      <c r="B3" s="3" t="n">
        <v>3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Non-human (Mechanical Construct)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Savant / Sequence 7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0</v>
      </c>
      <c r="C8" s="4" t="n">
        <v>30</v>
      </c>
      <c r="D8" s="4" t="n">
        <v>45</v>
      </c>
      <c r="E8" s="4" t="n">
        <v>30</v>
      </c>
      <c r="F8" s="4" t="n">
        <v>0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Initiative</t>
        </is>
      </c>
      <c r="B14" s="4" t="inlineStr">
        <is>
          <t>30 + d10</t>
        </is>
      </c>
    </row>
    <row r="15"/>
    <row r="16">
      <c r="A16" s="5" t="inlineStr">
        <is>
          <t>Attack Methods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Name</t>
        </is>
      </c>
      <c r="B17" s="2" t="inlineStr">
        <is>
          <t>Hit</t>
        </is>
      </c>
      <c r="C17" s="2" t="inlineStr">
        <is>
          <t>Damage</t>
        </is>
      </c>
      <c r="D17" s="2" t="inlineStr">
        <is>
          <t>Range</t>
        </is>
      </c>
      <c r="E17" s="2" t="inlineStr">
        <is>
          <t>Special</t>
        </is>
      </c>
    </row>
    <row r="18">
      <c r="A18" s="3" t="inlineStr">
        <is>
          <t>Steam Cannon</t>
        </is>
      </c>
      <c r="B18" s="4" t="inlineStr">
        <is>
          <t>+20</t>
        </is>
      </c>
      <c r="C18" s="4" t="inlineStr">
        <is>
          <t>3d8 Fire</t>
        </is>
      </c>
      <c r="D18" s="4" t="inlineStr">
        <is>
          <t>30m</t>
        </is>
      </c>
      <c r="E18" s="4" t="inlineStr"/>
    </row>
    <row r="19">
      <c r="A19" s="3" t="inlineStr">
        <is>
          <t>Mechanical Arm</t>
        </is>
      </c>
      <c r="B19" s="4" t="inlineStr">
        <is>
          <t>+20</t>
        </is>
      </c>
      <c r="C19" s="4" t="inlineStr">
        <is>
          <t>2d8+9</t>
        </is>
      </c>
      <c r="D19" s="4" t="inlineStr">
        <is>
          <t>Melee</t>
        </is>
      </c>
      <c r="E19" s="4" t="inlineStr"/>
    </row>
    <row r="20"/>
    <row r="21">
      <c r="A21" s="5" t="inlineStr">
        <is>
          <t>Special Abilities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Self-Destruct (Passive / triggers at HP&lt;10 / 3d6 area Fire damage / 5m radius)</t>
        </is>
      </c>
      <c r="B22" s="7" t="n"/>
      <c r="C22" s="7" t="n"/>
      <c r="D22" s="7" t="n"/>
      <c r="E22" s="7" t="n"/>
      <c r="F22" s="8" t="n"/>
    </row>
    <row r="23">
      <c r="A23" s="3" t="inlineStr">
        <is>
          <t>Mechanical Constitution (Passive / immune to Mental / Toxin / Curse)</t>
        </is>
      </c>
      <c r="B23" s="7" t="n"/>
      <c r="C23" s="7" t="n"/>
      <c r="D23" s="7" t="n"/>
      <c r="E23" s="7" t="n"/>
      <c r="F23" s="8" t="n"/>
    </row>
    <row r="24">
      <c r="A24" s="3" t="inlineStr">
        <is>
          <t>Precision Operation (Initiative +10)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Resistances &amp; Weaknesses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 xml:space="preserve">Resistances: </t>
        </is>
      </c>
      <c r="B27" s="3" t="inlineStr">
        <is>
          <t>Immune to Mental / Toxin / Curse; Physical halved (except Lightning)</t>
        </is>
      </c>
      <c r="C27" s="7" t="n"/>
      <c r="D27" s="7" t="n"/>
      <c r="E27" s="7" t="n"/>
      <c r="F27" s="8" t="n"/>
    </row>
    <row r="28">
      <c r="A28" s="3" t="inlineStr">
        <is>
          <t xml:space="preserve">Weakness: </t>
        </is>
      </c>
      <c r="B28" s="3" t="inlineStr">
        <is>
          <t>Lightning ×1.5 and short-circuit for 2 rounds; oil / water can destroy it</t>
        </is>
      </c>
      <c r="C28" s="7" t="n"/>
      <c r="D28" s="7" t="n"/>
      <c r="E28" s="7" t="n"/>
      <c r="F28" s="8" t="n"/>
    </row>
    <row r="29">
      <c r="A29" s="3" t="inlineStr">
        <is>
          <t xml:space="preserve">Drops: </t>
        </is>
      </c>
      <c r="B29" s="3" t="inlineStr">
        <is>
          <t>Difference Engine Parts</t>
        </is>
      </c>
      <c r="C29" s="7" t="n"/>
      <c r="D29" s="7" t="n"/>
      <c r="E29" s="7" t="n"/>
      <c r="F29" s="8" t="n"/>
    </row>
    <row r="30">
      <c r="A30" s="3" t="inlineStr">
        <is>
          <t xml:space="preserve">Tactics: </t>
        </is>
      </c>
      <c r="B30" s="3" t="inlineStr">
        <is>
          <t>Advances as a group. Rushes into enemy cluster to self-destruct at low HP.</t>
        </is>
      </c>
      <c r="C30" s="7" t="n"/>
      <c r="D30" s="7" t="n"/>
      <c r="E30" s="7" t="n"/>
      <c r="F30" s="8" t="n"/>
    </row>
    <row r="31">
      <c r="A31" s="3" t="inlineStr">
        <is>
          <t xml:space="preserve">Loss of Control Risk: </t>
        </is>
      </c>
      <c r="B31" s="3" t="inlineStr">
        <is>
          <t>No Loss of Control risk.</t>
        </is>
      </c>
      <c r="C31" s="7" t="n"/>
      <c r="D31" s="7" t="n"/>
      <c r="E31" s="7" t="n"/>
      <c r="F31" s="8" t="n"/>
    </row>
    <row r="32">
      <c r="A32" s="3" t="inlineStr">
        <is>
          <t xml:space="preserve">Scenario: </t>
        </is>
      </c>
      <c r="B32" s="3" t="inlineStr">
        <is>
          <t>Scenario 3/4 (Mook)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Enemy: Dr. Blackwood</t>
        </is>
      </c>
    </row>
    <row r="2"/>
    <row r="3">
      <c r="A3" s="3" t="inlineStr">
        <is>
          <t>CR：</t>
        </is>
      </c>
      <c r="B3" s="3" t="n">
        <v>9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(Sequence 4 · Demigod)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Savant / Sequence 4 · Mechanical Heart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70</v>
      </c>
      <c r="C8" s="4" t="n">
        <v>80</v>
      </c>
      <c r="D8" s="4" t="n">
        <v>40</v>
      </c>
      <c r="E8" s="4" t="n">
        <v>35</v>
      </c>
      <c r="F8" s="4" t="n">
        <v>20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65</t>
        </is>
      </c>
    </row>
    <row r="15">
      <c r="A15" s="3" t="inlineStr">
        <is>
          <t>Initiative</t>
        </is>
      </c>
      <c r="B15" s="4" t="inlineStr">
        <is>
          <t>35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Mechanical Dominion</t>
        </is>
      </c>
      <c r="B19" s="4" t="inlineStr">
        <is>
          <t>+25</t>
        </is>
      </c>
      <c r="C19" s="4" t="inlineStr">
        <is>
          <t>Variable</t>
        </is>
      </c>
      <c r="D19" s="4" t="inlineStr">
        <is>
          <t>Whole Field</t>
        </is>
      </c>
      <c r="E19" s="4" t="inlineStr">
        <is>
          <t>Controls all mechanical devices to attack</t>
        </is>
      </c>
    </row>
    <row r="20">
      <c r="A20" s="3" t="inlineStr">
        <is>
          <t>Difference Engine Calculation</t>
        </is>
      </c>
      <c r="B20" s="4" t="inlineStr">
        <is>
          <t>+30 (after analysis)</t>
        </is>
      </c>
      <c r="C20" s="4" t="inlineStr">
        <is>
          <t>Normal + Bonus</t>
        </is>
      </c>
      <c r="D20" s="4" t="inlineStr">
        <is>
          <t>Within Sight</t>
        </is>
      </c>
      <c r="E20" s="4" t="inlineStr">
        <is>
          <t>After analyzing combat pattern, +30 Hit next round</t>
        </is>
      </c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Rule Override (2 AP / 15 Spirit / rewrite one physical rule) 'Double Gravity / Time Slowdown / Fire Reversal'</t>
        </is>
      </c>
      <c r="B23" s="7" t="n"/>
      <c r="C23" s="7" t="n"/>
      <c r="D23" s="7" t="n"/>
      <c r="E23" s="7" t="n"/>
      <c r="F23" s="8" t="n"/>
    </row>
    <row r="24">
      <c r="A24" s="3" t="inlineStr">
        <is>
          <t>Mechanical Construct (2 AP / 20 Spirit / summon CR=6 construct)</t>
        </is>
      </c>
      <c r="B24" s="7" t="n"/>
      <c r="C24" s="7" t="n"/>
      <c r="D24" s="7" t="n"/>
      <c r="E24" s="7" t="n"/>
      <c r="F24" s="8" t="n"/>
    </row>
    <row r="25">
      <c r="A25" s="3" t="inlineStr">
        <is>
          <t>Mental Broadcast (1 AP / 3 Spirit / directly sends thoughts into players' minds)</t>
        </is>
      </c>
      <c r="B25" s="7" t="n"/>
      <c r="C25" s="7" t="n"/>
      <c r="D25" s="7" t="n"/>
      <c r="E25" s="7" t="n"/>
      <c r="F25" s="8" t="n"/>
    </row>
    <row r="26">
      <c r="A26" s="3" t="inlineStr">
        <is>
          <t>Final Form (HP&lt;50% / difference engine array self-replicates + artificial god-descension)</t>
        </is>
      </c>
      <c r="B26" s="7" t="n"/>
      <c r="C26" s="7" t="n"/>
      <c r="D26" s="7" t="n"/>
      <c r="E26" s="7" t="n"/>
      <c r="F26" s="8" t="n"/>
    </row>
    <row r="27"/>
    <row r="28">
      <c r="A28" s="5" t="inlineStr">
        <is>
          <t>Resistances &amp; Weaknesses</t>
        </is>
      </c>
      <c r="B28" s="6" t="inlineStr"/>
      <c r="C28" s="6" t="inlineStr"/>
      <c r="D28" s="6" t="inlineStr"/>
      <c r="E28" s="6" t="inlineStr"/>
      <c r="F28" s="6" t="inlineStr"/>
    </row>
    <row r="29">
      <c r="A29" s="3" t="inlineStr">
        <is>
          <t xml:space="preserve">Resistances: </t>
        </is>
      </c>
      <c r="B29" s="3" t="inlineStr">
        <is>
          <t>Physical halved (difference engine protection)</t>
        </is>
      </c>
      <c r="C29" s="7" t="n"/>
      <c r="D29" s="7" t="n"/>
      <c r="E29" s="7" t="n"/>
      <c r="F29" s="8" t="n"/>
    </row>
    <row r="30">
      <c r="A30" s="3" t="inlineStr">
        <is>
          <t xml:space="preserve">Weakness: </t>
        </is>
      </c>
      <c r="B30" s="3" t="inlineStr">
        <is>
          <t>Difference engine array 30% destroyed → abilities drop to Sequence 5; 100% destroyed → loses Beyonder abilities</t>
        </is>
      </c>
      <c r="C30" s="7" t="n"/>
      <c r="D30" s="7" t="n"/>
      <c r="E30" s="7" t="n"/>
      <c r="F30" s="8" t="n"/>
    </row>
    <row r="31">
      <c r="A31" s="3" t="inlineStr">
        <is>
          <t xml:space="preserve">Drops: </t>
        </is>
      </c>
      <c r="B31" s="3" t="inlineStr">
        <is>
          <t>Complete Research Notes, fragments of the Primordial formula</t>
        </is>
      </c>
      <c r="C31" s="7" t="n"/>
      <c r="D31" s="7" t="n"/>
      <c r="E31" s="7" t="n"/>
      <c r="F31" s="8" t="n"/>
    </row>
    <row r="32">
      <c r="A32" s="3" t="inlineStr">
        <is>
          <t xml:space="preserve">Tactics: </t>
        </is>
      </c>
      <c r="B32" s="3" t="inlineStr">
        <is>
          <t>Non-hostile combat. First 'shows', then 'duels'. Triggers Final Form at HP&lt;50%.</t>
        </is>
      </c>
      <c r="C32" s="7" t="n"/>
      <c r="D32" s="7" t="n"/>
      <c r="E32" s="7" t="n"/>
      <c r="F32" s="8" t="n"/>
    </row>
    <row r="33">
      <c r="A33" s="3" t="inlineStr">
        <is>
          <t xml:space="preserve">Loss of Control Risk: </t>
        </is>
      </c>
      <c r="B33" s="3" t="inlineStr">
        <is>
          <t>Loss of Control 65/170. Loss of Control surges during god-descension.</t>
        </is>
      </c>
      <c r="C33" s="7" t="n"/>
      <c r="D33" s="7" t="n"/>
      <c r="E33" s="7" t="n"/>
      <c r="F33" s="8" t="n"/>
    </row>
    <row r="34">
      <c r="A34" s="3" t="inlineStr">
        <is>
          <t xml:space="preserve">Scenario: </t>
        </is>
      </c>
      <c r="B34" s="3" t="inlineStr">
        <is>
          <t>Scenario 4: The Mechanical Heart (Final Antagonist)</t>
        </is>
      </c>
      <c r="C34" s="7" t="n"/>
      <c r="D34" s="7" t="n"/>
      <c r="E34" s="7" t="n"/>
      <c r="F34" s="8" t="n"/>
    </row>
  </sheetData>
  <mergeCells count="14">
    <mergeCell ref="A24:F24"/>
    <mergeCell ref="B30:F30"/>
    <mergeCell ref="B29:F29"/>
    <mergeCell ref="B5:D5"/>
    <mergeCell ref="B3:D3"/>
    <mergeCell ref="B32:F32"/>
    <mergeCell ref="B34:F34"/>
    <mergeCell ref="B33:F33"/>
    <mergeCell ref="A23:F23"/>
    <mergeCell ref="B4:D4"/>
    <mergeCell ref="A1:E1"/>
    <mergeCell ref="B31:F31"/>
    <mergeCell ref="A26:F26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 (Side Quest): Spirit World Derivative (Normal)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Spirit World Creature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—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35</v>
      </c>
      <c r="C8" s="4" t="n">
        <v>10</v>
      </c>
      <c r="D8" s="4" t="n">
        <v>30</v>
      </c>
      <c r="E8" s="4" t="n">
        <v>25</v>
      </c>
      <c r="F8" s="4" t="n">
        <v>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Initiative</t>
        </is>
      </c>
      <c r="B14" s="4" t="inlineStr">
        <is>
          <t>25 + d10</t>
        </is>
      </c>
    </row>
    <row r="15"/>
    <row r="16">
      <c r="A16" s="5" t="inlineStr">
        <is>
          <t>Attack Methods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Name</t>
        </is>
      </c>
      <c r="B17" s="2" t="inlineStr">
        <is>
          <t>Hit</t>
        </is>
      </c>
      <c r="C17" s="2" t="inlineStr">
        <is>
          <t>Damage</t>
        </is>
      </c>
      <c r="D17" s="2" t="inlineStr">
        <is>
          <t>Range</t>
        </is>
      </c>
      <c r="E17" s="2" t="inlineStr">
        <is>
          <t>Special</t>
        </is>
      </c>
    </row>
    <row r="18">
      <c r="A18" s="3" t="inlineStr">
        <is>
          <t>Spirit Tentacle</t>
        </is>
      </c>
      <c r="B18" s="4" t="inlineStr">
        <is>
          <t>+15</t>
        </is>
      </c>
      <c r="C18" s="4" t="inlineStr">
        <is>
          <t>1d8+6 Mental</t>
        </is>
      </c>
      <c r="D18" s="4" t="inlineStr">
        <is>
          <t>5m</t>
        </is>
      </c>
      <c r="E18" s="4" t="inlineStr">
        <is>
          <t>On hit adds Whisper (Mind check fails → lose 1 AP)</t>
        </is>
      </c>
    </row>
    <row r="19">
      <c r="A19" s="3" t="inlineStr">
        <is>
          <t>Psionic Burst</t>
        </is>
      </c>
      <c r="B19" s="4" t="inlineStr">
        <is>
          <t>+10</t>
        </is>
      </c>
      <c r="C19" s="4" t="inlineStr">
        <is>
          <t>1d10</t>
        </is>
      </c>
      <c r="D19" s="4" t="inlineStr">
        <is>
          <t>10m</t>
        </is>
      </c>
      <c r="E19" s="4" t="inlineStr">
        <is>
          <t>Area 1d4 / 3m radius</t>
        </is>
      </c>
    </row>
    <row r="20"/>
    <row r="21">
      <c r="A21" s="5" t="inlineStr">
        <is>
          <t>Special Abilities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Spirit Constitution (Physical Damage halved / Light Damage ×2 / Silver ×1.5)</t>
        </is>
      </c>
      <c r="B22" s="7" t="n"/>
      <c r="C22" s="7" t="n"/>
      <c r="D22" s="7" t="n"/>
      <c r="E22" s="7" t="n"/>
      <c r="F22" s="8" t="n"/>
    </row>
    <row r="23">
      <c r="A23" s="3" t="inlineStr">
        <is>
          <t>Spirit World Perception (senses target with highest Spirituality within 30m)</t>
        </is>
      </c>
      <c r="B23" s="7" t="n"/>
      <c r="C23" s="7" t="n"/>
      <c r="D23" s="7" t="n"/>
      <c r="E23" s="7" t="n"/>
      <c r="F23" s="8" t="n"/>
    </row>
    <row r="24">
      <c r="A24" s="3" t="inlineStr">
        <is>
          <t>Semi-Materialization (1 AP / self / immune to Physical → semi-material / interactable / lasts 2 rounds)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Resistances &amp; Weaknesses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 xml:space="preserve">Resistances: </t>
        </is>
      </c>
      <c r="B27" s="3" t="inlineStr">
        <is>
          <t>Physical halved (non-silver / non-light)</t>
        </is>
      </c>
      <c r="C27" s="7" t="n"/>
      <c r="D27" s="7" t="n"/>
      <c r="E27" s="7" t="n"/>
      <c r="F27" s="8" t="n"/>
    </row>
    <row r="28">
      <c r="A28" s="3" t="inlineStr">
        <is>
          <t xml:space="preserve">Weakness: </t>
        </is>
      </c>
      <c r="B28" s="3" t="inlineStr">
        <is>
          <t>Light ×2, Silver ×1.5 and ignores halving</t>
        </is>
      </c>
      <c r="C28" s="7" t="n"/>
      <c r="D28" s="7" t="n"/>
      <c r="E28" s="7" t="n"/>
      <c r="F28" s="8" t="n"/>
    </row>
    <row r="29">
      <c r="A29" s="3" t="inlineStr">
        <is>
          <t xml:space="preserve">Drops: </t>
        </is>
      </c>
      <c r="B29" s="3" t="inlineStr">
        <is>
          <t>Spirit Dust (2d3 portions)</t>
        </is>
      </c>
      <c r="C29" s="7" t="n"/>
      <c r="D29" s="7" t="n"/>
      <c r="E29" s="7" t="n"/>
      <c r="F29" s="8" t="n"/>
    </row>
    <row r="30">
      <c r="A30" s="3" t="inlineStr">
        <is>
          <t xml:space="preserve">Tactics: </t>
        </is>
      </c>
      <c r="B30" s="3" t="inlineStr">
        <is>
          <t>Prioritizes attacking the target with lowest Spirituality. Does not flee — Spirit World creatures have no 'fear'.</t>
        </is>
      </c>
      <c r="C30" s="7" t="n"/>
      <c r="D30" s="7" t="n"/>
      <c r="E30" s="7" t="n"/>
      <c r="F30" s="8" t="n"/>
    </row>
    <row r="31">
      <c r="A31" s="3" t="inlineStr">
        <is>
          <t xml:space="preserve">Loss of Control Risk: </t>
        </is>
      </c>
      <c r="B31" s="3" t="inlineStr">
        <is>
          <t>No Loss of Control risk.</t>
        </is>
      </c>
      <c r="C31" s="7" t="n"/>
      <c r="D31" s="7" t="n"/>
      <c r="E31" s="7" t="n"/>
      <c r="F31" s="8" t="n"/>
    </row>
    <row r="32">
      <c r="A32" s="3" t="inlineStr">
        <is>
          <t xml:space="preserve">Side Quest: </t>
        </is>
      </c>
      <c r="B32" s="3" t="inlineStr">
        <is>
          <t>Side Quest 2 / multiple random encounters (generic)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 (Side Quest): Fate Shard (Fateweaver Temple)</t>
        </is>
      </c>
    </row>
    <row r="2"/>
    <row r="3">
      <c r="A3" s="3" t="inlineStr">
        <is>
          <t>CR：</t>
        </is>
      </c>
      <c r="B3" s="3" t="n">
        <v>4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Ancient God Remnant / Spirit World Derivative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Monster Pathway (Ancient God-related)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50</v>
      </c>
      <c r="C8" s="4" t="n">
        <v>30</v>
      </c>
      <c r="D8" s="4" t="n">
        <v>40</v>
      </c>
      <c r="E8" s="4" t="n">
        <v>35</v>
      </c>
      <c r="F8" s="4" t="n">
        <v>15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Initiative</t>
        </is>
      </c>
      <c r="B14" s="4" t="inlineStr">
        <is>
          <t>35 + d10</t>
        </is>
      </c>
    </row>
    <row r="15"/>
    <row r="16">
      <c r="A16" s="5" t="inlineStr">
        <is>
          <t>Attack Methods</t>
        </is>
      </c>
      <c r="B16" s="6" t="inlineStr"/>
      <c r="C16" s="6" t="inlineStr"/>
      <c r="D16" s="6" t="inlineStr"/>
      <c r="E16" s="6" t="inlineStr"/>
      <c r="F16" s="6" t="inlineStr"/>
    </row>
    <row r="17">
      <c r="A17" s="2" t="inlineStr">
        <is>
          <t>Name</t>
        </is>
      </c>
      <c r="B17" s="2" t="inlineStr">
        <is>
          <t>Hit</t>
        </is>
      </c>
      <c r="C17" s="2" t="inlineStr">
        <is>
          <t>Damage</t>
        </is>
      </c>
      <c r="D17" s="2" t="inlineStr">
        <is>
          <t>Range</t>
        </is>
      </c>
      <c r="E17" s="2" t="inlineStr">
        <is>
          <t>Special</t>
        </is>
      </c>
    </row>
    <row r="18">
      <c r="A18" s="3" t="inlineStr">
        <is>
          <t>Fate Echo</t>
        </is>
      </c>
      <c r="B18" s="4" t="inlineStr">
        <is>
          <t>+20</t>
        </is>
      </c>
      <c r="C18" s="4" t="inlineStr">
        <is>
          <t>Copies the player's last attack</t>
        </is>
      </c>
      <c r="D18" s="4" t="inlineStr">
        <is>
          <t>Same as copied attack</t>
        </is>
      </c>
      <c r="E18" s="4" t="inlineStr">
        <is>
          <t>Perfectly copies the last attack the player used last round — including damage dice and special effects</t>
        </is>
      </c>
    </row>
    <row r="19">
      <c r="A19" s="3" t="inlineStr">
        <is>
          <t>Fate Pull</t>
        </is>
      </c>
      <c r="B19" s="4" t="inlineStr">
        <is>
          <t>+15</t>
        </is>
      </c>
      <c r="C19" s="4" t="inlineStr">
        <is>
          <t>2d8+7</t>
        </is>
      </c>
      <c r="D19" s="4" t="inlineStr">
        <is>
          <t>10m</t>
        </is>
      </c>
      <c r="E19" s="4" t="inlineStr">
        <is>
          <t>Target check -5 for 2 rounds (stacking)</t>
        </is>
      </c>
    </row>
    <row r="20"/>
    <row r="21">
      <c r="A21" s="5" t="inlineStr">
        <is>
          <t>Special Abilities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Fate Copy (Passive / cannot 'create' only 'copy' — attack method is always = player's last-round attack)</t>
        </is>
      </c>
      <c r="B22" s="7" t="n"/>
      <c r="C22" s="7" t="n"/>
      <c r="D22" s="7" t="n"/>
      <c r="E22" s="7" t="n"/>
      <c r="F22" s="8" t="n"/>
    </row>
    <row r="23">
      <c r="A23" s="3" t="inlineStr">
        <is>
          <t>Fate Weaving (1 AP / 5 Spirit / 30m area / all checks at Disadvantage for 1 round)</t>
        </is>
      </c>
      <c r="B23" s="7" t="n"/>
      <c r="C23" s="7" t="n"/>
      <c r="D23" s="7" t="n"/>
      <c r="E23" s="7" t="n"/>
      <c r="F23" s="8" t="n"/>
    </row>
    <row r="24">
      <c r="A24" s="3" t="inlineStr">
        <is>
          <t>Split (HP&lt;30% → splits into 2 small shards of CR=2)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Resistances &amp; Weaknesses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 xml:space="preserve">Resistances: </t>
        </is>
      </c>
      <c r="B27" s="3" t="inlineStr">
        <is>
          <t>Physical / Mental each halved</t>
        </is>
      </c>
      <c r="C27" s="7" t="n"/>
      <c r="D27" s="7" t="n"/>
      <c r="E27" s="7" t="n"/>
      <c r="F27" s="8" t="n"/>
    </row>
    <row r="28">
      <c r="A28" s="3" t="inlineStr">
        <is>
          <t xml:space="preserve">Weakness: </t>
        </is>
      </c>
      <c r="B28" s="3" t="inlineStr">
        <is>
          <t>Cannot respond to a 'never-used' new attack — first time a player uses a new ability each battle, auto-crit; Monster Pathway Beyonders have Advantage on all checks against Fate Shards</t>
        </is>
      </c>
      <c r="C28" s="7" t="n"/>
      <c r="D28" s="7" t="n"/>
      <c r="E28" s="7" t="n"/>
      <c r="F28" s="8" t="n"/>
    </row>
    <row r="29">
      <c r="A29" s="3" t="inlineStr">
        <is>
          <t xml:space="preserve">Drops: </t>
        </is>
      </c>
      <c r="B29" s="3" t="inlineStr">
        <is>
          <t>Fate Thread (1d3 strands)</t>
        </is>
      </c>
      <c r="C29" s="7" t="n"/>
      <c r="D29" s="7" t="n"/>
      <c r="E29" s="7" t="n"/>
      <c r="F29" s="8" t="n"/>
    </row>
    <row r="30">
      <c r="A30" s="3" t="inlineStr">
        <is>
          <t xml:space="preserve">Tactics: </t>
        </is>
      </c>
      <c r="B30" s="3" t="inlineStr">
        <is>
          <t>Only copies, never creates. Will 'wait' for the player to use a strong attack then copy it. Smart players use only light attacks → shard copies light attacks → then burst.</t>
        </is>
      </c>
      <c r="C30" s="7" t="n"/>
      <c r="D30" s="7" t="n"/>
      <c r="E30" s="7" t="n"/>
      <c r="F30" s="8" t="n"/>
    </row>
    <row r="31">
      <c r="A31" s="3" t="inlineStr">
        <is>
          <t xml:space="preserve">Loss of Control Risk: </t>
        </is>
      </c>
      <c r="B31" s="3" t="inlineStr">
        <is>
          <t>No independent Loss of Control risk. But in the Ancient God temple, Spirituality pollution accumulates each round.</t>
        </is>
      </c>
      <c r="C31" s="7" t="n"/>
      <c r="D31" s="7" t="n"/>
      <c r="E31" s="7" t="n"/>
      <c r="F31" s="8" t="n"/>
    </row>
    <row r="32">
      <c r="A32" s="3" t="inlineStr">
        <is>
          <t xml:space="preserve">Side Quest: </t>
        </is>
      </c>
      <c r="B32" s="3" t="inlineStr">
        <is>
          <t>Side Quest 6: The Sunken Chimney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 (Side Quest): Loss-Stripped One (controlled by Manipulator)</t>
        </is>
      </c>
    </row>
    <row r="2"/>
    <row r="3">
      <c r="A3" s="3" t="inlineStr">
        <is>
          <t>CR：</t>
        </is>
      </c>
      <c r="B3" s="3" t="n">
        <v>3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(remnant after Characteristic stripping)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Random Pathway / Sequence 8-7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30</v>
      </c>
      <c r="C8" s="4" t="n">
        <v>20</v>
      </c>
      <c r="D8" s="4" t="n">
        <v>40</v>
      </c>
      <c r="E8" s="4" t="n">
        <v>25</v>
      </c>
      <c r="F8" s="4" t="n">
        <v>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80</t>
        </is>
      </c>
    </row>
    <row r="15">
      <c r="A15" s="3" t="inlineStr">
        <is>
          <t>Initiative</t>
        </is>
      </c>
      <c r="B15" s="4" t="inlineStr">
        <is>
          <t>25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Mad Bite</t>
        </is>
      </c>
      <c r="B19" s="4" t="inlineStr">
        <is>
          <t>+15</t>
        </is>
      </c>
      <c r="C19" s="4" t="inlineStr">
        <is>
          <t>2d6+8</t>
        </is>
      </c>
      <c r="D19" s="4" t="inlineStr">
        <is>
          <t>Melee</t>
        </is>
      </c>
      <c r="E19" s="4" t="inlineStr">
        <is>
          <t>Loss of Control state → attacks nearest target indiscriminately</t>
        </is>
      </c>
    </row>
    <row r="20">
      <c r="A20" s="3" t="inlineStr">
        <is>
          <t>Residual Ability Rampage</t>
        </is>
      </c>
      <c r="B20" s="4" t="inlineStr">
        <is>
          <t>+5</t>
        </is>
      </c>
      <c r="C20" s="4" t="inlineStr">
        <is>
          <t>2d10</t>
        </is>
      </c>
      <c r="D20" s="4" t="inlineStr">
        <is>
          <t>10m</t>
        </is>
      </c>
      <c r="E20" s="4" t="inlineStr">
        <is>
          <t>Random Pathway attribute damage (random)</t>
        </is>
      </c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Loss Constitution (auto +2 Loss of Control each round; at Edge of Loss directly triggers behavior table)</t>
        </is>
      </c>
      <c r="B23" s="7" t="n"/>
      <c r="C23" s="7" t="n"/>
      <c r="D23" s="7" t="n"/>
      <c r="E23" s="7" t="n"/>
      <c r="F23" s="8" t="n"/>
    </row>
    <row r="24">
      <c r="A24" s="3" t="inlineStr">
        <is>
          <t>Being Manipulated (1 AP / Manipulator controls its target selection)</t>
        </is>
      </c>
      <c r="B24" s="7" t="n"/>
      <c r="C24" s="7" t="n"/>
      <c r="D24" s="7" t="n"/>
      <c r="E24" s="7" t="n"/>
      <c r="F24" s="8" t="n"/>
    </row>
    <row r="25">
      <c r="A25" s="3" t="inlineStr">
        <is>
          <t>Spirituality Loss (every 3 rounds loses one Pathway ability — from 3 → 2 → 1 → 0)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Resistances &amp; Weaknesses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 xml:space="preserve">Resistances: </t>
        </is>
      </c>
      <c r="B28" s="3" t="inlineStr">
        <is>
          <t>Immune to Mind Control</t>
        </is>
      </c>
      <c r="C28" s="7" t="n"/>
      <c r="D28" s="7" t="n"/>
      <c r="E28" s="7" t="n"/>
      <c r="F28" s="8" t="n"/>
    </row>
    <row r="29">
      <c r="A29" s="3" t="inlineStr">
        <is>
          <t xml:space="preserve">Weakness: </t>
        </is>
      </c>
      <c r="B29" s="3" t="inlineStr">
        <is>
          <t>Pathway abilities gradually fail after stripping; Light Damage ×1.5</t>
        </is>
      </c>
      <c r="C29" s="7" t="n"/>
      <c r="D29" s="7" t="n"/>
      <c r="E29" s="7" t="n"/>
      <c r="F29" s="8" t="n"/>
    </row>
    <row r="30">
      <c r="A30" s="3" t="inlineStr">
        <is>
          <t xml:space="preserve">Drops: </t>
        </is>
      </c>
      <c r="B30" s="3" t="inlineStr">
        <is>
          <t>None (Characteristic already stripped)</t>
        </is>
      </c>
      <c r="C30" s="7" t="n"/>
      <c r="D30" s="7" t="n"/>
      <c r="E30" s="7" t="n"/>
      <c r="F30" s="8" t="n"/>
    </row>
    <row r="31">
      <c r="A31" s="3" t="inlineStr">
        <is>
          <t xml:space="preserve">Tactics: </t>
        </is>
      </c>
      <c r="B31" s="3" t="inlineStr">
        <is>
          <t>Remotely controlled by the Manipulator. Prioritizes the target designated by the Manipulator. Collapses after Spirituality is fully gone (9 rounds) — but self-destructs (3d6 area) in the last round before falling.</t>
        </is>
      </c>
      <c r="C31" s="7" t="n"/>
      <c r="D31" s="7" t="n"/>
      <c r="E31" s="7" t="n"/>
      <c r="F31" s="8" t="n"/>
    </row>
    <row r="32">
      <c r="A32" s="3" t="inlineStr">
        <is>
          <t xml:space="preserve">Loss of Control Risk: </t>
        </is>
      </c>
      <c r="B32" s="3" t="inlineStr">
        <is>
          <t>Loss of Control 80/50 — always at the Edge of Loss. Rolls a Loss Check before each action (Mind only 20 → 80% Loss).</t>
        </is>
      </c>
      <c r="C32" s="7" t="n"/>
      <c r="D32" s="7" t="n"/>
      <c r="E32" s="7" t="n"/>
      <c r="F32" s="8" t="n"/>
    </row>
    <row r="33">
      <c r="A33" s="3" t="inlineStr">
        <is>
          <t xml:space="preserve">Side Quest: </t>
        </is>
      </c>
      <c r="B33" s="3" t="inlineStr">
        <is>
          <t>Side Quest 7: St. Maria Asylum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 (Side Quest): 13th Consciousness Shard · Aggregate</t>
        </is>
      </c>
    </row>
    <row r="2"/>
    <row r="3">
      <c r="A3" s="3" t="inlineStr">
        <is>
          <t>CR：</t>
        </is>
      </c>
      <c r="B3" s="3" t="n">
        <v>5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residual will-thought aggregate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Spectator Pathway Sequence 4 (residual)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55</v>
      </c>
      <c r="C8" s="4" t="n">
        <v>60</v>
      </c>
      <c r="D8" s="4" t="n">
        <v>0</v>
      </c>
      <c r="E8" s="4" t="n">
        <v>0</v>
      </c>
      <c r="F8" s="4" t="n">
        <v>50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Collapses at any moment</t>
        </is>
      </c>
    </row>
    <row r="15">
      <c r="A15" s="3" t="inlineStr">
        <is>
          <t>Initiative</t>
        </is>
      </c>
      <c r="B15" s="4" t="inlineStr">
        <is>
          <t>0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Memory Storm</t>
        </is>
      </c>
      <c r="B19" s="4" t="inlineStr">
        <is>
          <t>+20 (Spirituality)</t>
        </is>
      </c>
      <c r="C19" s="4" t="inlineStr">
        <is>
          <t>3d6 Mental (Whole Field)</t>
        </is>
      </c>
      <c r="D19" s="4" t="inlineStr">
        <is>
          <t>20m radius</t>
        </is>
      </c>
      <c r="E19" s="4" t="inlineStr">
        <is>
          <t>All targets struck by 'memories not their own' — Loss of Control +1d5</t>
        </is>
      </c>
    </row>
    <row r="20">
      <c r="A20" s="3" t="inlineStr">
        <is>
          <t>Emotion Drain</t>
        </is>
      </c>
      <c r="B20" s="4" t="inlineStr">
        <is>
          <t>+15 (Charisma)</t>
        </is>
      </c>
      <c r="C20" s="4" t="inlineStr">
        <is>
          <t>No Damage</t>
        </is>
      </c>
      <c r="D20" s="4" t="inlineStr">
        <is>
          <t>Single Target</t>
        </is>
      </c>
      <c r="E20" s="4" t="inlineStr">
        <is>
          <t>Drains one positive emotion from target (courage / hope / love) → target's corresponding check -20</t>
        </is>
      </c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Thirteen Consciousnesses (holds 'memory shards' of 13 characters — can imitate 13 different voices / personalities / skills)</t>
        </is>
      </c>
      <c r="B23" s="7" t="n"/>
      <c r="C23" s="7" t="n"/>
      <c r="D23" s="7" t="n"/>
      <c r="E23" s="7" t="n"/>
      <c r="F23" s="8" t="n"/>
    </row>
    <row r="24">
      <c r="A24" s="3" t="inlineStr">
        <is>
          <t>Instability (roll 1d100 each round — on result &lt;30 the aggregate temporarily collapses for 1 round)</t>
        </is>
      </c>
      <c r="B24" s="7" t="n"/>
      <c r="C24" s="7" t="n"/>
      <c r="D24" s="7" t="n"/>
      <c r="E24" s="7" t="n"/>
      <c r="F24" s="8" t="n"/>
    </row>
    <row r="25">
      <c r="A25" s="3" t="inlineStr">
        <is>
          <t>Weight of Consciousness (each time it takes a Mental attack, the aggregate loses one 'character shard' — attack surface and methods reduced)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Resistances &amp; Weaknesses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 xml:space="preserve">Resistances: </t>
        </is>
      </c>
      <c r="B28" s="3" t="inlineStr">
        <is>
          <t>Immune to Physical (pure consciousness entity)</t>
        </is>
      </c>
      <c r="C28" s="7" t="n"/>
      <c r="D28" s="7" t="n"/>
      <c r="E28" s="7" t="n"/>
      <c r="F28" s="8" t="n"/>
    </row>
    <row r="29">
      <c r="A29" s="3" t="inlineStr">
        <is>
          <t xml:space="preserve">Weakness: </t>
        </is>
      </c>
      <c r="B29" s="3" t="inlineStr">
        <is>
          <t>Loses one shard each time it takes a Mental attack; when more than 9 shards are lost (fewer than 4 remain), it automatically dissipates</t>
        </is>
      </c>
      <c r="C29" s="7" t="n"/>
      <c r="D29" s="7" t="n"/>
      <c r="E29" s="7" t="n"/>
      <c r="F29" s="8" t="n"/>
    </row>
    <row r="30">
      <c r="A30" s="3" t="inlineStr">
        <is>
          <t xml:space="preserve">Drops: </t>
        </is>
      </c>
      <c r="B30" s="3" t="inlineStr">
        <is>
          <t>Ring of the Spectator (Tier 2 Sealed Artifact)</t>
        </is>
      </c>
      <c r="C30" s="7" t="n"/>
      <c r="D30" s="7" t="n"/>
      <c r="E30" s="7" t="n"/>
      <c r="F30" s="8" t="n"/>
    </row>
    <row r="31">
      <c r="A31" s="3" t="inlineStr">
        <is>
          <t xml:space="preserve">Tactics: </t>
        </is>
      </c>
      <c r="B31" s="3" t="inlineStr">
        <is>
          <t>Cannot physically interact. Combat is purely psychological. Confuses players with 13 different voices and memories. Will not actively kill — only wants to 'be remembered'.</t>
        </is>
      </c>
      <c r="C31" s="7" t="n"/>
      <c r="D31" s="7" t="n"/>
      <c r="E31" s="7" t="n"/>
      <c r="F31" s="8" t="n"/>
    </row>
    <row r="32">
      <c r="A32" s="3" t="inlineStr">
        <is>
          <t xml:space="preserve">Loss of Control Risk: </t>
        </is>
      </c>
      <c r="B32" s="3" t="inlineStr">
        <is>
          <t>The consciousness aggregate has no Loss of Control risk — but each time a player is hit by Memory Storm, their Loss of Control +1d5.</t>
        </is>
      </c>
      <c r="C32" s="7" t="n"/>
      <c r="D32" s="7" t="n"/>
      <c r="E32" s="7" t="n"/>
      <c r="F32" s="8" t="n"/>
    </row>
    <row r="33">
      <c r="A33" s="3" t="inlineStr">
        <is>
          <t xml:space="preserve">Side Quest: </t>
        </is>
      </c>
      <c r="B33" s="3" t="inlineStr">
        <is>
          <t>Side Quest 3: The Thirteenth Seat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 (Side Quest): Swapped One · Memory-Disordered Entity</t>
        </is>
      </c>
    </row>
    <row r="2"/>
    <row r="3">
      <c r="A3" s="3" t="inlineStr">
        <is>
          <t>CR：</t>
        </is>
      </c>
      <c r="B3" s="3" t="n">
        <v>3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 (Sealed Artifact side-effect victim)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Random Pathway / Random Sequence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40</v>
      </c>
      <c r="C8" s="4" t="n">
        <v>35</v>
      </c>
      <c r="D8" s="4" t="n">
        <v>35</v>
      </c>
      <c r="E8" s="4" t="n">
        <v>30</v>
      </c>
      <c r="F8" s="4" t="n">
        <v>25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20</t>
        </is>
      </c>
    </row>
    <row r="15">
      <c r="A15" s="3" t="inlineStr">
        <is>
          <t>Initiative</t>
        </is>
      </c>
      <c r="B15" s="4" t="inlineStr">
        <is>
          <t>30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Identity Confusion Attack</t>
        </is>
      </c>
      <c r="B19" s="4" t="inlineStr">
        <is>
          <t>+15</t>
        </is>
      </c>
      <c r="C19" s="4" t="inlineStr">
        <is>
          <t>2d6</t>
        </is>
      </c>
      <c r="D19" s="4" t="inlineStr">
        <is>
          <t>10m</t>
        </is>
      </c>
      <c r="E19" s="4" t="inlineStr">
        <is>
          <t>Uses 'someone else's ability' — damage dice halved</t>
        </is>
      </c>
    </row>
    <row r="20"/>
    <row r="21">
      <c r="A21" s="5" t="inlineStr">
        <is>
          <t>Special Abilities</t>
        </is>
      </c>
      <c r="B21" s="6" t="inlineStr"/>
      <c r="C21" s="6" t="inlineStr"/>
      <c r="D21" s="6" t="inlineStr"/>
      <c r="E21" s="6" t="inlineStr"/>
      <c r="F21" s="6" t="inlineStr"/>
    </row>
    <row r="22">
      <c r="A22" s="3" t="inlineStr">
        <is>
          <t>Identity Confusion (each round randomly rerolls attributes (range 30–60) and abilities — uncontrollable)</t>
        </is>
      </c>
      <c r="B22" s="7" t="n"/>
      <c r="C22" s="7" t="n"/>
      <c r="D22" s="7" t="n"/>
      <c r="E22" s="7" t="n"/>
      <c r="F22" s="8" t="n"/>
    </row>
    <row r="23">
      <c r="A23" s="3" t="inlineStr">
        <is>
          <t>Memory Shard (when taking damage, randomly triggers a memory not its own → Loss of Control +1)</t>
        </is>
      </c>
      <c r="B23" s="7" t="n"/>
      <c r="C23" s="7" t="n"/>
      <c r="D23" s="7" t="n"/>
      <c r="E23" s="7" t="n"/>
      <c r="F23" s="8" t="n"/>
    </row>
    <row r="24">
      <c r="A24" s="3" t="inlineStr">
        <is>
          <t>Self-Recovery (undamaged for 3 rounds → recovers self-identity — leaves combat)</t>
        </is>
      </c>
      <c r="B24" s="7" t="n"/>
      <c r="C24" s="7" t="n"/>
      <c r="D24" s="7" t="n"/>
      <c r="E24" s="7" t="n"/>
      <c r="F24" s="8" t="n"/>
    </row>
    <row r="25"/>
    <row r="26">
      <c r="A26" s="5" t="inlineStr">
        <is>
          <t>Resistances &amp; Weaknesses</t>
        </is>
      </c>
      <c r="B26" s="6" t="inlineStr"/>
      <c r="C26" s="6" t="inlineStr"/>
      <c r="D26" s="6" t="inlineStr"/>
      <c r="E26" s="6" t="inlineStr"/>
      <c r="F26" s="6" t="inlineStr"/>
    </row>
    <row r="27">
      <c r="A27" s="3" t="inlineStr">
        <is>
          <t xml:space="preserve">Resistances: </t>
        </is>
      </c>
      <c r="B27" s="3" t="inlineStr">
        <is>
          <t>Varies by identity</t>
        </is>
      </c>
      <c r="C27" s="7" t="n"/>
      <c r="D27" s="7" t="n"/>
      <c r="E27" s="7" t="n"/>
      <c r="F27" s="8" t="n"/>
    </row>
    <row r="28">
      <c r="A28" s="3" t="inlineStr">
        <is>
          <t xml:space="preserve">Weakness: </t>
        </is>
      </c>
      <c r="B28" s="3" t="inlineStr">
        <is>
          <t>Make the target 'remember their own name' (Charisma check) → Attack -50%</t>
        </is>
      </c>
      <c r="C28" s="7" t="n"/>
      <c r="D28" s="7" t="n"/>
      <c r="E28" s="7" t="n"/>
      <c r="F28" s="8" t="n"/>
    </row>
    <row r="29">
      <c r="A29" s="3" t="inlineStr">
        <is>
          <t xml:space="preserve">Drops: </t>
        </is>
      </c>
      <c r="B29" s="3" t="inlineStr">
        <is>
          <t>Swapped Memory Fragments (can be used to restore original identity)</t>
        </is>
      </c>
      <c r="C29" s="7" t="n"/>
      <c r="D29" s="7" t="n"/>
      <c r="E29" s="7" t="n"/>
      <c r="F29" s="8" t="n"/>
    </row>
    <row r="30">
      <c r="A30" s="3" t="inlineStr">
        <is>
          <t xml:space="preserve">Tactics: </t>
        </is>
      </c>
      <c r="B30" s="3" t="inlineStr">
        <is>
          <t>Passive victim — not an active combatant. Attack methods are chaotic and unpredictable. Can be 'recalled' (Charisma check to tell the name).</t>
        </is>
      </c>
      <c r="C30" s="7" t="n"/>
      <c r="D30" s="7" t="n"/>
      <c r="E30" s="7" t="n"/>
      <c r="F30" s="8" t="n"/>
    </row>
    <row r="31">
      <c r="A31" s="3" t="inlineStr">
        <is>
          <t xml:space="preserve">Loss of Control Risk: </t>
        </is>
      </c>
      <c r="B31" s="3" t="inlineStr">
        <is>
          <t>Loss of Control +1 each round (uncontrollable even by itself). After Full Loss, permanently loses identity.</t>
        </is>
      </c>
      <c r="C31" s="7" t="n"/>
      <c r="D31" s="7" t="n"/>
      <c r="E31" s="7" t="n"/>
      <c r="F31" s="8" t="n"/>
    </row>
    <row r="32">
      <c r="A32" s="3" t="inlineStr">
        <is>
          <t xml:space="preserve">Side Quest: </t>
        </is>
      </c>
      <c r="B32" s="3" t="inlineStr">
        <is>
          <t>Side Quest 5: The Phantom Carriage of Iron Bridge District</t>
        </is>
      </c>
      <c r="C32" s="7" t="n"/>
      <c r="D32" s="7" t="n"/>
      <c r="E32" s="7" t="n"/>
      <c r="F32" s="8" t="n"/>
    </row>
  </sheetData>
  <mergeCells count="13">
    <mergeCell ref="A24:F24"/>
    <mergeCell ref="B30:F30"/>
    <mergeCell ref="B29:F29"/>
    <mergeCell ref="B5:D5"/>
    <mergeCell ref="B3:D3"/>
    <mergeCell ref="B28:F28"/>
    <mergeCell ref="A23:F23"/>
    <mergeCell ref="B4:D4"/>
    <mergeCell ref="A1:E1"/>
    <mergeCell ref="A22:F22"/>
    <mergeCell ref="B31:F31"/>
    <mergeCell ref="B32:F32"/>
    <mergeCell ref="B27:F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Enemy (Side Quest): Swindler · Death Predictor</t>
        </is>
      </c>
    </row>
    <row r="2"/>
    <row r="3">
      <c r="A3" s="3" t="inlineStr">
        <is>
          <t>CR：</t>
        </is>
      </c>
      <c r="B3" s="3" t="n">
        <v>2</v>
      </c>
      <c r="C3" s="7" t="n"/>
      <c r="D3" s="8" t="n"/>
    </row>
    <row r="4">
      <c r="A4" s="3" t="inlineStr">
        <is>
          <t xml:space="preserve">Type: </t>
        </is>
      </c>
      <c r="B4" s="3" t="inlineStr">
        <is>
          <t>Beyonder</t>
        </is>
      </c>
      <c r="C4" s="7" t="n"/>
      <c r="D4" s="8" t="n"/>
    </row>
    <row r="5">
      <c r="A5" s="3" t="inlineStr">
        <is>
          <t xml:space="preserve">Pathway/Sequence: </t>
        </is>
      </c>
      <c r="B5" s="3" t="inlineStr">
        <is>
          <t>Marauder Pathway / Sequence 8 · Swindler</t>
        </is>
      </c>
      <c r="C5" s="7" t="n"/>
      <c r="D5" s="8" t="n"/>
    </row>
    <row r="6"/>
    <row r="7">
      <c r="A7" s="5" t="inlineStr">
        <is>
          <t>Attributes</t>
        </is>
      </c>
      <c r="B7" s="6" t="inlineStr"/>
      <c r="C7" s="6" t="inlineStr"/>
      <c r="D7" s="6" t="inlineStr"/>
      <c r="E7" s="6" t="inlineStr"/>
      <c r="F7" s="6" t="inlineStr"/>
    </row>
    <row r="8">
      <c r="A8" s="3" t="inlineStr">
        <is>
          <t>Charisma</t>
        </is>
      </c>
      <c r="B8" s="4" t="n">
        <v>45</v>
      </c>
      <c r="C8" s="4" t="n">
        <v>40</v>
      </c>
      <c r="D8" s="4" t="n">
        <v>25</v>
      </c>
      <c r="E8" s="4" t="n">
        <v>45</v>
      </c>
      <c r="F8" s="4" t="n">
        <v>50</v>
      </c>
    </row>
    <row r="9"/>
    <row r="10">
      <c r="A10" s="5" t="inlineStr">
        <is>
          <t>Derived Attributes (Auto-calculated)</t>
        </is>
      </c>
      <c r="B10" s="6" t="inlineStr"/>
      <c r="C10" s="6" t="inlineStr"/>
      <c r="D10" s="6" t="inlineStr"/>
      <c r="E10" s="6" t="inlineStr"/>
      <c r="F10" s="6" t="inlineStr"/>
    </row>
    <row r="11">
      <c r="A11" s="3" t="inlineStr">
        <is>
          <t>HP</t>
        </is>
      </c>
      <c r="B11" s="4">
        <f>D8*2+15</f>
        <v/>
      </c>
    </row>
    <row r="12">
      <c r="A12" s="3" t="inlineStr">
        <is>
          <t>Spirit Pool</t>
        </is>
      </c>
      <c r="B12" s="4">
        <f>B8*3+5</f>
        <v/>
      </c>
    </row>
    <row r="13">
      <c r="A13" s="3" t="inlineStr">
        <is>
          <t>Loss of Control Threshold</t>
        </is>
      </c>
      <c r="B13" s="4">
        <f>C8*2+10</f>
        <v/>
      </c>
    </row>
    <row r="14">
      <c r="A14" s="3" t="inlineStr">
        <is>
          <t>Loss of Control</t>
        </is>
      </c>
      <c r="B14" s="4" t="inlineStr">
        <is>
          <t>10</t>
        </is>
      </c>
    </row>
    <row r="15">
      <c r="A15" s="3" t="inlineStr">
        <is>
          <t>Initiative</t>
        </is>
      </c>
      <c r="B15" s="4" t="inlineStr">
        <is>
          <t>45 + d10</t>
        </is>
      </c>
    </row>
    <row r="16"/>
    <row r="17">
      <c r="A17" s="5" t="inlineStr">
        <is>
          <t>Attack Methods</t>
        </is>
      </c>
      <c r="B17" s="6" t="inlineStr"/>
      <c r="C17" s="6" t="inlineStr"/>
      <c r="D17" s="6" t="inlineStr"/>
      <c r="E17" s="6" t="inlineStr"/>
      <c r="F17" s="6" t="inlineStr"/>
    </row>
    <row r="18">
      <c r="A18" s="2" t="inlineStr">
        <is>
          <t>Name</t>
        </is>
      </c>
      <c r="B18" s="2" t="inlineStr">
        <is>
          <t>Hit</t>
        </is>
      </c>
      <c r="C18" s="2" t="inlineStr">
        <is>
          <t>Damage</t>
        </is>
      </c>
      <c r="D18" s="2" t="inlineStr">
        <is>
          <t>Range</t>
        </is>
      </c>
      <c r="E18" s="2" t="inlineStr">
        <is>
          <t>Special</t>
        </is>
      </c>
    </row>
    <row r="19">
      <c r="A19" s="3" t="inlineStr">
        <is>
          <t>Trick Dagger</t>
        </is>
      </c>
      <c r="B19" s="4" t="inlineStr">
        <is>
          <t>+15</t>
        </is>
      </c>
      <c r="C19" s="4" t="inlineStr">
        <is>
          <t>1d6+5</t>
        </is>
      </c>
      <c r="D19" s="4" t="inlineStr">
        <is>
          <t>Melee</t>
        </is>
      </c>
      <c r="E19" s="4" t="inlineStr">
        <is>
          <t>Retreats immediately after attack (free move 5m)</t>
        </is>
      </c>
    </row>
    <row r="20">
      <c r="A20" s="3" t="inlineStr">
        <is>
          <t>Lies Smoke</t>
        </is>
      </c>
      <c r="B20" s="4" t="inlineStr">
        <is>
          <t>+5</t>
        </is>
      </c>
      <c r="C20" s="4" t="inlineStr">
        <is>
          <t>No Damage</t>
        </is>
      </c>
      <c r="D20" s="4" t="inlineStr">
        <is>
          <t>10m</t>
        </is>
      </c>
      <c r="E20" s="4" t="inlineStr">
        <is>
          <t>Blind 1 round + creates escape opportunity</t>
        </is>
      </c>
    </row>
    <row r="21"/>
    <row r="22">
      <c r="A22" s="5" t="inlineStr">
        <is>
          <t>Special Abilities</t>
        </is>
      </c>
      <c r="B22" s="6" t="inlineStr"/>
      <c r="C22" s="6" t="inlineStr"/>
      <c r="D22" s="6" t="inlineStr"/>
      <c r="E22" s="6" t="inlineStr"/>
      <c r="F22" s="6" t="inlineStr"/>
    </row>
    <row r="23">
      <c r="A23" s="3" t="inlineStr">
        <is>
          <t>Multiple Disguises (has 5 fake names and 5 different appearances — must be broken one by one)</t>
        </is>
      </c>
      <c r="B23" s="7" t="n"/>
      <c r="C23" s="7" t="n"/>
      <c r="D23" s="7" t="n"/>
      <c r="E23" s="7" t="n"/>
      <c r="F23" s="8" t="n"/>
    </row>
    <row r="24">
      <c r="A24" s="3" t="inlineStr">
        <is>
          <t>Lie Persuasion (Deception check automatically at Advantage)</t>
        </is>
      </c>
      <c r="B24" s="7" t="n"/>
      <c r="C24" s="7" t="n"/>
      <c r="D24" s="7" t="n"/>
      <c r="E24" s="7" t="n"/>
      <c r="F24" s="8" t="n"/>
    </row>
    <row r="25">
      <c r="A25" s="3" t="inlineStr">
        <is>
          <t>Fraud Contract (makes target sign a 'Death Prediction' service — actually randomly draws Spirit World death records)</t>
        </is>
      </c>
      <c r="B25" s="7" t="n"/>
      <c r="C25" s="7" t="n"/>
      <c r="D25" s="7" t="n"/>
      <c r="E25" s="7" t="n"/>
      <c r="F25" s="8" t="n"/>
    </row>
    <row r="26"/>
    <row r="27">
      <c r="A27" s="5" t="inlineStr">
        <is>
          <t>Resistances &amp; Weaknesses</t>
        </is>
      </c>
      <c r="B27" s="6" t="inlineStr"/>
      <c r="C27" s="6" t="inlineStr"/>
      <c r="D27" s="6" t="inlineStr"/>
      <c r="E27" s="6" t="inlineStr"/>
      <c r="F27" s="6" t="inlineStr"/>
    </row>
    <row r="28">
      <c r="A28" s="3" t="inlineStr">
        <is>
          <t xml:space="preserve">Resistances: </t>
        </is>
      </c>
      <c r="B28" s="3" t="inlineStr">
        <is>
          <t>None</t>
        </is>
      </c>
      <c r="C28" s="7" t="n"/>
      <c r="D28" s="7" t="n"/>
      <c r="E28" s="7" t="n"/>
      <c r="F28" s="8" t="n"/>
    </row>
    <row r="29">
      <c r="A29" s="3" t="inlineStr">
        <is>
          <t xml:space="preserve">Weakness: </t>
        </is>
      </c>
      <c r="B29" s="3" t="inlineStr">
        <is>
          <t>Extremely poor stamina (Body 25 → HP=85); Charisma -10 each time a fake identity is exposed</t>
        </is>
      </c>
      <c r="C29" s="7" t="n"/>
      <c r="D29" s="7" t="n"/>
      <c r="E29" s="7" t="n"/>
      <c r="F29" s="8" t="n"/>
    </row>
    <row r="30">
      <c r="A30" s="3" t="inlineStr">
        <is>
          <t xml:space="preserve">Drops: </t>
        </is>
      </c>
      <c r="B30" s="3" t="inlineStr">
        <is>
          <t>Swindler's Notebook (Tier 3 Sealed Artifact), Spirit World-related items ×1d3</t>
        </is>
      </c>
      <c r="C30" s="7" t="n"/>
      <c r="D30" s="7" t="n"/>
      <c r="E30" s="7" t="n"/>
      <c r="F30" s="8" t="n"/>
    </row>
    <row r="31">
      <c r="A31" s="3" t="inlineStr">
        <is>
          <t xml:space="preserve">Tactics: </t>
        </is>
      </c>
      <c r="B31" s="3" t="inlineStr">
        <is>
          <t>Does not fight — flees first. Each time caught (one disguise exposed), next disguise check +15 Difficulty. Surrenders after all 5 disguises are broken.</t>
        </is>
      </c>
      <c r="C31" s="7" t="n"/>
      <c r="D31" s="7" t="n"/>
      <c r="E31" s="7" t="n"/>
      <c r="F31" s="8" t="n"/>
    </row>
    <row r="32">
      <c r="A32" s="3" t="inlineStr">
        <is>
          <t xml:space="preserve">Loss of Control Risk: </t>
        </is>
      </c>
      <c r="B32" s="3" t="inlineStr">
        <is>
          <t>Loss of Control 10/90 — low risk. But if cornered, will try to make one last 'deal' with the notebook.</t>
        </is>
      </c>
      <c r="C32" s="7" t="n"/>
      <c r="D32" s="7" t="n"/>
      <c r="E32" s="7" t="n"/>
      <c r="F32" s="8" t="n"/>
    </row>
    <row r="33">
      <c r="A33" s="3" t="inlineStr">
        <is>
          <t xml:space="preserve">Side Quest: </t>
        </is>
      </c>
      <c r="B33" s="3" t="inlineStr">
        <is>
          <t>Side Quest 2: The Difference Engine Malfunction</t>
        </is>
      </c>
      <c r="C33" s="7" t="n"/>
      <c r="D33" s="7" t="n"/>
      <c r="E33" s="7" t="n"/>
      <c r="F33" s="8" t="n"/>
    </row>
  </sheetData>
  <mergeCells count="13">
    <mergeCell ref="A24:F24"/>
    <mergeCell ref="B30:F30"/>
    <mergeCell ref="B29:F29"/>
    <mergeCell ref="B5:D5"/>
    <mergeCell ref="B3:D3"/>
    <mergeCell ref="B33:F33"/>
    <mergeCell ref="B28:F28"/>
    <mergeCell ref="A23:F23"/>
    <mergeCell ref="B4:D4"/>
    <mergeCell ref="A1:E1"/>
    <mergeCell ref="B31:F31"/>
    <mergeCell ref="B32:F3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2026-06-25T17:01:07Z</dcterms:created>
  <dcterms:modified xsi:type="dcterms:W3CDTF">2026-08-11T11:45:49Z</dcterms:modified>
</cp:coreProperties>
</file>