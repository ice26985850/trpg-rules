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  <sheet name="Damage Formula Reference" sheetId="2" state="visible" r:id="rId2"/>
    <sheet name="Damage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icrosoft JhengHei"/>
      <b val="1"/>
      <color rgb="006b3fa0"/>
      <sz val="16"/>
    </font>
    <font>
      <name val="Microsoft JhengHei"/>
      <b val="1"/>
      <color rgb="006b3fa0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sz val="8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c2ec"/>
        <bgColor rgb="00d9c2ec"/>
      </patternFill>
    </fill>
    <fill>
      <patternFill patternType="solid">
        <fgColor rgb="00f0e6f6"/>
        <bgColor rgb="00f0e6f6"/>
      </patternFill>
    </fill>
    <fill>
      <patternFill patternType="solid">
        <fgColor rgb="006b3fa0"/>
        <bgColor rgb="006b3fa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League of Legends TRPG Character Sheet</t>
        </is>
      </c>
      <c r="B1" s="3" t="n"/>
      <c r="C1" s="3" t="n"/>
      <c r="D1" s="3" t="n"/>
      <c r="E1" s="3" t="n"/>
      <c r="F1" s="3" t="n"/>
      <c r="G1" s="3" t="n"/>
      <c r="H1" s="4" t="n"/>
    </row>
    <row r="2"/>
    <row r="3">
      <c r="A3" s="2" t="inlineStr">
        <is>
          <t>Basic Info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Name</t>
        </is>
      </c>
      <c r="B4" s="6" t="inlineStr"/>
      <c r="C4" s="4" t="n"/>
      <c r="D4" s="5" t="inlineStr">
        <is>
          <t>Archetype</t>
        </is>
      </c>
      <c r="E4" s="6" t="inlineStr"/>
      <c r="F4" s="5" t="inlineStr">
        <is>
          <t>Level</t>
        </is>
      </c>
      <c r="G4" s="6" t="n">
        <v>1</v>
      </c>
    </row>
    <row r="5">
      <c r="A5" s="5" t="inlineStr">
        <is>
          <t>Region of Origin</t>
        </is>
      </c>
      <c r="B5" s="6" t="inlineStr"/>
      <c r="C5" s="4" t="n"/>
      <c r="D5" s="5" t="inlineStr">
        <is>
          <t>EXP</t>
        </is>
      </c>
      <c r="E5" s="6" t="n">
        <v>0</v>
      </c>
      <c r="F5" s="5" t="inlineStr">
        <is>
          <t>Gold</t>
        </is>
      </c>
      <c r="G5" s="6" t="n">
        <v>500</v>
      </c>
    </row>
    <row r="6"/>
    <row r="7">
      <c r="A7" s="2" t="inlineStr">
        <is>
          <t>Archetype Base Attributes (enter the name in the yellow cell below after selecting an archetype)</t>
        </is>
      </c>
      <c r="B7" s="3" t="n"/>
      <c r="C7" s="3" t="n"/>
      <c r="D7" s="3" t="n"/>
      <c r="E7" s="3" t="n"/>
      <c r="F7" s="3" t="n"/>
      <c r="G7" s="4" t="n"/>
    </row>
    <row r="8">
      <c r="A8" s="7" t="inlineStr">
        <is>
          <t>Archetype</t>
        </is>
      </c>
      <c r="B8" s="7" t="inlineStr">
        <is>
          <t>HP</t>
        </is>
      </c>
      <c r="C8" s="7" t="inlineStr">
        <is>
          <t>AD</t>
        </is>
      </c>
      <c r="D8" s="7" t="inlineStr">
        <is>
          <t>AP</t>
        </is>
      </c>
      <c r="E8" s="7" t="inlineStr">
        <is>
          <t>AR</t>
        </is>
      </c>
      <c r="F8" s="7" t="inlineStr">
        <is>
          <t>MR</t>
        </is>
      </c>
      <c r="G8" s="7" t="inlineStr">
        <is>
          <t>AS</t>
        </is>
      </c>
      <c r="H8" s="7" t="inlineStr">
        <is>
          <t>Move Speed (MS)</t>
        </is>
      </c>
    </row>
    <row r="9">
      <c r="A9" s="8" t="inlineStr">
        <is>
          <t>Assassin</t>
        </is>
      </c>
      <c r="B9" s="8" t="n">
        <v>650</v>
      </c>
      <c r="C9" s="8" t="n">
        <v>58</v>
      </c>
      <c r="D9" s="8" t="n">
        <v>0</v>
      </c>
      <c r="E9" s="8" t="n">
        <v>40</v>
      </c>
      <c r="F9" s="8" t="n">
        <v>32</v>
      </c>
      <c r="G9" s="8" t="n">
        <v>0.75</v>
      </c>
      <c r="H9" s="8" t="n">
        <v>4</v>
      </c>
    </row>
    <row r="10">
      <c r="A10" s="8" t="inlineStr">
        <is>
          <t>Warrior</t>
        </is>
      </c>
      <c r="B10" s="8" t="n">
        <v>600</v>
      </c>
      <c r="C10" s="8" t="n">
        <v>65</v>
      </c>
      <c r="D10" s="8" t="n">
        <v>0</v>
      </c>
      <c r="E10" s="8" t="n">
        <v>35</v>
      </c>
      <c r="F10" s="8" t="n">
        <v>32</v>
      </c>
      <c r="G10" s="8" t="n">
        <v>0.7</v>
      </c>
      <c r="H10" s="8" t="n">
        <v>4</v>
      </c>
    </row>
    <row r="11">
      <c r="A11" s="8" t="inlineStr">
        <is>
          <t>Mage</t>
        </is>
      </c>
      <c r="B11" s="8" t="n">
        <v>550</v>
      </c>
      <c r="C11" s="8" t="n">
        <v>52</v>
      </c>
      <c r="D11" s="8" t="n">
        <v>50</v>
      </c>
      <c r="E11" s="8" t="n">
        <v>22</v>
      </c>
      <c r="F11" s="8" t="n">
        <v>30</v>
      </c>
      <c r="G11" s="8" t="n">
        <v>0.65</v>
      </c>
      <c r="H11" s="8" t="n">
        <v>4</v>
      </c>
    </row>
    <row r="12">
      <c r="A12" s="8" t="inlineStr">
        <is>
          <t>Marksman</t>
        </is>
      </c>
      <c r="B12" s="8" t="n">
        <v>560</v>
      </c>
      <c r="C12" s="8" t="n">
        <v>62</v>
      </c>
      <c r="D12" s="8" t="n">
        <v>0</v>
      </c>
      <c r="E12" s="8" t="n">
        <v>28</v>
      </c>
      <c r="F12" s="8" t="n">
        <v>30</v>
      </c>
      <c r="G12" s="8" t="n">
        <v>0.8</v>
      </c>
      <c r="H12" s="8" t="n">
        <v>4</v>
      </c>
    </row>
    <row r="13">
      <c r="A13" s="8" t="inlineStr">
        <is>
          <t>Support</t>
        </is>
      </c>
      <c r="B13" s="8" t="n">
        <v>580</v>
      </c>
      <c r="C13" s="8" t="n">
        <v>50</v>
      </c>
      <c r="D13" s="8" t="n">
        <v>40</v>
      </c>
      <c r="E13" s="8" t="n">
        <v>32</v>
      </c>
      <c r="F13" s="8" t="n">
        <v>32</v>
      </c>
      <c r="G13" s="8" t="n">
        <v>0.65</v>
      </c>
      <c r="H13" s="8" t="n">
        <v>4</v>
      </c>
    </row>
    <row r="14"/>
    <row r="15">
      <c r="A15" s="5" t="inlineStr">
        <is>
          <t>Select Archetype (enter name)</t>
        </is>
      </c>
      <c r="B15" s="6" t="inlineStr"/>
      <c r="C15" s="4" t="n"/>
    </row>
    <row r="16">
      <c r="A16" s="2" t="inlineStr">
        <is>
          <t>Per-Level Growth (auto-applies to archetype)</t>
        </is>
      </c>
      <c r="B16" s="3" t="n"/>
      <c r="C16" s="3" t="n"/>
      <c r="D16" s="3" t="n"/>
      <c r="E16" s="3" t="n"/>
      <c r="F16" s="3" t="n"/>
      <c r="G16" s="4" t="n"/>
    </row>
    <row r="17">
      <c r="A17" s="7" t="inlineStr">
        <is>
          <t>Archetype</t>
        </is>
      </c>
      <c r="B17" s="7" t="inlineStr">
        <is>
          <t>HP/Lvl</t>
        </is>
      </c>
      <c r="C17" s="7" t="inlineStr">
        <is>
          <t>AD/Lvl</t>
        </is>
      </c>
      <c r="D17" s="7" t="inlineStr">
        <is>
          <t>AP/Lvl</t>
        </is>
      </c>
      <c r="E17" s="7" t="inlineStr">
        <is>
          <t>AR/Lvl</t>
        </is>
      </c>
      <c r="F17" s="7" t="inlineStr">
        <is>
          <t>MR/Lvl</t>
        </is>
      </c>
      <c r="G17" s="7" t="inlineStr">
        <is>
          <t>AS%/Lvl</t>
        </is>
      </c>
    </row>
    <row r="18">
      <c r="A18" s="8" t="inlineStr">
        <is>
          <t>Assassin</t>
        </is>
      </c>
      <c r="B18" s="8" t="n">
        <v>110</v>
      </c>
      <c r="C18" s="8" t="n">
        <v>3</v>
      </c>
      <c r="D18" s="8" t="n">
        <v>0</v>
      </c>
      <c r="E18" s="8" t="n">
        <v>5</v>
      </c>
      <c r="F18" s="8" t="n">
        <v>2</v>
      </c>
      <c r="G18" s="8" t="n">
        <v>0.015</v>
      </c>
    </row>
    <row r="19">
      <c r="A19" s="8" t="inlineStr">
        <is>
          <t>Warrior</t>
        </is>
      </c>
      <c r="B19" s="8" t="n">
        <v>100</v>
      </c>
      <c r="C19" s="8" t="n">
        <v>4</v>
      </c>
      <c r="D19" s="8" t="n">
        <v>0</v>
      </c>
      <c r="E19" s="8" t="n">
        <v>4.5</v>
      </c>
      <c r="F19" s="8" t="n">
        <v>1.5</v>
      </c>
      <c r="G19" s="8" t="n">
        <v>0.025</v>
      </c>
    </row>
    <row r="20">
      <c r="A20" s="8" t="inlineStr">
        <is>
          <t>Mage</t>
        </is>
      </c>
      <c r="B20" s="8" t="n">
        <v>90</v>
      </c>
      <c r="C20" s="8" t="n">
        <v>2.5</v>
      </c>
      <c r="D20" s="8" t="n">
        <v>5</v>
      </c>
      <c r="E20" s="8" t="n">
        <v>3.5</v>
      </c>
      <c r="F20" s="8" t="n">
        <v>1.3</v>
      </c>
      <c r="G20" s="8" t="n">
        <v>0.015</v>
      </c>
    </row>
    <row r="21">
      <c r="A21" s="8" t="inlineStr">
        <is>
          <t>Marksman</t>
        </is>
      </c>
      <c r="B21" s="8" t="n">
        <v>90</v>
      </c>
      <c r="C21" s="8" t="n">
        <v>3.5</v>
      </c>
      <c r="D21" s="8" t="n">
        <v>0</v>
      </c>
      <c r="E21" s="8" t="n">
        <v>3.5</v>
      </c>
      <c r="F21" s="8" t="n">
        <v>1.3</v>
      </c>
      <c r="G21" s="8" t="n">
        <v>0.035</v>
      </c>
    </row>
    <row r="22">
      <c r="A22" s="8" t="inlineStr">
        <is>
          <t>Support</t>
        </is>
      </c>
      <c r="B22" s="8" t="n">
        <v>95</v>
      </c>
      <c r="C22" s="8" t="n">
        <v>2.5</v>
      </c>
      <c r="D22" s="8" t="n">
        <v>4</v>
      </c>
      <c r="E22" s="8" t="n">
        <v>4</v>
      </c>
      <c r="F22" s="8" t="n">
        <v>1.5</v>
      </c>
      <c r="G22" s="8" t="n">
        <v>0.02</v>
      </c>
    </row>
    <row r="23"/>
    <row r="24">
      <c r="A24" s="2" t="inlineStr">
        <is>
          <t>Combat Attributes (auto-calculated)</t>
        </is>
      </c>
      <c r="B24" s="3" t="n"/>
      <c r="C24" s="3" t="n"/>
      <c r="D24" s="3" t="n"/>
      <c r="E24" s="3" t="n"/>
      <c r="F24" s="3" t="n"/>
      <c r="G24" s="4" t="n"/>
    </row>
    <row r="25">
      <c r="A25" s="5" t="inlineStr">
        <is>
          <t>Current Level</t>
        </is>
      </c>
      <c r="B25" s="6" t="n">
        <v>1</v>
      </c>
    </row>
    <row r="26">
      <c r="A26" s="5" t="inlineStr">
        <is>
          <t>HP (Max Health)</t>
        </is>
      </c>
      <c r="B26" s="6">
        <f>VLOOKUP($B$15,$A$9:$H$13,2,FALSE)+(VLOOKUP($B$15,$A$18:$G$22,2,FALSE))*($B$25-1)</f>
        <v/>
      </c>
      <c r="C26" s="4" t="n"/>
      <c r="D26" s="6">
        <f>VLOOKUP($B$15,$A$9:$H$13,2,FALSE)+(VLOOKUP($B$15,$A$18:$G$22,2,FALSE))*($B$25-1)</f>
        <v/>
      </c>
      <c r="F26" s="5" t="inlineStr">
        <is>
          <t>+Equipment</t>
        </is>
      </c>
      <c r="G26" s="6" t="inlineStr"/>
    </row>
    <row r="27">
      <c r="A27" s="5" t="inlineStr">
        <is>
          <t>AD (Attack Damage)</t>
        </is>
      </c>
      <c r="B27" s="6">
        <f>VLOOKUP($B$15,$A$9:$H$13,3,FALSE)+(VLOOKUP($B$15,$A$18:$G$22,3,FALSE))*($B$25-1)</f>
        <v/>
      </c>
      <c r="C27" s="4" t="n"/>
      <c r="D27" s="6">
        <f>VLOOKUP($B$15,$A$9:$H$13,3,FALSE)+(VLOOKUP($B$15,$A$18:$G$22,3,FALSE))*($B$25-1)</f>
        <v/>
      </c>
      <c r="F27" s="5" t="inlineStr">
        <is>
          <t>+Equipment</t>
        </is>
      </c>
      <c r="G27" s="6" t="inlineStr"/>
    </row>
    <row r="28">
      <c r="A28" s="5" t="inlineStr">
        <is>
          <t>AP (Ability Power)</t>
        </is>
      </c>
      <c r="B28" s="6">
        <f>VLOOKUP($B$15,$A$9:$H$13,4,FALSE)+(VLOOKUP($B$15,$A$18:$G$22,4,FALSE))*($B$25-1)</f>
        <v/>
      </c>
      <c r="C28" s="4" t="n"/>
      <c r="D28" s="6">
        <f>VLOOKUP($B$15,$A$9:$H$13,4,FALSE)+(VLOOKUP($B$15,$A$18:$G$22,4,FALSE))*($B$25-1)</f>
        <v/>
      </c>
      <c r="F28" s="5" t="inlineStr">
        <is>
          <t>+Equipment</t>
        </is>
      </c>
      <c r="G28" s="6" t="inlineStr"/>
    </row>
    <row r="29">
      <c r="A29" s="5" t="inlineStr">
        <is>
          <t>AR (Armor)</t>
        </is>
      </c>
      <c r="B29" s="6">
        <f>VLOOKUP($B$15,$A$9:$H$13,5,FALSE)+(VLOOKUP($B$15,$A$18:$G$22,5,FALSE))*($B$25-1)</f>
        <v/>
      </c>
      <c r="C29" s="4" t="n"/>
      <c r="D29" s="6">
        <f>VLOOKUP($B$15,$A$9:$H$13,5,FALSE)+(VLOOKUP($B$15,$A$18:$G$22,5,FALSE))*($B$25-1)</f>
        <v/>
      </c>
      <c r="F29" s="5" t="inlineStr">
        <is>
          <t>+Equipment</t>
        </is>
      </c>
      <c r="G29" s="6" t="inlineStr"/>
    </row>
    <row r="30">
      <c r="A30" s="5" t="inlineStr">
        <is>
          <t>MR (Magic Resist)</t>
        </is>
      </c>
      <c r="B30" s="6">
        <f>VLOOKUP($B$15,$A$9:$H$13,6,FALSE)+(VLOOKUP($B$15,$A$18:$G$22,6,FALSE))*($B$25-1)</f>
        <v/>
      </c>
      <c r="C30" s="4" t="n"/>
      <c r="D30" s="6">
        <f>VLOOKUP($B$15,$A$9:$H$13,6,FALSE)+(VLOOKUP($B$15,$A$18:$G$22,6,FALSE))*($B$25-1)</f>
        <v/>
      </c>
      <c r="F30" s="5" t="inlineStr">
        <is>
          <t>+Equipment</t>
        </is>
      </c>
      <c r="G30" s="6" t="inlineStr"/>
    </row>
    <row r="31">
      <c r="A31" s="5" t="inlineStr">
        <is>
          <t>AS (Attack Speed)</t>
        </is>
      </c>
      <c r="B31" s="6">
        <f>VLOOKUP($B$15,$A$9:$H$13,7,FALSE)+(VLOOKUP($B$15,$A$18:$G$22,7,FALSE))*($B$25-1)</f>
        <v/>
      </c>
      <c r="C31" s="4" t="n"/>
      <c r="D31" s="6">
        <f>VLOOKUP($B$15,$A$9:$H$13,7,FALSE)+(VLOOKUP($B$15,$A$18:$G$22,7,FALSE))*($B$25-1)</f>
        <v/>
      </c>
      <c r="F31" s="5" t="inlineStr">
        <is>
          <t>+Equipment</t>
        </is>
      </c>
      <c r="G31" s="6" t="inlineStr"/>
    </row>
    <row r="32">
      <c r="A32" s="5" t="inlineStr">
        <is>
          <t>MS (Move Speed)</t>
        </is>
      </c>
      <c r="B32" s="6">
        <f>VLOOKUP($B$15,$A$9:$H$13,8,FALSE)</f>
        <v/>
      </c>
      <c r="C32" s="4" t="n"/>
      <c r="D32" s="6">
        <f>VLOOKUP($B$15,$A$9:$H$13,8,FALSE)</f>
        <v/>
      </c>
      <c r="F32" s="5" t="inlineStr">
        <is>
          <t>+Equipment</t>
        </is>
      </c>
      <c r="G32" s="6" t="inlineStr"/>
    </row>
    <row r="33"/>
    <row r="34">
      <c r="A34" s="2" t="inlineStr">
        <is>
          <t>Derived Attributes</t>
        </is>
      </c>
      <c r="B34" s="3" t="n"/>
      <c r="C34" s="3" t="n"/>
      <c r="D34" s="3" t="n"/>
      <c r="E34" s="3" t="n"/>
      <c r="F34" s="3" t="n"/>
      <c r="G34" s="4" t="n"/>
    </row>
    <row r="35">
      <c r="A35" s="5" t="inlineStr">
        <is>
          <t>Critical Hit Chance (Crit)</t>
        </is>
      </c>
      <c r="B35" s="9" t="n">
        <v>0.05</v>
      </c>
      <c r="D35" s="5" t="inlineStr">
        <is>
          <t>+Equip Crit</t>
        </is>
      </c>
      <c r="E35" s="6" t="inlineStr"/>
      <c r="F35" s="5" t="inlineStr">
        <is>
          <t>Critical Hit Damage</t>
        </is>
      </c>
      <c r="G35" s="6" t="n">
        <v>1.75</v>
      </c>
    </row>
    <row r="36">
      <c r="A36" s="5" t="inlineStr">
        <is>
          <t>Cooldown Reduction (CDR)</t>
        </is>
      </c>
      <c r="B36" s="9" t="n">
        <v>0</v>
      </c>
      <c r="D36" s="5" t="inlineStr">
        <is>
          <t>Cap 40%</t>
        </is>
      </c>
    </row>
    <row r="37">
      <c r="A37" s="5" t="inlineStr">
        <is>
          <t>Armor Penetration (Lethality)</t>
        </is>
      </c>
      <c r="B37" s="6" t="inlineStr"/>
      <c r="D37" s="5" t="inlineStr">
        <is>
          <t>Magic Penetration (MgPen)</t>
        </is>
      </c>
      <c r="E37" s="6" t="inlineStr"/>
    </row>
    <row r="38">
      <c r="A38" s="5" t="inlineStr">
        <is>
          <t>Tenacity (Ten)</t>
        </is>
      </c>
      <c r="B38" s="9" t="n">
        <v>0</v>
      </c>
    </row>
    <row r="39">
      <c r="A39" s="2" t="inlineStr">
        <is>
          <t>Damage Reduction (auto)</t>
        </is>
      </c>
      <c r="B39" s="3" t="n"/>
      <c r="C39" s="3" t="n"/>
      <c r="D39" s="3" t="n"/>
      <c r="E39" s="3" t="n"/>
      <c r="F39" s="3" t="n"/>
      <c r="G39" s="4" t="n"/>
    </row>
    <row r="40">
      <c r="A40" s="5" t="inlineStr">
        <is>
          <t>Physical DR %</t>
        </is>
      </c>
      <c r="B40" s="10" t="inlineStr"/>
      <c r="D40" s="5" t="inlineStr">
        <is>
          <t>Effective HP vs Physical</t>
        </is>
      </c>
      <c r="E40" s="6">
        <f>B26*(1+B29/100)</f>
        <v/>
      </c>
    </row>
    <row r="41">
      <c r="A41" s="5" t="inlineStr">
        <is>
          <t>Magic DR %</t>
        </is>
      </c>
      <c r="B41" s="10" t="inlineStr"/>
      <c r="D41" s="5" t="inlineStr">
        <is>
          <t>Effective HP vs Magic</t>
        </is>
      </c>
      <c r="E41" s="6">
        <f>B26*(1+B30/100)</f>
        <v/>
      </c>
    </row>
    <row r="42">
      <c r="A42" s="5" t="inlineStr">
        <is>
          <t>AS Attack Rate</t>
        </is>
      </c>
      <c r="B42" s="6">
        <f>IF(B31&lt;1,"1次/回合",IF(B31&lt;1.5,"1次/回合",IF(B31&lt;2,"3次/2回合","2次/回合")))</f>
        <v/>
      </c>
    </row>
    <row r="43"/>
    <row r="44">
      <c r="A44" s="2" t="inlineStr">
        <is>
          <t>Equipment Slots (enter equipment stat bonuses)</t>
        </is>
      </c>
      <c r="B44" s="3" t="n"/>
      <c r="C44" s="3" t="n"/>
      <c r="D44" s="3" t="n"/>
      <c r="E44" s="3" t="n"/>
      <c r="F44" s="3" t="n"/>
      <c r="G44" s="4" t="n"/>
    </row>
    <row r="45">
      <c r="A45" s="5" t="inlineStr">
        <is>
          <t>Slot 1</t>
        </is>
      </c>
      <c r="B45" s="6" t="inlineStr"/>
      <c r="C45" s="3" t="n"/>
      <c r="D45" s="4" t="n"/>
      <c r="E45" s="5" t="inlineStr">
        <is>
          <t>HP+</t>
        </is>
      </c>
      <c r="F45" s="6" t="inlineStr"/>
      <c r="G45" s="5" t="inlineStr">
        <is>
          <t>AD+</t>
        </is>
      </c>
      <c r="H45" s="6" t="inlineStr"/>
    </row>
    <row r="46">
      <c r="A46" s="5" t="inlineStr">
        <is>
          <t>Slot 2</t>
        </is>
      </c>
      <c r="B46" s="6" t="inlineStr"/>
      <c r="C46" s="3" t="n"/>
      <c r="D46" s="4" t="n"/>
      <c r="E46" s="6" t="inlineStr"/>
      <c r="F46" s="6" t="inlineStr"/>
      <c r="G46" s="6" t="inlineStr"/>
      <c r="H46" s="6" t="inlineStr"/>
    </row>
    <row r="47">
      <c r="A47" s="5" t="inlineStr">
        <is>
          <t>Slot 3</t>
        </is>
      </c>
      <c r="B47" s="6" t="inlineStr"/>
      <c r="C47" s="3" t="n"/>
      <c r="D47" s="4" t="n"/>
      <c r="E47" s="6" t="inlineStr"/>
      <c r="F47" s="6" t="inlineStr"/>
      <c r="G47" s="6" t="inlineStr"/>
      <c r="H47" s="6" t="inlineStr"/>
    </row>
    <row r="48">
      <c r="A48" s="5" t="inlineStr">
        <is>
          <t>Slot 4</t>
        </is>
      </c>
      <c r="B48" s="6" t="inlineStr"/>
      <c r="C48" s="3" t="n"/>
      <c r="D48" s="4" t="n"/>
      <c r="E48" s="6" t="inlineStr"/>
      <c r="F48" s="6" t="inlineStr"/>
      <c r="G48" s="6" t="inlineStr"/>
      <c r="H48" s="6" t="inlineStr"/>
    </row>
    <row r="49">
      <c r="A49" s="5" t="inlineStr">
        <is>
          <t>Slot 5</t>
        </is>
      </c>
      <c r="B49" s="6" t="inlineStr"/>
      <c r="C49" s="3" t="n"/>
      <c r="D49" s="4" t="n"/>
      <c r="E49" s="6" t="inlineStr"/>
      <c r="F49" s="6" t="inlineStr"/>
      <c r="G49" s="6" t="inlineStr"/>
      <c r="H49" s="6" t="inlineStr"/>
    </row>
    <row r="50">
      <c r="A50" s="5" t="inlineStr">
        <is>
          <t>Slot 6</t>
        </is>
      </c>
      <c r="B50" s="6" t="inlineStr"/>
      <c r="C50" s="3" t="n"/>
      <c r="D50" s="4" t="n"/>
      <c r="E50" s="6" t="inlineStr"/>
      <c r="F50" s="6" t="inlineStr"/>
      <c r="G50" s="6" t="inlineStr"/>
      <c r="H50" s="6" t="inlineStr"/>
    </row>
    <row r="51">
      <c r="A51" s="5" t="inlineStr">
        <is>
          <t>Boots</t>
        </is>
      </c>
      <c r="B51" s="6" t="inlineStr"/>
      <c r="C51" s="3" t="n"/>
      <c r="D51" s="4" t="n"/>
    </row>
    <row r="52">
      <c r="A52" s="5" t="inlineStr">
        <is>
          <t>Trinket</t>
        </is>
      </c>
      <c r="B52" s="6" t="inlineStr"/>
      <c r="C52" s="3" t="n"/>
      <c r="D52" s="4" t="n"/>
    </row>
    <row r="53"/>
    <row r="54">
      <c r="A54" s="2" t="inlineStr">
        <is>
          <t>Skill Levels</t>
        </is>
      </c>
      <c r="B54" s="3" t="n"/>
      <c r="C54" s="3" t="n"/>
      <c r="D54" s="3" t="n"/>
      <c r="E54" s="3" t="n"/>
      <c r="F54" s="3" t="n"/>
      <c r="G54" s="4" t="n"/>
    </row>
    <row r="55">
      <c r="A55" s="5" t="inlineStr">
        <is>
          <t>Q Level</t>
        </is>
      </c>
      <c r="B55" s="6" t="inlineStr"/>
      <c r="D55" s="5" t="inlineStr">
        <is>
          <t>Q Name</t>
        </is>
      </c>
      <c r="E55" s="6" t="inlineStr"/>
      <c r="F55" s="4" t="n"/>
      <c r="G55" s="5" t="inlineStr">
        <is>
          <t>Max Lv. 5</t>
        </is>
      </c>
    </row>
    <row r="56">
      <c r="A56" s="5" t="inlineStr">
        <is>
          <t>W Level</t>
        </is>
      </c>
      <c r="B56" s="6" t="inlineStr"/>
      <c r="D56" s="5" t="inlineStr">
        <is>
          <t>W Name</t>
        </is>
      </c>
      <c r="E56" s="6" t="inlineStr"/>
      <c r="F56" s="4" t="n"/>
      <c r="G56" s="5" t="inlineStr">
        <is>
          <t>Max Lv. 5</t>
        </is>
      </c>
    </row>
    <row r="57">
      <c r="A57" s="5" t="inlineStr">
        <is>
          <t>E Level</t>
        </is>
      </c>
      <c r="B57" s="6" t="inlineStr"/>
      <c r="D57" s="5" t="inlineStr">
        <is>
          <t>E Name</t>
        </is>
      </c>
      <c r="E57" s="6" t="inlineStr"/>
      <c r="F57" s="4" t="n"/>
      <c r="G57" s="5" t="inlineStr">
        <is>
          <t>Max Lv. 5</t>
        </is>
      </c>
    </row>
    <row r="58">
      <c r="A58" s="5" t="inlineStr">
        <is>
          <t>R Level</t>
        </is>
      </c>
      <c r="B58" s="6" t="inlineStr"/>
      <c r="D58" s="5" t="inlineStr">
        <is>
          <t>R Name</t>
        </is>
      </c>
      <c r="E58" s="6" t="inlineStr"/>
      <c r="F58" s="4" t="n"/>
      <c r="G58" s="5" t="inlineStr">
        <is>
          <t>Max Lv. 3</t>
        </is>
      </c>
    </row>
    <row r="59"/>
    <row r="60">
      <c r="A60" s="2" t="inlineStr">
        <is>
          <t>Summoner Spell</t>
        </is>
      </c>
      <c r="B60" s="3" t="n"/>
      <c r="C60" s="3" t="n"/>
      <c r="D60" s="3" t="n"/>
      <c r="E60" s="3" t="n"/>
      <c r="F60" s="3" t="n"/>
      <c r="G60" s="4" t="n"/>
    </row>
    <row r="61">
      <c r="A61" s="5" t="inlineStr">
        <is>
          <t>Skill 1</t>
        </is>
      </c>
      <c r="B61" s="6" t="inlineStr"/>
      <c r="C61" s="4" t="n"/>
      <c r="D61" s="5" t="inlineStr">
        <is>
          <t>Cooldown</t>
        </is>
      </c>
      <c r="E61" s="6" t="inlineStr"/>
    </row>
    <row r="62">
      <c r="A62" s="5" t="inlineStr">
        <is>
          <t>Skill 2</t>
        </is>
      </c>
      <c r="B62" s="6" t="inlineStr"/>
      <c r="C62" s="4" t="n"/>
      <c r="D62" s="5" t="inlineStr">
        <is>
          <t>Cooldown</t>
        </is>
      </c>
      <c r="E62" s="6" t="inlineStr"/>
    </row>
    <row r="63"/>
    <row r="64">
      <c r="A64" s="2" t="inlineStr">
        <is>
          <t>Damage Calc Reference (manually enter target stats)</t>
        </is>
      </c>
      <c r="B64" s="3" t="n"/>
      <c r="C64" s="3" t="n"/>
      <c r="D64" s="3" t="n"/>
      <c r="E64" s="3" t="n"/>
      <c r="F64" s="3" t="n"/>
      <c r="G64" s="4" t="n"/>
    </row>
    <row r="65">
      <c r="A65" s="5" t="inlineStr">
        <is>
          <t>Target Armor</t>
        </is>
      </c>
      <c r="B65" s="6" t="inlineStr"/>
      <c r="D65" s="5" t="inlineStr">
        <is>
          <t>Target Magic Resist</t>
        </is>
      </c>
      <c r="E65" s="6" t="inlineStr"/>
    </row>
    <row r="66">
      <c r="A66" s="5" t="inlineStr">
        <is>
          <t>Physical Damage Multiplier</t>
        </is>
      </c>
      <c r="B66" s="11" t="inlineStr"/>
      <c r="D66" s="5" t="inlineStr">
        <is>
          <t>Magic Damage Multiplier</t>
        </is>
      </c>
      <c r="E66" s="11" t="inlineStr"/>
    </row>
    <row r="67">
      <c r="A67" s="5" t="inlineStr">
        <is>
          <t>Basic Attack Damage</t>
        </is>
      </c>
      <c r="B67" s="6">
        <f>B27*B66</f>
        <v/>
      </c>
      <c r="D67" s="5" t="inlineStr">
        <is>
          <t>Skill Damage Coefficient</t>
        </is>
      </c>
      <c r="E67" s="6" t="inlineStr"/>
    </row>
    <row r="68"/>
    <row r="69">
      <c r="A69" s="2" t="inlineStr">
        <is>
          <t>Talent Selection</t>
        </is>
      </c>
      <c r="B69" s="3" t="n"/>
      <c r="C69" s="3" t="n"/>
      <c r="D69" s="3" t="n"/>
      <c r="E69" s="3" t="n"/>
      <c r="F69" s="3" t="n"/>
      <c r="G69" s="4" t="n"/>
    </row>
    <row r="70">
      <c r="A70" s="5" t="inlineStr">
        <is>
          <t>Primary Core</t>
        </is>
      </c>
      <c r="B70" s="6" t="inlineStr"/>
      <c r="C70" s="3" t="n"/>
      <c r="D70" s="4" t="n"/>
    </row>
    <row r="71">
      <c r="A71" s="5" t="inlineStr">
        <is>
          <t>Primary Minor 1</t>
        </is>
      </c>
      <c r="B71" s="6" t="inlineStr"/>
      <c r="C71" s="3" t="n"/>
      <c r="D71" s="4" t="n"/>
    </row>
    <row r="72">
      <c r="A72" s="5" t="inlineStr">
        <is>
          <t>Primary Minor 2</t>
        </is>
      </c>
      <c r="B72" s="6" t="inlineStr"/>
      <c r="C72" s="3" t="n"/>
      <c r="D72" s="4" t="n"/>
    </row>
    <row r="73">
      <c r="A73" s="5" t="inlineStr">
        <is>
          <t>Secondary Minor</t>
        </is>
      </c>
      <c r="B73" s="6" t="inlineStr"/>
      <c r="C73" s="3" t="n"/>
      <c r="D73" s="4" t="n"/>
    </row>
    <row r="74">
      <c r="A74" s="5" t="inlineStr">
        <is>
          <t>Attribute Shards</t>
        </is>
      </c>
      <c r="B74" s="6" t="inlineStr"/>
      <c r="C74" s="6" t="inlineStr"/>
      <c r="D74" s="6" t="inlineStr"/>
    </row>
    <row r="75"/>
    <row r="76">
      <c r="A76" s="2" t="inlineStr">
        <is>
          <t>Notes</t>
        </is>
      </c>
      <c r="B76" s="3" t="n"/>
      <c r="C76" s="3" t="n"/>
      <c r="D76" s="3" t="n"/>
      <c r="E76" s="3" t="n"/>
      <c r="F76" s="3" t="n"/>
      <c r="G76" s="4" t="n"/>
    </row>
    <row r="77" ht="25" customHeight="1">
      <c r="A77" s="12" t="inlineStr"/>
      <c r="B77" s="3" t="n"/>
      <c r="C77" s="3" t="n"/>
      <c r="D77" s="3" t="n"/>
      <c r="E77" s="3" t="n"/>
      <c r="F77" s="3" t="n"/>
      <c r="G77" s="3" t="n"/>
      <c r="H77" s="4" t="n"/>
    </row>
    <row r="78" ht="25" customHeight="1">
      <c r="A78" s="12" t="inlineStr"/>
      <c r="B78" s="3" t="n"/>
      <c r="C78" s="3" t="n"/>
      <c r="D78" s="3" t="n"/>
      <c r="E78" s="3" t="n"/>
      <c r="F78" s="3" t="n"/>
      <c r="G78" s="3" t="n"/>
      <c r="H78" s="4" t="n"/>
    </row>
    <row r="79" ht="25" customHeight="1">
      <c r="A79" s="12" t="inlineStr"/>
      <c r="B79" s="3" t="n"/>
      <c r="C79" s="3" t="n"/>
      <c r="D79" s="3" t="n"/>
      <c r="E79" s="3" t="n"/>
      <c r="F79" s="3" t="n"/>
      <c r="G79" s="3" t="n"/>
      <c r="H79" s="4" t="n"/>
    </row>
    <row r="80" ht="25" customHeight="1">
      <c r="A80" s="12" t="inlineStr"/>
      <c r="B80" s="3" t="n"/>
      <c r="C80" s="3" t="n"/>
      <c r="D80" s="3" t="n"/>
      <c r="E80" s="3" t="n"/>
      <c r="F80" s="3" t="n"/>
      <c r="G80" s="3" t="n"/>
      <c r="H80" s="4" t="n"/>
    </row>
  </sheetData>
  <mergeCells count="45">
    <mergeCell ref="B62:C62"/>
    <mergeCell ref="A77:H77"/>
    <mergeCell ref="E55:F55"/>
    <mergeCell ref="B73:D73"/>
    <mergeCell ref="B31:C31"/>
    <mergeCell ref="A1:H1"/>
    <mergeCell ref="B27:C27"/>
    <mergeCell ref="A79:H79"/>
    <mergeCell ref="A44:G44"/>
    <mergeCell ref="A78:H78"/>
    <mergeCell ref="A39:G39"/>
    <mergeCell ref="A34:G34"/>
    <mergeCell ref="B49:D49"/>
    <mergeCell ref="B61:C61"/>
    <mergeCell ref="A24:G24"/>
    <mergeCell ref="A64:G64"/>
    <mergeCell ref="A80:H80"/>
    <mergeCell ref="A60:G60"/>
    <mergeCell ref="B51:D51"/>
    <mergeCell ref="B29:C29"/>
    <mergeCell ref="B45:D45"/>
    <mergeCell ref="E58:F58"/>
    <mergeCell ref="A69:G69"/>
    <mergeCell ref="B50:D50"/>
    <mergeCell ref="B28:C28"/>
    <mergeCell ref="A16:G16"/>
    <mergeCell ref="A54:G54"/>
    <mergeCell ref="A7:G7"/>
    <mergeCell ref="B47:D47"/>
    <mergeCell ref="E57:F57"/>
    <mergeCell ref="B72:D72"/>
    <mergeCell ref="B30:C30"/>
    <mergeCell ref="B15:C15"/>
    <mergeCell ref="B46:D46"/>
    <mergeCell ref="A3:G3"/>
    <mergeCell ref="B5:C5"/>
    <mergeCell ref="B71:D71"/>
    <mergeCell ref="B32:C32"/>
    <mergeCell ref="B52:D52"/>
    <mergeCell ref="B70:D70"/>
    <mergeCell ref="B26:C26"/>
    <mergeCell ref="A76:G76"/>
    <mergeCell ref="E56:F56"/>
    <mergeCell ref="B4:C4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45" customWidth="1" min="3" max="3"/>
  </cols>
  <sheetData>
    <row r="1">
      <c r="A1" s="1" t="inlineStr">
        <is>
          <t>League of Legends TRPG Formula Reference</t>
        </is>
      </c>
      <c r="B1" s="3" t="n"/>
      <c r="C1" s="4" t="n"/>
    </row>
    <row r="2"/>
    <row r="3">
      <c r="A3" s="2" t="inlineStr">
        <is>
          <t>Damage Formula</t>
        </is>
      </c>
      <c r="B3" s="4" t="n"/>
    </row>
    <row r="4">
      <c r="A4" s="5" t="inlineStr">
        <is>
          <t>Physical Damage</t>
        </is>
      </c>
      <c r="B4" s="12" t="inlineStr">
        <is>
          <t>AD x 100 / (100 + Target Armor - Armor Pen)</t>
        </is>
      </c>
      <c r="C4" s="13" t="inlineStr">
        <is>
          <t>For basic attacks and physical skills</t>
        </is>
      </c>
    </row>
    <row r="5">
      <c r="A5" s="5" t="inlineStr">
        <is>
          <t>Magic Damage</t>
        </is>
      </c>
      <c r="B5" s="12" t="inlineStr">
        <is>
          <t>AP x 100 / (100 + Target MR - Magic Pen)</t>
        </is>
      </c>
      <c r="C5" s="13" t="inlineStr">
        <is>
          <t>For magic skills</t>
        </is>
      </c>
    </row>
    <row r="6">
      <c r="A6" s="5" t="inlineStr">
        <is>
          <t>True Damage</t>
        </is>
      </c>
      <c r="B6" s="12" t="inlineStr">
        <is>
          <t>Base Damage Value</t>
        </is>
      </c>
      <c r="C6" s="13" t="inlineStr">
        <is>
          <t>Ignores all resistances</t>
        </is>
      </c>
    </row>
    <row r="7">
      <c r="A7" s="5" t="inlineStr">
        <is>
          <t>Critical Hit Damage</t>
        </is>
      </c>
      <c r="B7" s="12" t="inlineStr">
        <is>
          <t>Physical Damage x (175% + equipment bonus)</t>
        </is>
      </c>
      <c r="C7" s="13" t="inlineStr">
        <is>
          <t>Crit Check: d20 &lt;= Crit Chance x20</t>
        </is>
      </c>
    </row>
    <row r="8"/>
    <row r="9">
      <c r="A9" s="2" t="inlineStr">
        <is>
          <t>Check Formula</t>
        </is>
      </c>
      <c r="B9" s="4" t="n"/>
    </row>
    <row r="10">
      <c r="A10" s="5" t="inlineStr">
        <is>
          <t>Skill Check</t>
        </is>
      </c>
      <c r="B10" s="12" t="inlineStr">
        <is>
          <t>d20 + Ability Mod + Proficiency Bonus vs DC</t>
        </is>
      </c>
      <c r="C10" s="13" t="inlineStr">
        <is>
          <t>Non-combat Scenes</t>
        </is>
      </c>
    </row>
    <row r="11">
      <c r="A11" s="5" t="inlineStr">
        <is>
          <t>Non-Targeted Skill</t>
        </is>
      </c>
      <c r="B11" s="12" t="inlineStr">
        <is>
          <t>d20 + Hit Mod vs 10 + Move Speed Mod</t>
        </is>
      </c>
      <c r="C11" s="13" t="inlineStr">
        <is>
          <t>Skill Ranged Check</t>
        </is>
      </c>
    </row>
    <row r="12">
      <c r="A12" s="5" t="inlineStr">
        <is>
          <t>Initiative</t>
        </is>
      </c>
      <c r="B12" s="12" t="inlineStr">
        <is>
          <t>d20 + AS Mod + AGI Mod</t>
        </is>
      </c>
      <c r="C12" s="13" t="inlineStr">
        <is>
          <t>Once per battle</t>
        </is>
      </c>
    </row>
    <row r="13">
      <c r="A13" s="5" t="inlineStr">
        <is>
          <t>Crit Check</t>
        </is>
      </c>
      <c r="B13" s="12" t="inlineStr">
        <is>
          <t>d20 &lt;= Crit Chance x20</t>
        </is>
      </c>
      <c r="C13" s="13" t="inlineStr">
        <is>
          <t>nat20 always crits, nat1 never crits</t>
        </is>
      </c>
    </row>
    <row r="14"/>
    <row r="15">
      <c r="A15" s="2" t="inlineStr">
        <is>
          <t>Armor DR Quick Ref</t>
        </is>
      </c>
      <c r="B15" s="4" t="n"/>
    </row>
    <row r="16">
      <c r="A16" s="5" t="inlineStr">
        <is>
          <t>DR Formula</t>
        </is>
      </c>
      <c r="B16" s="12" t="inlineStr">
        <is>
          <t>DR% = Armor / (Armor + 100)</t>
        </is>
      </c>
      <c r="C16" s="13" t="inlineStr">
        <is>
          <t>Armor 50 = 33.3% DR</t>
        </is>
      </c>
    </row>
    <row r="17">
      <c r="A17" s="5" t="inlineStr">
        <is>
          <t>Effective HP</t>
        </is>
      </c>
      <c r="B17" s="12" t="inlineStr">
        <is>
          <t>EHP = HP x (1 + Armor/100)</t>
        </is>
      </c>
      <c r="C17" s="13" t="inlineStr">
        <is>
          <t>Armor 100 = double Effective HP</t>
        </is>
      </c>
    </row>
    <row r="18"/>
    <row r="19">
      <c r="A19" s="2" t="inlineStr">
        <is>
          <t>AS Attack Rate</t>
        </is>
      </c>
      <c r="B19" s="4" t="n"/>
    </row>
    <row r="20">
      <c r="A20" s="5" t="inlineStr">
        <is>
          <t>0.50-0.99</t>
        </is>
      </c>
      <c r="B20" s="12" t="inlineStr">
        <is>
          <t>1 per round</t>
        </is>
      </c>
      <c r="C20" s="13" t="inlineStr">
        <is>
          <t>Guaranteed Attack</t>
        </is>
      </c>
    </row>
    <row r="21">
      <c r="A21" s="5" t="inlineStr">
        <is>
          <t>1.00-1.49</t>
        </is>
      </c>
      <c r="B21" s="12" t="inlineStr">
        <is>
          <t>1 per round</t>
        </is>
      </c>
      <c r="C21" s="13" t="inlineStr">
        <is>
          <t>Standard Line</t>
        </is>
      </c>
    </row>
    <row r="22">
      <c r="A22" s="5" t="inlineStr">
        <is>
          <t>1.50-1.99</t>
        </is>
      </c>
      <c r="B22" s="12" t="inlineStr">
        <is>
          <t>3 attacks / 2 rounds</t>
        </is>
      </c>
      <c r="C22" s="13" t="inlineStr">
        <is>
          <t>Odd-Even Round System</t>
        </is>
      </c>
    </row>
    <row r="23">
      <c r="A23" s="5" t="inlineStr">
        <is>
          <t>2.00+</t>
        </is>
      </c>
      <c r="B23" s="12" t="inlineStr">
        <is>
          <t>2 per round</t>
        </is>
      </c>
      <c r="C23" s="13" t="inlineStr">
        <is>
          <t>High-Speed Line</t>
        </is>
      </c>
    </row>
    <row r="24"/>
    <row r="25">
      <c r="A25" s="5" t="inlineStr">
        <is>
          <t>Cooldown Reduction (CDR)</t>
        </is>
      </c>
      <c r="B25" s="12" t="inlineStr">
        <is>
          <t>Every 10% CDR reduces cooldown by 1 round</t>
        </is>
      </c>
      <c r="C25" s="13" t="inlineStr">
        <is>
          <t>Min 1 round, max 40%</t>
        </is>
      </c>
    </row>
    <row r="26"/>
    <row r="27">
      <c r="A27" s="5" t="inlineStr">
        <is>
          <t>Tenacity</t>
        </is>
      </c>
      <c r="B27" s="12" t="inlineStr">
        <is>
          <t>Actual Duration = Base x (1 - Tenacity%)</t>
        </is>
      </c>
      <c r="C27" s="13" t="inlineStr">
        <is>
          <t>Round up, min 1 round</t>
        </is>
      </c>
    </row>
    <row r="28"/>
    <row r="29">
      <c r="A29" s="2" t="inlineStr">
        <is>
          <t>EXP Curve</t>
        </is>
      </c>
      <c r="B29" s="4" t="n"/>
    </row>
    <row r="30">
      <c r="A30" s="5" t="inlineStr">
        <is>
          <t>1-&gt;2</t>
        </is>
      </c>
      <c r="B30" s="12" t="inlineStr">
        <is>
          <t>280 EXP</t>
        </is>
      </c>
      <c r="C30" s="13" t="inlineStr"/>
    </row>
    <row r="31">
      <c r="A31" s="5" t="inlineStr">
        <is>
          <t>17-&gt;18</t>
        </is>
      </c>
      <c r="B31" s="12" t="inlineStr">
        <is>
          <t>1,100 EXP</t>
        </is>
      </c>
      <c r="C31" s="13" t="inlineStr">
        <is>
          <t>Cumulative 12,420 EXP to max level</t>
        </is>
      </c>
    </row>
  </sheetData>
  <mergeCells count="6">
    <mergeCell ref="A29:B29"/>
    <mergeCell ref="A15:B15"/>
    <mergeCell ref="A1:C1"/>
    <mergeCell ref="A19:B19"/>
    <mergeCell ref="A9:B9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Damage Calculator (enter yellow cells)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Your Attributes</t>
        </is>
      </c>
      <c r="B3" s="3" t="n"/>
      <c r="C3" s="3" t="n"/>
      <c r="D3" s="3" t="n"/>
      <c r="E3" s="4" t="n"/>
    </row>
    <row r="4">
      <c r="A4" s="5" t="inlineStr">
        <is>
          <t>AD</t>
        </is>
      </c>
      <c r="B4" s="6" t="n">
        <v>65</v>
      </c>
    </row>
    <row r="5">
      <c r="A5" s="5" t="inlineStr">
        <is>
          <t>AP</t>
        </is>
      </c>
      <c r="B5" s="6" t="n">
        <v>0</v>
      </c>
    </row>
    <row r="6">
      <c r="A6" s="5" t="inlineStr">
        <is>
          <t>Armor Penetration</t>
        </is>
      </c>
      <c r="B6" s="6" t="n">
        <v>0</v>
      </c>
    </row>
    <row r="7">
      <c r="A7" s="5" t="inlineStr">
        <is>
          <t>Magic Penetration</t>
        </is>
      </c>
      <c r="B7" s="6" t="n">
        <v>0</v>
      </c>
    </row>
    <row r="8">
      <c r="A8" s="5" t="inlineStr">
        <is>
          <t>Crit Chance %</t>
        </is>
      </c>
      <c r="B8" s="6" t="n">
        <v>5</v>
      </c>
    </row>
    <row r="9">
      <c r="A9" s="5" t="inlineStr">
        <is>
          <t>Crit Damage %</t>
        </is>
      </c>
      <c r="B9" s="6" t="n">
        <v>175</v>
      </c>
    </row>
    <row r="10"/>
    <row r="11">
      <c r="A11" s="2" t="inlineStr">
        <is>
          <t>Target Attributes</t>
        </is>
      </c>
      <c r="B11" s="3" t="n"/>
      <c r="C11" s="3" t="n"/>
      <c r="D11" s="3" t="n"/>
      <c r="E11" s="4" t="n"/>
    </row>
    <row r="12">
      <c r="A12" s="5" t="inlineStr">
        <is>
          <t>Armor</t>
        </is>
      </c>
      <c r="B12" s="6" t="n">
        <v>50</v>
      </c>
    </row>
    <row r="13">
      <c r="A13" s="5" t="inlineStr">
        <is>
          <t>Magic Resist</t>
        </is>
      </c>
      <c r="B13" s="6" t="n">
        <v>40</v>
      </c>
    </row>
    <row r="14"/>
    <row r="15">
      <c r="A15" s="2" t="inlineStr">
        <is>
          <t>Result</t>
        </is>
      </c>
      <c r="B15" s="3" t="n"/>
      <c r="C15" s="3" t="n"/>
      <c r="D15" s="3" t="n"/>
      <c r="E15" s="4" t="n"/>
    </row>
    <row r="16">
      <c r="A16" s="5" t="inlineStr">
        <is>
          <t>Physical Damage Multiplier</t>
        </is>
      </c>
      <c r="B16" s="11" t="inlineStr"/>
    </row>
    <row r="17">
      <c r="A17" s="5" t="inlineStr">
        <is>
          <t>Magic Damage Multiplier</t>
        </is>
      </c>
      <c r="B17" s="11" t="inlineStr"/>
    </row>
    <row r="18">
      <c r="A18" s="5" t="inlineStr">
        <is>
          <t>Basic Attack Damage</t>
        </is>
      </c>
      <c r="B18" s="6">
        <f>B4*B16</f>
        <v/>
      </c>
    </row>
    <row r="19">
      <c r="A19" s="5" t="inlineStr">
        <is>
          <t>Skill Damage Coefficient</t>
        </is>
      </c>
      <c r="B19" s="6" t="n">
        <v>1</v>
      </c>
    </row>
    <row r="20">
      <c r="A20" s="5" t="inlineStr">
        <is>
          <t>Final Physical Skill Damage</t>
        </is>
      </c>
      <c r="B20" s="6">
        <f>B4*B19*B16</f>
        <v/>
      </c>
    </row>
    <row r="21">
      <c r="A21" s="5" t="inlineStr">
        <is>
          <t>Final Magic Skill Damage</t>
        </is>
      </c>
      <c r="B21" s="6">
        <f>B5*B19*B17</f>
        <v/>
      </c>
    </row>
    <row r="22">
      <c r="A22" s="5" t="inlineStr">
        <is>
          <t>Expected Crit Damage</t>
        </is>
      </c>
      <c r="B22" s="6">
        <f>(B4*B16)*(1+(B8/100)*(B9/100-1))</f>
        <v/>
      </c>
    </row>
  </sheetData>
  <mergeCells count="4">
    <mergeCell ref="A11:E11"/>
    <mergeCell ref="A15:E15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2026-06-18T07:33:50Z</dcterms:created>
  <dcterms:modified xsi:type="dcterms:W3CDTF">2026-08-11T10:16:14Z</dcterms:modified>
</cp:coreProperties>
</file>