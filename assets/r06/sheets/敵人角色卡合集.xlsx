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變異鼠（S1）" sheetId="1" state="visible" r:id="rId1"/>
    <sheet name="巢穴守衛（S1）" sheetId="2" state="visible" r:id="rId2"/>
    <sheet name="AI 守護者防禦陣列（S2）" sheetId="3" state="visible" r:id="rId3"/>
    <sheet name="原型體Ω（S2）" sheetId="4" state="visible" r:id="rId4"/>
    <sheet name="生物機甲（S3）" sheetId="5" state="visible" r:id="rId5"/>
    <sheet name="千面主教（S3 BOSS）" sheetId="6" state="visible" r:id="rId6"/>
    <sheet name="荒野之王扎拉克斯（S4 BOSS）" sheetId="7" state="visible" r:id="rId7"/>
    <sheet name="不朽的凱恩（S4 最終 BOSS）" sheetId="8" state="visible" r:id="rId8"/>
    <sheet name="深淵守門者（S5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DC143C"/>
        <bgColor rgb="00DC143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變異鼠</t>
        </is>
      </c>
      <c r="B4" s="3" t="inlineStr">
        <is>
          <t>嘍囉</t>
        </is>
      </c>
      <c r="C4" s="3" t="inlineStr">
        <is>
          <t>S1</t>
        </is>
      </c>
      <c r="D4" s="3" t="inlineStr">
        <is>
          <t>1/隻</t>
        </is>
      </c>
      <c r="E4" s="3" t="inlineStr">
        <is>
          <t>1/隻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2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5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2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3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1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噬咬</t>
        </is>
      </c>
      <c r="B25" s="3" t="inlineStr">
        <is>
          <t>低級</t>
        </is>
      </c>
      <c r="C25" s="3" t="inlineStr">
        <is>
          <t>1</t>
        </is>
      </c>
      <c r="D25" s="3" t="inlineStr">
        <is>
          <t>0</t>
        </is>
      </c>
      <c r="E25" s="3" t="inlineStr">
        <is>
          <t>近戰 1d4+2，附帶疾病（體質 DC 10 否則中毒）</t>
        </is>
      </c>
      <c r="F25" s="3" t="inlineStr">
        <is>
          <t>無</t>
        </is>
      </c>
    </row>
    <row r="26"/>
    <row r="27">
      <c r="A27" s="4" t="inlineStr">
        <is>
          <t>可吸收特質樣本</t>
        </is>
      </c>
      <c r="B27" s="7" t="n"/>
      <c r="C27" s="7" t="n"/>
      <c r="D27" s="7" t="n"/>
      <c r="E27" s="7" t="n"/>
      <c r="F27" s="8" t="n"/>
    </row>
    <row r="28">
      <c r="A28" s="5" t="inlineStr">
        <is>
          <t>節點名稱</t>
        </is>
      </c>
      <c r="B28" s="5" t="inlineStr">
        <is>
          <t>類型</t>
        </is>
      </c>
      <c r="C28" s="5" t="inlineStr">
        <is>
          <t>效果</t>
        </is>
      </c>
      <c r="D28" s="5" t="inlineStr">
        <is>
          <t>成本</t>
        </is>
      </c>
      <c r="E28" s="5" t="inlineStr"/>
      <c r="F28" s="5" t="inlineStr"/>
    </row>
    <row r="29">
      <c r="A29" s="3" t="inlineStr">
        <is>
          <t>夜視</t>
        </is>
      </c>
      <c r="B29" s="3" t="inlineStr">
        <is>
          <t>被動</t>
        </is>
      </c>
      <c r="C29" s="3" t="inlineStr">
        <is>
          <t>黑暗中無劣勢</t>
        </is>
      </c>
      <c r="D29" s="3" t="inlineStr">
        <is>
          <t>2</t>
        </is>
      </c>
    </row>
    <row r="30">
      <c r="A30" s="3" t="inlineStr">
        <is>
          <t>挖地潛行</t>
        </is>
      </c>
      <c r="B30" s="3" t="inlineStr">
        <is>
          <t>低級主動</t>
        </is>
      </c>
      <c r="C30" s="3" t="inlineStr">
        <is>
          <t>鑽入地下→下回合任意位置破土 + 1d6</t>
        </is>
      </c>
      <c r="D30" s="3" t="inlineStr">
        <is>
          <t>2</t>
        </is>
      </c>
    </row>
    <row r="31">
      <c r="A31" s="3" t="inlineStr">
        <is>
          <t>疾病抗性</t>
        </is>
      </c>
      <c r="B31" s="3" t="inlineStr">
        <is>
          <t>被動</t>
        </is>
      </c>
      <c r="C31" s="3" t="inlineStr">
        <is>
          <t>中毒持續時間減半</t>
        </is>
      </c>
      <c r="D31" s="3" t="inlineStr">
        <is>
          <t>2</t>
        </is>
      </c>
    </row>
    <row r="32"/>
    <row r="33">
      <c r="A33" s="4" t="inlineStr">
        <is>
          <t>行為 AI / 戰術備註</t>
        </is>
      </c>
      <c r="B33" s="7" t="n"/>
      <c r="C33" s="7" t="n"/>
      <c r="D33" s="7" t="n"/>
      <c r="E33" s="7" t="n"/>
      <c r="F33" s="8" t="n"/>
    </row>
    <row r="34">
      <c r="A34" s="6" t="inlineStr">
        <is>
          <t>優先攻擊最近的目標。瀕死時會逃跑（意志 DC 12）。</t>
        </is>
      </c>
      <c r="B34" s="9" t="n"/>
      <c r="C34" s="9" t="n"/>
      <c r="D34" s="9" t="n"/>
      <c r="E34" s="9" t="n"/>
      <c r="F34" s="10" t="n"/>
    </row>
    <row r="35">
      <c r="A35" s="11" t="n"/>
      <c r="F35" s="12" t="n"/>
    </row>
    <row r="36">
      <c r="A36" s="11" t="n"/>
      <c r="F36" s="12" t="n"/>
    </row>
    <row r="37">
      <c r="A37" s="11" t="n"/>
      <c r="F37" s="12" t="n"/>
    </row>
    <row r="38">
      <c r="A38" s="13" t="n"/>
      <c r="B38" s="14" t="n"/>
      <c r="C38" s="14" t="n"/>
      <c r="D38" s="14" t="n"/>
      <c r="E38" s="14" t="n"/>
      <c r="F38" s="15" t="n"/>
    </row>
  </sheetData>
  <mergeCells count="7">
    <mergeCell ref="A33:F33"/>
    <mergeCell ref="A14:F14"/>
    <mergeCell ref="A1:F1"/>
    <mergeCell ref="A23:F23"/>
    <mergeCell ref="A27:F27"/>
    <mergeCell ref="A34:F38"/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巢穴守衛</t>
        </is>
      </c>
      <c r="B4" s="3" t="inlineStr">
        <is>
          <t>精英</t>
        </is>
      </c>
      <c r="C4" s="3" t="inlineStr">
        <is>
          <t>S1</t>
        </is>
      </c>
      <c r="D4" s="3" t="inlineStr">
        <is>
          <t>5</t>
        </is>
      </c>
      <c r="E4" s="3" t="inlineStr">
        <is>
          <t>3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7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5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6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7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3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尾刺</t>
        </is>
      </c>
      <c r="B25" s="3" t="inlineStr">
        <is>
          <t>低級</t>
        </is>
      </c>
      <c r="C25" s="3" t="inlineStr">
        <is>
          <t>1</t>
        </is>
      </c>
      <c r="D25" s="3" t="inlineStr">
        <is>
          <t>1</t>
        </is>
      </c>
      <c r="E25" s="3" t="inlineStr">
        <is>
          <t>近戰 1d8+3 穿刺 + 中毒（體質 DC 13）</t>
        </is>
      </c>
      <c r="F25" s="3" t="inlineStr">
        <is>
          <t>無</t>
        </is>
      </c>
    </row>
    <row r="26">
      <c r="A26" s="3" t="inlineStr">
        <is>
          <t>骨板衝撞</t>
        </is>
      </c>
      <c r="B26" s="3" t="inlineStr">
        <is>
          <t>低級</t>
        </is>
      </c>
      <c r="C26" s="3" t="inlineStr">
        <is>
          <t>1</t>
        </is>
      </c>
      <c r="D26" s="3" t="inlineStr">
        <is>
          <t>0</t>
        </is>
      </c>
      <c r="E26" s="3" t="inlineStr">
        <is>
          <t>近戰 1d6+3 鈍擊 + 後退 2 格（力量 DC 14）</t>
        </is>
      </c>
      <c r="F26" s="3" t="inlineStr">
        <is>
          <t>無</t>
        </is>
      </c>
    </row>
    <row r="27">
      <c r="A27" s="3" t="inlineStr">
        <is>
          <t>複眼鎖定</t>
        </is>
      </c>
      <c r="B27" s="3" t="inlineStr">
        <is>
          <t>被動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感知（GZ）檢定優勢，對潛行目標無劣勢</t>
        </is>
      </c>
      <c r="F27" s="3" t="inlineStr">
        <is>
          <t>—</t>
        </is>
      </c>
    </row>
    <row r="28"/>
    <row r="29">
      <c r="A29" s="4" t="inlineStr">
        <is>
          <t>可吸收特質樣本</t>
        </is>
      </c>
      <c r="B29" s="7" t="n"/>
      <c r="C29" s="7" t="n"/>
      <c r="D29" s="7" t="n"/>
      <c r="E29" s="7" t="n"/>
      <c r="F29" s="8" t="n"/>
    </row>
    <row r="30">
      <c r="A30" s="5" t="inlineStr">
        <is>
          <t>節點名稱</t>
        </is>
      </c>
      <c r="B30" s="5" t="inlineStr">
        <is>
          <t>類型</t>
        </is>
      </c>
      <c r="C30" s="5" t="inlineStr">
        <is>
          <t>效果</t>
        </is>
      </c>
      <c r="D30" s="5" t="inlineStr">
        <is>
          <t>成本</t>
        </is>
      </c>
      <c r="E30" s="5" t="inlineStr"/>
      <c r="F30" s="5" t="inlineStr"/>
    </row>
    <row r="31">
      <c r="A31" s="3" t="inlineStr">
        <is>
          <t>複眼雛形</t>
        </is>
      </c>
      <c r="B31" s="3" t="inlineStr">
        <is>
          <t>器官</t>
        </is>
      </c>
      <c r="C31" s="3" t="inlineStr">
        <is>
          <t>感知（GZ）優勢，意志（YZ）劣勢</t>
        </is>
      </c>
      <c r="D31" s="3" t="inlineStr">
        <is>
          <t>4+4</t>
        </is>
      </c>
    </row>
    <row r="32">
      <c r="A32" s="3" t="inlineStr">
        <is>
          <t>硬化皮膚</t>
        </is>
      </c>
      <c r="B32" s="3" t="inlineStr">
        <is>
          <t>被動</t>
        </is>
      </c>
      <c r="C32" s="3" t="inlineStr">
        <is>
          <t>物理傷害 -1</t>
        </is>
      </c>
      <c r="D32" s="3" t="inlineStr">
        <is>
          <t>2</t>
        </is>
      </c>
    </row>
    <row r="33">
      <c r="A33" s="3" t="inlineStr">
        <is>
          <t>尾刺</t>
        </is>
      </c>
      <c r="B33" s="3" t="inlineStr">
        <is>
          <t>低級主動</t>
        </is>
      </c>
      <c r="C33" s="3" t="inlineStr">
        <is>
          <t>1d8+穿刺+中毒</t>
        </is>
      </c>
      <c r="D33" s="3" t="inlineStr">
        <is>
          <t>2</t>
        </is>
      </c>
    </row>
    <row r="34"/>
    <row r="35">
      <c r="A35" s="4" t="inlineStr">
        <is>
          <t>行為 AI / 戰術備註</t>
        </is>
      </c>
      <c r="B35" s="7" t="n"/>
      <c r="C35" s="7" t="n"/>
      <c r="D35" s="7" t="n"/>
      <c r="E35" s="7" t="n"/>
      <c r="F35" s="8" t="n"/>
    </row>
    <row r="36">
      <c r="A36" s="6" t="inlineStr">
        <is>
          <t>守在門口，攻擊接近者。玩家靠近門時狂暴（攻擊 +2）。</t>
        </is>
      </c>
      <c r="B36" s="9" t="n"/>
      <c r="C36" s="9" t="n"/>
      <c r="D36" s="9" t="n"/>
      <c r="E36" s="9" t="n"/>
      <c r="F36" s="10" t="n"/>
    </row>
    <row r="37">
      <c r="A37" s="11" t="n"/>
      <c r="F37" s="12" t="n"/>
    </row>
    <row r="38">
      <c r="A38" s="11" t="n"/>
      <c r="F38" s="12" t="n"/>
    </row>
    <row r="39">
      <c r="A39" s="11" t="n"/>
      <c r="F39" s="12" t="n"/>
    </row>
    <row r="40">
      <c r="A40" s="13" t="n"/>
      <c r="B40" s="14" t="n"/>
      <c r="C40" s="14" t="n"/>
      <c r="D40" s="14" t="n"/>
      <c r="E40" s="14" t="n"/>
      <c r="F40" s="15" t="n"/>
    </row>
  </sheetData>
  <mergeCells count="7">
    <mergeCell ref="A36:F40"/>
    <mergeCell ref="A14:F14"/>
    <mergeCell ref="A1:F1"/>
    <mergeCell ref="A23:F23"/>
    <mergeCell ref="A6:F6"/>
    <mergeCell ref="A35:F35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防禦陣列</t>
        </is>
      </c>
      <c r="B4" s="3" t="inlineStr">
        <is>
          <t>精英</t>
        </is>
      </c>
      <c r="C4" s="3" t="inlineStr">
        <is>
          <t>S2</t>
        </is>
      </c>
      <c r="D4" s="3" t="inlineStr">
        <is>
          <t>3</t>
        </is>
      </c>
      <c r="E4" s="3" t="inlineStr">
        <is>
          <t>2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5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4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7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6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5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雷射砲</t>
        </is>
      </c>
      <c r="B25" s="3" t="inlineStr">
        <is>
          <t>中級</t>
        </is>
      </c>
      <c r="C25" s="3" t="inlineStr">
        <is>
          <t>2</t>
        </is>
      </c>
      <c r="D25" s="3" t="inlineStr">
        <is>
          <t>3</t>
        </is>
      </c>
      <c r="E25" s="3" t="inlineStr">
        <is>
          <t>遠程 2d8+3 火焰</t>
        </is>
      </c>
      <c r="F25" s="3" t="inlineStr">
        <is>
          <t>1 回合</t>
        </is>
      </c>
    </row>
    <row r="26">
      <c r="A26" s="3" t="inlineStr">
        <is>
          <t>力場護盾</t>
        </is>
      </c>
      <c r="B26" s="3" t="inlineStr">
        <is>
          <t>低級</t>
        </is>
      </c>
      <c r="C26" s="3" t="inlineStr">
        <is>
          <t>1</t>
        </is>
      </c>
      <c r="D26" s="3" t="inlineStr">
        <is>
          <t>2</t>
        </is>
      </c>
      <c r="E26" s="3" t="inlineStr">
        <is>
          <t>自身及附近友方 +2 防禦（持續 2 回合）</t>
        </is>
      </c>
      <c r="F26" s="3" t="inlineStr">
        <is>
          <t>2 回合</t>
        </is>
      </c>
    </row>
    <row r="27">
      <c r="A27" s="3" t="inlineStr">
        <is>
          <t>冷凍光束</t>
        </is>
      </c>
      <c r="B27" s="3" t="inlineStr">
        <is>
          <t>中級</t>
        </is>
      </c>
      <c r="C27" s="3" t="inlineStr">
        <is>
          <t>2</t>
        </is>
      </c>
      <c r="D27" s="3" t="inlineStr">
        <is>
          <t>3</t>
        </is>
      </c>
      <c r="E27" s="3" t="inlineStr">
        <is>
          <t>遠程 2d6+3 冰霜 + 冰凍</t>
        </is>
      </c>
      <c r="F27" s="3" t="inlineStr">
        <is>
          <t>1 回合</t>
        </is>
      </c>
    </row>
    <row r="28"/>
    <row r="29">
      <c r="A29" s="4" t="inlineStr">
        <is>
          <t>行為 AI / 戰術備註</t>
        </is>
      </c>
      <c r="B29" s="7" t="n"/>
      <c r="C29" s="7" t="n"/>
      <c r="D29" s="7" t="n"/>
      <c r="E29" s="7" t="n"/>
      <c r="F29" s="8" t="n"/>
    </row>
    <row r="30">
      <c r="A30" s="6" t="inlineStr">
        <is>
          <t>優先保護實驗室核心區域。使用護盾後再用雷射砲。機械體，無法被吸收。</t>
        </is>
      </c>
      <c r="B30" s="9" t="n"/>
      <c r="C30" s="9" t="n"/>
      <c r="D30" s="9" t="n"/>
      <c r="E30" s="9" t="n"/>
      <c r="F30" s="10" t="n"/>
    </row>
    <row r="31">
      <c r="A31" s="11" t="n"/>
      <c r="F31" s="12" t="n"/>
    </row>
    <row r="32">
      <c r="A32" s="11" t="n"/>
      <c r="F32" s="12" t="n"/>
    </row>
    <row r="33">
      <c r="A33" s="11" t="n"/>
      <c r="F33" s="12" t="n"/>
    </row>
    <row r="34">
      <c r="A34" s="13" t="n"/>
      <c r="B34" s="14" t="n"/>
      <c r="C34" s="14" t="n"/>
      <c r="D34" s="14" t="n"/>
      <c r="E34" s="14" t="n"/>
      <c r="F34" s="15" t="n"/>
    </row>
  </sheetData>
  <mergeCells count="6">
    <mergeCell ref="A14:F14"/>
    <mergeCell ref="A1:F1"/>
    <mergeCell ref="A23:F23"/>
    <mergeCell ref="A6:F6"/>
    <mergeCell ref="A30:F34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原型體 Ω</t>
        </is>
      </c>
      <c r="B4" s="3" t="inlineStr">
        <is>
          <t>首領</t>
        </is>
      </c>
      <c r="C4" s="3" t="inlineStr">
        <is>
          <t>S2</t>
        </is>
      </c>
      <c r="D4" s="3" t="inlineStr">
        <is>
          <t>10</t>
        </is>
      </c>
      <c r="E4" s="3" t="inlineStr">
        <is>
          <t>5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8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6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8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4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10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基因崩潰</t>
        </is>
      </c>
      <c r="B25" s="3" t="inlineStr">
        <is>
          <t>高級</t>
        </is>
      </c>
      <c r="C25" s="3" t="inlineStr">
        <is>
          <t>3</t>
        </is>
      </c>
      <c r="D25" s="3" t="inlineStr">
        <is>
          <t>5</t>
        </is>
      </c>
      <c r="E25" s="3" t="inlineStr">
        <is>
          <t>意志 DC 16 否則失去隨機節點效果 3 回合</t>
        </is>
      </c>
      <c r="F25" s="3" t="inlineStr">
        <is>
          <t>3 回合</t>
        </is>
      </c>
    </row>
    <row r="26">
      <c r="A26" s="3" t="inlineStr">
        <is>
          <t>多形攻擊</t>
        </is>
      </c>
      <c r="B26" s="3" t="inlineStr">
        <is>
          <t>中級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同時對所有目標進行一次攻擊</t>
        </is>
      </c>
      <c r="F26" s="3" t="inlineStr">
        <is>
          <t>2 回合</t>
        </is>
      </c>
    </row>
    <row r="27">
      <c r="A27" s="3" t="inlineStr">
        <is>
          <t>能量吞噬</t>
        </is>
      </c>
      <c r="B27" s="3" t="inlineStr">
        <is>
          <t>被動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每次被進化技能攻擊恢復 2 能量</t>
        </is>
      </c>
      <c r="F27" s="3" t="inlineStr">
        <is>
          <t>—</t>
        </is>
      </c>
    </row>
    <row r="28"/>
    <row r="29">
      <c r="A29" s="4" t="inlineStr">
        <is>
          <t>可吸收特質樣本</t>
        </is>
      </c>
      <c r="B29" s="7" t="n"/>
      <c r="C29" s="7" t="n"/>
      <c r="D29" s="7" t="n"/>
      <c r="E29" s="7" t="n"/>
      <c r="F29" s="8" t="n"/>
    </row>
    <row r="30">
      <c r="A30" s="5" t="inlineStr">
        <is>
          <t>節點名稱</t>
        </is>
      </c>
      <c r="B30" s="5" t="inlineStr">
        <is>
          <t>類型</t>
        </is>
      </c>
      <c r="C30" s="5" t="inlineStr">
        <is>
          <t>效果</t>
        </is>
      </c>
      <c r="D30" s="5" t="inlineStr">
        <is>
          <t>成本</t>
        </is>
      </c>
      <c r="E30" s="5" t="inlineStr"/>
      <c r="F30" s="5" t="inlineStr"/>
    </row>
    <row r="31">
      <c r="A31" s="3" t="inlineStr">
        <is>
          <t>基因穩定化</t>
        </is>
      </c>
      <c r="B31" s="3" t="inlineStr">
        <is>
          <t>被動</t>
        </is>
      </c>
      <c r="C31" s="3" t="inlineStr">
        <is>
          <t>人性值減少 -1</t>
        </is>
      </c>
      <c r="D31" s="3" t="inlineStr">
        <is>
          <t>4</t>
        </is>
      </c>
    </row>
    <row r="32">
      <c r="A32" s="3" t="inlineStr">
        <is>
          <t>多形器官</t>
        </is>
      </c>
      <c r="B32" s="3" t="inlineStr">
        <is>
          <t>器官</t>
        </is>
      </c>
      <c r="C32" s="3" t="inlineStr">
        <is>
          <t>可同時使用兩個不同元素的主動節點</t>
        </is>
      </c>
      <c r="D32" s="3" t="inlineStr">
        <is>
          <t>5+5</t>
        </is>
      </c>
    </row>
    <row r="33">
      <c r="A33" s="3" t="inlineStr">
        <is>
          <t>能量吞噬</t>
        </is>
      </c>
      <c r="B33" s="3" t="inlineStr">
        <is>
          <t>被動</t>
        </is>
      </c>
      <c r="C33" s="3" t="inlineStr">
        <is>
          <t>被技能攻擊時恢復 2 能量</t>
        </is>
      </c>
      <c r="D33" s="3" t="inlineStr">
        <is>
          <t>4</t>
        </is>
      </c>
    </row>
    <row r="34"/>
    <row r="35">
      <c r="A35" s="4" t="inlineStr">
        <is>
          <t>行為 AI / 戰術備註</t>
        </is>
      </c>
      <c r="B35" s="7" t="n"/>
      <c r="C35" s="7" t="n"/>
      <c r="D35" s="7" t="n"/>
      <c r="E35" s="7" t="n"/>
      <c r="F35" s="8" t="n"/>
    </row>
    <row r="36">
      <c r="A36" s="6" t="inlineStr">
        <is>
          <t>守護者 AI 的終極兵器。HP &lt; 50% 時優先使用基因崩潰。習慣性針對最強的對手。</t>
        </is>
      </c>
      <c r="B36" s="9" t="n"/>
      <c r="C36" s="9" t="n"/>
      <c r="D36" s="9" t="n"/>
      <c r="E36" s="9" t="n"/>
      <c r="F36" s="10" t="n"/>
    </row>
    <row r="37">
      <c r="A37" s="11" t="n"/>
      <c r="F37" s="12" t="n"/>
    </row>
    <row r="38">
      <c r="A38" s="11" t="n"/>
      <c r="F38" s="12" t="n"/>
    </row>
    <row r="39">
      <c r="A39" s="11" t="n"/>
      <c r="F39" s="12" t="n"/>
    </row>
    <row r="40">
      <c r="A40" s="13" t="n"/>
      <c r="B40" s="14" t="n"/>
      <c r="C40" s="14" t="n"/>
      <c r="D40" s="14" t="n"/>
      <c r="E40" s="14" t="n"/>
      <c r="F40" s="15" t="n"/>
    </row>
  </sheetData>
  <mergeCells count="7">
    <mergeCell ref="A36:F40"/>
    <mergeCell ref="A14:F14"/>
    <mergeCell ref="A1:F1"/>
    <mergeCell ref="A23:F23"/>
    <mergeCell ref="A6:F6"/>
    <mergeCell ref="A35:F35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生物機甲</t>
        </is>
      </c>
      <c r="B4" s="3" t="inlineStr">
        <is>
          <t>精英</t>
        </is>
      </c>
      <c r="C4" s="3" t="inlineStr">
        <is>
          <t>S3</t>
        </is>
      </c>
      <c r="D4" s="3" t="inlineStr">
        <is>
          <t>4</t>
        </is>
      </c>
      <c r="E4" s="3" t="inlineStr">
        <is>
          <t>2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8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3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8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4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2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生物砲</t>
        </is>
      </c>
      <c r="B25" s="3" t="inlineStr">
        <is>
          <t>中級</t>
        </is>
      </c>
      <c r="C25" s="3" t="inlineStr">
        <is>
          <t>2</t>
        </is>
      </c>
      <c r="D25" s="3" t="inlineStr">
        <is>
          <t>3</t>
        </is>
      </c>
      <c r="E25" s="3" t="inlineStr">
        <is>
          <t>遠程 2d8+3 腐蝕</t>
        </is>
      </c>
      <c r="F25" s="3" t="inlineStr">
        <is>
          <t>1 回合</t>
        </is>
      </c>
    </row>
    <row r="26">
      <c r="A26" s="3" t="inlineStr">
        <is>
          <t>觸手束縛</t>
        </is>
      </c>
      <c r="B26" s="3" t="inlineStr">
        <is>
          <t>中級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中距，敏捷 DC 15 否則定身 1 回合</t>
        </is>
      </c>
      <c r="F26" s="3" t="inlineStr">
        <is>
          <t>1 回合</t>
        </is>
      </c>
    </row>
    <row r="27">
      <c r="A27" s="3" t="inlineStr">
        <is>
          <t>能量吸收</t>
        </is>
      </c>
      <c r="B27" s="3" t="inlineStr">
        <is>
          <t>被動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在進化原液池附近每回合恢復 5 HP</t>
        </is>
      </c>
      <c r="F27" s="3" t="inlineStr">
        <is>
          <t>—</t>
        </is>
      </c>
    </row>
    <row r="28"/>
    <row r="29">
      <c r="A29" s="4" t="inlineStr">
        <is>
          <t>可吸收特質樣本</t>
        </is>
      </c>
      <c r="B29" s="7" t="n"/>
      <c r="C29" s="7" t="n"/>
      <c r="D29" s="7" t="n"/>
      <c r="E29" s="7" t="n"/>
      <c r="F29" s="8" t="n"/>
    </row>
    <row r="30">
      <c r="A30" s="5" t="inlineStr">
        <is>
          <t>節點名稱</t>
        </is>
      </c>
      <c r="B30" s="5" t="inlineStr">
        <is>
          <t>類型</t>
        </is>
      </c>
      <c r="C30" s="5" t="inlineStr">
        <is>
          <t>效果</t>
        </is>
      </c>
      <c r="D30" s="5" t="inlineStr">
        <is>
          <t>成本</t>
        </is>
      </c>
      <c r="E30" s="5" t="inlineStr"/>
      <c r="F30" s="5" t="inlineStr"/>
    </row>
    <row r="31">
      <c r="A31" s="3" t="inlineStr">
        <is>
          <t>生物融合</t>
        </is>
      </c>
      <c r="B31" s="3" t="inlineStr">
        <is>
          <t>器官</t>
        </is>
      </c>
      <c r="C31" s="3" t="inlineStr">
        <is>
          <t>可與機械裝置融合</t>
        </is>
      </c>
      <c r="D31" s="3" t="inlineStr">
        <is>
          <t>4+4</t>
        </is>
      </c>
    </row>
    <row r="32"/>
    <row r="33">
      <c r="A33" s="4" t="inlineStr">
        <is>
          <t>行為 AI / 戰術備註</t>
        </is>
      </c>
      <c r="B33" s="7" t="n"/>
      <c r="C33" s="7" t="n"/>
      <c r="D33" s="7" t="n"/>
      <c r="E33" s="7" t="n"/>
      <c r="F33" s="8" t="n"/>
    </row>
    <row r="34">
      <c r="A34" s="6" t="inlineStr">
        <is>
          <t>守護基因熔爐內部。優先攻擊正在接近原液池的目標。</t>
        </is>
      </c>
      <c r="B34" s="9" t="n"/>
      <c r="C34" s="9" t="n"/>
      <c r="D34" s="9" t="n"/>
      <c r="E34" s="9" t="n"/>
      <c r="F34" s="10" t="n"/>
    </row>
    <row r="35">
      <c r="A35" s="11" t="n"/>
      <c r="F35" s="12" t="n"/>
    </row>
    <row r="36">
      <c r="A36" s="11" t="n"/>
      <c r="F36" s="12" t="n"/>
    </row>
    <row r="37">
      <c r="A37" s="11" t="n"/>
      <c r="F37" s="12" t="n"/>
    </row>
    <row r="38">
      <c r="A38" s="13" t="n"/>
      <c r="B38" s="14" t="n"/>
      <c r="C38" s="14" t="n"/>
      <c r="D38" s="14" t="n"/>
      <c r="E38" s="14" t="n"/>
      <c r="F38" s="15" t="n"/>
    </row>
  </sheetData>
  <mergeCells count="7">
    <mergeCell ref="A33:F33"/>
    <mergeCell ref="A14:F14"/>
    <mergeCell ref="A1:F1"/>
    <mergeCell ref="A23:F23"/>
    <mergeCell ref="A34:F38"/>
    <mergeCell ref="A6:F6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千面主教</t>
        </is>
      </c>
      <c r="B4" s="3" t="inlineStr">
        <is>
          <t>首領</t>
        </is>
      </c>
      <c r="C4" s="3" t="inlineStr">
        <is>
          <t>S3</t>
        </is>
      </c>
      <c r="D4" s="3" t="inlineStr">
        <is>
          <t>12</t>
        </is>
      </c>
      <c r="E4" s="3" t="inlineStr">
        <is>
          <t>5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7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8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7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9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12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形態切換</t>
        </is>
      </c>
      <c r="B25" s="3" t="inlineStr">
        <is>
          <t>被動</t>
        </is>
      </c>
      <c r="C25" s="3" t="inlineStr">
        <is>
          <t>—</t>
        </is>
      </c>
      <c r="D25" s="3" t="inlineStr">
        <is>
          <t>—</t>
        </is>
      </c>
      <c r="E25" s="3" t="inlineStr">
        <is>
          <t>每回合切換形態（人形/觸手形/飛行形）</t>
        </is>
      </c>
      <c r="F25" s="3" t="inlineStr">
        <is>
          <t>—</t>
        </is>
      </c>
    </row>
    <row r="26">
      <c r="A26" s="3" t="inlineStr">
        <is>
          <t>千面之觸</t>
        </is>
      </c>
      <c r="B26" s="3" t="inlineStr">
        <is>
          <t>高級</t>
        </is>
      </c>
      <c r="C26" s="3" t="inlineStr">
        <is>
          <t>2</t>
        </is>
      </c>
      <c r="D26" s="3" t="inlineStr">
        <is>
          <t>5</t>
        </is>
      </c>
      <c r="E26" s="3" t="inlineStr">
        <is>
          <t>意志 DC 18 否則複製目標一個進化節點</t>
        </is>
      </c>
      <c r="F26" s="3" t="inlineStr">
        <is>
          <t>3 回合</t>
        </is>
      </c>
    </row>
    <row r="27">
      <c r="A27" s="3" t="inlineStr">
        <is>
          <t>進化剝奪</t>
        </is>
      </c>
      <c r="B27" s="3" t="inlineStr">
        <is>
          <t>終極</t>
        </is>
      </c>
      <c r="C27" s="3" t="inlineStr">
        <is>
          <t>3</t>
        </is>
      </c>
      <c r="D27" s="3" t="inlineStr">
        <is>
          <t>全部</t>
        </is>
      </c>
      <c r="E27" s="3" t="inlineStr">
        <is>
          <t>意志 DC 20 否則永久失去一個節點</t>
        </is>
      </c>
      <c r="F27" s="3" t="inlineStr">
        <is>
          <t>全場 1 次</t>
        </is>
      </c>
    </row>
    <row r="28">
      <c r="A28" s="3" t="inlineStr">
        <is>
          <t>觸手風暴</t>
        </is>
      </c>
      <c r="B28" s="3" t="inlineStr">
        <is>
          <t>中級</t>
        </is>
      </c>
      <c r="C28" s="3" t="inlineStr">
        <is>
          <t>2</t>
        </is>
      </c>
      <c r="D28" s="3" t="inlineStr">
        <is>
          <t>3</t>
        </is>
      </c>
      <c r="E28" s="3" t="inlineStr">
        <is>
          <t>範圍內全目標 2d8+4 鈍擊（觸手形態）</t>
        </is>
      </c>
      <c r="F28" s="3" t="inlineStr">
        <is>
          <t>1 回合</t>
        </is>
      </c>
    </row>
    <row r="29">
      <c r="A29" s="3" t="inlineStr">
        <is>
          <t>飛行俯衝</t>
        </is>
      </c>
      <c r="B29" s="3" t="inlineStr">
        <is>
          <t>高級</t>
        </is>
      </c>
      <c r="C29" s="3" t="inlineStr">
        <is>
          <t>3</t>
        </is>
      </c>
      <c r="D29" s="3" t="inlineStr">
        <is>
          <t>5</t>
        </is>
      </c>
      <c r="E29" s="3" t="inlineStr">
        <is>
          <t>遠距衝刺 + 3d6+4 斬擊（飛行形態）</t>
        </is>
      </c>
      <c r="F29" s="3" t="inlineStr">
        <is>
          <t>3 回合</t>
        </is>
      </c>
    </row>
    <row r="30"/>
    <row r="31">
      <c r="A31" s="4" t="inlineStr">
        <is>
          <t>可吸收特質樣本</t>
        </is>
      </c>
      <c r="B31" s="7" t="n"/>
      <c r="C31" s="7" t="n"/>
      <c r="D31" s="7" t="n"/>
      <c r="E31" s="7" t="n"/>
      <c r="F31" s="8" t="n"/>
    </row>
    <row r="32">
      <c r="A32" s="5" t="inlineStr">
        <is>
          <t>節點名稱</t>
        </is>
      </c>
      <c r="B32" s="5" t="inlineStr">
        <is>
          <t>類型</t>
        </is>
      </c>
      <c r="C32" s="5" t="inlineStr">
        <is>
          <t>效果</t>
        </is>
      </c>
      <c r="D32" s="5" t="inlineStr">
        <is>
          <t>成本</t>
        </is>
      </c>
      <c r="E32" s="5" t="inlineStr"/>
      <c r="F32" s="5" t="inlineStr"/>
    </row>
    <row r="33">
      <c r="A33" s="3" t="inlineStr">
        <is>
          <t>形態切換（弱化版）</t>
        </is>
      </c>
      <c r="B33" s="3" t="inlineStr">
        <is>
          <t>形態</t>
        </is>
      </c>
      <c r="C33" s="3" t="inlineStr">
        <is>
          <t>可在 2 個預設形態間切換（非戰鬥）</t>
        </is>
      </c>
      <c r="D33" s="3" t="inlineStr">
        <is>
          <t>5+12</t>
        </is>
      </c>
    </row>
    <row r="34">
      <c r="A34" s="3" t="inlineStr">
        <is>
          <t>複製之觸</t>
        </is>
      </c>
      <c r="B34" s="3" t="inlineStr">
        <is>
          <t>高級主動</t>
        </is>
      </c>
      <c r="C34" s="3" t="inlineStr">
        <is>
          <t>暫時複製一個節點 1 回合</t>
        </is>
      </c>
      <c r="D34" s="3" t="inlineStr">
        <is>
          <t>5</t>
        </is>
      </c>
    </row>
    <row r="35">
      <c r="A35" s="3" t="inlineStr">
        <is>
          <t>千面外殼</t>
        </is>
      </c>
      <c r="B35" s="3" t="inlineStr">
        <is>
          <t>被動</t>
        </is>
      </c>
      <c r="C35" s="3" t="inlineStr">
        <is>
          <t>每場戰鬥可抵消一次攻擊</t>
        </is>
      </c>
      <c r="D35" s="3" t="inlineStr">
        <is>
          <t>4</t>
        </is>
      </c>
    </row>
    <row r="36"/>
    <row r="37">
      <c r="A37" s="4" t="inlineStr">
        <is>
          <t>行為 AI / 戰術備註</t>
        </is>
      </c>
      <c r="B37" s="7" t="n"/>
      <c r="C37" s="7" t="n"/>
      <c r="D37" s="7" t="n"/>
      <c r="E37" s="7" t="n"/>
      <c r="F37" s="8" t="n"/>
    </row>
    <row r="38">
      <c r="A38" s="6" t="inlineStr">
        <is>
          <t>終極進化教團的領袖。進化超過 100 次的傳奇存在。不會輕易親自出手——除非熔爐受到威脅。形態循環：人形→觸手→飛行。</t>
        </is>
      </c>
      <c r="B38" s="9" t="n"/>
      <c r="C38" s="9" t="n"/>
      <c r="D38" s="9" t="n"/>
      <c r="E38" s="9" t="n"/>
      <c r="F38" s="10" t="n"/>
    </row>
    <row r="39">
      <c r="A39" s="11" t="n"/>
      <c r="F39" s="12" t="n"/>
    </row>
    <row r="40">
      <c r="A40" s="11" t="n"/>
      <c r="F40" s="12" t="n"/>
    </row>
    <row r="41">
      <c r="A41" s="11" t="n"/>
      <c r="F41" s="12" t="n"/>
    </row>
    <row r="42">
      <c r="A42" s="13" t="n"/>
      <c r="B42" s="14" t="n"/>
      <c r="C42" s="14" t="n"/>
      <c r="D42" s="14" t="n"/>
      <c r="E42" s="14" t="n"/>
      <c r="F42" s="15" t="n"/>
    </row>
  </sheetData>
  <mergeCells count="7">
    <mergeCell ref="A14:F14"/>
    <mergeCell ref="A1:F1"/>
    <mergeCell ref="A23:F23"/>
    <mergeCell ref="A37:F37"/>
    <mergeCell ref="A31:F31"/>
    <mergeCell ref="A6:F6"/>
    <mergeCell ref="A38:F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荒野之王扎拉克斯</t>
        </is>
      </c>
      <c r="B4" s="3" t="inlineStr">
        <is>
          <t>首領</t>
        </is>
      </c>
      <c r="C4" s="3" t="inlineStr">
        <is>
          <t>S4</t>
        </is>
      </c>
      <c r="D4" s="3" t="inlineStr">
        <is>
          <t>15</t>
        </is>
      </c>
      <c r="E4" s="3" t="inlineStr">
        <is>
          <t>5/8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14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8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12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10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8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巨顎撕咬</t>
        </is>
      </c>
      <c r="B25" s="3" t="inlineStr">
        <is>
          <t>低級</t>
        </is>
      </c>
      <c r="C25" s="3" t="inlineStr">
        <is>
          <t>1</t>
        </is>
      </c>
      <c r="D25" s="3" t="inlineStr">
        <is>
          <t>1</t>
        </is>
      </c>
      <c r="E25" s="3" t="inlineStr">
        <is>
          <t>近戰 2d8+7 穿刺</t>
        </is>
      </c>
      <c r="F25" s="3" t="inlineStr">
        <is>
          <t>無</t>
        </is>
      </c>
    </row>
    <row r="26">
      <c r="A26" s="3" t="inlineStr">
        <is>
          <t>尾掃</t>
        </is>
      </c>
      <c r="B26" s="3" t="inlineStr">
        <is>
          <t>中級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錐形 3 格 2d6+7 鈍擊 + 倒地 DC 16</t>
        </is>
      </c>
      <c r="F26" s="3" t="inlineStr">
        <is>
          <t>1 回合</t>
        </is>
      </c>
    </row>
    <row r="27">
      <c r="A27" s="3" t="inlineStr">
        <is>
          <t>熔岩吐息</t>
        </is>
      </c>
      <c r="B27" s="3" t="inlineStr">
        <is>
          <t>高級</t>
        </is>
      </c>
      <c r="C27" s="3" t="inlineStr">
        <is>
          <t>3</t>
        </is>
      </c>
      <c r="D27" s="3" t="inlineStr">
        <is>
          <t>5</t>
        </is>
      </c>
      <c r="E27" s="3" t="inlineStr">
        <is>
          <t>錐形 5 格 3d10 火焰 + 熔岩地形</t>
        </is>
      </c>
      <c r="F27" s="3" t="inlineStr">
        <is>
          <t>3 回合</t>
        </is>
      </c>
    </row>
    <row r="28">
      <c r="A28" s="3" t="inlineStr">
        <is>
          <t>龍鱗</t>
        </is>
      </c>
      <c r="B28" s="3" t="inlineStr">
        <is>
          <t>被動</t>
        </is>
      </c>
      <c r="C28" s="3" t="inlineStr">
        <is>
          <t>—</t>
        </is>
      </c>
      <c r="D28" s="3" t="inlineStr">
        <is>
          <t>—</t>
        </is>
      </c>
      <c r="E28" s="3" t="inlineStr">
        <is>
          <t>全傷害 -3</t>
        </is>
      </c>
      <c r="F28" s="3" t="inlineStr">
        <is>
          <t>—</t>
        </is>
      </c>
    </row>
    <row r="29"/>
    <row r="30">
      <c r="A30" s="4" t="inlineStr">
        <is>
          <t>可吸收特質樣本</t>
        </is>
      </c>
      <c r="B30" s="7" t="n"/>
      <c r="C30" s="7" t="n"/>
      <c r="D30" s="7" t="n"/>
      <c r="E30" s="7" t="n"/>
      <c r="F30" s="8" t="n"/>
    </row>
    <row r="31">
      <c r="A31" s="5" t="inlineStr">
        <is>
          <t>節點名稱</t>
        </is>
      </c>
      <c r="B31" s="5" t="inlineStr">
        <is>
          <t>類型</t>
        </is>
      </c>
      <c r="C31" s="5" t="inlineStr">
        <is>
          <t>效果</t>
        </is>
      </c>
      <c r="D31" s="5" t="inlineStr">
        <is>
          <t>成本</t>
        </is>
      </c>
      <c r="E31" s="5" t="inlineStr"/>
      <c r="F31" s="5" t="inlineStr"/>
    </row>
    <row r="32">
      <c r="A32" s="3" t="inlineStr">
        <is>
          <t>龍鱗</t>
        </is>
      </c>
      <c r="B32" s="3" t="inlineStr">
        <is>
          <t>被動</t>
        </is>
      </c>
      <c r="C32" s="3" t="inlineStr">
        <is>
          <t>全傷害 -2</t>
        </is>
      </c>
      <c r="D32" s="3" t="inlineStr">
        <is>
          <t>4</t>
        </is>
      </c>
    </row>
    <row r="33">
      <c r="A33" s="3" t="inlineStr">
        <is>
          <t>熔岩吐息</t>
        </is>
      </c>
      <c r="B33" s="3" t="inlineStr">
        <is>
          <t>高級主動</t>
        </is>
      </c>
      <c r="C33" s="3" t="inlineStr">
        <is>
          <t>錐形 5 格 3d10 火焰</t>
        </is>
      </c>
      <c r="D33" s="3" t="inlineStr">
        <is>
          <t>5</t>
        </is>
      </c>
    </row>
    <row r="34">
      <c r="A34" s="3" t="inlineStr">
        <is>
          <t>巨獸之心</t>
        </is>
      </c>
      <c r="B34" s="3" t="inlineStr">
        <is>
          <t>器官</t>
        </is>
      </c>
      <c r="C34" s="3" t="inlineStr">
        <is>
          <t>HP +15、力量（LIL）+2</t>
        </is>
      </c>
      <c r="D34" s="3" t="inlineStr">
        <is>
          <t>5+10</t>
        </is>
      </c>
    </row>
    <row r="35">
      <c r="A35" s="3" t="inlineStr">
        <is>
          <t>父性本能</t>
        </is>
      </c>
      <c r="B35" s="3" t="inlineStr">
        <is>
          <t>被動</t>
        </is>
      </c>
      <c r="C35" s="3" t="inlineStr">
        <is>
          <t>保護特定目標時防禦 +2（僅和平解決可選）</t>
        </is>
      </c>
      <c r="D35" s="3" t="inlineStr">
        <is>
          <t>3</t>
        </is>
      </c>
    </row>
    <row r="36"/>
    <row r="37">
      <c r="A37" s="4" t="inlineStr">
        <is>
          <t>行為 AI / 戰術備註</t>
        </is>
      </c>
      <c r="B37" s="7" t="n"/>
      <c r="C37" s="7" t="n"/>
      <c r="D37" s="7" t="n"/>
      <c r="E37" s="7" t="n"/>
      <c r="F37" s="8" t="n"/>
    </row>
    <row r="38">
      <c r="A38" s="6" t="inlineStr">
        <is>
          <t>競技場排名第 2。第一階段正面戰鬥。HP&lt;60%→退守巢穴保護孩子。可透過意志 DC 20 溝通——揭示真相後可能成為盟友。</t>
        </is>
      </c>
      <c r="B38" s="9" t="n"/>
      <c r="C38" s="9" t="n"/>
      <c r="D38" s="9" t="n"/>
      <c r="E38" s="9" t="n"/>
      <c r="F38" s="10" t="n"/>
    </row>
    <row r="39">
      <c r="A39" s="11" t="n"/>
      <c r="F39" s="12" t="n"/>
    </row>
    <row r="40">
      <c r="A40" s="11" t="n"/>
      <c r="F40" s="12" t="n"/>
    </row>
    <row r="41">
      <c r="A41" s="11" t="n"/>
      <c r="F41" s="12" t="n"/>
    </row>
    <row r="42">
      <c r="A42" s="13" t="n"/>
      <c r="B42" s="14" t="n"/>
      <c r="C42" s="14" t="n"/>
      <c r="D42" s="14" t="n"/>
      <c r="E42" s="14" t="n"/>
      <c r="F42" s="15" t="n"/>
    </row>
  </sheetData>
  <mergeCells count="7">
    <mergeCell ref="A14:F14"/>
    <mergeCell ref="A1:F1"/>
    <mergeCell ref="A23:F23"/>
    <mergeCell ref="A37:F37"/>
    <mergeCell ref="A6:F6"/>
    <mergeCell ref="A30:F30"/>
    <mergeCell ref="A38:F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不朽的凱恩（冠軍）</t>
        </is>
      </c>
      <c r="B4" s="3" t="inlineStr">
        <is>
          <t>首領</t>
        </is>
      </c>
      <c r="C4" s="3" t="inlineStr">
        <is>
          <t>S4</t>
        </is>
      </c>
      <c r="D4" s="3" t="inlineStr">
        <is>
          <t>20</t>
        </is>
      </c>
      <c r="E4" s="3" t="inlineStr">
        <is>
          <t>10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12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14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12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14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16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地震重擊</t>
        </is>
      </c>
      <c r="B25" s="3" t="inlineStr">
        <is>
          <t>高級</t>
        </is>
      </c>
      <c r="C25" s="3" t="inlineStr">
        <is>
          <t>3</t>
        </is>
      </c>
      <c r="D25" s="3" t="inlineStr">
        <is>
          <t>5</t>
        </is>
      </c>
      <c r="E25" s="3" t="inlineStr">
        <is>
          <t>全場 3d8+6 鈍擊（巨獸形態）</t>
        </is>
      </c>
      <c r="F25" s="3" t="inlineStr">
        <is>
          <t>3 回合</t>
        </is>
      </c>
    </row>
    <row r="26">
      <c r="A26" s="3" t="inlineStr">
        <is>
          <t>吞噬</t>
        </is>
      </c>
      <c r="B26" s="3" t="inlineStr">
        <is>
          <t>中級</t>
        </is>
      </c>
      <c r="C26" s="3" t="inlineStr">
        <is>
          <t>2</t>
        </is>
      </c>
      <c r="D26" s="3" t="inlineStr">
        <is>
          <t>3</t>
        </is>
      </c>
      <c r="E26" s="3" t="inlineStr">
        <is>
          <t>吸收目標 2d6 HP（巨獸形態）</t>
        </is>
      </c>
      <c r="F26" s="3" t="inlineStr">
        <is>
          <t>1 回合</t>
        </is>
      </c>
    </row>
    <row r="27">
      <c r="A27" s="3" t="inlineStr">
        <is>
          <t>精神風暴</t>
        </is>
      </c>
      <c r="B27" s="3" t="inlineStr">
        <is>
          <t>高級</t>
        </is>
      </c>
      <c r="C27" s="3" t="inlineStr">
        <is>
          <t>3</t>
        </is>
      </c>
      <c r="D27" s="3" t="inlineStr">
        <is>
          <t>5</t>
        </is>
      </c>
      <c r="E27" s="3" t="inlineStr">
        <is>
          <t>4d8 精神傷害（靈體形態）</t>
        </is>
      </c>
      <c r="F27" s="3" t="inlineStr">
        <is>
          <t>3 回合</t>
        </is>
      </c>
    </row>
    <row r="28">
      <c r="A28" s="3" t="inlineStr">
        <is>
          <t>靈魂撕裂</t>
        </is>
      </c>
      <c r="B28" s="3" t="inlineStr">
        <is>
          <t>終極</t>
        </is>
      </c>
      <c r="C28" s="3" t="inlineStr">
        <is>
          <t>3</t>
        </is>
      </c>
      <c r="D28" s="3" t="inlineStr">
        <is>
          <t>全部</t>
        </is>
      </c>
      <c r="E28" s="3" t="inlineStr">
        <is>
          <t>意志 DC 20 否則失去意識 1 回合（靈體）</t>
        </is>
      </c>
      <c r="F28" s="3" t="inlineStr">
        <is>
          <t>全場 1 次</t>
        </is>
      </c>
    </row>
    <row r="29">
      <c r="A29" s="3" t="inlineStr">
        <is>
          <t>元素風暴</t>
        </is>
      </c>
      <c r="B29" s="3" t="inlineStr">
        <is>
          <t>終極</t>
        </is>
      </c>
      <c r="C29" s="3" t="inlineStr">
        <is>
          <t>3</t>
        </is>
      </c>
      <c r="D29" s="3" t="inlineStr">
        <is>
          <t>全部</t>
        </is>
      </c>
      <c r="E29" s="3" t="inlineStr">
        <is>
          <t>4d10 混合（火焰+冰霜+雷電）（元素形態）</t>
        </is>
      </c>
      <c r="F29" s="3" t="inlineStr">
        <is>
          <t>全場 1 次</t>
        </is>
      </c>
    </row>
    <row r="30">
      <c r="A30" s="3" t="inlineStr">
        <is>
          <t>元素護盾</t>
        </is>
      </c>
      <c r="B30" s="3" t="inlineStr">
        <is>
          <t>被動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每回合抵消第一個攻擊（元素形態）</t>
        </is>
      </c>
      <c r="F30" s="3" t="inlineStr">
        <is>
          <t>—</t>
        </is>
      </c>
    </row>
    <row r="31"/>
    <row r="32">
      <c r="A32" s="4" t="inlineStr">
        <is>
          <t>可吸收特質樣本</t>
        </is>
      </c>
      <c r="B32" s="7" t="n"/>
      <c r="C32" s="7" t="n"/>
      <c r="D32" s="7" t="n"/>
      <c r="E32" s="7" t="n"/>
      <c r="F32" s="8" t="n"/>
    </row>
    <row r="33">
      <c r="A33" s="5" t="inlineStr">
        <is>
          <t>節點名稱</t>
        </is>
      </c>
      <c r="B33" s="5" t="inlineStr">
        <is>
          <t>類型</t>
        </is>
      </c>
      <c r="C33" s="5" t="inlineStr">
        <is>
          <t>效果</t>
        </is>
      </c>
      <c r="D33" s="5" t="inlineStr">
        <is>
          <t>成本</t>
        </is>
      </c>
      <c r="E33" s="5" t="inlineStr"/>
      <c r="F33" s="5" t="inlineStr"/>
    </row>
    <row r="34">
      <c r="A34" s="3" t="inlineStr">
        <is>
          <t>冠軍之軀</t>
        </is>
      </c>
      <c r="B34" s="3" t="inlineStr">
        <is>
          <t>終極形態</t>
        </is>
      </c>
      <c r="C34" s="3" t="inlineStr">
        <is>
          <t>可每月免費切換一次形態</t>
        </is>
      </c>
      <c r="D34" s="3" t="inlineStr">
        <is>
          <t>特殊</t>
        </is>
      </c>
    </row>
    <row r="35">
      <c r="A35" s="3" t="inlineStr">
        <is>
          <t>不朽意志</t>
        </is>
      </c>
      <c r="B35" s="3" t="inlineStr">
        <is>
          <t>屬性</t>
        </is>
      </c>
      <c r="C35" s="3" t="inlineStr">
        <is>
          <t>意志（YZ）+3</t>
        </is>
      </c>
      <c r="D35" s="3" t="inlineStr">
        <is>
          <t>5</t>
        </is>
      </c>
    </row>
    <row r="36">
      <c r="A36" s="3" t="inlineStr">
        <is>
          <t>競技場直覺</t>
        </is>
      </c>
      <c r="B36" s="3" t="inlineStr">
        <is>
          <t>被動</t>
        </is>
      </c>
      <c r="C36" s="3" t="inlineStr">
        <is>
          <t>先攻 +5，先制攻擊優勢</t>
        </is>
      </c>
      <c r="D36" s="3" t="inlineStr">
        <is>
          <t>4</t>
        </is>
      </c>
    </row>
    <row r="37"/>
    <row r="38">
      <c r="A38" s="4" t="inlineStr">
        <is>
          <t>行為 AI / 戰術備註</t>
        </is>
      </c>
      <c r="B38" s="7" t="n"/>
      <c r="C38" s="7" t="n"/>
      <c r="D38" s="7" t="n"/>
      <c r="E38" s="7" t="n"/>
      <c r="F38" s="8" t="n"/>
    </row>
    <row r="39">
      <c r="A39" s="6" t="inlineStr">
        <is>
          <t>形態循環：巨獸→靈體→元素→巨獸。在巨獸形態時物理攻擊有效，靈體時物理免疫，元素時元素免疫。可以選擇和平解決——放下武器後揭示封印的秘密。</t>
        </is>
      </c>
      <c r="B39" s="9" t="n"/>
      <c r="C39" s="9" t="n"/>
      <c r="D39" s="9" t="n"/>
      <c r="E39" s="9" t="n"/>
      <c r="F39" s="10" t="n"/>
    </row>
    <row r="40">
      <c r="A40" s="11" t="n"/>
      <c r="F40" s="12" t="n"/>
    </row>
    <row r="41">
      <c r="A41" s="11" t="n"/>
      <c r="F41" s="12" t="n"/>
    </row>
    <row r="42">
      <c r="A42" s="11" t="n"/>
      <c r="F42" s="12" t="n"/>
    </row>
    <row r="43">
      <c r="A43" s="13" t="n"/>
      <c r="B43" s="14" t="n"/>
      <c r="C43" s="14" t="n"/>
      <c r="D43" s="14" t="n"/>
      <c r="E43" s="14" t="n"/>
      <c r="F43" s="15" t="n"/>
    </row>
  </sheetData>
  <mergeCells count="7">
    <mergeCell ref="A38:F38"/>
    <mergeCell ref="A14:F14"/>
    <mergeCell ref="A1:F1"/>
    <mergeCell ref="A23:F23"/>
    <mergeCell ref="A32:F32"/>
    <mergeCell ref="A6:F6"/>
    <mergeCell ref="A39:F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吞噬基因：進化編年史 TRPG —— 敵人 / 怪物角色卡</t>
        </is>
      </c>
    </row>
    <row r="2"/>
    <row r="3">
      <c r="A3" s="2" t="inlineStr">
        <is>
          <t>敵人名稱</t>
        </is>
      </c>
      <c r="B3" s="2" t="inlineStr">
        <is>
          <t>類型</t>
        </is>
      </c>
      <c r="C3" s="2" t="inlineStr">
        <is>
          <t>等級</t>
        </is>
      </c>
      <c r="D3" s="2" t="inlineStr">
        <is>
          <t>出現劇本</t>
        </is>
      </c>
      <c r="E3" s="2" t="inlineStr">
        <is>
          <t>生物質掉落</t>
        </is>
      </c>
      <c r="F3" s="2" t="inlineStr">
        <is>
          <t>進化點數</t>
        </is>
      </c>
    </row>
    <row r="4">
      <c r="A4" s="3" t="inlineStr">
        <is>
          <t>深淵守門者</t>
        </is>
      </c>
      <c r="B4" s="3" t="inlineStr">
        <is>
          <t>首領</t>
        </is>
      </c>
      <c r="C4" s="3" t="inlineStr">
        <is>
          <t>S5</t>
        </is>
      </c>
      <c r="D4" s="3" t="inlineStr">
        <is>
          <t>10</t>
        </is>
      </c>
      <c r="E4" s="3" t="inlineStr">
        <is>
          <t>5</t>
        </is>
      </c>
      <c r="F4" s="3" t="n"/>
    </row>
    <row r="5"/>
    <row r="6">
      <c r="A6" s="4" t="inlineStr">
        <is>
          <t>屬性</t>
        </is>
      </c>
      <c r="B6" s="7" t="n"/>
      <c r="C6" s="7" t="n"/>
      <c r="D6" s="7" t="n"/>
      <c r="E6" s="7" t="n"/>
      <c r="F6" s="8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>
        <v>10</v>
      </c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>
        <v>8</v>
      </c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>
        <v>12</v>
      </c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>
        <v>10</v>
      </c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>
        <v>14</v>
      </c>
      <c r="D12" s="3">
        <f>C12</f>
        <v/>
      </c>
    </row>
    <row r="13"/>
    <row r="14">
      <c r="A14" s="4" t="inlineStr">
        <is>
          <t>戰鬥數值（自動計算）</t>
        </is>
      </c>
      <c r="B14" s="7" t="n"/>
      <c r="C14" s="7" t="n"/>
      <c r="D14" s="7" t="n"/>
      <c r="E14" s="7" t="n"/>
      <c r="F14" s="8" t="n"/>
    </row>
    <row r="15">
      <c r="A15" s="2" t="inlineStr">
        <is>
          <t>生命值（HP）</t>
        </is>
      </c>
      <c r="C15" s="3">
        <f>C10*5</f>
        <v/>
      </c>
    </row>
    <row r="16">
      <c r="A16" s="2" t="inlineStr">
        <is>
          <t>能量上限</t>
        </is>
      </c>
      <c r="C16" s="3">
        <f>C10+C12</f>
        <v/>
      </c>
    </row>
    <row r="17">
      <c r="A17" s="2" t="inlineStr">
        <is>
          <t>防禦值</t>
        </is>
      </c>
      <c r="C17" s="3">
        <f>10+C9</f>
        <v/>
      </c>
    </row>
    <row r="18">
      <c r="A18" s="2" t="inlineStr">
        <is>
          <t>移動速度</t>
        </is>
      </c>
      <c r="C18" s="3">
        <f>IF(C9&lt;=3,4,IF(C9&lt;=6,5,IF(C9&lt;=9,6,IF(C9&lt;=12,7,IF(C9&lt;=15,8,9)))))</f>
        <v/>
      </c>
    </row>
    <row r="19">
      <c r="A19" s="2" t="inlineStr">
        <is>
          <t>近戰攻擊加值</t>
        </is>
      </c>
      <c r="C19" s="3">
        <f>C8</f>
        <v/>
      </c>
    </row>
    <row r="20">
      <c r="A20" s="2" t="inlineStr">
        <is>
          <t>遠程攻擊加值</t>
        </is>
      </c>
      <c r="C20" s="3">
        <f>C9</f>
        <v/>
      </c>
    </row>
    <row r="21"/>
    <row r="22"/>
    <row r="23">
      <c r="A23" s="4" t="inlineStr">
        <is>
          <t>技能 / 攻擊</t>
        </is>
      </c>
      <c r="B23" s="7" t="n"/>
      <c r="C23" s="7" t="n"/>
      <c r="D23" s="7" t="n"/>
      <c r="E23" s="7" t="n"/>
      <c r="F23" s="8" t="n"/>
    </row>
    <row r="24">
      <c r="A24" s="5" t="inlineStr">
        <is>
          <t>技能名稱</t>
        </is>
      </c>
      <c r="B24" s="5" t="inlineStr">
        <is>
          <t>等級</t>
        </is>
      </c>
      <c r="C24" s="5" t="inlineStr">
        <is>
          <t>AP 消耗</t>
        </is>
      </c>
      <c r="D24" s="5" t="inlineStr">
        <is>
          <t>能量消耗</t>
        </is>
      </c>
      <c r="E24" s="5" t="inlineStr">
        <is>
          <t>效果 / 傷害</t>
        </is>
      </c>
      <c r="F24" s="5" t="inlineStr">
        <is>
          <t>冷卻</t>
        </is>
      </c>
    </row>
    <row r="25">
      <c r="A25" s="3" t="inlineStr">
        <is>
          <t>虛空觸手</t>
        </is>
      </c>
      <c r="B25" s="3" t="inlineStr">
        <is>
          <t>中級</t>
        </is>
      </c>
      <c r="C25" s="3" t="inlineStr">
        <is>
          <t>2</t>
        </is>
      </c>
      <c r="D25" s="3" t="inlineStr">
        <is>
          <t>3</t>
        </is>
      </c>
      <c r="E25" s="3" t="inlineStr">
        <is>
          <t>中距 2d8+5 精神 + 人性值 -1</t>
        </is>
      </c>
      <c r="F25" s="3" t="inlineStr">
        <is>
          <t>1 回合</t>
        </is>
      </c>
    </row>
    <row r="26">
      <c r="A26" s="3" t="inlineStr">
        <is>
          <t>蠕蟲之吼</t>
        </is>
      </c>
      <c r="B26" s="3" t="inlineStr">
        <is>
          <t>高級</t>
        </is>
      </c>
      <c r="C26" s="3" t="inlineStr">
        <is>
          <t>3</t>
        </is>
      </c>
      <c r="D26" s="3" t="inlineStr">
        <is>
          <t>5</t>
        </is>
      </c>
      <c r="E26" s="3" t="inlineStr">
        <is>
          <t>全場意志 DC 18 否則失去行動</t>
        </is>
      </c>
      <c r="F26" s="3" t="inlineStr">
        <is>
          <t>3 回合</t>
        </is>
      </c>
    </row>
    <row r="27">
      <c r="A27" s="3" t="inlineStr">
        <is>
          <t>深淵凝視</t>
        </is>
      </c>
      <c r="B27" s="3" t="inlineStr">
        <is>
          <t>終極</t>
        </is>
      </c>
      <c r="C27" s="3" t="inlineStr">
        <is>
          <t>3</t>
        </is>
      </c>
      <c r="D27" s="3" t="inlineStr">
        <is>
          <t>全部</t>
        </is>
      </c>
      <c r="E27" s="3" t="inlineStr">
        <is>
          <t>意志 DC 22 否則人性值減半</t>
        </is>
      </c>
      <c r="F27" s="3" t="inlineStr">
        <is>
          <t>全場 1 次</t>
        </is>
      </c>
    </row>
    <row r="28"/>
    <row r="29">
      <c r="A29" s="4" t="inlineStr">
        <is>
          <t>可吸收特質樣本</t>
        </is>
      </c>
      <c r="B29" s="7" t="n"/>
      <c r="C29" s="7" t="n"/>
      <c r="D29" s="7" t="n"/>
      <c r="E29" s="7" t="n"/>
      <c r="F29" s="8" t="n"/>
    </row>
    <row r="30">
      <c r="A30" s="5" t="inlineStr">
        <is>
          <t>節點名稱</t>
        </is>
      </c>
      <c r="B30" s="5" t="inlineStr">
        <is>
          <t>類型</t>
        </is>
      </c>
      <c r="C30" s="5" t="inlineStr">
        <is>
          <t>效果</t>
        </is>
      </c>
      <c r="D30" s="5" t="inlineStr">
        <is>
          <t>成本</t>
        </is>
      </c>
      <c r="E30" s="5" t="inlineStr"/>
      <c r="F30" s="5" t="inlineStr"/>
    </row>
    <row r="31">
      <c r="A31" s="3" t="inlineStr">
        <is>
          <t>虛空抗性</t>
        </is>
      </c>
      <c r="B31" s="3" t="inlineStr">
        <is>
          <t>被動</t>
        </is>
      </c>
      <c r="C31" s="3" t="inlineStr">
        <is>
          <t>虛空相關傷害 -3</t>
        </is>
      </c>
      <c r="D31" s="3" t="inlineStr">
        <is>
          <t>4</t>
        </is>
      </c>
    </row>
    <row r="32">
      <c r="A32" s="3" t="inlineStr">
        <is>
          <t>深淵感知</t>
        </is>
      </c>
      <c r="B32" s="3" t="inlineStr">
        <is>
          <t>被動</t>
        </is>
      </c>
      <c r="C32" s="3" t="inlineStr">
        <is>
          <t>可感知附近虛淵碎片</t>
        </is>
      </c>
      <c r="D32" s="3" t="inlineStr">
        <is>
          <t>3</t>
        </is>
      </c>
    </row>
    <row r="33">
      <c r="A33" s="3" t="inlineStr">
        <is>
          <t>深淵凝視</t>
        </is>
      </c>
      <c r="B33" s="3" t="inlineStr">
        <is>
          <t>高級主動</t>
        </is>
      </c>
      <c r="C33" s="3" t="inlineStr">
        <is>
          <t>意志 DC 22 否則人性值減半——但使用後自身人性值 -2</t>
        </is>
      </c>
      <c r="D33" s="3" t="inlineStr">
        <is>
          <t>5</t>
        </is>
      </c>
    </row>
    <row r="34"/>
    <row r="35">
      <c r="A35" s="4" t="inlineStr">
        <is>
          <t>行為 AI / 戰術備註</t>
        </is>
      </c>
      <c r="B35" s="7" t="n"/>
      <c r="C35" s="7" t="n"/>
      <c r="D35" s="7" t="n"/>
      <c r="E35" s="7" t="n"/>
      <c r="F35" s="8" t="n"/>
    </row>
    <row r="36">
      <c r="A36" s="6" t="inlineStr">
        <is>
          <t>虛淵蠕蟲的看門狗。數千年前吸收碎片失敗的進化者。優先對人性值最低的目標使用深淵凝視。不可溝通——已經失去理智。</t>
        </is>
      </c>
      <c r="B36" s="9" t="n"/>
      <c r="C36" s="9" t="n"/>
      <c r="D36" s="9" t="n"/>
      <c r="E36" s="9" t="n"/>
      <c r="F36" s="10" t="n"/>
    </row>
    <row r="37">
      <c r="A37" s="11" t="n"/>
      <c r="F37" s="12" t="n"/>
    </row>
    <row r="38">
      <c r="A38" s="11" t="n"/>
      <c r="F38" s="12" t="n"/>
    </row>
    <row r="39">
      <c r="A39" s="11" t="n"/>
      <c r="F39" s="12" t="n"/>
    </row>
    <row r="40">
      <c r="A40" s="13" t="n"/>
      <c r="B40" s="14" t="n"/>
      <c r="C40" s="14" t="n"/>
      <c r="D40" s="14" t="n"/>
      <c r="E40" s="14" t="n"/>
      <c r="F40" s="15" t="n"/>
    </row>
  </sheetData>
  <mergeCells count="7">
    <mergeCell ref="A36:F40"/>
    <mergeCell ref="A14:F14"/>
    <mergeCell ref="A1:F1"/>
    <mergeCell ref="A23:F23"/>
    <mergeCell ref="A6:F6"/>
    <mergeCell ref="A35:F3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2026-07-16T16:02:54Z</dcterms:modified>
</cp:coreProperties>
</file>