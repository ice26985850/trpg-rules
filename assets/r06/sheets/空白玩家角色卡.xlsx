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玩家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4B0082"/>
      <sz val="16"/>
    </font>
    <font>
      <name val="Microsoft JhengHei"/>
      <b val="1"/>
      <color rgb="00333333"/>
      <sz val="11"/>
    </font>
    <font>
      <name val="Microsoft JhengHei"/>
      <color rgb="00000000"/>
      <sz val="11"/>
    </font>
    <font>
      <name val="Microsoft JhengHei"/>
      <b val="1"/>
      <color rgb="00FFFFFF"/>
      <sz val="12"/>
    </font>
    <font>
      <name val="Microsoft JhengHei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F0E6FF"/>
        <bgColor rgb="00F0E6FF"/>
      </patternFill>
    </fill>
    <fill>
      <patternFill patternType="solid">
        <fgColor rgb="00FFFFFF"/>
        <bgColor rgb="00FFFFFF"/>
      </patternFill>
    </fill>
    <fill>
      <patternFill patternType="solid">
        <fgColor rgb="004B0082"/>
        <bgColor rgb="004B0082"/>
      </patternFill>
    </fill>
    <fill>
      <patternFill patternType="solid">
        <fgColor rgb="008B5CF6"/>
        <bgColor rgb="008B5CF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B0082"/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吞噬基因：進化編年史 TRPG —— 玩家角色卡</t>
        </is>
      </c>
    </row>
    <row r="3">
      <c r="A3" s="2" t="inlineStr">
        <is>
          <t>角色名稱</t>
        </is>
      </c>
      <c r="B3" s="2" t="inlineStr">
        <is>
          <t>玩家名稱</t>
        </is>
      </c>
      <c r="C3" s="2" t="inlineStr">
        <is>
          <t>基礎形態</t>
        </is>
      </c>
      <c r="D3" s="2" t="inlineStr">
        <is>
          <t>背景</t>
        </is>
      </c>
      <c r="E3" s="2" t="inlineStr">
        <is>
          <t>進化願景</t>
        </is>
      </c>
      <c r="F3" s="2" t="inlineStr">
        <is>
          <t>禁忌進化</t>
        </is>
      </c>
      <c r="G3" s="2" t="inlineStr">
        <is>
          <t>人性值（當前）</t>
        </is>
      </c>
      <c r="H3" s="2" t="inlineStr">
        <is>
          <t>人性值（上限）</t>
        </is>
      </c>
    </row>
    <row r="4">
      <c r="A4" s="3" t="n"/>
      <c r="B4" s="3" t="n"/>
      <c r="C4" s="3" t="n"/>
      <c r="D4" s="3" t="n"/>
      <c r="E4" s="3" t="n"/>
      <c r="F4" s="3" t="n"/>
      <c r="G4" s="3" t="n">
        <v>100</v>
      </c>
      <c r="H4" s="3" t="n">
        <v>100</v>
      </c>
    </row>
    <row r="6">
      <c r="A6" s="4" t="inlineStr">
        <is>
          <t>五大屬性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5" t="inlineStr">
        <is>
          <t>屬性</t>
        </is>
      </c>
      <c r="B7" s="5" t="inlineStr">
        <is>
          <t>縮寫</t>
        </is>
      </c>
      <c r="C7" s="5" t="inlineStr">
        <is>
          <t>基礎值</t>
        </is>
      </c>
      <c r="D7" s="5" t="inlineStr">
        <is>
          <t>進化加成</t>
        </is>
      </c>
      <c r="E7" s="5" t="inlineStr">
        <is>
          <t>當前值</t>
        </is>
      </c>
      <c r="F7" s="5" t="inlineStr">
        <is>
          <t>檢定加值</t>
        </is>
      </c>
      <c r="G7" s="5" t="inlineStr">
        <is>
          <t>成長記錄</t>
        </is>
      </c>
      <c r="H7" s="5" t="inlineStr">
        <is>
          <t>備註</t>
        </is>
      </c>
    </row>
    <row r="8">
      <c r="A8" s="2" t="inlineStr">
        <is>
          <t>力量</t>
        </is>
      </c>
      <c r="B8" s="3" t="inlineStr">
        <is>
          <t>LIL</t>
        </is>
      </c>
      <c r="C8" s="3" t="n"/>
      <c r="D8" s="3" t="n"/>
      <c r="E8" s="3">
        <f>C8+D8</f>
        <v/>
      </c>
      <c r="F8" s="3">
        <f>E8</f>
        <v/>
      </c>
      <c r="G8" s="3" t="n"/>
      <c r="H8" s="3" t="n"/>
    </row>
    <row r="9">
      <c r="A9" s="2" t="inlineStr">
        <is>
          <t>敏捷</t>
        </is>
      </c>
      <c r="B9" s="3" t="inlineStr">
        <is>
          <t>MJ</t>
        </is>
      </c>
      <c r="C9" s="3" t="n"/>
      <c r="D9" s="3" t="n"/>
      <c r="E9" s="3">
        <f>C9+D9</f>
        <v/>
      </c>
      <c r="F9" s="3">
        <f>E9</f>
        <v/>
      </c>
      <c r="G9" s="3" t="n"/>
      <c r="H9" s="3" t="n"/>
    </row>
    <row r="10">
      <c r="A10" s="2" t="inlineStr">
        <is>
          <t>體質</t>
        </is>
      </c>
      <c r="B10" s="3" t="inlineStr">
        <is>
          <t>TZ</t>
        </is>
      </c>
      <c r="C10" s="3" t="n"/>
      <c r="D10" s="3" t="n"/>
      <c r="E10" s="3">
        <f>C10+D10</f>
        <v/>
      </c>
      <c r="F10" s="3">
        <f>E10</f>
        <v/>
      </c>
      <c r="G10" s="3" t="n"/>
      <c r="H10" s="3" t="n"/>
    </row>
    <row r="11">
      <c r="A11" s="2" t="inlineStr">
        <is>
          <t>感知</t>
        </is>
      </c>
      <c r="B11" s="3" t="inlineStr">
        <is>
          <t>GZ</t>
        </is>
      </c>
      <c r="C11" s="3" t="n"/>
      <c r="D11" s="3" t="n"/>
      <c r="E11" s="3">
        <f>C11+D11</f>
        <v/>
      </c>
      <c r="F11" s="3">
        <f>E11</f>
        <v/>
      </c>
      <c r="G11" s="3" t="n"/>
      <c r="H11" s="3" t="n"/>
    </row>
    <row r="12">
      <c r="A12" s="2" t="inlineStr">
        <is>
          <t>意志</t>
        </is>
      </c>
      <c r="B12" s="3" t="inlineStr">
        <is>
          <t>YZ</t>
        </is>
      </c>
      <c r="C12" s="3" t="n"/>
      <c r="D12" s="3" t="n"/>
      <c r="E12" s="3">
        <f>C12+D12</f>
        <v/>
      </c>
      <c r="F12" s="3">
        <f>E12</f>
        <v/>
      </c>
      <c r="G12" s="3" t="n"/>
      <c r="H12" s="3" t="n"/>
    </row>
    <row r="14">
      <c r="A14" s="4" t="inlineStr">
        <is>
          <t>衍生數值（自動計算）</t>
        </is>
      </c>
      <c r="B14" s="7" t="n"/>
      <c r="C14" s="7" t="n"/>
      <c r="D14" s="7" t="n"/>
      <c r="E14" s="7" t="n"/>
      <c r="F14" s="7" t="n"/>
      <c r="G14" s="7" t="n"/>
      <c r="H14" s="8" t="n"/>
    </row>
    <row r="15">
      <c r="A15" s="5" t="inlineStr">
        <is>
          <t>衍生數值</t>
        </is>
      </c>
      <c r="B15" s="5" t="inlineStr">
        <is>
          <t>計算公式</t>
        </is>
      </c>
      <c r="C15" s="5" t="inlineStr">
        <is>
          <t>當前值</t>
        </is>
      </c>
      <c r="D15" s="5" t="inlineStr"/>
      <c r="E15" s="5" t="inlineStr"/>
      <c r="F15" s="5" t="inlineStr"/>
      <c r="G15" s="5" t="inlineStr"/>
      <c r="H15" s="5" t="inlineStr"/>
    </row>
    <row r="16">
      <c r="A16" s="2" t="inlineStr">
        <is>
          <t>生命值（HP）</t>
        </is>
      </c>
      <c r="B16" s="6" t="inlineStr">
        <is>
          <t>體質當前值 × 5</t>
        </is>
      </c>
      <c r="C16" s="3">
        <f>E10*5</f>
        <v/>
      </c>
    </row>
    <row r="17">
      <c r="A17" s="2" t="inlineStr">
        <is>
          <t>能量上限</t>
        </is>
      </c>
      <c r="B17" s="6" t="inlineStr">
        <is>
          <t>體質當前值 + 意志當前值</t>
        </is>
      </c>
      <c r="C17" s="3">
        <f>E10+E12</f>
        <v/>
      </c>
    </row>
    <row r="18">
      <c r="A18" s="2" t="inlineStr">
        <is>
          <t>進化容量上限</t>
        </is>
      </c>
      <c r="B18" s="6" t="inlineStr">
        <is>
          <t>10 + 體質當前值 + 意志當前值</t>
        </is>
      </c>
      <c r="C18" s="3">
        <f>10+E10+E12</f>
        <v/>
      </c>
    </row>
    <row r="19">
      <c r="A19" s="2" t="inlineStr">
        <is>
          <t>先攻加值</t>
        </is>
      </c>
      <c r="B19" s="6" t="inlineStr">
        <is>
          <t>敏捷當前值</t>
        </is>
      </c>
      <c r="C19" s="3">
        <f>E9</f>
        <v/>
      </c>
    </row>
    <row r="20">
      <c r="A20" s="2" t="inlineStr">
        <is>
          <t>防禦值</t>
        </is>
      </c>
      <c r="B20" s="6" t="inlineStr">
        <is>
          <t>10 + 敏捷當前值</t>
        </is>
      </c>
      <c r="C20" s="3">
        <f>10+E9</f>
        <v/>
      </c>
    </row>
    <row r="21">
      <c r="A21" s="2" t="inlineStr">
        <is>
          <t>近戰傷害加值</t>
        </is>
      </c>
      <c r="B21" s="6" t="inlineStr">
        <is>
          <t>力量當前值</t>
        </is>
      </c>
      <c r="C21" s="3">
        <f>E8</f>
        <v/>
      </c>
    </row>
    <row r="22">
      <c r="A22" s="2" t="inlineStr">
        <is>
          <t>遠程傷害加值</t>
        </is>
      </c>
      <c r="B22" s="6" t="inlineStr">
        <is>
          <t>敏捷當前值</t>
        </is>
      </c>
      <c r="C22" s="3">
        <f>E9</f>
        <v/>
      </c>
    </row>
    <row r="23">
      <c r="A23" s="2" t="inlineStr">
        <is>
          <t>移動速度（格）</t>
        </is>
      </c>
      <c r="B23" s="6" t="inlineStr">
        <is>
          <t>依敏捷值查表</t>
        </is>
      </c>
      <c r="C23" s="3">
        <f>IF(E9&lt;=3,4,IF(E9&lt;=6,5,IF(E9&lt;=9,6,IF(E9&lt;=12,7,IF(E9&lt;=15,8,9)))))</f>
        <v/>
      </c>
    </row>
    <row r="25">
      <c r="A25" s="4" t="inlineStr">
        <is>
          <t>進化節點列表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5" t="inlineStr">
        <is>
          <t>編號</t>
        </is>
      </c>
      <c r="B26" s="5" t="inlineStr">
        <is>
          <t>節點名稱</t>
        </is>
      </c>
      <c r="C26" s="5" t="inlineStr">
        <is>
          <t>類型</t>
        </is>
      </c>
      <c r="D26" s="5" t="inlineStr">
        <is>
          <t>效果摘要</t>
        </is>
      </c>
      <c r="E26" s="5" t="inlineStr">
        <is>
          <t>成本</t>
        </is>
      </c>
      <c r="F26" s="5" t="inlineStr">
        <is>
          <t>條件</t>
        </is>
      </c>
      <c r="G26" s="5" t="inlineStr">
        <is>
          <t>人性值變化</t>
        </is>
      </c>
      <c r="H26" s="5" t="inlineStr">
        <is>
          <t>備註</t>
        </is>
      </c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8">
      <c r="A58" s="4" t="inlineStr">
        <is>
          <t>裝備</t>
        </is>
      </c>
      <c r="B58" s="7" t="n"/>
      <c r="C58" s="7" t="n"/>
      <c r="D58" s="7" t="n"/>
      <c r="E58" s="7" t="n"/>
      <c r="F58" s="7" t="n"/>
      <c r="G58" s="7" t="n"/>
      <c r="H58" s="8" t="n"/>
    </row>
    <row r="59">
      <c r="A59" s="5" t="inlineStr">
        <is>
          <t>欄位</t>
        </is>
      </c>
      <c r="B59" s="5" t="inlineStr">
        <is>
          <t>裝備名稱</t>
        </is>
      </c>
      <c r="C59" s="5" t="inlineStr">
        <is>
          <t>類型</t>
        </is>
      </c>
      <c r="D59" s="5" t="inlineStr">
        <is>
          <t>效果</t>
        </is>
      </c>
      <c r="E59" s="5" t="inlineStr">
        <is>
          <t>需求</t>
        </is>
      </c>
      <c r="F59" s="5" t="inlineStr">
        <is>
          <t>人性值門檻</t>
        </is>
      </c>
      <c r="G59" s="5" t="inlineStr">
        <is>
          <t>重量</t>
        </is>
      </c>
      <c r="H59" s="5" t="inlineStr">
        <is>
          <t>備註</t>
        </is>
      </c>
    </row>
    <row r="60">
      <c r="A60" s="2" t="inlineStr">
        <is>
          <t>主手武器</t>
        </is>
      </c>
      <c r="B60" s="3" t="n"/>
      <c r="C60" s="3" t="n"/>
      <c r="D60" s="3" t="n"/>
      <c r="E60" s="3" t="n"/>
      <c r="F60" s="3" t="n"/>
      <c r="G60" s="3" t="n"/>
      <c r="H60" s="3" t="n"/>
    </row>
    <row r="61">
      <c r="A61" s="2" t="inlineStr">
        <is>
          <t>副手/盾牌</t>
        </is>
      </c>
      <c r="B61" s="3" t="n"/>
      <c r="C61" s="3" t="n"/>
      <c r="D61" s="3" t="n"/>
      <c r="E61" s="3" t="n"/>
      <c r="F61" s="3" t="n"/>
      <c r="G61" s="3" t="n"/>
      <c r="H61" s="3" t="n"/>
    </row>
    <row r="62">
      <c r="A62" s="2" t="inlineStr">
        <is>
          <t>護甲</t>
        </is>
      </c>
      <c r="B62" s="3" t="n"/>
      <c r="C62" s="3" t="n"/>
      <c r="D62" s="3" t="n"/>
      <c r="E62" s="3" t="n"/>
      <c r="F62" s="3" t="n"/>
      <c r="G62" s="3" t="n"/>
      <c r="H62" s="3" t="n"/>
    </row>
    <row r="63">
      <c r="A63" s="2" t="inlineStr">
        <is>
          <t>飾品1</t>
        </is>
      </c>
      <c r="B63" s="3" t="n"/>
      <c r="C63" s="3" t="n"/>
      <c r="D63" s="3" t="n"/>
      <c r="E63" s="3" t="n"/>
      <c r="F63" s="3" t="n"/>
      <c r="G63" s="3" t="n"/>
      <c r="H63" s="3" t="n"/>
    </row>
    <row r="64">
      <c r="A64" s="2" t="inlineStr">
        <is>
          <t>飾品2</t>
        </is>
      </c>
      <c r="B64" s="3" t="n"/>
      <c r="C64" s="3" t="n"/>
      <c r="D64" s="3" t="n"/>
      <c r="E64" s="3" t="n"/>
      <c r="F64" s="3" t="n"/>
      <c r="G64" s="3" t="n"/>
      <c r="H64" s="3" t="n"/>
    </row>
    <row r="65">
      <c r="A65" s="2" t="inlineStr">
        <is>
          <t>背包道具1</t>
        </is>
      </c>
      <c r="B65" s="3" t="n"/>
      <c r="C65" s="3" t="n"/>
      <c r="D65" s="3" t="n"/>
      <c r="E65" s="3" t="n"/>
      <c r="F65" s="3" t="n"/>
      <c r="G65" s="3" t="n"/>
      <c r="H65" s="3" t="n"/>
    </row>
    <row r="66">
      <c r="A66" s="2" t="inlineStr">
        <is>
          <t>背包道具2</t>
        </is>
      </c>
      <c r="B66" s="3" t="n"/>
      <c r="C66" s="3" t="n"/>
      <c r="D66" s="3" t="n"/>
      <c r="E66" s="3" t="n"/>
      <c r="F66" s="3" t="n"/>
      <c r="G66" s="3" t="n"/>
      <c r="H66" s="3" t="n"/>
    </row>
    <row r="67">
      <c r="A67" s="2" t="inlineStr">
        <is>
          <t>背包道具3</t>
        </is>
      </c>
      <c r="B67" s="3" t="n"/>
      <c r="C67" s="3" t="n"/>
      <c r="D67" s="3" t="n"/>
      <c r="E67" s="3" t="n"/>
      <c r="F67" s="3" t="n"/>
      <c r="G67" s="3" t="n"/>
      <c r="H67" s="3" t="n"/>
    </row>
    <row r="69">
      <c r="A69" s="4" t="inlineStr">
        <is>
          <t>消耗品 / 資源</t>
        </is>
      </c>
      <c r="B69" s="7" t="n"/>
      <c r="C69" s="7" t="n"/>
      <c r="D69" s="7" t="n"/>
      <c r="E69" s="7" t="n"/>
      <c r="F69" s="7" t="n"/>
      <c r="G69" s="7" t="n"/>
      <c r="H69" s="8" t="n"/>
    </row>
    <row r="70">
      <c r="A70" s="5" t="inlineStr">
        <is>
          <t>物品名稱</t>
        </is>
      </c>
      <c r="B70" s="5" t="inlineStr">
        <is>
          <t>數量</t>
        </is>
      </c>
      <c r="C70" s="5" t="inlineStr">
        <is>
          <t>效果</t>
        </is>
      </c>
      <c r="D70" s="5" t="inlineStr">
        <is>
          <t>稀有度</t>
        </is>
      </c>
      <c r="E70" s="5" t="inlineStr"/>
      <c r="F70" s="5" t="inlineStr"/>
      <c r="G70" s="5" t="inlineStr"/>
      <c r="H70" s="5" t="inlineStr"/>
    </row>
    <row r="71">
      <c r="A71" s="3" t="inlineStr">
        <is>
          <t>治療藥劑</t>
        </is>
      </c>
      <c r="B71" s="3" t="n">
        <v>0</v>
      </c>
      <c r="C71" s="3" t="inlineStr">
        <is>
          <t>恢復 2d6 HP</t>
        </is>
      </c>
      <c r="D71" s="3" t="inlineStr">
        <is>
          <t>普通</t>
        </is>
      </c>
    </row>
    <row r="72">
      <c r="A72" s="3" t="inlineStr">
        <is>
          <t>強效治療藥劑</t>
        </is>
      </c>
      <c r="B72" s="3" t="n">
        <v>0</v>
      </c>
      <c r="C72" s="3" t="inlineStr">
        <is>
          <t>恢復 4d6 HP</t>
        </is>
      </c>
      <c r="D72" s="3" t="inlineStr">
        <is>
          <t>罕見</t>
        </is>
      </c>
    </row>
    <row r="73">
      <c r="A73" s="3" t="inlineStr">
        <is>
          <t>能量藥水</t>
        </is>
      </c>
      <c r="B73" s="3" t="n">
        <v>0</v>
      </c>
      <c r="C73" s="3" t="inlineStr">
        <is>
          <t>立即恢復 3 能量</t>
        </is>
      </c>
      <c r="D73" s="3" t="inlineStr">
        <is>
          <t>普通</t>
        </is>
      </c>
    </row>
    <row r="74">
      <c r="A74" s="3" t="inlineStr">
        <is>
          <t>解毒劑</t>
        </is>
      </c>
      <c r="B74" s="3" t="n">
        <v>0</v>
      </c>
      <c r="C74" s="3" t="inlineStr">
        <is>
          <t>移除中毒狀態</t>
        </is>
      </c>
      <c r="D74" s="3" t="inlineStr">
        <is>
          <t>普通</t>
        </is>
      </c>
    </row>
    <row r="75">
      <c r="A75" s="3" t="inlineStr">
        <is>
          <t>進化催化劑</t>
        </is>
      </c>
      <c r="B75" s="3" t="n">
        <v>0</v>
      </c>
      <c r="C75" s="3" t="inlineStr">
        <is>
          <t>下次進化成本 -1</t>
        </is>
      </c>
      <c r="D75" s="3" t="inlineStr">
        <is>
          <t>稀有</t>
        </is>
      </c>
    </row>
    <row r="76">
      <c r="A76" s="3" t="inlineStr">
        <is>
          <t>生物質精華</t>
        </is>
      </c>
      <c r="B76" s="3" t="n">
        <v>0</v>
      </c>
      <c r="C76" s="3" t="inlineStr">
        <is>
          <t>獲得 3 生物質</t>
        </is>
      </c>
      <c r="D76" s="3" t="inlineStr">
        <is>
          <t>罕見</t>
        </is>
      </c>
    </row>
    <row r="77">
      <c r="A77" s="3" t="inlineStr">
        <is>
          <t>人性穩定劑</t>
        </is>
      </c>
      <c r="B77" s="3" t="n">
        <v>0</v>
      </c>
      <c r="C77" s="3" t="inlineStr">
        <is>
          <t>人性值不再下降（1 週）</t>
        </is>
      </c>
      <c r="D77" s="3" t="inlineStr">
        <is>
          <t>稀有</t>
        </is>
      </c>
    </row>
    <row r="79">
      <c r="A79" s="4" t="inlineStr">
        <is>
          <t>資源追蹤</t>
        </is>
      </c>
      <c r="B79" s="7" t="n"/>
      <c r="C79" s="7" t="n"/>
      <c r="D79" s="7" t="n"/>
      <c r="E79" s="7" t="n"/>
      <c r="F79" s="7" t="n"/>
      <c r="G79" s="7" t="n"/>
      <c r="H79" s="8" t="n"/>
    </row>
    <row r="80">
      <c r="A80" s="2" t="inlineStr">
        <is>
          <t>進化點數（可用）</t>
        </is>
      </c>
      <c r="B80" s="2" t="inlineStr">
        <is>
          <t>生物質（持有）</t>
        </is>
      </c>
      <c r="C80" s="2" t="inlineStr">
        <is>
          <t>進化節點總數</t>
        </is>
      </c>
      <c r="D80" s="2" t="inlineStr">
        <is>
          <t>已用容量</t>
        </is>
      </c>
      <c r="E80" s="2" t="inlineStr">
        <is>
          <t>剩餘容量</t>
        </is>
      </c>
    </row>
    <row r="81">
      <c r="A81" s="3" t="n"/>
      <c r="B81" s="3" t="n"/>
      <c r="C81" s="3">
        <f>COUNTA(B27:B56)</f>
        <v/>
      </c>
      <c r="D81" s="3">
        <f>C81</f>
        <v/>
      </c>
      <c r="E81" s="3">
        <f>C18-C82</f>
        <v/>
      </c>
    </row>
  </sheetData>
  <mergeCells count="7">
    <mergeCell ref="A6:H6"/>
    <mergeCell ref="A69:H69"/>
    <mergeCell ref="A25:H25"/>
    <mergeCell ref="A14:H14"/>
    <mergeCell ref="A1:H1"/>
    <mergeCell ref="A79:H79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2026-07-14T18:29:18Z</dcterms:created>
  <dcterms:modified xsi:type="dcterms:W3CDTF">2026-07-16T23:58:22Z</dcterms:modified>
</cp:coreProperties>
</file>