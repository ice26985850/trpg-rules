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8B0000"/>
      <sz val="16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color rgb="00888888"/>
      <sz val="9"/>
    </font>
    <font>
      <name val="Microsoft YaHei"/>
      <color rgb="000044CC"/>
      <sz val="10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FFFFCC"/>
      </patternFill>
    </fill>
    <fill>
      <patternFill patternType="solid">
        <fgColor rgb="00E8F0F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爐邊譚 — 角色卡</t>
        </is>
      </c>
    </row>
    <row r="2"/>
    <row r="3">
      <c r="A3" s="2" t="inlineStr">
        <is>
          <t>基本資料</t>
        </is>
      </c>
      <c r="B3" s="10" t="n"/>
      <c r="C3" s="10" t="n"/>
      <c r="D3" s="10" t="n"/>
      <c r="E3" s="10" t="n"/>
      <c r="F3" s="11" t="n"/>
    </row>
    <row r="4">
      <c r="A4" s="3" t="inlineStr">
        <is>
          <t>角色姓名</t>
        </is>
      </c>
      <c r="B4" s="4" t="inlineStr"/>
      <c r="D4" s="3" t="inlineStr">
        <is>
          <t>種族</t>
        </is>
      </c>
      <c r="E4" s="4" t="inlineStr"/>
    </row>
    <row r="5">
      <c r="A5" s="3" t="inlineStr">
        <is>
          <t>主職業</t>
        </is>
      </c>
      <c r="B5" s="4" t="inlineStr"/>
      <c r="D5" s="3" t="inlineStr">
        <is>
          <t>兼職</t>
        </is>
      </c>
      <c r="E5" s="4" t="inlineStr"/>
    </row>
    <row r="6">
      <c r="A6" s="3" t="inlineStr">
        <is>
          <t>店舖</t>
        </is>
      </c>
      <c r="B6" s="4" t="inlineStr"/>
      <c r="D6" s="3" t="inlineStr">
        <is>
          <t>地點</t>
        </is>
      </c>
      <c r="E6" s="4" t="inlineStr"/>
    </row>
    <row r="7"/>
    <row r="8">
      <c r="A8" s="2" t="inlineStr">
        <is>
          <t>屬性（黃底=輸入）</t>
        </is>
      </c>
      <c r="B8" s="10" t="n"/>
      <c r="C8" s="11" t="n"/>
      <c r="D8" s="3" t="inlineStr">
        <is>
          <t>成長tick</t>
        </is>
      </c>
      <c r="E8" s="3" t="inlineStr">
        <is>
          <t>目標</t>
        </is>
      </c>
    </row>
    <row r="9">
      <c r="A9" s="3" t="inlineStr">
        <is>
          <t>技藝</t>
        </is>
      </c>
      <c r="B9" s="5" t="n">
        <v>1</v>
      </c>
      <c r="C9" s="6" t="inlineStr">
        <is>
          <t>手工/精細操作</t>
        </is>
      </c>
      <c r="D9" s="5" t="n">
        <v>0</v>
      </c>
      <c r="E9" s="6" t="n">
        <v>5</v>
      </c>
    </row>
    <row r="10">
      <c r="A10" s="3" t="inlineStr">
        <is>
          <t>鑑定</t>
        </is>
      </c>
      <c r="B10" s="5" t="n">
        <v>1</v>
      </c>
      <c r="C10" s="6" t="inlineStr">
        <is>
          <t>辨別/真偽/知識</t>
        </is>
      </c>
      <c r="D10" s="5" t="n">
        <v>0</v>
      </c>
      <c r="E10" s="6" t="n">
        <v>5</v>
      </c>
    </row>
    <row r="11">
      <c r="A11" s="3" t="inlineStr">
        <is>
          <t>交涉</t>
        </is>
      </c>
      <c r="B11" s="5" t="n">
        <v>1</v>
      </c>
      <c r="C11" s="6" t="inlineStr">
        <is>
          <t>溝通/魅力/談判</t>
        </is>
      </c>
      <c r="D11" s="5" t="n">
        <v>0</v>
      </c>
      <c r="E11" s="6" t="n">
        <v>5</v>
      </c>
    </row>
    <row r="12">
      <c r="A12" s="3" t="inlineStr">
        <is>
          <t>靈感</t>
        </is>
      </c>
      <c r="B12" s="5" t="n">
        <v>1</v>
      </c>
      <c r="C12" s="6" t="inlineStr">
        <is>
          <t>創造/直覺/美學</t>
        </is>
      </c>
      <c r="D12" s="5" t="n">
        <v>0</v>
      </c>
      <c r="E12" s="6" t="n">
        <v>5</v>
      </c>
    </row>
    <row r="13">
      <c r="A13" s="3" t="inlineStr">
        <is>
          <t>體力</t>
        </is>
      </c>
      <c r="B13" s="5" t="n">
        <v>1</v>
      </c>
      <c r="C13" s="6" t="inlineStr">
        <is>
          <t>耐力/力量/野外</t>
        </is>
      </c>
      <c r="D13" s="5" t="n">
        <v>0</v>
      </c>
      <c r="E13" s="6" t="n">
        <v>5</v>
      </c>
    </row>
    <row r="14">
      <c r="A14" s="2" t="inlineStr">
        <is>
          <t>衍生屬性（藍底=自動計算）</t>
        </is>
      </c>
      <c r="B14" s="10" t="n"/>
      <c r="C14" s="11" t="n"/>
    </row>
    <row r="15">
      <c r="A15" s="3" t="inlineStr">
        <is>
          <t>靈感點上限（IP）</t>
        </is>
      </c>
      <c r="B15" s="7">
        <f>B12</f>
        <v/>
      </c>
      <c r="C15" s="6" t="inlineStr">
        <is>
          <t>每週長休恢復至上限</t>
        </is>
      </c>
      <c r="D15" s="3" t="inlineStr">
        <is>
          <t>當前 靈感點（IP）</t>
        </is>
      </c>
      <c r="E15" s="4" t="inlineStr"/>
    </row>
    <row r="16">
      <c r="A16" s="3" t="inlineStr">
        <is>
          <t>行程耐力（AP）</t>
        </is>
      </c>
      <c r="B16" s="7">
        <f>B13*2</f>
        <v/>
      </c>
      <c r="C16" s="6">
        <f> 體力 × 2</f>
        <v/>
      </c>
    </row>
    <row r="17">
      <c r="A17" s="3" t="inlineStr">
        <is>
          <t>品質上限</t>
        </is>
      </c>
      <c r="B17" s="7">
        <f>B9+INT(B12/2)</f>
        <v/>
      </c>
      <c r="C17" s="6">
        <f> 技藝 + ⌊靈感/2⌋</f>
        <v/>
      </c>
    </row>
    <row r="18">
      <c r="A18" s="3" t="inlineStr">
        <is>
          <t>店舖評級</t>
        </is>
      </c>
      <c r="B18" s="7">
        <f>B11+INT(B9/2)+F22</f>
        <v/>
      </c>
      <c r="C18" s="6">
        <f> 交涉 + ⌊技藝/2⌋ + 聲望</f>
        <v/>
      </c>
    </row>
    <row r="19"/>
    <row r="20">
      <c r="A20" s="2" t="inlineStr">
        <is>
          <t>店舖</t>
        </is>
      </c>
      <c r="B20" s="10" t="n"/>
      <c r="C20" s="11" t="n"/>
    </row>
    <row r="21">
      <c r="A21" s="3" t="inlineStr">
        <is>
          <t>店舖等級</t>
        </is>
      </c>
      <c r="B21" s="5" t="n">
        <v>1</v>
      </c>
      <c r="C21" s="3" t="inlineStr">
        <is>
          <t>客流修正</t>
        </is>
      </c>
      <c r="D21" s="7">
        <f>1*2-2</f>
        <v/>
      </c>
    </row>
    <row r="22">
      <c r="A22" s="3" t="inlineStr">
        <is>
          <t>聲望值</t>
        </is>
      </c>
      <c r="B22" s="5" t="n">
        <v>0</v>
      </c>
      <c r="C22" s="3" t="inlineStr">
        <is>
          <t>裝潢分數</t>
        </is>
      </c>
      <c r="D22" s="5" t="n">
        <v>0</v>
      </c>
    </row>
    <row r="23">
      <c r="A23" s="3" t="inlineStr">
        <is>
          <t>資金</t>
        </is>
      </c>
      <c r="B23" s="5" t="n">
        <v>300</v>
      </c>
      <c r="C23" s="3" t="inlineStr">
        <is>
          <t>口碑傾向</t>
        </is>
      </c>
      <c r="D23" s="4" t="inlineStr"/>
    </row>
    <row r="24"/>
    <row r="25">
      <c r="A25" s="2" t="inlineStr">
        <is>
          <t>技能（0-3級，黃底=輸入）</t>
        </is>
      </c>
      <c r="B25" s="10" t="n"/>
      <c r="C25" s="11" t="n"/>
      <c r="D25" s="3" t="inlineStr">
        <is>
          <t>等級</t>
        </is>
      </c>
      <c r="E25" s="3" t="inlineStr">
        <is>
          <t>成功次數</t>
        </is>
      </c>
    </row>
    <row r="26">
      <c r="A26" s="8" t="inlineStr">
        <is>
          <t>鍛造</t>
        </is>
      </c>
      <c r="B26" s="6" t="inlineStr">
        <is>
          <t>（技藝）</t>
        </is>
      </c>
      <c r="D26" s="5" t="n">
        <v>0</v>
      </c>
      <c r="E26" s="5" t="n">
        <v>0</v>
      </c>
    </row>
    <row r="27">
      <c r="A27" s="8" t="inlineStr">
        <is>
          <t>烹飪</t>
        </is>
      </c>
      <c r="B27" s="6" t="inlineStr">
        <is>
          <t>（技藝）</t>
        </is>
      </c>
      <c r="D27" s="5" t="n">
        <v>0</v>
      </c>
      <c r="E27" s="5" t="n">
        <v>0</v>
      </c>
    </row>
    <row r="28">
      <c r="A28" s="8" t="inlineStr">
        <is>
          <t>縫紉</t>
        </is>
      </c>
      <c r="B28" s="6" t="inlineStr">
        <is>
          <t>（技藝）</t>
        </is>
      </c>
      <c r="D28" s="5" t="n">
        <v>0</v>
      </c>
      <c r="E28" s="5" t="n">
        <v>0</v>
      </c>
    </row>
    <row r="29">
      <c r="A29" s="8" t="inlineStr">
        <is>
          <t>煉金</t>
        </is>
      </c>
      <c r="B29" s="6" t="inlineStr">
        <is>
          <t>（鑑定）</t>
        </is>
      </c>
      <c r="D29" s="5" t="n">
        <v>0</v>
      </c>
      <c r="E29" s="5" t="n">
        <v>0</v>
      </c>
    </row>
    <row r="30">
      <c r="A30" s="8" t="inlineStr">
        <is>
          <t>採集</t>
        </is>
      </c>
      <c r="B30" s="6" t="inlineStr">
        <is>
          <t>（鑑定）</t>
        </is>
      </c>
      <c r="D30" s="5" t="n">
        <v>0</v>
      </c>
      <c r="E30" s="5" t="n">
        <v>0</v>
      </c>
    </row>
    <row r="31">
      <c r="A31" s="8" t="inlineStr">
        <is>
          <t>議價</t>
        </is>
      </c>
      <c r="B31" s="6" t="inlineStr">
        <is>
          <t>（交涉）</t>
        </is>
      </c>
      <c r="D31" s="5" t="n">
        <v>0</v>
      </c>
      <c r="E31" s="5" t="n">
        <v>0</v>
      </c>
    </row>
    <row r="32">
      <c r="A32" s="8" t="inlineStr">
        <is>
          <t>接待</t>
        </is>
      </c>
      <c r="B32" s="6" t="inlineStr">
        <is>
          <t>（交涉）</t>
        </is>
      </c>
      <c r="D32" s="5" t="n">
        <v>0</v>
      </c>
      <c r="E32" s="5" t="n">
        <v>0</v>
      </c>
    </row>
    <row r="33">
      <c r="A33" s="8" t="inlineStr">
        <is>
          <t>設計</t>
        </is>
      </c>
      <c r="B33" s="6" t="inlineStr">
        <is>
          <t>（靈感）</t>
        </is>
      </c>
      <c r="D33" s="5" t="n">
        <v>0</v>
      </c>
      <c r="E33" s="5" t="n">
        <v>0</v>
      </c>
    </row>
    <row r="34">
      <c r="A34" s="8" t="inlineStr">
        <is>
          <t>野外生存</t>
        </is>
      </c>
      <c r="B34" s="6" t="inlineStr">
        <is>
          <t>（體力）</t>
        </is>
      </c>
      <c r="D34" s="5" t="n">
        <v>0</v>
      </c>
      <c r="E34" s="5" t="n">
        <v>0</v>
      </c>
    </row>
    <row r="35"/>
    <row r="36">
      <c r="A36" s="2" t="inlineStr">
        <is>
          <t>狀態與經驗</t>
        </is>
      </c>
      <c r="B36" s="10" t="n"/>
      <c r="C36" s="11" t="n"/>
    </row>
    <row r="37">
      <c r="A37" s="3" t="inlineStr">
        <is>
          <t>疲勞值（0-10）</t>
        </is>
      </c>
      <c r="B37" s="5" t="n">
        <v>0</v>
      </c>
      <c r="C37" s="3" t="inlineStr">
        <is>
          <t>傷勢</t>
        </is>
      </c>
      <c r="D37" s="4" t="inlineStr"/>
    </row>
    <row r="38">
      <c r="A38" s="3" t="inlineStr">
        <is>
          <t>主職業經驗</t>
        </is>
      </c>
      <c r="B38" s="5" t="n">
        <v>0</v>
      </c>
      <c r="C38" s="3" t="inlineStr">
        <is>
          <t>兼職經驗</t>
        </is>
      </c>
      <c r="D38" s="5" t="n">
        <v>0</v>
      </c>
    </row>
    <row r="39"/>
    <row r="40">
      <c r="A40" s="2" t="inlineStr">
        <is>
          <t>工具耐久 / 庫存</t>
        </is>
      </c>
      <c r="B40" s="10" t="n"/>
      <c r="C40" s="10" t="n"/>
      <c r="D40" s="10" t="n"/>
      <c r="E40" s="10" t="n"/>
      <c r="F40" s="11" t="n"/>
    </row>
    <row r="41">
      <c r="A41" s="3" t="inlineStr">
        <is>
          <t>個人攜帶上限</t>
        </is>
      </c>
      <c r="B41" s="7">
        <f>IF(B13=1,4,IF(B13=2,6,IF(B13=3,8,IF(B13=4,10,IF(B13=5,14,0)))))</f>
        <v/>
      </c>
      <c r="C41" s="6" t="inlineStr">
        <is>
          <t>依體力自動計算（背包容量）</t>
        </is>
      </c>
    </row>
    <row r="42">
      <c r="A42" s="3" t="inlineStr">
        <is>
          <t>工具名稱</t>
        </is>
      </c>
      <c r="B42" s="4" t="inlineStr"/>
      <c r="C42" s="3" t="inlineStr">
        <is>
          <t>耐久</t>
        </is>
      </c>
      <c r="D42" s="4" t="inlineStr"/>
    </row>
    <row r="43">
      <c r="A43" s="3" t="inlineStr">
        <is>
          <t>工具名稱2</t>
        </is>
      </c>
      <c r="B43" s="4" t="inlineStr"/>
      <c r="C43" s="3" t="inlineStr">
        <is>
          <t>耐久</t>
        </is>
      </c>
      <c r="D43" s="4" t="inlineStr"/>
    </row>
    <row r="44"/>
    <row r="45"/>
    <row r="46">
      <c r="A46" s="2" t="inlineStr">
        <is>
          <t>種族特性 / 招牌技能 / 技能樹</t>
        </is>
      </c>
      <c r="B46" s="10" t="n"/>
      <c r="C46" s="10" t="n"/>
      <c r="D46" s="10" t="n"/>
      <c r="E46" s="10" t="n"/>
      <c r="F46" s="11" t="n"/>
    </row>
    <row r="47">
      <c r="A47" s="3" t="inlineStr">
        <is>
          <t>種族特性</t>
        </is>
      </c>
      <c r="B47" s="9" t="inlineStr"/>
      <c r="C47" s="10" t="n"/>
      <c r="D47" s="10" t="n"/>
      <c r="E47" s="10" t="n"/>
      <c r="F47" s="11" t="n"/>
    </row>
    <row r="48">
      <c r="A48" s="3" t="inlineStr">
        <is>
          <t>招牌技能（主）</t>
        </is>
      </c>
      <c r="B48" s="9" t="inlineStr"/>
      <c r="C48" s="10" t="n"/>
      <c r="D48" s="10" t="n"/>
      <c r="E48" s="10" t="n"/>
      <c r="F48" s="11" t="n"/>
    </row>
    <row r="49">
      <c r="A49" s="3" t="inlineStr">
        <is>
          <t>招牌技能（兼）</t>
        </is>
      </c>
      <c r="B49" s="9" t="inlineStr"/>
      <c r="C49" s="10" t="n"/>
      <c r="D49" s="10" t="n"/>
      <c r="E49" s="10" t="n"/>
      <c r="F49" s="11" t="n"/>
    </row>
    <row r="50">
      <c r="A50" s="3" t="inlineStr">
        <is>
          <t>技能樹（主）</t>
        </is>
      </c>
      <c r="B50" s="9" t="inlineStr">
        <is>
          <t xml:space="preserve">T1:  | T2:  | T3: </t>
        </is>
      </c>
      <c r="C50" s="10" t="n"/>
      <c r="D50" s="10" t="n"/>
      <c r="E50" s="10" t="n"/>
      <c r="F50" s="11" t="n"/>
    </row>
    <row r="51">
      <c r="A51" s="3" t="inlineStr">
        <is>
          <t>技能樹（兼）</t>
        </is>
      </c>
      <c r="B51" s="9" t="inlineStr">
        <is>
          <t xml:space="preserve">T1: </t>
        </is>
      </c>
      <c r="C51" s="10" t="n"/>
      <c r="D51" s="10" t="n"/>
      <c r="E51" s="10" t="n"/>
      <c r="F51" s="11" t="n"/>
    </row>
    <row r="52">
      <c r="A52" s="3" t="inlineStr">
        <is>
          <t>協同加成</t>
        </is>
      </c>
      <c r="B52" s="9" t="inlineStr"/>
      <c r="C52" s="10" t="n"/>
      <c r="D52" s="10" t="n"/>
      <c r="E52" s="10" t="n"/>
      <c r="F52" s="11" t="n"/>
    </row>
    <row r="53"/>
    <row r="54">
      <c r="A54" s="2" t="inlineStr">
        <is>
          <t>裝備 / 配方 / 備註</t>
        </is>
      </c>
      <c r="B54" s="10" t="n"/>
      <c r="C54" s="10" t="n"/>
      <c r="D54" s="10" t="n"/>
      <c r="E54" s="10" t="n"/>
      <c r="F54" s="11" t="n"/>
    </row>
    <row r="55">
      <c r="A55" s="3" t="inlineStr">
        <is>
          <t>工具</t>
        </is>
      </c>
      <c r="B55" s="9" t="inlineStr"/>
      <c r="C55" s="10" t="n"/>
      <c r="D55" s="10" t="n"/>
      <c r="E55" s="10" t="n"/>
      <c r="F55" s="11" t="n"/>
    </row>
    <row r="56">
      <c r="A56" s="3" t="inlineStr">
        <is>
          <t>武器/防具</t>
        </is>
      </c>
      <c r="B56" s="9" t="inlineStr"/>
      <c r="C56" s="10" t="n"/>
      <c r="D56" s="10" t="n"/>
      <c r="E56" s="10" t="n"/>
      <c r="F56" s="11" t="n"/>
    </row>
    <row r="57">
      <c r="A57" s="3" t="inlineStr">
        <is>
          <t>魔法物品</t>
        </is>
      </c>
      <c r="B57" s="9" t="inlineStr"/>
      <c r="C57" s="10" t="n"/>
      <c r="D57" s="10" t="n"/>
      <c r="E57" s="10" t="n"/>
      <c r="F57" s="11" t="n"/>
    </row>
    <row r="58">
      <c r="A58" s="3" t="inlineStr">
        <is>
          <t>配方</t>
        </is>
      </c>
      <c r="B58" s="9" t="inlineStr"/>
      <c r="C58" s="10" t="n"/>
      <c r="D58" s="10" t="n"/>
      <c r="E58" s="10" t="n"/>
      <c r="F58" s="11" t="n"/>
    </row>
    <row r="59">
      <c r="A59" s="3" t="inlineStr">
        <is>
          <t>備註</t>
        </is>
      </c>
      <c r="B59" s="9" t="inlineStr"/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2026-06-21T10:27:15Z</dcterms:created>
  <dcterms:modified xsi:type="dcterms:W3CDTF">2026-07-18T19:48:33Z</dcterms:modified>
</cp:coreProperties>
</file>