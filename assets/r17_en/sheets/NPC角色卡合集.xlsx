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Collector-Victor" sheetId="1" state="visible" r:id="rId1"/>
    <sheet name="Brotherhood Traitor-Karl" sheetId="2" state="visible" r:id="rId2"/>
    <sheet name="Cult Infiltrator" sheetId="3" state="visible" r:id="rId3"/>
    <sheet name="QZAC Secret Scout" sheetId="4" state="visible" r:id="rId4"/>
    <sheet name="Radio Tower Researcher-Irene" sheetId="5" state="visible" r:id="rId5"/>
    <sheet name="Quarantine Zone Orphan-Xiao 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Debt Collector-Victor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Debt Collector-Victor</t>
        </is>
      </c>
      <c r="C3" s="10" t="n"/>
      <c r="D3" s="5" t="inlineStr">
        <is>
          <t>Type/Faction</t>
        </is>
      </c>
      <c r="E3" s="6" t="inlineStr">
        <is>
          <t>Faction NPC / Smuggler's Ring High-Ranking</t>
        </is>
      </c>
      <c r="F3" s="10" t="n"/>
      <c r="G3" s="5" t="inlineStr">
        <is>
          <t>Role</t>
        </is>
      </c>
      <c r="H3" s="6" t="inlineStr">
        <is>
          <t>Debtor Sidequest Boss</t>
        </is>
      </c>
      <c r="I3" s="2" t="n"/>
    </row>
    <row r="4"/>
    <row r="5">
      <c r="A5" s="3" t="inlineStr">
        <is>
          <t>Five Attributes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Physique</t>
        </is>
      </c>
      <c r="B6" s="7" t="n">
        <v>5</v>
      </c>
      <c r="C6" s="5" t="inlineStr">
        <is>
          <t>Precision</t>
        </is>
      </c>
      <c r="D6" s="7" t="n">
        <v>4</v>
      </c>
      <c r="E6" s="5" t="inlineStr">
        <is>
          <t>Perception</t>
        </is>
      </c>
      <c r="F6" s="7" t="n">
        <v>5</v>
      </c>
      <c r="G6" s="5" t="inlineStr">
        <is>
          <t>Tech</t>
        </is>
      </c>
      <c r="H6" s="7" t="n">
        <v>6</v>
      </c>
      <c r="I6" s="5" t="inlineStr">
        <is>
          <t>Courage</t>
        </is>
      </c>
      <c r="J6" s="7" t="n">
        <v>8</v>
      </c>
    </row>
    <row r="7">
      <c r="A7" s="3" t="inlineStr">
        <is>
          <t>Skills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Firearms</t>
        </is>
      </c>
      <c r="B8" s="6" t="n">
        <v>2</v>
      </c>
      <c r="C8" s="10" t="n"/>
    </row>
    <row r="9">
      <c r="A9" s="5" t="inlineStr">
        <is>
          <t>Intimidation</t>
        </is>
      </c>
      <c r="B9" s="6" t="n">
        <v>4</v>
      </c>
      <c r="C9" s="10" t="n"/>
    </row>
    <row r="10">
      <c r="A10" s="5" t="inlineStr">
        <is>
          <t>Persuasion</t>
        </is>
      </c>
      <c r="B10" s="6" t="n">
        <v>4</v>
      </c>
      <c r="C10" s="10" t="n"/>
    </row>
    <row r="11">
      <c r="A11" s="5" t="inlineStr">
        <is>
          <t>Street Smarts</t>
        </is>
      </c>
      <c r="B11" s="6" t="n">
        <v>4</v>
      </c>
      <c r="C11" s="10" t="n"/>
    </row>
    <row r="12">
      <c r="A12" s="3" t="inlineStr">
        <is>
          <t>Seven-Part HP (Auto)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5" t="inlineStr">
        <is>
          <t>Head</t>
        </is>
      </c>
      <c r="B13" s="8">
        <f>C6+6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Chest</t>
        </is>
      </c>
      <c r="B14" s="8">
        <f>C6*2+10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Abdomen</t>
        </is>
      </c>
      <c r="B15" s="8">
        <f>C6+8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Left Arm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Right Arm</t>
        </is>
      </c>
      <c r="B17" s="8">
        <f>C6+4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Left Leg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5" t="inlineStr">
        <is>
          <t>Right Leg</t>
        </is>
      </c>
      <c r="B19" s="8">
        <f>C6+5</f>
        <v/>
      </c>
      <c r="C19" s="9" t="n"/>
      <c r="D19" s="10" t="n"/>
      <c r="E19" s="2" t="inlineStr"/>
      <c r="F19" s="2" t="n"/>
      <c r="G19" s="2" t="inlineStr"/>
      <c r="H19" s="2" t="n"/>
      <c r="I19" s="2" t="n"/>
    </row>
    <row r="20">
      <c r="A20" s="3" t="inlineStr">
        <is>
          <t>Equipment &amp; Behavior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Weapon: Heavy Pistol (1d10)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Armor: Soft Body Armor IIA (DR1)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Special: Always has 2 bodyguards; negotiable but never yields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6" t="inlineStr">
        <is>
          <t>Behavior: Sends collectors regularly; if player tries to default, will hire bounty hunters</t>
        </is>
      </c>
      <c r="B24" s="9" t="n"/>
      <c r="C24" s="9" t="n"/>
      <c r="D24" s="9" t="n"/>
      <c r="E24" s="9" t="n"/>
      <c r="F24" s="9" t="n"/>
      <c r="G24" s="9" t="n"/>
      <c r="H24" s="9" t="n"/>
      <c r="I24" s="10" t="n"/>
    </row>
    <row r="25">
      <c r="A25" s="5" t="inlineStr">
        <is>
          <t>Initiative (Auto)</t>
        </is>
      </c>
      <c r="B25" s="8">
        <f>G6+E6</f>
        <v/>
      </c>
      <c r="C25" s="9" t="n"/>
      <c r="D25" s="10" t="n"/>
      <c r="E25" s="5" t="inlineStr">
        <is>
          <t>Threat Value</t>
        </is>
      </c>
      <c r="F25" s="6" t="n">
        <v>8</v>
      </c>
      <c r="G25" s="9" t="n"/>
      <c r="H25" s="9" t="n"/>
      <c r="I25" s="10" t="n"/>
    </row>
  </sheetData>
  <mergeCells count="45">
    <mergeCell ref="A7:I7"/>
    <mergeCell ref="A8"/>
    <mergeCell ref="B14:D14"/>
    <mergeCell ref="A17"/>
    <mergeCell ref="D3"/>
    <mergeCell ref="B3:C3"/>
    <mergeCell ref="B17:D17"/>
    <mergeCell ref="E25"/>
    <mergeCell ref="B13:D13"/>
    <mergeCell ref="A10"/>
    <mergeCell ref="A12:I12"/>
    <mergeCell ref="A13"/>
    <mergeCell ref="A19"/>
    <mergeCell ref="A21:I21"/>
    <mergeCell ref="B19:D19"/>
    <mergeCell ref="A2:I2"/>
    <mergeCell ref="A9"/>
    <mergeCell ref="B11:C11"/>
    <mergeCell ref="A5:I5"/>
    <mergeCell ref="I6"/>
    <mergeCell ref="A15"/>
    <mergeCell ref="A23:I23"/>
    <mergeCell ref="C6"/>
    <mergeCell ref="A22:I22"/>
    <mergeCell ref="B15:D15"/>
    <mergeCell ref="F25:I25"/>
    <mergeCell ref="B8:C8"/>
    <mergeCell ref="A11"/>
    <mergeCell ref="A20:I20"/>
    <mergeCell ref="A6"/>
    <mergeCell ref="B10:C10"/>
    <mergeCell ref="A25"/>
    <mergeCell ref="A16"/>
    <mergeCell ref="B9:C9"/>
    <mergeCell ref="B25:D25"/>
    <mergeCell ref="G6"/>
    <mergeCell ref="B16:D16"/>
    <mergeCell ref="A24:I24"/>
    <mergeCell ref="A18"/>
    <mergeCell ref="A3"/>
    <mergeCell ref="A1:I1"/>
    <mergeCell ref="B18:D18"/>
    <mergeCell ref="E6"/>
    <mergeCell ref="A1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Brotherhood Traitor-Karl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Brotherhood Traitor-Karl</t>
        </is>
      </c>
      <c r="C3" s="10" t="n"/>
      <c r="D3" s="5" t="inlineStr">
        <is>
          <t>Type/Faction</t>
        </is>
      </c>
      <c r="E3" s="6" t="inlineStr">
        <is>
          <t>Faction NPC / Iron Brotherhood</t>
        </is>
      </c>
      <c r="F3" s="10" t="n"/>
      <c r="G3" s="5" t="inlineStr">
        <is>
          <t>Role</t>
        </is>
      </c>
      <c r="H3" s="6" t="inlineStr">
        <is>
          <t>Brotherhood Traitor Sidequest Trigger</t>
        </is>
      </c>
      <c r="I3" s="2" t="n"/>
    </row>
    <row r="4"/>
    <row r="5">
      <c r="A5" s="3" t="inlineStr">
        <is>
          <t>Five Attributes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Physique</t>
        </is>
      </c>
      <c r="B6" s="7" t="n">
        <v>5</v>
      </c>
      <c r="C6" s="5" t="inlineStr">
        <is>
          <t>Precision</t>
        </is>
      </c>
      <c r="D6" s="7" t="n">
        <v>6</v>
      </c>
      <c r="E6" s="5" t="inlineStr">
        <is>
          <t>Perception</t>
        </is>
      </c>
      <c r="F6" s="7" t="n">
        <v>5</v>
      </c>
      <c r="G6" s="5" t="inlineStr">
        <is>
          <t>Tech</t>
        </is>
      </c>
      <c r="H6" s="7" t="n">
        <v>3</v>
      </c>
      <c r="I6" s="5" t="inlineStr">
        <is>
          <t>Courage</t>
        </is>
      </c>
      <c r="J6" s="7" t="n">
        <v>4</v>
      </c>
    </row>
    <row r="7">
      <c r="A7" s="3" t="inlineStr">
        <is>
          <t>Skills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Firearms</t>
        </is>
      </c>
      <c r="B8" s="6" t="n">
        <v>3</v>
      </c>
      <c r="C8" s="10" t="n"/>
    </row>
    <row r="9">
      <c r="A9" s="5" t="inlineStr">
        <is>
          <t>Awareness</t>
        </is>
      </c>
      <c r="B9" s="6" t="n">
        <v>2</v>
      </c>
      <c r="C9" s="10" t="n"/>
    </row>
    <row r="10">
      <c r="A10" s="3" t="inlineStr">
        <is>
          <t>Seven-Part HP (Auto)</t>
        </is>
      </c>
      <c r="B10" s="9" t="n"/>
      <c r="C10" s="9" t="n"/>
      <c r="D10" s="9" t="n"/>
      <c r="E10" s="9" t="n"/>
      <c r="F10" s="9" t="n"/>
      <c r="G10" s="9" t="n"/>
      <c r="H10" s="9" t="n"/>
      <c r="I10" s="10" t="n"/>
    </row>
    <row r="11">
      <c r="A11" s="5" t="inlineStr">
        <is>
          <t>Head</t>
        </is>
      </c>
      <c r="B11" s="8">
        <f>C6+6</f>
        <v/>
      </c>
      <c r="C11" s="9" t="n"/>
      <c r="D11" s="10" t="n"/>
      <c r="E11" s="2" t="inlineStr"/>
      <c r="F11" s="2" t="n"/>
      <c r="G11" s="2" t="inlineStr"/>
      <c r="H11" s="2" t="n"/>
      <c r="I11" s="2" t="n"/>
    </row>
    <row r="12">
      <c r="A12" s="5" t="inlineStr">
        <is>
          <t>Chest</t>
        </is>
      </c>
      <c r="B12" s="8">
        <f>C6*2+10</f>
        <v/>
      </c>
      <c r="C12" s="9" t="n"/>
      <c r="D12" s="10" t="n"/>
      <c r="E12" s="2" t="inlineStr"/>
      <c r="F12" s="2" t="n"/>
      <c r="G12" s="2" t="inlineStr"/>
      <c r="H12" s="2" t="n"/>
      <c r="I12" s="2" t="n"/>
    </row>
    <row r="13">
      <c r="A13" s="5" t="inlineStr">
        <is>
          <t>Abdomen</t>
        </is>
      </c>
      <c r="B13" s="8">
        <f>C6+8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Left Arm</t>
        </is>
      </c>
      <c r="B14" s="8">
        <f>C6+4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Right Arm</t>
        </is>
      </c>
      <c r="B15" s="8">
        <f>C6+4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Left Leg</t>
        </is>
      </c>
      <c r="B16" s="8">
        <f>C6+5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Right Leg</t>
        </is>
      </c>
      <c r="B17" s="8">
        <f>C6+5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3" t="inlineStr">
        <is>
          <t>Equipment &amp; Behavior</t>
        </is>
      </c>
      <c r="B18" s="9" t="n"/>
      <c r="C18" s="9" t="n"/>
      <c r="D18" s="9" t="n"/>
      <c r="E18" s="9" t="n"/>
      <c r="F18" s="9" t="n"/>
      <c r="G18" s="9" t="n"/>
      <c r="H18" s="9" t="n"/>
      <c r="I18" s="10" t="n"/>
    </row>
    <row r="19">
      <c r="A19" s="6" t="inlineStr">
        <is>
          <t>Weapon: Military Assault Rifle (2d6)</t>
        </is>
      </c>
      <c r="B19" s="9" t="n"/>
      <c r="C19" s="9" t="n"/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Armor: Hard Body Armor III (DR1)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Special: Provides Brotherhood intel; can help lower Scenario Nine difficulty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Behavior: Still serves Brotherhood on surface; secretly contacts daughter outside; can covertly assist player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5" t="inlineStr">
        <is>
          <t>Initiative (Auto)</t>
        </is>
      </c>
      <c r="B23" s="8">
        <f>G6+E6</f>
        <v/>
      </c>
      <c r="C23" s="9" t="n"/>
      <c r="D23" s="10" t="n"/>
      <c r="E23" s="5" t="inlineStr">
        <is>
          <t>Threat Value</t>
        </is>
      </c>
      <c r="F23" s="6" t="n">
        <v>5</v>
      </c>
      <c r="G23" s="9" t="n"/>
      <c r="H23" s="9" t="n"/>
      <c r="I23" s="10" t="n"/>
    </row>
  </sheetData>
  <mergeCells count="41">
    <mergeCell ref="A7:I7"/>
    <mergeCell ref="A8"/>
    <mergeCell ref="B11:D11"/>
    <mergeCell ref="B14:D14"/>
    <mergeCell ref="A17"/>
    <mergeCell ref="D3"/>
    <mergeCell ref="B23:D23"/>
    <mergeCell ref="B3:C3"/>
    <mergeCell ref="B17:D17"/>
    <mergeCell ref="B13:D13"/>
    <mergeCell ref="A18:I18"/>
    <mergeCell ref="A13"/>
    <mergeCell ref="A21:I21"/>
    <mergeCell ref="A2:I2"/>
    <mergeCell ref="A9"/>
    <mergeCell ref="A5:I5"/>
    <mergeCell ref="I6"/>
    <mergeCell ref="A15"/>
    <mergeCell ref="C6"/>
    <mergeCell ref="A22:I22"/>
    <mergeCell ref="B15:D15"/>
    <mergeCell ref="A11"/>
    <mergeCell ref="B8:C8"/>
    <mergeCell ref="A20:I20"/>
    <mergeCell ref="E23"/>
    <mergeCell ref="A6"/>
    <mergeCell ref="A19:I19"/>
    <mergeCell ref="A10:I10"/>
    <mergeCell ref="A16"/>
    <mergeCell ref="B9:C9"/>
    <mergeCell ref="G6"/>
    <mergeCell ref="B16:D16"/>
    <mergeCell ref="A12"/>
    <mergeCell ref="A3"/>
    <mergeCell ref="A1:I1"/>
    <mergeCell ref="E6"/>
    <mergeCell ref="B12:D12"/>
    <mergeCell ref="F23:I23"/>
    <mergeCell ref="A14"/>
    <mergeCell ref="E3:F3"/>
    <mergeCell ref="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Cult Infiltrator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Cult Infiltrator</t>
        </is>
      </c>
      <c r="C3" s="10" t="n"/>
      <c r="D3" s="5" t="inlineStr">
        <is>
          <t>Type/Faction</t>
        </is>
      </c>
      <c r="E3" s="6" t="inlineStr">
        <is>
          <t>Faction NPC / Order of the Watchers</t>
        </is>
      </c>
      <c r="F3" s="10" t="n"/>
      <c r="G3" s="5" t="inlineStr">
        <is>
          <t>Role</t>
        </is>
      </c>
      <c r="H3" s="6" t="inlineStr">
        <is>
          <t>Mutant Adapted Sidequest</t>
        </is>
      </c>
      <c r="I3" s="2" t="n"/>
    </row>
    <row r="4"/>
    <row r="5">
      <c r="A5" s="3" t="inlineStr">
        <is>
          <t>Five Attributes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Physique</t>
        </is>
      </c>
      <c r="B6" s="7" t="n">
        <v>4</v>
      </c>
      <c r="C6" s="5" t="inlineStr">
        <is>
          <t>Precision</t>
        </is>
      </c>
      <c r="D6" s="7" t="n">
        <v>3</v>
      </c>
      <c r="E6" s="5" t="inlineStr">
        <is>
          <t>Perception</t>
        </is>
      </c>
      <c r="F6" s="7" t="n">
        <v>6</v>
      </c>
      <c r="G6" s="5" t="inlineStr">
        <is>
          <t>Tech</t>
        </is>
      </c>
      <c r="H6" s="7" t="n">
        <v>4</v>
      </c>
      <c r="I6" s="5" t="inlineStr">
        <is>
          <t>Courage</t>
        </is>
      </c>
      <c r="J6" s="7" t="n">
        <v>9</v>
      </c>
    </row>
    <row r="7">
      <c r="A7" s="3" t="inlineStr">
        <is>
          <t>Skills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Awareness</t>
        </is>
      </c>
      <c r="B8" s="6" t="n">
        <v>4</v>
      </c>
      <c r="C8" s="10" t="n"/>
    </row>
    <row r="9">
      <c r="A9" s="5" t="inlineStr">
        <is>
          <t>Persuasion</t>
        </is>
      </c>
      <c r="B9" s="6" t="n">
        <v>4</v>
      </c>
      <c r="C9" s="10" t="n"/>
    </row>
    <row r="10">
      <c r="A10" s="5" t="inlineStr">
        <is>
          <t>Willpower</t>
        </is>
      </c>
      <c r="B10" s="6" t="n">
        <v>5</v>
      </c>
      <c r="C10" s="10" t="n"/>
    </row>
    <row r="11">
      <c r="A11" s="5" t="inlineStr">
        <is>
          <t>Stealth</t>
        </is>
      </c>
      <c r="B11" s="6" t="n">
        <v>3</v>
      </c>
      <c r="C11" s="10" t="n"/>
    </row>
    <row r="12">
      <c r="A12" s="3" t="inlineStr">
        <is>
          <t>Seven-Part HP (Auto)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5" t="inlineStr">
        <is>
          <t>Head</t>
        </is>
      </c>
      <c r="B13" s="8">
        <f>C6+6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Chest</t>
        </is>
      </c>
      <c r="B14" s="8">
        <f>C6*2+10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Abdomen</t>
        </is>
      </c>
      <c r="B15" s="8">
        <f>C6+8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Left Arm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Right Arm</t>
        </is>
      </c>
      <c r="B17" s="8">
        <f>C6+4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Left Leg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5" t="inlineStr">
        <is>
          <t>Right Leg</t>
        </is>
      </c>
      <c r="B19" s="8">
        <f>C6+5</f>
        <v/>
      </c>
      <c r="C19" s="9" t="n"/>
      <c r="D19" s="10" t="n"/>
      <c r="E19" s="2" t="inlineStr"/>
      <c r="F19" s="2" t="n"/>
      <c r="G19" s="2" t="inlineStr"/>
      <c r="H19" s="2" t="n"/>
      <c r="I19" s="2" t="n"/>
    </row>
    <row r="20">
      <c r="A20" s="3" t="inlineStr">
        <is>
          <t>Equipment &amp; Behavior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Weapon: Ritual Dagger (1d4+4)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Armor: Ritual Robe (DR1)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Special: Can sense Mutant Adapted's mutation energy; attempts to recruit/kidnap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6" t="inlineStr">
        <is>
          <t>Behavior: Secretly tracks Mutant Adapted player; appears at right moment with invitation; becomes hostile if refused</t>
        </is>
      </c>
      <c r="B24" s="9" t="n"/>
      <c r="C24" s="9" t="n"/>
      <c r="D24" s="9" t="n"/>
      <c r="E24" s="9" t="n"/>
      <c r="F24" s="9" t="n"/>
      <c r="G24" s="9" t="n"/>
      <c r="H24" s="9" t="n"/>
      <c r="I24" s="10" t="n"/>
    </row>
    <row r="25">
      <c r="A25" s="5" t="inlineStr">
        <is>
          <t>Initiative (Auto)</t>
        </is>
      </c>
      <c r="B25" s="8">
        <f>G6+E6</f>
        <v/>
      </c>
      <c r="C25" s="9" t="n"/>
      <c r="D25" s="10" t="n"/>
      <c r="E25" s="5" t="inlineStr">
        <is>
          <t>Threat Value</t>
        </is>
      </c>
      <c r="F25" s="6" t="n">
        <v>4</v>
      </c>
      <c r="G25" s="9" t="n"/>
      <c r="H25" s="9" t="n"/>
      <c r="I25" s="10" t="n"/>
    </row>
  </sheetData>
  <mergeCells count="45">
    <mergeCell ref="A7:I7"/>
    <mergeCell ref="A8"/>
    <mergeCell ref="B14:D14"/>
    <mergeCell ref="A17"/>
    <mergeCell ref="D3"/>
    <mergeCell ref="B3:C3"/>
    <mergeCell ref="B17:D17"/>
    <mergeCell ref="E25"/>
    <mergeCell ref="B13:D13"/>
    <mergeCell ref="A10"/>
    <mergeCell ref="A12:I12"/>
    <mergeCell ref="A13"/>
    <mergeCell ref="A19"/>
    <mergeCell ref="A21:I21"/>
    <mergeCell ref="B19:D19"/>
    <mergeCell ref="A2:I2"/>
    <mergeCell ref="A9"/>
    <mergeCell ref="B11:C11"/>
    <mergeCell ref="A5:I5"/>
    <mergeCell ref="I6"/>
    <mergeCell ref="A15"/>
    <mergeCell ref="A23:I23"/>
    <mergeCell ref="C6"/>
    <mergeCell ref="A22:I22"/>
    <mergeCell ref="B15:D15"/>
    <mergeCell ref="F25:I25"/>
    <mergeCell ref="B8:C8"/>
    <mergeCell ref="A11"/>
    <mergeCell ref="A20:I20"/>
    <mergeCell ref="A6"/>
    <mergeCell ref="B10:C10"/>
    <mergeCell ref="A25"/>
    <mergeCell ref="A16"/>
    <mergeCell ref="B9:C9"/>
    <mergeCell ref="B25:D25"/>
    <mergeCell ref="G6"/>
    <mergeCell ref="B16:D16"/>
    <mergeCell ref="A24:I24"/>
    <mergeCell ref="A18"/>
    <mergeCell ref="A3"/>
    <mergeCell ref="A1:I1"/>
    <mergeCell ref="B18:D18"/>
    <mergeCell ref="E6"/>
    <mergeCell ref="A14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QZAC Secret Scout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QZAC Secret Scout</t>
        </is>
      </c>
      <c r="C3" s="10" t="n"/>
      <c r="D3" s="5" t="inlineStr">
        <is>
          <t>Type/Faction</t>
        </is>
      </c>
      <c r="E3" s="6" t="inlineStr">
        <is>
          <t>Faction NPC / QZAC</t>
        </is>
      </c>
      <c r="F3" s="10" t="n"/>
      <c r="G3" s="5" t="inlineStr">
        <is>
          <t>Role</t>
        </is>
      </c>
      <c r="H3" s="6" t="inlineStr">
        <is>
          <t>Random Encounter NPC</t>
        </is>
      </c>
      <c r="I3" s="2" t="n"/>
    </row>
    <row r="4"/>
    <row r="5">
      <c r="A5" s="3" t="inlineStr">
        <is>
          <t>Five Attributes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Physique</t>
        </is>
      </c>
      <c r="B6" s="7" t="n">
        <v>5</v>
      </c>
      <c r="C6" s="5" t="inlineStr">
        <is>
          <t>Precision</t>
        </is>
      </c>
      <c r="D6" s="7" t="n">
        <v>5</v>
      </c>
      <c r="E6" s="5" t="inlineStr">
        <is>
          <t>Perception</t>
        </is>
      </c>
      <c r="F6" s="7" t="n">
        <v>7</v>
      </c>
      <c r="G6" s="5" t="inlineStr">
        <is>
          <t>Tech</t>
        </is>
      </c>
      <c r="H6" s="7" t="n">
        <v>6</v>
      </c>
      <c r="I6" s="5" t="inlineStr">
        <is>
          <t>Courage</t>
        </is>
      </c>
      <c r="J6" s="7" t="n">
        <v>6</v>
      </c>
    </row>
    <row r="7">
      <c r="A7" s="3" t="inlineStr">
        <is>
          <t>Skills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Firearms</t>
        </is>
      </c>
      <c r="B8" s="6" t="n">
        <v>3</v>
      </c>
      <c r="C8" s="10" t="n"/>
    </row>
    <row r="9">
      <c r="A9" s="5" t="inlineStr">
        <is>
          <t>Awareness</t>
        </is>
      </c>
      <c r="B9" s="6" t="n">
        <v>4</v>
      </c>
      <c r="C9" s="10" t="n"/>
    </row>
    <row r="10">
      <c r="A10" s="5" t="inlineStr">
        <is>
          <t>Stealth</t>
        </is>
      </c>
      <c r="B10" s="6" t="n">
        <v>3</v>
      </c>
      <c r="C10" s="10" t="n"/>
    </row>
    <row r="11">
      <c r="A11" s="5" t="inlineStr">
        <is>
          <t>Electronics</t>
        </is>
      </c>
      <c r="B11" s="6" t="n">
        <v>3</v>
      </c>
      <c r="C11" s="10" t="n"/>
    </row>
    <row r="12">
      <c r="A12" s="3" t="inlineStr">
        <is>
          <t>Seven-Part HP (Auto)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5" t="inlineStr">
        <is>
          <t>Head</t>
        </is>
      </c>
      <c r="B13" s="8">
        <f>C6+6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Chest</t>
        </is>
      </c>
      <c r="B14" s="8">
        <f>C6*2+10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Abdomen</t>
        </is>
      </c>
      <c r="B15" s="8">
        <f>C6+8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Left Arm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Right Arm</t>
        </is>
      </c>
      <c r="B17" s="8">
        <f>C6+4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Left Leg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5" t="inlineStr">
        <is>
          <t>Right Leg</t>
        </is>
      </c>
      <c r="B19" s="8">
        <f>C6+5</f>
        <v/>
      </c>
      <c r="C19" s="9" t="n"/>
      <c r="D19" s="10" t="n"/>
      <c r="E19" s="2" t="inlineStr"/>
      <c r="F19" s="2" t="n"/>
      <c r="G19" s="2" t="inlineStr"/>
      <c r="H19" s="2" t="n"/>
      <c r="I19" s="2" t="n"/>
    </row>
    <row r="20">
      <c r="A20" s="3" t="inlineStr">
        <is>
          <t>Equipment &amp; Behavior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Weapon: Designated Marksman Rifle (1d10)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Armor: Soft Body Armor IIA (DR1)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Special: Can trade QZAC intel; high-reputation player may get assistance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6" t="inlineStr">
        <is>
          <t>Behavior: Disguised as scavenger; monitors specific area; on spotting player, assesses threat first before interacting</t>
        </is>
      </c>
      <c r="B24" s="9" t="n"/>
      <c r="C24" s="9" t="n"/>
      <c r="D24" s="9" t="n"/>
      <c r="E24" s="9" t="n"/>
      <c r="F24" s="9" t="n"/>
      <c r="G24" s="9" t="n"/>
      <c r="H24" s="9" t="n"/>
      <c r="I24" s="10" t="n"/>
    </row>
    <row r="25">
      <c r="A25" s="5" t="inlineStr">
        <is>
          <t>Initiative (Auto)</t>
        </is>
      </c>
      <c r="B25" s="8">
        <f>G6+E6</f>
        <v/>
      </c>
      <c r="C25" s="9" t="n"/>
      <c r="D25" s="10" t="n"/>
      <c r="E25" s="5" t="inlineStr">
        <is>
          <t>Threat Value</t>
        </is>
      </c>
      <c r="F25" s="6" t="n">
        <v>6</v>
      </c>
      <c r="G25" s="9" t="n"/>
      <c r="H25" s="9" t="n"/>
      <c r="I25" s="10" t="n"/>
    </row>
  </sheetData>
  <mergeCells count="45">
    <mergeCell ref="A7:I7"/>
    <mergeCell ref="A8"/>
    <mergeCell ref="B14:D14"/>
    <mergeCell ref="A17"/>
    <mergeCell ref="D3"/>
    <mergeCell ref="B3:C3"/>
    <mergeCell ref="B17:D17"/>
    <mergeCell ref="E25"/>
    <mergeCell ref="B13:D13"/>
    <mergeCell ref="A10"/>
    <mergeCell ref="A12:I12"/>
    <mergeCell ref="A13"/>
    <mergeCell ref="A19"/>
    <mergeCell ref="A21:I21"/>
    <mergeCell ref="B19:D19"/>
    <mergeCell ref="A2:I2"/>
    <mergeCell ref="A9"/>
    <mergeCell ref="B11:C11"/>
    <mergeCell ref="A5:I5"/>
    <mergeCell ref="I6"/>
    <mergeCell ref="A15"/>
    <mergeCell ref="A23:I23"/>
    <mergeCell ref="C6"/>
    <mergeCell ref="A22:I22"/>
    <mergeCell ref="B15:D15"/>
    <mergeCell ref="F25:I25"/>
    <mergeCell ref="B8:C8"/>
    <mergeCell ref="A11"/>
    <mergeCell ref="A20:I20"/>
    <mergeCell ref="A6"/>
    <mergeCell ref="B10:C10"/>
    <mergeCell ref="A25"/>
    <mergeCell ref="A16"/>
    <mergeCell ref="B9:C9"/>
    <mergeCell ref="B25:D25"/>
    <mergeCell ref="G6"/>
    <mergeCell ref="B16:D16"/>
    <mergeCell ref="A24:I24"/>
    <mergeCell ref="A18"/>
    <mergeCell ref="A3"/>
    <mergeCell ref="A1:I1"/>
    <mergeCell ref="B18:D18"/>
    <mergeCell ref="E6"/>
    <mergeCell ref="A14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Radio Tower Researcher-Irene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Radio Tower Researcher-Irene</t>
        </is>
      </c>
      <c r="C3" s="10" t="n"/>
      <c r="D3" s="5" t="inlineStr">
        <is>
          <t>Type/Faction</t>
        </is>
      </c>
      <c r="E3" s="6" t="inlineStr">
        <is>
          <t>NPC / Time Bubble Prisoner</t>
        </is>
      </c>
      <c r="F3" s="10" t="n"/>
      <c r="G3" s="5" t="inlineStr">
        <is>
          <t>Role</t>
        </is>
      </c>
      <c r="H3" s="6" t="inlineStr">
        <is>
          <t>Quarantine Zone Radio Sidequest Core</t>
        </is>
      </c>
      <c r="I3" s="2" t="n"/>
    </row>
    <row r="4"/>
    <row r="5">
      <c r="A5" s="3" t="inlineStr">
        <is>
          <t>Five Attributes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Physique</t>
        </is>
      </c>
      <c r="B6" s="7" t="n">
        <v>3</v>
      </c>
      <c r="C6" s="5" t="inlineStr">
        <is>
          <t>Precision</t>
        </is>
      </c>
      <c r="D6" s="7" t="n">
        <v>3</v>
      </c>
      <c r="E6" s="5" t="inlineStr">
        <is>
          <t>Perception</t>
        </is>
      </c>
      <c r="F6" s="7" t="n">
        <v>6</v>
      </c>
      <c r="G6" s="5" t="inlineStr">
        <is>
          <t>Tech</t>
        </is>
      </c>
      <c r="H6" s="7" t="n">
        <v>8</v>
      </c>
      <c r="I6" s="5" t="inlineStr">
        <is>
          <t>Courage</t>
        </is>
      </c>
      <c r="J6" s="7" t="n">
        <v>9</v>
      </c>
    </row>
    <row r="7">
      <c r="A7" s="3" t="inlineStr">
        <is>
          <t>Skills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Electronics</t>
        </is>
      </c>
      <c r="B8" s="6" t="n">
        <v>5</v>
      </c>
      <c r="C8" s="10" t="n"/>
    </row>
    <row r="9">
      <c r="A9" s="5" t="inlineStr">
        <is>
          <t>First Aid</t>
        </is>
      </c>
      <c r="B9" s="6" t="n">
        <v>3</v>
      </c>
      <c r="C9" s="10" t="n"/>
    </row>
    <row r="10">
      <c r="A10" s="5" t="inlineStr">
        <is>
          <t>Willpower</t>
        </is>
      </c>
      <c r="B10" s="6" t="n">
        <v>5</v>
      </c>
      <c r="C10" s="10" t="n"/>
    </row>
    <row r="11">
      <c r="A11" s="3" t="inlineStr">
        <is>
          <t>Seven-Part HP (Auto)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5" t="inlineStr">
        <is>
          <t>Head</t>
        </is>
      </c>
      <c r="B12" s="8">
        <f>C6+6</f>
        <v/>
      </c>
      <c r="C12" s="9" t="n"/>
      <c r="D12" s="10" t="n"/>
      <c r="E12" s="2" t="inlineStr"/>
      <c r="F12" s="2" t="n"/>
      <c r="G12" s="2" t="inlineStr"/>
      <c r="H12" s="2" t="n"/>
      <c r="I12" s="2" t="n"/>
    </row>
    <row r="13">
      <c r="A13" s="5" t="inlineStr">
        <is>
          <t>Chest</t>
        </is>
      </c>
      <c r="B13" s="8">
        <f>C6*2+10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Abdomen</t>
        </is>
      </c>
      <c r="B14" s="8">
        <f>C6+8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Left Arm</t>
        </is>
      </c>
      <c r="B15" s="8">
        <f>C6+4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Right Arm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Left Leg</t>
        </is>
      </c>
      <c r="B17" s="8">
        <f>C6+5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Right Leg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3" t="inlineStr">
        <is>
          <t>Equipment &amp; Behavior</t>
        </is>
      </c>
      <c r="B19" s="9" t="n"/>
      <c r="C19" s="9" t="n"/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Weapon: None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Armor: None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Special: Trapped in time bubble for 3 years; continuously broadcasts poetry and cipher messages; if rescued = Intel Lv.5 knowledge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Behavior: Cannot move freely (inside time bubble); can talk to player via radio; requires specific tech means to rescue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5" t="inlineStr">
        <is>
          <t>Initiative (Auto)</t>
        </is>
      </c>
      <c r="B24" s="8">
        <f>G6+E6</f>
        <v/>
      </c>
      <c r="C24" s="9" t="n"/>
      <c r="D24" s="10" t="n"/>
      <c r="E24" s="5" t="inlineStr">
        <is>
          <t>Threat Value</t>
        </is>
      </c>
      <c r="F24" s="6" t="n">
        <v>0</v>
      </c>
      <c r="G24" s="9" t="n"/>
      <c r="H24" s="9" t="n"/>
      <c r="I24" s="10" t="n"/>
    </row>
  </sheetData>
  <mergeCells count="43">
    <mergeCell ref="A7:I7"/>
    <mergeCell ref="A8"/>
    <mergeCell ref="B14:D14"/>
    <mergeCell ref="A17"/>
    <mergeCell ref="D3"/>
    <mergeCell ref="B3:C3"/>
    <mergeCell ref="B17:D17"/>
    <mergeCell ref="B13:D13"/>
    <mergeCell ref="A10"/>
    <mergeCell ref="A13"/>
    <mergeCell ref="A21:I21"/>
    <mergeCell ref="A2:I2"/>
    <mergeCell ref="A9"/>
    <mergeCell ref="A5:I5"/>
    <mergeCell ref="I6"/>
    <mergeCell ref="A15"/>
    <mergeCell ref="A23:I23"/>
    <mergeCell ref="A24"/>
    <mergeCell ref="C6"/>
    <mergeCell ref="A22:I22"/>
    <mergeCell ref="B15:D15"/>
    <mergeCell ref="E24"/>
    <mergeCell ref="B8:C8"/>
    <mergeCell ref="A20:I20"/>
    <mergeCell ref="B24:D24"/>
    <mergeCell ref="A6"/>
    <mergeCell ref="A19:I19"/>
    <mergeCell ref="B10:C10"/>
    <mergeCell ref="F24:I24"/>
    <mergeCell ref="A16"/>
    <mergeCell ref="B9:C9"/>
    <mergeCell ref="G6"/>
    <mergeCell ref="B16:D16"/>
    <mergeCell ref="A11:I11"/>
    <mergeCell ref="A12"/>
    <mergeCell ref="A18"/>
    <mergeCell ref="A3"/>
    <mergeCell ref="A1:I1"/>
    <mergeCell ref="B18:D18"/>
    <mergeCell ref="E6"/>
    <mergeCell ref="B12:D12"/>
    <mergeCell ref="A14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 Card - Quarantine Zone Orphan-Xiao An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Name</t>
        </is>
      </c>
      <c r="B3" s="6" t="inlineStr">
        <is>
          <t>Quarantine Zone Orphan-Xiao An</t>
        </is>
      </c>
      <c r="C3" s="10" t="n"/>
      <c r="D3" s="5" t="inlineStr">
        <is>
          <t>Type/Faction</t>
        </is>
      </c>
      <c r="E3" s="6" t="inlineStr">
        <is>
          <t>NPC / Scavengers' Compact</t>
        </is>
      </c>
      <c r="F3" s="10" t="n"/>
      <c r="G3" s="5" t="inlineStr">
        <is>
          <t>Role</t>
        </is>
      </c>
      <c r="H3" s="6" t="inlineStr">
        <is>
          <t>Quarantine Zone Children Sidequest</t>
        </is>
      </c>
      <c r="I3" s="2" t="n"/>
    </row>
    <row r="4"/>
    <row r="5">
      <c r="A5" s="3" t="inlineStr">
        <is>
          <t>Five Attributes</t>
        </is>
      </c>
      <c r="B5" s="9" t="n"/>
      <c r="C5" s="9" t="n"/>
      <c r="D5" s="9" t="n"/>
      <c r="E5" s="9" t="n"/>
      <c r="F5" s="9" t="n"/>
      <c r="G5" s="9" t="n"/>
      <c r="H5" s="9" t="n"/>
      <c r="I5" s="10" t="n"/>
    </row>
    <row r="6">
      <c r="A6" s="5" t="inlineStr">
        <is>
          <t>Physique</t>
        </is>
      </c>
      <c r="B6" s="7" t="n">
        <v>1</v>
      </c>
      <c r="C6" s="5" t="inlineStr">
        <is>
          <t>Precision</t>
        </is>
      </c>
      <c r="D6" s="7" t="n">
        <v>2</v>
      </c>
      <c r="E6" s="5" t="inlineStr">
        <is>
          <t>Perception</t>
        </is>
      </c>
      <c r="F6" s="7" t="n">
        <v>4</v>
      </c>
      <c r="G6" s="5" t="inlineStr">
        <is>
          <t>Tech</t>
        </is>
      </c>
      <c r="H6" s="7" t="n">
        <v>2</v>
      </c>
      <c r="I6" s="5" t="inlineStr">
        <is>
          <t>Courage</t>
        </is>
      </c>
      <c r="J6" s="7" t="n">
        <v>7</v>
      </c>
    </row>
    <row r="7">
      <c r="A7" s="3" t="inlineStr">
        <is>
          <t>Skills</t>
        </is>
      </c>
      <c r="B7" s="9" t="n"/>
      <c r="C7" s="9" t="n"/>
      <c r="D7" s="9" t="n"/>
      <c r="E7" s="9" t="n"/>
      <c r="F7" s="9" t="n"/>
      <c r="G7" s="9" t="n"/>
      <c r="H7" s="9" t="n"/>
      <c r="I7" s="10" t="n"/>
    </row>
    <row r="8">
      <c r="A8" s="5" t="inlineStr">
        <is>
          <t>Stealth</t>
        </is>
      </c>
      <c r="B8" s="6" t="n">
        <v>3</v>
      </c>
      <c r="C8" s="10" t="n"/>
    </row>
    <row r="9">
      <c r="A9" s="5" t="inlineStr">
        <is>
          <t>Survival</t>
        </is>
      </c>
      <c r="B9" s="6" t="n">
        <v>3</v>
      </c>
      <c r="C9" s="10" t="n"/>
    </row>
    <row r="10">
      <c r="A10" s="5" t="inlineStr">
        <is>
          <t>Awareness</t>
        </is>
      </c>
      <c r="B10" s="6" t="n">
        <v>3</v>
      </c>
      <c r="C10" s="10" t="n"/>
    </row>
    <row r="11">
      <c r="A11" s="3" t="inlineStr">
        <is>
          <t>Seven-Part HP (Auto)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5" t="inlineStr">
        <is>
          <t>Head</t>
        </is>
      </c>
      <c r="B12" s="8">
        <f>C6+6</f>
        <v/>
      </c>
      <c r="C12" s="9" t="n"/>
      <c r="D12" s="10" t="n"/>
      <c r="E12" s="2" t="inlineStr"/>
      <c r="F12" s="2" t="n"/>
      <c r="G12" s="2" t="inlineStr"/>
      <c r="H12" s="2" t="n"/>
      <c r="I12" s="2" t="n"/>
    </row>
    <row r="13">
      <c r="A13" s="5" t="inlineStr">
        <is>
          <t>Chest</t>
        </is>
      </c>
      <c r="B13" s="8">
        <f>C6*2+10</f>
        <v/>
      </c>
      <c r="C13" s="9" t="n"/>
      <c r="D13" s="10" t="n"/>
      <c r="E13" s="2" t="inlineStr"/>
      <c r="F13" s="2" t="n"/>
      <c r="G13" s="2" t="inlineStr"/>
      <c r="H13" s="2" t="n"/>
      <c r="I13" s="2" t="n"/>
    </row>
    <row r="14">
      <c r="A14" s="5" t="inlineStr">
        <is>
          <t>Abdomen</t>
        </is>
      </c>
      <c r="B14" s="8">
        <f>C6+8</f>
        <v/>
      </c>
      <c r="C14" s="9" t="n"/>
      <c r="D14" s="10" t="n"/>
      <c r="E14" s="2" t="inlineStr"/>
      <c r="F14" s="2" t="n"/>
      <c r="G14" s="2" t="inlineStr"/>
      <c r="H14" s="2" t="n"/>
      <c r="I14" s="2" t="n"/>
    </row>
    <row r="15">
      <c r="A15" s="5" t="inlineStr">
        <is>
          <t>Left Arm</t>
        </is>
      </c>
      <c r="B15" s="8">
        <f>C6+4</f>
        <v/>
      </c>
      <c r="C15" s="9" t="n"/>
      <c r="D15" s="10" t="n"/>
      <c r="E15" s="2" t="inlineStr"/>
      <c r="F15" s="2" t="n"/>
      <c r="G15" s="2" t="inlineStr"/>
      <c r="H15" s="2" t="n"/>
      <c r="I15" s="2" t="n"/>
    </row>
    <row r="16">
      <c r="A16" s="5" t="inlineStr">
        <is>
          <t>Right Arm</t>
        </is>
      </c>
      <c r="B16" s="8">
        <f>C6+4</f>
        <v/>
      </c>
      <c r="C16" s="9" t="n"/>
      <c r="D16" s="10" t="n"/>
      <c r="E16" s="2" t="inlineStr"/>
      <c r="F16" s="2" t="n"/>
      <c r="G16" s="2" t="inlineStr"/>
      <c r="H16" s="2" t="n"/>
      <c r="I16" s="2" t="n"/>
    </row>
    <row r="17">
      <c r="A17" s="5" t="inlineStr">
        <is>
          <t>Left Leg</t>
        </is>
      </c>
      <c r="B17" s="8">
        <f>C6+5</f>
        <v/>
      </c>
      <c r="C17" s="9" t="n"/>
      <c r="D17" s="10" t="n"/>
      <c r="E17" s="2" t="inlineStr"/>
      <c r="F17" s="2" t="n"/>
      <c r="G17" s="2" t="inlineStr"/>
      <c r="H17" s="2" t="n"/>
      <c r="I17" s="2" t="n"/>
    </row>
    <row r="18">
      <c r="A18" s="5" t="inlineStr">
        <is>
          <t>Right Leg</t>
        </is>
      </c>
      <c r="B18" s="8">
        <f>C6+5</f>
        <v/>
      </c>
      <c r="C18" s="9" t="n"/>
      <c r="D18" s="10" t="n"/>
      <c r="E18" s="2" t="inlineStr"/>
      <c r="F18" s="2" t="n"/>
      <c r="G18" s="2" t="inlineStr"/>
      <c r="H18" s="2" t="n"/>
      <c r="I18" s="2" t="n"/>
    </row>
    <row r="19">
      <c r="A19" s="3" t="inlineStr">
        <is>
          <t>Equipment &amp; Behavior</t>
        </is>
      </c>
      <c r="B19" s="9" t="n"/>
      <c r="C19" s="9" t="n"/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Weapon: None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Armor: None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A22" s="6" t="inlineStr">
        <is>
          <t>Special: Gives you a lucky charm (random Gold); all Scavengers' Compact reputation -&gt; Worship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</row>
    <row r="23">
      <c r="A23" s="6" t="inlineStr">
        <is>
          <t>Behavior: Survives in ruins with a group of kids; skilled at avoiding Residuals; fell ill and needs specific medicine from Industrial Zone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</row>
    <row r="24">
      <c r="A24" s="5" t="inlineStr">
        <is>
          <t>Initiative (Auto)</t>
        </is>
      </c>
      <c r="B24" s="8">
        <f>G6+E6</f>
        <v/>
      </c>
      <c r="C24" s="9" t="n"/>
      <c r="D24" s="10" t="n"/>
      <c r="E24" s="5" t="inlineStr">
        <is>
          <t>Threat Value</t>
        </is>
      </c>
      <c r="F24" s="6" t="n">
        <v>0</v>
      </c>
      <c r="G24" s="9" t="n"/>
      <c r="H24" s="9" t="n"/>
      <c r="I24" s="10" t="n"/>
    </row>
  </sheetData>
  <mergeCells count="43">
    <mergeCell ref="A7:I7"/>
    <mergeCell ref="A8"/>
    <mergeCell ref="B14:D14"/>
    <mergeCell ref="A17"/>
    <mergeCell ref="D3"/>
    <mergeCell ref="B3:C3"/>
    <mergeCell ref="B17:D17"/>
    <mergeCell ref="B13:D13"/>
    <mergeCell ref="A10"/>
    <mergeCell ref="A13"/>
    <mergeCell ref="A21:I21"/>
    <mergeCell ref="A2:I2"/>
    <mergeCell ref="A9"/>
    <mergeCell ref="A5:I5"/>
    <mergeCell ref="I6"/>
    <mergeCell ref="A15"/>
    <mergeCell ref="A23:I23"/>
    <mergeCell ref="A24"/>
    <mergeCell ref="C6"/>
    <mergeCell ref="A22:I22"/>
    <mergeCell ref="B15:D15"/>
    <mergeCell ref="E24"/>
    <mergeCell ref="B8:C8"/>
    <mergeCell ref="A20:I20"/>
    <mergeCell ref="B24:D24"/>
    <mergeCell ref="A6"/>
    <mergeCell ref="A19:I19"/>
    <mergeCell ref="B10:C10"/>
    <mergeCell ref="F24:I24"/>
    <mergeCell ref="A16"/>
    <mergeCell ref="B9:C9"/>
    <mergeCell ref="G6"/>
    <mergeCell ref="B16:D16"/>
    <mergeCell ref="A11:I11"/>
    <mergeCell ref="A12"/>
    <mergeCell ref="A18"/>
    <mergeCell ref="A3"/>
    <mergeCell ref="A1:I1"/>
    <mergeCell ref="B18:D18"/>
    <mergeCell ref="E6"/>
    <mergeCell ref="B12:D12"/>
    <mergeCell ref="A1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2026-06-23T18:55:43Z</dcterms:created>
  <dcterms:modified xsi:type="dcterms:W3CDTF">2026-08-09T19:01:43Z</dcterms:modified>
</cp:coreProperties>
</file>