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ual" sheetId="1" state="visible" r:id="rId1"/>
    <sheet name="Lone Wolf Veteran" sheetId="2" state="visible" r:id="rId2"/>
    <sheet name="Rookie Team Member" sheetId="3" state="visible" r:id="rId3"/>
    <sheet name="Mutant Rat" sheetId="4" state="visible" r:id="rId4"/>
    <sheet name="Enhanced Residual (Soldier)" sheetId="5" state="visible" r:id="rId5"/>
    <sheet name="Scav Gang Member" sheetId="6" state="visible" r:id="rId6"/>
    <sheet name="Cultist Residual (Priest)" sheetId="7" state="visible" r:id="rId7"/>
    <sheet name="Cult Member" sheetId="8" state="visible" r:id="rId8"/>
    <sheet name="Cult Guardian" sheetId="9" state="visible" r:id="rId9"/>
    <sheet name="Warlord Soldier" sheetId="10" state="visible" r:id="rId10"/>
    <sheet name="Patrol Captain" sheetId="11" state="visible" r:id="rId11"/>
    <sheet name="Chemical Mutant" sheetId="12" state="visible" r:id="rId12"/>
    <sheet name="Brotherhood Sentinel" sheetId="13" state="visible" r:id="rId13"/>
    <sheet name="Elite Guard" sheetId="14" state="visible" r:id="rId14"/>
    <sheet name="Iron Fist Victor" sheetId="15" state="visible" r:id="rId15"/>
    <sheet name="High Priest" sheetId="16" state="visible" r:id="rId16"/>
    <sheet name="Deep Diver" sheetId="17" state="visible" r:id="rId17"/>
    <sheet name="Cult Leader" sheetId="18" state="visible" r:id="rId18"/>
    <sheet name="Iron Wall Cossack" sheetId="19" state="visible" r:id="rId19"/>
    <sheet name="Teleport Mutant" sheetId="20" state="visible" r:id="rId20"/>
    <sheet name="Core Zone Mutant" sheetId="21" state="visible" r:id="rId21"/>
    <sheet name="Dimensional Guardia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Residual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Residual</t>
        </is>
      </c>
      <c r="C3" s="10" t="n"/>
      <c r="D3" s="5" t="inlineStr">
        <is>
          <t>Appears In Scenario</t>
        </is>
      </c>
      <c r="E3" s="6" t="inlineStr">
        <is>
          <t>Scenarios One-Ten</t>
        </is>
      </c>
      <c r="F3" s="9" t="n"/>
      <c r="G3" s="10" t="n"/>
      <c r="H3" s="5" t="inlineStr">
        <is>
          <t>Threat Value</t>
        </is>
      </c>
      <c r="I3" s="6" t="n">
        <v>3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4</v>
      </c>
      <c r="C5" s="5" t="inlineStr">
        <is>
          <t>Precision PRC</t>
        </is>
      </c>
      <c r="D5" s="7" t="n">
        <v>1</v>
      </c>
      <c r="E5" s="5" t="inlineStr">
        <is>
          <t>Perception PER</t>
        </is>
      </c>
      <c r="F5" s="7" t="n">
        <v>3</v>
      </c>
      <c r="G5" s="5" t="inlineStr">
        <is>
          <t>Tech TEC</t>
        </is>
      </c>
      <c r="H5" s="7" t="n">
        <v>1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1</v>
      </c>
      <c r="C9" s="10" t="n"/>
    </row>
    <row r="10">
      <c r="A10" s="5" t="inlineStr">
        <is>
          <t>Awareness</t>
        </is>
      </c>
      <c r="B10" s="6" t="n">
        <v>1</v>
      </c>
      <c r="C10" s="10" t="n"/>
    </row>
    <row r="11">
      <c r="A11" s="5" t="inlineStr">
        <is>
          <t>Willpower</t>
        </is>
      </c>
      <c r="B11" s="6" t="n">
        <v>5</v>
      </c>
      <c r="C11" s="10" t="n"/>
    </row>
    <row r="12">
      <c r="A12" s="3" t="inlineStr">
        <is>
          <t>Seven-Part HP (Auto-calculated)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Part</t>
        </is>
      </c>
      <c r="B13" s="6" t="inlineStr">
        <is>
          <t>Max HP</t>
        </is>
      </c>
      <c r="C13" s="5" t="inlineStr">
        <is>
          <t>Current 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Injury Effect</t>
        </is>
      </c>
      <c r="J13" s="6" t="inlineStr"/>
      <c r="K13" s="10" t="n"/>
    </row>
    <row r="14">
      <c r="A14" s="5" t="inlineStr">
        <is>
          <t>Head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Helmet</t>
        </is>
      </c>
      <c r="I14" s="5" t="inlineStr">
        <is>
          <t>Zeroed=Instant Death</t>
        </is>
      </c>
      <c r="J14" s="6" t="inlineStr">
        <is>
          <t>Zeroed=Instant Death</t>
        </is>
      </c>
      <c r="K14" s="10" t="n"/>
    </row>
    <row r="15">
      <c r="A15" s="5" t="inlineStr">
        <is>
          <t>Chest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Body Armor + Vest</t>
        </is>
      </c>
      <c r="I15" s="5" t="inlineStr">
        <is>
          <t>Zeroed=Mortal (Courage TN14/round)</t>
        </is>
      </c>
      <c r="J15" s="6" t="inlineStr">
        <is>
          <t>Zeroed=Mortal (Courage TN14/round)</t>
        </is>
      </c>
      <c r="K15" s="10" t="n"/>
    </row>
    <row r="16">
      <c r="A16" s="5" t="inlineStr">
        <is>
          <t>Abdomen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Zeroed=Internal Bleeding (1 HP/min)</t>
        </is>
      </c>
      <c r="J16" s="6" t="inlineStr">
        <is>
          <t>Zeroed=Internal Bleeding (1 HP/min)</t>
        </is>
      </c>
      <c r="K16" s="10" t="n"/>
    </row>
    <row r="17">
      <c r="A17" s="5" t="inlineStr">
        <is>
          <t>Left Arm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Gloves</t>
        </is>
      </c>
      <c r="I17" s="5" t="inlineStr">
        <is>
          <t>Zeroed=Permanently Disabled</t>
        </is>
      </c>
      <c r="J17" s="6" t="inlineStr">
        <is>
          <t>Zeroed=Permanently Disabled</t>
        </is>
      </c>
      <c r="K17" s="10" t="n"/>
    </row>
    <row r="18">
      <c r="A18" s="5" t="inlineStr">
        <is>
          <t>Right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Left Leg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Combat Boots</t>
        </is>
      </c>
      <c r="I19" s="5" t="inlineStr">
        <is>
          <t>Zeroed=Prone, Cannot Walk</t>
        </is>
      </c>
      <c r="J19" s="6" t="inlineStr">
        <is>
          <t>Zeroed=Prone, Cannot Walk</t>
        </is>
      </c>
      <c r="K19" s="10" t="n"/>
    </row>
    <row r="20">
      <c r="A20" s="5" t="inlineStr">
        <is>
          <t>Right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3" t="inlineStr">
        <is>
          <t>Combat Data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Primary Attack: Bite 1d4+4, Melee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>Secondary Attack: Scrap Swing 1d6+4, Melee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Armor/DR: DR 0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Special Ability: Immune to Fear/Morale; No Pain (Disabled only when Part HP=0)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Behavior: Patrols original living area; sensitive to sound; attacks any living thing indiscriminately; no retreat, no negotiation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Loot: None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Lone Wolf Veteran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Lone Wolf Veteran</t>
        </is>
      </c>
      <c r="C3" s="10" t="n"/>
      <c r="D3" s="5" t="inlineStr">
        <is>
          <t>Appears In Scenario</t>
        </is>
      </c>
      <c r="E3" s="6" t="inlineStr">
        <is>
          <t>Scenario One</t>
        </is>
      </c>
      <c r="F3" s="9" t="n"/>
      <c r="G3" s="10" t="n"/>
      <c r="H3" s="5" t="inlineStr">
        <is>
          <t>Threat Value</t>
        </is>
      </c>
      <c r="I3" s="6" t="n">
        <v>6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5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7</v>
      </c>
      <c r="G5" s="5" t="inlineStr">
        <is>
          <t>Tech TEC</t>
        </is>
      </c>
      <c r="H5" s="7" t="n">
        <v>4</v>
      </c>
      <c r="I5" s="5" t="inlineStr">
        <is>
          <t>Courage CRG</t>
        </is>
      </c>
      <c r="J5" s="7" t="n">
        <v>6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Firearms</t>
        </is>
      </c>
      <c r="B9" s="6" t="n">
        <v>3</v>
      </c>
      <c r="C9" s="10" t="n"/>
    </row>
    <row r="10">
      <c r="A10" s="5" t="inlineStr">
        <is>
          <t>Stealth</t>
        </is>
      </c>
      <c r="B10" s="6" t="n">
        <v>4</v>
      </c>
      <c r="C10" s="10" t="n"/>
    </row>
    <row r="11">
      <c r="A11" s="5" t="inlineStr">
        <is>
          <t>Awareness</t>
        </is>
      </c>
      <c r="B11" s="6" t="n">
        <v>3</v>
      </c>
      <c r="C11" s="10" t="n"/>
    </row>
    <row r="12">
      <c r="A12" s="5" t="inlineStr">
        <is>
          <t>Survival</t>
        </is>
      </c>
      <c r="B12" s="6" t="n">
        <v>2</v>
      </c>
      <c r="C12" s="10" t="n"/>
    </row>
    <row r="13">
      <c r="A13" s="5" t="inlineStr">
        <is>
          <t>Willpower</t>
        </is>
      </c>
      <c r="B13" s="6" t="n">
        <v>4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Military Sniper Rifle 2d10 AP2 Long-Extreme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Tactical Pistol 1d8 Close-Mid Range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DR0, Chest/Abdomen DR1 (Soft)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Tactical Assessment (1AP): Assess cover DR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Avoid combat first; observe from range -&gt; assess -&gt; fire only when necessary; retreat at HP&lt;50%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Sniper Rifle (Purple) + Pistol (Blue) + Ammo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Rookie Team Member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Rookie Team Member</t>
        </is>
      </c>
      <c r="C3" s="10" t="n"/>
      <c r="D3" s="5" t="inlineStr">
        <is>
          <t>Appears In Scenario</t>
        </is>
      </c>
      <c r="E3" s="6" t="inlineStr">
        <is>
          <t>Scenario One</t>
        </is>
      </c>
      <c r="F3" s="9" t="n"/>
      <c r="G3" s="10" t="n"/>
      <c r="H3" s="5" t="inlineStr">
        <is>
          <t>Threat Value</t>
        </is>
      </c>
      <c r="I3" s="6" t="n">
        <v>2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4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4</v>
      </c>
      <c r="G5" s="5" t="inlineStr">
        <is>
          <t>Tech TEC</t>
        </is>
      </c>
      <c r="H5" s="7" t="n">
        <v>2</v>
      </c>
      <c r="I5" s="5" t="inlineStr">
        <is>
          <t>Courage CRG</t>
        </is>
      </c>
      <c r="J5" s="7" t="n">
        <v>3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Firearms</t>
        </is>
      </c>
      <c r="B9" s="6" t="n">
        <v>1</v>
      </c>
      <c r="C9" s="10" t="n"/>
    </row>
    <row r="10">
      <c r="A10" s="5" t="inlineStr">
        <is>
          <t>Awareness</t>
        </is>
      </c>
      <c r="B10" s="6" t="n">
        <v>1</v>
      </c>
      <c r="C10" s="10" t="n"/>
    </row>
    <row r="11">
      <c r="A11" s="5" t="inlineStr">
        <is>
          <t>Willpower</t>
        </is>
      </c>
      <c r="B11" s="6" t="n">
        <v>1</v>
      </c>
      <c r="C11" s="10" t="n"/>
    </row>
    <row r="12">
      <c r="A12" s="3" t="inlineStr">
        <is>
          <t>Seven-Part HP (Auto-calculated)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Part</t>
        </is>
      </c>
      <c r="B13" s="6" t="inlineStr">
        <is>
          <t>Max HP</t>
        </is>
      </c>
      <c r="C13" s="5" t="inlineStr">
        <is>
          <t>Current 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Injury Effect</t>
        </is>
      </c>
      <c r="J13" s="6" t="inlineStr"/>
      <c r="K13" s="10" t="n"/>
    </row>
    <row r="14">
      <c r="A14" s="5" t="inlineStr">
        <is>
          <t>Head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Helmet</t>
        </is>
      </c>
      <c r="I14" s="5" t="inlineStr">
        <is>
          <t>Zeroed=Instant Death</t>
        </is>
      </c>
      <c r="J14" s="6" t="inlineStr">
        <is>
          <t>Zeroed=Instant Death</t>
        </is>
      </c>
      <c r="K14" s="10" t="n"/>
    </row>
    <row r="15">
      <c r="A15" s="5" t="inlineStr">
        <is>
          <t>Chest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Body Armor + Vest</t>
        </is>
      </c>
      <c r="I15" s="5" t="inlineStr">
        <is>
          <t>Zeroed=Mortal (Courage TN14/round)</t>
        </is>
      </c>
      <c r="J15" s="6" t="inlineStr">
        <is>
          <t>Zeroed=Mortal (Courage TN14/round)</t>
        </is>
      </c>
      <c r="K15" s="10" t="n"/>
    </row>
    <row r="16">
      <c r="A16" s="5" t="inlineStr">
        <is>
          <t>Abdomen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Zeroed=Internal Bleeding (1 HP/min)</t>
        </is>
      </c>
      <c r="J16" s="6" t="inlineStr">
        <is>
          <t>Zeroed=Internal Bleeding (1 HP/min)</t>
        </is>
      </c>
      <c r="K16" s="10" t="n"/>
    </row>
    <row r="17">
      <c r="A17" s="5" t="inlineStr">
        <is>
          <t>Left Arm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Gloves</t>
        </is>
      </c>
      <c r="I17" s="5" t="inlineStr">
        <is>
          <t>Zeroed=Permanently Disabled</t>
        </is>
      </c>
      <c r="J17" s="6" t="inlineStr">
        <is>
          <t>Zeroed=Permanently Disabled</t>
        </is>
      </c>
      <c r="K17" s="10" t="n"/>
    </row>
    <row r="18">
      <c r="A18" s="5" t="inlineStr">
        <is>
          <t>Right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Left Leg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Combat Boots</t>
        </is>
      </c>
      <c r="I19" s="5" t="inlineStr">
        <is>
          <t>Zeroed=Prone, Cannot Walk</t>
        </is>
      </c>
      <c r="J19" s="6" t="inlineStr">
        <is>
          <t>Zeroed=Prone, Cannot Walk</t>
        </is>
      </c>
      <c r="K19" s="10" t="n"/>
    </row>
    <row r="20">
      <c r="A20" s="5" t="inlineStr">
        <is>
          <t>Right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3" t="inlineStr">
        <is>
          <t>Combat Data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Primary Attack: Cheap Pistol 1d6 Jam 1/8 Close-Mid Range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 xml:space="preserve">Secondary Attack: 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Armor/DR: DR 0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Special Ability: Panic: at HP&lt;50%, Courage TN11 or flee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Behavior: Nervous patrol; easily panicked; negotiable/intimidatable/helpable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Loot: Cheap Pistol + small amount of ammo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Mutant Rat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Mutant Rat</t>
        </is>
      </c>
      <c r="C3" s="10" t="n"/>
      <c r="D3" s="5" t="inlineStr">
        <is>
          <t>Appears In Scenario</t>
        </is>
      </c>
      <c r="E3" s="6" t="inlineStr">
        <is>
          <t>Scenarios Two, Six</t>
        </is>
      </c>
      <c r="F3" s="9" t="n"/>
      <c r="G3" s="10" t="n"/>
      <c r="H3" s="5" t="inlineStr">
        <is>
          <t>Threat Value</t>
        </is>
      </c>
      <c r="I3" s="6" t="n">
        <v>1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2</v>
      </c>
      <c r="C5" s="5" t="inlineStr">
        <is>
          <t>Precision PRC</t>
        </is>
      </c>
      <c r="D5" s="7" t="n">
        <v>1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1</v>
      </c>
      <c r="I5" s="5" t="inlineStr">
        <is>
          <t>Courage CRG</t>
        </is>
      </c>
      <c r="J5" s="7" t="n">
        <v>6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2</v>
      </c>
      <c r="C9" s="10" t="n"/>
    </row>
    <row r="10">
      <c r="A10" s="5" t="inlineStr">
        <is>
          <t>Stealth</t>
        </is>
      </c>
      <c r="B10" s="6" t="n">
        <v>2</v>
      </c>
      <c r="C10" s="10" t="n"/>
    </row>
    <row r="11">
      <c r="A11" s="5" t="inlineStr">
        <is>
          <t>Awareness</t>
        </is>
      </c>
      <c r="B11" s="6" t="n">
        <v>2</v>
      </c>
      <c r="C11" s="10" t="n"/>
    </row>
    <row r="12">
      <c r="A12" s="5" t="inlineStr">
        <is>
          <t>Willpower</t>
        </is>
      </c>
      <c r="B12" s="6" t="n">
        <v>2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Bite 1d4+2, Melee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 xml:space="preserve">Secondary Attack: 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DR 0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Small Target (Shooting Disadvantage); Pack Attack Advantage (3+ rats)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Acts in groups (2-5); stealth ambush; prioritize isolated targets; flee at HP&lt;30%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None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Enhanced Residual (Soldier)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Enhanced Residual (Soldier)</t>
        </is>
      </c>
      <c r="C3" s="10" t="n"/>
      <c r="D3" s="5" t="inlineStr">
        <is>
          <t>Appears In Scenario</t>
        </is>
      </c>
      <c r="E3" s="6" t="inlineStr">
        <is>
          <t>Scenario Two</t>
        </is>
      </c>
      <c r="F3" s="9" t="n"/>
      <c r="G3" s="10" t="n"/>
      <c r="H3" s="5" t="inlineStr">
        <is>
          <t>Threat Value</t>
        </is>
      </c>
      <c r="I3" s="6" t="n">
        <v>5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5</v>
      </c>
      <c r="C5" s="5" t="inlineStr">
        <is>
          <t>Precision PRC</t>
        </is>
      </c>
      <c r="D5" s="7" t="n">
        <v>2</v>
      </c>
      <c r="E5" s="5" t="inlineStr">
        <is>
          <t>Perception PER</t>
        </is>
      </c>
      <c r="F5" s="7" t="n">
        <v>3</v>
      </c>
      <c r="G5" s="5" t="inlineStr">
        <is>
          <t>Tech TEC</t>
        </is>
      </c>
      <c r="H5" s="7" t="n">
        <v>1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2</v>
      </c>
      <c r="C9" s="10" t="n"/>
    </row>
    <row r="10">
      <c r="A10" s="5" t="inlineStr">
        <is>
          <t>Firearms</t>
        </is>
      </c>
      <c r="B10" s="6" t="n">
        <v>1</v>
      </c>
      <c r="C10" s="10" t="n"/>
    </row>
    <row r="11">
      <c r="A11" s="5" t="inlineStr">
        <is>
          <t>Awareness</t>
        </is>
      </c>
      <c r="B11" s="6" t="n">
        <v>1</v>
      </c>
      <c r="C11" s="10" t="n"/>
    </row>
    <row r="12">
      <c r="A12" s="5" t="inlineStr">
        <is>
          <t>Willpower</t>
        </is>
      </c>
      <c r="B12" s="6" t="n">
        <v>5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Damaged Military Rifle 1d10 Jam 1/4 Mid-Long Range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Secondary Attack: Bayonet 1d6+5, Melee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Head DR1 (Kevlar), Chest DR1 (Worn, halved vs rifles)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Immune to Fear/Morale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Holds the supply truck; opens fire on intruders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Damaged Rifle + Kevlar Helmet + Dog Tag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Scav Gang Member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Scav Gang Member</t>
        </is>
      </c>
      <c r="C3" s="10" t="n"/>
      <c r="D3" s="5" t="inlineStr">
        <is>
          <t>Appears In Scenario</t>
        </is>
      </c>
      <c r="E3" s="6" t="inlineStr">
        <is>
          <t>Scenario Three</t>
        </is>
      </c>
      <c r="F3" s="9" t="n"/>
      <c r="G3" s="10" t="n"/>
      <c r="H3" s="5" t="inlineStr">
        <is>
          <t>Threat Value</t>
        </is>
      </c>
      <c r="I3" s="6" t="n">
        <v>3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4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3</v>
      </c>
      <c r="G5" s="5" t="inlineStr">
        <is>
          <t>Tech TEC</t>
        </is>
      </c>
      <c r="H5" s="7" t="n">
        <v>2</v>
      </c>
      <c r="I5" s="5" t="inlineStr">
        <is>
          <t>Courage CRG</t>
        </is>
      </c>
      <c r="J5" s="7" t="n">
        <v>2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Firearms</t>
        </is>
      </c>
      <c r="B9" s="6" t="n">
        <v>1</v>
      </c>
      <c r="C9" s="10" t="n"/>
    </row>
    <row r="10">
      <c r="A10" s="5" t="inlineStr">
        <is>
          <t>Melee</t>
        </is>
      </c>
      <c r="B10" s="6" t="n">
        <v>2</v>
      </c>
      <c r="C10" s="10" t="n"/>
    </row>
    <row r="11">
      <c r="A11" s="5" t="inlineStr">
        <is>
          <t>Willpower</t>
        </is>
      </c>
      <c r="B11" s="6" t="n">
        <v>1</v>
      </c>
      <c r="C11" s="10" t="n"/>
    </row>
    <row r="12">
      <c r="A12" s="3" t="inlineStr">
        <is>
          <t>Seven-Part HP (Auto-calculated)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Part</t>
        </is>
      </c>
      <c r="B13" s="6" t="inlineStr">
        <is>
          <t>Max HP</t>
        </is>
      </c>
      <c r="C13" s="5" t="inlineStr">
        <is>
          <t>Current 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Injury Effect</t>
        </is>
      </c>
      <c r="J13" s="6" t="inlineStr"/>
      <c r="K13" s="10" t="n"/>
    </row>
    <row r="14">
      <c r="A14" s="5" t="inlineStr">
        <is>
          <t>Head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Helmet</t>
        </is>
      </c>
      <c r="I14" s="5" t="inlineStr">
        <is>
          <t>Zeroed=Instant Death</t>
        </is>
      </c>
      <c r="J14" s="6" t="inlineStr">
        <is>
          <t>Zeroed=Instant Death</t>
        </is>
      </c>
      <c r="K14" s="10" t="n"/>
    </row>
    <row r="15">
      <c r="A15" s="5" t="inlineStr">
        <is>
          <t>Chest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Body Armor + Vest</t>
        </is>
      </c>
      <c r="I15" s="5" t="inlineStr">
        <is>
          <t>Zeroed=Mortal (Courage TN14/round)</t>
        </is>
      </c>
      <c r="J15" s="6" t="inlineStr">
        <is>
          <t>Zeroed=Mortal (Courage TN14/round)</t>
        </is>
      </c>
      <c r="K15" s="10" t="n"/>
    </row>
    <row r="16">
      <c r="A16" s="5" t="inlineStr">
        <is>
          <t>Abdomen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Zeroed=Internal Bleeding (1 HP/min)</t>
        </is>
      </c>
      <c r="J16" s="6" t="inlineStr">
        <is>
          <t>Zeroed=Internal Bleeding (1 HP/min)</t>
        </is>
      </c>
      <c r="K16" s="10" t="n"/>
    </row>
    <row r="17">
      <c r="A17" s="5" t="inlineStr">
        <is>
          <t>Left Arm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Gloves</t>
        </is>
      </c>
      <c r="I17" s="5" t="inlineStr">
        <is>
          <t>Zeroed=Permanently Disabled</t>
        </is>
      </c>
      <c r="J17" s="6" t="inlineStr">
        <is>
          <t>Zeroed=Permanently Disabled</t>
        </is>
      </c>
      <c r="K17" s="10" t="n"/>
    </row>
    <row r="18">
      <c r="A18" s="5" t="inlineStr">
        <is>
          <t>Right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Left Leg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Combat Boots</t>
        </is>
      </c>
      <c r="I19" s="5" t="inlineStr">
        <is>
          <t>Zeroed=Prone, Cannot Walk</t>
        </is>
      </c>
      <c r="J19" s="6" t="inlineStr">
        <is>
          <t>Zeroed=Prone, Cannot Walk</t>
        </is>
      </c>
      <c r="K19" s="10" t="n"/>
    </row>
    <row r="20">
      <c r="A20" s="5" t="inlineStr">
        <is>
          <t>Right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3" t="inlineStr">
        <is>
          <t>Combat Data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Primary Attack: Old Hunting Shotgun 1d10 or Cheap Pistol 1d6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>Secondary Attack: Crowbar 1d6+4, Melee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Armor/DR: DR 0-1 (Mixed)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Special Ability: Fragile Morale: breaks at loss of 2 members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Behavior: Greedy scavenging; intimidate by numbers; bribable/tradable/untrustworthy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Loot: Assorted weapons + small ammo + junk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Cultist Residual (Priest)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Cultist Residual (Priest)</t>
        </is>
      </c>
      <c r="C3" s="10" t="n"/>
      <c r="D3" s="5" t="inlineStr">
        <is>
          <t>Appears In Scenario</t>
        </is>
      </c>
      <c r="E3" s="6" t="inlineStr">
        <is>
          <t>Scenario Three</t>
        </is>
      </c>
      <c r="F3" s="9" t="n"/>
      <c r="G3" s="10" t="n"/>
      <c r="H3" s="5" t="inlineStr">
        <is>
          <t>Threat Value</t>
        </is>
      </c>
      <c r="I3" s="6" t="n">
        <v>4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5</v>
      </c>
      <c r="C5" s="5" t="inlineStr">
        <is>
          <t>Precision PRC</t>
        </is>
      </c>
      <c r="D5" s="7" t="n">
        <v>1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2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2</v>
      </c>
      <c r="C9" s="10" t="n"/>
    </row>
    <row r="10">
      <c r="A10" s="5" t="inlineStr">
        <is>
          <t>Awareness</t>
        </is>
      </c>
      <c r="B10" s="6" t="n">
        <v>2</v>
      </c>
      <c r="C10" s="10" t="n"/>
    </row>
    <row r="11">
      <c r="A11" s="5" t="inlineStr">
        <is>
          <t>Lockpicking</t>
        </is>
      </c>
      <c r="B11" s="6" t="n">
        <v>2</v>
      </c>
      <c r="C11" s="10" t="n"/>
    </row>
    <row r="12">
      <c r="A12" s="5" t="inlineStr">
        <is>
          <t>Willpower</t>
        </is>
      </c>
      <c r="B12" s="6" t="n">
        <v>5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Metal Cross 1d8+5, Melee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 xml:space="preserve">Secondary Attack: 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DR 0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Stays quiet until disturbed (can be avoided with stealth)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Retains prayer behavior; berserk attack once disturbed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Metal Cross (White)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Cult Member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Cult Member</t>
        </is>
      </c>
      <c r="C3" s="10" t="n"/>
      <c r="D3" s="5" t="inlineStr">
        <is>
          <t>Appears In Scenario</t>
        </is>
      </c>
      <c r="E3" s="6" t="inlineStr">
        <is>
          <t>Scenarios Four, Eight</t>
        </is>
      </c>
      <c r="F3" s="9" t="n"/>
      <c r="G3" s="10" t="n"/>
      <c r="H3" s="5" t="inlineStr">
        <is>
          <t>Threat Value</t>
        </is>
      </c>
      <c r="I3" s="6" t="n">
        <v>5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4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4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2</v>
      </c>
      <c r="C9" s="10" t="n"/>
    </row>
    <row r="10">
      <c r="A10" s="5" t="inlineStr">
        <is>
          <t>Firearms</t>
        </is>
      </c>
      <c r="B10" s="6" t="n">
        <v>2</v>
      </c>
      <c r="C10" s="10" t="n"/>
    </row>
    <row r="11">
      <c r="A11" s="5" t="inlineStr">
        <is>
          <t>Awareness</t>
        </is>
      </c>
      <c r="B11" s="6" t="n">
        <v>2</v>
      </c>
      <c r="C11" s="10" t="n"/>
    </row>
    <row r="12">
      <c r="A12" s="5" t="inlineStr">
        <is>
          <t>First Aid</t>
        </is>
      </c>
      <c r="B12" s="6" t="n">
        <v>2</v>
      </c>
      <c r="C12" s="10" t="n"/>
    </row>
    <row r="13">
      <c r="A13" s="5" t="inlineStr">
        <is>
          <t>Willpower</t>
        </is>
      </c>
      <c r="B13" s="6" t="n">
        <v>4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Compact SMG 1d8 Close-Mid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Ritual Dagger 1d4+4, Melee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DR1 (Mask), Chest DR1 (Soft)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Fanatic (Advantage on Fear check); Death-Bomb at Mortal (2d6/3m)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Patrols holy site; warns intruders before attacking; triggers self-detonation at HP&lt;25%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SMG + Ritual Items (Blue)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Cult Guardian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Cult Guardian</t>
        </is>
      </c>
      <c r="C3" s="10" t="n"/>
      <c r="D3" s="5" t="inlineStr">
        <is>
          <t>Appears In Scenario</t>
        </is>
      </c>
      <c r="E3" s="6" t="inlineStr">
        <is>
          <t>Scenario Four</t>
        </is>
      </c>
      <c r="F3" s="9" t="n"/>
      <c r="G3" s="10" t="n"/>
      <c r="H3" s="5" t="inlineStr">
        <is>
          <t>Threat Value</t>
        </is>
      </c>
      <c r="I3" s="6" t="n">
        <v>10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7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3</v>
      </c>
      <c r="I5" s="5" t="inlineStr">
        <is>
          <t>Courage CRG</t>
        </is>
      </c>
      <c r="J5" s="7" t="n">
        <v>9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3</v>
      </c>
      <c r="C9" s="10" t="n"/>
    </row>
    <row r="10">
      <c r="A10" s="5" t="inlineStr">
        <is>
          <t>Heavy Weapons</t>
        </is>
      </c>
      <c r="B10" s="6" t="n">
        <v>2</v>
      </c>
      <c r="C10" s="10" t="n"/>
    </row>
    <row r="11">
      <c r="A11" s="5" t="inlineStr">
        <is>
          <t>Awareness</t>
        </is>
      </c>
      <c r="B11" s="6" t="n">
        <v>3</v>
      </c>
      <c r="C11" s="10" t="n"/>
    </row>
    <row r="12">
      <c r="A12" s="5" t="inlineStr">
        <is>
          <t>Willpower</t>
        </is>
      </c>
      <c r="B12" s="6" t="n">
        <v>4</v>
      </c>
      <c r="C12" s="10" t="n"/>
    </row>
    <row r="13">
      <c r="A13" s="5" t="inlineStr">
        <is>
          <t>Intimidation</t>
        </is>
      </c>
      <c r="B13" s="6" t="n">
        <v>3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Heavy Machine Gun 2d6 Full-Auto Mid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Shock War Hammer 2d6+7, Melee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Full Body DR1 (Hard) + Head DR1 (Heavy)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Shock Wave every 3 rounds (3m cone, 2d6 + Prone); at HP&lt;50% Fanatic (+1AP/round)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Guards cult holy site; never leaves guard area; fights to death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Heavy MG (Purple) + Hard Body Armor (Blue) + Cult Relic (Purple)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Warlord Soldier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Warlord Soldier</t>
        </is>
      </c>
      <c r="C3" s="10" t="n"/>
      <c r="D3" s="5" t="inlineStr">
        <is>
          <t>Appears In Scenario</t>
        </is>
      </c>
      <c r="E3" s="6" t="inlineStr">
        <is>
          <t>Scenario Five</t>
        </is>
      </c>
      <c r="F3" s="9" t="n"/>
      <c r="G3" s="10" t="n"/>
      <c r="H3" s="5" t="inlineStr">
        <is>
          <t>Threat Value</t>
        </is>
      </c>
      <c r="I3" s="6" t="n">
        <v>7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5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4</v>
      </c>
      <c r="I5" s="5" t="inlineStr">
        <is>
          <t>Courage CRG</t>
        </is>
      </c>
      <c r="J5" s="7" t="n">
        <v>7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Firearms</t>
        </is>
      </c>
      <c r="B9" s="6" t="n">
        <v>3</v>
      </c>
      <c r="C9" s="10" t="n"/>
    </row>
    <row r="10">
      <c r="A10" s="5" t="inlineStr">
        <is>
          <t>Melee</t>
        </is>
      </c>
      <c r="B10" s="6" t="n">
        <v>2</v>
      </c>
      <c r="C10" s="10" t="n"/>
    </row>
    <row r="11">
      <c r="A11" s="5" t="inlineStr">
        <is>
          <t>Awareness</t>
        </is>
      </c>
      <c r="B11" s="6" t="n">
        <v>2</v>
      </c>
      <c r="C11" s="10" t="n"/>
    </row>
    <row r="12">
      <c r="A12" s="5" t="inlineStr">
        <is>
          <t>Leadership</t>
        </is>
      </c>
      <c r="B12" s="6" t="n">
        <v>2</v>
      </c>
      <c r="C12" s="10" t="n"/>
    </row>
    <row r="13">
      <c r="A13" s="5" t="inlineStr">
        <is>
          <t>Willpower</t>
        </is>
      </c>
      <c r="B13" s="6" t="n">
        <v>4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Military Assault Rifle 2d6 Full-Auto Mid-Long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Tactical Pistol 1d8 Close-Mid Range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DR1 (Kevlar), Chest/Abdomen DR1 (Hard)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Morale: at 50%+ losses, roll (2d6&lt;=6 retreat)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Fixed-route patrol; fires on sight; maintains formation and covers each other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Assault Rifle + Hard Body Armor + Ammo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Patrol Captain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Patrol Captain</t>
        </is>
      </c>
      <c r="C3" s="10" t="n"/>
      <c r="D3" s="5" t="inlineStr">
        <is>
          <t>Appears In Scenario</t>
        </is>
      </c>
      <c r="E3" s="6" t="inlineStr">
        <is>
          <t>Scenario Five</t>
        </is>
      </c>
      <c r="F3" s="9" t="n"/>
      <c r="G3" s="10" t="n"/>
      <c r="H3" s="5" t="inlineStr">
        <is>
          <t>Threat Value</t>
        </is>
      </c>
      <c r="I3" s="6" t="n">
        <v>9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7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4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Heavy Weapons</t>
        </is>
      </c>
      <c r="B9" s="6" t="n">
        <v>3</v>
      </c>
      <c r="C9" s="10" t="n"/>
    </row>
    <row r="10">
      <c r="A10" s="5" t="inlineStr">
        <is>
          <t>Melee</t>
        </is>
      </c>
      <c r="B10" s="6" t="n">
        <v>3</v>
      </c>
      <c r="C10" s="10" t="n"/>
    </row>
    <row r="11">
      <c r="A11" s="5" t="inlineStr">
        <is>
          <t>Awareness</t>
        </is>
      </c>
      <c r="B11" s="6" t="n">
        <v>3</v>
      </c>
      <c r="C11" s="10" t="n"/>
    </row>
    <row r="12">
      <c r="A12" s="5" t="inlineStr">
        <is>
          <t>Leadership</t>
        </is>
      </c>
      <c r="B12" s="6" t="n">
        <v>3</v>
      </c>
      <c r="C12" s="10" t="n"/>
    </row>
    <row r="13">
      <c r="A13" s="5" t="inlineStr">
        <is>
          <t>Willpower</t>
        </is>
      </c>
      <c r="B13" s="6" t="n">
        <v>4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Heavy MG 2d6 Full-Auto Mid-Long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Tactical Axe 1d8+7, Melee (Throwable)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DR1 (Heavy), Full Body DR1 (Ceramic Plate)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Commander: nearby soldiers morale +2; call reinforcements (1d3, 1d4 rounds)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Commands patrol; on threat prioritizes calling reinforcements; tactical retreat at HP&lt;40%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Heavy MG (Purple) + Ceramic Plate (Purple) + Radio (Blue)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Chemical Mutant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Chemical Mutant</t>
        </is>
      </c>
      <c r="C3" s="10" t="n"/>
      <c r="D3" s="5" t="inlineStr">
        <is>
          <t>Appears In Scenario</t>
        </is>
      </c>
      <c r="E3" s="6" t="inlineStr">
        <is>
          <t>Scenario Five</t>
        </is>
      </c>
      <c r="F3" s="9" t="n"/>
      <c r="G3" s="10" t="n"/>
      <c r="H3" s="5" t="inlineStr">
        <is>
          <t>Threat Value</t>
        </is>
      </c>
      <c r="I3" s="6" t="n">
        <v>8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2</v>
      </c>
      <c r="E5" s="5" t="inlineStr">
        <is>
          <t>Perception PER</t>
        </is>
      </c>
      <c r="F5" s="7" t="n">
        <v>4</v>
      </c>
      <c r="G5" s="5" t="inlineStr">
        <is>
          <t>Tech TEC</t>
        </is>
      </c>
      <c r="H5" s="7" t="n">
        <v>1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3</v>
      </c>
      <c r="C9" s="10" t="n"/>
    </row>
    <row r="10">
      <c r="A10" s="5" t="inlineStr">
        <is>
          <t>Throwing</t>
        </is>
      </c>
      <c r="B10" s="6" t="n">
        <v>2</v>
      </c>
      <c r="C10" s="10" t="n"/>
    </row>
    <row r="11">
      <c r="A11" s="5" t="inlineStr">
        <is>
          <t>Willpower</t>
        </is>
      </c>
      <c r="B11" s="6" t="n">
        <v>5</v>
      </c>
      <c r="C11" s="10" t="n"/>
    </row>
    <row r="12">
      <c r="A12" s="3" t="inlineStr">
        <is>
          <t>Seven-Part HP (Auto-calculated)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Part</t>
        </is>
      </c>
      <c r="B13" s="6" t="inlineStr">
        <is>
          <t>Max HP</t>
        </is>
      </c>
      <c r="C13" s="5" t="inlineStr">
        <is>
          <t>Current 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Injury Effect</t>
        </is>
      </c>
      <c r="J13" s="6" t="inlineStr"/>
      <c r="K13" s="10" t="n"/>
    </row>
    <row r="14">
      <c r="A14" s="5" t="inlineStr">
        <is>
          <t>Head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Helmet</t>
        </is>
      </c>
      <c r="I14" s="5" t="inlineStr">
        <is>
          <t>Zeroed=Instant Death</t>
        </is>
      </c>
      <c r="J14" s="6" t="inlineStr">
        <is>
          <t>Zeroed=Instant Death</t>
        </is>
      </c>
      <c r="K14" s="10" t="n"/>
    </row>
    <row r="15">
      <c r="A15" s="5" t="inlineStr">
        <is>
          <t>Chest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Body Armor + Vest</t>
        </is>
      </c>
      <c r="I15" s="5" t="inlineStr">
        <is>
          <t>Zeroed=Mortal (Courage TN14/round)</t>
        </is>
      </c>
      <c r="J15" s="6" t="inlineStr">
        <is>
          <t>Zeroed=Mortal (Courage TN14/round)</t>
        </is>
      </c>
      <c r="K15" s="10" t="n"/>
    </row>
    <row r="16">
      <c r="A16" s="5" t="inlineStr">
        <is>
          <t>Abdomen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Zeroed=Internal Bleeding (1 HP/min)</t>
        </is>
      </c>
      <c r="J16" s="6" t="inlineStr">
        <is>
          <t>Zeroed=Internal Bleeding (1 HP/min)</t>
        </is>
      </c>
      <c r="K16" s="10" t="n"/>
    </row>
    <row r="17">
      <c r="A17" s="5" t="inlineStr">
        <is>
          <t>Left Arm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Gloves</t>
        </is>
      </c>
      <c r="I17" s="5" t="inlineStr">
        <is>
          <t>Zeroed=Permanently Disabled</t>
        </is>
      </c>
      <c r="J17" s="6" t="inlineStr">
        <is>
          <t>Zeroed=Permanently Disabled</t>
        </is>
      </c>
      <c r="K17" s="10" t="n"/>
    </row>
    <row r="18">
      <c r="A18" s="5" t="inlineStr">
        <is>
          <t>Right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Left Leg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Combat Boots</t>
        </is>
      </c>
      <c r="I19" s="5" t="inlineStr">
        <is>
          <t>Zeroed=Prone, Cannot Walk</t>
        </is>
      </c>
      <c r="J19" s="6" t="inlineStr">
        <is>
          <t>Zeroed=Prone, Cannot Walk</t>
        </is>
      </c>
      <c r="K19" s="10" t="n"/>
    </row>
    <row r="20">
      <c r="A20" s="5" t="inlineStr">
        <is>
          <t>Right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3" t="inlineStr">
        <is>
          <t>Combat Data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Primary Attack: Corrosive Claw 1d10+6 + Poison 1d4/round, Melee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>Secondary Attack: Acid Spit 2d6 + Poison, 3m cone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Armor/DR: Full Body DR1 (Carapace + Crystal Layer)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Special Ability: Poison Gas Aura (melee, Courage TN14); Death Splatter (3m, 1d6 + Poison)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Behavior: Lurks in chemical storage; ambushes those who approach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Loot: Chemical Sample (Purple)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Brotherhood Sentinel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Brotherhood Sentinel</t>
        </is>
      </c>
      <c r="C3" s="10" t="n"/>
      <c r="D3" s="5" t="inlineStr">
        <is>
          <t>Appears In Scenario</t>
        </is>
      </c>
      <c r="E3" s="6" t="inlineStr">
        <is>
          <t>Scenario Six</t>
        </is>
      </c>
      <c r="F3" s="9" t="n"/>
      <c r="G3" s="10" t="n"/>
      <c r="H3" s="5" t="inlineStr">
        <is>
          <t>Threat Value</t>
        </is>
      </c>
      <c r="I3" s="6" t="n">
        <v>6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5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3</v>
      </c>
      <c r="I5" s="5" t="inlineStr">
        <is>
          <t>Courage CRG</t>
        </is>
      </c>
      <c r="J5" s="7" t="n">
        <v>6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Firearms</t>
        </is>
      </c>
      <c r="B9" s="6" t="n">
        <v>3</v>
      </c>
      <c r="C9" s="10" t="n"/>
    </row>
    <row r="10">
      <c r="A10" s="5" t="inlineStr">
        <is>
          <t>Awareness</t>
        </is>
      </c>
      <c r="B10" s="6" t="n">
        <v>3</v>
      </c>
      <c r="C10" s="10" t="n"/>
    </row>
    <row r="11">
      <c r="A11" s="5" t="inlineStr">
        <is>
          <t>Electronics</t>
        </is>
      </c>
      <c r="B11" s="6" t="n">
        <v>2</v>
      </c>
      <c r="C11" s="10" t="n"/>
    </row>
    <row r="12">
      <c r="A12" s="5" t="inlineStr">
        <is>
          <t>Willpower</t>
        </is>
      </c>
      <c r="B12" s="6" t="n">
        <v>3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DMR 1d10 Mid-Long Range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Secondary Attack: Pistol 1d8 Close-Mid Range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Chest/Abdomen DR1 (Hard)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Alarm: 1AP triggers building-wide alarm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Fixed post; high Awareness; alarms first then fires on detection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DMR (Blue) + Comms Equipment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Elite Guard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Elite Guard</t>
        </is>
      </c>
      <c r="C3" s="10" t="n"/>
      <c r="D3" s="5" t="inlineStr">
        <is>
          <t>Appears In Scenario</t>
        </is>
      </c>
      <c r="E3" s="6" t="inlineStr">
        <is>
          <t>Scenarios Seven, Nine</t>
        </is>
      </c>
      <c r="F3" s="9" t="n"/>
      <c r="G3" s="10" t="n"/>
      <c r="H3" s="5" t="inlineStr">
        <is>
          <t>Threat Value</t>
        </is>
      </c>
      <c r="I3" s="6" t="n">
        <v>9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7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4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Firearms</t>
        </is>
      </c>
      <c r="B9" s="6" t="n">
        <v>4</v>
      </c>
      <c r="C9" s="10" t="n"/>
    </row>
    <row r="10">
      <c r="A10" s="5" t="inlineStr">
        <is>
          <t>Melee</t>
        </is>
      </c>
      <c r="B10" s="6" t="n">
        <v>3</v>
      </c>
      <c r="C10" s="10" t="n"/>
    </row>
    <row r="11">
      <c r="A11" s="5" t="inlineStr">
        <is>
          <t>Awareness</t>
        </is>
      </c>
      <c r="B11" s="6" t="n">
        <v>3</v>
      </c>
      <c r="C11" s="10" t="n"/>
    </row>
    <row r="12">
      <c r="A12" s="5" t="inlineStr">
        <is>
          <t>Willpower</t>
        </is>
      </c>
      <c r="B12" s="6" t="n">
        <v>3</v>
      </c>
      <c r="C12" s="10" t="n"/>
    </row>
    <row r="13">
      <c r="A13" s="5" t="inlineStr">
        <is>
          <t>Intimidation</t>
        </is>
      </c>
      <c r="B13" s="6" t="n">
        <v>3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Special Ops Rifle 2d6 Full-Auto Suppressed Low-Recoil Mid-Long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Stun Baton 1d4 + Stun, Melee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DR1 (Special Ops), Full Body DR1 (Ceramic Plate)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Tactical Coordination: +1 hit when attacking simultaneously with other guards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Elite unit; high discipline; does not retreat easily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Special Ops Rifle (Gold) + Ceramic Plate (Purple)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Iron Fist Victor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Iron Fist Victor</t>
        </is>
      </c>
      <c r="C3" s="10" t="n"/>
      <c r="D3" s="5" t="inlineStr">
        <is>
          <t>Appears In Scenario</t>
        </is>
      </c>
      <c r="E3" s="6" t="inlineStr">
        <is>
          <t>Scenario Seven</t>
        </is>
      </c>
      <c r="F3" s="9" t="n"/>
      <c r="G3" s="10" t="n"/>
      <c r="H3" s="5" t="inlineStr">
        <is>
          <t>Threat Value</t>
        </is>
      </c>
      <c r="I3" s="6" t="n">
        <v>13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8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5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Heavy Weapons</t>
        </is>
      </c>
      <c r="B9" s="6" t="n">
        <v>5</v>
      </c>
      <c r="C9" s="10" t="n"/>
    </row>
    <row r="10">
      <c r="A10" s="5" t="inlineStr">
        <is>
          <t>Melee</t>
        </is>
      </c>
      <c r="B10" s="6" t="n">
        <v>4</v>
      </c>
      <c r="C10" s="10" t="n"/>
    </row>
    <row r="11">
      <c r="A11" s="5" t="inlineStr">
        <is>
          <t>Leadership</t>
        </is>
      </c>
      <c r="B11" s="6" t="n">
        <v>4</v>
      </c>
      <c r="C11" s="10" t="n"/>
    </row>
    <row r="12">
      <c r="A12" s="5" t="inlineStr">
        <is>
          <t>Willpower</t>
        </is>
      </c>
      <c r="B12" s="6" t="n">
        <v>4</v>
      </c>
      <c r="C12" s="10" t="n"/>
    </row>
    <row r="13">
      <c r="A13" s="5" t="inlineStr">
        <is>
          <t>Intimidation</t>
        </is>
      </c>
      <c r="B13" s="6" t="n">
        <v>4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Heavy MG 2d6 Full-Auto AP2 Mid-Long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Prototype Shock Hammer 2d6+8, Melee + AoE Shock Wave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DR1 (Special Ops), Full Body DR1 (Full Heavy Armor)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Two Phases: (1) HP&gt;50% MG suppression; (2) HP&lt;50% Shock Hammer + Shock Wave 3m each round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Brotherhood area commander; no retreat; fights to death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Heavy MG (Purple) + Full Heavy Armor (Gold) + Commander Badge (Plot)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High Priest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High Priest</t>
        </is>
      </c>
      <c r="C3" s="10" t="n"/>
      <c r="D3" s="5" t="inlineStr">
        <is>
          <t>Appears In Scenario</t>
        </is>
      </c>
      <c r="E3" s="6" t="inlineStr">
        <is>
          <t>Scenario Eight</t>
        </is>
      </c>
      <c r="F3" s="9" t="n"/>
      <c r="G3" s="10" t="n"/>
      <c r="H3" s="5" t="inlineStr">
        <is>
          <t>Threat Value</t>
        </is>
      </c>
      <c r="I3" s="6" t="n">
        <v>9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5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7</v>
      </c>
      <c r="G5" s="5" t="inlineStr">
        <is>
          <t>Tech TEC</t>
        </is>
      </c>
      <c r="H5" s="7" t="n">
        <v>6</v>
      </c>
      <c r="I5" s="5" t="inlineStr">
        <is>
          <t>Courage CRG</t>
        </is>
      </c>
      <c r="J5" s="7" t="n">
        <v>9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3</v>
      </c>
      <c r="C9" s="10" t="n"/>
    </row>
    <row r="10">
      <c r="A10" s="5" t="inlineStr">
        <is>
          <t>Throwing</t>
        </is>
      </c>
      <c r="B10" s="6" t="n">
        <v>2</v>
      </c>
      <c r="C10" s="10" t="n"/>
    </row>
    <row r="11">
      <c r="A11" s="5" t="inlineStr">
        <is>
          <t>Awareness</t>
        </is>
      </c>
      <c r="B11" s="6" t="n">
        <v>4</v>
      </c>
      <c r="C11" s="10" t="n"/>
    </row>
    <row r="12">
      <c r="A12" s="5" t="inlineStr">
        <is>
          <t>Electronics</t>
        </is>
      </c>
      <c r="B12" s="6" t="n">
        <v>4</v>
      </c>
      <c r="C12" s="10" t="n"/>
    </row>
    <row r="13">
      <c r="A13" s="5" t="inlineStr">
        <is>
          <t>Willpower</t>
        </is>
      </c>
      <c r="B13" s="6" t="n">
        <v>5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Energy Scepter 2d6 Close-Mid Range (Energy)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Psychic Shock PER TN17 or Confusion 1d3 rounds, Mid Range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Chest/Abdomen DR1 (Robe) + Mental Barrier (Advantage vs psychic effects)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Channel Ritual: empower Deep Divers within 5m (+1DR, +1d6)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Presides over ritual; prioritizes protecting ritual integrity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Energy Scepter (Gold) + Cult Scriptures (Purple)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Deep Diver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Deep Diver</t>
        </is>
      </c>
      <c r="C3" s="10" t="n"/>
      <c r="D3" s="5" t="inlineStr">
        <is>
          <t>Appears In Scenario</t>
        </is>
      </c>
      <c r="E3" s="6" t="inlineStr">
        <is>
          <t>Scenarios Eight, Ten</t>
        </is>
      </c>
      <c r="F3" s="9" t="n"/>
      <c r="G3" s="10" t="n"/>
      <c r="H3" s="5" t="inlineStr">
        <is>
          <t>Threat Value</t>
        </is>
      </c>
      <c r="I3" s="6" t="n">
        <v>10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7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2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3</v>
      </c>
      <c r="C9" s="10" t="n"/>
    </row>
    <row r="10">
      <c r="A10" s="5" t="inlineStr">
        <is>
          <t>Throwing</t>
        </is>
      </c>
      <c r="B10" s="6" t="n">
        <v>2</v>
      </c>
      <c r="C10" s="10" t="n"/>
    </row>
    <row r="11">
      <c r="A11" s="5" t="inlineStr">
        <is>
          <t>Stealth</t>
        </is>
      </c>
      <c r="B11" s="6" t="n">
        <v>3</v>
      </c>
      <c r="C11" s="10" t="n"/>
    </row>
    <row r="12">
      <c r="A12" s="5" t="inlineStr">
        <is>
          <t>Willpower</t>
        </is>
      </c>
      <c r="B12" s="6" t="n">
        <v>5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Gravity Claw 2d6+7, Melee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Secondary Attack: Gravity Throw 1d6+3, Long Range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Full Body DR1 (Mutant Carapace)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Short Teleport (2/encounter); Gravity Field (movement halved within 3m); Death Gravity Pulse (5m, 2d6)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Seeps from Core Zone; drawn by cult rituals; extremely territorial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Anomaly Sample (Purple)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Cult Leader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Cult Leader</t>
        </is>
      </c>
      <c r="C3" s="10" t="n"/>
      <c r="D3" s="5" t="inlineStr">
        <is>
          <t>Appears In Scenario</t>
        </is>
      </c>
      <c r="E3" s="6" t="inlineStr">
        <is>
          <t>Scenario Eight</t>
        </is>
      </c>
      <c r="F3" s="9" t="n"/>
      <c r="G3" s="10" t="n"/>
      <c r="H3" s="5" t="inlineStr">
        <is>
          <t>Threat Value</t>
        </is>
      </c>
      <c r="I3" s="6" t="n">
        <v>14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4</v>
      </c>
      <c r="E5" s="5" t="inlineStr">
        <is>
          <t>Perception PER</t>
        </is>
      </c>
      <c r="F5" s="7" t="n">
        <v>8</v>
      </c>
      <c r="G5" s="5" t="inlineStr">
        <is>
          <t>Tech TEC</t>
        </is>
      </c>
      <c r="H5" s="7" t="n">
        <v>7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3</v>
      </c>
      <c r="C9" s="10" t="n"/>
    </row>
    <row r="10">
      <c r="A10" s="5" t="inlineStr">
        <is>
          <t>Throwing</t>
        </is>
      </c>
      <c r="B10" s="6" t="n">
        <v>3</v>
      </c>
      <c r="C10" s="10" t="n"/>
    </row>
    <row r="11">
      <c r="A11" s="5" t="inlineStr">
        <is>
          <t>Awareness</t>
        </is>
      </c>
      <c r="B11" s="6" t="n">
        <v>5</v>
      </c>
      <c r="C11" s="10" t="n"/>
    </row>
    <row r="12">
      <c r="A12" s="5" t="inlineStr">
        <is>
          <t>Electronics</t>
        </is>
      </c>
      <c r="B12" s="6" t="n">
        <v>5</v>
      </c>
      <c r="C12" s="10" t="n"/>
    </row>
    <row r="13">
      <c r="A13" s="5" t="inlineStr">
        <is>
          <t>Willpower</t>
        </is>
      </c>
      <c r="B13" s="6" t="n">
        <v>5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Rift Scepter 3d6 Close-Mid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Mind Control CRG TN20 or Controlled 1 round, Mid Range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Full Body DR1 (Curtain's Blessing) + Mental Barrier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Three Phases: (1) Summon Deep Divers; (2) HP&lt;60% Time Stasis; (3) HP&lt;30% flee into Core Zone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Fanatic leader; believes rift is divine manifestation; fights to death for faith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Rift Scepter (Gold) + Curtain Shard (Gold) + Cult Scriptures x3 (Purple)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Iron Wall Cossack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Iron Wall Cossack</t>
        </is>
      </c>
      <c r="C3" s="10" t="n"/>
      <c r="D3" s="5" t="inlineStr">
        <is>
          <t>Appears In Scenario</t>
        </is>
      </c>
      <c r="E3" s="6" t="inlineStr">
        <is>
          <t>Scenario Nine</t>
        </is>
      </c>
      <c r="F3" s="9" t="n"/>
      <c r="G3" s="10" t="n"/>
      <c r="H3" s="5" t="inlineStr">
        <is>
          <t>Threat Value</t>
        </is>
      </c>
      <c r="I3" s="6" t="n">
        <v>16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9</v>
      </c>
      <c r="C5" s="5" t="inlineStr">
        <is>
          <t>Precision PRC</t>
        </is>
      </c>
      <c r="D5" s="7" t="n">
        <v>5</v>
      </c>
      <c r="E5" s="5" t="inlineStr">
        <is>
          <t>Perception PER</t>
        </is>
      </c>
      <c r="F5" s="7" t="n">
        <v>4</v>
      </c>
      <c r="G5" s="5" t="inlineStr">
        <is>
          <t>Tech TEC</t>
        </is>
      </c>
      <c r="H5" s="7" t="n">
        <v>3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Heavy Weapons</t>
        </is>
      </c>
      <c r="B9" s="6" t="n">
        <v>4</v>
      </c>
      <c r="C9" s="10" t="n"/>
    </row>
    <row r="10">
      <c r="A10" s="5" t="inlineStr">
        <is>
          <t>Melee</t>
        </is>
      </c>
      <c r="B10" s="6" t="n">
        <v>5</v>
      </c>
      <c r="C10" s="10" t="n"/>
    </row>
    <row r="11">
      <c r="A11" s="5" t="inlineStr">
        <is>
          <t>Willpower</t>
        </is>
      </c>
      <c r="B11" s="6" t="n">
        <v>5</v>
      </c>
      <c r="C11" s="10" t="n"/>
    </row>
    <row r="12">
      <c r="A12" s="5" t="inlineStr">
        <is>
          <t>Leadership</t>
        </is>
      </c>
      <c r="B12" s="6" t="n">
        <v>4</v>
      </c>
      <c r="C12" s="10" t="n"/>
    </row>
    <row r="13">
      <c r="A13" s="5" t="inlineStr">
        <is>
          <t>Intimidation</t>
        </is>
      </c>
      <c r="B13" s="6" t="n">
        <v>4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Heavy Assault Rifle 2d6 Full-Auto AP1 Mid-Long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Tactical Axe 1d8+9, Melee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Head DR1 (Heavy), Full Body DR1 (Full Heavy Armor)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Three Phases: (1) Fire Suppression + call reinforcements; (2) switch to axe charge + morale roar; (3) self-destruct device 3-round countdown 3d6/10m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Iron Brotherhood leader; no negotiation no retreat; fights to the bitter end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Heavy Assault Rifle (Gold) + Full Heavy Armor (Gold) + Brotherhood Mark (Legendary)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Teleport Mutant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Teleport Mutant</t>
        </is>
      </c>
      <c r="C3" s="10" t="n"/>
      <c r="D3" s="5" t="inlineStr">
        <is>
          <t>Appears In Scenario</t>
        </is>
      </c>
      <c r="E3" s="6" t="inlineStr">
        <is>
          <t>Scenario Ten</t>
        </is>
      </c>
      <c r="F3" s="9" t="n"/>
      <c r="G3" s="10" t="n"/>
      <c r="H3" s="5" t="inlineStr">
        <is>
          <t>Threat Value</t>
        </is>
      </c>
      <c r="I3" s="6" t="n">
        <v>11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4</v>
      </c>
      <c r="E5" s="5" t="inlineStr">
        <is>
          <t>Perception PER</t>
        </is>
      </c>
      <c r="F5" s="7" t="n">
        <v>7</v>
      </c>
      <c r="G5" s="5" t="inlineStr">
        <is>
          <t>Tech TEC</t>
        </is>
      </c>
      <c r="H5" s="7" t="n">
        <v>2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3</v>
      </c>
      <c r="C9" s="10" t="n"/>
    </row>
    <row r="10">
      <c r="A10" s="5" t="inlineStr">
        <is>
          <t>Throwing</t>
        </is>
      </c>
      <c r="B10" s="6" t="n">
        <v>2</v>
      </c>
      <c r="C10" s="10" t="n"/>
    </row>
    <row r="11">
      <c r="A11" s="5" t="inlineStr">
        <is>
          <t>Stealth</t>
        </is>
      </c>
      <c r="B11" s="6" t="n">
        <v>4</v>
      </c>
      <c r="C11" s="10" t="n"/>
    </row>
    <row r="12">
      <c r="A12" s="5" t="inlineStr">
        <is>
          <t>Willpower</t>
        </is>
      </c>
      <c r="B12" s="6" t="n">
        <v>5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Dimensional Claw 2d6+6, Melee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 xml:space="preserve">Secondary Attack: 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Full Body DR1 (Mutant Carapace)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Teleport once per round (10m); Advantage on next attack after teleport; 50% teleport-dodge when hit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Unstable teleport; unpredictable; prioritize isolated targets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Dimensional Shard (Purple)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Core Zone Mutant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Core Zone Mutant</t>
        </is>
      </c>
      <c r="C3" s="10" t="n"/>
      <c r="D3" s="5" t="inlineStr">
        <is>
          <t>Appears In Scenario</t>
        </is>
      </c>
      <c r="E3" s="6" t="inlineStr">
        <is>
          <t>Scenario Ten</t>
        </is>
      </c>
      <c r="F3" s="9" t="n"/>
      <c r="G3" s="10" t="n"/>
      <c r="H3" s="5" t="inlineStr">
        <is>
          <t>Threat Value</t>
        </is>
      </c>
      <c r="I3" s="6" t="n">
        <v>12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8</v>
      </c>
      <c r="C5" s="5" t="inlineStr">
        <is>
          <t>Precision PRC</t>
        </is>
      </c>
      <c r="D5" s="7" t="n">
        <v>3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2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4</v>
      </c>
      <c r="C9" s="10" t="n"/>
    </row>
    <row r="10">
      <c r="A10" s="5" t="inlineStr">
        <is>
          <t>Throwing</t>
        </is>
      </c>
      <c r="B10" s="6" t="n">
        <v>3</v>
      </c>
      <c r="C10" s="10" t="n"/>
    </row>
    <row r="11">
      <c r="A11" s="5" t="inlineStr">
        <is>
          <t>Stealth</t>
        </is>
      </c>
      <c r="B11" s="6" t="n">
        <v>3</v>
      </c>
      <c r="C11" s="10" t="n"/>
    </row>
    <row r="12">
      <c r="A12" s="5" t="inlineStr">
        <is>
          <t>Willpower</t>
        </is>
      </c>
      <c r="B12" s="6" t="n">
        <v>5</v>
      </c>
      <c r="C12" s="10" t="n"/>
    </row>
    <row r="13">
      <c r="A13" s="3" t="inlineStr">
        <is>
          <t>Seven-Part HP (Auto-calculated)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Part</t>
        </is>
      </c>
      <c r="B14" s="6" t="inlineStr">
        <is>
          <t>Max HP</t>
        </is>
      </c>
      <c r="C14" s="5" t="inlineStr">
        <is>
          <t>Current 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Injury Effect</t>
        </is>
      </c>
      <c r="J14" s="6" t="inlineStr"/>
      <c r="K14" s="10" t="n"/>
    </row>
    <row r="15">
      <c r="A15" s="5" t="inlineStr">
        <is>
          <t>Head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Helmet</t>
        </is>
      </c>
      <c r="I15" s="5" t="inlineStr">
        <is>
          <t>Zeroed=Instant Death</t>
        </is>
      </c>
      <c r="J15" s="6" t="inlineStr">
        <is>
          <t>Zeroed=Instant Death</t>
        </is>
      </c>
      <c r="K15" s="10" t="n"/>
    </row>
    <row r="16">
      <c r="A16" s="5" t="inlineStr">
        <is>
          <t>Chest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Body Armor + Vest</t>
        </is>
      </c>
      <c r="I16" s="5" t="inlineStr">
        <is>
          <t>Zeroed=Mortal (Courage TN14/round)</t>
        </is>
      </c>
      <c r="J16" s="6" t="inlineStr">
        <is>
          <t>Zeroed=Mortal (Courage TN14/round)</t>
        </is>
      </c>
      <c r="K16" s="10" t="n"/>
    </row>
    <row r="17">
      <c r="A17" s="5" t="inlineStr">
        <is>
          <t>Abdomen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Zeroed=Internal Bleeding (1 HP/min)</t>
        </is>
      </c>
      <c r="J17" s="6" t="inlineStr">
        <is>
          <t>Zeroed=Internal Bleeding (1 HP/min)</t>
        </is>
      </c>
      <c r="K17" s="10" t="n"/>
    </row>
    <row r="18">
      <c r="A18" s="5" t="inlineStr">
        <is>
          <t>Left Arm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Gloves</t>
        </is>
      </c>
      <c r="I18" s="5" t="inlineStr">
        <is>
          <t>Zeroed=Permanently Disabled</t>
        </is>
      </c>
      <c r="J18" s="6" t="inlineStr">
        <is>
          <t>Zeroed=Permanently Disabled</t>
        </is>
      </c>
      <c r="K18" s="10" t="n"/>
    </row>
    <row r="19">
      <c r="A19" s="5" t="inlineStr">
        <is>
          <t>Right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Left Leg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Combat Boots</t>
        </is>
      </c>
      <c r="I20" s="5" t="inlineStr">
        <is>
          <t>Zeroed=Prone, Cannot Walk</t>
        </is>
      </c>
      <c r="J20" s="6" t="inlineStr">
        <is>
          <t>Zeroed=Prone, Cannot Walk</t>
        </is>
      </c>
      <c r="K20" s="10" t="n"/>
    </row>
    <row r="21">
      <c r="A21" s="5" t="inlineStr">
        <is>
          <t>Right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3" t="inlineStr">
        <is>
          <t>Combat Data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Primary Attack: Gravity Crush 2d8+8, Melee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Secondary Attack: Gravity Throw 1d8+3, Long Range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Armor/DR: Full Body DR1 (Crystallized Carapace)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Special Ability: Gravity Field (movement halved within 5m, no sprint); Death Gravity Collapse (3m, 3d6)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Behavior: Guards Core Zone; indiscriminate attack on any intruder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Loot: Crystal Shard (Purple~Gold)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Data Card - Dimensional Guardian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Basic Info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Enemy Name</t>
        </is>
      </c>
      <c r="B3" s="6" t="inlineStr">
        <is>
          <t>Dimensional Guardian</t>
        </is>
      </c>
      <c r="C3" s="10" t="n"/>
      <c r="D3" s="5" t="inlineStr">
        <is>
          <t>Appears In Scenario</t>
        </is>
      </c>
      <c r="E3" s="6" t="inlineStr">
        <is>
          <t>Scenario Ten</t>
        </is>
      </c>
      <c r="F3" s="9" t="n"/>
      <c r="G3" s="10" t="n"/>
      <c r="H3" s="5" t="inlineStr">
        <is>
          <t>Threat Value</t>
        </is>
      </c>
      <c r="I3" s="6" t="n">
        <v>20</v>
      </c>
      <c r="J3" s="9" t="n"/>
      <c r="K3" s="10" t="n"/>
    </row>
    <row r="4">
      <c r="A4" s="3" t="inlineStr">
        <is>
          <t>Five Attributes [values entered, modify yellow cells]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Physique PHY</t>
        </is>
      </c>
      <c r="B5" s="7" t="n">
        <v>10</v>
      </c>
      <c r="C5" s="5" t="inlineStr">
        <is>
          <t>Precision PRC</t>
        </is>
      </c>
      <c r="D5" s="7" t="n">
        <v>5</v>
      </c>
      <c r="E5" s="5" t="inlineStr">
        <is>
          <t>Perception PER</t>
        </is>
      </c>
      <c r="F5" s="7" t="n">
        <v>8</v>
      </c>
      <c r="G5" s="5" t="inlineStr">
        <is>
          <t>Tech TEC</t>
        </is>
      </c>
      <c r="H5" s="7" t="n">
        <v>5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(Auto-calculated)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Initiative</t>
        </is>
      </c>
      <c r="B7" s="8">
        <f>G5+E5</f>
        <v/>
      </c>
      <c r="C7" s="10" t="n"/>
      <c r="D7" s="5" t="inlineStr">
        <is>
          <t>Carry Capacity kg</t>
        </is>
      </c>
      <c r="E7" s="8">
        <f>C5*5</f>
        <v/>
      </c>
      <c r="F7" s="9" t="n"/>
      <c r="G7" s="10" t="n"/>
      <c r="H7" s="5" t="inlineStr">
        <is>
          <t>Skill Point Reference</t>
        </is>
      </c>
      <c r="I7" s="8">
        <f>(I5+K5)*2</f>
        <v/>
      </c>
      <c r="J7" s="9" t="n"/>
      <c r="K7" s="10" t="n"/>
    </row>
    <row r="8">
      <c r="A8" s="3" t="inlineStr">
        <is>
          <t>Skill Level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Melee</t>
        </is>
      </c>
      <c r="B9" s="6" t="n">
        <v>5</v>
      </c>
      <c r="C9" s="10" t="n"/>
    </row>
    <row r="10">
      <c r="A10" s="5" t="inlineStr">
        <is>
          <t>Throwing</t>
        </is>
      </c>
      <c r="B10" s="6" t="n">
        <v>4</v>
      </c>
      <c r="C10" s="10" t="n"/>
    </row>
    <row r="11">
      <c r="A11" s="5" t="inlineStr">
        <is>
          <t>Awareness</t>
        </is>
      </c>
      <c r="B11" s="6" t="n">
        <v>5</v>
      </c>
      <c r="C11" s="10" t="n"/>
    </row>
    <row r="12">
      <c r="A12" s="5" t="inlineStr">
        <is>
          <t>Willpower</t>
        </is>
      </c>
      <c r="B12" s="6" t="n">
        <v>5</v>
      </c>
      <c r="C12" s="10" t="n"/>
    </row>
    <row r="13">
      <c r="A13" s="5" t="inlineStr">
        <is>
          <t>Intimidation</t>
        </is>
      </c>
      <c r="B13" s="6" t="n">
        <v>5</v>
      </c>
      <c r="C13" s="10" t="n"/>
    </row>
    <row r="14">
      <c r="A14" s="3" t="inlineStr">
        <is>
          <t>Seven-Part HP (Auto-calculated)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Part</t>
        </is>
      </c>
      <c r="B15" s="6" t="inlineStr">
        <is>
          <t>Max HP</t>
        </is>
      </c>
      <c r="C15" s="5" t="inlineStr">
        <is>
          <t>Current 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Injury Effect</t>
        </is>
      </c>
      <c r="J15" s="6" t="inlineStr"/>
      <c r="K15" s="10" t="n"/>
    </row>
    <row r="16">
      <c r="A16" s="5" t="inlineStr">
        <is>
          <t>Head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Helmet</t>
        </is>
      </c>
      <c r="I16" s="5" t="inlineStr">
        <is>
          <t>Zeroed=Instant Death</t>
        </is>
      </c>
      <c r="J16" s="6" t="inlineStr">
        <is>
          <t>Zeroed=Instant Death</t>
        </is>
      </c>
      <c r="K16" s="10" t="n"/>
    </row>
    <row r="17">
      <c r="A17" s="5" t="inlineStr">
        <is>
          <t>Chest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Body Armor + Vest</t>
        </is>
      </c>
      <c r="I17" s="5" t="inlineStr">
        <is>
          <t>Zeroed=Mortal (Courage TN14/round)</t>
        </is>
      </c>
      <c r="J17" s="6" t="inlineStr">
        <is>
          <t>Zeroed=Mortal (Courage TN14/round)</t>
        </is>
      </c>
      <c r="K17" s="10" t="n"/>
    </row>
    <row r="18">
      <c r="A18" s="5" t="inlineStr">
        <is>
          <t>Abdomen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Body Armor + Vest</t>
        </is>
      </c>
      <c r="I18" s="5" t="inlineStr">
        <is>
          <t>Zeroed=Internal Bleeding (1 HP/min)</t>
        </is>
      </c>
      <c r="J18" s="6" t="inlineStr">
        <is>
          <t>Zeroed=Internal Bleeding (1 HP/min)</t>
        </is>
      </c>
      <c r="K18" s="10" t="n"/>
    </row>
    <row r="19">
      <c r="A19" s="5" t="inlineStr">
        <is>
          <t>Left Arm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Gloves</t>
        </is>
      </c>
      <c r="I19" s="5" t="inlineStr">
        <is>
          <t>Zeroed=Permanently Disabled</t>
        </is>
      </c>
      <c r="J19" s="6" t="inlineStr">
        <is>
          <t>Zeroed=Permanently Disabled</t>
        </is>
      </c>
      <c r="K19" s="10" t="n"/>
    </row>
    <row r="20">
      <c r="A20" s="5" t="inlineStr">
        <is>
          <t>Right Arm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Gloves</t>
        </is>
      </c>
      <c r="I20" s="5" t="inlineStr">
        <is>
          <t>Zeroed=Permanently Disabled</t>
        </is>
      </c>
      <c r="J20" s="6" t="inlineStr">
        <is>
          <t>Zeroed=Permanently Disabled</t>
        </is>
      </c>
      <c r="K20" s="10" t="n"/>
    </row>
    <row r="21">
      <c r="A21" s="5" t="inlineStr">
        <is>
          <t>Left Leg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Combat Boots</t>
        </is>
      </c>
      <c r="I21" s="5" t="inlineStr">
        <is>
          <t>Zeroed=Prone, Cannot Walk</t>
        </is>
      </c>
      <c r="J21" s="6" t="inlineStr">
        <is>
          <t>Zeroed=Prone, Cannot Walk</t>
        </is>
      </c>
      <c r="K21" s="10" t="n"/>
    </row>
    <row r="22">
      <c r="A22" s="5" t="inlineStr">
        <is>
          <t>Right Leg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Combat Boots</t>
        </is>
      </c>
      <c r="I22" s="5" t="inlineStr">
        <is>
          <t>Zeroed=Prone, Cannot Walk</t>
        </is>
      </c>
      <c r="J22" s="6" t="inlineStr">
        <is>
          <t>Zeroed=Prone, Cannot Walk</t>
        </is>
      </c>
      <c r="K22" s="10" t="n"/>
    </row>
    <row r="23">
      <c r="A23" s="3" t="inlineStr">
        <is>
          <t>Combat Data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Primary Attack: Dimensional Tear 3d8+10 Close-Mid Range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Secondary Attack: Dimensional Throw CRG TN23 or teleport 30m, Long Range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Armor/DR: Full Body DR1 (Dimensional Shield)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Special Ability: Four Phases: (1) Summon Mutants x2; (2) Time Stasis every 3 rounds; (3) Recover 1d6 HP each round; (4) Self-Destruct mode: all 2d6 + CRG TN20/round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Behavior: Ultimate guardian of the rift; no negotiation possible; never leaves Deep Laboratory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Loot: Dimensional Core (Legendary) + Rift Data (Plot Key)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2026-06-23T18:22:51Z</dcterms:created>
  <dcterms:modified xsi:type="dcterms:W3CDTF">2026-08-09T19:01:44Z</dcterms:modified>
</cp:coreProperties>
</file>