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ult Trooper-Sledge" sheetId="1" state="visible" r:id="rId1"/>
    <sheet name="Scout-Wraith" sheetId="2" state="visible" r:id="rId2"/>
    <sheet name="Medic-Angel" sheetId="3" state="visible" r:id="rId3"/>
    <sheet name="Technician-Wrench" sheetId="4" state="visible" r:id="rId4"/>
    <sheet name="All-Rounder-Luc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Companion Card - Assault Trooper-Sledge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>
      <c r="A2" s="3" t="inlineStr">
        <is>
          <t>Basic Info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</row>
    <row r="3">
      <c r="A3" s="5" t="inlineStr">
        <is>
          <t>Companion Name</t>
        </is>
      </c>
      <c r="B3" s="6" t="inlineStr">
        <is>
          <t>Assault Trooper-Sledge</t>
        </is>
      </c>
      <c r="C3" s="12" t="n"/>
      <c r="D3" s="5" t="inlineStr">
        <is>
          <t>Type</t>
        </is>
      </c>
      <c r="E3" s="6" t="inlineStr">
        <is>
          <t>NPC Companion</t>
        </is>
      </c>
      <c r="F3" s="12" t="n"/>
      <c r="G3" s="5" t="inlineStr">
        <is>
          <t>Role</t>
        </is>
      </c>
      <c r="H3" s="6" t="inlineStr">
        <is>
          <t>Frontline Firepower / Tank</t>
        </is>
      </c>
      <c r="I3" s="2" t="n"/>
    </row>
    <row r="4"/>
    <row r="5">
      <c r="A5" s="3" t="inlineStr">
        <is>
          <t>Five Attributes (1-10) [modify yellow cells to auto-recalculate HP]</t>
        </is>
      </c>
      <c r="B5" s="11" t="n"/>
      <c r="C5" s="11" t="n"/>
      <c r="D5" s="11" t="n"/>
      <c r="E5" s="11" t="n"/>
      <c r="F5" s="11" t="n"/>
      <c r="G5" s="11" t="n"/>
      <c r="H5" s="11" t="n"/>
      <c r="I5" s="12" t="n"/>
    </row>
    <row r="6">
      <c r="A6" s="5" t="inlineStr">
        <is>
          <t>Physique PHY</t>
        </is>
      </c>
      <c r="B6" s="7" t="n">
        <v>7</v>
      </c>
      <c r="C6" s="5" t="inlineStr">
        <is>
          <t>Precision PRC</t>
        </is>
      </c>
      <c r="D6" s="7" t="n">
        <v>6</v>
      </c>
      <c r="E6" s="5" t="inlineStr">
        <is>
          <t>Perception PER</t>
        </is>
      </c>
      <c r="F6" s="7" t="n">
        <v>4</v>
      </c>
      <c r="G6" s="5" t="inlineStr">
        <is>
          <t>Tech TEC</t>
        </is>
      </c>
      <c r="H6" s="7" t="n">
        <v>3</v>
      </c>
      <c r="I6" s="5" t="inlineStr">
        <is>
          <t>Courage CRG</t>
        </is>
      </c>
      <c r="J6" s="7" t="n">
        <v>7</v>
      </c>
    </row>
    <row r="7">
      <c r="A7" s="3" t="inlineStr">
        <is>
          <t>Derived Attributes (Auto-calculated)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>
      <c r="A8" s="5" t="inlineStr">
        <is>
          <t>Initiative</t>
        </is>
      </c>
      <c r="B8" s="8">
        <f>G6+E6</f>
        <v/>
      </c>
      <c r="C8" s="12" t="n"/>
      <c r="D8" s="5" t="inlineStr">
        <is>
          <t>Carry Capacity kg</t>
        </is>
      </c>
      <c r="E8" s="8">
        <f>C6*5</f>
        <v/>
      </c>
      <c r="F8" s="12" t="n"/>
      <c r="G8" s="5" t="inlineStr">
        <is>
          <t>Skill Point Reference</t>
        </is>
      </c>
      <c r="H8" s="8">
        <f>(I7+K7)*2</f>
        <v/>
      </c>
      <c r="I8" s="12" t="n"/>
    </row>
    <row r="9">
      <c r="A9" s="3" t="inlineStr">
        <is>
          <t>Skill Level</t>
        </is>
      </c>
      <c r="B9" s="11" t="n"/>
      <c r="C9" s="11" t="n"/>
      <c r="D9" s="11" t="n"/>
      <c r="E9" s="11" t="n"/>
      <c r="F9" s="11" t="n"/>
      <c r="G9" s="11" t="n"/>
      <c r="H9" s="11" t="n"/>
      <c r="I9" s="12" t="n"/>
    </row>
    <row r="10">
      <c r="A10" s="5" t="inlineStr">
        <is>
          <t>Firearms</t>
        </is>
      </c>
      <c r="B10" s="6" t="n">
        <v>3</v>
      </c>
      <c r="C10" s="12" t="n"/>
    </row>
    <row r="11">
      <c r="A11" s="5" t="inlineStr">
        <is>
          <t>Melee</t>
        </is>
      </c>
      <c r="B11" s="6" t="n">
        <v>2</v>
      </c>
      <c r="C11" s="12" t="n"/>
    </row>
    <row r="12">
      <c r="A12" s="5" t="inlineStr">
        <is>
          <t>Willpower</t>
        </is>
      </c>
      <c r="B12" s="6" t="n">
        <v>3</v>
      </c>
      <c r="C12" s="12" t="n"/>
    </row>
    <row r="13">
      <c r="A13" s="5" t="inlineStr">
        <is>
          <t>Intimidation</t>
        </is>
      </c>
      <c r="B13" s="6" t="n">
        <v>2</v>
      </c>
      <c r="C13" s="12" t="n"/>
    </row>
    <row r="14">
      <c r="A14" s="3" t="inlineStr">
        <is>
          <t>Seven-Part HP (Auto-calculated)</t>
        </is>
      </c>
      <c r="B14" s="11" t="n"/>
      <c r="C14" s="11" t="n"/>
      <c r="D14" s="11" t="n"/>
      <c r="E14" s="11" t="n"/>
      <c r="F14" s="11" t="n"/>
      <c r="G14" s="11" t="n"/>
      <c r="H14" s="11" t="n"/>
      <c r="I14" s="12" t="n"/>
    </row>
    <row r="15">
      <c r="A15" s="5" t="inlineStr">
        <is>
          <t>Head</t>
        </is>
      </c>
      <c r="B15" s="8">
        <f>C6+6</f>
        <v/>
      </c>
      <c r="C15" s="12" t="n"/>
      <c r="D15" s="2" t="n"/>
      <c r="E15" s="2" t="n"/>
      <c r="F15" s="9" t="inlineStr">
        <is>
          <t>DR</t>
        </is>
      </c>
      <c r="G15" s="2" t="n"/>
      <c r="H15" s="10" t="inlineStr">
        <is>
          <t>5%</t>
        </is>
      </c>
      <c r="I15" s="2" t="n"/>
    </row>
    <row r="16">
      <c r="A16" s="5" t="inlineStr">
        <is>
          <t>Chest</t>
        </is>
      </c>
      <c r="B16" s="8">
        <f>C6*2+10</f>
        <v/>
      </c>
      <c r="C16" s="12" t="n"/>
      <c r="D16" s="2" t="n"/>
      <c r="E16" s="2" t="n"/>
      <c r="F16" s="9" t="inlineStr">
        <is>
          <t>DR</t>
        </is>
      </c>
      <c r="G16" s="2" t="n"/>
      <c r="H16" s="10" t="inlineStr">
        <is>
          <t>35%</t>
        </is>
      </c>
      <c r="I16" s="2" t="n"/>
    </row>
    <row r="17">
      <c r="A17" s="5" t="inlineStr">
        <is>
          <t>Abdomen</t>
        </is>
      </c>
      <c r="B17" s="8">
        <f>C6+8</f>
        <v/>
      </c>
      <c r="C17" s="12" t="n"/>
      <c r="D17" s="2" t="n"/>
      <c r="E17" s="2" t="n"/>
      <c r="F17" s="9" t="inlineStr">
        <is>
          <t>DR</t>
        </is>
      </c>
      <c r="G17" s="2" t="n"/>
      <c r="H17" s="10" t="inlineStr">
        <is>
          <t>15%</t>
        </is>
      </c>
      <c r="I17" s="2" t="n"/>
    </row>
    <row r="18">
      <c r="A18" s="5" t="inlineStr">
        <is>
          <t>Left Arm</t>
        </is>
      </c>
      <c r="B18" s="8">
        <f>C6+4</f>
        <v/>
      </c>
      <c r="C18" s="12" t="n"/>
      <c r="D18" s="2" t="n"/>
      <c r="E18" s="2" t="n"/>
      <c r="F18" s="9" t="inlineStr">
        <is>
          <t>DR</t>
        </is>
      </c>
      <c r="G18" s="2" t="n"/>
      <c r="H18" s="10" t="inlineStr">
        <is>
          <t>12%</t>
        </is>
      </c>
      <c r="I18" s="2" t="n"/>
    </row>
    <row r="19">
      <c r="A19" s="5" t="inlineStr">
        <is>
          <t>Right Arm</t>
        </is>
      </c>
      <c r="B19" s="8">
        <f>C6+4</f>
        <v/>
      </c>
      <c r="C19" s="1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Left Leg</t>
        </is>
      </c>
      <c r="B20" s="8">
        <f>C6+5</f>
        <v/>
      </c>
      <c r="C20" s="12" t="n"/>
      <c r="D20" s="2" t="n"/>
      <c r="E20" s="2" t="n"/>
      <c r="F20" s="9" t="inlineStr">
        <is>
          <t>DR</t>
        </is>
      </c>
      <c r="G20" s="2" t="n"/>
      <c r="H20" s="10" t="inlineStr">
        <is>
          <t>10%</t>
        </is>
      </c>
      <c r="I20" s="2" t="n"/>
    </row>
    <row r="21">
      <c r="A21" s="5" t="inlineStr">
        <is>
          <t>Right Leg</t>
        </is>
      </c>
      <c r="B21" s="8">
        <f>C6+5</f>
        <v/>
      </c>
      <c r="C21" s="1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3" t="inlineStr">
        <is>
          <t>Equipment &amp; Behavior</t>
        </is>
      </c>
      <c r="B22" s="11" t="n"/>
      <c r="C22" s="11" t="n"/>
      <c r="D22" s="11" t="n"/>
      <c r="E22" s="11" t="n"/>
      <c r="F22" s="11" t="n"/>
      <c r="G22" s="11" t="n"/>
      <c r="H22" s="11" t="n"/>
      <c r="I22" s="12" t="n"/>
    </row>
    <row r="23">
      <c r="A23" s="6" t="inlineStr">
        <is>
          <t>Weapon: Military Assault Rifle (2d6, Full-Auto) + Heavy Pistol (1d10, AP2)</t>
        </is>
      </c>
      <c r="B23" s="11" t="n"/>
      <c r="C23" s="11" t="n"/>
      <c r="D23" s="11" t="n"/>
      <c r="E23" s="11" t="n"/>
      <c r="F23" s="11" t="n"/>
      <c r="G23" s="11" t="n"/>
      <c r="H23" s="11" t="n"/>
      <c r="I23" s="12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A31" s="6" t="inlineStr">
        <is>
          <t>Armor: Hard Body Armor III (DR2) + Kevlar Helmet (DR1)</t>
        </is>
      </c>
      <c r="B31" s="11" t="n"/>
      <c r="C31" s="11" t="n"/>
      <c r="D31" s="11" t="n"/>
      <c r="E31" s="11" t="n"/>
      <c r="F31" s="11" t="n"/>
      <c r="G31" s="11" t="n"/>
      <c r="H31" s="11" t="n"/>
      <c r="I31" s="12" t="n"/>
    </row>
    <row r="32">
      <c r="C32" s="2" t="n"/>
    </row>
    <row r="33">
      <c r="D33" s="2" t="n"/>
    </row>
    <row r="34">
      <c r="E34" s="2" t="n"/>
    </row>
    <row r="35">
      <c r="F35" s="2" t="n"/>
    </row>
    <row r="36">
      <c r="G36" s="2" t="n"/>
    </row>
    <row r="37">
      <c r="H37" s="2" t="n"/>
    </row>
    <row r="38">
      <c r="I38" s="2" t="n"/>
    </row>
    <row r="39">
      <c r="A39" s="6" t="inlineStr">
        <is>
          <t>Special: Tough Guy Feat (HP&lt;=25% -&gt; DR+1); Prioritize Suppressive Fire</t>
        </is>
      </c>
      <c r="B39" s="11" t="n"/>
      <c r="C39" s="11" t="n"/>
      <c r="D39" s="11" t="n"/>
      <c r="E39" s="11" t="n"/>
      <c r="F39" s="11" t="n"/>
      <c r="G39" s="11" t="n"/>
      <c r="H39" s="11" t="n"/>
      <c r="I39" s="12" t="n"/>
    </row>
    <row r="40">
      <c r="C40" s="2" t="n"/>
    </row>
    <row r="41">
      <c r="D41" s="2" t="n"/>
    </row>
    <row r="42">
      <c r="E42" s="2" t="n"/>
    </row>
    <row r="43">
      <c r="F43" s="2" t="n"/>
    </row>
    <row r="44">
      <c r="G44" s="2" t="n"/>
    </row>
    <row r="45">
      <c r="H45" s="2" t="n"/>
    </row>
    <row r="46">
      <c r="I46" s="2" t="n"/>
    </row>
    <row r="47">
      <c r="A47" s="6" t="inlineStr">
        <is>
          <t>Behavior: Frontline suppression, prioritize protecting player, use suppressive fire when given covering order</t>
        </is>
      </c>
      <c r="B47" s="11" t="n"/>
      <c r="C47" s="11" t="n"/>
      <c r="D47" s="11" t="n"/>
      <c r="E47" s="11" t="n"/>
      <c r="F47" s="11" t="n"/>
      <c r="G47" s="11" t="n"/>
      <c r="H47" s="11" t="n"/>
      <c r="I47" s="12" t="n"/>
    </row>
    <row r="48">
      <c r="C48" s="2" t="n"/>
    </row>
    <row r="49">
      <c r="D49" s="2" t="n"/>
    </row>
    <row r="50">
      <c r="E50" s="2" t="n"/>
    </row>
    <row r="51">
      <c r="F51" s="2" t="n"/>
    </row>
    <row r="52">
      <c r="G52" s="2" t="n"/>
    </row>
    <row r="53">
      <c r="H53" s="2" t="n"/>
    </row>
    <row r="54">
      <c r="I54" s="2" t="n"/>
    </row>
  </sheetData>
  <mergeCells count="48">
    <mergeCell ref="A7:I7"/>
    <mergeCell ref="A8"/>
    <mergeCell ref="B16:C16"/>
    <mergeCell ref="A17"/>
    <mergeCell ref="D3"/>
    <mergeCell ref="B3:C3"/>
    <mergeCell ref="D8"/>
    <mergeCell ref="A20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47:I47"/>
    <mergeCell ref="I6"/>
    <mergeCell ref="A14:I14"/>
    <mergeCell ref="A15"/>
    <mergeCell ref="A23:I23"/>
    <mergeCell ref="C6"/>
    <mergeCell ref="B17:C17"/>
    <mergeCell ref="A22:I22"/>
    <mergeCell ref="B8:C8"/>
    <mergeCell ref="A11"/>
    <mergeCell ref="B13:C13"/>
    <mergeCell ref="A6"/>
    <mergeCell ref="G8"/>
    <mergeCell ref="B19:C19"/>
    <mergeCell ref="B10:C10"/>
    <mergeCell ref="A9:I9"/>
    <mergeCell ref="A16"/>
    <mergeCell ref="A31:I31"/>
    <mergeCell ref="A39:I39"/>
    <mergeCell ref="G6"/>
    <mergeCell ref="A12"/>
    <mergeCell ref="B15:C15"/>
    <mergeCell ref="A18"/>
    <mergeCell ref="A3"/>
    <mergeCell ref="A21"/>
    <mergeCell ref="B20:C20"/>
    <mergeCell ref="A1:I1"/>
    <mergeCell ref="E6"/>
    <mergeCell ref="H8:I8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Companion Card - Scout-Wraith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>
      <c r="A2" s="3" t="inlineStr">
        <is>
          <t>Basic Info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</row>
    <row r="3">
      <c r="A3" s="5" t="inlineStr">
        <is>
          <t>Companion Name</t>
        </is>
      </c>
      <c r="B3" s="6" t="inlineStr">
        <is>
          <t>Scout-Wraith</t>
        </is>
      </c>
      <c r="C3" s="12" t="n"/>
      <c r="D3" s="5" t="inlineStr">
        <is>
          <t>Type</t>
        </is>
      </c>
      <c r="E3" s="6" t="inlineStr">
        <is>
          <t>NPC Companion</t>
        </is>
      </c>
      <c r="F3" s="12" t="n"/>
      <c r="G3" s="5" t="inlineStr">
        <is>
          <t>Role</t>
        </is>
      </c>
      <c r="H3" s="6" t="inlineStr">
        <is>
          <t>Recon / Stealth / Initiative</t>
        </is>
      </c>
      <c r="I3" s="2" t="n"/>
    </row>
    <row r="4"/>
    <row r="5">
      <c r="A5" s="3" t="inlineStr">
        <is>
          <t>Five Attributes (1-10) [modify yellow cells to auto-recalculate HP]</t>
        </is>
      </c>
      <c r="B5" s="11" t="n"/>
      <c r="C5" s="11" t="n"/>
      <c r="D5" s="11" t="n"/>
      <c r="E5" s="11" t="n"/>
      <c r="F5" s="11" t="n"/>
      <c r="G5" s="11" t="n"/>
      <c r="H5" s="11" t="n"/>
      <c r="I5" s="12" t="n"/>
    </row>
    <row r="6">
      <c r="A6" s="5" t="inlineStr">
        <is>
          <t>Physique PHY</t>
        </is>
      </c>
      <c r="B6" s="7" t="n">
        <v>4</v>
      </c>
      <c r="C6" s="5" t="inlineStr">
        <is>
          <t>Precision PRC</t>
        </is>
      </c>
      <c r="D6" s="7" t="n">
        <v>6</v>
      </c>
      <c r="E6" s="5" t="inlineStr">
        <is>
          <t>Perception PER</t>
        </is>
      </c>
      <c r="F6" s="7" t="n">
        <v>8</v>
      </c>
      <c r="G6" s="5" t="inlineStr">
        <is>
          <t>Tech TEC</t>
        </is>
      </c>
      <c r="H6" s="7" t="n">
        <v>4</v>
      </c>
      <c r="I6" s="5" t="inlineStr">
        <is>
          <t>Courage CRG</t>
        </is>
      </c>
      <c r="J6" s="7" t="n">
        <v>5</v>
      </c>
    </row>
    <row r="7">
      <c r="A7" s="3" t="inlineStr">
        <is>
          <t>Derived Attributes (Auto-calculated)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>
      <c r="A8" s="5" t="inlineStr">
        <is>
          <t>Initiative</t>
        </is>
      </c>
      <c r="B8" s="8">
        <f>G6+E6</f>
        <v/>
      </c>
      <c r="C8" s="12" t="n"/>
      <c r="D8" s="5" t="inlineStr">
        <is>
          <t>Carry Capacity kg</t>
        </is>
      </c>
      <c r="E8" s="8">
        <f>C6*5</f>
        <v/>
      </c>
      <c r="F8" s="12" t="n"/>
      <c r="G8" s="5" t="inlineStr">
        <is>
          <t>Skill Point Reference</t>
        </is>
      </c>
      <c r="H8" s="8">
        <f>(I7+K7)*2</f>
        <v/>
      </c>
      <c r="I8" s="12" t="n"/>
    </row>
    <row r="9">
      <c r="A9" s="3" t="inlineStr">
        <is>
          <t>Skill Level</t>
        </is>
      </c>
      <c r="B9" s="11" t="n"/>
      <c r="C9" s="11" t="n"/>
      <c r="D9" s="11" t="n"/>
      <c r="E9" s="11" t="n"/>
      <c r="F9" s="11" t="n"/>
      <c r="G9" s="11" t="n"/>
      <c r="H9" s="11" t="n"/>
      <c r="I9" s="12" t="n"/>
    </row>
    <row r="10">
      <c r="A10" s="5" t="inlineStr">
        <is>
          <t>Firearms</t>
        </is>
      </c>
      <c r="B10" s="6" t="n">
        <v>2</v>
      </c>
      <c r="C10" s="12" t="n"/>
    </row>
    <row r="11">
      <c r="A11" s="5" t="inlineStr">
        <is>
          <t>Stealth</t>
        </is>
      </c>
      <c r="B11" s="6" t="n">
        <v>4</v>
      </c>
      <c r="C11" s="12" t="n"/>
    </row>
    <row r="12">
      <c r="A12" s="5" t="inlineStr">
        <is>
          <t>Awareness</t>
        </is>
      </c>
      <c r="B12" s="6" t="n">
        <v>4</v>
      </c>
      <c r="C12" s="12" t="n"/>
    </row>
    <row r="13">
      <c r="A13" s="5" t="inlineStr">
        <is>
          <t>Survival</t>
        </is>
      </c>
      <c r="B13" s="6" t="n">
        <v>2</v>
      </c>
      <c r="C13" s="12" t="n"/>
    </row>
    <row r="14">
      <c r="A14" s="3" t="inlineStr">
        <is>
          <t>Seven-Part HP (Auto-calculated)</t>
        </is>
      </c>
      <c r="B14" s="11" t="n"/>
      <c r="C14" s="11" t="n"/>
      <c r="D14" s="11" t="n"/>
      <c r="E14" s="11" t="n"/>
      <c r="F14" s="11" t="n"/>
      <c r="G14" s="11" t="n"/>
      <c r="H14" s="11" t="n"/>
      <c r="I14" s="12" t="n"/>
    </row>
    <row r="15">
      <c r="A15" s="5" t="inlineStr">
        <is>
          <t>Head</t>
        </is>
      </c>
      <c r="B15" s="8">
        <f>C6+6</f>
        <v/>
      </c>
      <c r="C15" s="12" t="n"/>
      <c r="D15" s="2" t="n"/>
      <c r="E15" s="2" t="n"/>
      <c r="F15" s="9" t="inlineStr">
        <is>
          <t>DR</t>
        </is>
      </c>
      <c r="G15" s="2" t="n"/>
      <c r="H15" s="10" t="inlineStr">
        <is>
          <t>5%</t>
        </is>
      </c>
      <c r="I15" s="2" t="n"/>
    </row>
    <row r="16">
      <c r="A16" s="5" t="inlineStr">
        <is>
          <t>Chest</t>
        </is>
      </c>
      <c r="B16" s="8">
        <f>C6*2+10</f>
        <v/>
      </c>
      <c r="C16" s="12" t="n"/>
      <c r="D16" s="2" t="n"/>
      <c r="E16" s="2" t="n"/>
      <c r="F16" s="9" t="inlineStr">
        <is>
          <t>DR</t>
        </is>
      </c>
      <c r="G16" s="2" t="n"/>
      <c r="H16" s="10" t="inlineStr">
        <is>
          <t>35%</t>
        </is>
      </c>
      <c r="I16" s="2" t="n"/>
    </row>
    <row r="17">
      <c r="A17" s="5" t="inlineStr">
        <is>
          <t>Abdomen</t>
        </is>
      </c>
      <c r="B17" s="8">
        <f>C6+8</f>
        <v/>
      </c>
      <c r="C17" s="12" t="n"/>
      <c r="D17" s="2" t="n"/>
      <c r="E17" s="2" t="n"/>
      <c r="F17" s="9" t="inlineStr">
        <is>
          <t>DR</t>
        </is>
      </c>
      <c r="G17" s="2" t="n"/>
      <c r="H17" s="10" t="inlineStr">
        <is>
          <t>15%</t>
        </is>
      </c>
      <c r="I17" s="2" t="n"/>
    </row>
    <row r="18">
      <c r="A18" s="5" t="inlineStr">
        <is>
          <t>Left Arm</t>
        </is>
      </c>
      <c r="B18" s="8">
        <f>C6+4</f>
        <v/>
      </c>
      <c r="C18" s="12" t="n"/>
      <c r="D18" s="2" t="n"/>
      <c r="E18" s="2" t="n"/>
      <c r="F18" s="9" t="inlineStr">
        <is>
          <t>DR</t>
        </is>
      </c>
      <c r="G18" s="2" t="n"/>
      <c r="H18" s="10" t="inlineStr">
        <is>
          <t>12%</t>
        </is>
      </c>
      <c r="I18" s="2" t="n"/>
    </row>
    <row r="19">
      <c r="A19" s="5" t="inlineStr">
        <is>
          <t>Right Arm</t>
        </is>
      </c>
      <c r="B19" s="8">
        <f>C6+4</f>
        <v/>
      </c>
      <c r="C19" s="1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Left Leg</t>
        </is>
      </c>
      <c r="B20" s="8">
        <f>C6+5</f>
        <v/>
      </c>
      <c r="C20" s="12" t="n"/>
      <c r="D20" s="2" t="n"/>
      <c r="E20" s="2" t="n"/>
      <c r="F20" s="9" t="inlineStr">
        <is>
          <t>DR</t>
        </is>
      </c>
      <c r="G20" s="2" t="n"/>
      <c r="H20" s="10" t="inlineStr">
        <is>
          <t>10%</t>
        </is>
      </c>
      <c r="I20" s="2" t="n"/>
    </row>
    <row r="21">
      <c r="A21" s="5" t="inlineStr">
        <is>
          <t>Right Leg</t>
        </is>
      </c>
      <c r="B21" s="8">
        <f>C6+5</f>
        <v/>
      </c>
      <c r="C21" s="1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3" t="inlineStr">
        <is>
          <t>Equipment &amp; Behavior</t>
        </is>
      </c>
      <c r="B22" s="11" t="n"/>
      <c r="C22" s="11" t="n"/>
      <c r="D22" s="11" t="n"/>
      <c r="E22" s="11" t="n"/>
      <c r="F22" s="11" t="n"/>
      <c r="G22" s="11" t="n"/>
      <c r="H22" s="11" t="n"/>
      <c r="I22" s="12" t="n"/>
    </row>
    <row r="23">
      <c r="A23" s="6" t="inlineStr">
        <is>
          <t>Weapon: DMR (1d10, Semi-Auto) + Tactical Knife (1d4+4)</t>
        </is>
      </c>
      <c r="B23" s="11" t="n"/>
      <c r="C23" s="11" t="n"/>
      <c r="D23" s="11" t="n"/>
      <c r="E23" s="11" t="n"/>
      <c r="F23" s="11" t="n"/>
      <c r="G23" s="11" t="n"/>
      <c r="H23" s="11" t="n"/>
      <c r="I23" s="12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A31" s="6" t="inlineStr">
        <is>
          <t>Armor: Soft Body Armor IIA (DR1) + Camouflage Suit (Stealth +2)</t>
        </is>
      </c>
      <c r="B31" s="11" t="n"/>
      <c r="C31" s="11" t="n"/>
      <c r="D31" s="11" t="n"/>
      <c r="E31" s="11" t="n"/>
      <c r="F31" s="11" t="n"/>
      <c r="G31" s="11" t="n"/>
      <c r="H31" s="11" t="n"/>
      <c r="I31" s="12" t="n"/>
    </row>
    <row r="32">
      <c r="C32" s="2" t="n"/>
    </row>
    <row r="33">
      <c r="D33" s="2" t="n"/>
    </row>
    <row r="34">
      <c r="E34" s="2" t="n"/>
    </row>
    <row r="35">
      <c r="F35" s="2" t="n"/>
    </row>
    <row r="36">
      <c r="G36" s="2" t="n"/>
    </row>
    <row r="37">
      <c r="H37" s="2" t="n"/>
    </row>
    <row r="38">
      <c r="I38" s="2" t="n"/>
    </row>
    <row r="39">
      <c r="A39" s="6" t="inlineStr">
        <is>
          <t>Special: Eagle Eye (Awareness range +20m); Stalker (Stealth movement no penalty)</t>
        </is>
      </c>
      <c r="B39" s="11" t="n"/>
      <c r="C39" s="11" t="n"/>
      <c r="D39" s="11" t="n"/>
      <c r="E39" s="11" t="n"/>
      <c r="F39" s="11" t="n"/>
      <c r="G39" s="11" t="n"/>
      <c r="H39" s="11" t="n"/>
      <c r="I39" s="12" t="n"/>
    </row>
    <row r="40">
      <c r="C40" s="2" t="n"/>
    </row>
    <row r="41">
      <c r="D41" s="2" t="n"/>
    </row>
    <row r="42">
      <c r="E42" s="2" t="n"/>
    </row>
    <row r="43">
      <c r="F43" s="2" t="n"/>
    </row>
    <row r="44">
      <c r="G44" s="2" t="n"/>
    </row>
    <row r="45">
      <c r="H45" s="2" t="n"/>
    </row>
    <row r="46">
      <c r="I46" s="2" t="n"/>
    </row>
    <row r="47">
      <c r="A47" s="6" t="inlineStr">
        <is>
          <t>Behavior: Front recon, mark enemies and supplies, radio alert on detecting threats</t>
        </is>
      </c>
      <c r="B47" s="11" t="n"/>
      <c r="C47" s="11" t="n"/>
      <c r="D47" s="11" t="n"/>
      <c r="E47" s="11" t="n"/>
      <c r="F47" s="11" t="n"/>
      <c r="G47" s="11" t="n"/>
      <c r="H47" s="11" t="n"/>
      <c r="I47" s="12" t="n"/>
    </row>
    <row r="48">
      <c r="C48" s="2" t="n"/>
    </row>
    <row r="49">
      <c r="D49" s="2" t="n"/>
    </row>
    <row r="50">
      <c r="E50" s="2" t="n"/>
    </row>
    <row r="51">
      <c r="F51" s="2" t="n"/>
    </row>
    <row r="52">
      <c r="G52" s="2" t="n"/>
    </row>
    <row r="53">
      <c r="H53" s="2" t="n"/>
    </row>
    <row r="54">
      <c r="I54" s="2" t="n"/>
    </row>
  </sheetData>
  <mergeCells count="48">
    <mergeCell ref="A7:I7"/>
    <mergeCell ref="A8"/>
    <mergeCell ref="B16:C16"/>
    <mergeCell ref="A17"/>
    <mergeCell ref="D3"/>
    <mergeCell ref="B3:C3"/>
    <mergeCell ref="D8"/>
    <mergeCell ref="A20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47:I47"/>
    <mergeCell ref="I6"/>
    <mergeCell ref="A14:I14"/>
    <mergeCell ref="A15"/>
    <mergeCell ref="A23:I23"/>
    <mergeCell ref="C6"/>
    <mergeCell ref="B17:C17"/>
    <mergeCell ref="A22:I22"/>
    <mergeCell ref="B8:C8"/>
    <mergeCell ref="A11"/>
    <mergeCell ref="B13:C13"/>
    <mergeCell ref="A6"/>
    <mergeCell ref="G8"/>
    <mergeCell ref="B19:C19"/>
    <mergeCell ref="B10:C10"/>
    <mergeCell ref="A9:I9"/>
    <mergeCell ref="A16"/>
    <mergeCell ref="A31:I31"/>
    <mergeCell ref="A39:I39"/>
    <mergeCell ref="G6"/>
    <mergeCell ref="A12"/>
    <mergeCell ref="B15:C15"/>
    <mergeCell ref="A18"/>
    <mergeCell ref="A3"/>
    <mergeCell ref="A21"/>
    <mergeCell ref="B20:C20"/>
    <mergeCell ref="A1:I1"/>
    <mergeCell ref="E6"/>
    <mergeCell ref="H8:I8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Companion Card - Medic-Angel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>
      <c r="A2" s="3" t="inlineStr">
        <is>
          <t>Basic Info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</row>
    <row r="3">
      <c r="A3" s="5" t="inlineStr">
        <is>
          <t>Companion Name</t>
        </is>
      </c>
      <c r="B3" s="6" t="inlineStr">
        <is>
          <t>Medic-Angel</t>
        </is>
      </c>
      <c r="C3" s="12" t="n"/>
      <c r="D3" s="5" t="inlineStr">
        <is>
          <t>Type</t>
        </is>
      </c>
      <c r="E3" s="6" t="inlineStr">
        <is>
          <t>NPC Companion</t>
        </is>
      </c>
      <c r="F3" s="12" t="n"/>
      <c r="G3" s="5" t="inlineStr">
        <is>
          <t>Role</t>
        </is>
      </c>
      <c r="H3" s="6" t="inlineStr">
        <is>
          <t>Medical / Support</t>
        </is>
      </c>
      <c r="I3" s="2" t="n"/>
    </row>
    <row r="4"/>
    <row r="5">
      <c r="A5" s="3" t="inlineStr">
        <is>
          <t>Five Attributes (1-10) [modify yellow cells to auto-recalculate HP]</t>
        </is>
      </c>
      <c r="B5" s="11" t="n"/>
      <c r="C5" s="11" t="n"/>
      <c r="D5" s="11" t="n"/>
      <c r="E5" s="11" t="n"/>
      <c r="F5" s="11" t="n"/>
      <c r="G5" s="11" t="n"/>
      <c r="H5" s="11" t="n"/>
      <c r="I5" s="12" t="n"/>
    </row>
    <row r="6">
      <c r="A6" s="5" t="inlineStr">
        <is>
          <t>Physique PHY</t>
        </is>
      </c>
      <c r="B6" s="7" t="n">
        <v>4</v>
      </c>
      <c r="C6" s="5" t="inlineStr">
        <is>
          <t>Precision PRC</t>
        </is>
      </c>
      <c r="D6" s="7" t="n">
        <v>3</v>
      </c>
      <c r="E6" s="5" t="inlineStr">
        <is>
          <t>Perception PER</t>
        </is>
      </c>
      <c r="F6" s="7" t="n">
        <v>5</v>
      </c>
      <c r="G6" s="5" t="inlineStr">
        <is>
          <t>Tech TEC</t>
        </is>
      </c>
      <c r="H6" s="7" t="n">
        <v>8</v>
      </c>
      <c r="I6" s="5" t="inlineStr">
        <is>
          <t>Courage CRG</t>
        </is>
      </c>
      <c r="J6" s="7" t="n">
        <v>7</v>
      </c>
    </row>
    <row r="7">
      <c r="A7" s="3" t="inlineStr">
        <is>
          <t>Derived Attributes (Auto-calculated)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>
      <c r="A8" s="5" t="inlineStr">
        <is>
          <t>Initiative</t>
        </is>
      </c>
      <c r="B8" s="8">
        <f>G6+E6</f>
        <v/>
      </c>
      <c r="C8" s="12" t="n"/>
      <c r="D8" s="5" t="inlineStr">
        <is>
          <t>Carry Capacity kg</t>
        </is>
      </c>
      <c r="E8" s="8">
        <f>C6*5</f>
        <v/>
      </c>
      <c r="F8" s="12" t="n"/>
      <c r="G8" s="5" t="inlineStr">
        <is>
          <t>Skill Point Reference</t>
        </is>
      </c>
      <c r="H8" s="8">
        <f>(I7+K7)*2</f>
        <v/>
      </c>
      <c r="I8" s="12" t="n"/>
    </row>
    <row r="9">
      <c r="A9" s="3" t="inlineStr">
        <is>
          <t>Skill Level</t>
        </is>
      </c>
      <c r="B9" s="11" t="n"/>
      <c r="C9" s="11" t="n"/>
      <c r="D9" s="11" t="n"/>
      <c r="E9" s="11" t="n"/>
      <c r="F9" s="11" t="n"/>
      <c r="G9" s="11" t="n"/>
      <c r="H9" s="11" t="n"/>
      <c r="I9" s="12" t="n"/>
    </row>
    <row r="10">
      <c r="A10" s="5" t="inlineStr">
        <is>
          <t>First Aid</t>
        </is>
      </c>
      <c r="B10" s="6" t="n">
        <v>5</v>
      </c>
      <c r="C10" s="12" t="n"/>
    </row>
    <row r="11">
      <c r="A11" s="5" t="inlineStr">
        <is>
          <t>Firearms</t>
        </is>
      </c>
      <c r="B11" s="6" t="n">
        <v>1</v>
      </c>
      <c r="C11" s="12" t="n"/>
    </row>
    <row r="12">
      <c r="A12" s="5" t="inlineStr">
        <is>
          <t>Awareness</t>
        </is>
      </c>
      <c r="B12" s="6" t="n">
        <v>2</v>
      </c>
      <c r="C12" s="12" t="n"/>
    </row>
    <row r="13">
      <c r="A13" s="5" t="inlineStr">
        <is>
          <t>Electronics</t>
        </is>
      </c>
      <c r="B13" s="6" t="n">
        <v>2</v>
      </c>
      <c r="C13" s="12" t="n"/>
    </row>
    <row r="14">
      <c r="A14" s="5" t="inlineStr">
        <is>
          <t>Willpower</t>
        </is>
      </c>
      <c r="B14" s="6" t="n">
        <v>4</v>
      </c>
      <c r="C14" s="12" t="n"/>
    </row>
    <row r="15">
      <c r="A15" s="3" t="inlineStr">
        <is>
          <t>Seven-Part HP (Auto-calculated)</t>
        </is>
      </c>
      <c r="B15" s="11" t="n"/>
      <c r="C15" s="11" t="n"/>
      <c r="D15" s="11" t="n"/>
      <c r="E15" s="11" t="n"/>
      <c r="F15" s="11" t="n"/>
      <c r="G15" s="11" t="n"/>
      <c r="H15" s="11" t="n"/>
      <c r="I15" s="12" t="n"/>
    </row>
    <row r="16">
      <c r="A16" s="5" t="inlineStr">
        <is>
          <t>Head</t>
        </is>
      </c>
      <c r="B16" s="8">
        <f>C6+6</f>
        <v/>
      </c>
      <c r="C16" s="12" t="n"/>
      <c r="D16" s="2" t="n"/>
      <c r="E16" s="2" t="n"/>
      <c r="F16" s="9" t="inlineStr">
        <is>
          <t>DR</t>
        </is>
      </c>
      <c r="G16" s="2" t="n"/>
      <c r="H16" s="10" t="inlineStr">
        <is>
          <t>5%</t>
        </is>
      </c>
      <c r="I16" s="2" t="n"/>
    </row>
    <row r="17">
      <c r="A17" s="5" t="inlineStr">
        <is>
          <t>Chest</t>
        </is>
      </c>
      <c r="B17" s="8">
        <f>C6*2+10</f>
        <v/>
      </c>
      <c r="C17" s="12" t="n"/>
      <c r="D17" s="2" t="n"/>
      <c r="E17" s="2" t="n"/>
      <c r="F17" s="9" t="inlineStr">
        <is>
          <t>DR</t>
        </is>
      </c>
      <c r="G17" s="2" t="n"/>
      <c r="H17" s="10" t="inlineStr">
        <is>
          <t>35%</t>
        </is>
      </c>
      <c r="I17" s="2" t="n"/>
    </row>
    <row r="18">
      <c r="A18" s="5" t="inlineStr">
        <is>
          <t>Abdomen</t>
        </is>
      </c>
      <c r="B18" s="8">
        <f>C6+8</f>
        <v/>
      </c>
      <c r="C18" s="12" t="n"/>
      <c r="D18" s="2" t="n"/>
      <c r="E18" s="2" t="n"/>
      <c r="F18" s="9" t="inlineStr">
        <is>
          <t>DR</t>
        </is>
      </c>
      <c r="G18" s="2" t="n"/>
      <c r="H18" s="10" t="inlineStr">
        <is>
          <t>15%</t>
        </is>
      </c>
      <c r="I18" s="2" t="n"/>
    </row>
    <row r="19">
      <c r="A19" s="5" t="inlineStr">
        <is>
          <t>Left Arm</t>
        </is>
      </c>
      <c r="B19" s="8">
        <f>C6+4</f>
        <v/>
      </c>
      <c r="C19" s="1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Right Arm</t>
        </is>
      </c>
      <c r="B20" s="8">
        <f>C6+4</f>
        <v/>
      </c>
      <c r="C20" s="12" t="n"/>
      <c r="D20" s="2" t="n"/>
      <c r="E20" s="2" t="n"/>
      <c r="F20" s="9" t="inlineStr">
        <is>
          <t>DR</t>
        </is>
      </c>
      <c r="G20" s="2" t="n"/>
      <c r="H20" s="10" t="inlineStr">
        <is>
          <t>12%</t>
        </is>
      </c>
      <c r="I20" s="2" t="n"/>
    </row>
    <row r="21">
      <c r="A21" s="5" t="inlineStr">
        <is>
          <t>Left Leg</t>
        </is>
      </c>
      <c r="B21" s="8">
        <f>C6+5</f>
        <v/>
      </c>
      <c r="C21" s="1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5" t="inlineStr">
        <is>
          <t>Right Leg</t>
        </is>
      </c>
      <c r="B22" s="8">
        <f>C6+5</f>
        <v/>
      </c>
      <c r="C22" s="12" t="n"/>
      <c r="D22" s="2" t="n"/>
      <c r="E22" s="2" t="n"/>
      <c r="F22" s="9" t="inlineStr">
        <is>
          <t>DR</t>
        </is>
      </c>
      <c r="G22" s="2" t="n"/>
      <c r="H22" s="10" t="inlineStr">
        <is>
          <t>10%</t>
        </is>
      </c>
      <c r="I22" s="2" t="n"/>
    </row>
    <row r="23">
      <c r="A23" s="3" t="inlineStr">
        <is>
          <t>Equipment &amp; Behavior</t>
        </is>
      </c>
      <c r="B23" s="11" t="n"/>
      <c r="C23" s="11" t="n"/>
      <c r="D23" s="11" t="n"/>
      <c r="E23" s="11" t="n"/>
      <c r="F23" s="11" t="n"/>
      <c r="G23" s="11" t="n"/>
      <c r="H23" s="11" t="n"/>
      <c r="I23" s="12" t="n"/>
    </row>
    <row r="24">
      <c r="A24" s="6" t="inlineStr">
        <is>
          <t>Weapon: Compact SMG (1d8) + First Aid Kit x5 + Military Medkit x2 + Adrenaline x2</t>
        </is>
      </c>
      <c r="B24" s="11" t="n"/>
      <c r="C24" s="11" t="n"/>
      <c r="D24" s="11" t="n"/>
      <c r="E24" s="11" t="n"/>
      <c r="F24" s="11" t="n"/>
      <c r="G24" s="11" t="n"/>
      <c r="H24" s="11" t="n"/>
      <c r="I24" s="12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A32" s="6" t="inlineStr">
        <is>
          <t>Armor: Soft Body Armor IIA (DR1)</t>
        </is>
      </c>
      <c r="B32" s="11" t="n"/>
      <c r="C32" s="11" t="n"/>
      <c r="D32" s="11" t="n"/>
      <c r="E32" s="11" t="n"/>
      <c r="F32" s="11" t="n"/>
      <c r="G32" s="11" t="n"/>
      <c r="H32" s="11" t="n"/>
      <c r="I32" s="12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A40" s="6" t="inlineStr">
        <is>
          <t>Special: First Aid Specialist (Recovery +1d6); Quick Hands (Reload is free action)</t>
        </is>
      </c>
      <c r="B40" s="11" t="n"/>
      <c r="C40" s="11" t="n"/>
      <c r="D40" s="11" t="n"/>
      <c r="E40" s="11" t="n"/>
      <c r="F40" s="11" t="n"/>
      <c r="G40" s="11" t="n"/>
      <c r="H40" s="11" t="n"/>
      <c r="I40" s="12" t="n"/>
    </row>
    <row r="41">
      <c r="C41" s="2" t="n"/>
    </row>
    <row r="42">
      <c r="D42" s="2" t="n"/>
    </row>
    <row r="43">
      <c r="E43" s="2" t="n"/>
    </row>
    <row r="44">
      <c r="F44" s="2" t="n"/>
    </row>
    <row r="45">
      <c r="G45" s="2" t="n"/>
    </row>
    <row r="46">
      <c r="H46" s="2" t="n"/>
    </row>
    <row r="47">
      <c r="I47" s="2" t="n"/>
    </row>
    <row r="48">
      <c r="A48" s="6" t="inlineStr">
        <is>
          <t>Behavior: Stay in rear, auto first-aid injured players, do not fire unless ordered</t>
        </is>
      </c>
      <c r="B48" s="11" t="n"/>
      <c r="C48" s="11" t="n"/>
      <c r="D48" s="11" t="n"/>
      <c r="E48" s="11" t="n"/>
      <c r="F48" s="11" t="n"/>
      <c r="G48" s="11" t="n"/>
      <c r="H48" s="11" t="n"/>
      <c r="I48" s="12" t="n"/>
    </row>
    <row r="49">
      <c r="C49" s="2" t="n"/>
    </row>
    <row r="50">
      <c r="D50" s="2" t="n"/>
    </row>
    <row r="51">
      <c r="E51" s="2" t="n"/>
    </row>
    <row r="52">
      <c r="F52" s="2" t="n"/>
    </row>
    <row r="53">
      <c r="G53" s="2" t="n"/>
    </row>
    <row r="54">
      <c r="H54" s="2" t="n"/>
    </row>
    <row r="55">
      <c r="I55" s="2" t="n"/>
    </row>
  </sheetData>
  <mergeCells count="50">
    <mergeCell ref="A7:I7"/>
    <mergeCell ref="A8"/>
    <mergeCell ref="A22"/>
    <mergeCell ref="B16:C16"/>
    <mergeCell ref="A17"/>
    <mergeCell ref="D3"/>
    <mergeCell ref="B3:C3"/>
    <mergeCell ref="D8"/>
    <mergeCell ref="A20"/>
    <mergeCell ref="B22:C22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32:I32"/>
    <mergeCell ref="I6"/>
    <mergeCell ref="A23:I23"/>
    <mergeCell ref="C6"/>
    <mergeCell ref="B14:C14"/>
    <mergeCell ref="B17:C17"/>
    <mergeCell ref="B8:C8"/>
    <mergeCell ref="A11"/>
    <mergeCell ref="B13:C13"/>
    <mergeCell ref="A6"/>
    <mergeCell ref="G8"/>
    <mergeCell ref="B19:C19"/>
    <mergeCell ref="B10:C10"/>
    <mergeCell ref="A40:I40"/>
    <mergeCell ref="A9:I9"/>
    <mergeCell ref="A16"/>
    <mergeCell ref="A48:I48"/>
    <mergeCell ref="G6"/>
    <mergeCell ref="A24:I24"/>
    <mergeCell ref="A15:I15"/>
    <mergeCell ref="A12"/>
    <mergeCell ref="A18"/>
    <mergeCell ref="A3"/>
    <mergeCell ref="A21"/>
    <mergeCell ref="B20:C20"/>
    <mergeCell ref="A1:I1"/>
    <mergeCell ref="E6"/>
    <mergeCell ref="H8:I8"/>
    <mergeCell ref="A14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Companion Card - Technician-Wrench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>
      <c r="A2" s="3" t="inlineStr">
        <is>
          <t>Basic Info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</row>
    <row r="3">
      <c r="A3" s="5" t="inlineStr">
        <is>
          <t>Companion Name</t>
        </is>
      </c>
      <c r="B3" s="6" t="inlineStr">
        <is>
          <t>Technician-Wrench</t>
        </is>
      </c>
      <c r="C3" s="12" t="n"/>
      <c r="D3" s="5" t="inlineStr">
        <is>
          <t>Type</t>
        </is>
      </c>
      <c r="E3" s="6" t="inlineStr">
        <is>
          <t>NPC Companion</t>
        </is>
      </c>
      <c r="F3" s="12" t="n"/>
      <c r="G3" s="5" t="inlineStr">
        <is>
          <t>Role</t>
        </is>
      </c>
      <c r="H3" s="6" t="inlineStr">
        <is>
          <t>Tech / Lockpick / Demolition</t>
        </is>
      </c>
      <c r="I3" s="2" t="n"/>
    </row>
    <row r="4"/>
    <row r="5">
      <c r="A5" s="3" t="inlineStr">
        <is>
          <t>Five Attributes (1-10) [modify yellow cells to auto-recalculate HP]</t>
        </is>
      </c>
      <c r="B5" s="11" t="n"/>
      <c r="C5" s="11" t="n"/>
      <c r="D5" s="11" t="n"/>
      <c r="E5" s="11" t="n"/>
      <c r="F5" s="11" t="n"/>
      <c r="G5" s="11" t="n"/>
      <c r="H5" s="11" t="n"/>
      <c r="I5" s="12" t="n"/>
    </row>
    <row r="6">
      <c r="A6" s="5" t="inlineStr">
        <is>
          <t>Physique PHY</t>
        </is>
      </c>
      <c r="B6" s="7" t="n">
        <v>5</v>
      </c>
      <c r="C6" s="5" t="inlineStr">
        <is>
          <t>Precision PRC</t>
        </is>
      </c>
      <c r="D6" s="7" t="n">
        <v>4</v>
      </c>
      <c r="E6" s="5" t="inlineStr">
        <is>
          <t>Perception PER</t>
        </is>
      </c>
      <c r="F6" s="7" t="n">
        <v>5</v>
      </c>
      <c r="G6" s="5" t="inlineStr">
        <is>
          <t>Tech TEC</t>
        </is>
      </c>
      <c r="H6" s="7" t="n">
        <v>8</v>
      </c>
      <c r="I6" s="5" t="inlineStr">
        <is>
          <t>Courage CRG</t>
        </is>
      </c>
      <c r="J6" s="7" t="n">
        <v>5</v>
      </c>
    </row>
    <row r="7">
      <c r="A7" s="3" t="inlineStr">
        <is>
          <t>Derived Attributes (Auto-calculated)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>
      <c r="A8" s="5" t="inlineStr">
        <is>
          <t>Initiative</t>
        </is>
      </c>
      <c r="B8" s="8">
        <f>G6+E6</f>
        <v/>
      </c>
      <c r="C8" s="12" t="n"/>
      <c r="D8" s="5" t="inlineStr">
        <is>
          <t>Carry Capacity kg</t>
        </is>
      </c>
      <c r="E8" s="8">
        <f>C6*5</f>
        <v/>
      </c>
      <c r="F8" s="12" t="n"/>
      <c r="G8" s="5" t="inlineStr">
        <is>
          <t>Skill Point Reference</t>
        </is>
      </c>
      <c r="H8" s="8">
        <f>(I7+K7)*2</f>
        <v/>
      </c>
      <c r="I8" s="12" t="n"/>
    </row>
    <row r="9">
      <c r="A9" s="3" t="inlineStr">
        <is>
          <t>Skill Level</t>
        </is>
      </c>
      <c r="B9" s="11" t="n"/>
      <c r="C9" s="11" t="n"/>
      <c r="D9" s="11" t="n"/>
      <c r="E9" s="11" t="n"/>
      <c r="F9" s="11" t="n"/>
      <c r="G9" s="11" t="n"/>
      <c r="H9" s="11" t="n"/>
      <c r="I9" s="12" t="n"/>
    </row>
    <row r="10">
      <c r="A10" s="5" t="inlineStr">
        <is>
          <t>Electronics</t>
        </is>
      </c>
      <c r="B10" s="6" t="n">
        <v>4</v>
      </c>
      <c r="C10" s="12" t="n"/>
    </row>
    <row r="11">
      <c r="A11" s="5" t="inlineStr">
        <is>
          <t>Lockpicking</t>
        </is>
      </c>
      <c r="B11" s="6" t="n">
        <v>4</v>
      </c>
      <c r="C11" s="12" t="n"/>
    </row>
    <row r="12">
      <c r="A12" s="5" t="inlineStr">
        <is>
          <t>Mechanics</t>
        </is>
      </c>
      <c r="B12" s="6" t="n">
        <v>4</v>
      </c>
      <c r="C12" s="12" t="n"/>
    </row>
    <row r="13">
      <c r="A13" s="5" t="inlineStr">
        <is>
          <t>Firearms</t>
        </is>
      </c>
      <c r="B13" s="6" t="n">
        <v>2</v>
      </c>
      <c r="C13" s="12" t="n"/>
    </row>
    <row r="14">
      <c r="A14" s="5" t="inlineStr">
        <is>
          <t>Crafting</t>
        </is>
      </c>
      <c r="B14" s="6" t="n">
        <v>3</v>
      </c>
      <c r="C14" s="12" t="n"/>
    </row>
    <row r="15">
      <c r="A15" s="3" t="inlineStr">
        <is>
          <t>Seven-Part HP (Auto-calculated)</t>
        </is>
      </c>
      <c r="B15" s="11" t="n"/>
      <c r="C15" s="11" t="n"/>
      <c r="D15" s="11" t="n"/>
      <c r="E15" s="11" t="n"/>
      <c r="F15" s="11" t="n"/>
      <c r="G15" s="11" t="n"/>
      <c r="H15" s="11" t="n"/>
      <c r="I15" s="12" t="n"/>
    </row>
    <row r="16">
      <c r="A16" s="5" t="inlineStr">
        <is>
          <t>Head</t>
        </is>
      </c>
      <c r="B16" s="8">
        <f>C6+6</f>
        <v/>
      </c>
      <c r="C16" s="12" t="n"/>
      <c r="D16" s="2" t="n"/>
      <c r="E16" s="2" t="n"/>
      <c r="F16" s="9" t="inlineStr">
        <is>
          <t>DR</t>
        </is>
      </c>
      <c r="G16" s="2" t="n"/>
      <c r="H16" s="10" t="inlineStr">
        <is>
          <t>5%</t>
        </is>
      </c>
      <c r="I16" s="2" t="n"/>
    </row>
    <row r="17">
      <c r="A17" s="5" t="inlineStr">
        <is>
          <t>Chest</t>
        </is>
      </c>
      <c r="B17" s="8">
        <f>C6*2+10</f>
        <v/>
      </c>
      <c r="C17" s="12" t="n"/>
      <c r="D17" s="2" t="n"/>
      <c r="E17" s="2" t="n"/>
      <c r="F17" s="9" t="inlineStr">
        <is>
          <t>DR</t>
        </is>
      </c>
      <c r="G17" s="2" t="n"/>
      <c r="H17" s="10" t="inlineStr">
        <is>
          <t>35%</t>
        </is>
      </c>
      <c r="I17" s="2" t="n"/>
    </row>
    <row r="18">
      <c r="A18" s="5" t="inlineStr">
        <is>
          <t>Abdomen</t>
        </is>
      </c>
      <c r="B18" s="8">
        <f>C6+8</f>
        <v/>
      </c>
      <c r="C18" s="12" t="n"/>
      <c r="D18" s="2" t="n"/>
      <c r="E18" s="2" t="n"/>
      <c r="F18" s="9" t="inlineStr">
        <is>
          <t>DR</t>
        </is>
      </c>
      <c r="G18" s="2" t="n"/>
      <c r="H18" s="10" t="inlineStr">
        <is>
          <t>15%</t>
        </is>
      </c>
      <c r="I18" s="2" t="n"/>
    </row>
    <row r="19">
      <c r="A19" s="5" t="inlineStr">
        <is>
          <t>Left Arm</t>
        </is>
      </c>
      <c r="B19" s="8">
        <f>C6+4</f>
        <v/>
      </c>
      <c r="C19" s="1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Right Arm</t>
        </is>
      </c>
      <c r="B20" s="8">
        <f>C6+4</f>
        <v/>
      </c>
      <c r="C20" s="12" t="n"/>
      <c r="D20" s="2" t="n"/>
      <c r="E20" s="2" t="n"/>
      <c r="F20" s="9" t="inlineStr">
        <is>
          <t>DR</t>
        </is>
      </c>
      <c r="G20" s="2" t="n"/>
      <c r="H20" s="10" t="inlineStr">
        <is>
          <t>12%</t>
        </is>
      </c>
      <c r="I20" s="2" t="n"/>
    </row>
    <row r="21">
      <c r="A21" s="5" t="inlineStr">
        <is>
          <t>Left Leg</t>
        </is>
      </c>
      <c r="B21" s="8">
        <f>C6+5</f>
        <v/>
      </c>
      <c r="C21" s="1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5" t="inlineStr">
        <is>
          <t>Right Leg</t>
        </is>
      </c>
      <c r="B22" s="8">
        <f>C6+5</f>
        <v/>
      </c>
      <c r="C22" s="12" t="n"/>
      <c r="D22" s="2" t="n"/>
      <c r="E22" s="2" t="n"/>
      <c r="F22" s="9" t="inlineStr">
        <is>
          <t>DR</t>
        </is>
      </c>
      <c r="G22" s="2" t="n"/>
      <c r="H22" s="10" t="inlineStr">
        <is>
          <t>10%</t>
        </is>
      </c>
      <c r="I22" s="2" t="n"/>
    </row>
    <row r="23">
      <c r="A23" s="3" t="inlineStr">
        <is>
          <t>Equipment &amp; Behavior</t>
        </is>
      </c>
      <c r="B23" s="11" t="n"/>
      <c r="C23" s="11" t="n"/>
      <c r="D23" s="11" t="n"/>
      <c r="E23" s="11" t="n"/>
      <c r="F23" s="11" t="n"/>
      <c r="G23" s="11" t="n"/>
      <c r="H23" s="11" t="n"/>
      <c r="I23" s="12" t="n"/>
    </row>
    <row r="24">
      <c r="A24" s="6" t="inlineStr">
        <is>
          <t>Weapon: Survivor Carbine (1d8) + Electronic Decoder + Lockpick Tools + C4 x1</t>
        </is>
      </c>
      <c r="B24" s="11" t="n"/>
      <c r="C24" s="11" t="n"/>
      <c r="D24" s="11" t="n"/>
      <c r="E24" s="11" t="n"/>
      <c r="F24" s="11" t="n"/>
      <c r="G24" s="11" t="n"/>
      <c r="H24" s="11" t="n"/>
      <c r="I24" s="12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A32" s="6" t="inlineStr">
        <is>
          <t>Armor: Heavy Coat (DR1)</t>
        </is>
      </c>
      <c r="B32" s="11" t="n"/>
      <c r="C32" s="11" t="n"/>
      <c r="D32" s="11" t="n"/>
      <c r="E32" s="11" t="n"/>
      <c r="F32" s="11" t="n"/>
      <c r="G32" s="11" t="n"/>
      <c r="H32" s="11" t="n"/>
      <c r="I32" s="12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A40" s="6" t="inlineStr">
        <is>
          <t>Special: Demolition Expert (+1d6 Explosion); Quick Hands (Reload is free action)</t>
        </is>
      </c>
      <c r="B40" s="11" t="n"/>
      <c r="C40" s="11" t="n"/>
      <c r="D40" s="11" t="n"/>
      <c r="E40" s="11" t="n"/>
      <c r="F40" s="11" t="n"/>
      <c r="G40" s="11" t="n"/>
      <c r="H40" s="11" t="n"/>
      <c r="I40" s="12" t="n"/>
    </row>
    <row r="41">
      <c r="C41" s="2" t="n"/>
    </row>
    <row r="42">
      <c r="D42" s="2" t="n"/>
    </row>
    <row r="43">
      <c r="E43" s="2" t="n"/>
    </row>
    <row r="44">
      <c r="F44" s="2" t="n"/>
    </row>
    <row r="45">
      <c r="G45" s="2" t="n"/>
    </row>
    <row r="46">
      <c r="H46" s="2" t="n"/>
    </row>
    <row r="47">
      <c r="I47" s="2" t="n"/>
    </row>
    <row r="48">
      <c r="A48" s="6" t="inlineStr">
        <is>
          <t>Behavior: Handle all Tech checks (Lockpick/Electronics/Demolition), only fight when player commands</t>
        </is>
      </c>
      <c r="B48" s="11" t="n"/>
      <c r="C48" s="11" t="n"/>
      <c r="D48" s="11" t="n"/>
      <c r="E48" s="11" t="n"/>
      <c r="F48" s="11" t="n"/>
      <c r="G48" s="11" t="n"/>
      <c r="H48" s="11" t="n"/>
      <c r="I48" s="12" t="n"/>
    </row>
    <row r="49">
      <c r="C49" s="2" t="n"/>
    </row>
    <row r="50">
      <c r="D50" s="2" t="n"/>
    </row>
    <row r="51">
      <c r="E51" s="2" t="n"/>
    </row>
    <row r="52">
      <c r="F52" s="2" t="n"/>
    </row>
    <row r="53">
      <c r="G53" s="2" t="n"/>
    </row>
    <row r="54">
      <c r="H54" s="2" t="n"/>
    </row>
    <row r="55">
      <c r="I55" s="2" t="n"/>
    </row>
  </sheetData>
  <mergeCells count="50">
    <mergeCell ref="A7:I7"/>
    <mergeCell ref="A8"/>
    <mergeCell ref="A22"/>
    <mergeCell ref="B16:C16"/>
    <mergeCell ref="A17"/>
    <mergeCell ref="D3"/>
    <mergeCell ref="B3:C3"/>
    <mergeCell ref="D8"/>
    <mergeCell ref="A20"/>
    <mergeCell ref="B22:C22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32:I32"/>
    <mergeCell ref="I6"/>
    <mergeCell ref="A23:I23"/>
    <mergeCell ref="C6"/>
    <mergeCell ref="B14:C14"/>
    <mergeCell ref="B17:C17"/>
    <mergeCell ref="B8:C8"/>
    <mergeCell ref="A11"/>
    <mergeCell ref="B13:C13"/>
    <mergeCell ref="A6"/>
    <mergeCell ref="G8"/>
    <mergeCell ref="B19:C19"/>
    <mergeCell ref="B10:C10"/>
    <mergeCell ref="A40:I40"/>
    <mergeCell ref="A9:I9"/>
    <mergeCell ref="A16"/>
    <mergeCell ref="A48:I48"/>
    <mergeCell ref="G6"/>
    <mergeCell ref="A24:I24"/>
    <mergeCell ref="A15:I15"/>
    <mergeCell ref="A12"/>
    <mergeCell ref="A18"/>
    <mergeCell ref="A3"/>
    <mergeCell ref="A21"/>
    <mergeCell ref="B20:C20"/>
    <mergeCell ref="A1:I1"/>
    <mergeCell ref="E6"/>
    <mergeCell ref="H8:I8"/>
    <mergeCell ref="A14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Companion Card - All-Rounder-Lucky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>
      <c r="A2" s="3" t="inlineStr">
        <is>
          <t>Basic Info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</row>
    <row r="3">
      <c r="A3" s="5" t="inlineStr">
        <is>
          <t>Companion Name</t>
        </is>
      </c>
      <c r="B3" s="6" t="inlineStr">
        <is>
          <t>All-Rounder-Lucky</t>
        </is>
      </c>
      <c r="C3" s="12" t="n"/>
      <c r="D3" s="5" t="inlineStr">
        <is>
          <t>Type</t>
        </is>
      </c>
      <c r="E3" s="6" t="inlineStr">
        <is>
          <t>NPC Companion</t>
        </is>
      </c>
      <c r="F3" s="12" t="n"/>
      <c r="G3" s="5" t="inlineStr">
        <is>
          <t>Role</t>
        </is>
      </c>
      <c r="H3" s="6" t="inlineStr">
        <is>
          <t>Versatile Backup</t>
        </is>
      </c>
      <c r="I3" s="2" t="n"/>
    </row>
    <row r="4"/>
    <row r="5">
      <c r="A5" s="3" t="inlineStr">
        <is>
          <t>Five Attributes (1-10) [modify yellow cells to auto-recalculate HP]</t>
        </is>
      </c>
      <c r="B5" s="11" t="n"/>
      <c r="C5" s="11" t="n"/>
      <c r="D5" s="11" t="n"/>
      <c r="E5" s="11" t="n"/>
      <c r="F5" s="11" t="n"/>
      <c r="G5" s="11" t="n"/>
      <c r="H5" s="11" t="n"/>
      <c r="I5" s="12" t="n"/>
    </row>
    <row r="6">
      <c r="A6" s="5" t="inlineStr">
        <is>
          <t>Physique PHY</t>
        </is>
      </c>
      <c r="B6" s="7" t="n">
        <v>5</v>
      </c>
      <c r="C6" s="5" t="inlineStr">
        <is>
          <t>Precision PRC</t>
        </is>
      </c>
      <c r="D6" s="7" t="n">
        <v>5</v>
      </c>
      <c r="E6" s="5" t="inlineStr">
        <is>
          <t>Perception PER</t>
        </is>
      </c>
      <c r="F6" s="7" t="n">
        <v>5</v>
      </c>
      <c r="G6" s="5" t="inlineStr">
        <is>
          <t>Tech TEC</t>
        </is>
      </c>
      <c r="H6" s="7" t="n">
        <v>5</v>
      </c>
      <c r="I6" s="5" t="inlineStr">
        <is>
          <t>Courage CRG</t>
        </is>
      </c>
      <c r="J6" s="7" t="n">
        <v>7</v>
      </c>
    </row>
    <row r="7">
      <c r="A7" s="3" t="inlineStr">
        <is>
          <t>Derived Attributes (Auto-calculated)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>
      <c r="A8" s="5" t="inlineStr">
        <is>
          <t>Initiative</t>
        </is>
      </c>
      <c r="B8" s="8">
        <f>G6+E6</f>
        <v/>
      </c>
      <c r="C8" s="12" t="n"/>
      <c r="D8" s="5" t="inlineStr">
        <is>
          <t>Carry Capacity kg</t>
        </is>
      </c>
      <c r="E8" s="8">
        <f>C6*5</f>
        <v/>
      </c>
      <c r="F8" s="12" t="n"/>
      <c r="G8" s="5" t="inlineStr">
        <is>
          <t>Skill Point Reference</t>
        </is>
      </c>
      <c r="H8" s="8">
        <f>(I7+K7)*2</f>
        <v/>
      </c>
      <c r="I8" s="12" t="n"/>
    </row>
    <row r="9">
      <c r="A9" s="3" t="inlineStr">
        <is>
          <t>Skill Level</t>
        </is>
      </c>
      <c r="B9" s="11" t="n"/>
      <c r="C9" s="11" t="n"/>
      <c r="D9" s="11" t="n"/>
      <c r="E9" s="11" t="n"/>
      <c r="F9" s="11" t="n"/>
      <c r="G9" s="11" t="n"/>
      <c r="H9" s="11" t="n"/>
      <c r="I9" s="12" t="n"/>
    </row>
    <row r="10">
      <c r="A10" s="5" t="inlineStr">
        <is>
          <t>Firearms</t>
        </is>
      </c>
      <c r="B10" s="6" t="n">
        <v>3</v>
      </c>
      <c r="C10" s="12" t="n"/>
    </row>
    <row r="11">
      <c r="A11" s="5" t="inlineStr">
        <is>
          <t>Melee</t>
        </is>
      </c>
      <c r="B11" s="6" t="n">
        <v>2</v>
      </c>
      <c r="C11" s="12" t="n"/>
    </row>
    <row r="12">
      <c r="A12" s="5" t="inlineStr">
        <is>
          <t>Awareness</t>
        </is>
      </c>
      <c r="B12" s="6" t="n">
        <v>3</v>
      </c>
      <c r="C12" s="12" t="n"/>
    </row>
    <row r="13">
      <c r="A13" s="5" t="inlineStr">
        <is>
          <t>First Aid</t>
        </is>
      </c>
      <c r="B13" s="6" t="n">
        <v>2</v>
      </c>
      <c r="C13" s="12" t="n"/>
    </row>
    <row r="14">
      <c r="A14" s="5" t="inlineStr">
        <is>
          <t>Survival</t>
        </is>
      </c>
      <c r="B14" s="6" t="n">
        <v>2</v>
      </c>
      <c r="C14" s="12" t="n"/>
    </row>
    <row r="15">
      <c r="A15" s="3" t="inlineStr">
        <is>
          <t>Seven-Part HP (Auto-calculated)</t>
        </is>
      </c>
      <c r="B15" s="11" t="n"/>
      <c r="C15" s="11" t="n"/>
      <c r="D15" s="11" t="n"/>
      <c r="E15" s="11" t="n"/>
      <c r="F15" s="11" t="n"/>
      <c r="G15" s="11" t="n"/>
      <c r="H15" s="11" t="n"/>
      <c r="I15" s="12" t="n"/>
    </row>
    <row r="16">
      <c r="A16" s="5" t="inlineStr">
        <is>
          <t>Head</t>
        </is>
      </c>
      <c r="B16" s="8">
        <f>C6+6</f>
        <v/>
      </c>
      <c r="C16" s="12" t="n"/>
      <c r="D16" s="2" t="n"/>
      <c r="E16" s="2" t="n"/>
      <c r="F16" s="9" t="inlineStr">
        <is>
          <t>DR</t>
        </is>
      </c>
      <c r="G16" s="2" t="n"/>
      <c r="H16" s="10" t="inlineStr">
        <is>
          <t>5%</t>
        </is>
      </c>
      <c r="I16" s="2" t="n"/>
    </row>
    <row r="17">
      <c r="A17" s="5" t="inlineStr">
        <is>
          <t>Chest</t>
        </is>
      </c>
      <c r="B17" s="8">
        <f>C6*2+10</f>
        <v/>
      </c>
      <c r="C17" s="12" t="n"/>
      <c r="D17" s="2" t="n"/>
      <c r="E17" s="2" t="n"/>
      <c r="F17" s="9" t="inlineStr">
        <is>
          <t>DR</t>
        </is>
      </c>
      <c r="G17" s="2" t="n"/>
      <c r="H17" s="10" t="inlineStr">
        <is>
          <t>35%</t>
        </is>
      </c>
      <c r="I17" s="2" t="n"/>
    </row>
    <row r="18">
      <c r="A18" s="5" t="inlineStr">
        <is>
          <t>Abdomen</t>
        </is>
      </c>
      <c r="B18" s="8">
        <f>C6+8</f>
        <v/>
      </c>
      <c r="C18" s="12" t="n"/>
      <c r="D18" s="2" t="n"/>
      <c r="E18" s="2" t="n"/>
      <c r="F18" s="9" t="inlineStr">
        <is>
          <t>DR</t>
        </is>
      </c>
      <c r="G18" s="2" t="n"/>
      <c r="H18" s="10" t="inlineStr">
        <is>
          <t>15%</t>
        </is>
      </c>
      <c r="I18" s="2" t="n"/>
    </row>
    <row r="19">
      <c r="A19" s="5" t="inlineStr">
        <is>
          <t>Left Arm</t>
        </is>
      </c>
      <c r="B19" s="8">
        <f>C6+4</f>
        <v/>
      </c>
      <c r="C19" s="1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Right Arm</t>
        </is>
      </c>
      <c r="B20" s="8">
        <f>C6+4</f>
        <v/>
      </c>
      <c r="C20" s="12" t="n"/>
      <c r="D20" s="2" t="n"/>
      <c r="E20" s="2" t="n"/>
      <c r="F20" s="9" t="inlineStr">
        <is>
          <t>DR</t>
        </is>
      </c>
      <c r="G20" s="2" t="n"/>
      <c r="H20" s="10" t="inlineStr">
        <is>
          <t>12%</t>
        </is>
      </c>
      <c r="I20" s="2" t="n"/>
    </row>
    <row r="21">
      <c r="A21" s="5" t="inlineStr">
        <is>
          <t>Left Leg</t>
        </is>
      </c>
      <c r="B21" s="8">
        <f>C6+5</f>
        <v/>
      </c>
      <c r="C21" s="1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5" t="inlineStr">
        <is>
          <t>Right Leg</t>
        </is>
      </c>
      <c r="B22" s="8">
        <f>C6+5</f>
        <v/>
      </c>
      <c r="C22" s="12" t="n"/>
      <c r="D22" s="2" t="n"/>
      <c r="E22" s="2" t="n"/>
      <c r="F22" s="9" t="inlineStr">
        <is>
          <t>DR</t>
        </is>
      </c>
      <c r="G22" s="2" t="n"/>
      <c r="H22" s="10" t="inlineStr">
        <is>
          <t>10%</t>
        </is>
      </c>
      <c r="I22" s="2" t="n"/>
    </row>
    <row r="23">
      <c r="A23" s="3" t="inlineStr">
        <is>
          <t>Equipment &amp; Behavior</t>
        </is>
      </c>
      <c r="B23" s="11" t="n"/>
      <c r="C23" s="11" t="n"/>
      <c r="D23" s="11" t="n"/>
      <c r="E23" s="11" t="n"/>
      <c r="F23" s="11" t="n"/>
      <c r="G23" s="11" t="n"/>
      <c r="H23" s="11" t="n"/>
      <c r="I23" s="12" t="n"/>
    </row>
    <row r="24">
      <c r="A24" s="6" t="inlineStr">
        <is>
          <t>Weapon: Military SMG (1d8) + First Aid Kit x3 + Multi-tool</t>
        </is>
      </c>
      <c r="B24" s="11" t="n"/>
      <c r="C24" s="11" t="n"/>
      <c r="D24" s="11" t="n"/>
      <c r="E24" s="11" t="n"/>
      <c r="F24" s="11" t="n"/>
      <c r="G24" s="11" t="n"/>
      <c r="H24" s="11" t="n"/>
      <c r="I24" s="12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A32" s="6" t="inlineStr">
        <is>
          <t>Armor: Soft Body Armor IIA (DR1) + Kevlar Helmet (DR1)</t>
        </is>
      </c>
      <c r="B32" s="11" t="n"/>
      <c r="C32" s="11" t="n"/>
      <c r="D32" s="11" t="n"/>
      <c r="E32" s="11" t="n"/>
      <c r="F32" s="11" t="n"/>
      <c r="G32" s="11" t="n"/>
      <c r="H32" s="11" t="n"/>
      <c r="I32" s="12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A40" s="6" t="inlineStr">
        <is>
          <t>Special: Survival Instinct (once/day cheat death); Backpacker (+10kg Carry Capacity)</t>
        </is>
      </c>
      <c r="B40" s="11" t="n"/>
      <c r="C40" s="11" t="n"/>
      <c r="D40" s="11" t="n"/>
      <c r="E40" s="11" t="n"/>
      <c r="F40" s="11" t="n"/>
      <c r="G40" s="11" t="n"/>
      <c r="H40" s="11" t="n"/>
      <c r="I40" s="12" t="n"/>
    </row>
    <row r="41">
      <c r="C41" s="2" t="n"/>
    </row>
    <row r="42">
      <c r="D42" s="2" t="n"/>
    </row>
    <row r="43">
      <c r="E43" s="2" t="n"/>
    </row>
    <row r="44">
      <c r="F44" s="2" t="n"/>
    </row>
    <row r="45">
      <c r="G45" s="2" t="n"/>
    </row>
    <row r="46">
      <c r="H46" s="2" t="n"/>
    </row>
    <row r="47">
      <c r="I47" s="2" t="n"/>
    </row>
    <row r="48">
      <c r="A48" s="6" t="inlineStr">
        <is>
          <t>Behavior: Versatile backup, fills player's weak spots. Can be assigned any task</t>
        </is>
      </c>
      <c r="B48" s="11" t="n"/>
      <c r="C48" s="11" t="n"/>
      <c r="D48" s="11" t="n"/>
      <c r="E48" s="11" t="n"/>
      <c r="F48" s="11" t="n"/>
      <c r="G48" s="11" t="n"/>
      <c r="H48" s="11" t="n"/>
      <c r="I48" s="12" t="n"/>
    </row>
    <row r="49">
      <c r="C49" s="2" t="n"/>
    </row>
    <row r="50">
      <c r="D50" s="2" t="n"/>
    </row>
    <row r="51">
      <c r="E51" s="2" t="n"/>
    </row>
    <row r="52">
      <c r="F52" s="2" t="n"/>
    </row>
    <row r="53">
      <c r="G53" s="2" t="n"/>
    </row>
    <row r="54">
      <c r="H54" s="2" t="n"/>
    </row>
    <row r="55">
      <c r="I55" s="2" t="n"/>
    </row>
  </sheetData>
  <mergeCells count="50">
    <mergeCell ref="A7:I7"/>
    <mergeCell ref="A8"/>
    <mergeCell ref="A22"/>
    <mergeCell ref="B16:C16"/>
    <mergeCell ref="A17"/>
    <mergeCell ref="D3"/>
    <mergeCell ref="B3:C3"/>
    <mergeCell ref="D8"/>
    <mergeCell ref="A20"/>
    <mergeCell ref="B22:C22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32:I32"/>
    <mergeCell ref="I6"/>
    <mergeCell ref="A23:I23"/>
    <mergeCell ref="C6"/>
    <mergeCell ref="B14:C14"/>
    <mergeCell ref="B17:C17"/>
    <mergeCell ref="B8:C8"/>
    <mergeCell ref="A11"/>
    <mergeCell ref="B13:C13"/>
    <mergeCell ref="A6"/>
    <mergeCell ref="G8"/>
    <mergeCell ref="B19:C19"/>
    <mergeCell ref="B10:C10"/>
    <mergeCell ref="A40:I40"/>
    <mergeCell ref="A9:I9"/>
    <mergeCell ref="A16"/>
    <mergeCell ref="A48:I48"/>
    <mergeCell ref="G6"/>
    <mergeCell ref="A24:I24"/>
    <mergeCell ref="A15:I15"/>
    <mergeCell ref="A12"/>
    <mergeCell ref="A18"/>
    <mergeCell ref="A3"/>
    <mergeCell ref="A21"/>
    <mergeCell ref="B20:C20"/>
    <mergeCell ref="A1:I1"/>
    <mergeCell ref="E6"/>
    <mergeCell ref="H8:I8"/>
    <mergeCell ref="A1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2026-06-28T17:19:07Z</dcterms:created>
  <dcterms:modified xsi:type="dcterms:W3CDTF">2026-08-09T19:01:43Z</dcterms:modified>
</cp:coreProperties>
</file>