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sz val="8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Search, Attack, Retreat TRPG Enemy Data Card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2" t="n"/>
    </row>
    <row r="2">
      <c r="A2" s="3" t="inlineStr">
        <is>
          <t>Basic Info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5" t="inlineStr">
        <is>
          <t>Enemy Name</t>
        </is>
      </c>
      <c r="B3" s="6" t="inlineStr"/>
      <c r="C3" s="12" t="n"/>
      <c r="D3" s="5" t="inlineStr">
        <is>
          <t>Type</t>
        </is>
      </c>
      <c r="E3" s="6" t="inlineStr"/>
      <c r="F3" s="12" t="n"/>
      <c r="G3" s="5" t="inlineStr">
        <is>
          <t>Threat Value</t>
        </is>
      </c>
      <c r="H3" s="6" t="inlineStr"/>
      <c r="I3" s="5" t="inlineStr">
        <is>
          <t>Appearance Scenario</t>
        </is>
      </c>
      <c r="J3" s="2" t="n"/>
      <c r="K3" s="2" t="n"/>
    </row>
    <row r="4">
      <c r="A4" s="3" t="inlineStr">
        <is>
          <t>Five Attributes (1-10) [Manual Input]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5" t="inlineStr">
        <is>
          <t>Physique (PHY)</t>
        </is>
      </c>
      <c r="B5" s="7" t="n"/>
      <c r="C5" s="5" t="inlineStr">
        <is>
          <t>Precision (PRC)</t>
        </is>
      </c>
      <c r="D5" s="7" t="n"/>
      <c r="E5" s="5" t="inlineStr">
        <is>
          <t>Perception (PER)</t>
        </is>
      </c>
      <c r="F5" s="7" t="n"/>
      <c r="G5" s="5" t="inlineStr">
        <is>
          <t>Tech (TEC)</t>
        </is>
      </c>
      <c r="H5" s="7" t="n"/>
      <c r="I5" s="5" t="inlineStr">
        <is>
          <t>Courage (CRG)</t>
        </is>
      </c>
      <c r="J5" s="7" t="n"/>
    </row>
    <row r="6">
      <c r="A6" s="3" t="inlineStr">
        <is>
          <t>Skill Level (0-5) [Manual Input]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2" t="n"/>
    </row>
    <row r="7">
      <c r="A7" s="8" t="inlineStr">
        <is>
          <t>Firearms</t>
        </is>
      </c>
      <c r="B7" s="9" t="n"/>
      <c r="C7" s="8" t="inlineStr">
        <is>
          <t>Melee</t>
        </is>
      </c>
      <c r="D7" s="9" t="n"/>
      <c r="E7" s="8" t="inlineStr">
        <is>
          <t>Throwing</t>
        </is>
      </c>
      <c r="F7" s="9" t="n"/>
      <c r="G7" s="8" t="inlineStr">
        <is>
          <t>Heavy Weapons</t>
        </is>
      </c>
      <c r="H7" s="9" t="n"/>
      <c r="I7" s="8" t="inlineStr">
        <is>
          <t>Awareness</t>
        </is>
      </c>
      <c r="J7" s="9" t="n"/>
    </row>
    <row r="8">
      <c r="A8" s="8" t="inlineStr">
        <is>
          <t>Stealth</t>
        </is>
      </c>
      <c r="B8" s="9" t="n"/>
      <c r="C8" s="8" t="inlineStr">
        <is>
          <t>Tracking</t>
        </is>
      </c>
      <c r="D8" s="9" t="n"/>
      <c r="E8" s="8" t="inlineStr">
        <is>
          <t>Survival</t>
        </is>
      </c>
      <c r="F8" s="9" t="n"/>
      <c r="G8" s="8" t="inlineStr">
        <is>
          <t>First Aid</t>
        </is>
      </c>
      <c r="H8" s="9" t="n"/>
      <c r="I8" s="8" t="inlineStr">
        <is>
          <t>Electronics</t>
        </is>
      </c>
      <c r="J8" s="9" t="n"/>
    </row>
    <row r="9">
      <c r="A9" s="8" t="inlineStr">
        <is>
          <t>Mechanics</t>
        </is>
      </c>
      <c r="B9" s="9" t="n"/>
      <c r="C9" s="8" t="inlineStr">
        <is>
          <t>Willpower</t>
        </is>
      </c>
      <c r="D9" s="9" t="n"/>
      <c r="E9" s="8" t="inlineStr">
        <is>
          <t>Intimidation</t>
        </is>
      </c>
      <c r="F9" s="9" t="n"/>
      <c r="G9" s="8" t="inlineStr">
        <is>
          <t>Persuasion</t>
        </is>
      </c>
      <c r="H9" s="9" t="n"/>
      <c r="I9" s="8" t="inlineStr">
        <is>
          <t>Leadership</t>
        </is>
      </c>
      <c r="J9" s="9" t="n"/>
    </row>
    <row r="10">
      <c r="A10" s="3" t="inlineStr">
        <is>
          <t>Seven-Part HP (Auto-Calculated)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2" t="n"/>
    </row>
    <row r="11">
      <c r="A11" s="5" t="inlineStr">
        <is>
          <t>Part</t>
        </is>
      </c>
      <c r="B11" s="6" t="inlineStr">
        <is>
          <t>Max HP</t>
        </is>
      </c>
      <c r="C11" s="12" t="n"/>
      <c r="D11" s="5" t="inlineStr">
        <is>
          <t>Current HP</t>
        </is>
      </c>
      <c r="E11" s="6" t="inlineStr"/>
      <c r="F11" s="5" t="inlineStr">
        <is>
          <t>DR</t>
        </is>
      </c>
      <c r="G11" s="5" t="inlineStr">
        <is>
          <t>DR</t>
        </is>
      </c>
      <c r="H11" s="5" t="inlineStr">
        <is>
          <t>Hit %</t>
        </is>
      </c>
      <c r="I11" s="6" t="inlineStr"/>
      <c r="J11" s="5" t="inlineStr">
        <is>
          <t>Injury Effect</t>
        </is>
      </c>
      <c r="K11" s="6" t="inlineStr"/>
    </row>
    <row r="12">
      <c r="A12" s="5" t="inlineStr">
        <is>
          <t>Head</t>
        </is>
      </c>
      <c r="B12" s="10">
        <f>C5+6</f>
        <v/>
      </c>
      <c r="C12" s="12" t="n"/>
      <c r="D12" s="5" t="inlineStr"/>
      <c r="E12" s="6" t="inlineStr"/>
      <c r="F12" s="5" t="inlineStr"/>
      <c r="G12" s="13" t="inlineStr">
        <is>
          <t>DR</t>
        </is>
      </c>
      <c r="H12" s="14" t="inlineStr">
        <is>
          <t>Helmet</t>
        </is>
      </c>
      <c r="I12" s="6" t="inlineStr">
        <is>
          <t>5%</t>
        </is>
      </c>
      <c r="J12" s="5" t="inlineStr"/>
      <c r="K12" s="6" t="inlineStr"/>
    </row>
    <row r="13">
      <c r="A13" s="5" t="inlineStr">
        <is>
          <t>Chest</t>
        </is>
      </c>
      <c r="B13" s="10">
        <f>C5*2+10</f>
        <v/>
      </c>
      <c r="C13" s="12" t="n"/>
      <c r="D13" s="5" t="inlineStr"/>
      <c r="E13" s="6" t="inlineStr"/>
      <c r="F13" s="5" t="inlineStr"/>
      <c r="G13" s="13" t="inlineStr">
        <is>
          <t>DR</t>
        </is>
      </c>
      <c r="H13" s="14" t="inlineStr">
        <is>
          <t>Body Armor + Vest</t>
        </is>
      </c>
      <c r="I13" s="6" t="inlineStr">
        <is>
          <t>35%</t>
        </is>
      </c>
      <c r="J13" s="5" t="inlineStr"/>
      <c r="K13" s="6" t="inlineStr"/>
    </row>
    <row r="14">
      <c r="A14" s="5" t="inlineStr">
        <is>
          <t>Abdomen</t>
        </is>
      </c>
      <c r="B14" s="10">
        <f>C5+8</f>
        <v/>
      </c>
      <c r="C14" s="12" t="n"/>
      <c r="D14" s="5" t="inlineStr"/>
      <c r="E14" s="6" t="inlineStr"/>
      <c r="F14" s="5" t="inlineStr"/>
      <c r="G14" s="13" t="inlineStr">
        <is>
          <t>DR</t>
        </is>
      </c>
      <c r="H14" s="14" t="inlineStr">
        <is>
          <t>Body Armor + Vest</t>
        </is>
      </c>
      <c r="I14" s="6" t="inlineStr">
        <is>
          <t>15%</t>
        </is>
      </c>
      <c r="J14" s="5" t="inlineStr"/>
      <c r="K14" s="6" t="inlineStr"/>
    </row>
    <row r="15">
      <c r="A15" s="5" t="inlineStr">
        <is>
          <t>Left Arm</t>
        </is>
      </c>
      <c r="B15" s="10">
        <f>C5+4</f>
        <v/>
      </c>
      <c r="C15" s="12" t="n"/>
      <c r="D15" s="5" t="inlineStr"/>
      <c r="E15" s="6" t="inlineStr"/>
      <c r="F15" s="5" t="inlineStr"/>
      <c r="G15" s="13" t="inlineStr">
        <is>
          <t>DR</t>
        </is>
      </c>
      <c r="H15" s="14" t="inlineStr">
        <is>
          <t>Gloves</t>
        </is>
      </c>
      <c r="I15" s="6" t="inlineStr">
        <is>
          <t>12%</t>
        </is>
      </c>
      <c r="J15" s="5" t="inlineStr"/>
      <c r="K15" s="6" t="inlineStr"/>
    </row>
    <row r="16">
      <c r="A16" s="5" t="inlineStr">
        <is>
          <t>Right Arm</t>
        </is>
      </c>
      <c r="B16" s="10">
        <f>C5+4</f>
        <v/>
      </c>
      <c r="C16" s="12" t="n"/>
      <c r="D16" s="5" t="inlineStr"/>
      <c r="E16" s="6" t="inlineStr"/>
      <c r="F16" s="5" t="inlineStr"/>
      <c r="G16" s="13" t="inlineStr">
        <is>
          <t>DR</t>
        </is>
      </c>
      <c r="H16" s="14" t="inlineStr">
        <is>
          <t>Gloves</t>
        </is>
      </c>
      <c r="I16" s="6" t="inlineStr">
        <is>
          <t>12%</t>
        </is>
      </c>
      <c r="J16" s="5" t="inlineStr"/>
      <c r="K16" s="6" t="inlineStr"/>
    </row>
    <row r="17">
      <c r="A17" s="5" t="inlineStr">
        <is>
          <t>Left Leg</t>
        </is>
      </c>
      <c r="B17" s="10">
        <f>C5+5</f>
        <v/>
      </c>
      <c r="C17" s="12" t="n"/>
      <c r="D17" s="5" t="inlineStr"/>
      <c r="E17" s="6" t="inlineStr"/>
      <c r="F17" s="5" t="inlineStr"/>
      <c r="G17" s="13" t="inlineStr">
        <is>
          <t>DR</t>
        </is>
      </c>
      <c r="H17" s="14" t="inlineStr">
        <is>
          <t>Combat Boots</t>
        </is>
      </c>
      <c r="I17" s="6" t="inlineStr">
        <is>
          <t>10%</t>
        </is>
      </c>
      <c r="J17" s="5" t="inlineStr"/>
      <c r="K17" s="6" t="inlineStr"/>
    </row>
    <row r="18">
      <c r="A18" s="5" t="inlineStr">
        <is>
          <t>Right Leg</t>
        </is>
      </c>
      <c r="B18" s="10">
        <f>C5+5</f>
        <v/>
      </c>
      <c r="C18" s="12" t="n"/>
      <c r="D18" s="5" t="inlineStr"/>
      <c r="E18" s="6" t="inlineStr"/>
      <c r="F18" s="5" t="inlineStr"/>
      <c r="G18" s="13" t="inlineStr">
        <is>
          <t>DR</t>
        </is>
      </c>
      <c r="H18" s="14" t="inlineStr">
        <is>
          <t>Combat Boots</t>
        </is>
      </c>
      <c r="I18" s="6" t="inlineStr">
        <is>
          <t>10%</t>
        </is>
      </c>
      <c r="J18" s="5" t="inlineStr"/>
      <c r="K18" s="6" t="inlineStr"/>
    </row>
    <row r="19">
      <c r="A19" s="3" t="inlineStr">
        <is>
          <t>Combat Data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</row>
    <row r="20">
      <c r="A20" s="5" t="inlineStr">
        <is>
          <t>Primary Attack (Name/Formula/Range)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>
      <c r="A21" s="5" t="inlineStr">
        <is>
          <t>Secondary Attack (Name/Formula/Range)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2" t="n"/>
    </row>
    <row r="22">
      <c r="A22" s="5" t="inlineStr">
        <is>
          <t>Special Ability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2" t="n"/>
    </row>
    <row r="23">
      <c r="A23" s="5" t="inlineStr">
        <is>
          <t>Behavior Pattern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2" t="n"/>
    </row>
    <row r="24">
      <c r="A24" s="5" t="inlineStr">
        <is>
          <t>Loot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2" t="n"/>
    </row>
    <row r="25">
      <c r="A25" s="5" t="inlineStr">
        <is>
          <t>Initiative (Auto)</t>
        </is>
      </c>
      <c r="B25" s="10">
        <f>G5+E5</f>
        <v/>
      </c>
      <c r="C25" s="12" t="n"/>
      <c r="D25" s="5" t="inlineStr">
        <is>
          <t>Total DR</t>
        </is>
      </c>
      <c r="E25" s="6" t="inlineStr"/>
      <c r="F25" s="12" t="n"/>
      <c r="G25" s="5" t="inlineStr">
        <is>
          <t>Morale</t>
        </is>
      </c>
      <c r="H25" s="6" t="inlineStr"/>
      <c r="I25" s="12" t="n"/>
      <c r="J25" s="5" t="inlineStr">
        <is>
          <t>Threat Value</t>
        </is>
      </c>
      <c r="K25" s="6" t="inlineStr"/>
    </row>
  </sheetData>
  <mergeCells count="110">
    <mergeCell ref="D12"/>
    <mergeCell ref="H3"/>
    <mergeCell ref="A24:K24"/>
    <mergeCell ref="E16"/>
    <mergeCell ref="G16"/>
    <mergeCell ref="D14"/>
    <mergeCell ref="F14"/>
    <mergeCell ref="B12:C12"/>
    <mergeCell ref="K18"/>
    <mergeCell ref="E18"/>
    <mergeCell ref="K16"/>
    <mergeCell ref="B14:C14"/>
    <mergeCell ref="J14"/>
    <mergeCell ref="B13:C13"/>
    <mergeCell ref="J13"/>
    <mergeCell ref="G17"/>
    <mergeCell ref="F12"/>
    <mergeCell ref="A25"/>
    <mergeCell ref="A2:K2"/>
    <mergeCell ref="K11"/>
    <mergeCell ref="J15"/>
    <mergeCell ref="A22:K22"/>
    <mergeCell ref="D17"/>
    <mergeCell ref="A3"/>
    <mergeCell ref="I12"/>
    <mergeCell ref="K12"/>
    <mergeCell ref="A19:K19"/>
    <mergeCell ref="E11"/>
    <mergeCell ref="H16"/>
    <mergeCell ref="J16"/>
    <mergeCell ref="G14"/>
    <mergeCell ref="E3:F3"/>
    <mergeCell ref="A5"/>
    <mergeCell ref="I14"/>
    <mergeCell ref="K14"/>
    <mergeCell ref="B16:C16"/>
    <mergeCell ref="D3"/>
    <mergeCell ref="B25:C25"/>
    <mergeCell ref="B3:C3"/>
    <mergeCell ref="D25"/>
    <mergeCell ref="B18:C18"/>
    <mergeCell ref="A13"/>
    <mergeCell ref="H25:I25"/>
    <mergeCell ref="J17"/>
    <mergeCell ref="B11:C11"/>
    <mergeCell ref="A15"/>
    <mergeCell ref="F11"/>
    <mergeCell ref="E17"/>
    <mergeCell ref="F15"/>
    <mergeCell ref="A16"/>
    <mergeCell ref="G18"/>
    <mergeCell ref="I18"/>
    <mergeCell ref="B15:C15"/>
    <mergeCell ref="A18"/>
    <mergeCell ref="G3"/>
    <mergeCell ref="E25:F25"/>
    <mergeCell ref="D16"/>
    <mergeCell ref="A10:K10"/>
    <mergeCell ref="G5"/>
    <mergeCell ref="F13"/>
    <mergeCell ref="I5"/>
    <mergeCell ref="H13"/>
    <mergeCell ref="D18"/>
    <mergeCell ref="H15"/>
    <mergeCell ref="A1:K1"/>
    <mergeCell ref="H18"/>
    <mergeCell ref="I13"/>
    <mergeCell ref="J18"/>
    <mergeCell ref="K13"/>
    <mergeCell ref="E12"/>
    <mergeCell ref="G12"/>
    <mergeCell ref="I15"/>
    <mergeCell ref="K15"/>
    <mergeCell ref="F16"/>
    <mergeCell ref="B17:C17"/>
    <mergeCell ref="E14"/>
    <mergeCell ref="A21:K21"/>
    <mergeCell ref="D11"/>
    <mergeCell ref="I16"/>
    <mergeCell ref="D13"/>
    <mergeCell ref="A23:K23"/>
    <mergeCell ref="A4:K4"/>
    <mergeCell ref="I17"/>
    <mergeCell ref="A17"/>
    <mergeCell ref="K17"/>
    <mergeCell ref="H12"/>
    <mergeCell ref="J12"/>
    <mergeCell ref="D15"/>
    <mergeCell ref="G25"/>
    <mergeCell ref="H14"/>
    <mergeCell ref="A6:K6"/>
    <mergeCell ref="K25"/>
    <mergeCell ref="G11"/>
    <mergeCell ref="I11"/>
    <mergeCell ref="A11"/>
    <mergeCell ref="C5"/>
    <mergeCell ref="E5"/>
    <mergeCell ref="E13"/>
    <mergeCell ref="F18"/>
    <mergeCell ref="G13"/>
    <mergeCell ref="A12"/>
    <mergeCell ref="A20:K20"/>
    <mergeCell ref="F17"/>
    <mergeCell ref="H17"/>
    <mergeCell ref="E15"/>
    <mergeCell ref="H11"/>
    <mergeCell ref="G15"/>
    <mergeCell ref="J11"/>
    <mergeCell ref="J25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2026-06-23T18:22:50Z</dcterms:created>
  <dcterms:modified xsi:type="dcterms:W3CDTF">2026-08-09T18:45:12Z</dcterms:modified>
</cp:coreProperties>
</file>