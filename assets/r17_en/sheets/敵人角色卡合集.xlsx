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Collector Bodyguard" sheetId="1" state="visible" r:id="rId1"/>
    <sheet name="Brotherhood Hit Squad" sheetId="2" state="visible" r:id="rId2"/>
    <sheet name="Bounty Hunter (Enhanced)" sheetId="3" state="visible" r:id="rId3"/>
    <sheet name="Industrial Zone Mutant Behemoth" sheetId="4" state="visible" r:id="rId4"/>
    <sheet name="QZAC Suppression Unit" sheetId="5" state="visible" r:id="rId5"/>
    <sheet name="Sewer Rat 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Card - Debt Collector Bodyguard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Name</t>
        </is>
      </c>
      <c r="B3" s="6" t="inlineStr">
        <is>
          <t>Debt Collector Bodyguard</t>
        </is>
      </c>
      <c r="C3" s="11" t="n"/>
      <c r="D3" s="5" t="inlineStr">
        <is>
          <t>Appears In Scenario/Side</t>
        </is>
      </c>
      <c r="E3" s="6" t="inlineStr">
        <is>
          <t>Debtor Sidequest</t>
        </is>
      </c>
      <c r="F3" s="10" t="n"/>
      <c r="G3" s="11" t="n"/>
      <c r="H3" s="5" t="inlineStr">
        <is>
          <t>Threat Value</t>
        </is>
      </c>
      <c r="I3" s="6" t="n">
        <v>6</v>
      </c>
      <c r="J3" s="10" t="n"/>
      <c r="K3" s="11" t="n"/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5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3</v>
      </c>
      <c r="I5" s="5" t="inlineStr">
        <is>
          <t>Courage CRG</t>
        </is>
      </c>
      <c r="J5" s="7" t="n">
        <v>6</v>
      </c>
    </row>
    <row r="6">
      <c r="A6" s="3" t="inlineStr">
        <is>
          <t>Derived Attributes (Auto)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</t>
        </is>
      </c>
      <c r="E7" s="8">
        <f>C5*5</f>
        <v/>
      </c>
      <c r="F7" s="10" t="n"/>
      <c r="G7" s="11" t="n"/>
      <c r="H7" s="5" t="inlineStr">
        <is>
          <t>Skill Point Reference</t>
        </is>
      </c>
      <c r="I7" s="8">
        <f>(I6+K6)*2</f>
        <v/>
      </c>
      <c r="J7" s="10" t="n"/>
      <c r="K7" s="11" t="n"/>
    </row>
    <row r="8">
      <c r="A8" s="3" t="inlineStr">
        <is>
          <t>Skills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Firearms</t>
        </is>
      </c>
      <c r="B9" s="6" t="n">
        <v>3</v>
      </c>
      <c r="C9" s="11" t="n"/>
    </row>
    <row r="10">
      <c r="A10" s="5" t="inlineStr">
        <is>
          <t>Melee</t>
        </is>
      </c>
      <c r="B10" s="6" t="n">
        <v>3</v>
      </c>
      <c r="C10" s="11" t="n"/>
    </row>
    <row r="11">
      <c r="A11" s="5" t="inlineStr">
        <is>
          <t>Awareness</t>
        </is>
      </c>
      <c r="B11" s="6" t="n">
        <v>2</v>
      </c>
      <c r="C11" s="11" t="n"/>
    </row>
    <row r="12">
      <c r="A12" s="5" t="inlineStr">
        <is>
          <t>Willpower</t>
        </is>
      </c>
      <c r="B12" s="6" t="n">
        <v>3</v>
      </c>
      <c r="C12" s="11" t="n"/>
    </row>
    <row r="13">
      <c r="A13" s="3" t="inlineStr">
        <is>
          <t>Seven-Part HP (Auto)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  <row r="14">
      <c r="A14" s="5" t="inlineStr">
        <is>
          <t>Head</t>
        </is>
      </c>
      <c r="B14" s="8">
        <f>C5+6</f>
        <v/>
      </c>
      <c r="C14" s="2" t="inlineStr"/>
      <c r="D14" s="2" t="n"/>
      <c r="E14" s="2" t="inlineStr"/>
      <c r="F14" s="2" t="n"/>
      <c r="G14" s="9" t="inlineStr">
        <is>
          <t>5%</t>
        </is>
      </c>
      <c r="H14" s="2" t="n"/>
      <c r="I14" s="2" t="inlineStr"/>
      <c r="J14" s="2" t="n"/>
      <c r="K14" s="2" t="n"/>
    </row>
    <row r="15">
      <c r="A15" s="5" t="inlineStr">
        <is>
          <t>Chest</t>
        </is>
      </c>
      <c r="B15" s="8">
        <f>C5*2+10</f>
        <v/>
      </c>
      <c r="C15" s="2" t="inlineStr"/>
      <c r="D15" s="2" t="n"/>
      <c r="E15" s="2" t="inlineStr"/>
      <c r="F15" s="2" t="n"/>
      <c r="G15" s="9" t="inlineStr">
        <is>
          <t>35%</t>
        </is>
      </c>
      <c r="H15" s="2" t="n"/>
      <c r="I15" s="2" t="inlineStr"/>
      <c r="J15" s="2" t="n"/>
      <c r="K15" s="2" t="n"/>
    </row>
    <row r="16">
      <c r="A16" s="5" t="inlineStr">
        <is>
          <t>Abdomen</t>
        </is>
      </c>
      <c r="B16" s="8">
        <f>C5+8</f>
        <v/>
      </c>
      <c r="C16" s="2" t="inlineStr"/>
      <c r="D16" s="2" t="n"/>
      <c r="E16" s="2" t="inlineStr"/>
      <c r="F16" s="2" t="n"/>
      <c r="G16" s="9" t="inlineStr">
        <is>
          <t>15%</t>
        </is>
      </c>
      <c r="H16" s="2" t="n"/>
      <c r="I16" s="2" t="inlineStr"/>
      <c r="J16" s="2" t="n"/>
      <c r="K16" s="2" t="n"/>
    </row>
    <row r="17">
      <c r="A17" s="5" t="inlineStr">
        <is>
          <t>Left Arm</t>
        </is>
      </c>
      <c r="B17" s="8">
        <f>C5+4</f>
        <v/>
      </c>
      <c r="C17" s="2" t="inlineStr"/>
      <c r="D17" s="2" t="n"/>
      <c r="E17" s="2" t="inlineStr"/>
      <c r="F17" s="2" t="n"/>
      <c r="G17" s="9" t="inlineStr">
        <is>
          <t>12%</t>
        </is>
      </c>
      <c r="H17" s="2" t="n"/>
      <c r="I17" s="2" t="inlineStr"/>
      <c r="J17" s="2" t="n"/>
      <c r="K17" s="2" t="n"/>
    </row>
    <row r="18">
      <c r="A18" s="5" t="inlineStr">
        <is>
          <t>Right Arm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Left Leg</t>
        </is>
      </c>
      <c r="B19" s="8">
        <f>C5+5</f>
        <v/>
      </c>
      <c r="C19" s="2" t="inlineStr"/>
      <c r="D19" s="2" t="n"/>
      <c r="E19" s="2" t="inlineStr"/>
      <c r="F19" s="2" t="n"/>
      <c r="G19" s="9" t="inlineStr">
        <is>
          <t>10%</t>
        </is>
      </c>
      <c r="H19" s="2" t="n"/>
      <c r="I19" s="2" t="inlineStr"/>
      <c r="J19" s="2" t="n"/>
      <c r="K19" s="2" t="n"/>
    </row>
    <row r="20">
      <c r="A20" s="5" t="inlineStr">
        <is>
          <t>Right Leg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3" t="inlineStr">
        <is>
          <t>Combat Data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</row>
    <row r="22">
      <c r="A22" s="6" t="inlineStr">
        <is>
          <t>Primary Attack: Military SMG 1d8 Full-Auto Close-Mid Range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Secondary Attack: Tactical Knife 1d4+6, Melee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Armor DR: Head DR1, Chest DR1 (Soft)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Special Ability: Protect debtor first; surrender if debtor falls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Behavior: Never leaves debtor's side; swift response to threats; bribable (Persuasion TN17)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Loot: SMG + Ammo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</sheetData>
  <mergeCells count="52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8"/>
    <mergeCell ref="A26:K26"/>
    <mergeCell ref="A21:K21"/>
    <mergeCell ref="A7"/>
    <mergeCell ref="B10:C10"/>
    <mergeCell ref="A2:K2"/>
    <mergeCell ref="A16"/>
    <mergeCell ref="E3:G3"/>
    <mergeCell ref="B9:C9"/>
    <mergeCell ref="B14"/>
    <mergeCell ref="A23:K23"/>
    <mergeCell ref="A8:K8"/>
    <mergeCell ref="A22:K22"/>
    <mergeCell ref="A4:K4"/>
    <mergeCell ref="A12"/>
    <mergeCell ref="B17"/>
    <mergeCell ref="A18"/>
    <mergeCell ref="A3"/>
    <mergeCell ref="D7"/>
    <mergeCell ref="H7"/>
    <mergeCell ref="A13:K13"/>
    <mergeCell ref="B19"/>
    <mergeCell ref="A14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Card - Brotherhood Hit Squad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Name</t>
        </is>
      </c>
      <c r="B3" s="6" t="inlineStr">
        <is>
          <t>Brotherhood Hit Squad</t>
        </is>
      </c>
      <c r="C3" s="11" t="n"/>
      <c r="D3" s="5" t="inlineStr">
        <is>
          <t>Appears In Scenario/Side</t>
        </is>
      </c>
      <c r="E3" s="6" t="inlineStr">
        <is>
          <t>Veteran Sidequest / Traitor Sidequest</t>
        </is>
      </c>
      <c r="F3" s="10" t="n"/>
      <c r="G3" s="11" t="n"/>
      <c r="H3" s="5" t="inlineStr">
        <is>
          <t>Threat Value</t>
        </is>
      </c>
      <c r="I3" s="6" t="n">
        <v>8</v>
      </c>
      <c r="J3" s="10" t="n"/>
      <c r="K3" s="11" t="n"/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4</v>
      </c>
      <c r="I5" s="5" t="inlineStr">
        <is>
          <t>Courage CRG</t>
        </is>
      </c>
      <c r="J5" s="7" t="n">
        <v>7</v>
      </c>
    </row>
    <row r="6">
      <c r="A6" s="3" t="inlineStr">
        <is>
          <t>Derived Attributes (Auto)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</t>
        </is>
      </c>
      <c r="E7" s="8">
        <f>C5*5</f>
        <v/>
      </c>
      <c r="F7" s="10" t="n"/>
      <c r="G7" s="11" t="n"/>
      <c r="H7" s="5" t="inlineStr">
        <is>
          <t>Skill Point Reference</t>
        </is>
      </c>
      <c r="I7" s="8">
        <f>(I6+K6)*2</f>
        <v/>
      </c>
      <c r="J7" s="10" t="n"/>
      <c r="K7" s="11" t="n"/>
    </row>
    <row r="8">
      <c r="A8" s="3" t="inlineStr">
        <is>
          <t>Skills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Firearms</t>
        </is>
      </c>
      <c r="B9" s="6" t="n">
        <v>3</v>
      </c>
      <c r="C9" s="11" t="n"/>
    </row>
    <row r="10">
      <c r="A10" s="5" t="inlineStr">
        <is>
          <t>Awareness</t>
        </is>
      </c>
      <c r="B10" s="6" t="n">
        <v>3</v>
      </c>
      <c r="C10" s="11" t="n"/>
    </row>
    <row r="11">
      <c r="A11" s="5" t="inlineStr">
        <is>
          <t>Tracking</t>
        </is>
      </c>
      <c r="B11" s="6" t="n">
        <v>3</v>
      </c>
      <c r="C11" s="11" t="n"/>
    </row>
    <row r="12">
      <c r="A12" s="5" t="inlineStr">
        <is>
          <t>Melee</t>
        </is>
      </c>
      <c r="B12" s="6" t="n">
        <v>2</v>
      </c>
      <c r="C12" s="11" t="n"/>
    </row>
    <row r="13">
      <c r="A13" s="5" t="inlineStr">
        <is>
          <t>Willpower</t>
        </is>
      </c>
      <c r="B13" s="6" t="n">
        <v>4</v>
      </c>
      <c r="C13" s="11" t="n"/>
    </row>
    <row r="14">
      <c r="A14" s="3" t="inlineStr">
        <is>
          <t>Seven-Part HP (Auto)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  <row r="15">
      <c r="A15" s="5" t="inlineStr">
        <is>
          <t>Head</t>
        </is>
      </c>
      <c r="B15" s="8">
        <f>C5+6</f>
        <v/>
      </c>
      <c r="C15" s="2" t="inlineStr"/>
      <c r="D15" s="2" t="n"/>
      <c r="E15" s="2" t="inlineStr"/>
      <c r="F15" s="2" t="n"/>
      <c r="G15" s="9" t="inlineStr">
        <is>
          <t>5%</t>
        </is>
      </c>
      <c r="H15" s="2" t="n"/>
      <c r="I15" s="2" t="inlineStr"/>
      <c r="J15" s="2" t="n"/>
      <c r="K15" s="2" t="n"/>
    </row>
    <row r="16">
      <c r="A16" s="5" t="inlineStr">
        <is>
          <t>Chest</t>
        </is>
      </c>
      <c r="B16" s="8">
        <f>C5*2+10</f>
        <v/>
      </c>
      <c r="C16" s="2" t="inlineStr"/>
      <c r="D16" s="2" t="n"/>
      <c r="E16" s="2" t="inlineStr"/>
      <c r="F16" s="2" t="n"/>
      <c r="G16" s="9" t="inlineStr">
        <is>
          <t>35%</t>
        </is>
      </c>
      <c r="H16" s="2" t="n"/>
      <c r="I16" s="2" t="inlineStr"/>
      <c r="J16" s="2" t="n"/>
      <c r="K16" s="2" t="n"/>
    </row>
    <row r="17">
      <c r="A17" s="5" t="inlineStr">
        <is>
          <t>Abdomen</t>
        </is>
      </c>
      <c r="B17" s="8">
        <f>C5+8</f>
        <v/>
      </c>
      <c r="C17" s="2" t="inlineStr"/>
      <c r="D17" s="2" t="n"/>
      <c r="E17" s="2" t="inlineStr"/>
      <c r="F17" s="2" t="n"/>
      <c r="G17" s="9" t="inlineStr">
        <is>
          <t>15%</t>
        </is>
      </c>
      <c r="H17" s="2" t="n"/>
      <c r="I17" s="2" t="inlineStr"/>
      <c r="J17" s="2" t="n"/>
      <c r="K17" s="2" t="n"/>
    </row>
    <row r="18">
      <c r="A18" s="5" t="inlineStr">
        <is>
          <t>Left Arm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Right Arm</t>
        </is>
      </c>
      <c r="B19" s="8">
        <f>C5+4</f>
        <v/>
      </c>
      <c r="C19" s="2" t="inlineStr"/>
      <c r="D19" s="2" t="n"/>
      <c r="E19" s="2" t="inlineStr"/>
      <c r="F19" s="2" t="n"/>
      <c r="G19" s="9" t="inlineStr">
        <is>
          <t>12%</t>
        </is>
      </c>
      <c r="H19" s="2" t="n"/>
      <c r="I19" s="2" t="inlineStr"/>
      <c r="J19" s="2" t="n"/>
      <c r="K19" s="2" t="n"/>
    </row>
    <row r="20">
      <c r="A20" s="5" t="inlineStr">
        <is>
          <t>Left Leg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5" t="inlineStr">
        <is>
          <t>Right Leg</t>
        </is>
      </c>
      <c r="B21" s="8">
        <f>C5+5</f>
        <v/>
      </c>
      <c r="C21" s="2" t="inlineStr"/>
      <c r="D21" s="2" t="n"/>
      <c r="E21" s="2" t="inlineStr"/>
      <c r="F21" s="2" t="n"/>
      <c r="G21" s="9" t="inlineStr">
        <is>
          <t>10%</t>
        </is>
      </c>
      <c r="H21" s="2" t="n"/>
      <c r="I21" s="2" t="inlineStr"/>
      <c r="J21" s="2" t="n"/>
      <c r="K21" s="2" t="n"/>
    </row>
    <row r="22">
      <c r="A22" s="3" t="inlineStr">
        <is>
          <t>Combat Data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Primary Attack: Military Assault Rifle 2d6 Full-Auto Mid-Long Range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Secondary Attack: Tactical Pistol 1d8 Close-Mid Range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Armor DR: Head DR1, Full Body DR1 (Hard)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Special Ability: Tracking Specialist (Tracking +3); can track target regardless of weather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Behavior: Specifically hunts a target; does not engage others; until target killed or self dead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6" t="inlineStr">
        <is>
          <t>Loot: Hard Body Armor + Tracking Gear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</sheetData>
  <mergeCells count="54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3:C13"/>
    <mergeCell ref="B18"/>
    <mergeCell ref="A26:K26"/>
    <mergeCell ref="B21"/>
    <mergeCell ref="A7"/>
    <mergeCell ref="B10:C10"/>
    <mergeCell ref="A2:K2"/>
    <mergeCell ref="A16"/>
    <mergeCell ref="E3:G3"/>
    <mergeCell ref="B9:C9"/>
    <mergeCell ref="A14:K14"/>
    <mergeCell ref="A23:K23"/>
    <mergeCell ref="A8:K8"/>
    <mergeCell ref="A22:K22"/>
    <mergeCell ref="A4:K4"/>
    <mergeCell ref="A12"/>
    <mergeCell ref="B17"/>
    <mergeCell ref="A18"/>
    <mergeCell ref="A3"/>
    <mergeCell ref="A21"/>
    <mergeCell ref="D7"/>
    <mergeCell ref="H7"/>
    <mergeCell ref="A28:K28"/>
    <mergeCell ref="B19"/>
    <mergeCell ref="A5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Card - Bounty Hunter (Enhanced)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Name</t>
        </is>
      </c>
      <c r="B3" s="6" t="inlineStr">
        <is>
          <t>Bounty Hunter (Enhanced)</t>
        </is>
      </c>
      <c r="C3" s="11" t="n"/>
      <c r="D3" s="5" t="inlineStr">
        <is>
          <t>Appears In Scenario/Side</t>
        </is>
      </c>
      <c r="E3" s="6" t="inlineStr">
        <is>
          <t>Debtor Sidequest / Hostile Reputation Trigger</t>
        </is>
      </c>
      <c r="F3" s="10" t="n"/>
      <c r="G3" s="11" t="n"/>
      <c r="H3" s="5" t="inlineStr">
        <is>
          <t>Threat Value</t>
        </is>
      </c>
      <c r="I3" s="6" t="n">
        <v>9</v>
      </c>
      <c r="J3" s="10" t="n"/>
      <c r="K3" s="11" t="n"/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Physique PHY</t>
        </is>
      </c>
      <c r="B5" s="7" t="n">
        <v>6</v>
      </c>
      <c r="C5" s="5" t="inlineStr">
        <is>
          <t>Precision PRC</t>
        </is>
      </c>
      <c r="D5" s="7" t="n">
        <v>7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5</v>
      </c>
      <c r="I5" s="5" t="inlineStr">
        <is>
          <t>Courage CRG</t>
        </is>
      </c>
      <c r="J5" s="7" t="n">
        <v>7</v>
      </c>
    </row>
    <row r="6">
      <c r="A6" s="3" t="inlineStr">
        <is>
          <t>Derived Attributes (Auto)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</t>
        </is>
      </c>
      <c r="E7" s="8">
        <f>C5*5</f>
        <v/>
      </c>
      <c r="F7" s="10" t="n"/>
      <c r="G7" s="11" t="n"/>
      <c r="H7" s="5" t="inlineStr">
        <is>
          <t>Skill Point Reference</t>
        </is>
      </c>
      <c r="I7" s="8">
        <f>(I6+K6)*2</f>
        <v/>
      </c>
      <c r="J7" s="10" t="n"/>
      <c r="K7" s="11" t="n"/>
    </row>
    <row r="8">
      <c r="A8" s="3" t="inlineStr">
        <is>
          <t>Skills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Firearms</t>
        </is>
      </c>
      <c r="B9" s="6" t="n">
        <v>4</v>
      </c>
      <c r="C9" s="11" t="n"/>
    </row>
    <row r="10">
      <c r="A10" s="5" t="inlineStr">
        <is>
          <t>Tracking</t>
        </is>
      </c>
      <c r="B10" s="6" t="n">
        <v>4</v>
      </c>
      <c r="C10" s="11" t="n"/>
    </row>
    <row r="11">
      <c r="A11" s="5" t="inlineStr">
        <is>
          <t>Stealth</t>
        </is>
      </c>
      <c r="B11" s="6" t="n">
        <v>3</v>
      </c>
      <c r="C11" s="11" t="n"/>
    </row>
    <row r="12">
      <c r="A12" s="5" t="inlineStr">
        <is>
          <t>Awareness</t>
        </is>
      </c>
      <c r="B12" s="6" t="n">
        <v>3</v>
      </c>
      <c r="C12" s="11" t="n"/>
    </row>
    <row r="13">
      <c r="A13" s="5" t="inlineStr">
        <is>
          <t>Willpower</t>
        </is>
      </c>
      <c r="B13" s="6" t="n">
        <v>3</v>
      </c>
      <c r="C13" s="11" t="n"/>
    </row>
    <row r="14">
      <c r="A14" s="3" t="inlineStr">
        <is>
          <t>Seven-Part HP (Auto)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  <row r="15">
      <c r="A15" s="5" t="inlineStr">
        <is>
          <t>Head</t>
        </is>
      </c>
      <c r="B15" s="8">
        <f>C5+6</f>
        <v/>
      </c>
      <c r="C15" s="2" t="inlineStr"/>
      <c r="D15" s="2" t="n"/>
      <c r="E15" s="2" t="inlineStr"/>
      <c r="F15" s="2" t="n"/>
      <c r="G15" s="9" t="inlineStr">
        <is>
          <t>5%</t>
        </is>
      </c>
      <c r="H15" s="2" t="n"/>
      <c r="I15" s="2" t="inlineStr"/>
      <c r="J15" s="2" t="n"/>
      <c r="K15" s="2" t="n"/>
    </row>
    <row r="16">
      <c r="A16" s="5" t="inlineStr">
        <is>
          <t>Chest</t>
        </is>
      </c>
      <c r="B16" s="8">
        <f>C5*2+10</f>
        <v/>
      </c>
      <c r="C16" s="2" t="inlineStr"/>
      <c r="D16" s="2" t="n"/>
      <c r="E16" s="2" t="inlineStr"/>
      <c r="F16" s="2" t="n"/>
      <c r="G16" s="9" t="inlineStr">
        <is>
          <t>35%</t>
        </is>
      </c>
      <c r="H16" s="2" t="n"/>
      <c r="I16" s="2" t="inlineStr"/>
      <c r="J16" s="2" t="n"/>
      <c r="K16" s="2" t="n"/>
    </row>
    <row r="17">
      <c r="A17" s="5" t="inlineStr">
        <is>
          <t>Abdomen</t>
        </is>
      </c>
      <c r="B17" s="8">
        <f>C5+8</f>
        <v/>
      </c>
      <c r="C17" s="2" t="inlineStr"/>
      <c r="D17" s="2" t="n"/>
      <c r="E17" s="2" t="inlineStr"/>
      <c r="F17" s="2" t="n"/>
      <c r="G17" s="9" t="inlineStr">
        <is>
          <t>15%</t>
        </is>
      </c>
      <c r="H17" s="2" t="n"/>
      <c r="I17" s="2" t="inlineStr"/>
      <c r="J17" s="2" t="n"/>
      <c r="K17" s="2" t="n"/>
    </row>
    <row r="18">
      <c r="A18" s="5" t="inlineStr">
        <is>
          <t>Left Arm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Right Arm</t>
        </is>
      </c>
      <c r="B19" s="8">
        <f>C5+4</f>
        <v/>
      </c>
      <c r="C19" s="2" t="inlineStr"/>
      <c r="D19" s="2" t="n"/>
      <c r="E19" s="2" t="inlineStr"/>
      <c r="F19" s="2" t="n"/>
      <c r="G19" s="9" t="inlineStr">
        <is>
          <t>12%</t>
        </is>
      </c>
      <c r="H19" s="2" t="n"/>
      <c r="I19" s="2" t="inlineStr"/>
      <c r="J19" s="2" t="n"/>
      <c r="K19" s="2" t="n"/>
    </row>
    <row r="20">
      <c r="A20" s="5" t="inlineStr">
        <is>
          <t>Left Leg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5" t="inlineStr">
        <is>
          <t>Right Leg</t>
        </is>
      </c>
      <c r="B21" s="8">
        <f>C5+5</f>
        <v/>
      </c>
      <c r="C21" s="2" t="inlineStr"/>
      <c r="D21" s="2" t="n"/>
      <c r="E21" s="2" t="inlineStr"/>
      <c r="F21" s="2" t="n"/>
      <c r="G21" s="9" t="inlineStr">
        <is>
          <t>10%</t>
        </is>
      </c>
      <c r="H21" s="2" t="n"/>
      <c r="I21" s="2" t="inlineStr"/>
      <c r="J21" s="2" t="n"/>
      <c r="K21" s="2" t="n"/>
    </row>
    <row r="22">
      <c r="A22" s="3" t="inlineStr">
        <is>
          <t>Combat Data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Primary Attack: DMR 1d10 Semi-Auto Mid-Long Range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Secondary Attack: Heavy Pistol 1d10 AP2 Close-Mid Range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Armor DR: Head DR1, Chest/Abdomen DR1 (Hard)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Special Ability: Bounty Mark (1AP, mark target +2 hit for 10 rounds); Weakness Analysis (after 1 round observation +1d6)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Behavior: Confirm target -&gt; assess bounty -&gt; decide capture or kill; professional and calm, no personal emotion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6" t="inlineStr">
        <is>
          <t>Loot: DMR (Purple) + Hard Body Armor + Bounty Contract (Narrative Item)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</sheetData>
  <mergeCells count="54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3:C13"/>
    <mergeCell ref="B18"/>
    <mergeCell ref="A26:K26"/>
    <mergeCell ref="B21"/>
    <mergeCell ref="A7"/>
    <mergeCell ref="B10:C10"/>
    <mergeCell ref="A2:K2"/>
    <mergeCell ref="A16"/>
    <mergeCell ref="E3:G3"/>
    <mergeCell ref="B9:C9"/>
    <mergeCell ref="A14:K14"/>
    <mergeCell ref="A23:K23"/>
    <mergeCell ref="A8:K8"/>
    <mergeCell ref="A22:K22"/>
    <mergeCell ref="A4:K4"/>
    <mergeCell ref="A12"/>
    <mergeCell ref="B17"/>
    <mergeCell ref="A18"/>
    <mergeCell ref="A3"/>
    <mergeCell ref="A21"/>
    <mergeCell ref="D7"/>
    <mergeCell ref="H7"/>
    <mergeCell ref="A28:K28"/>
    <mergeCell ref="B19"/>
    <mergeCell ref="A5"/>
    <mergeCell ref="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Card - Industrial Zone Mutant Behemoth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Name</t>
        </is>
      </c>
      <c r="B3" s="6" t="inlineStr">
        <is>
          <t>Industrial Zone Mutant Behemoth</t>
        </is>
      </c>
      <c r="C3" s="11" t="n"/>
      <c r="D3" s="5" t="inlineStr">
        <is>
          <t>Appears In Scenario/Side</t>
        </is>
      </c>
      <c r="E3" s="6" t="inlineStr">
        <is>
          <t>Random Encounter (d100=100)</t>
        </is>
      </c>
      <c r="F3" s="10" t="n"/>
      <c r="G3" s="11" t="n"/>
      <c r="H3" s="5" t="inlineStr">
        <is>
          <t>Threat Value</t>
        </is>
      </c>
      <c r="I3" s="6" t="n">
        <v>14</v>
      </c>
      <c r="J3" s="10" t="n"/>
      <c r="K3" s="11" t="n"/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Physique PHY</t>
        </is>
      </c>
      <c r="B5" s="7" t="n">
        <v>9</v>
      </c>
      <c r="C5" s="5" t="inlineStr">
        <is>
          <t>Precision PRC</t>
        </is>
      </c>
      <c r="D5" s="7" t="n">
        <v>2</v>
      </c>
      <c r="E5" s="5" t="inlineStr">
        <is>
          <t>Perception PER</t>
        </is>
      </c>
      <c r="F5" s="7" t="n">
        <v>5</v>
      </c>
      <c r="G5" s="5" t="inlineStr">
        <is>
          <t>Tech TEC</t>
        </is>
      </c>
      <c r="H5" s="7" t="n">
        <v>1</v>
      </c>
      <c r="I5" s="5" t="inlineStr">
        <is>
          <t>Courage CRG</t>
        </is>
      </c>
      <c r="J5" s="7" t="n">
        <v>10</v>
      </c>
    </row>
    <row r="6">
      <c r="A6" s="3" t="inlineStr">
        <is>
          <t>Derived Attributes (Auto)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</t>
        </is>
      </c>
      <c r="E7" s="8">
        <f>C5*5</f>
        <v/>
      </c>
      <c r="F7" s="10" t="n"/>
      <c r="G7" s="11" t="n"/>
      <c r="H7" s="5" t="inlineStr">
        <is>
          <t>Skill Point Reference</t>
        </is>
      </c>
      <c r="I7" s="8">
        <f>(I6+K6)*2</f>
        <v/>
      </c>
      <c r="J7" s="10" t="n"/>
      <c r="K7" s="11" t="n"/>
    </row>
    <row r="8">
      <c r="A8" s="3" t="inlineStr">
        <is>
          <t>Skills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Melee</t>
        </is>
      </c>
      <c r="B9" s="6" t="n">
        <v>5</v>
      </c>
      <c r="C9" s="11" t="n"/>
    </row>
    <row r="10">
      <c r="A10" s="5" t="inlineStr">
        <is>
          <t>Throwing</t>
        </is>
      </c>
      <c r="B10" s="6" t="n">
        <v>3</v>
      </c>
      <c r="C10" s="11" t="n"/>
    </row>
    <row r="11">
      <c r="A11" s="5" t="inlineStr">
        <is>
          <t>Awareness</t>
        </is>
      </c>
      <c r="B11" s="6" t="n">
        <v>3</v>
      </c>
      <c r="C11" s="11" t="n"/>
    </row>
    <row r="12">
      <c r="A12" s="5" t="inlineStr">
        <is>
          <t>Willpower</t>
        </is>
      </c>
      <c r="B12" s="6" t="n">
        <v>5</v>
      </c>
      <c r="C12" s="11" t="n"/>
    </row>
    <row r="13">
      <c r="A13" s="3" t="inlineStr">
        <is>
          <t>Seven-Part HP (Auto)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  <row r="14">
      <c r="A14" s="5" t="inlineStr">
        <is>
          <t>Head</t>
        </is>
      </c>
      <c r="B14" s="8">
        <f>C5+6</f>
        <v/>
      </c>
      <c r="C14" s="2" t="inlineStr"/>
      <c r="D14" s="2" t="n"/>
      <c r="E14" s="2" t="inlineStr"/>
      <c r="F14" s="2" t="n"/>
      <c r="G14" s="9" t="inlineStr">
        <is>
          <t>5%</t>
        </is>
      </c>
      <c r="H14" s="2" t="n"/>
      <c r="I14" s="2" t="inlineStr"/>
      <c r="J14" s="2" t="n"/>
      <c r="K14" s="2" t="n"/>
    </row>
    <row r="15">
      <c r="A15" s="5" t="inlineStr">
        <is>
          <t>Chest</t>
        </is>
      </c>
      <c r="B15" s="8">
        <f>C5*2+10</f>
        <v/>
      </c>
      <c r="C15" s="2" t="inlineStr"/>
      <c r="D15" s="2" t="n"/>
      <c r="E15" s="2" t="inlineStr"/>
      <c r="F15" s="2" t="n"/>
      <c r="G15" s="9" t="inlineStr">
        <is>
          <t>35%</t>
        </is>
      </c>
      <c r="H15" s="2" t="n"/>
      <c r="I15" s="2" t="inlineStr"/>
      <c r="J15" s="2" t="n"/>
      <c r="K15" s="2" t="n"/>
    </row>
    <row r="16">
      <c r="A16" s="5" t="inlineStr">
        <is>
          <t>Abdomen</t>
        </is>
      </c>
      <c r="B16" s="8">
        <f>C5+8</f>
        <v/>
      </c>
      <c r="C16" s="2" t="inlineStr"/>
      <c r="D16" s="2" t="n"/>
      <c r="E16" s="2" t="inlineStr"/>
      <c r="F16" s="2" t="n"/>
      <c r="G16" s="9" t="inlineStr">
        <is>
          <t>15%</t>
        </is>
      </c>
      <c r="H16" s="2" t="n"/>
      <c r="I16" s="2" t="inlineStr"/>
      <c r="J16" s="2" t="n"/>
      <c r="K16" s="2" t="n"/>
    </row>
    <row r="17">
      <c r="A17" s="5" t="inlineStr">
        <is>
          <t>Left Arm</t>
        </is>
      </c>
      <c r="B17" s="8">
        <f>C5+4</f>
        <v/>
      </c>
      <c r="C17" s="2" t="inlineStr"/>
      <c r="D17" s="2" t="n"/>
      <c r="E17" s="2" t="inlineStr"/>
      <c r="F17" s="2" t="n"/>
      <c r="G17" s="9" t="inlineStr">
        <is>
          <t>12%</t>
        </is>
      </c>
      <c r="H17" s="2" t="n"/>
      <c r="I17" s="2" t="inlineStr"/>
      <c r="J17" s="2" t="n"/>
      <c r="K17" s="2" t="n"/>
    </row>
    <row r="18">
      <c r="A18" s="5" t="inlineStr">
        <is>
          <t>Right Arm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Left Leg</t>
        </is>
      </c>
      <c r="B19" s="8">
        <f>C5+5</f>
        <v/>
      </c>
      <c r="C19" s="2" t="inlineStr"/>
      <c r="D19" s="2" t="n"/>
      <c r="E19" s="2" t="inlineStr"/>
      <c r="F19" s="2" t="n"/>
      <c r="G19" s="9" t="inlineStr">
        <is>
          <t>10%</t>
        </is>
      </c>
      <c r="H19" s="2" t="n"/>
      <c r="I19" s="2" t="inlineStr"/>
      <c r="J19" s="2" t="n"/>
      <c r="K19" s="2" t="n"/>
    </row>
    <row r="20">
      <c r="A20" s="5" t="inlineStr">
        <is>
          <t>Right Leg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3" t="inlineStr">
        <is>
          <t>Combat Data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</row>
    <row r="22">
      <c r="A22" s="6" t="inlineStr">
        <is>
          <t>Primary Attack: Giant Jaw Crush 2d10+9, Melee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Secondary Attack: Tail Strike 2d6+9 + Prone, 3m cone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Armor DR: Full Body DR1 (Carapace)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Special Ability: Roar (Courage TN20 within 10m); at HP&lt;30% Berserk (+2 damage, +1 attack/round); Death Explosion (5m, 3d6 acid)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Behavior: Extremely territorial; guards specific area; will not chase beyond territory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Loot: Behemoth Carapace (Gold) + Mutation Core (Gold)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</sheetData>
  <mergeCells count="52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8"/>
    <mergeCell ref="A26:K26"/>
    <mergeCell ref="A21:K21"/>
    <mergeCell ref="A7"/>
    <mergeCell ref="B10:C10"/>
    <mergeCell ref="A2:K2"/>
    <mergeCell ref="A16"/>
    <mergeCell ref="E3:G3"/>
    <mergeCell ref="B9:C9"/>
    <mergeCell ref="B14"/>
    <mergeCell ref="A23:K23"/>
    <mergeCell ref="A8:K8"/>
    <mergeCell ref="A22:K22"/>
    <mergeCell ref="A4:K4"/>
    <mergeCell ref="A12"/>
    <mergeCell ref="B17"/>
    <mergeCell ref="A18"/>
    <mergeCell ref="A3"/>
    <mergeCell ref="D7"/>
    <mergeCell ref="H7"/>
    <mergeCell ref="A13:K13"/>
    <mergeCell ref="B19"/>
    <mergeCell ref="A14"/>
    <mergeCell ref="A5"/>
    <mergeCell ref="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Card - QZAC Suppression Unit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Name</t>
        </is>
      </c>
      <c r="B3" s="6" t="inlineStr">
        <is>
          <t>QZAC Suppression Unit</t>
        </is>
      </c>
      <c r="C3" s="11" t="n"/>
      <c r="D3" s="5" t="inlineStr">
        <is>
          <t>Appears In Scenario/Side</t>
        </is>
      </c>
      <c r="E3" s="6" t="inlineStr">
        <is>
          <t>High-Reputation QZAC Hostile / Extreme Random Encounter</t>
        </is>
      </c>
      <c r="F3" s="10" t="n"/>
      <c r="G3" s="11" t="n"/>
      <c r="H3" s="5" t="inlineStr">
        <is>
          <t>Threat Value</t>
        </is>
      </c>
      <c r="I3" s="6" t="n">
        <v>10</v>
      </c>
      <c r="J3" s="10" t="n"/>
      <c r="K3" s="11" t="n"/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Physique PHY</t>
        </is>
      </c>
      <c r="B5" s="7" t="n">
        <v>7</v>
      </c>
      <c r="C5" s="5" t="inlineStr">
        <is>
          <t>Precision PRC</t>
        </is>
      </c>
      <c r="D5" s="7" t="n">
        <v>6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5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</t>
        </is>
      </c>
      <c r="E7" s="8">
        <f>C5*5</f>
        <v/>
      </c>
      <c r="F7" s="10" t="n"/>
      <c r="G7" s="11" t="n"/>
      <c r="H7" s="5" t="inlineStr">
        <is>
          <t>Skill Point Reference</t>
        </is>
      </c>
      <c r="I7" s="8">
        <f>(I6+K6)*2</f>
        <v/>
      </c>
      <c r="J7" s="10" t="n"/>
      <c r="K7" s="11" t="n"/>
    </row>
    <row r="8">
      <c r="A8" s="3" t="inlineStr">
        <is>
          <t>Skills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Firearms</t>
        </is>
      </c>
      <c r="B9" s="6" t="n">
        <v>4</v>
      </c>
      <c r="C9" s="11" t="n"/>
    </row>
    <row r="10">
      <c r="A10" s="5" t="inlineStr">
        <is>
          <t>Heavy Weapons</t>
        </is>
      </c>
      <c r="B10" s="6" t="n">
        <v>3</v>
      </c>
      <c r="C10" s="11" t="n"/>
    </row>
    <row r="11">
      <c r="A11" s="5" t="inlineStr">
        <is>
          <t>Awareness</t>
        </is>
      </c>
      <c r="B11" s="6" t="n">
        <v>3</v>
      </c>
      <c r="C11" s="11" t="n"/>
    </row>
    <row r="12">
      <c r="A12" s="5" t="inlineStr">
        <is>
          <t>Willpower</t>
        </is>
      </c>
      <c r="B12" s="6" t="n">
        <v>4</v>
      </c>
      <c r="C12" s="11" t="n"/>
    </row>
    <row r="13">
      <c r="A13" s="5" t="inlineStr">
        <is>
          <t>Leadership</t>
        </is>
      </c>
      <c r="B13" s="6" t="n">
        <v>3</v>
      </c>
      <c r="C13" s="11" t="n"/>
    </row>
    <row r="14">
      <c r="A14" s="3" t="inlineStr">
        <is>
          <t>Seven-Part HP (Auto)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  <row r="15">
      <c r="A15" s="5" t="inlineStr">
        <is>
          <t>Head</t>
        </is>
      </c>
      <c r="B15" s="8">
        <f>C5+6</f>
        <v/>
      </c>
      <c r="C15" s="2" t="inlineStr"/>
      <c r="D15" s="2" t="n"/>
      <c r="E15" s="2" t="inlineStr"/>
      <c r="F15" s="2" t="n"/>
      <c r="G15" s="9" t="inlineStr">
        <is>
          <t>5%</t>
        </is>
      </c>
      <c r="H15" s="2" t="n"/>
      <c r="I15" s="2" t="inlineStr"/>
      <c r="J15" s="2" t="n"/>
      <c r="K15" s="2" t="n"/>
    </row>
    <row r="16">
      <c r="A16" s="5" t="inlineStr">
        <is>
          <t>Chest</t>
        </is>
      </c>
      <c r="B16" s="8">
        <f>C5*2+10</f>
        <v/>
      </c>
      <c r="C16" s="2" t="inlineStr"/>
      <c r="D16" s="2" t="n"/>
      <c r="E16" s="2" t="inlineStr"/>
      <c r="F16" s="2" t="n"/>
      <c r="G16" s="9" t="inlineStr">
        <is>
          <t>35%</t>
        </is>
      </c>
      <c r="H16" s="2" t="n"/>
      <c r="I16" s="2" t="inlineStr"/>
      <c r="J16" s="2" t="n"/>
      <c r="K16" s="2" t="n"/>
    </row>
    <row r="17">
      <c r="A17" s="5" t="inlineStr">
        <is>
          <t>Abdomen</t>
        </is>
      </c>
      <c r="B17" s="8">
        <f>C5+8</f>
        <v/>
      </c>
      <c r="C17" s="2" t="inlineStr"/>
      <c r="D17" s="2" t="n"/>
      <c r="E17" s="2" t="inlineStr"/>
      <c r="F17" s="2" t="n"/>
      <c r="G17" s="9" t="inlineStr">
        <is>
          <t>15%</t>
        </is>
      </c>
      <c r="H17" s="2" t="n"/>
      <c r="I17" s="2" t="inlineStr"/>
      <c r="J17" s="2" t="n"/>
      <c r="K17" s="2" t="n"/>
    </row>
    <row r="18">
      <c r="A18" s="5" t="inlineStr">
        <is>
          <t>Left Arm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Right Arm</t>
        </is>
      </c>
      <c r="B19" s="8">
        <f>C5+4</f>
        <v/>
      </c>
      <c r="C19" s="2" t="inlineStr"/>
      <c r="D19" s="2" t="n"/>
      <c r="E19" s="2" t="inlineStr"/>
      <c r="F19" s="2" t="n"/>
      <c r="G19" s="9" t="inlineStr">
        <is>
          <t>12%</t>
        </is>
      </c>
      <c r="H19" s="2" t="n"/>
      <c r="I19" s="2" t="inlineStr"/>
      <c r="J19" s="2" t="n"/>
      <c r="K19" s="2" t="n"/>
    </row>
    <row r="20">
      <c r="A20" s="5" t="inlineStr">
        <is>
          <t>Left Leg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5" t="inlineStr">
        <is>
          <t>Right Leg</t>
        </is>
      </c>
      <c r="B21" s="8">
        <f>C5+5</f>
        <v/>
      </c>
      <c r="C21" s="2" t="inlineStr"/>
      <c r="D21" s="2" t="n"/>
      <c r="E21" s="2" t="inlineStr"/>
      <c r="F21" s="2" t="n"/>
      <c r="G21" s="9" t="inlineStr">
        <is>
          <t>10%</t>
        </is>
      </c>
      <c r="H21" s="2" t="n"/>
      <c r="I21" s="2" t="inlineStr"/>
      <c r="J21" s="2" t="n"/>
      <c r="K21" s="2" t="n"/>
    </row>
    <row r="22">
      <c r="A22" s="3" t="inlineStr">
        <is>
          <t>Combat Data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Primary Attack: Heavy MG 2d6 Full-Auto AP2 Mid-Long Range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Secondary Attack: Flashbang Courage TN17 within 5m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Armor DR: Head DR1, Full Body DR1 (Ceramic Plate)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Special Ability: Tactical Coordination (+2 hit when 3+ fire simultaneously); Smoke Cover (1AP creates smoke screen)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Behavior: Executes suppression mission; warns before firing; no negotiation; no retreat (unless 75% losses)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6" t="inlineStr">
        <is>
          <t>Loot: Ceramic Plate Armor (Purple) + Heavy MG (Purple)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</sheetData>
  <mergeCells count="54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3:C13"/>
    <mergeCell ref="B18"/>
    <mergeCell ref="A26:K26"/>
    <mergeCell ref="B21"/>
    <mergeCell ref="A7"/>
    <mergeCell ref="B10:C10"/>
    <mergeCell ref="A2:K2"/>
    <mergeCell ref="A16"/>
    <mergeCell ref="E3:G3"/>
    <mergeCell ref="B9:C9"/>
    <mergeCell ref="A14:K14"/>
    <mergeCell ref="A23:K23"/>
    <mergeCell ref="A8:K8"/>
    <mergeCell ref="A22:K22"/>
    <mergeCell ref="A4:K4"/>
    <mergeCell ref="A12"/>
    <mergeCell ref="B17"/>
    <mergeCell ref="A18"/>
    <mergeCell ref="A3"/>
    <mergeCell ref="A21"/>
    <mergeCell ref="D7"/>
    <mergeCell ref="H7"/>
    <mergeCell ref="A28:K28"/>
    <mergeCell ref="B19"/>
    <mergeCell ref="A5"/>
    <mergeCell ref="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Enemy Card - Sewer Rat King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1" t="n"/>
    </row>
    <row r="3">
      <c r="A3" s="5" t="inlineStr">
        <is>
          <t>Name</t>
        </is>
      </c>
      <c r="B3" s="6" t="inlineStr">
        <is>
          <t>Sewer Rat King</t>
        </is>
      </c>
      <c r="C3" s="11" t="n"/>
      <c r="D3" s="5" t="inlineStr">
        <is>
          <t>Appears In Scenario/Side</t>
        </is>
      </c>
      <c r="E3" s="6" t="inlineStr">
        <is>
          <t>Random Encounter (Old Town Sewers)</t>
        </is>
      </c>
      <c r="F3" s="10" t="n"/>
      <c r="G3" s="11" t="n"/>
      <c r="H3" s="5" t="inlineStr">
        <is>
          <t>Threat Value</t>
        </is>
      </c>
      <c r="I3" s="6" t="n">
        <v>7</v>
      </c>
      <c r="J3" s="10" t="n"/>
      <c r="K3" s="11" t="n"/>
    </row>
    <row r="4">
      <c r="A4" s="3" t="inlineStr">
        <is>
          <t>Five Attributes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1" t="n"/>
    </row>
    <row r="5">
      <c r="A5" s="5" t="inlineStr">
        <is>
          <t>Physique PHY</t>
        </is>
      </c>
      <c r="B5" s="7" t="n">
        <v>5</v>
      </c>
      <c r="C5" s="5" t="inlineStr">
        <is>
          <t>Precision PRC</t>
        </is>
      </c>
      <c r="D5" s="7" t="n">
        <v>1</v>
      </c>
      <c r="E5" s="5" t="inlineStr">
        <is>
          <t>Perception PER</t>
        </is>
      </c>
      <c r="F5" s="7" t="n">
        <v>6</v>
      </c>
      <c r="G5" s="5" t="inlineStr">
        <is>
          <t>Tech TEC</t>
        </is>
      </c>
      <c r="H5" s="7" t="n">
        <v>1</v>
      </c>
      <c r="I5" s="5" t="inlineStr">
        <is>
          <t>Courage CRG</t>
        </is>
      </c>
      <c r="J5" s="7" t="n">
        <v>8</v>
      </c>
    </row>
    <row r="6">
      <c r="A6" s="3" t="inlineStr">
        <is>
          <t>Derived Attributes (Auto)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  <row r="7">
      <c r="A7" s="5" t="inlineStr">
        <is>
          <t>Initiative</t>
        </is>
      </c>
      <c r="B7" s="8">
        <f>G5+E5</f>
        <v/>
      </c>
      <c r="C7" s="11" t="n"/>
      <c r="D7" s="5" t="inlineStr">
        <is>
          <t>Carry Capacity</t>
        </is>
      </c>
      <c r="E7" s="8">
        <f>C5*5</f>
        <v/>
      </c>
      <c r="F7" s="10" t="n"/>
      <c r="G7" s="11" t="n"/>
      <c r="H7" s="5" t="inlineStr">
        <is>
          <t>Skill Point Reference</t>
        </is>
      </c>
      <c r="I7" s="8">
        <f>(I6+K6)*2</f>
        <v/>
      </c>
      <c r="J7" s="10" t="n"/>
      <c r="K7" s="11" t="n"/>
    </row>
    <row r="8">
      <c r="A8" s="3" t="inlineStr">
        <is>
          <t>Skills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n"/>
    </row>
    <row r="9">
      <c r="A9" s="5" t="inlineStr">
        <is>
          <t>Melee</t>
        </is>
      </c>
      <c r="B9" s="6" t="n">
        <v>4</v>
      </c>
      <c r="C9" s="11" t="n"/>
    </row>
    <row r="10">
      <c r="A10" s="5" t="inlineStr">
        <is>
          <t>Stealth</t>
        </is>
      </c>
      <c r="B10" s="6" t="n">
        <v>3</v>
      </c>
      <c r="C10" s="11" t="n"/>
    </row>
    <row r="11">
      <c r="A11" s="5" t="inlineStr">
        <is>
          <t>Awareness</t>
        </is>
      </c>
      <c r="B11" s="6" t="n">
        <v>4</v>
      </c>
      <c r="C11" s="11" t="n"/>
    </row>
    <row r="12">
      <c r="A12" s="5" t="inlineStr">
        <is>
          <t>Willpower</t>
        </is>
      </c>
      <c r="B12" s="6" t="n">
        <v>4</v>
      </c>
      <c r="C12" s="11" t="n"/>
    </row>
    <row r="13">
      <c r="A13" s="3" t="inlineStr">
        <is>
          <t>Seven-Part HP (Auto)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1" t="n"/>
    </row>
    <row r="14">
      <c r="A14" s="5" t="inlineStr">
        <is>
          <t>Head</t>
        </is>
      </c>
      <c r="B14" s="8">
        <f>C5+6</f>
        <v/>
      </c>
      <c r="C14" s="2" t="inlineStr"/>
      <c r="D14" s="2" t="n"/>
      <c r="E14" s="2" t="inlineStr"/>
      <c r="F14" s="2" t="n"/>
      <c r="G14" s="9" t="inlineStr">
        <is>
          <t>5%</t>
        </is>
      </c>
      <c r="H14" s="2" t="n"/>
      <c r="I14" s="2" t="inlineStr"/>
      <c r="J14" s="2" t="n"/>
      <c r="K14" s="2" t="n"/>
    </row>
    <row r="15">
      <c r="A15" s="5" t="inlineStr">
        <is>
          <t>Chest</t>
        </is>
      </c>
      <c r="B15" s="8">
        <f>C5*2+10</f>
        <v/>
      </c>
      <c r="C15" s="2" t="inlineStr"/>
      <c r="D15" s="2" t="n"/>
      <c r="E15" s="2" t="inlineStr"/>
      <c r="F15" s="2" t="n"/>
      <c r="G15" s="9" t="inlineStr">
        <is>
          <t>35%</t>
        </is>
      </c>
      <c r="H15" s="2" t="n"/>
      <c r="I15" s="2" t="inlineStr"/>
      <c r="J15" s="2" t="n"/>
      <c r="K15" s="2" t="n"/>
    </row>
    <row r="16">
      <c r="A16" s="5" t="inlineStr">
        <is>
          <t>Abdomen</t>
        </is>
      </c>
      <c r="B16" s="8">
        <f>C5+8</f>
        <v/>
      </c>
      <c r="C16" s="2" t="inlineStr"/>
      <c r="D16" s="2" t="n"/>
      <c r="E16" s="2" t="inlineStr"/>
      <c r="F16" s="2" t="n"/>
      <c r="G16" s="9" t="inlineStr">
        <is>
          <t>15%</t>
        </is>
      </c>
      <c r="H16" s="2" t="n"/>
      <c r="I16" s="2" t="inlineStr"/>
      <c r="J16" s="2" t="n"/>
      <c r="K16" s="2" t="n"/>
    </row>
    <row r="17">
      <c r="A17" s="5" t="inlineStr">
        <is>
          <t>Left Arm</t>
        </is>
      </c>
      <c r="B17" s="8">
        <f>C5+4</f>
        <v/>
      </c>
      <c r="C17" s="2" t="inlineStr"/>
      <c r="D17" s="2" t="n"/>
      <c r="E17" s="2" t="inlineStr"/>
      <c r="F17" s="2" t="n"/>
      <c r="G17" s="9" t="inlineStr">
        <is>
          <t>12%</t>
        </is>
      </c>
      <c r="H17" s="2" t="n"/>
      <c r="I17" s="2" t="inlineStr"/>
      <c r="J17" s="2" t="n"/>
      <c r="K17" s="2" t="n"/>
    </row>
    <row r="18">
      <c r="A18" s="5" t="inlineStr">
        <is>
          <t>Right Arm</t>
        </is>
      </c>
      <c r="B18" s="8">
        <f>C5+4</f>
        <v/>
      </c>
      <c r="C18" s="2" t="inlineStr"/>
      <c r="D18" s="2" t="n"/>
      <c r="E18" s="2" t="inlineStr"/>
      <c r="F18" s="2" t="n"/>
      <c r="G18" s="9" t="inlineStr">
        <is>
          <t>12%</t>
        </is>
      </c>
      <c r="H18" s="2" t="n"/>
      <c r="I18" s="2" t="inlineStr"/>
      <c r="J18" s="2" t="n"/>
      <c r="K18" s="2" t="n"/>
    </row>
    <row r="19">
      <c r="A19" s="5" t="inlineStr">
        <is>
          <t>Left Leg</t>
        </is>
      </c>
      <c r="B19" s="8">
        <f>C5+5</f>
        <v/>
      </c>
      <c r="C19" s="2" t="inlineStr"/>
      <c r="D19" s="2" t="n"/>
      <c r="E19" s="2" t="inlineStr"/>
      <c r="F19" s="2" t="n"/>
      <c r="G19" s="9" t="inlineStr">
        <is>
          <t>10%</t>
        </is>
      </c>
      <c r="H19" s="2" t="n"/>
      <c r="I19" s="2" t="inlineStr"/>
      <c r="J19" s="2" t="n"/>
      <c r="K19" s="2" t="n"/>
    </row>
    <row r="20">
      <c r="A20" s="5" t="inlineStr">
        <is>
          <t>Right Leg</t>
        </is>
      </c>
      <c r="B20" s="8">
        <f>C5+5</f>
        <v/>
      </c>
      <c r="C20" s="2" t="inlineStr"/>
      <c r="D20" s="2" t="n"/>
      <c r="E20" s="2" t="inlineStr"/>
      <c r="F20" s="2" t="n"/>
      <c r="G20" s="9" t="inlineStr">
        <is>
          <t>10%</t>
        </is>
      </c>
      <c r="H20" s="2" t="n"/>
      <c r="I20" s="2" t="inlineStr"/>
      <c r="J20" s="2" t="n"/>
      <c r="K20" s="2" t="n"/>
    </row>
    <row r="21">
      <c r="A21" s="3" t="inlineStr">
        <is>
          <t>Combat Data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1" t="n"/>
    </row>
    <row r="22">
      <c r="A22" s="6" t="inlineStr">
        <is>
          <t>Primary Attack: Giant Fang Bite 1d10+5 + Infection, Melee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6" t="inlineStr">
        <is>
          <t>Secondary Attack: Tail Sweep 1d6 + Prone, 2m radius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1" t="n"/>
    </row>
    <row r="24">
      <c r="A24" s="6" t="inlineStr">
        <is>
          <t>Armor DR: Full Body DR1 (Thick Hide)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n"/>
    </row>
    <row r="25">
      <c r="A25" s="6" t="inlineStr">
        <is>
          <t>Special Ability: Summon Rat Pack (1d4 Mutant Rats every 2 rounds); Disease Aura (each round within melee range, Physique TN14 or infected)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6" t="inlineStr">
        <is>
          <t>Behavior: Lurks deep in sewers; berserk chase of territory intruders once disturbed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6" t="inlineStr">
        <is>
          <t>Loot: Rat King Hide (Purple) + Sewer Key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</sheetData>
  <mergeCells count="52">
    <mergeCell ref="I5"/>
    <mergeCell ref="A17"/>
    <mergeCell ref="B7:C7"/>
    <mergeCell ref="D3"/>
    <mergeCell ref="B3:C3"/>
    <mergeCell ref="H3"/>
    <mergeCell ref="B15"/>
    <mergeCell ref="A24:K24"/>
    <mergeCell ref="A20"/>
    <mergeCell ref="B20"/>
    <mergeCell ref="A10"/>
    <mergeCell ref="I3:K3"/>
    <mergeCell ref="A19"/>
    <mergeCell ref="A1:K1"/>
    <mergeCell ref="B12:C12"/>
    <mergeCell ref="A6:K6"/>
    <mergeCell ref="A9"/>
    <mergeCell ref="B11:C11"/>
    <mergeCell ref="A15"/>
    <mergeCell ref="A25:K25"/>
    <mergeCell ref="B16"/>
    <mergeCell ref="A11"/>
    <mergeCell ref="E7:G7"/>
    <mergeCell ref="C5"/>
    <mergeCell ref="I7:K7"/>
    <mergeCell ref="A27:K27"/>
    <mergeCell ref="E5"/>
    <mergeCell ref="B18"/>
    <mergeCell ref="A26:K26"/>
    <mergeCell ref="A21:K21"/>
    <mergeCell ref="A7"/>
    <mergeCell ref="B10:C10"/>
    <mergeCell ref="A2:K2"/>
    <mergeCell ref="A16"/>
    <mergeCell ref="E3:G3"/>
    <mergeCell ref="B9:C9"/>
    <mergeCell ref="B14"/>
    <mergeCell ref="A23:K23"/>
    <mergeCell ref="A8:K8"/>
    <mergeCell ref="A22:K22"/>
    <mergeCell ref="A4:K4"/>
    <mergeCell ref="A12"/>
    <mergeCell ref="B17"/>
    <mergeCell ref="A18"/>
    <mergeCell ref="A3"/>
    <mergeCell ref="D7"/>
    <mergeCell ref="H7"/>
    <mergeCell ref="A13:K13"/>
    <mergeCell ref="B19"/>
    <mergeCell ref="A14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2026-06-23T18:55:43Z</dcterms:created>
  <dcterms:modified xsi:type="dcterms:W3CDTF">2026-08-09T19:01:45Z</dcterms:modified>
</cp:coreProperties>
</file>