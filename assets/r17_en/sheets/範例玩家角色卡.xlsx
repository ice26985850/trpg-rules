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teran-Mark" sheetId="1" state="visible" r:id="rId1"/>
    <sheet name="Scavenger-Old Chen" sheetId="2" state="visible" r:id="rId2"/>
    <sheet name="Former Corp-Xiao Zhou" sheetId="3" state="visible" r:id="rId3"/>
    <sheet name="Medic-Xiao Ye" sheetId="4" state="visible" r:id="rId4"/>
    <sheet name="Mutant Adapted-Da Xiong" sheetId="5" state="visible" r:id="rId5"/>
    <sheet name="Border Dweller-Old 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  <font>
      <name val="Microsoft JhengHei"/>
      <b val="1"/>
      <sz val="8"/>
    </font>
    <font>
      <name val="Microsoft JhengHei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Example Character Sheet - Veteran-Mark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Character Name</t>
        </is>
      </c>
      <c r="B3" s="6" t="inlineStr">
        <is>
          <t>Veteran-Mark</t>
        </is>
      </c>
      <c r="C3" s="11" t="n"/>
      <c r="D3" s="5" t="inlineStr">
        <is>
          <t>Origin</t>
        </is>
      </c>
      <c r="E3" s="6" t="inlineStr">
        <is>
          <t>Veteran</t>
        </is>
      </c>
      <c r="F3" s="11" t="n"/>
      <c r="G3" s="5" t="inlineStr">
        <is>
          <t>Level</t>
        </is>
      </c>
      <c r="H3" s="5" t="inlineStr">
        <is>
          <t>XP</t>
        </is>
      </c>
      <c r="I3" s="5" t="inlineStr">
        <is>
          <t>Funds 800</t>
        </is>
      </c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Physique (PHY)</t>
        </is>
      </c>
      <c r="B5" s="7" t="n">
        <v>7</v>
      </c>
      <c r="C5" s="5" t="inlineStr">
        <is>
          <t>Precision (PRC)</t>
        </is>
      </c>
      <c r="D5" s="7" t="n">
        <v>6</v>
      </c>
      <c r="E5" s="5" t="inlineStr">
        <is>
          <t>Perception (PER)</t>
        </is>
      </c>
      <c r="F5" s="7" t="n">
        <v>5</v>
      </c>
      <c r="G5" s="5" t="inlineStr">
        <is>
          <t>Tech (TEC)</t>
        </is>
      </c>
      <c r="H5" s="7" t="n">
        <v>4</v>
      </c>
      <c r="I5" s="5" t="inlineStr">
        <is>
          <t>Courage (CRG)</t>
        </is>
      </c>
      <c r="J5" s="7" t="n">
        <v>5</v>
      </c>
    </row>
    <row r="6">
      <c r="A6" s="3" t="inlineStr">
        <is>
          <t>Derived Attributes (Auto-Calculated)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 kg</t>
        </is>
      </c>
      <c r="E7" s="8">
        <f>C5*5</f>
        <v/>
      </c>
      <c r="F7" s="11" t="n"/>
      <c r="G7" s="5" t="inlineStr">
        <is>
          <t>Skill Points</t>
        </is>
      </c>
      <c r="H7" s="8">
        <f>(I5+K5)*2</f>
        <v/>
      </c>
      <c r="I7" s="11" t="n"/>
    </row>
    <row r="8">
      <c r="A8" s="3" t="inlineStr">
        <is>
          <t>Seven-Part HP (Auto-Calculated)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Head</t>
        </is>
      </c>
      <c r="B9" s="8">
        <f>C5+6</f>
        <v/>
      </c>
      <c r="C9" s="11" t="n"/>
      <c r="D9" s="5" t="inlineStr">
        <is>
          <t>Current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Helmet</t>
        </is>
      </c>
      <c r="I9" s="2" t="n"/>
    </row>
    <row r="10">
      <c r="A10" s="5" t="inlineStr">
        <is>
          <t>Chest</t>
        </is>
      </c>
      <c r="B10" s="8">
        <f>C5*2+10</f>
        <v/>
      </c>
      <c r="C10" s="11" t="n"/>
      <c r="D10" s="5" t="inlineStr">
        <is>
          <t>Current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Body Armor + Vest</t>
        </is>
      </c>
      <c r="I10" s="2" t="n"/>
    </row>
    <row r="11">
      <c r="A11" s="5" t="inlineStr">
        <is>
          <t>Abdomen</t>
        </is>
      </c>
      <c r="B11" s="8">
        <f>C5+8</f>
        <v/>
      </c>
      <c r="C11" s="11" t="n"/>
      <c r="D11" s="5" t="inlineStr">
        <is>
          <t>Current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Body Armor + Vest</t>
        </is>
      </c>
      <c r="I11" s="2" t="n"/>
    </row>
    <row r="12">
      <c r="A12" s="5" t="inlineStr">
        <is>
          <t>Left Arm</t>
        </is>
      </c>
      <c r="B12" s="8">
        <f>C5+4</f>
        <v/>
      </c>
      <c r="C12" s="11" t="n"/>
      <c r="D12" s="5" t="inlineStr">
        <is>
          <t>Current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Gloves</t>
        </is>
      </c>
      <c r="I12" s="2" t="n"/>
    </row>
    <row r="13">
      <c r="A13" s="5" t="inlineStr">
        <is>
          <t>Right Arm</t>
        </is>
      </c>
      <c r="B13" s="8">
        <f>C5+4</f>
        <v/>
      </c>
      <c r="C13" s="11" t="n"/>
      <c r="D13" s="5" t="inlineStr">
        <is>
          <t>Current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Gloves</t>
        </is>
      </c>
      <c r="I13" s="2" t="n"/>
    </row>
    <row r="14">
      <c r="A14" s="5" t="inlineStr">
        <is>
          <t>Left Leg</t>
        </is>
      </c>
      <c r="B14" s="8">
        <f>C5+5</f>
        <v/>
      </c>
      <c r="C14" s="11" t="n"/>
      <c r="D14" s="5" t="inlineStr">
        <is>
          <t>Current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Combat Boots</t>
        </is>
      </c>
      <c r="I14" s="2" t="n"/>
    </row>
    <row r="15">
      <c r="A15" s="5" t="inlineStr">
        <is>
          <t>Right Leg</t>
        </is>
      </c>
      <c r="B15" s="8">
        <f>C5+5</f>
        <v/>
      </c>
      <c r="C15" s="11" t="n"/>
      <c r="D15" s="5" t="inlineStr">
        <is>
          <t>Current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Combat Boots</t>
        </is>
      </c>
      <c r="I15" s="2" t="n"/>
    </row>
    <row r="16">
      <c r="A16" s="3" t="inlineStr">
        <is>
          <t>Equipment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Equipment: Military Surplus Pistol (1d8, 12 rounds), 9mmx30, Worn Combat Boots, Dog Tags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Main Skills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Firearms</t>
        </is>
      </c>
      <c r="B26" s="6" t="n">
        <v>3</v>
      </c>
      <c r="C26" s="11" t="n"/>
    </row>
    <row r="27">
      <c r="A27" s="5" t="inlineStr">
        <is>
          <t>Melee</t>
        </is>
      </c>
      <c r="B27" s="6" t="n">
        <v>2</v>
      </c>
      <c r="C27" s="11" t="n"/>
    </row>
    <row r="28">
      <c r="A28" s="5" t="inlineStr">
        <is>
          <t>Awareness</t>
        </is>
      </c>
      <c r="B28" s="6" t="n">
        <v>2</v>
      </c>
      <c r="C28" s="11" t="n"/>
    </row>
    <row r="29">
      <c r="A29" s="5" t="inlineStr">
        <is>
          <t>Stealth</t>
        </is>
      </c>
      <c r="B29" s="6" t="n">
        <v>1</v>
      </c>
      <c r="C29" s="11" t="n"/>
    </row>
    <row r="30">
      <c r="A30" s="5" t="inlineStr">
        <is>
          <t>Willpower</t>
        </is>
      </c>
      <c r="B30" s="6" t="n">
        <v>2</v>
      </c>
      <c r="C30" s="11" t="n"/>
    </row>
    <row r="31">
      <c r="A31" s="5" t="inlineStr">
        <is>
          <t>Leadership</t>
        </is>
      </c>
      <c r="B31" s="6" t="n">
        <v>1</v>
      </c>
      <c r="C31" s="11" t="n"/>
    </row>
    <row r="32">
      <c r="A32" s="5" t="inlineStr">
        <is>
          <t>First Aid</t>
        </is>
      </c>
      <c r="B32" s="6" t="n">
        <v>1</v>
      </c>
      <c r="C32" s="11" t="n"/>
    </row>
    <row r="33">
      <c r="A33" s="3" t="inlineStr">
        <is>
          <t>Feats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6" t="inlineStr">
        <is>
          <t>Quick Hands</t>
        </is>
      </c>
      <c r="B34" s="10" t="n"/>
      <c r="C34" s="10" t="n"/>
      <c r="D34" s="10" t="n"/>
      <c r="E34" s="10" t="n"/>
      <c r="F34" s="10" t="n"/>
      <c r="G34" s="10" t="n"/>
      <c r="H34" s="10" t="n"/>
      <c r="I34" s="11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</sheetData>
  <mergeCells count="69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A34:I34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B32:C32"/>
    <mergeCell ref="E11"/>
    <mergeCell ref="A6:I6"/>
    <mergeCell ref="B26:C26"/>
    <mergeCell ref="E3:F3"/>
    <mergeCell ref="A14"/>
    <mergeCell ref="A5"/>
    <mergeCell ref="G5"/>
    <mergeCell ref="A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Example Character Sheet - Scavenger-Old Chen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Character Name</t>
        </is>
      </c>
      <c r="B3" s="6" t="inlineStr">
        <is>
          <t>Scavenger-Old Chen</t>
        </is>
      </c>
      <c r="C3" s="11" t="n"/>
      <c r="D3" s="5" t="inlineStr">
        <is>
          <t>Origin</t>
        </is>
      </c>
      <c r="E3" s="6" t="inlineStr">
        <is>
          <t>Scavenger</t>
        </is>
      </c>
      <c r="F3" s="11" t="n"/>
      <c r="G3" s="5" t="inlineStr">
        <is>
          <t>Level</t>
        </is>
      </c>
      <c r="H3" s="5" t="inlineStr">
        <is>
          <t>XP</t>
        </is>
      </c>
      <c r="I3" s="5" t="inlineStr">
        <is>
          <t>Funds 600</t>
        </is>
      </c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Physique (PHY)</t>
        </is>
      </c>
      <c r="B5" s="7" t="n">
        <v>4</v>
      </c>
      <c r="C5" s="5" t="inlineStr">
        <is>
          <t>Precision (PRC)</t>
        </is>
      </c>
      <c r="D5" s="7" t="n">
        <v>5</v>
      </c>
      <c r="E5" s="5" t="inlineStr">
        <is>
          <t>Perception (PER)</t>
        </is>
      </c>
      <c r="F5" s="7" t="n">
        <v>7</v>
      </c>
      <c r="G5" s="5" t="inlineStr">
        <is>
          <t>Tech (TEC)</t>
        </is>
      </c>
      <c r="H5" s="7" t="n">
        <v>6</v>
      </c>
      <c r="I5" s="5" t="inlineStr">
        <is>
          <t>Courage (CRG)</t>
        </is>
      </c>
      <c r="J5" s="7" t="n">
        <v>4</v>
      </c>
    </row>
    <row r="6">
      <c r="A6" s="3" t="inlineStr">
        <is>
          <t>Derived Attributes (Auto-Calculated)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 kg</t>
        </is>
      </c>
      <c r="E7" s="8">
        <f>C5*5</f>
        <v/>
      </c>
      <c r="F7" s="11" t="n"/>
      <c r="G7" s="5" t="inlineStr">
        <is>
          <t>Skill Points</t>
        </is>
      </c>
      <c r="H7" s="8">
        <f>(I5+K5)*2</f>
        <v/>
      </c>
      <c r="I7" s="11" t="n"/>
    </row>
    <row r="8">
      <c r="A8" s="3" t="inlineStr">
        <is>
          <t>Seven-Part HP (Auto-Calculated)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Head</t>
        </is>
      </c>
      <c r="B9" s="8">
        <f>C5+6</f>
        <v/>
      </c>
      <c r="C9" s="11" t="n"/>
      <c r="D9" s="5" t="inlineStr">
        <is>
          <t>Current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Helmet</t>
        </is>
      </c>
      <c r="I9" s="2" t="n"/>
    </row>
    <row r="10">
      <c r="A10" s="5" t="inlineStr">
        <is>
          <t>Chest</t>
        </is>
      </c>
      <c r="B10" s="8">
        <f>C5*2+10</f>
        <v/>
      </c>
      <c r="C10" s="11" t="n"/>
      <c r="D10" s="5" t="inlineStr">
        <is>
          <t>Current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Body Armor + Vest</t>
        </is>
      </c>
      <c r="I10" s="2" t="n"/>
    </row>
    <row r="11">
      <c r="A11" s="5" t="inlineStr">
        <is>
          <t>Abdomen</t>
        </is>
      </c>
      <c r="B11" s="8">
        <f>C5+8</f>
        <v/>
      </c>
      <c r="C11" s="11" t="n"/>
      <c r="D11" s="5" t="inlineStr">
        <is>
          <t>Current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Body Armor + Vest</t>
        </is>
      </c>
      <c r="I11" s="2" t="n"/>
    </row>
    <row r="12">
      <c r="A12" s="5" t="inlineStr">
        <is>
          <t>Left Arm</t>
        </is>
      </c>
      <c r="B12" s="8">
        <f>C5+4</f>
        <v/>
      </c>
      <c r="C12" s="11" t="n"/>
      <c r="D12" s="5" t="inlineStr">
        <is>
          <t>Current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Gloves</t>
        </is>
      </c>
      <c r="I12" s="2" t="n"/>
    </row>
    <row r="13">
      <c r="A13" s="5" t="inlineStr">
        <is>
          <t>Right Arm</t>
        </is>
      </c>
      <c r="B13" s="8">
        <f>C5+4</f>
        <v/>
      </c>
      <c r="C13" s="11" t="n"/>
      <c r="D13" s="5" t="inlineStr">
        <is>
          <t>Current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Gloves</t>
        </is>
      </c>
      <c r="I13" s="2" t="n"/>
    </row>
    <row r="14">
      <c r="A14" s="5" t="inlineStr">
        <is>
          <t>Left Leg</t>
        </is>
      </c>
      <c r="B14" s="8">
        <f>C5+5</f>
        <v/>
      </c>
      <c r="C14" s="11" t="n"/>
      <c r="D14" s="5" t="inlineStr">
        <is>
          <t>Current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Combat Boots</t>
        </is>
      </c>
      <c r="I14" s="2" t="n"/>
    </row>
    <row r="15">
      <c r="A15" s="5" t="inlineStr">
        <is>
          <t>Right Leg</t>
        </is>
      </c>
      <c r="B15" s="8">
        <f>C5+5</f>
        <v/>
      </c>
      <c r="C15" s="11" t="n"/>
      <c r="D15" s="5" t="inlineStr">
        <is>
          <t>Current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Combat Boots</t>
        </is>
      </c>
      <c r="I15" s="2" t="n"/>
    </row>
    <row r="16">
      <c r="A16" s="3" t="inlineStr">
        <is>
          <t>Equipment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Equipment: Old Shotgun (2d6, 3 rounds), 12-gauge x9, Simple Detector, Worn Backpack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Main Skills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Firearms</t>
        </is>
      </c>
      <c r="B26" s="6" t="n">
        <v>2</v>
      </c>
      <c r="C26" s="11" t="n"/>
    </row>
    <row r="27">
      <c r="A27" s="5" t="inlineStr">
        <is>
          <t>Awareness</t>
        </is>
      </c>
      <c r="B27" s="6" t="n">
        <v>3</v>
      </c>
      <c r="C27" s="11" t="n"/>
    </row>
    <row r="28">
      <c r="A28" s="5" t="inlineStr">
        <is>
          <t>Stealth</t>
        </is>
      </c>
      <c r="B28" s="6" t="n">
        <v>2</v>
      </c>
      <c r="C28" s="11" t="n"/>
    </row>
    <row r="29">
      <c r="A29" s="5" t="inlineStr">
        <is>
          <t>Survival</t>
        </is>
      </c>
      <c r="B29" s="6" t="n">
        <v>2</v>
      </c>
      <c r="C29" s="11" t="n"/>
    </row>
    <row r="30">
      <c r="A30" s="5" t="inlineStr">
        <is>
          <t>First Aid</t>
        </is>
      </c>
      <c r="B30" s="6" t="n">
        <v>1</v>
      </c>
      <c r="C30" s="11" t="n"/>
    </row>
    <row r="31">
      <c r="A31" s="5" t="inlineStr">
        <is>
          <t>Mechanics</t>
        </is>
      </c>
      <c r="B31" s="6" t="n">
        <v>2</v>
      </c>
      <c r="C31" s="11" t="n"/>
    </row>
    <row r="32">
      <c r="A32" s="5" t="inlineStr">
        <is>
          <t>Street Smarts</t>
        </is>
      </c>
      <c r="B32" s="6" t="n">
        <v>1</v>
      </c>
      <c r="C32" s="11" t="n"/>
    </row>
    <row r="33">
      <c r="A33" s="3" t="inlineStr">
        <is>
          <t>Feats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6" t="inlineStr">
        <is>
          <t>Light Fingers</t>
        </is>
      </c>
      <c r="B34" s="10" t="n"/>
      <c r="C34" s="10" t="n"/>
      <c r="D34" s="10" t="n"/>
      <c r="E34" s="10" t="n"/>
      <c r="F34" s="10" t="n"/>
      <c r="G34" s="10" t="n"/>
      <c r="H34" s="10" t="n"/>
      <c r="I34" s="11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</sheetData>
  <mergeCells count="69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A34:I34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B32:C32"/>
    <mergeCell ref="E11"/>
    <mergeCell ref="A6:I6"/>
    <mergeCell ref="B26:C26"/>
    <mergeCell ref="E3:F3"/>
    <mergeCell ref="A14"/>
    <mergeCell ref="A5"/>
    <mergeCell ref="G5"/>
    <mergeCell ref="A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Example Character Sheet - Former Corp-Xiao Zhou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Character Name</t>
        </is>
      </c>
      <c r="B3" s="6" t="inlineStr">
        <is>
          <t>Former Corporate Employee-Xiao Zhou</t>
        </is>
      </c>
      <c r="C3" s="11" t="n"/>
      <c r="D3" s="5" t="inlineStr">
        <is>
          <t>Origin</t>
        </is>
      </c>
      <c r="E3" s="6" t="inlineStr">
        <is>
          <t>Former Corporate Employee</t>
        </is>
      </c>
      <c r="F3" s="11" t="n"/>
      <c r="G3" s="5" t="inlineStr">
        <is>
          <t>Level</t>
        </is>
      </c>
      <c r="H3" s="5" t="inlineStr">
        <is>
          <t>XP</t>
        </is>
      </c>
      <c r="I3" s="5" t="inlineStr">
        <is>
          <t>Funds 1200</t>
        </is>
      </c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Physique (PHY)</t>
        </is>
      </c>
      <c r="B5" s="7" t="n">
        <v>4</v>
      </c>
      <c r="C5" s="5" t="inlineStr">
        <is>
          <t>Precision (PRC)</t>
        </is>
      </c>
      <c r="D5" s="7" t="n">
        <v>6</v>
      </c>
      <c r="E5" s="5" t="inlineStr">
        <is>
          <t>Perception (PER)</t>
        </is>
      </c>
      <c r="F5" s="7" t="n">
        <v>5</v>
      </c>
      <c r="G5" s="5" t="inlineStr">
        <is>
          <t>Tech (TEC)</t>
        </is>
      </c>
      <c r="H5" s="7" t="n">
        <v>7</v>
      </c>
      <c r="I5" s="5" t="inlineStr">
        <is>
          <t>Courage (CRG)</t>
        </is>
      </c>
      <c r="J5" s="7" t="n">
        <v>5</v>
      </c>
    </row>
    <row r="6">
      <c r="A6" s="3" t="inlineStr">
        <is>
          <t>Derived Attributes (Auto-Calculated)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 kg</t>
        </is>
      </c>
      <c r="E7" s="8">
        <f>C5*5</f>
        <v/>
      </c>
      <c r="F7" s="11" t="n"/>
      <c r="G7" s="5" t="inlineStr">
        <is>
          <t>Skill Points</t>
        </is>
      </c>
      <c r="H7" s="8">
        <f>(I5+K5)*2</f>
        <v/>
      </c>
      <c r="I7" s="11" t="n"/>
    </row>
    <row r="8">
      <c r="A8" s="3" t="inlineStr">
        <is>
          <t>Seven-Part HP (Auto-Calculated)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Head</t>
        </is>
      </c>
      <c r="B9" s="8">
        <f>C5+6</f>
        <v/>
      </c>
      <c r="C9" s="11" t="n"/>
      <c r="D9" s="5" t="inlineStr">
        <is>
          <t>Current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Helmet</t>
        </is>
      </c>
      <c r="I9" s="2" t="n"/>
    </row>
    <row r="10">
      <c r="A10" s="5" t="inlineStr">
        <is>
          <t>Chest</t>
        </is>
      </c>
      <c r="B10" s="8">
        <f>C5*2+10</f>
        <v/>
      </c>
      <c r="C10" s="11" t="n"/>
      <c r="D10" s="5" t="inlineStr">
        <is>
          <t>Current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Body Armor + Vest</t>
        </is>
      </c>
      <c r="I10" s="2" t="n"/>
    </row>
    <row r="11">
      <c r="A11" s="5" t="inlineStr">
        <is>
          <t>Abdomen</t>
        </is>
      </c>
      <c r="B11" s="8">
        <f>C5+8</f>
        <v/>
      </c>
      <c r="C11" s="11" t="n"/>
      <c r="D11" s="5" t="inlineStr">
        <is>
          <t>Current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Body Armor + Vest</t>
        </is>
      </c>
      <c r="I11" s="2" t="n"/>
    </row>
    <row r="12">
      <c r="A12" s="5" t="inlineStr">
        <is>
          <t>Left Arm</t>
        </is>
      </c>
      <c r="B12" s="8">
        <f>C5+4</f>
        <v/>
      </c>
      <c r="C12" s="11" t="n"/>
      <c r="D12" s="5" t="inlineStr">
        <is>
          <t>Current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Gloves</t>
        </is>
      </c>
      <c r="I12" s="2" t="n"/>
    </row>
    <row r="13">
      <c r="A13" s="5" t="inlineStr">
        <is>
          <t>Right Arm</t>
        </is>
      </c>
      <c r="B13" s="8">
        <f>C5+4</f>
        <v/>
      </c>
      <c r="C13" s="11" t="n"/>
      <c r="D13" s="5" t="inlineStr">
        <is>
          <t>Current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Gloves</t>
        </is>
      </c>
      <c r="I13" s="2" t="n"/>
    </row>
    <row r="14">
      <c r="A14" s="5" t="inlineStr">
        <is>
          <t>Left Leg</t>
        </is>
      </c>
      <c r="B14" s="8">
        <f>C5+5</f>
        <v/>
      </c>
      <c r="C14" s="11" t="n"/>
      <c r="D14" s="5" t="inlineStr">
        <is>
          <t>Current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Combat Boots</t>
        </is>
      </c>
      <c r="I14" s="2" t="n"/>
    </row>
    <row r="15">
      <c r="A15" s="5" t="inlineStr">
        <is>
          <t>Right Leg</t>
        </is>
      </c>
      <c r="B15" s="8">
        <f>C5+5</f>
        <v/>
      </c>
      <c r="C15" s="11" t="n"/>
      <c r="D15" s="5" t="inlineStr">
        <is>
          <t>Current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Combat Boots</t>
        </is>
      </c>
      <c r="I15" s="2" t="n"/>
    </row>
    <row r="16">
      <c r="A16" s="3" t="inlineStr">
        <is>
          <t>Equipment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Equipment: Compact Pistol (1d6, 7 rounds, concealed), 9mmx24, Electronic Decoder, Company ID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Main Skills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Firearms</t>
        </is>
      </c>
      <c r="B26" s="6" t="n">
        <v>2</v>
      </c>
      <c r="C26" s="11" t="n"/>
    </row>
    <row r="27">
      <c r="A27" s="5" t="inlineStr">
        <is>
          <t>Electronics</t>
        </is>
      </c>
      <c r="B27" s="6" t="n">
        <v>3</v>
      </c>
      <c r="C27" s="11" t="n"/>
    </row>
    <row r="28">
      <c r="A28" s="5" t="inlineStr">
        <is>
          <t>Lockpicking</t>
        </is>
      </c>
      <c r="B28" s="6" t="n">
        <v>2</v>
      </c>
      <c r="C28" s="11" t="n"/>
    </row>
    <row r="29">
      <c r="A29" s="5" t="inlineStr">
        <is>
          <t>First Aid</t>
        </is>
      </c>
      <c r="B29" s="6" t="n">
        <v>1</v>
      </c>
      <c r="C29" s="11" t="n"/>
    </row>
    <row r="30">
      <c r="A30" s="5" t="inlineStr">
        <is>
          <t>Mechanics</t>
        </is>
      </c>
      <c r="B30" s="6" t="n">
        <v>2</v>
      </c>
      <c r="C30" s="11" t="n"/>
    </row>
    <row r="31">
      <c r="A31" s="5" t="inlineStr">
        <is>
          <t>Awareness</t>
        </is>
      </c>
      <c r="B31" s="6" t="n">
        <v>2</v>
      </c>
      <c r="C31" s="11" t="n"/>
    </row>
    <row r="32">
      <c r="A32" s="5" t="inlineStr">
        <is>
          <t>Persuasion</t>
        </is>
      </c>
      <c r="B32" s="6" t="n">
        <v>1</v>
      </c>
      <c r="C32" s="11" t="n"/>
    </row>
    <row r="33">
      <c r="A33" s="3" t="inlineStr">
        <is>
          <t>Feats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6" t="inlineStr">
        <is>
          <t>Steady Shooting</t>
        </is>
      </c>
      <c r="B34" s="10" t="n"/>
      <c r="C34" s="10" t="n"/>
      <c r="D34" s="10" t="n"/>
      <c r="E34" s="10" t="n"/>
      <c r="F34" s="10" t="n"/>
      <c r="G34" s="10" t="n"/>
      <c r="H34" s="10" t="n"/>
      <c r="I34" s="11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</sheetData>
  <mergeCells count="69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A34:I34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B32:C32"/>
    <mergeCell ref="E11"/>
    <mergeCell ref="A6:I6"/>
    <mergeCell ref="B26:C26"/>
    <mergeCell ref="E3:F3"/>
    <mergeCell ref="A14"/>
    <mergeCell ref="A5"/>
    <mergeCell ref="G5"/>
    <mergeCell ref="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Example Character Sheet - Medic-Xiao Ye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Character Name</t>
        </is>
      </c>
      <c r="B3" s="6" t="inlineStr">
        <is>
          <t>Medic-Xiao Ye</t>
        </is>
      </c>
      <c r="C3" s="11" t="n"/>
      <c r="D3" s="5" t="inlineStr">
        <is>
          <t>Origin</t>
        </is>
      </c>
      <c r="E3" s="6" t="inlineStr">
        <is>
          <t>Medic</t>
        </is>
      </c>
      <c r="F3" s="11" t="n"/>
      <c r="G3" s="5" t="inlineStr">
        <is>
          <t>Level</t>
        </is>
      </c>
      <c r="H3" s="5" t="inlineStr">
        <is>
          <t>XP</t>
        </is>
      </c>
      <c r="I3" s="5" t="inlineStr">
        <is>
          <t>Funds 700</t>
        </is>
      </c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Physique (PHY)</t>
        </is>
      </c>
      <c r="B5" s="7" t="n">
        <v>5</v>
      </c>
      <c r="C5" s="5" t="inlineStr">
        <is>
          <t>Precision (PRC)</t>
        </is>
      </c>
      <c r="D5" s="7" t="n">
        <v>4</v>
      </c>
      <c r="E5" s="5" t="inlineStr">
        <is>
          <t>Perception (PER)</t>
        </is>
      </c>
      <c r="F5" s="7" t="n">
        <v>5</v>
      </c>
      <c r="G5" s="5" t="inlineStr">
        <is>
          <t>Tech (TEC)</t>
        </is>
      </c>
      <c r="H5" s="7" t="n">
        <v>7</v>
      </c>
      <c r="I5" s="5" t="inlineStr">
        <is>
          <t>Courage (CRG)</t>
        </is>
      </c>
      <c r="J5" s="7" t="n">
        <v>6</v>
      </c>
    </row>
    <row r="6">
      <c r="A6" s="3" t="inlineStr">
        <is>
          <t>Derived Attributes (Auto-Calculated)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 kg</t>
        </is>
      </c>
      <c r="E7" s="8">
        <f>C5*5</f>
        <v/>
      </c>
      <c r="F7" s="11" t="n"/>
      <c r="G7" s="5" t="inlineStr">
        <is>
          <t>Skill Points</t>
        </is>
      </c>
      <c r="H7" s="8">
        <f>(I5+K5)*2</f>
        <v/>
      </c>
      <c r="I7" s="11" t="n"/>
    </row>
    <row r="8">
      <c r="A8" s="3" t="inlineStr">
        <is>
          <t>Seven-Part HP (Auto-Calculated)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Head</t>
        </is>
      </c>
      <c r="B9" s="8">
        <f>C5+6</f>
        <v/>
      </c>
      <c r="C9" s="11" t="n"/>
      <c r="D9" s="5" t="inlineStr">
        <is>
          <t>Current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Helmet</t>
        </is>
      </c>
      <c r="I9" s="2" t="n"/>
    </row>
    <row r="10">
      <c r="A10" s="5" t="inlineStr">
        <is>
          <t>Chest</t>
        </is>
      </c>
      <c r="B10" s="8">
        <f>C5*2+10</f>
        <v/>
      </c>
      <c r="C10" s="11" t="n"/>
      <c r="D10" s="5" t="inlineStr">
        <is>
          <t>Current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Body Armor + Vest</t>
        </is>
      </c>
      <c r="I10" s="2" t="n"/>
    </row>
    <row r="11">
      <c r="A11" s="5" t="inlineStr">
        <is>
          <t>Abdomen</t>
        </is>
      </c>
      <c r="B11" s="8">
        <f>C5+8</f>
        <v/>
      </c>
      <c r="C11" s="11" t="n"/>
      <c r="D11" s="5" t="inlineStr">
        <is>
          <t>Current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Body Armor + Vest</t>
        </is>
      </c>
      <c r="I11" s="2" t="n"/>
    </row>
    <row r="12">
      <c r="A12" s="5" t="inlineStr">
        <is>
          <t>Left Arm</t>
        </is>
      </c>
      <c r="B12" s="8">
        <f>C5+4</f>
        <v/>
      </c>
      <c r="C12" s="11" t="n"/>
      <c r="D12" s="5" t="inlineStr">
        <is>
          <t>Current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Gloves</t>
        </is>
      </c>
      <c r="I12" s="2" t="n"/>
    </row>
    <row r="13">
      <c r="A13" s="5" t="inlineStr">
        <is>
          <t>Right Arm</t>
        </is>
      </c>
      <c r="B13" s="8">
        <f>C5+4</f>
        <v/>
      </c>
      <c r="C13" s="11" t="n"/>
      <c r="D13" s="5" t="inlineStr">
        <is>
          <t>Current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Gloves</t>
        </is>
      </c>
      <c r="I13" s="2" t="n"/>
    </row>
    <row r="14">
      <c r="A14" s="5" t="inlineStr">
        <is>
          <t>Left Leg</t>
        </is>
      </c>
      <c r="B14" s="8">
        <f>C5+5</f>
        <v/>
      </c>
      <c r="C14" s="11" t="n"/>
      <c r="D14" s="5" t="inlineStr">
        <is>
          <t>Current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Combat Boots</t>
        </is>
      </c>
      <c r="I14" s="2" t="n"/>
    </row>
    <row r="15">
      <c r="A15" s="5" t="inlineStr">
        <is>
          <t>Right Leg</t>
        </is>
      </c>
      <c r="B15" s="8">
        <f>C5+5</f>
        <v/>
      </c>
      <c r="C15" s="11" t="n"/>
      <c r="D15" s="5" t="inlineStr">
        <is>
          <t>Current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Combat Boots</t>
        </is>
      </c>
      <c r="I15" s="2" t="n"/>
    </row>
    <row r="16">
      <c r="A16" s="3" t="inlineStr">
        <is>
          <t>Equipment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Equipment: Small Pistol (1d6, 7 rounds), 9mmx12, First Aid Kit x3, Tourniquet x2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Main Skills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First Aid</t>
        </is>
      </c>
      <c r="B26" s="6" t="n">
        <v>4</v>
      </c>
      <c r="C26" s="11" t="n"/>
    </row>
    <row r="27">
      <c r="A27" s="5" t="inlineStr">
        <is>
          <t>Firearms</t>
        </is>
      </c>
      <c r="B27" s="6" t="n">
        <v>1</v>
      </c>
      <c r="C27" s="11" t="n"/>
    </row>
    <row r="28">
      <c r="A28" s="5" t="inlineStr">
        <is>
          <t>Awareness</t>
        </is>
      </c>
      <c r="B28" s="6" t="n">
        <v>2</v>
      </c>
      <c r="C28" s="11" t="n"/>
    </row>
    <row r="29">
      <c r="A29" s="5" t="inlineStr">
        <is>
          <t>Survival</t>
        </is>
      </c>
      <c r="B29" s="6" t="n">
        <v>2</v>
      </c>
      <c r="C29" s="11" t="n"/>
    </row>
    <row r="30">
      <c r="A30" s="5" t="inlineStr">
        <is>
          <t>Willpower</t>
        </is>
      </c>
      <c r="B30" s="6" t="n">
        <v>2</v>
      </c>
      <c r="C30" s="11" t="n"/>
    </row>
    <row r="31">
      <c r="A31" s="5" t="inlineStr">
        <is>
          <t>Persuasion</t>
        </is>
      </c>
      <c r="B31" s="6" t="n">
        <v>1</v>
      </c>
      <c r="C31" s="11" t="n"/>
    </row>
    <row r="32">
      <c r="A32" s="5" t="inlineStr">
        <is>
          <t>Melee</t>
        </is>
      </c>
      <c r="B32" s="6" t="n">
        <v>1</v>
      </c>
      <c r="C32" s="11" t="n"/>
    </row>
    <row r="33">
      <c r="A33" s="3" t="inlineStr">
        <is>
          <t>Feats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6" t="inlineStr">
        <is>
          <t>First Aid Specialization</t>
        </is>
      </c>
      <c r="B34" s="10" t="n"/>
      <c r="C34" s="10" t="n"/>
      <c r="D34" s="10" t="n"/>
      <c r="E34" s="10" t="n"/>
      <c r="F34" s="10" t="n"/>
      <c r="G34" s="10" t="n"/>
      <c r="H34" s="10" t="n"/>
      <c r="I34" s="11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</sheetData>
  <mergeCells count="69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A34:I34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B32:C32"/>
    <mergeCell ref="E11"/>
    <mergeCell ref="A6:I6"/>
    <mergeCell ref="B26:C26"/>
    <mergeCell ref="E3:F3"/>
    <mergeCell ref="A14"/>
    <mergeCell ref="A5"/>
    <mergeCell ref="G5"/>
    <mergeCell ref="A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Example Character Sheet - Mutant Adapted-Da Xiong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Character Name</t>
        </is>
      </c>
      <c r="B3" s="6" t="inlineStr">
        <is>
          <t>Mutant Adapted-Da Xiong</t>
        </is>
      </c>
      <c r="C3" s="11" t="n"/>
      <c r="D3" s="5" t="inlineStr">
        <is>
          <t>Origin</t>
        </is>
      </c>
      <c r="E3" s="6" t="inlineStr">
        <is>
          <t>Mutant Adapted</t>
        </is>
      </c>
      <c r="F3" s="11" t="n"/>
      <c r="G3" s="5" t="inlineStr">
        <is>
          <t>Level</t>
        </is>
      </c>
      <c r="H3" s="5" t="inlineStr">
        <is>
          <t>XP</t>
        </is>
      </c>
      <c r="I3" s="5" t="inlineStr">
        <is>
          <t>Funds 300</t>
        </is>
      </c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Physique (PHY)</t>
        </is>
      </c>
      <c r="B5" s="7" t="n">
        <v>7</v>
      </c>
      <c r="C5" s="5" t="inlineStr">
        <is>
          <t>Precision (PRC)</t>
        </is>
      </c>
      <c r="D5" s="7" t="n">
        <v>5</v>
      </c>
      <c r="E5" s="5" t="inlineStr">
        <is>
          <t>Perception (PER)</t>
        </is>
      </c>
      <c r="F5" s="7" t="n">
        <v>5</v>
      </c>
      <c r="G5" s="5" t="inlineStr">
        <is>
          <t>Tech (TEC)</t>
        </is>
      </c>
      <c r="H5" s="7" t="n">
        <v>3</v>
      </c>
      <c r="I5" s="5" t="inlineStr">
        <is>
          <t>Courage (CRG)</t>
        </is>
      </c>
      <c r="J5" s="7" t="n">
        <v>7</v>
      </c>
    </row>
    <row r="6">
      <c r="A6" s="3" t="inlineStr">
        <is>
          <t>Derived Attributes (Auto-Calculated)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 kg</t>
        </is>
      </c>
      <c r="E7" s="8">
        <f>C5*5</f>
        <v/>
      </c>
      <c r="F7" s="11" t="n"/>
      <c r="G7" s="5" t="inlineStr">
        <is>
          <t>Skill Points</t>
        </is>
      </c>
      <c r="H7" s="8">
        <f>(I5+K5)*2</f>
        <v/>
      </c>
      <c r="I7" s="11" t="n"/>
    </row>
    <row r="8">
      <c r="A8" s="3" t="inlineStr">
        <is>
          <t>Seven-Part HP (Auto-Calculated)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Head</t>
        </is>
      </c>
      <c r="B9" s="8">
        <f>C5+6</f>
        <v/>
      </c>
      <c r="C9" s="11" t="n"/>
      <c r="D9" s="5" t="inlineStr">
        <is>
          <t>Current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Helmet</t>
        </is>
      </c>
      <c r="I9" s="2" t="n"/>
    </row>
    <row r="10">
      <c r="A10" s="5" t="inlineStr">
        <is>
          <t>Chest</t>
        </is>
      </c>
      <c r="B10" s="8">
        <f>C5*2+10</f>
        <v/>
      </c>
      <c r="C10" s="11" t="n"/>
      <c r="D10" s="5" t="inlineStr">
        <is>
          <t>Current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Body Armor + Vest</t>
        </is>
      </c>
      <c r="I10" s="2" t="n"/>
    </row>
    <row r="11">
      <c r="A11" s="5" t="inlineStr">
        <is>
          <t>Abdomen</t>
        </is>
      </c>
      <c r="B11" s="8">
        <f>C5+8</f>
        <v/>
      </c>
      <c r="C11" s="11" t="n"/>
      <c r="D11" s="5" t="inlineStr">
        <is>
          <t>Current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Body Armor + Vest</t>
        </is>
      </c>
      <c r="I11" s="2" t="n"/>
    </row>
    <row r="12">
      <c r="A12" s="5" t="inlineStr">
        <is>
          <t>Left Arm</t>
        </is>
      </c>
      <c r="B12" s="8">
        <f>C5+4</f>
        <v/>
      </c>
      <c r="C12" s="11" t="n"/>
      <c r="D12" s="5" t="inlineStr">
        <is>
          <t>Current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Gloves</t>
        </is>
      </c>
      <c r="I12" s="2" t="n"/>
    </row>
    <row r="13">
      <c r="A13" s="5" t="inlineStr">
        <is>
          <t>Right Arm</t>
        </is>
      </c>
      <c r="B13" s="8">
        <f>C5+4</f>
        <v/>
      </c>
      <c r="C13" s="11" t="n"/>
      <c r="D13" s="5" t="inlineStr">
        <is>
          <t>Current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Gloves</t>
        </is>
      </c>
      <c r="I13" s="2" t="n"/>
    </row>
    <row r="14">
      <c r="A14" s="5" t="inlineStr">
        <is>
          <t>Left Leg</t>
        </is>
      </c>
      <c r="B14" s="8">
        <f>C5+5</f>
        <v/>
      </c>
      <c r="C14" s="11" t="n"/>
      <c r="D14" s="5" t="inlineStr">
        <is>
          <t>Current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Combat Boots</t>
        </is>
      </c>
      <c r="I14" s="2" t="n"/>
    </row>
    <row r="15">
      <c r="A15" s="5" t="inlineStr">
        <is>
          <t>Right Leg</t>
        </is>
      </c>
      <c r="B15" s="8">
        <f>C5+5</f>
        <v/>
      </c>
      <c r="C15" s="11" t="n"/>
      <c r="D15" s="5" t="inlineStr">
        <is>
          <t>Current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Combat Boots</t>
        </is>
      </c>
      <c r="I15" s="2" t="n"/>
    </row>
    <row r="16">
      <c r="A16" s="3" t="inlineStr">
        <is>
          <t>Equipment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Equipment: Crowbar (1d6+PHY), Heavy Coat (DR1), Emergency Meds x1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Main Skills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Melee</t>
        </is>
      </c>
      <c r="B26" s="6" t="n">
        <v>3</v>
      </c>
      <c r="C26" s="11" t="n"/>
    </row>
    <row r="27">
      <c r="A27" s="5" t="inlineStr">
        <is>
          <t>Firearms</t>
        </is>
      </c>
      <c r="B27" s="6" t="n">
        <v>2</v>
      </c>
      <c r="C27" s="11" t="n"/>
    </row>
    <row r="28">
      <c r="A28" s="5" t="inlineStr">
        <is>
          <t>Awareness</t>
        </is>
      </c>
      <c r="B28" s="6" t="n">
        <v>2</v>
      </c>
      <c r="C28" s="11" t="n"/>
    </row>
    <row r="29">
      <c r="A29" s="5" t="inlineStr">
        <is>
          <t>Survival</t>
        </is>
      </c>
      <c r="B29" s="6" t="n">
        <v>2</v>
      </c>
      <c r="C29" s="11" t="n"/>
    </row>
    <row r="30">
      <c r="A30" s="5" t="inlineStr">
        <is>
          <t>Willpower</t>
        </is>
      </c>
      <c r="B30" s="6" t="n">
        <v>3</v>
      </c>
      <c r="C30" s="11" t="n"/>
    </row>
    <row r="31">
      <c r="A31" s="5" t="inlineStr">
        <is>
          <t>Intimidation</t>
        </is>
      </c>
      <c r="B31" s="6" t="n">
        <v>2</v>
      </c>
      <c r="C31" s="11" t="n"/>
    </row>
    <row r="32">
      <c r="A32" s="3" t="inlineStr">
        <is>
          <t>Feats</t>
        </is>
      </c>
      <c r="B32" s="10" t="n"/>
      <c r="C32" s="10" t="n"/>
      <c r="D32" s="10" t="n"/>
      <c r="E32" s="10" t="n"/>
      <c r="F32" s="10" t="n"/>
      <c r="G32" s="10" t="n"/>
      <c r="H32" s="10" t="n"/>
      <c r="I32" s="11" t="n"/>
    </row>
    <row r="33">
      <c r="A33" s="6" t="inlineStr">
        <is>
          <t>Tough Guy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</sheetData>
  <mergeCells count="67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32:I32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E11"/>
    <mergeCell ref="A6:I6"/>
    <mergeCell ref="B26:C26"/>
    <mergeCell ref="E3:F3"/>
    <mergeCell ref="A14"/>
    <mergeCell ref="A5"/>
    <mergeCell ref="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Example Character Sheet - Border Dweller-Old Ma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Character Name</t>
        </is>
      </c>
      <c r="B3" s="6" t="inlineStr">
        <is>
          <t>Border Dweller-Old Ma</t>
        </is>
      </c>
      <c r="C3" s="11" t="n"/>
      <c r="D3" s="5" t="inlineStr">
        <is>
          <t>Origin</t>
        </is>
      </c>
      <c r="E3" s="6" t="inlineStr">
        <is>
          <t>Border Dweller</t>
        </is>
      </c>
      <c r="F3" s="11" t="n"/>
      <c r="G3" s="5" t="inlineStr">
        <is>
          <t>Level</t>
        </is>
      </c>
      <c r="H3" s="5" t="inlineStr">
        <is>
          <t>XP</t>
        </is>
      </c>
      <c r="I3" s="5" t="inlineStr">
        <is>
          <t>Funds 500</t>
        </is>
      </c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Physique (PHY)</t>
        </is>
      </c>
      <c r="B5" s="7" t="n">
        <v>5</v>
      </c>
      <c r="C5" s="5" t="inlineStr">
        <is>
          <t>Precision (PRC)</t>
        </is>
      </c>
      <c r="D5" s="7" t="n">
        <v>5</v>
      </c>
      <c r="E5" s="5" t="inlineStr">
        <is>
          <t>Perception (PER)</t>
        </is>
      </c>
      <c r="F5" s="7" t="n">
        <v>7</v>
      </c>
      <c r="G5" s="5" t="inlineStr">
        <is>
          <t>Tech (TEC)</t>
        </is>
      </c>
      <c r="H5" s="7" t="n">
        <v>4</v>
      </c>
      <c r="I5" s="5" t="inlineStr">
        <is>
          <t>Courage (CRG)</t>
        </is>
      </c>
      <c r="J5" s="7" t="n">
        <v>6</v>
      </c>
    </row>
    <row r="6">
      <c r="A6" s="3" t="inlineStr">
        <is>
          <t>Derived Attributes (Auto-Calculated)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 kg</t>
        </is>
      </c>
      <c r="E7" s="8">
        <f>C5*5</f>
        <v/>
      </c>
      <c r="F7" s="11" t="n"/>
      <c r="G7" s="5" t="inlineStr">
        <is>
          <t>Skill Points</t>
        </is>
      </c>
      <c r="H7" s="8">
        <f>(I5+K5)*2</f>
        <v/>
      </c>
      <c r="I7" s="11" t="n"/>
    </row>
    <row r="8">
      <c r="A8" s="3" t="inlineStr">
        <is>
          <t>Seven-Part HP (Auto-Calculated)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Head</t>
        </is>
      </c>
      <c r="B9" s="8">
        <f>C5+6</f>
        <v/>
      </c>
      <c r="C9" s="11" t="n"/>
      <c r="D9" s="5" t="inlineStr">
        <is>
          <t>Current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Helmet</t>
        </is>
      </c>
      <c r="I9" s="2" t="n"/>
    </row>
    <row r="10">
      <c r="A10" s="5" t="inlineStr">
        <is>
          <t>Chest</t>
        </is>
      </c>
      <c r="B10" s="8">
        <f>C5*2+10</f>
        <v/>
      </c>
      <c r="C10" s="11" t="n"/>
      <c r="D10" s="5" t="inlineStr">
        <is>
          <t>Current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Body Armor + Vest</t>
        </is>
      </c>
      <c r="I10" s="2" t="n"/>
    </row>
    <row r="11">
      <c r="A11" s="5" t="inlineStr">
        <is>
          <t>Abdomen</t>
        </is>
      </c>
      <c r="B11" s="8">
        <f>C5+8</f>
        <v/>
      </c>
      <c r="C11" s="11" t="n"/>
      <c r="D11" s="5" t="inlineStr">
        <is>
          <t>Current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Body Armor + Vest</t>
        </is>
      </c>
      <c r="I11" s="2" t="n"/>
    </row>
    <row r="12">
      <c r="A12" s="5" t="inlineStr">
        <is>
          <t>Left Arm</t>
        </is>
      </c>
      <c r="B12" s="8">
        <f>C5+4</f>
        <v/>
      </c>
      <c r="C12" s="11" t="n"/>
      <c r="D12" s="5" t="inlineStr">
        <is>
          <t>Current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Gloves</t>
        </is>
      </c>
      <c r="I12" s="2" t="n"/>
    </row>
    <row r="13">
      <c r="A13" s="5" t="inlineStr">
        <is>
          <t>Right Arm</t>
        </is>
      </c>
      <c r="B13" s="8">
        <f>C5+4</f>
        <v/>
      </c>
      <c r="C13" s="11" t="n"/>
      <c r="D13" s="5" t="inlineStr">
        <is>
          <t>Current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Gloves</t>
        </is>
      </c>
      <c r="I13" s="2" t="n"/>
    </row>
    <row r="14">
      <c r="A14" s="5" t="inlineStr">
        <is>
          <t>Left Leg</t>
        </is>
      </c>
      <c r="B14" s="8">
        <f>C5+5</f>
        <v/>
      </c>
      <c r="C14" s="11" t="n"/>
      <c r="D14" s="5" t="inlineStr">
        <is>
          <t>Current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Combat Boots</t>
        </is>
      </c>
      <c r="I14" s="2" t="n"/>
    </row>
    <row r="15">
      <c r="A15" s="5" t="inlineStr">
        <is>
          <t>Right Leg</t>
        </is>
      </c>
      <c r="B15" s="8">
        <f>C5+5</f>
        <v/>
      </c>
      <c r="C15" s="11" t="n"/>
      <c r="D15" s="5" t="inlineStr">
        <is>
          <t>Current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Combat Boots</t>
        </is>
      </c>
      <c r="I15" s="2" t="n"/>
    </row>
    <row r="16">
      <c r="A16" s="3" t="inlineStr">
        <is>
          <t>Equipment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Equipment: Homemade Pistol (1d6, 6 rounds, jams 1/8), 9mmx18, Hand-drawn Map, Animal Trap x1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Main Skills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Firearms</t>
        </is>
      </c>
      <c r="B26" s="6" t="n">
        <v>2</v>
      </c>
      <c r="C26" s="11" t="n"/>
    </row>
    <row r="27">
      <c r="A27" s="5" t="inlineStr">
        <is>
          <t>Awareness</t>
        </is>
      </c>
      <c r="B27" s="6" t="n">
        <v>3</v>
      </c>
      <c r="C27" s="11" t="n"/>
    </row>
    <row r="28">
      <c r="A28" s="5" t="inlineStr">
        <is>
          <t>Stealth</t>
        </is>
      </c>
      <c r="B28" s="6" t="n">
        <v>2</v>
      </c>
      <c r="C28" s="11" t="n"/>
    </row>
    <row r="29">
      <c r="A29" s="5" t="inlineStr">
        <is>
          <t>Survival</t>
        </is>
      </c>
      <c r="B29" s="6" t="n">
        <v>3</v>
      </c>
      <c r="C29" s="11" t="n"/>
    </row>
    <row r="30">
      <c r="A30" s="5" t="inlineStr">
        <is>
          <t>Tracking</t>
        </is>
      </c>
      <c r="B30" s="6" t="n">
        <v>2</v>
      </c>
      <c r="C30" s="11" t="n"/>
    </row>
    <row r="31">
      <c r="A31" s="5" t="inlineStr">
        <is>
          <t>First Aid</t>
        </is>
      </c>
      <c r="B31" s="6" t="n">
        <v>1</v>
      </c>
      <c r="C31" s="11" t="n"/>
    </row>
    <row r="32">
      <c r="A32" s="3" t="inlineStr">
        <is>
          <t>Feats</t>
        </is>
      </c>
      <c r="B32" s="10" t="n"/>
      <c r="C32" s="10" t="n"/>
      <c r="D32" s="10" t="n"/>
      <c r="E32" s="10" t="n"/>
      <c r="F32" s="10" t="n"/>
      <c r="G32" s="10" t="n"/>
      <c r="H32" s="10" t="n"/>
      <c r="I32" s="11" t="n"/>
    </row>
    <row r="33">
      <c r="A33" s="6" t="inlineStr">
        <is>
          <t>Eagle Eye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</sheetData>
  <mergeCells count="67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32:I32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E11"/>
    <mergeCell ref="A6:I6"/>
    <mergeCell ref="B26:C26"/>
    <mergeCell ref="E3:F3"/>
    <mergeCell ref="A14"/>
    <mergeCell ref="A5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2026-06-23T18:22:50Z</dcterms:created>
  <dcterms:modified xsi:type="dcterms:W3CDTF">2026-08-09T18:45:13Z</dcterms:modified>
</cp:coreProperties>
</file>