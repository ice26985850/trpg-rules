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Search, Attack, Retreat TRPG Player Character Sheet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Character Name</t>
        </is>
      </c>
      <c r="B3" s="6" t="inlineStr"/>
      <c r="C3" s="10" t="n"/>
      <c r="D3" s="11" t="n"/>
    </row>
    <row r="4">
      <c r="E4" s="5" t="inlineStr">
        <is>
          <t>Origin</t>
        </is>
      </c>
      <c r="F4" s="6" t="inlineStr"/>
    </row>
    <row r="5">
      <c r="G5" s="5" t="inlineStr">
        <is>
          <t>Level</t>
        </is>
      </c>
    </row>
    <row r="6">
      <c r="H6" s="5" t="inlineStr">
        <is>
          <t>XP</t>
        </is>
      </c>
    </row>
    <row r="7">
      <c r="I7" s="5" t="inlineStr">
        <is>
          <t>Funds (₽)</t>
        </is>
      </c>
    </row>
    <row r="8">
      <c r="A8" s="5" t="inlineStr">
        <is>
          <t>Stress</t>
        </is>
      </c>
    </row>
    <row r="9">
      <c r="B9" s="5" t="inlineStr"/>
    </row>
    <row r="10">
      <c r="C10" s="5" t="inlineStr">
        <is>
          <t>Goal</t>
        </is>
      </c>
      <c r="D10" s="6" t="inlineStr"/>
      <c r="E10" s="10" t="n"/>
      <c r="F10" s="10" t="n"/>
      <c r="G10" s="10" t="n"/>
      <c r="H10" s="10" t="n"/>
      <c r="I10" s="11" t="n"/>
    </row>
    <row r="11">
      <c r="A11" s="3" t="inlineStr">
        <is>
          <t>Five Attributes (1-10) [Manual Input]</t>
        </is>
      </c>
      <c r="B11" s="10" t="n"/>
      <c r="C11" s="10" t="n"/>
      <c r="D11" s="10" t="n"/>
      <c r="E11" s="10" t="n"/>
      <c r="F11" s="10" t="n"/>
      <c r="G11" s="10" t="n"/>
      <c r="H11" s="10" t="n"/>
      <c r="I11" s="11" t="n"/>
    </row>
    <row r="12">
      <c r="A12" s="5" t="inlineStr">
        <is>
          <t>Physique (PHY)</t>
        </is>
      </c>
      <c r="B12" s="7" t="n"/>
      <c r="C12" s="5" t="inlineStr">
        <is>
          <t>Precision (PRC)</t>
        </is>
      </c>
      <c r="D12" s="7" t="n"/>
      <c r="E12" s="5" t="inlineStr">
        <is>
          <t>Perception (PER)</t>
        </is>
      </c>
      <c r="F12" s="7" t="n"/>
      <c r="G12" s="5" t="inlineStr">
        <is>
          <t>Tech (TEC)</t>
        </is>
      </c>
      <c r="H12" s="7" t="n"/>
      <c r="I12" s="5" t="inlineStr">
        <is>
          <t>Courage (CRG)</t>
        </is>
      </c>
      <c r="J12" s="7" t="n"/>
    </row>
    <row r="13">
      <c r="A13" s="3" t="inlineStr">
        <is>
          <t>Derived Attributes (Auto-Calculated)</t>
        </is>
      </c>
      <c r="B13" s="10" t="n"/>
      <c r="C13" s="10" t="n"/>
      <c r="D13" s="10" t="n"/>
      <c r="E13" s="10" t="n"/>
      <c r="F13" s="10" t="n"/>
      <c r="G13" s="10" t="n"/>
      <c r="H13" s="10" t="n"/>
      <c r="I13" s="11" t="n"/>
    </row>
    <row r="14">
      <c r="A14" s="5" t="inlineStr">
        <is>
          <t>Initiative</t>
        </is>
      </c>
      <c r="B14" s="8">
        <f>G12+E12</f>
        <v/>
      </c>
      <c r="C14" s="11" t="n"/>
    </row>
    <row r="15">
      <c r="D15" s="5" t="inlineStr">
        <is>
          <t>Carry Capacity (kg)</t>
        </is>
      </c>
      <c r="E15" s="8">
        <f>C12*5</f>
        <v/>
      </c>
      <c r="F15" s="11" t="n"/>
    </row>
    <row r="16">
      <c r="G16" s="5" t="inlineStr">
        <is>
          <t>Skill Points</t>
        </is>
      </c>
      <c r="H16" s="8">
        <f>(I12+K12)*2</f>
        <v/>
      </c>
      <c r="I16" s="11" t="n"/>
    </row>
    <row r="17">
      <c r="A17" s="3" t="inlineStr">
        <is>
          <t>Seven-Part HP (Auto-Calculated)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A18" s="5" t="inlineStr">
        <is>
          <t>Part</t>
        </is>
      </c>
      <c r="B18" s="6" t="inlineStr">
        <is>
          <t>Max HP</t>
        </is>
      </c>
      <c r="C18" s="5" t="inlineStr">
        <is>
          <t>Current</t>
        </is>
      </c>
      <c r="D18" s="6" t="inlineStr"/>
      <c r="E18" s="5" t="inlineStr">
        <is>
          <t>DR</t>
        </is>
      </c>
      <c r="F18" s="5" t="inlineStr">
        <is>
          <t>DR</t>
        </is>
      </c>
      <c r="G18" s="5" t="inlineStr">
        <is>
          <t>DR</t>
        </is>
      </c>
      <c r="H18" s="2" t="n"/>
      <c r="I18" s="2" t="n"/>
    </row>
    <row r="19">
      <c r="A19" s="5" t="inlineStr">
        <is>
          <t>Head</t>
        </is>
      </c>
      <c r="B19" s="8">
        <f>C12+6</f>
        <v/>
      </c>
      <c r="C19" s="2" t="inlineStr"/>
      <c r="D19" s="2" t="n"/>
      <c r="E19" s="2" t="inlineStr"/>
      <c r="F19" s="2" t="n"/>
      <c r="G19" s="12" t="inlineStr">
        <is>
          <t>DR</t>
        </is>
      </c>
      <c r="H19" s="13" t="inlineStr">
        <is>
          <t>Helmet</t>
        </is>
      </c>
      <c r="I19" s="2" t="n"/>
    </row>
    <row r="20">
      <c r="A20" s="5" t="inlineStr">
        <is>
          <t>Chest</t>
        </is>
      </c>
      <c r="B20" s="8">
        <f>C12*2+10</f>
        <v/>
      </c>
      <c r="C20" s="2" t="inlineStr"/>
      <c r="D20" s="2" t="n"/>
      <c r="E20" s="2" t="inlineStr"/>
      <c r="F20" s="2" t="n"/>
      <c r="G20" s="12" t="inlineStr">
        <is>
          <t>DR</t>
        </is>
      </c>
      <c r="H20" s="13" t="inlineStr">
        <is>
          <t>Body Armor + Vest</t>
        </is>
      </c>
      <c r="I20" s="2" t="n"/>
    </row>
    <row r="21">
      <c r="A21" s="5" t="inlineStr">
        <is>
          <t>Abdomen</t>
        </is>
      </c>
      <c r="B21" s="8">
        <f>C12+8</f>
        <v/>
      </c>
      <c r="C21" s="2" t="inlineStr"/>
      <c r="D21" s="2" t="n"/>
      <c r="E21" s="2" t="inlineStr"/>
      <c r="F21" s="2" t="n"/>
      <c r="G21" s="12" t="inlineStr">
        <is>
          <t>DR</t>
        </is>
      </c>
      <c r="H21" s="13" t="inlineStr">
        <is>
          <t>Body Armor + Vest</t>
        </is>
      </c>
      <c r="I21" s="2" t="n"/>
    </row>
    <row r="22">
      <c r="A22" s="5" t="inlineStr">
        <is>
          <t>Left Arm</t>
        </is>
      </c>
      <c r="B22" s="8">
        <f>C12+4</f>
        <v/>
      </c>
      <c r="C22" s="2" t="inlineStr"/>
      <c r="D22" s="2" t="n"/>
      <c r="E22" s="2" t="inlineStr"/>
      <c r="F22" s="2" t="n"/>
      <c r="G22" s="12" t="inlineStr">
        <is>
          <t>DR</t>
        </is>
      </c>
      <c r="H22" s="13" t="inlineStr">
        <is>
          <t>Gloves</t>
        </is>
      </c>
      <c r="I22" s="2" t="n"/>
    </row>
    <row r="23">
      <c r="A23" s="5" t="inlineStr">
        <is>
          <t>Right Arm</t>
        </is>
      </c>
      <c r="B23" s="8">
        <f>C12+4</f>
        <v/>
      </c>
      <c r="C23" s="2" t="inlineStr"/>
      <c r="D23" s="2" t="n"/>
      <c r="E23" s="2" t="inlineStr"/>
      <c r="F23" s="2" t="n"/>
      <c r="G23" s="12" t="inlineStr">
        <is>
          <t>DR</t>
        </is>
      </c>
      <c r="H23" s="13" t="inlineStr">
        <is>
          <t>Gloves</t>
        </is>
      </c>
      <c r="I23" s="2" t="n"/>
    </row>
    <row r="24">
      <c r="A24" s="5" t="inlineStr">
        <is>
          <t>Left Leg</t>
        </is>
      </c>
      <c r="B24" s="8">
        <f>C12+5</f>
        <v/>
      </c>
      <c r="C24" s="2" t="inlineStr"/>
      <c r="D24" s="2" t="n"/>
      <c r="E24" s="2" t="inlineStr"/>
      <c r="F24" s="2" t="n"/>
      <c r="G24" s="12" t="inlineStr">
        <is>
          <t>DR</t>
        </is>
      </c>
      <c r="H24" s="13" t="inlineStr">
        <is>
          <t>Combat Boots</t>
        </is>
      </c>
      <c r="I24" s="2" t="n"/>
    </row>
    <row r="25">
      <c r="A25" s="5" t="inlineStr">
        <is>
          <t>Right Leg</t>
        </is>
      </c>
      <c r="B25" s="8">
        <f>C12+5</f>
        <v/>
      </c>
      <c r="C25" s="2" t="inlineStr"/>
      <c r="D25" s="2" t="n"/>
      <c r="E25" s="2" t="inlineStr"/>
      <c r="F25" s="2" t="n"/>
      <c r="G25" s="12" t="inlineStr">
        <is>
          <t>DR</t>
        </is>
      </c>
      <c r="H25" s="13" t="inlineStr">
        <is>
          <t>Combat Boots</t>
        </is>
      </c>
      <c r="I25" s="2" t="n"/>
    </row>
    <row r="26">
      <c r="A26" s="3" t="inlineStr">
        <is>
          <t>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>
      <c r="A27" s="5" t="inlineStr">
        <is>
          <t>Primary Weapon (Name/Damage/Ammo)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>
      <c r="A28" s="5" t="inlineStr">
        <is>
          <t>Secondary Weapon (Name/Damage)</t>
        </is>
      </c>
      <c r="B28" s="10" t="n"/>
      <c r="C28" s="10" t="n"/>
      <c r="D28" s="10" t="n"/>
      <c r="E28" s="10" t="n"/>
      <c r="F28" s="10" t="n"/>
      <c r="G28" s="10" t="n"/>
      <c r="H28" s="10" t="n"/>
      <c r="I28" s="11" t="n"/>
    </row>
    <row r="29">
      <c r="A29" s="5" t="inlineStr">
        <is>
          <t>Helmet (Name/DR)</t>
        </is>
      </c>
      <c r="B29" s="10" t="n"/>
      <c r="C29" s="10" t="n"/>
      <c r="D29" s="10" t="n"/>
      <c r="E29" s="10" t="n"/>
      <c r="F29" s="10" t="n"/>
      <c r="G29" s="10" t="n"/>
      <c r="H29" s="10" t="n"/>
      <c r="I29" s="11" t="n"/>
    </row>
    <row r="30">
      <c r="A30" s="5" t="inlineStr">
        <is>
          <t>Body Armor (Name/DR)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>
      <c r="A31" s="5" t="inlineStr">
        <is>
          <t>Tactical Vest (Name/Slots+/DR)</t>
        </is>
      </c>
      <c r="B31" s="10" t="n"/>
      <c r="C31" s="10" t="n"/>
      <c r="D31" s="10" t="n"/>
      <c r="E31" s="10" t="n"/>
      <c r="F31" s="10" t="n"/>
      <c r="G31" s="10" t="n"/>
      <c r="H31" s="10" t="n"/>
      <c r="I31" s="11" t="n"/>
    </row>
    <row r="32">
      <c r="A32" s="5" t="inlineStr">
        <is>
          <t>Backpack (Name/Load+/Slots+)</t>
        </is>
      </c>
      <c r="B32" s="10" t="n"/>
      <c r="C32" s="10" t="n"/>
      <c r="D32" s="10" t="n"/>
      <c r="E32" s="10" t="n"/>
      <c r="F32" s="10" t="n"/>
      <c r="G32" s="10" t="n"/>
      <c r="H32" s="10" t="n"/>
      <c r="I32" s="11" t="n"/>
    </row>
    <row r="33">
      <c r="A33" s="3" t="inlineStr">
        <is>
          <t>Loot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5" t="inlineStr">
        <is>
          <t>Total Slots (4 Pockets + Vest + Backpack + 2 Safe)</t>
        </is>
      </c>
      <c r="B34" s="10" t="n"/>
      <c r="C34" s="11" t="n"/>
      <c r="D34" s="8">
        <f>4</f>
        <v/>
      </c>
      <c r="E34" s="10" t="n"/>
      <c r="F34" s="11" t="n"/>
    </row>
    <row r="35">
      <c r="G35" s="5" t="inlineStr">
        <is>
          <t>Current Load (kg)</t>
        </is>
      </c>
      <c r="H35" s="6" t="inlineStr"/>
      <c r="I35" s="11" t="n"/>
    </row>
    <row r="36">
      <c r="A36" s="3" t="inlineStr">
        <is>
          <t>Safe (Kept on Death, 2 Slots)</t>
        </is>
      </c>
      <c r="B36" s="10" t="n"/>
      <c r="C36" s="10" t="n"/>
      <c r="D36" s="10" t="n"/>
      <c r="E36" s="10" t="n"/>
      <c r="F36" s="10" t="n"/>
      <c r="G36" s="10" t="n"/>
      <c r="H36" s="10" t="n"/>
      <c r="I36" s="11" t="n"/>
    </row>
    <row r="37">
      <c r="A37" s="5" t="inlineStr">
        <is>
          <t>[1]</t>
        </is>
      </c>
      <c r="B37" s="6" t="inlineStr"/>
      <c r="C37" s="10" t="n"/>
      <c r="D37" s="11" t="n"/>
      <c r="E37" s="5" t="inlineStr">
        <is>
          <t>[2]</t>
        </is>
      </c>
      <c r="F37" s="6" t="inlineStr"/>
      <c r="G37" s="10" t="n"/>
      <c r="H37" s="10" t="n"/>
      <c r="I37" s="11" t="n"/>
    </row>
    <row r="38">
      <c r="A38" s="3" t="inlineStr">
        <is>
          <t>Skill Level (0-5) [Manual Input]</t>
        </is>
      </c>
      <c r="B38" s="10" t="n"/>
      <c r="C38" s="10" t="n"/>
      <c r="D38" s="10" t="n"/>
      <c r="E38" s="10" t="n"/>
      <c r="F38" s="10" t="n"/>
      <c r="G38" s="10" t="n"/>
      <c r="H38" s="10" t="n"/>
      <c r="I38" s="11" t="n"/>
    </row>
    <row r="39">
      <c r="A39" s="5" t="inlineStr">
        <is>
          <t>Athletics</t>
        </is>
      </c>
      <c r="B39" s="6" t="inlineStr"/>
      <c r="C39" s="11" t="n"/>
    </row>
    <row r="40">
      <c r="A40" s="5" t="inlineStr">
        <is>
          <t>Endurance</t>
        </is>
      </c>
      <c r="B40" s="6" t="inlineStr"/>
      <c r="C40" s="11" t="n"/>
    </row>
    <row r="41">
      <c r="A41" s="5" t="inlineStr">
        <is>
          <t>Melee</t>
        </is>
      </c>
      <c r="B41" s="6" t="inlineStr"/>
      <c r="C41" s="11" t="n"/>
    </row>
    <row r="42">
      <c r="A42" s="5" t="inlineStr">
        <is>
          <t>Firearms</t>
        </is>
      </c>
      <c r="B42" s="6" t="inlineStr"/>
      <c r="C42" s="11" t="n"/>
    </row>
    <row r="43">
      <c r="A43" s="5" t="inlineStr">
        <is>
          <t>Heavy Weapons</t>
        </is>
      </c>
      <c r="B43" s="6" t="inlineStr"/>
      <c r="C43" s="11" t="n"/>
    </row>
    <row r="44">
      <c r="A44" s="5" t="inlineStr">
        <is>
          <t>Throwing</t>
        </is>
      </c>
      <c r="B44" s="6" t="inlineStr"/>
      <c r="C44" s="11" t="n"/>
    </row>
    <row r="45">
      <c r="A45" s="5" t="inlineStr">
        <is>
          <t>Awareness</t>
        </is>
      </c>
      <c r="B45" s="6" t="inlineStr"/>
      <c r="C45" s="11" t="n"/>
    </row>
    <row r="46">
      <c r="A46" s="5" t="inlineStr">
        <is>
          <t>Stealth</t>
        </is>
      </c>
      <c r="B46" s="6" t="inlineStr"/>
      <c r="C46" s="11" t="n"/>
    </row>
    <row r="47">
      <c r="A47" s="5" t="inlineStr">
        <is>
          <t>Tracking</t>
        </is>
      </c>
      <c r="B47" s="6" t="inlineStr"/>
      <c r="C47" s="11" t="n"/>
    </row>
    <row r="48">
      <c r="A48" s="5" t="inlineStr">
        <is>
          <t>Survival</t>
        </is>
      </c>
      <c r="B48" s="6" t="inlineStr"/>
      <c r="C48" s="11" t="n"/>
    </row>
    <row r="49">
      <c r="A49" s="5" t="inlineStr">
        <is>
          <t>First Aid</t>
        </is>
      </c>
      <c r="B49" s="6" t="inlineStr"/>
      <c r="C49" s="11" t="n"/>
    </row>
    <row r="50">
      <c r="A50" s="5" t="inlineStr">
        <is>
          <t>Lockpicking</t>
        </is>
      </c>
      <c r="B50" s="6" t="inlineStr"/>
      <c r="C50" s="11" t="n"/>
    </row>
    <row r="51">
      <c r="A51" s="5" t="inlineStr">
        <is>
          <t>Electronics</t>
        </is>
      </c>
      <c r="B51" s="6" t="inlineStr"/>
      <c r="C51" s="11" t="n"/>
    </row>
    <row r="52">
      <c r="A52" s="5" t="inlineStr">
        <is>
          <t>Mechanics</t>
        </is>
      </c>
      <c r="B52" s="6" t="inlineStr"/>
      <c r="C52" s="11" t="n"/>
    </row>
    <row r="53">
      <c r="A53" s="5" t="inlineStr">
        <is>
          <t>Crafting</t>
        </is>
      </c>
      <c r="B53" s="6" t="inlineStr"/>
      <c r="C53" s="11" t="n"/>
    </row>
    <row r="54">
      <c r="A54" s="5" t="inlineStr">
        <is>
          <t>Intimidation</t>
        </is>
      </c>
      <c r="B54" s="6" t="inlineStr"/>
      <c r="C54" s="11" t="n"/>
    </row>
    <row r="55">
      <c r="A55" s="5" t="inlineStr">
        <is>
          <t>Persuasion</t>
        </is>
      </c>
      <c r="B55" s="6" t="inlineStr"/>
      <c r="C55" s="11" t="n"/>
    </row>
    <row r="56">
      <c r="A56" s="5" t="inlineStr">
        <is>
          <t>Willpower</t>
        </is>
      </c>
      <c r="B56" s="6" t="inlineStr"/>
      <c r="C56" s="11" t="n"/>
    </row>
    <row r="57">
      <c r="A57" s="5" t="inlineStr">
        <is>
          <t>Street Smarts</t>
        </is>
      </c>
      <c r="B57" s="6" t="inlineStr"/>
      <c r="C57" s="11" t="n"/>
    </row>
    <row r="58">
      <c r="A58" s="5" t="inlineStr">
        <is>
          <t>Leadership</t>
        </is>
      </c>
      <c r="B58" s="6" t="inlineStr"/>
      <c r="C58" s="11" t="n"/>
    </row>
    <row r="59">
      <c r="A59" s="3" t="inlineStr">
        <is>
          <t>Feats (Record Names)</t>
        </is>
      </c>
      <c r="B59" s="10" t="n"/>
      <c r="C59" s="10" t="n"/>
      <c r="D59" s="10" t="n"/>
      <c r="E59" s="10" t="n"/>
      <c r="F59" s="10" t="n"/>
      <c r="G59" s="10" t="n"/>
      <c r="H59" s="10" t="n"/>
      <c r="I59" s="11" t="n"/>
    </row>
    <row r="60">
      <c r="A60" s="5" t="inlineStr">
        <is>
          <t>Feat 1</t>
        </is>
      </c>
      <c r="B60" s="6" t="inlineStr"/>
      <c r="C60" s="10" t="n"/>
      <c r="D60" s="10" t="n"/>
      <c r="E60" s="10" t="n"/>
      <c r="F60" s="10" t="n"/>
      <c r="G60" s="10" t="n"/>
      <c r="H60" s="10" t="n"/>
      <c r="I60" s="11" t="n"/>
    </row>
    <row r="61">
      <c r="A61" s="5" t="inlineStr">
        <is>
          <t>Feat 2</t>
        </is>
      </c>
      <c r="B61" s="6" t="inlineStr"/>
      <c r="C61" s="10" t="n"/>
      <c r="D61" s="10" t="n"/>
      <c r="E61" s="10" t="n"/>
      <c r="F61" s="10" t="n"/>
      <c r="G61" s="10" t="n"/>
      <c r="H61" s="10" t="n"/>
      <c r="I61" s="11" t="n"/>
    </row>
    <row r="62">
      <c r="A62" s="5" t="inlineStr">
        <is>
          <t>Feat 3</t>
        </is>
      </c>
      <c r="B62" s="6" t="inlineStr"/>
      <c r="C62" s="10" t="n"/>
      <c r="D62" s="10" t="n"/>
      <c r="E62" s="10" t="n"/>
      <c r="F62" s="10" t="n"/>
      <c r="G62" s="10" t="n"/>
      <c r="H62" s="10" t="n"/>
      <c r="I62" s="11" t="n"/>
    </row>
    <row r="63">
      <c r="A63" s="5" t="inlineStr">
        <is>
          <t>Feat 4</t>
        </is>
      </c>
      <c r="B63" s="6" t="inlineStr"/>
      <c r="C63" s="10" t="n"/>
      <c r="D63" s="10" t="n"/>
      <c r="E63" s="10" t="n"/>
      <c r="F63" s="10" t="n"/>
      <c r="G63" s="10" t="n"/>
      <c r="H63" s="10" t="n"/>
      <c r="I63" s="11" t="n"/>
    </row>
    <row r="64">
      <c r="A64" s="3" t="inlineStr">
        <is>
          <t>Hideout &amp; Traders</t>
        </is>
      </c>
      <c r="B64" s="10" t="n"/>
      <c r="C64" s="10" t="n"/>
      <c r="D64" s="10" t="n"/>
      <c r="E64" s="10" t="n"/>
      <c r="F64" s="10" t="n"/>
      <c r="G64" s="10" t="n"/>
      <c r="H64" s="10" t="n"/>
      <c r="I64" s="11" t="n"/>
    </row>
    <row r="65">
      <c r="A65" s="5" t="inlineStr">
        <is>
          <t>Armory Lv.</t>
        </is>
      </c>
      <c r="B65" s="6" t="inlineStr"/>
      <c r="C65" s="10" t="n"/>
      <c r="D65" s="11" t="n"/>
    </row>
    <row r="66">
      <c r="A66" s="5" t="inlineStr">
        <is>
          <t>Infirmary Lv.</t>
        </is>
      </c>
      <c r="B66" s="6" t="inlineStr"/>
      <c r="C66" s="10" t="n"/>
      <c r="D66" s="11" t="n"/>
    </row>
    <row r="67">
      <c r="A67" s="5" t="inlineStr">
        <is>
          <t>Workbench Lv.</t>
        </is>
      </c>
      <c r="B67" s="6" t="inlineStr"/>
      <c r="C67" s="10" t="n"/>
      <c r="D67" s="11" t="n"/>
    </row>
    <row r="68">
      <c r="A68" s="5" t="inlineStr">
        <is>
          <t>Intelligence Center Lv.</t>
        </is>
      </c>
      <c r="B68" s="6" t="inlineStr"/>
      <c r="C68" s="10" t="n"/>
      <c r="D68" s="11" t="n"/>
    </row>
    <row r="69">
      <c r="A69" s="5" t="inlineStr">
        <is>
          <t>Trading Post Lv.</t>
        </is>
      </c>
      <c r="B69" s="6" t="inlineStr"/>
      <c r="C69" s="10" t="n"/>
      <c r="D69" s="11" t="n"/>
    </row>
    <row r="70">
      <c r="A70" s="5" t="inlineStr">
        <is>
          <t>Vault Lv.</t>
        </is>
      </c>
      <c r="B70" s="6" t="inlineStr"/>
      <c r="C70" s="10" t="n"/>
      <c r="D70" s="11" t="n"/>
    </row>
    <row r="71">
      <c r="A71" s="5" t="inlineStr">
        <is>
          <t>Blacksmith Favor</t>
        </is>
      </c>
      <c r="B71" s="6" t="inlineStr"/>
      <c r="C71" s="11" t="n"/>
      <c r="D71" s="5" t="inlineStr">
        <is>
          <t>Doctor Favor</t>
        </is>
      </c>
      <c r="E71" s="6" t="inlineStr"/>
      <c r="F71" s="11" t="n"/>
      <c r="G71" s="5" t="inlineStr">
        <is>
          <t>Owl Favor</t>
        </is>
      </c>
      <c r="H71" s="2" t="n"/>
      <c r="I71" s="2" t="n"/>
    </row>
  </sheetData>
  <mergeCells count="131">
    <mergeCell ref="H35:I35"/>
    <mergeCell ref="B62:I62"/>
    <mergeCell ref="E71:F71"/>
    <mergeCell ref="A43"/>
    <mergeCell ref="B20"/>
    <mergeCell ref="A27:I27"/>
    <mergeCell ref="A52"/>
    <mergeCell ref="G16"/>
    <mergeCell ref="A67"/>
    <mergeCell ref="A2:I2"/>
    <mergeCell ref="C18"/>
    <mergeCell ref="A33:I33"/>
    <mergeCell ref="E18"/>
    <mergeCell ref="B37:D37"/>
    <mergeCell ref="A17:I17"/>
    <mergeCell ref="B14:C14"/>
    <mergeCell ref="A28:I28"/>
    <mergeCell ref="A69"/>
    <mergeCell ref="H6"/>
    <mergeCell ref="A25"/>
    <mergeCell ref="A34:C34"/>
    <mergeCell ref="B40:C40"/>
    <mergeCell ref="A66"/>
    <mergeCell ref="B49:C49"/>
    <mergeCell ref="A30:I30"/>
    <mergeCell ref="B55:C55"/>
    <mergeCell ref="A59:I59"/>
    <mergeCell ref="A11:I11"/>
    <mergeCell ref="A50"/>
    <mergeCell ref="A3"/>
    <mergeCell ref="I12"/>
    <mergeCell ref="B51:C51"/>
    <mergeCell ref="A55"/>
    <mergeCell ref="B70:D70"/>
    <mergeCell ref="B41:C41"/>
    <mergeCell ref="B19"/>
    <mergeCell ref="B9"/>
    <mergeCell ref="F37:I37"/>
    <mergeCell ref="A44"/>
    <mergeCell ref="A26:I26"/>
    <mergeCell ref="A58"/>
    <mergeCell ref="A40"/>
    <mergeCell ref="A24"/>
    <mergeCell ref="A51"/>
    <mergeCell ref="B68:D68"/>
    <mergeCell ref="A60"/>
    <mergeCell ref="B22"/>
    <mergeCell ref="B53:C53"/>
    <mergeCell ref="B21"/>
    <mergeCell ref="C10"/>
    <mergeCell ref="B23"/>
    <mergeCell ref="A18"/>
    <mergeCell ref="A36:I36"/>
    <mergeCell ref="A1:I1"/>
    <mergeCell ref="A42"/>
    <mergeCell ref="B63:I63"/>
    <mergeCell ref="A47"/>
    <mergeCell ref="G5"/>
    <mergeCell ref="D71"/>
    <mergeCell ref="A22"/>
    <mergeCell ref="D18"/>
    <mergeCell ref="B54:C54"/>
    <mergeCell ref="A62"/>
    <mergeCell ref="A20"/>
    <mergeCell ref="B56:C56"/>
    <mergeCell ref="B71:C71"/>
    <mergeCell ref="B43:C43"/>
    <mergeCell ref="B58:C58"/>
    <mergeCell ref="E37"/>
    <mergeCell ref="B52:C52"/>
    <mergeCell ref="E12"/>
    <mergeCell ref="A48"/>
    <mergeCell ref="G12"/>
    <mergeCell ref="A32:I32"/>
    <mergeCell ref="B25"/>
    <mergeCell ref="B42:C42"/>
    <mergeCell ref="B65:D65"/>
    <mergeCell ref="B61:I61"/>
    <mergeCell ref="B57:C57"/>
    <mergeCell ref="A38:I38"/>
    <mergeCell ref="A61"/>
    <mergeCell ref="B44:C44"/>
    <mergeCell ref="A70"/>
    <mergeCell ref="E15:F15"/>
    <mergeCell ref="E4"/>
    <mergeCell ref="H16:I16"/>
    <mergeCell ref="I7"/>
    <mergeCell ref="A54"/>
    <mergeCell ref="A41"/>
    <mergeCell ref="D34:F34"/>
    <mergeCell ref="D10:I10"/>
    <mergeCell ref="B66:D66"/>
    <mergeCell ref="A56"/>
    <mergeCell ref="B45:C45"/>
    <mergeCell ref="A71"/>
    <mergeCell ref="A8"/>
    <mergeCell ref="B47:C47"/>
    <mergeCell ref="B67:D67"/>
    <mergeCell ref="G35"/>
    <mergeCell ref="A53"/>
    <mergeCell ref="D15"/>
    <mergeCell ref="B24"/>
    <mergeCell ref="B46:C46"/>
    <mergeCell ref="A63"/>
    <mergeCell ref="A19"/>
    <mergeCell ref="A68"/>
    <mergeCell ref="B69:D69"/>
    <mergeCell ref="B39:C39"/>
    <mergeCell ref="B48:C48"/>
    <mergeCell ref="F4"/>
    <mergeCell ref="A39"/>
    <mergeCell ref="A49"/>
    <mergeCell ref="B60:I60"/>
    <mergeCell ref="A45"/>
    <mergeCell ref="A29:I29"/>
    <mergeCell ref="B18"/>
    <mergeCell ref="A13:I13"/>
    <mergeCell ref="A65"/>
    <mergeCell ref="A31:I31"/>
    <mergeCell ref="F18"/>
    <mergeCell ref="A37"/>
    <mergeCell ref="A46"/>
    <mergeCell ref="A64:I64"/>
    <mergeCell ref="B3:D3"/>
    <mergeCell ref="A12"/>
    <mergeCell ref="C12"/>
    <mergeCell ref="A21"/>
    <mergeCell ref="A57"/>
    <mergeCell ref="B50:C50"/>
    <mergeCell ref="A14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2026-06-23T18:22:50Z</dcterms:created>
  <dcterms:modified xsi:type="dcterms:W3CDTF">2026-08-09T18:45:12Z</dcterms:modified>
</cp:coreProperties>
</file>