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變異鼠（S1）" sheetId="1" state="visible" r:id="rId1"/>
    <sheet name="巢穴守衛（S1）" sheetId="2" state="visible" r:id="rId2"/>
    <sheet name="AI 守護者防禦陣列（S2）" sheetId="3" state="visible" r:id="rId3"/>
    <sheet name="原型體Ω（S2）" sheetId="4" state="visible" r:id="rId4"/>
    <sheet name="生物機甲（S3）" sheetId="5" state="visible" r:id="rId5"/>
    <sheet name="千面主教（S3 BOSS）" sheetId="6" state="visible" r:id="rId6"/>
    <sheet name="荒野之王扎拉克斯（S4 BOSS）" sheetId="7" state="visible" r:id="rId7"/>
    <sheet name="不朽的凱恩（S4 最終 BOSS）" sheetId="8" state="visible" r:id="rId8"/>
    <sheet name="深淵守門者（S5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DC143C"/>
        <bgColor rgb="00DC143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Mutant Rat</t>
        </is>
      </c>
      <c r="B4" s="3" t="inlineStr">
        <is>
          <t>Minion</t>
        </is>
      </c>
      <c r="C4" s="3" t="inlineStr">
        <is>
          <t>S1</t>
        </is>
      </c>
      <c r="D4" s="3" t="inlineStr">
        <is>
          <t>1/each</t>
        </is>
      </c>
      <c r="E4" s="3" t="inlineStr">
        <is>
          <t>1/each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2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5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2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3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Bite</t>
        </is>
      </c>
      <c r="B25" s="3" t="inlineStr">
        <is>
          <t>Low-tier</t>
        </is>
      </c>
      <c r="C25" s="3" t="inlineStr">
        <is>
          <t>1</t>
        </is>
      </c>
      <c r="D25" s="3" t="inlineStr">
        <is>
          <t>0</t>
        </is>
      </c>
      <c r="E25" s="3" t="inlineStr">
        <is>
          <t>Melee 1d4+2, with disease (Constitution DC 10 or Poisoned)</t>
        </is>
      </c>
      <c r="F25" s="3" t="inlineStr">
        <is>
          <t>None</t>
        </is>
      </c>
    </row>
    <row r="26"/>
    <row r="27">
      <c r="A27" s="4" t="inlineStr">
        <is>
          <t>Can absorb trait samples</t>
        </is>
      </c>
      <c r="B27" s="7" t="n"/>
      <c r="C27" s="7" t="n"/>
      <c r="D27" s="7" t="n"/>
      <c r="E27" s="7" t="n"/>
      <c r="F27" s="8" t="n"/>
    </row>
    <row r="28">
      <c r="A28" s="5" t="inlineStr">
        <is>
          <t>Node Name</t>
        </is>
      </c>
      <c r="B28" s="5" t="inlineStr">
        <is>
          <t>Type</t>
        </is>
      </c>
      <c r="C28" s="5" t="inlineStr">
        <is>
          <t>Effect</t>
        </is>
      </c>
      <c r="D28" s="5" t="inlineStr">
        <is>
          <t>Cost</t>
        </is>
      </c>
      <c r="E28" s="5" t="inlineStr"/>
      <c r="F28" s="5" t="inlineStr"/>
    </row>
    <row r="29">
      <c r="A29" s="3" t="inlineStr">
        <is>
          <t>Night Vision</t>
        </is>
      </c>
      <c r="B29" s="3" t="inlineStr">
        <is>
          <t>Passive</t>
        </is>
      </c>
      <c r="C29" s="3" t="inlineStr">
        <is>
          <t>No Disadvantage in Darkness</t>
        </is>
      </c>
      <c r="D29" s="3" t="inlineStr">
        <is>
          <t>2</t>
        </is>
      </c>
    </row>
    <row r="30">
      <c r="A30" s="3" t="inlineStr">
        <is>
          <t>Burrow Stealth</t>
        </is>
      </c>
      <c r="B30" s="3" t="inlineStr">
        <is>
          <t>Low-tier Active</t>
        </is>
      </c>
      <c r="C30" s="3" t="inlineStr">
        <is>
          <t>Burrows underground → emerges at any location next turn + 1d6</t>
        </is>
      </c>
      <c r="D30" s="3" t="inlineStr">
        <is>
          <t>2</t>
        </is>
      </c>
    </row>
    <row r="31">
      <c r="A31" s="3" t="inlineStr">
        <is>
          <t>Disease Resistance</t>
        </is>
      </c>
      <c r="B31" s="3" t="inlineStr">
        <is>
          <t>Passive</t>
        </is>
      </c>
      <c r="C31" s="3" t="inlineStr">
        <is>
          <t>Poison duration halved</t>
        </is>
      </c>
      <c r="D31" s="3" t="inlineStr">
        <is>
          <t>2</t>
        </is>
      </c>
    </row>
    <row r="32"/>
    <row r="33">
      <c r="A33" s="4" t="inlineStr">
        <is>
          <t>Behavior AI / Tactical Notes</t>
        </is>
      </c>
      <c r="B33" s="7" t="n"/>
      <c r="C33" s="7" t="n"/>
      <c r="D33" s="7" t="n"/>
      <c r="E33" s="7" t="n"/>
      <c r="F33" s="8" t="n"/>
    </row>
    <row r="34">
      <c r="A34" s="6" t="inlineStr">
        <is>
          <t>Prioritizes attacking the nearest target. Flees at near death (Will DC 12).</t>
        </is>
      </c>
      <c r="B34" s="9" t="n"/>
      <c r="C34" s="9" t="n"/>
      <c r="D34" s="9" t="n"/>
      <c r="E34" s="9" t="n"/>
      <c r="F34" s="10" t="n"/>
    </row>
    <row r="35">
      <c r="A35" s="11" t="n"/>
      <c r="F35" s="12" t="n"/>
    </row>
    <row r="36">
      <c r="A36" s="11" t="n"/>
      <c r="F36" s="12" t="n"/>
    </row>
    <row r="37">
      <c r="A37" s="11" t="n"/>
      <c r="F37" s="12" t="n"/>
    </row>
    <row r="38">
      <c r="A38" s="13" t="n"/>
      <c r="B38" s="14" t="n"/>
      <c r="C38" s="14" t="n"/>
      <c r="D38" s="14" t="n"/>
      <c r="E38" s="14" t="n"/>
      <c r="F38" s="15" t="n"/>
    </row>
  </sheetData>
  <mergeCells count="7">
    <mergeCell ref="A33:F33"/>
    <mergeCell ref="A14:F14"/>
    <mergeCell ref="A1:F1"/>
    <mergeCell ref="A23:F23"/>
    <mergeCell ref="A27:F27"/>
    <mergeCell ref="A34:F38"/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Nest Guardian</t>
        </is>
      </c>
      <c r="B4" s="3" t="inlineStr">
        <is>
          <t>Elite</t>
        </is>
      </c>
      <c r="C4" s="3" t="inlineStr">
        <is>
          <t>S1</t>
        </is>
      </c>
      <c r="D4" s="3" t="inlineStr">
        <is>
          <t>5</t>
        </is>
      </c>
      <c r="E4" s="3" t="inlineStr">
        <is>
          <t>3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7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5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6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7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3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Tail Sting</t>
        </is>
      </c>
      <c r="B25" s="3" t="inlineStr">
        <is>
          <t>Low-tier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Melee 1d8+3 Piercing + Poison (Constitution DC 13)</t>
        </is>
      </c>
      <c r="F25" s="3" t="inlineStr">
        <is>
          <t>None</t>
        </is>
      </c>
    </row>
    <row r="26">
      <c r="A26" s="3" t="inlineStr">
        <is>
          <t>Bone Plate Charge</t>
        </is>
      </c>
      <c r="B26" s="3" t="inlineStr">
        <is>
          <t>Low-tier</t>
        </is>
      </c>
      <c r="C26" s="3" t="inlineStr">
        <is>
          <t>1</t>
        </is>
      </c>
      <c r="D26" s="3" t="inlineStr">
        <is>
          <t>0</t>
        </is>
      </c>
      <c r="E26" s="3" t="inlineStr">
        <is>
          <t>Melee 1d6+3 Bludgeoning + knockback 2 cells (Strength DC 14)</t>
        </is>
      </c>
      <c r="F26" s="3" t="inlineStr">
        <is>
          <t>None</t>
        </is>
      </c>
    </row>
    <row r="27">
      <c r="A27" s="3" t="inlineStr">
        <is>
          <t>Compound Eye Lock</t>
        </is>
      </c>
      <c r="B27" s="3" t="inlineStr">
        <is>
          <t>Passive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Perception (GZ) check advantage, no disadvantage vs stealth targets</t>
        </is>
      </c>
      <c r="F27" s="3" t="inlineStr">
        <is>
          <t>—</t>
        </is>
      </c>
    </row>
    <row r="28"/>
    <row r="29">
      <c r="A29" s="4" t="inlineStr">
        <is>
          <t>Can absorb trait samples</t>
        </is>
      </c>
      <c r="B29" s="7" t="n"/>
      <c r="C29" s="7" t="n"/>
      <c r="D29" s="7" t="n"/>
      <c r="E29" s="7" t="n"/>
      <c r="F29" s="8" t="n"/>
    </row>
    <row r="30">
      <c r="A30" s="5" t="inlineStr">
        <is>
          <t>Node Name</t>
        </is>
      </c>
      <c r="B30" s="5" t="inlineStr">
        <is>
          <t>Type</t>
        </is>
      </c>
      <c r="C30" s="5" t="inlineStr">
        <is>
          <t>Effect</t>
        </is>
      </c>
      <c r="D30" s="5" t="inlineStr">
        <is>
          <t>Cost</t>
        </is>
      </c>
      <c r="E30" s="5" t="inlineStr"/>
      <c r="F30" s="5" t="inlineStr"/>
    </row>
    <row r="31">
      <c r="A31" s="3" t="inlineStr">
        <is>
          <t>Compound Eye Prototype</t>
        </is>
      </c>
      <c r="B31" s="3" t="inlineStr">
        <is>
          <t>Organ</t>
        </is>
      </c>
      <c r="C31" s="3" t="inlineStr">
        <is>
          <t>Perception (GZ) advantage, Will (YZ) disadvantage</t>
        </is>
      </c>
      <c r="D31" s="3" t="inlineStr">
        <is>
          <t>4+4</t>
        </is>
      </c>
    </row>
    <row r="32">
      <c r="A32" s="3" t="inlineStr">
        <is>
          <t>Hardened Skin</t>
        </is>
      </c>
      <c r="B32" s="3" t="inlineStr">
        <is>
          <t>Passive</t>
        </is>
      </c>
      <c r="C32" s="3" t="inlineStr">
        <is>
          <t>Physical Damage -1</t>
        </is>
      </c>
      <c r="D32" s="3" t="inlineStr">
        <is>
          <t>2</t>
        </is>
      </c>
    </row>
    <row r="33">
      <c r="A33" s="3" t="inlineStr">
        <is>
          <t>Tail Sting</t>
        </is>
      </c>
      <c r="B33" s="3" t="inlineStr">
        <is>
          <t>Low-tier Active</t>
        </is>
      </c>
      <c r="C33" s="3" t="inlineStr">
        <is>
          <t>1d8+Piercing+Poison</t>
        </is>
      </c>
      <c r="D33" s="3" t="inlineStr">
        <is>
          <t>2</t>
        </is>
      </c>
    </row>
    <row r="34"/>
    <row r="35">
      <c r="A35" s="4" t="inlineStr">
        <is>
          <t>Behavior AI / Tactical Notes</t>
        </is>
      </c>
      <c r="B35" s="7" t="n"/>
      <c r="C35" s="7" t="n"/>
      <c r="D35" s="7" t="n"/>
      <c r="E35" s="7" t="n"/>
      <c r="F35" s="8" t="n"/>
    </row>
    <row r="36">
      <c r="A36" s="6" t="inlineStr">
        <is>
          <t>Guards the door, attacks those who approach. Enrages when the player nears the door (Attack +2).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Defense Array</t>
        </is>
      </c>
      <c r="B4" s="3" t="inlineStr">
        <is>
          <t>Elite</t>
        </is>
      </c>
      <c r="C4" s="3" t="inlineStr">
        <is>
          <t>S2</t>
        </is>
      </c>
      <c r="D4" s="3" t="inlineStr">
        <is>
          <t>3</t>
        </is>
      </c>
      <c r="E4" s="3" t="inlineStr">
        <is>
          <t>2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5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7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6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5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Laser Cannon</t>
        </is>
      </c>
      <c r="B25" s="3" t="inlineStr">
        <is>
          <t>Mid-tier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Ranged 2d8+3 Fire</t>
        </is>
      </c>
      <c r="F25" s="3" t="inlineStr">
        <is>
          <t>1 turn</t>
        </is>
      </c>
    </row>
    <row r="26">
      <c r="A26" s="3" t="inlineStr">
        <is>
          <t>Force Shield</t>
        </is>
      </c>
      <c r="B26" s="3" t="inlineStr">
        <is>
          <t>Low-tier</t>
        </is>
      </c>
      <c r="C26" s="3" t="inlineStr">
        <is>
          <t>1</t>
        </is>
      </c>
      <c r="D26" s="3" t="inlineStr">
        <is>
          <t>2</t>
        </is>
      </c>
      <c r="E26" s="3" t="inlineStr">
        <is>
          <t>Self and nearby allies +2 Defense (lasts 2 turns)</t>
        </is>
      </c>
      <c r="F26" s="3" t="inlineStr">
        <is>
          <t>2 turns</t>
        </is>
      </c>
    </row>
    <row r="27">
      <c r="A27" s="3" t="inlineStr">
        <is>
          <t>Freezing Beam</t>
        </is>
      </c>
      <c r="B27" s="3" t="inlineStr">
        <is>
          <t>Mid-tier</t>
        </is>
      </c>
      <c r="C27" s="3" t="inlineStr">
        <is>
          <t>2</t>
        </is>
      </c>
      <c r="D27" s="3" t="inlineStr">
        <is>
          <t>3</t>
        </is>
      </c>
      <c r="E27" s="3" t="inlineStr">
        <is>
          <t>Ranged 2d6+3 Frost + Freeze</t>
        </is>
      </c>
      <c r="F27" s="3" t="inlineStr">
        <is>
          <t>1 turn</t>
        </is>
      </c>
    </row>
    <row r="28"/>
    <row r="29">
      <c r="A29" s="4" t="inlineStr">
        <is>
          <t>Behavior AI / Tactical Notes</t>
        </is>
      </c>
      <c r="B29" s="7" t="n"/>
      <c r="C29" s="7" t="n"/>
      <c r="D29" s="7" t="n"/>
      <c r="E29" s="7" t="n"/>
      <c r="F29" s="8" t="n"/>
    </row>
    <row r="30">
      <c r="A30" s="6" t="inlineStr">
        <is>
          <t>Prioritizes protecting the laboratory's core area. Uses shield, then laser cannon. Mechanical body, cannot be absorbed.</t>
        </is>
      </c>
      <c r="B30" s="9" t="n"/>
      <c r="C30" s="9" t="n"/>
      <c r="D30" s="9" t="n"/>
      <c r="E30" s="9" t="n"/>
      <c r="F30" s="10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14:F14"/>
    <mergeCell ref="A1:F1"/>
    <mergeCell ref="A23:F23"/>
    <mergeCell ref="A6:F6"/>
    <mergeCell ref="A30:F34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Prototype Ω</t>
        </is>
      </c>
      <c r="B4" s="3" t="inlineStr">
        <is>
          <t>Boss</t>
        </is>
      </c>
      <c r="C4" s="3" t="inlineStr">
        <is>
          <t>S2</t>
        </is>
      </c>
      <c r="D4" s="3" t="inlineStr">
        <is>
          <t>10</t>
        </is>
      </c>
      <c r="E4" s="3" t="inlineStr">
        <is>
          <t>5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8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6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8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10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Gene Collapse</t>
        </is>
      </c>
      <c r="B25" s="3" t="inlineStr">
        <is>
          <t>High-tier</t>
        </is>
      </c>
      <c r="C25" s="3" t="inlineStr">
        <is>
          <t>3</t>
        </is>
      </c>
      <c r="D25" s="3" t="inlineStr">
        <is>
          <t>5</t>
        </is>
      </c>
      <c r="E25" s="3" t="inlineStr">
        <is>
          <t>Will DC 16 or lose a random node effect for 3 turns</t>
        </is>
      </c>
      <c r="F25" s="3" t="inlineStr">
        <is>
          <t>3 turns</t>
        </is>
      </c>
    </row>
    <row r="26">
      <c r="A26" s="3" t="inlineStr">
        <is>
          <t>Polymorphic Attack</t>
        </is>
      </c>
      <c r="B26" s="3" t="inlineStr">
        <is>
          <t>Mid-tier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Attacks all targets at once</t>
        </is>
      </c>
      <c r="F26" s="3" t="inlineStr">
        <is>
          <t>2 turns</t>
        </is>
      </c>
    </row>
    <row r="27">
      <c r="A27" s="3" t="inlineStr">
        <is>
          <t>Energy Devour</t>
        </is>
      </c>
      <c r="B27" s="3" t="inlineStr">
        <is>
          <t>Passive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Recovers 2 Energy each time hit by an evolution skill</t>
        </is>
      </c>
      <c r="F27" s="3" t="inlineStr">
        <is>
          <t>—</t>
        </is>
      </c>
    </row>
    <row r="28"/>
    <row r="29">
      <c r="A29" s="4" t="inlineStr">
        <is>
          <t>Can absorb trait samples</t>
        </is>
      </c>
      <c r="B29" s="7" t="n"/>
      <c r="C29" s="7" t="n"/>
      <c r="D29" s="7" t="n"/>
      <c r="E29" s="7" t="n"/>
      <c r="F29" s="8" t="n"/>
    </row>
    <row r="30">
      <c r="A30" s="5" t="inlineStr">
        <is>
          <t>Node Name</t>
        </is>
      </c>
      <c r="B30" s="5" t="inlineStr">
        <is>
          <t>Type</t>
        </is>
      </c>
      <c r="C30" s="5" t="inlineStr">
        <is>
          <t>Effect</t>
        </is>
      </c>
      <c r="D30" s="5" t="inlineStr">
        <is>
          <t>Cost</t>
        </is>
      </c>
      <c r="E30" s="5" t="inlineStr"/>
      <c r="F30" s="5" t="inlineStr"/>
    </row>
    <row r="31">
      <c r="A31" s="3" t="inlineStr">
        <is>
          <t>Gene Stabilization</t>
        </is>
      </c>
      <c r="B31" s="3" t="inlineStr">
        <is>
          <t>Passive</t>
        </is>
      </c>
      <c r="C31" s="3" t="inlineStr">
        <is>
          <t>Humanity Value -1</t>
        </is>
      </c>
      <c r="D31" s="3" t="inlineStr">
        <is>
          <t>4</t>
        </is>
      </c>
    </row>
    <row r="32">
      <c r="A32" s="3" t="inlineStr">
        <is>
          <t>Polymorphic Organ</t>
        </is>
      </c>
      <c r="B32" s="3" t="inlineStr">
        <is>
          <t>Organ</t>
        </is>
      </c>
      <c r="C32" s="3" t="inlineStr">
        <is>
          <t>Can use two different elemental active nodes simultaneously</t>
        </is>
      </c>
      <c r="D32" s="3" t="inlineStr">
        <is>
          <t>5+5</t>
        </is>
      </c>
    </row>
    <row r="33">
      <c r="A33" s="3" t="inlineStr">
        <is>
          <t>Energy Devour</t>
        </is>
      </c>
      <c r="B33" s="3" t="inlineStr">
        <is>
          <t>Passive</t>
        </is>
      </c>
      <c r="C33" s="3" t="inlineStr">
        <is>
          <t>Recovers 2 Energy when hit by a skill</t>
        </is>
      </c>
      <c r="D33" s="3" t="inlineStr">
        <is>
          <t>4</t>
        </is>
      </c>
    </row>
    <row r="34"/>
    <row r="35">
      <c r="A35" s="4" t="inlineStr">
        <is>
          <t>Behavior AI / Tactical Notes</t>
        </is>
      </c>
      <c r="B35" s="7" t="n"/>
      <c r="C35" s="7" t="n"/>
      <c r="D35" s="7" t="n"/>
      <c r="E35" s="7" t="n"/>
      <c r="F35" s="8" t="n"/>
    </row>
    <row r="36">
      <c r="A36" s="6" t="inlineStr">
        <is>
          <t>The Guardian AI's ultimate weapon. At HP &lt; 50%, prioritizes Gene Collapse. Habitually targets the strongest opponent.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Bio-mech</t>
        </is>
      </c>
      <c r="B4" s="3" t="inlineStr">
        <is>
          <t>Elite</t>
        </is>
      </c>
      <c r="C4" s="3" t="inlineStr">
        <is>
          <t>S3</t>
        </is>
      </c>
      <c r="D4" s="3" t="inlineStr">
        <is>
          <t>4</t>
        </is>
      </c>
      <c r="E4" s="3" t="inlineStr">
        <is>
          <t>2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8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8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2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Bio-cannon</t>
        </is>
      </c>
      <c r="B25" s="3" t="inlineStr">
        <is>
          <t>Mid-tier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Ranged 2d8+3 Corrosive</t>
        </is>
      </c>
      <c r="F25" s="3" t="inlineStr">
        <is>
          <t>1 turn</t>
        </is>
      </c>
    </row>
    <row r="26">
      <c r="A26" s="3" t="inlineStr">
        <is>
          <t>Tentacle Bind</t>
        </is>
      </c>
      <c r="B26" s="3" t="inlineStr">
        <is>
          <t>Mid-tier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Mid-range, Agility DC 15 or immobilized 1 turn</t>
        </is>
      </c>
      <c r="F26" s="3" t="inlineStr">
        <is>
          <t>1 turn</t>
        </is>
      </c>
    </row>
    <row r="27">
      <c r="A27" s="3" t="inlineStr">
        <is>
          <t>Energy Absorption</t>
        </is>
      </c>
      <c r="B27" s="3" t="inlineStr">
        <is>
          <t>Passive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Recovers 5 HP per turn near the evolution primal pool</t>
        </is>
      </c>
      <c r="F27" s="3" t="inlineStr">
        <is>
          <t>—</t>
        </is>
      </c>
    </row>
    <row r="28"/>
    <row r="29">
      <c r="A29" s="4" t="inlineStr">
        <is>
          <t>Can absorb trait samples</t>
        </is>
      </c>
      <c r="B29" s="7" t="n"/>
      <c r="C29" s="7" t="n"/>
      <c r="D29" s="7" t="n"/>
      <c r="E29" s="7" t="n"/>
      <c r="F29" s="8" t="n"/>
    </row>
    <row r="30">
      <c r="A30" s="5" t="inlineStr">
        <is>
          <t>Node Name</t>
        </is>
      </c>
      <c r="B30" s="5" t="inlineStr">
        <is>
          <t>Type</t>
        </is>
      </c>
      <c r="C30" s="5" t="inlineStr">
        <is>
          <t>Effect</t>
        </is>
      </c>
      <c r="D30" s="5" t="inlineStr">
        <is>
          <t>Cost</t>
        </is>
      </c>
      <c r="E30" s="5" t="inlineStr"/>
      <c r="F30" s="5" t="inlineStr"/>
    </row>
    <row r="31">
      <c r="A31" s="3" t="inlineStr">
        <is>
          <t>Bio-fusion</t>
        </is>
      </c>
      <c r="B31" s="3" t="inlineStr">
        <is>
          <t>Organ</t>
        </is>
      </c>
      <c r="C31" s="3" t="inlineStr">
        <is>
          <t>Can fuse with mechanical devices</t>
        </is>
      </c>
      <c r="D31" s="3" t="inlineStr">
        <is>
          <t>4+4</t>
        </is>
      </c>
    </row>
    <row r="32"/>
    <row r="33">
      <c r="A33" s="4" t="inlineStr">
        <is>
          <t>Behavior AI / Tactical Notes</t>
        </is>
      </c>
      <c r="B33" s="7" t="n"/>
      <c r="C33" s="7" t="n"/>
      <c r="D33" s="7" t="n"/>
      <c r="E33" s="7" t="n"/>
      <c r="F33" s="8" t="n"/>
    </row>
    <row r="34">
      <c r="A34" s="6" t="inlineStr">
        <is>
          <t>Guards the interior of the Gene Forge. Prioritizes attacking targets approaching the primal pool.</t>
        </is>
      </c>
      <c r="B34" s="9" t="n"/>
      <c r="C34" s="9" t="n"/>
      <c r="D34" s="9" t="n"/>
      <c r="E34" s="9" t="n"/>
      <c r="F34" s="10" t="n"/>
    </row>
    <row r="35">
      <c r="A35" s="11" t="n"/>
      <c r="F35" s="12" t="n"/>
    </row>
    <row r="36">
      <c r="A36" s="11" t="n"/>
      <c r="F36" s="12" t="n"/>
    </row>
    <row r="37">
      <c r="A37" s="11" t="n"/>
      <c r="F37" s="12" t="n"/>
    </row>
    <row r="38">
      <c r="A38" s="13" t="n"/>
      <c r="B38" s="14" t="n"/>
      <c r="C38" s="14" t="n"/>
      <c r="D38" s="14" t="n"/>
      <c r="E38" s="14" t="n"/>
      <c r="F38" s="15" t="n"/>
    </row>
  </sheetData>
  <mergeCells count="7">
    <mergeCell ref="A33:F33"/>
    <mergeCell ref="A14:F14"/>
    <mergeCell ref="A1:F1"/>
    <mergeCell ref="A23:F23"/>
    <mergeCell ref="A34:F38"/>
    <mergeCell ref="A6:F6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Bishop of a Thousand Faces</t>
        </is>
      </c>
      <c r="B4" s="3" t="inlineStr">
        <is>
          <t>Boss</t>
        </is>
      </c>
      <c r="C4" s="3" t="inlineStr">
        <is>
          <t>S3</t>
        </is>
      </c>
      <c r="D4" s="3" t="inlineStr">
        <is>
          <t>12</t>
        </is>
      </c>
      <c r="E4" s="3" t="inlineStr">
        <is>
          <t>5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7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7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9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12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Form Switch</t>
        </is>
      </c>
      <c r="B25" s="3" t="inlineStr">
        <is>
          <t>Passive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Switches form each turn (Humanoid / Tentacle / Flying)</t>
        </is>
      </c>
      <c r="F25" s="3" t="inlineStr">
        <is>
          <t>—</t>
        </is>
      </c>
    </row>
    <row r="26">
      <c r="A26" s="3" t="inlineStr">
        <is>
          <t>Thousand-face Touch</t>
        </is>
      </c>
      <c r="B26" s="3" t="inlineStr">
        <is>
          <t>High-tier</t>
        </is>
      </c>
      <c r="C26" s="3" t="inlineStr">
        <is>
          <t>2</t>
        </is>
      </c>
      <c r="D26" s="3" t="inlineStr">
        <is>
          <t>5</t>
        </is>
      </c>
      <c r="E26" s="3" t="inlineStr">
        <is>
          <t>Will DC 18 or copies one of the target's evolution nodes</t>
        </is>
      </c>
      <c r="F26" s="3" t="inlineStr">
        <is>
          <t>3 turns</t>
        </is>
      </c>
    </row>
    <row r="27">
      <c r="A27" s="3" t="inlineStr">
        <is>
          <t>Evolution Deprivation</t>
        </is>
      </c>
      <c r="B27" s="3" t="inlineStr">
        <is>
          <t>Ultimate</t>
        </is>
      </c>
      <c r="C27" s="3" t="inlineStr">
        <is>
          <t>3</t>
        </is>
      </c>
      <c r="D27" s="3" t="inlineStr">
        <is>
          <t>All</t>
        </is>
      </c>
      <c r="E27" s="3" t="inlineStr">
        <is>
          <t>Will DC 20 or permanently loses a node</t>
        </is>
      </c>
      <c r="F27" s="3" t="inlineStr">
        <is>
          <t>All-field once</t>
        </is>
      </c>
    </row>
    <row r="28">
      <c r="A28" s="3" t="inlineStr">
        <is>
          <t>Tentacle Storm</t>
        </is>
      </c>
      <c r="B28" s="3" t="inlineStr">
        <is>
          <t>Mid-tier</t>
        </is>
      </c>
      <c r="C28" s="3" t="inlineStr">
        <is>
          <t>2</t>
        </is>
      </c>
      <c r="D28" s="3" t="inlineStr">
        <is>
          <t>3</t>
        </is>
      </c>
      <c r="E28" s="3" t="inlineStr">
        <is>
          <t>All targets in range 2d8+4 Bludgeoning (Tentacle form)</t>
        </is>
      </c>
      <c r="F28" s="3" t="inlineStr">
        <is>
          <t>1 turn</t>
        </is>
      </c>
    </row>
    <row r="29">
      <c r="A29" s="3" t="inlineStr">
        <is>
          <t>Flying Dive</t>
        </is>
      </c>
      <c r="B29" s="3" t="inlineStr">
        <is>
          <t>High-tier</t>
        </is>
      </c>
      <c r="C29" s="3" t="inlineStr">
        <is>
          <t>3</t>
        </is>
      </c>
      <c r="D29" s="3" t="inlineStr">
        <is>
          <t>5</t>
        </is>
      </c>
      <c r="E29" s="3" t="inlineStr">
        <is>
          <t>Ranged dash + 3d6+4 Slashing (Flying form)</t>
        </is>
      </c>
      <c r="F29" s="3" t="inlineStr">
        <is>
          <t>3 turns</t>
        </is>
      </c>
    </row>
    <row r="30"/>
    <row r="31">
      <c r="A31" s="4" t="inlineStr">
        <is>
          <t>Can absorb trait samples</t>
        </is>
      </c>
      <c r="B31" s="7" t="n"/>
      <c r="C31" s="7" t="n"/>
      <c r="D31" s="7" t="n"/>
      <c r="E31" s="7" t="n"/>
      <c r="F31" s="8" t="n"/>
    </row>
    <row r="32">
      <c r="A32" s="5" t="inlineStr">
        <is>
          <t>Node Name</t>
        </is>
      </c>
      <c r="B32" s="5" t="inlineStr">
        <is>
          <t>Type</t>
        </is>
      </c>
      <c r="C32" s="5" t="inlineStr">
        <is>
          <t>Effect</t>
        </is>
      </c>
      <c r="D32" s="5" t="inlineStr">
        <is>
          <t>Cost</t>
        </is>
      </c>
      <c r="E32" s="5" t="inlineStr"/>
      <c r="F32" s="5" t="inlineStr"/>
    </row>
    <row r="33">
      <c r="A33" s="3" t="inlineStr">
        <is>
          <t>Form Switch (weakened version)</t>
        </is>
      </c>
      <c r="B33" s="3" t="inlineStr">
        <is>
          <t>Form</t>
        </is>
      </c>
      <c r="C33" s="3" t="inlineStr">
        <is>
          <t>Can switch between 2 preset forms (out of combat)</t>
        </is>
      </c>
      <c r="D33" s="3" t="inlineStr">
        <is>
          <t>5+12</t>
        </is>
      </c>
    </row>
    <row r="34">
      <c r="A34" s="3" t="inlineStr">
        <is>
          <t>Copy Touch</t>
        </is>
      </c>
      <c r="B34" s="3" t="inlineStr">
        <is>
          <t>High-tier Active</t>
        </is>
      </c>
      <c r="C34" s="3" t="inlineStr">
        <is>
          <t>Temporarily copies a node for 1 turn</t>
        </is>
      </c>
      <c r="D34" s="3" t="inlineStr">
        <is>
          <t>5</t>
        </is>
      </c>
    </row>
    <row r="35">
      <c r="A35" s="3" t="inlineStr">
        <is>
          <t>Thousand-face Carapace</t>
        </is>
      </c>
      <c r="B35" s="3" t="inlineStr">
        <is>
          <t>Passive</t>
        </is>
      </c>
      <c r="C35" s="3" t="inlineStr">
        <is>
          <t>Can negate one attack per battle</t>
        </is>
      </c>
      <c r="D35" s="3" t="inlineStr">
        <is>
          <t>4</t>
        </is>
      </c>
    </row>
    <row r="36"/>
    <row r="37">
      <c r="A37" s="4" t="inlineStr">
        <is>
          <t>Behavior AI / Tactical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Leader of the Ultimate Evolution Cult. A legendary being evolved over 100 times. Won't easily act personally — unless the forge is threatened. Form cycle: Humanoid → Tentacle → Flying.</t>
        </is>
      </c>
      <c r="B38" s="9" t="n"/>
      <c r="C38" s="9" t="n"/>
      <c r="D38" s="9" t="n"/>
      <c r="E38" s="9" t="n"/>
      <c r="F38" s="10" t="n"/>
    </row>
    <row r="39">
      <c r="A39" s="11" t="n"/>
      <c r="F39" s="12" t="n"/>
    </row>
    <row r="40">
      <c r="A40" s="11" t="n"/>
      <c r="F40" s="12" t="n"/>
    </row>
    <row r="41">
      <c r="A41" s="11" t="n"/>
      <c r="F41" s="12" t="n"/>
    </row>
    <row r="42">
      <c r="A42" s="13" t="n"/>
      <c r="B42" s="14" t="n"/>
      <c r="C42" s="14" t="n"/>
      <c r="D42" s="14" t="n"/>
      <c r="E42" s="14" t="n"/>
      <c r="F42" s="15" t="n"/>
    </row>
  </sheetData>
  <mergeCells count="7">
    <mergeCell ref="A14:F14"/>
    <mergeCell ref="A1:F1"/>
    <mergeCell ref="A23:F23"/>
    <mergeCell ref="A37:F37"/>
    <mergeCell ref="A31:F31"/>
    <mergeCell ref="A6:F6"/>
    <mergeCell ref="A38:F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Zarakus, King of the Wild</t>
        </is>
      </c>
      <c r="B4" s="3" t="inlineStr">
        <is>
          <t>Boss</t>
        </is>
      </c>
      <c r="C4" s="3" t="inlineStr">
        <is>
          <t>S4</t>
        </is>
      </c>
      <c r="D4" s="3" t="inlineStr">
        <is>
          <t>15</t>
        </is>
      </c>
      <c r="E4" s="3" t="inlineStr">
        <is>
          <t>5/8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14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10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8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Massive Jaw Bite</t>
        </is>
      </c>
      <c r="B25" s="3" t="inlineStr">
        <is>
          <t>Low-tier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Melee 2d8+7 Piercing</t>
        </is>
      </c>
      <c r="F25" s="3" t="inlineStr">
        <is>
          <t>None</t>
        </is>
      </c>
    </row>
    <row r="26">
      <c r="A26" s="3" t="inlineStr">
        <is>
          <t>Tail Sweep</t>
        </is>
      </c>
      <c r="B26" s="3" t="inlineStr">
        <is>
          <t>Mid-tier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Cone 3 cells 2d6+7 Bludgeoning + Knockdown DC 16</t>
        </is>
      </c>
      <c r="F26" s="3" t="inlineStr">
        <is>
          <t>1 turn</t>
        </is>
      </c>
    </row>
    <row r="27">
      <c r="A27" s="3" t="inlineStr">
        <is>
          <t>Lava Breath</t>
        </is>
      </c>
      <c r="B27" s="3" t="inlineStr">
        <is>
          <t>High-tier</t>
        </is>
      </c>
      <c r="C27" s="3" t="inlineStr">
        <is>
          <t>3</t>
        </is>
      </c>
      <c r="D27" s="3" t="inlineStr">
        <is>
          <t>5</t>
        </is>
      </c>
      <c r="E27" s="3" t="inlineStr">
        <is>
          <t>Cone 5 cells 3d10 Fire + lava terrain</t>
        </is>
      </c>
      <c r="F27" s="3" t="inlineStr">
        <is>
          <t>3 turns</t>
        </is>
      </c>
    </row>
    <row r="28">
      <c r="A28" s="3" t="inlineStr">
        <is>
          <t>Dragon Scale</t>
        </is>
      </c>
      <c r="B28" s="3" t="inlineStr">
        <is>
          <t>Passive</t>
        </is>
      </c>
      <c r="C28" s="3" t="inlineStr">
        <is>
          <t>—</t>
        </is>
      </c>
      <c r="D28" s="3" t="inlineStr">
        <is>
          <t>—</t>
        </is>
      </c>
      <c r="E28" s="3" t="inlineStr">
        <is>
          <t>All Damage -3</t>
        </is>
      </c>
      <c r="F28" s="3" t="inlineStr">
        <is>
          <t>—</t>
        </is>
      </c>
    </row>
    <row r="29"/>
    <row r="30">
      <c r="A30" s="4" t="inlineStr">
        <is>
          <t>Can absorb trait samples</t>
        </is>
      </c>
      <c r="B30" s="7" t="n"/>
      <c r="C30" s="7" t="n"/>
      <c r="D30" s="7" t="n"/>
      <c r="E30" s="7" t="n"/>
      <c r="F30" s="8" t="n"/>
    </row>
    <row r="31">
      <c r="A31" s="5" t="inlineStr">
        <is>
          <t>Node Name</t>
        </is>
      </c>
      <c r="B31" s="5" t="inlineStr">
        <is>
          <t>Type</t>
        </is>
      </c>
      <c r="C31" s="5" t="inlineStr">
        <is>
          <t>Effect</t>
        </is>
      </c>
      <c r="D31" s="5" t="inlineStr">
        <is>
          <t>Cost</t>
        </is>
      </c>
      <c r="E31" s="5" t="inlineStr"/>
      <c r="F31" s="5" t="inlineStr"/>
    </row>
    <row r="32">
      <c r="A32" s="3" t="inlineStr">
        <is>
          <t>Dragon Scale</t>
        </is>
      </c>
      <c r="B32" s="3" t="inlineStr">
        <is>
          <t>Passive</t>
        </is>
      </c>
      <c r="C32" s="3" t="inlineStr">
        <is>
          <t>All Damage -2</t>
        </is>
      </c>
      <c r="D32" s="3" t="inlineStr">
        <is>
          <t>4</t>
        </is>
      </c>
    </row>
    <row r="33">
      <c r="A33" s="3" t="inlineStr">
        <is>
          <t>Lava Breath</t>
        </is>
      </c>
      <c r="B33" s="3" t="inlineStr">
        <is>
          <t>High-tier Active</t>
        </is>
      </c>
      <c r="C33" s="3" t="inlineStr">
        <is>
          <t>Cone 5 cells 3d10 Fire</t>
        </is>
      </c>
      <c r="D33" s="3" t="inlineStr">
        <is>
          <t>5</t>
        </is>
      </c>
    </row>
    <row r="34">
      <c r="A34" s="3" t="inlineStr">
        <is>
          <t>Behemoth Heart</t>
        </is>
      </c>
      <c r="B34" s="3" t="inlineStr">
        <is>
          <t>Organ</t>
        </is>
      </c>
      <c r="C34" s="3" t="inlineStr">
        <is>
          <t>HP +15, Strength (LIL) +2</t>
        </is>
      </c>
      <c r="D34" s="3" t="inlineStr">
        <is>
          <t>5+10</t>
        </is>
      </c>
    </row>
    <row r="35">
      <c r="A35" s="3" t="inlineStr">
        <is>
          <t>Paternal Instinct</t>
        </is>
      </c>
      <c r="B35" s="3" t="inlineStr">
        <is>
          <t>Passive</t>
        </is>
      </c>
      <c r="C35" s="3" t="inlineStr">
        <is>
          <t>Defense +2 when protecting a specific target (only selectable in peaceful resolution)</t>
        </is>
      </c>
      <c r="D35" s="3" t="inlineStr">
        <is>
          <t>3</t>
        </is>
      </c>
    </row>
    <row r="36"/>
    <row r="37">
      <c r="A37" s="4" t="inlineStr">
        <is>
          <t>Behavior AI / Tactical Notes</t>
        </is>
      </c>
      <c r="B37" s="7" t="n"/>
      <c r="C37" s="7" t="n"/>
      <c r="D37" s="7" t="n"/>
      <c r="E37" s="7" t="n"/>
      <c r="F37" s="8" t="n"/>
    </row>
    <row r="38">
      <c r="A38" s="6" t="inlineStr">
        <is>
          <t>Arena rank 2. Phase one: frontline combat. HP&lt;60% → retreats to nest to protect offspring. Can communicate via Will DC 20 — may become an ally once the truth is revealed.</t>
        </is>
      </c>
      <c r="B38" s="9" t="n"/>
      <c r="C38" s="9" t="n"/>
      <c r="D38" s="9" t="n"/>
      <c r="E38" s="9" t="n"/>
      <c r="F38" s="10" t="n"/>
    </row>
    <row r="39">
      <c r="A39" s="11" t="n"/>
      <c r="F39" s="12" t="n"/>
    </row>
    <row r="40">
      <c r="A40" s="11" t="n"/>
      <c r="F40" s="12" t="n"/>
    </row>
    <row r="41">
      <c r="A41" s="11" t="n"/>
      <c r="F41" s="12" t="n"/>
    </row>
    <row r="42">
      <c r="A42" s="13" t="n"/>
      <c r="B42" s="14" t="n"/>
      <c r="C42" s="14" t="n"/>
      <c r="D42" s="14" t="n"/>
      <c r="E42" s="14" t="n"/>
      <c r="F42" s="15" t="n"/>
    </row>
  </sheetData>
  <mergeCells count="7">
    <mergeCell ref="A14:F14"/>
    <mergeCell ref="A1:F1"/>
    <mergeCell ref="A23:F23"/>
    <mergeCell ref="A37:F37"/>
    <mergeCell ref="A6:F6"/>
    <mergeCell ref="A30:F30"/>
    <mergeCell ref="A38:F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Immortal Kane (Champion)</t>
        </is>
      </c>
      <c r="B4" s="3" t="inlineStr">
        <is>
          <t>Boss</t>
        </is>
      </c>
      <c r="C4" s="3" t="inlineStr">
        <is>
          <t>S4</t>
        </is>
      </c>
      <c r="D4" s="3" t="inlineStr">
        <is>
          <t>20</t>
        </is>
      </c>
      <c r="E4" s="3" t="inlineStr">
        <is>
          <t>10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12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14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14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16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Earthquake Slam</t>
        </is>
      </c>
      <c r="B25" s="3" t="inlineStr">
        <is>
          <t>High-tier</t>
        </is>
      </c>
      <c r="C25" s="3" t="inlineStr">
        <is>
          <t>3</t>
        </is>
      </c>
      <c r="D25" s="3" t="inlineStr">
        <is>
          <t>5</t>
        </is>
      </c>
      <c r="E25" s="3" t="inlineStr">
        <is>
          <t>All-field 3d8+6 Bludgeoning (Behemoth form)</t>
        </is>
      </c>
      <c r="F25" s="3" t="inlineStr">
        <is>
          <t>3 turns</t>
        </is>
      </c>
    </row>
    <row r="26">
      <c r="A26" s="3" t="inlineStr">
        <is>
          <t>Devour</t>
        </is>
      </c>
      <c r="B26" s="3" t="inlineStr">
        <is>
          <t>Mid-tier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Absorbs 2d6 HP from target (Behemoth form)</t>
        </is>
      </c>
      <c r="F26" s="3" t="inlineStr">
        <is>
          <t>1 turn</t>
        </is>
      </c>
    </row>
    <row r="27">
      <c r="A27" s="3" t="inlineStr">
        <is>
          <t>Mental Storm</t>
        </is>
      </c>
      <c r="B27" s="3" t="inlineStr">
        <is>
          <t>High-tier</t>
        </is>
      </c>
      <c r="C27" s="3" t="inlineStr">
        <is>
          <t>3</t>
        </is>
      </c>
      <c r="D27" s="3" t="inlineStr">
        <is>
          <t>5</t>
        </is>
      </c>
      <c r="E27" s="3" t="inlineStr">
        <is>
          <t>4d8 Mental damage (Spirit form)</t>
        </is>
      </c>
      <c r="F27" s="3" t="inlineStr">
        <is>
          <t>3 turns</t>
        </is>
      </c>
    </row>
    <row r="28">
      <c r="A28" s="3" t="inlineStr">
        <is>
          <t>Soul Rend</t>
        </is>
      </c>
      <c r="B28" s="3" t="inlineStr">
        <is>
          <t>Ultimate</t>
        </is>
      </c>
      <c r="C28" s="3" t="inlineStr">
        <is>
          <t>3</t>
        </is>
      </c>
      <c r="D28" s="3" t="inlineStr">
        <is>
          <t>All</t>
        </is>
      </c>
      <c r="E28" s="3" t="inlineStr">
        <is>
          <t>Will DC 20 or lose consciousness 1 turn (Spirit form)</t>
        </is>
      </c>
      <c r="F28" s="3" t="inlineStr">
        <is>
          <t>All-field once</t>
        </is>
      </c>
    </row>
    <row r="29">
      <c r="A29" s="3" t="inlineStr">
        <is>
          <t>Elemental Storm</t>
        </is>
      </c>
      <c r="B29" s="3" t="inlineStr">
        <is>
          <t>Ultimate</t>
        </is>
      </c>
      <c r="C29" s="3" t="inlineStr">
        <is>
          <t>3</t>
        </is>
      </c>
      <c r="D29" s="3" t="inlineStr">
        <is>
          <t>All</t>
        </is>
      </c>
      <c r="E29" s="3" t="inlineStr">
        <is>
          <t>4d10 Mixed (Fire+Frost+Lightning) (Elemental form)</t>
        </is>
      </c>
      <c r="F29" s="3" t="inlineStr">
        <is>
          <t>All-field once</t>
        </is>
      </c>
    </row>
    <row r="30">
      <c r="A30" s="3" t="inlineStr">
        <is>
          <t>Elemental Shield</t>
        </is>
      </c>
      <c r="B30" s="3" t="inlineStr">
        <is>
          <t>Passive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Negates the first attack each turn (Elemental form)</t>
        </is>
      </c>
      <c r="F30" s="3" t="inlineStr">
        <is>
          <t>—</t>
        </is>
      </c>
    </row>
    <row r="31"/>
    <row r="32">
      <c r="A32" s="4" t="inlineStr">
        <is>
          <t>Can absorb trait samples</t>
        </is>
      </c>
      <c r="B32" s="7" t="n"/>
      <c r="C32" s="7" t="n"/>
      <c r="D32" s="7" t="n"/>
      <c r="E32" s="7" t="n"/>
      <c r="F32" s="8" t="n"/>
    </row>
    <row r="33">
      <c r="A33" s="5" t="inlineStr">
        <is>
          <t>Node Name</t>
        </is>
      </c>
      <c r="B33" s="5" t="inlineStr">
        <is>
          <t>Type</t>
        </is>
      </c>
      <c r="C33" s="5" t="inlineStr">
        <is>
          <t>Effect</t>
        </is>
      </c>
      <c r="D33" s="5" t="inlineStr">
        <is>
          <t>Cost</t>
        </is>
      </c>
      <c r="E33" s="5" t="inlineStr"/>
      <c r="F33" s="5" t="inlineStr"/>
    </row>
    <row r="34">
      <c r="A34" s="3" t="inlineStr">
        <is>
          <t>Champion Body</t>
        </is>
      </c>
      <c r="B34" s="3" t="inlineStr">
        <is>
          <t>Ultimate Form</t>
        </is>
      </c>
      <c r="C34" s="3" t="inlineStr">
        <is>
          <t>Can switch form once for free each month</t>
        </is>
      </c>
      <c r="D34" s="3" t="inlineStr">
        <is>
          <t>Special</t>
        </is>
      </c>
    </row>
    <row r="35">
      <c r="A35" s="3" t="inlineStr">
        <is>
          <t>Immortal Will</t>
        </is>
      </c>
      <c r="B35" s="3" t="inlineStr">
        <is>
          <t>Attribute</t>
        </is>
      </c>
      <c r="C35" s="3" t="inlineStr">
        <is>
          <t>Will (YZ) +3</t>
        </is>
      </c>
      <c r="D35" s="3" t="inlineStr">
        <is>
          <t>5</t>
        </is>
      </c>
    </row>
    <row r="36">
      <c r="A36" s="3" t="inlineStr">
        <is>
          <t>Arena Intuition</t>
        </is>
      </c>
      <c r="B36" s="3" t="inlineStr">
        <is>
          <t>Passive</t>
        </is>
      </c>
      <c r="C36" s="3" t="inlineStr">
        <is>
          <t>Initiative +5, first-strike advantage</t>
        </is>
      </c>
      <c r="D36" s="3" t="inlineStr">
        <is>
          <t>4</t>
        </is>
      </c>
    </row>
    <row r="37"/>
    <row r="38">
      <c r="A38" s="4" t="inlineStr">
        <is>
          <t>Behavior AI / Tactical Notes</t>
        </is>
      </c>
      <c r="B38" s="7" t="n"/>
      <c r="C38" s="7" t="n"/>
      <c r="D38" s="7" t="n"/>
      <c r="E38" s="7" t="n"/>
      <c r="F38" s="8" t="n"/>
    </row>
    <row r="39">
      <c r="A39" s="6" t="inlineStr">
        <is>
          <t>Form cycle: Behemoth → Spirit → Element → Behemoth. Physical attacks work in Behemoth form, physical immunity in Spirit form, elemental immunity in Element form. A peaceful resolution is possible — lowering weapons reveals the sealed secret.</t>
        </is>
      </c>
      <c r="B39" s="9" t="n"/>
      <c r="C39" s="9" t="n"/>
      <c r="D39" s="9" t="n"/>
      <c r="E39" s="9" t="n"/>
      <c r="F39" s="10" t="n"/>
    </row>
    <row r="40">
      <c r="A40" s="11" t="n"/>
      <c r="F40" s="12" t="n"/>
    </row>
    <row r="41">
      <c r="A41" s="11" t="n"/>
      <c r="F41" s="12" t="n"/>
    </row>
    <row r="42">
      <c r="A42" s="11" t="n"/>
      <c r="F42" s="12" t="n"/>
    </row>
    <row r="43">
      <c r="A43" s="13" t="n"/>
      <c r="B43" s="14" t="n"/>
      <c r="C43" s="14" t="n"/>
      <c r="D43" s="14" t="n"/>
      <c r="E43" s="14" t="n"/>
      <c r="F43" s="15" t="n"/>
    </row>
  </sheetData>
  <mergeCells count="7">
    <mergeCell ref="A38:F38"/>
    <mergeCell ref="A14:F14"/>
    <mergeCell ref="A1:F1"/>
    <mergeCell ref="A23:F23"/>
    <mergeCell ref="A32:F32"/>
    <mergeCell ref="A6:F6"/>
    <mergeCell ref="A39:F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Devour Gene: Chronicle of Evolution TRPG — Enemy / Monster Character Card</t>
        </is>
      </c>
    </row>
    <row r="2"/>
    <row r="3">
      <c r="A3" s="2" t="inlineStr">
        <is>
          <t>Enemy Name</t>
        </is>
      </c>
      <c r="B3" s="2" t="inlineStr">
        <is>
          <t>Type</t>
        </is>
      </c>
      <c r="C3" s="2" t="inlineStr">
        <is>
          <t>Tier</t>
        </is>
      </c>
      <c r="D3" s="2" t="inlineStr">
        <is>
          <t>Appears In Scenario</t>
        </is>
      </c>
      <c r="E3" s="2" t="inlineStr">
        <is>
          <t>Biomass Drop</t>
        </is>
      </c>
      <c r="F3" s="2" t="inlineStr">
        <is>
          <t>Evolution Points</t>
        </is>
      </c>
    </row>
    <row r="4">
      <c r="A4" s="3" t="inlineStr">
        <is>
          <t>Abyss Gatekeeper</t>
        </is>
      </c>
      <c r="B4" s="3" t="inlineStr">
        <is>
          <t>Boss</t>
        </is>
      </c>
      <c r="C4" s="3" t="inlineStr">
        <is>
          <t>S5</t>
        </is>
      </c>
      <c r="D4" s="3" t="inlineStr">
        <is>
          <t>10</t>
        </is>
      </c>
      <c r="E4" s="3" t="inlineStr">
        <is>
          <t>5</t>
        </is>
      </c>
      <c r="F4" s="3" t="n"/>
    </row>
    <row r="5"/>
    <row r="6">
      <c r="A6" s="4" t="inlineStr">
        <is>
          <t>Attribute</t>
        </is>
      </c>
      <c r="B6" s="7" t="n"/>
      <c r="C6" s="7" t="n"/>
      <c r="D6" s="7" t="n"/>
      <c r="E6" s="7" t="n"/>
      <c r="F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>
        <v>10</v>
      </c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>
        <v>10</v>
      </c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>
        <v>14</v>
      </c>
      <c r="D12" s="3">
        <f>C12</f>
        <v/>
      </c>
    </row>
    <row r="13"/>
    <row r="14">
      <c r="A14" s="4" t="inlineStr">
        <is>
          <t>Combat Values (Auto-calculated)</t>
        </is>
      </c>
      <c r="B14" s="7" t="n"/>
      <c r="C14" s="7" t="n"/>
      <c r="D14" s="7" t="n"/>
      <c r="E14" s="7" t="n"/>
      <c r="F14" s="8" t="n"/>
    </row>
    <row r="15">
      <c r="A15" s="2" t="inlineStr">
        <is>
          <t>Health (HP)</t>
        </is>
      </c>
      <c r="C15" s="3">
        <f>C10*5</f>
        <v/>
      </c>
    </row>
    <row r="16">
      <c r="A16" s="2" t="inlineStr">
        <is>
          <t>Energy Max</t>
        </is>
      </c>
      <c r="C16" s="3">
        <f>C10+C12</f>
        <v/>
      </c>
    </row>
    <row r="17">
      <c r="A17" s="2" t="inlineStr">
        <is>
          <t>Defense Value</t>
        </is>
      </c>
      <c r="C17" s="3">
        <f>10+C9</f>
        <v/>
      </c>
    </row>
    <row r="18">
      <c r="A18" s="2" t="inlineStr">
        <is>
          <t>Movement Speed</t>
        </is>
      </c>
      <c r="C18" s="3">
        <f>IF(C9&lt;=3,4,IF(C9&lt;=6,5,IF(C9&lt;=9,6,IF(C9&lt;=12,7,IF(C9&lt;=15,8,9)))))</f>
        <v/>
      </c>
    </row>
    <row r="19">
      <c r="A19" s="2" t="inlineStr">
        <is>
          <t>Melee Attack Bonus</t>
        </is>
      </c>
      <c r="C19" s="3">
        <f>C8</f>
        <v/>
      </c>
    </row>
    <row r="20">
      <c r="A20" s="2" t="inlineStr">
        <is>
          <t>Ranged Attack Bonus</t>
        </is>
      </c>
      <c r="C20" s="3">
        <f>C9</f>
        <v/>
      </c>
    </row>
    <row r="21"/>
    <row r="22"/>
    <row r="23">
      <c r="A23" s="4" t="inlineStr">
        <is>
          <t>Skill / Attack</t>
        </is>
      </c>
      <c r="B23" s="7" t="n"/>
      <c r="C23" s="7" t="n"/>
      <c r="D23" s="7" t="n"/>
      <c r="E23" s="7" t="n"/>
      <c r="F23" s="8" t="n"/>
    </row>
    <row r="24">
      <c r="A24" s="5" t="inlineStr">
        <is>
          <t>Skill Name</t>
        </is>
      </c>
      <c r="B24" s="5" t="inlineStr">
        <is>
          <t>Tier</t>
        </is>
      </c>
      <c r="C24" s="5" t="inlineStr">
        <is>
          <t>AP Cost</t>
        </is>
      </c>
      <c r="D24" s="5" t="inlineStr">
        <is>
          <t>Energy Cost</t>
        </is>
      </c>
      <c r="E24" s="5" t="inlineStr">
        <is>
          <t>Effect / Damage</t>
        </is>
      </c>
      <c r="F24" s="5" t="inlineStr">
        <is>
          <t>Cooldown</t>
        </is>
      </c>
    </row>
    <row r="25">
      <c r="A25" s="3" t="inlineStr">
        <is>
          <t>Void Tentacle</t>
        </is>
      </c>
      <c r="B25" s="3" t="inlineStr">
        <is>
          <t>Mid-tier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Mid-range 2d8+5 Mental + Humanity Value -1</t>
        </is>
      </c>
      <c r="F25" s="3" t="inlineStr">
        <is>
          <t>1 turn</t>
        </is>
      </c>
    </row>
    <row r="26">
      <c r="A26" s="3" t="inlineStr">
        <is>
          <t>Worm's Roar</t>
        </is>
      </c>
      <c r="B26" s="3" t="inlineStr">
        <is>
          <t>High-tier</t>
        </is>
      </c>
      <c r="C26" s="3" t="inlineStr">
        <is>
          <t>3</t>
        </is>
      </c>
      <c r="D26" s="3" t="inlineStr">
        <is>
          <t>5</t>
        </is>
      </c>
      <c r="E26" s="3" t="inlineStr">
        <is>
          <t>All-field Will DC 18 or loses action</t>
        </is>
      </c>
      <c r="F26" s="3" t="inlineStr">
        <is>
          <t>3 turns</t>
        </is>
      </c>
    </row>
    <row r="27">
      <c r="A27" s="3" t="inlineStr">
        <is>
          <t>Abyss Gaze</t>
        </is>
      </c>
      <c r="B27" s="3" t="inlineStr">
        <is>
          <t>Ultimate</t>
        </is>
      </c>
      <c r="C27" s="3" t="inlineStr">
        <is>
          <t>3</t>
        </is>
      </c>
      <c r="D27" s="3" t="inlineStr">
        <is>
          <t>All</t>
        </is>
      </c>
      <c r="E27" s="3" t="inlineStr">
        <is>
          <t>Will DC 22 or Humanity Value halved</t>
        </is>
      </c>
      <c r="F27" s="3" t="inlineStr">
        <is>
          <t>All-field once</t>
        </is>
      </c>
    </row>
    <row r="28"/>
    <row r="29">
      <c r="A29" s="4" t="inlineStr">
        <is>
          <t>Can absorb trait samples</t>
        </is>
      </c>
      <c r="B29" s="7" t="n"/>
      <c r="C29" s="7" t="n"/>
      <c r="D29" s="7" t="n"/>
      <c r="E29" s="7" t="n"/>
      <c r="F29" s="8" t="n"/>
    </row>
    <row r="30">
      <c r="A30" s="5" t="inlineStr">
        <is>
          <t>Node Name</t>
        </is>
      </c>
      <c r="B30" s="5" t="inlineStr">
        <is>
          <t>Type</t>
        </is>
      </c>
      <c r="C30" s="5" t="inlineStr">
        <is>
          <t>Effect</t>
        </is>
      </c>
      <c r="D30" s="5" t="inlineStr">
        <is>
          <t>Cost</t>
        </is>
      </c>
      <c r="E30" s="5" t="inlineStr"/>
      <c r="F30" s="5" t="inlineStr"/>
    </row>
    <row r="31">
      <c r="A31" s="3" t="inlineStr">
        <is>
          <t>Void Resistance</t>
        </is>
      </c>
      <c r="B31" s="3" t="inlineStr">
        <is>
          <t>Passive</t>
        </is>
      </c>
      <c r="C31" s="3" t="inlineStr">
        <is>
          <t>Void-related Damage -3</t>
        </is>
      </c>
      <c r="D31" s="3" t="inlineStr">
        <is>
          <t>4</t>
        </is>
      </c>
    </row>
    <row r="32">
      <c r="A32" s="3" t="inlineStr">
        <is>
          <t>Abyss Perception</t>
        </is>
      </c>
      <c r="B32" s="3" t="inlineStr">
        <is>
          <t>Passive</t>
        </is>
      </c>
      <c r="C32" s="3" t="inlineStr">
        <is>
          <t>Can sense nearby Void Abyss fragments</t>
        </is>
      </c>
      <c r="D32" s="3" t="inlineStr">
        <is>
          <t>3</t>
        </is>
      </c>
    </row>
    <row r="33">
      <c r="A33" s="3" t="inlineStr">
        <is>
          <t>Abyss Gaze</t>
        </is>
      </c>
      <c r="B33" s="3" t="inlineStr">
        <is>
          <t>High-tier Active</t>
        </is>
      </c>
      <c r="C33" s="3" t="inlineStr">
        <is>
          <t>Will DC 22 or Humanity Value halved — but using it reduces own Humanity Value by 2</t>
        </is>
      </c>
      <c r="D33" s="3" t="inlineStr">
        <is>
          <t>5</t>
        </is>
      </c>
    </row>
    <row r="34"/>
    <row r="35">
      <c r="A35" s="4" t="inlineStr">
        <is>
          <t>Behavior AI / Tactical Notes</t>
        </is>
      </c>
      <c r="B35" s="7" t="n"/>
      <c r="C35" s="7" t="n"/>
      <c r="D35" s="7" t="n"/>
      <c r="E35" s="7" t="n"/>
      <c r="F35" s="8" t="n"/>
    </row>
    <row r="36">
      <c r="A36" s="6" t="inlineStr">
        <is>
          <t>The Void Abyss Worm's watchdog. An Evolver who failed to absorb a fragment millennia ago. Prioritizes Abyss Gaze against the target with the lowest Humanity Value. Uncommunicable — has lost its reason.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2026-08-09T08:49:27Z</dcterms:modified>
</cp:coreProperties>
</file>