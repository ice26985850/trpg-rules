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Goblin" sheetId="1" state="visible" r:id="rId1"/>
    <sheet name="Dire Wolf" sheetId="2" state="visible" r:id="rId2"/>
    <sheet name="Skeleton Guard" sheetId="3" state="visible" r:id="rId3"/>
    <sheet name="Ogre" sheetId="4" state="visible" r:id="rId4"/>
    <sheet name="Giant Bear" sheetId="5" state="visible" r:id="rId5"/>
    <sheet name="Wraith" sheetId="6" state="visible" r:id="rId6"/>
    <sheet name="Rune Golem" sheetId="7" state="visible" r:id="rId7"/>
    <sheet name="Void Walker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Microsoft JhengHei"/>
      <b val="1"/>
      <color rgb="00FFFFFF"/>
      <sz val="14"/>
    </font>
    <font>
      <name val="Microsoft JhengHei"/>
      <b val="1"/>
      <color rgb="00FFFFFF"/>
      <sz val="11"/>
    </font>
    <font>
      <name val="Microsoft JhengHei"/>
      <sz val="11"/>
    </font>
    <font>
      <name val="Microsoft JhengHei"/>
      <b val="1"/>
      <color rgb="001F4E78"/>
      <sz val="11"/>
    </font>
  </fonts>
  <fills count="5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2E75B6"/>
      </patternFill>
    </fill>
    <fill>
      <patternFill patternType="solid">
        <fgColor rgb="00FFF2CC"/>
      </patternFill>
    </fill>
  </fills>
  <borders count="6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>
      <left/>
      <right/>
      <top style="thin">
        <color rgb="00BFBFBF"/>
      </top>
      <bottom/>
      <diagonal/>
    </border>
    <border>
      <left/>
      <right style="thin">
        <color rgb="00BFBFBF"/>
      </right>
      <top style="thin">
        <color rgb="00BFBFBF"/>
      </top>
      <bottom/>
      <diagonal/>
    </border>
    <border>
      <left/>
      <right style="thin">
        <color rgb="00BFBFBF"/>
      </right>
      <top style="thin">
        <color rgb="00BFBFBF"/>
      </top>
      <bottom style="thin">
        <color rgb="00BFBFBF"/>
      </bottom>
      <diagonal/>
    </border>
    <border>
      <left/>
      <right/>
      <top style="thin">
        <color rgb="00BFBFBF"/>
      </top>
      <bottom style="thin">
        <color rgb="00BFBFBF"/>
      </bottom>
      <diagonal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0" fillId="0" borderId="4" pivotButton="0" quotePrefix="0" xfId="0"/>
    <xf numFmtId="0" fontId="3" fillId="0" borderId="1" pivotButton="0" quotePrefix="0" xfId="0"/>
    <xf numFmtId="0" fontId="4" fillId="4" borderId="1" pivotButton="0" quotePrefix="0" xfId="0"/>
    <xf numFmtId="0" fontId="3" fillId="0" borderId="1" applyAlignment="1" pivotButton="0" quotePrefix="0" xfId="0">
      <alignment vertical="top" wrapText="1"/>
    </xf>
    <xf numFmtId="0" fontId="4" fillId="0" borderId="1" pivotButton="0" quotePrefix="0" xfId="0"/>
    <xf numFmtId="0" fontId="0" fillId="0" borderId="5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cols>
    <col width="22" customWidth="1" min="1" max="1"/>
    <col width="16" customWidth="1" min="2" max="2"/>
    <col width="16" customWidth="1" min="3" max="3"/>
    <col width="38" customWidth="1" min="4" max="4"/>
  </cols>
  <sheetData>
    <row r="1">
      <c r="A1" s="1" t="inlineStr">
        <is>
          <t>Enemy: Goblin</t>
        </is>
      </c>
      <c r="B1" s="8" t="n"/>
      <c r="C1" s="8" t="n"/>
      <c r="D1" s="3" t="n"/>
    </row>
    <row r="2"/>
    <row r="3">
      <c r="A3" s="2" t="inlineStr">
        <is>
          <t>Field</t>
        </is>
      </c>
      <c r="B3" s="2" t="inlineStr">
        <is>
          <t>Value</t>
        </is>
      </c>
      <c r="C3" s="2" t="inlineStr">
        <is>
          <t>Formula / Notes</t>
        </is>
      </c>
      <c r="D3" s="3" t="n"/>
    </row>
    <row r="4">
      <c r="A4" s="4" t="inlineStr">
        <is>
          <t>Name</t>
        </is>
      </c>
      <c r="B4" s="5" t="inlineStr">
        <is>
          <t>Goblin</t>
        </is>
      </c>
      <c r="C4" s="6" t="inlineStr">
        <is>
          <t>—</t>
        </is>
      </c>
      <c r="D4" s="3" t="n"/>
    </row>
    <row r="5">
      <c r="A5" s="4" t="inlineStr">
        <is>
          <t>Type</t>
        </is>
      </c>
      <c r="B5" s="5" t="inlineStr">
        <is>
          <t>Humanoid Monster</t>
        </is>
      </c>
      <c r="C5" s="6" t="inlineStr">
        <is>
          <t>—</t>
        </is>
      </c>
      <c r="D5" s="3" t="n"/>
    </row>
    <row r="6">
      <c r="A6" s="4" t="inlineStr">
        <is>
          <t>Challenge Rating (CR)</t>
        </is>
      </c>
      <c r="B6" s="5" t="n">
        <v>1</v>
      </c>
      <c r="C6" s="6" t="inlineStr">
        <is>
          <t>Enter 1-10</t>
        </is>
      </c>
      <c r="D6" s="3" t="n"/>
    </row>
    <row r="7">
      <c r="A7" s="4" t="inlineStr">
        <is>
          <t>Hit Points (HP)</t>
        </is>
      </c>
      <c r="B7" s="7">
        <f>10+B4*5</f>
        <v/>
      </c>
      <c r="C7" s="6" t="inlineStr">
        <is>
          <t>10+CR×5</t>
        </is>
      </c>
      <c r="D7" s="3" t="n"/>
    </row>
    <row r="8">
      <c r="A8" s="4" t="inlineStr">
        <is>
          <t>Attack (ATK)</t>
        </is>
      </c>
      <c r="B8" s="7">
        <f>B4*2+2</f>
        <v/>
      </c>
      <c r="C8" s="6" t="inlineStr">
        <is>
          <t>CR×2+2</t>
        </is>
      </c>
      <c r="D8" s="3" t="n"/>
    </row>
    <row r="9">
      <c r="A9" s="4" t="inlineStr">
        <is>
          <t>Defense (DEF)</t>
        </is>
      </c>
      <c r="B9" s="7">
        <f>8+ROUND(B4*1.5,0)</f>
        <v/>
      </c>
      <c r="C9" s="6" t="inlineStr">
        <is>
          <t>8+CR×1.5 (rounded)</t>
        </is>
      </c>
      <c r="D9" s="3" t="n"/>
    </row>
    <row r="10">
      <c r="A10" s="4" t="inlineStr">
        <is>
          <t>Movement (MOV)</t>
        </is>
      </c>
      <c r="B10" s="5" t="n">
        <v>3</v>
      </c>
      <c r="C10" s="6" t="inlineStr">
        <is>
          <t>Base</t>
        </is>
      </c>
      <c r="D10" s="3" t="n"/>
    </row>
    <row r="11">
      <c r="A11" s="4" t="inlineStr">
        <is>
          <t>Reward (XP / Resources)</t>
        </is>
      </c>
      <c r="B11" s="7">
        <f>B4*10</f>
        <v/>
      </c>
      <c r="C11" s="6" t="inlineStr">
        <is>
          <t>CR×10 gold equivalent</t>
        </is>
      </c>
      <c r="D11" s="3" t="n"/>
    </row>
    <row r="12">
      <c r="A12" s="4" t="inlineStr">
        <is>
          <t>Special Ability</t>
        </is>
      </c>
      <c r="B12" s="5" t="inlineStr">
        <is>
          <t>Forest Patrol</t>
        </is>
      </c>
      <c r="C12" s="6" t="inlineStr">
        <is>
          <t>—</t>
        </is>
      </c>
      <c r="D12" s="3" t="n"/>
    </row>
    <row r="13">
      <c r="A13" s="4" t="inlineStr">
        <is>
          <t>Current Status</t>
        </is>
      </c>
      <c r="B13" s="5" t="inlineStr">
        <is>
          <t>None</t>
        </is>
      </c>
      <c r="C13" s="6" t="inlineStr">
        <is>
          <t>Poisoned / Burning / Bound, etc.</t>
        </is>
      </c>
      <c r="D13" s="3" t="n"/>
    </row>
  </sheetData>
  <mergeCells count="12">
    <mergeCell ref="A1:D1"/>
    <mergeCell ref="C12:D12"/>
    <mergeCell ref="C6:D6"/>
    <mergeCell ref="C7:D7"/>
    <mergeCell ref="C10:D10"/>
    <mergeCell ref="C11:D11"/>
    <mergeCell ref="C5:D5"/>
    <mergeCell ref="C13:D13"/>
    <mergeCell ref="C9:D9"/>
    <mergeCell ref="C3:D3"/>
    <mergeCell ref="C8:D8"/>
    <mergeCell ref="C4:D4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cols>
    <col width="22" customWidth="1" min="1" max="1"/>
    <col width="16" customWidth="1" min="2" max="2"/>
    <col width="16" customWidth="1" min="3" max="3"/>
    <col width="38" customWidth="1" min="4" max="4"/>
  </cols>
  <sheetData>
    <row r="1">
      <c r="A1" s="1" t="inlineStr">
        <is>
          <t>Enemy: Dire Wolf</t>
        </is>
      </c>
      <c r="B1" s="8" t="n"/>
      <c r="C1" s="8" t="n"/>
      <c r="D1" s="3" t="n"/>
    </row>
    <row r="2"/>
    <row r="3">
      <c r="A3" s="2" t="inlineStr">
        <is>
          <t>Field</t>
        </is>
      </c>
      <c r="B3" s="2" t="inlineStr">
        <is>
          <t>Value</t>
        </is>
      </c>
      <c r="C3" s="2" t="inlineStr">
        <is>
          <t>Formula / Notes</t>
        </is>
      </c>
      <c r="D3" s="3" t="n"/>
    </row>
    <row r="4">
      <c r="A4" s="4" t="inlineStr">
        <is>
          <t>Name</t>
        </is>
      </c>
      <c r="B4" s="5" t="inlineStr">
        <is>
          <t>Dire Wolf</t>
        </is>
      </c>
      <c r="C4" s="6" t="inlineStr">
        <is>
          <t>—</t>
        </is>
      </c>
      <c r="D4" s="3" t="n"/>
    </row>
    <row r="5">
      <c r="A5" s="4" t="inlineStr">
        <is>
          <t>Type</t>
        </is>
      </c>
      <c r="B5" s="5" t="inlineStr">
        <is>
          <t>Beast</t>
        </is>
      </c>
      <c r="C5" s="6" t="inlineStr">
        <is>
          <t>—</t>
        </is>
      </c>
      <c r="D5" s="3" t="n"/>
    </row>
    <row r="6">
      <c r="A6" s="4" t="inlineStr">
        <is>
          <t>Challenge Rating (CR)</t>
        </is>
      </c>
      <c r="B6" s="5" t="n">
        <v>1</v>
      </c>
      <c r="C6" s="6" t="inlineStr">
        <is>
          <t>Enter 1-10</t>
        </is>
      </c>
      <c r="D6" s="3" t="n"/>
    </row>
    <row r="7">
      <c r="A7" s="4" t="inlineStr">
        <is>
          <t>Hit Points (HP)</t>
        </is>
      </c>
      <c r="B7" s="7">
        <f>10+B4*5</f>
        <v/>
      </c>
      <c r="C7" s="6" t="inlineStr">
        <is>
          <t>10+CR×5</t>
        </is>
      </c>
      <c r="D7" s="3" t="n"/>
    </row>
    <row r="8">
      <c r="A8" s="4" t="inlineStr">
        <is>
          <t>Attack (ATK)</t>
        </is>
      </c>
      <c r="B8" s="7">
        <f>B4*2+2</f>
        <v/>
      </c>
      <c r="C8" s="6" t="inlineStr">
        <is>
          <t>CR×2+2</t>
        </is>
      </c>
      <c r="D8" s="3" t="n"/>
    </row>
    <row r="9">
      <c r="A9" s="4" t="inlineStr">
        <is>
          <t>Defense (DEF)</t>
        </is>
      </c>
      <c r="B9" s="7">
        <f>8+ROUND(B4*1.5,0)</f>
        <v/>
      </c>
      <c r="C9" s="6" t="inlineStr">
        <is>
          <t>8+CR×1.5 (rounded)</t>
        </is>
      </c>
      <c r="D9" s="3" t="n"/>
    </row>
    <row r="10">
      <c r="A10" s="4" t="inlineStr">
        <is>
          <t>Movement (MOV)</t>
        </is>
      </c>
      <c r="B10" s="5" t="n">
        <v>3</v>
      </c>
      <c r="C10" s="6" t="inlineStr">
        <is>
          <t>Base</t>
        </is>
      </c>
      <c r="D10" s="3" t="n"/>
    </row>
    <row r="11">
      <c r="A11" s="4" t="inlineStr">
        <is>
          <t>Reward (XP / Resources)</t>
        </is>
      </c>
      <c r="B11" s="7">
        <f>B4*10</f>
        <v/>
      </c>
      <c r="C11" s="6" t="inlineStr">
        <is>
          <t>CR×10 gold equivalent</t>
        </is>
      </c>
      <c r="D11" s="3" t="n"/>
    </row>
    <row r="12">
      <c r="A12" s="4" t="inlineStr">
        <is>
          <t>Special Ability</t>
        </is>
      </c>
      <c r="B12" s="5" t="inlineStr">
        <is>
          <t>Pack Surround</t>
        </is>
      </c>
      <c r="C12" s="6" t="inlineStr">
        <is>
          <t>—</t>
        </is>
      </c>
      <c r="D12" s="3" t="n"/>
    </row>
    <row r="13">
      <c r="A13" s="4" t="inlineStr">
        <is>
          <t>Current Status</t>
        </is>
      </c>
      <c r="B13" s="5" t="inlineStr">
        <is>
          <t>None</t>
        </is>
      </c>
      <c r="C13" s="6" t="inlineStr">
        <is>
          <t>Poisoned / Burning / Bound, etc.</t>
        </is>
      </c>
      <c r="D13" s="3" t="n"/>
    </row>
  </sheetData>
  <mergeCells count="12">
    <mergeCell ref="A1:D1"/>
    <mergeCell ref="C12:D12"/>
    <mergeCell ref="C6:D6"/>
    <mergeCell ref="C7:D7"/>
    <mergeCell ref="C10:D10"/>
    <mergeCell ref="C11:D11"/>
    <mergeCell ref="C5:D5"/>
    <mergeCell ref="C13:D13"/>
    <mergeCell ref="C9:D9"/>
    <mergeCell ref="C3:D3"/>
    <mergeCell ref="C8:D8"/>
    <mergeCell ref="C4:D4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cols>
    <col width="22" customWidth="1" min="1" max="1"/>
    <col width="16" customWidth="1" min="2" max="2"/>
    <col width="16" customWidth="1" min="3" max="3"/>
    <col width="38" customWidth="1" min="4" max="4"/>
  </cols>
  <sheetData>
    <row r="1">
      <c r="A1" s="1" t="inlineStr">
        <is>
          <t>Enemy: Skeleton Guard</t>
        </is>
      </c>
      <c r="B1" s="8" t="n"/>
      <c r="C1" s="8" t="n"/>
      <c r="D1" s="3" t="n"/>
    </row>
    <row r="2"/>
    <row r="3">
      <c r="A3" s="2" t="inlineStr">
        <is>
          <t>Field</t>
        </is>
      </c>
      <c r="B3" s="2" t="inlineStr">
        <is>
          <t>Value</t>
        </is>
      </c>
      <c r="C3" s="2" t="inlineStr">
        <is>
          <t>Formula / Notes</t>
        </is>
      </c>
      <c r="D3" s="3" t="n"/>
    </row>
    <row r="4">
      <c r="A4" s="4" t="inlineStr">
        <is>
          <t>Name</t>
        </is>
      </c>
      <c r="B4" s="5" t="inlineStr">
        <is>
          <t>Skeleton Guard</t>
        </is>
      </c>
      <c r="C4" s="6" t="inlineStr">
        <is>
          <t>—</t>
        </is>
      </c>
      <c r="D4" s="3" t="n"/>
    </row>
    <row r="5">
      <c r="A5" s="4" t="inlineStr">
        <is>
          <t>Type</t>
        </is>
      </c>
      <c r="B5" s="5" t="inlineStr">
        <is>
          <t>Undead</t>
        </is>
      </c>
      <c r="C5" s="6" t="inlineStr">
        <is>
          <t>—</t>
        </is>
      </c>
      <c r="D5" s="3" t="n"/>
    </row>
    <row r="6">
      <c r="A6" s="4" t="inlineStr">
        <is>
          <t>Challenge Rating (CR)</t>
        </is>
      </c>
      <c r="B6" s="5" t="n">
        <v>2</v>
      </c>
      <c r="C6" s="6" t="inlineStr">
        <is>
          <t>Enter 1-10</t>
        </is>
      </c>
      <c r="D6" s="3" t="n"/>
    </row>
    <row r="7">
      <c r="A7" s="4" t="inlineStr">
        <is>
          <t>Hit Points (HP)</t>
        </is>
      </c>
      <c r="B7" s="7">
        <f>10+B4*5</f>
        <v/>
      </c>
      <c r="C7" s="6" t="inlineStr">
        <is>
          <t>10+CR×5</t>
        </is>
      </c>
      <c r="D7" s="3" t="n"/>
    </row>
    <row r="8">
      <c r="A8" s="4" t="inlineStr">
        <is>
          <t>Attack (ATK)</t>
        </is>
      </c>
      <c r="B8" s="7">
        <f>B4*2+2</f>
        <v/>
      </c>
      <c r="C8" s="6" t="inlineStr">
        <is>
          <t>CR×2+2</t>
        </is>
      </c>
      <c r="D8" s="3" t="n"/>
    </row>
    <row r="9">
      <c r="A9" s="4" t="inlineStr">
        <is>
          <t>Defense (DEF)</t>
        </is>
      </c>
      <c r="B9" s="7">
        <f>8+ROUND(B4*1.5,0)</f>
        <v/>
      </c>
      <c r="C9" s="6" t="inlineStr">
        <is>
          <t>8+CR×1.5 (rounded)</t>
        </is>
      </c>
      <c r="D9" s="3" t="n"/>
    </row>
    <row r="10">
      <c r="A10" s="4" t="inlineStr">
        <is>
          <t>Movement (MOV)</t>
        </is>
      </c>
      <c r="B10" s="5" t="n">
        <v>3</v>
      </c>
      <c r="C10" s="6" t="inlineStr">
        <is>
          <t>Base</t>
        </is>
      </c>
      <c r="D10" s="3" t="n"/>
    </row>
    <row r="11">
      <c r="A11" s="4" t="inlineStr">
        <is>
          <t>Reward (XP / Resources)</t>
        </is>
      </c>
      <c r="B11" s="7">
        <f>B4*10</f>
        <v/>
      </c>
      <c r="C11" s="6" t="inlineStr">
        <is>
          <t>CR×10 gold equivalent</t>
        </is>
      </c>
      <c r="D11" s="3" t="n"/>
    </row>
    <row r="12">
      <c r="A12" s="4" t="inlineStr">
        <is>
          <t>Special Ability</t>
        </is>
      </c>
      <c r="B12" s="5" t="inlineStr">
        <is>
          <t>Ruins Guard</t>
        </is>
      </c>
      <c r="C12" s="6" t="inlineStr">
        <is>
          <t>—</t>
        </is>
      </c>
      <c r="D12" s="3" t="n"/>
    </row>
    <row r="13">
      <c r="A13" s="4" t="inlineStr">
        <is>
          <t>Current Status</t>
        </is>
      </c>
      <c r="B13" s="5" t="inlineStr">
        <is>
          <t>None</t>
        </is>
      </c>
      <c r="C13" s="6" t="inlineStr">
        <is>
          <t>Poisoned / Burning / Bound, etc.</t>
        </is>
      </c>
      <c r="D13" s="3" t="n"/>
    </row>
  </sheetData>
  <mergeCells count="12">
    <mergeCell ref="A1:D1"/>
    <mergeCell ref="C12:D12"/>
    <mergeCell ref="C6:D6"/>
    <mergeCell ref="C7:D7"/>
    <mergeCell ref="C10:D10"/>
    <mergeCell ref="C11:D11"/>
    <mergeCell ref="C5:D5"/>
    <mergeCell ref="C13:D13"/>
    <mergeCell ref="C9:D9"/>
    <mergeCell ref="C3:D3"/>
    <mergeCell ref="C8:D8"/>
    <mergeCell ref="C4:D4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cols>
    <col width="22" customWidth="1" min="1" max="1"/>
    <col width="16" customWidth="1" min="2" max="2"/>
    <col width="16" customWidth="1" min="3" max="3"/>
    <col width="38" customWidth="1" min="4" max="4"/>
  </cols>
  <sheetData>
    <row r="1">
      <c r="A1" s="1" t="inlineStr">
        <is>
          <t>Enemy: Ogre</t>
        </is>
      </c>
      <c r="B1" s="8" t="n"/>
      <c r="C1" s="8" t="n"/>
      <c r="D1" s="3" t="n"/>
    </row>
    <row r="2"/>
    <row r="3">
      <c r="A3" s="2" t="inlineStr">
        <is>
          <t>Field</t>
        </is>
      </c>
      <c r="B3" s="2" t="inlineStr">
        <is>
          <t>Value</t>
        </is>
      </c>
      <c r="C3" s="2" t="inlineStr">
        <is>
          <t>Formula / Notes</t>
        </is>
      </c>
      <c r="D3" s="3" t="n"/>
    </row>
    <row r="4">
      <c r="A4" s="4" t="inlineStr">
        <is>
          <t>Name</t>
        </is>
      </c>
      <c r="B4" s="5" t="inlineStr">
        <is>
          <t>Ogre</t>
        </is>
      </c>
      <c r="C4" s="6" t="inlineStr">
        <is>
          <t>—</t>
        </is>
      </c>
      <c r="D4" s="3" t="n"/>
    </row>
    <row r="5">
      <c r="A5" s="4" t="inlineStr">
        <is>
          <t>Type</t>
        </is>
      </c>
      <c r="B5" s="5" t="inlineStr">
        <is>
          <t>Giant Half-breed</t>
        </is>
      </c>
      <c r="C5" s="6" t="inlineStr">
        <is>
          <t>—</t>
        </is>
      </c>
      <c r="D5" s="3" t="n"/>
    </row>
    <row r="6">
      <c r="A6" s="4" t="inlineStr">
        <is>
          <t>Challenge Rating (CR)</t>
        </is>
      </c>
      <c r="B6" s="5" t="n">
        <v>4</v>
      </c>
      <c r="C6" s="6" t="inlineStr">
        <is>
          <t>Enter 1-10</t>
        </is>
      </c>
      <c r="D6" s="3" t="n"/>
    </row>
    <row r="7">
      <c r="A7" s="4" t="inlineStr">
        <is>
          <t>Hit Points (HP)</t>
        </is>
      </c>
      <c r="B7" s="7">
        <f>10+B4*5</f>
        <v/>
      </c>
      <c r="C7" s="6" t="inlineStr">
        <is>
          <t>10+CR×5</t>
        </is>
      </c>
      <c r="D7" s="3" t="n"/>
    </row>
    <row r="8">
      <c r="A8" s="4" t="inlineStr">
        <is>
          <t>Attack (ATK)</t>
        </is>
      </c>
      <c r="B8" s="7">
        <f>B4*2+2</f>
        <v/>
      </c>
      <c r="C8" s="6" t="inlineStr">
        <is>
          <t>CR×2+2</t>
        </is>
      </c>
      <c r="D8" s="3" t="n"/>
    </row>
    <row r="9">
      <c r="A9" s="4" t="inlineStr">
        <is>
          <t>Defense (DEF)</t>
        </is>
      </c>
      <c r="B9" s="7">
        <f>8+ROUND(B4*1.5,0)</f>
        <v/>
      </c>
      <c r="C9" s="6" t="inlineStr">
        <is>
          <t>8+CR×1.5 (rounded)</t>
        </is>
      </c>
      <c r="D9" s="3" t="n"/>
    </row>
    <row r="10">
      <c r="A10" s="4" t="inlineStr">
        <is>
          <t>Movement (MOV)</t>
        </is>
      </c>
      <c r="B10" s="5" t="n">
        <v>3</v>
      </c>
      <c r="C10" s="6" t="inlineStr">
        <is>
          <t>Base</t>
        </is>
      </c>
      <c r="D10" s="3" t="n"/>
    </row>
    <row r="11">
      <c r="A11" s="4" t="inlineStr">
        <is>
          <t>Reward (XP / Resources)</t>
        </is>
      </c>
      <c r="B11" s="7">
        <f>B4*10</f>
        <v/>
      </c>
      <c r="C11" s="6" t="inlineStr">
        <is>
          <t>CR×10 gold equivalent</t>
        </is>
      </c>
      <c r="D11" s="3" t="n"/>
    </row>
    <row r="12">
      <c r="A12" s="4" t="inlineStr">
        <is>
          <t>Special Ability</t>
        </is>
      </c>
      <c r="B12" s="5" t="inlineStr">
        <is>
          <t>Drops Materials</t>
        </is>
      </c>
      <c r="C12" s="6" t="inlineStr">
        <is>
          <t>—</t>
        </is>
      </c>
      <c r="D12" s="3" t="n"/>
    </row>
    <row r="13">
      <c r="A13" s="4" t="inlineStr">
        <is>
          <t>Current Status</t>
        </is>
      </c>
      <c r="B13" s="5" t="inlineStr">
        <is>
          <t>None</t>
        </is>
      </c>
      <c r="C13" s="6" t="inlineStr">
        <is>
          <t>Poisoned / Burning / Bound, etc.</t>
        </is>
      </c>
      <c r="D13" s="3" t="n"/>
    </row>
  </sheetData>
  <mergeCells count="12">
    <mergeCell ref="A1:D1"/>
    <mergeCell ref="C12:D12"/>
    <mergeCell ref="C6:D6"/>
    <mergeCell ref="C7:D7"/>
    <mergeCell ref="C10:D10"/>
    <mergeCell ref="C11:D11"/>
    <mergeCell ref="C5:D5"/>
    <mergeCell ref="C13:D13"/>
    <mergeCell ref="C9:D9"/>
    <mergeCell ref="C3:D3"/>
    <mergeCell ref="C8:D8"/>
    <mergeCell ref="C4:D4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cols>
    <col width="22" customWidth="1" min="1" max="1"/>
    <col width="16" customWidth="1" min="2" max="2"/>
    <col width="16" customWidth="1" min="3" max="3"/>
    <col width="38" customWidth="1" min="4" max="4"/>
  </cols>
  <sheetData>
    <row r="1">
      <c r="A1" s="1" t="inlineStr">
        <is>
          <t>Enemy: Giant Bear</t>
        </is>
      </c>
      <c r="B1" s="8" t="n"/>
      <c r="C1" s="8" t="n"/>
      <c r="D1" s="3" t="n"/>
    </row>
    <row r="2"/>
    <row r="3">
      <c r="A3" s="2" t="inlineStr">
        <is>
          <t>Field</t>
        </is>
      </c>
      <c r="B3" s="2" t="inlineStr">
        <is>
          <t>Value</t>
        </is>
      </c>
      <c r="C3" s="2" t="inlineStr">
        <is>
          <t>Formula / Notes</t>
        </is>
      </c>
      <c r="D3" s="3" t="n"/>
    </row>
    <row r="4">
      <c r="A4" s="4" t="inlineStr">
        <is>
          <t>Name</t>
        </is>
      </c>
      <c r="B4" s="5" t="inlineStr">
        <is>
          <t>Giant Bear</t>
        </is>
      </c>
      <c r="C4" s="6" t="inlineStr">
        <is>
          <t>—</t>
        </is>
      </c>
      <c r="D4" s="3" t="n"/>
    </row>
    <row r="5">
      <c r="A5" s="4" t="inlineStr">
        <is>
          <t>Type</t>
        </is>
      </c>
      <c r="B5" s="5" t="inlineStr">
        <is>
          <t>Feral Beast</t>
        </is>
      </c>
      <c r="C5" s="6" t="inlineStr">
        <is>
          <t>—</t>
        </is>
      </c>
      <c r="D5" s="3" t="n"/>
    </row>
    <row r="6">
      <c r="A6" s="4" t="inlineStr">
        <is>
          <t>Challenge Rating (CR)</t>
        </is>
      </c>
      <c r="B6" s="5" t="n">
        <v>3</v>
      </c>
      <c r="C6" s="6" t="inlineStr">
        <is>
          <t>Enter 1-10</t>
        </is>
      </c>
      <c r="D6" s="3" t="n"/>
    </row>
    <row r="7">
      <c r="A7" s="4" t="inlineStr">
        <is>
          <t>Hit Points (HP)</t>
        </is>
      </c>
      <c r="B7" s="7">
        <f>10+B4*5</f>
        <v/>
      </c>
      <c r="C7" s="6" t="inlineStr">
        <is>
          <t>10+CR×5</t>
        </is>
      </c>
      <c r="D7" s="3" t="n"/>
    </row>
    <row r="8">
      <c r="A8" s="4" t="inlineStr">
        <is>
          <t>Attack (ATK)</t>
        </is>
      </c>
      <c r="B8" s="7">
        <f>B4*2+2</f>
        <v/>
      </c>
      <c r="C8" s="6" t="inlineStr">
        <is>
          <t>CR×2+2</t>
        </is>
      </c>
      <c r="D8" s="3" t="n"/>
    </row>
    <row r="9">
      <c r="A9" s="4" t="inlineStr">
        <is>
          <t>Defense (DEF)</t>
        </is>
      </c>
      <c r="B9" s="7">
        <f>8+ROUND(B4*1.5,0)</f>
        <v/>
      </c>
      <c r="C9" s="6" t="inlineStr">
        <is>
          <t>8+CR×1.5 (rounded)</t>
        </is>
      </c>
      <c r="D9" s="3" t="n"/>
    </row>
    <row r="10">
      <c r="A10" s="4" t="inlineStr">
        <is>
          <t>Movement (MOV)</t>
        </is>
      </c>
      <c r="B10" s="5" t="n">
        <v>3</v>
      </c>
      <c r="C10" s="6" t="inlineStr">
        <is>
          <t>Base</t>
        </is>
      </c>
      <c r="D10" s="3" t="n"/>
    </row>
    <row r="11">
      <c r="A11" s="4" t="inlineStr">
        <is>
          <t>Reward (XP / Resources)</t>
        </is>
      </c>
      <c r="B11" s="7">
        <f>B4*10</f>
        <v/>
      </c>
      <c r="C11" s="6" t="inlineStr">
        <is>
          <t>CR×10 gold equivalent</t>
        </is>
      </c>
      <c r="D11" s="3" t="n"/>
    </row>
    <row r="12">
      <c r="A12" s="4" t="inlineStr">
        <is>
          <t>Special Ability</t>
        </is>
      </c>
      <c r="B12" s="5" t="inlineStr">
        <is>
          <t>Solo Brute</t>
        </is>
      </c>
      <c r="C12" s="6" t="inlineStr">
        <is>
          <t>—</t>
        </is>
      </c>
      <c r="D12" s="3" t="n"/>
    </row>
    <row r="13">
      <c r="A13" s="4" t="inlineStr">
        <is>
          <t>Current Status</t>
        </is>
      </c>
      <c r="B13" s="5" t="inlineStr">
        <is>
          <t>None</t>
        </is>
      </c>
      <c r="C13" s="6" t="inlineStr">
        <is>
          <t>Poisoned / Burning / Bound, etc.</t>
        </is>
      </c>
      <c r="D13" s="3" t="n"/>
    </row>
  </sheetData>
  <mergeCells count="12">
    <mergeCell ref="A1:D1"/>
    <mergeCell ref="C12:D12"/>
    <mergeCell ref="C6:D6"/>
    <mergeCell ref="C7:D7"/>
    <mergeCell ref="C10:D10"/>
    <mergeCell ref="C11:D11"/>
    <mergeCell ref="C5:D5"/>
    <mergeCell ref="C13:D13"/>
    <mergeCell ref="C9:D9"/>
    <mergeCell ref="C3:D3"/>
    <mergeCell ref="C8:D8"/>
    <mergeCell ref="C4:D4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cols>
    <col width="22" customWidth="1" min="1" max="1"/>
    <col width="16" customWidth="1" min="2" max="2"/>
    <col width="16" customWidth="1" min="3" max="3"/>
    <col width="38" customWidth="1" min="4" max="4"/>
  </cols>
  <sheetData>
    <row r="1">
      <c r="A1" s="1" t="inlineStr">
        <is>
          <t>Enemy: Wraith</t>
        </is>
      </c>
      <c r="B1" s="8" t="n"/>
      <c r="C1" s="8" t="n"/>
      <c r="D1" s="3" t="n"/>
    </row>
    <row r="2"/>
    <row r="3">
      <c r="A3" s="2" t="inlineStr">
        <is>
          <t>Field</t>
        </is>
      </c>
      <c r="B3" s="2" t="inlineStr">
        <is>
          <t>Value</t>
        </is>
      </c>
      <c r="C3" s="2" t="inlineStr">
        <is>
          <t>Formula / Notes</t>
        </is>
      </c>
      <c r="D3" s="3" t="n"/>
    </row>
    <row r="4">
      <c r="A4" s="4" t="inlineStr">
        <is>
          <t>Name</t>
        </is>
      </c>
      <c r="B4" s="5" t="inlineStr">
        <is>
          <t>Wraith</t>
        </is>
      </c>
      <c r="C4" s="6" t="inlineStr">
        <is>
          <t>—</t>
        </is>
      </c>
      <c r="D4" s="3" t="n"/>
    </row>
    <row r="5">
      <c r="A5" s="4" t="inlineStr">
        <is>
          <t>Type</t>
        </is>
      </c>
      <c r="B5" s="5" t="inlineStr">
        <is>
          <t>Supernatural</t>
        </is>
      </c>
      <c r="C5" s="6" t="inlineStr">
        <is>
          <t>—</t>
        </is>
      </c>
      <c r="D5" s="3" t="n"/>
    </row>
    <row r="6">
      <c r="A6" s="4" t="inlineStr">
        <is>
          <t>Challenge Rating (CR)</t>
        </is>
      </c>
      <c r="B6" s="5" t="n">
        <v>3</v>
      </c>
      <c r="C6" s="6" t="inlineStr">
        <is>
          <t>Enter 1-10</t>
        </is>
      </c>
      <c r="D6" s="3" t="n"/>
    </row>
    <row r="7">
      <c r="A7" s="4" t="inlineStr">
        <is>
          <t>Hit Points (HP)</t>
        </is>
      </c>
      <c r="B7" s="7">
        <f>10+B4*5</f>
        <v/>
      </c>
      <c r="C7" s="6" t="inlineStr">
        <is>
          <t>10+CR×5</t>
        </is>
      </c>
      <c r="D7" s="3" t="n"/>
    </row>
    <row r="8">
      <c r="A8" s="4" t="inlineStr">
        <is>
          <t>Attack (ATK)</t>
        </is>
      </c>
      <c r="B8" s="7">
        <f>B4*2+2</f>
        <v/>
      </c>
      <c r="C8" s="6" t="inlineStr">
        <is>
          <t>CR×2+2</t>
        </is>
      </c>
      <c r="D8" s="3" t="n"/>
    </row>
    <row r="9">
      <c r="A9" s="4" t="inlineStr">
        <is>
          <t>Defense (DEF)</t>
        </is>
      </c>
      <c r="B9" s="7">
        <f>8+ROUND(B4*1.5,0)</f>
        <v/>
      </c>
      <c r="C9" s="6" t="inlineStr">
        <is>
          <t>8+CR×1.5 (rounded)</t>
        </is>
      </c>
      <c r="D9" s="3" t="n"/>
    </row>
    <row r="10">
      <c r="A10" s="4" t="inlineStr">
        <is>
          <t>Movement (MOV)</t>
        </is>
      </c>
      <c r="B10" s="5" t="n">
        <v>3</v>
      </c>
      <c r="C10" s="6" t="inlineStr">
        <is>
          <t>Base</t>
        </is>
      </c>
      <c r="D10" s="3" t="n"/>
    </row>
    <row r="11">
      <c r="A11" s="4" t="inlineStr">
        <is>
          <t>Reward (XP / Resources)</t>
        </is>
      </c>
      <c r="B11" s="7">
        <f>B4*10</f>
        <v/>
      </c>
      <c r="C11" s="6" t="inlineStr">
        <is>
          <t>CR×10 gold equivalent</t>
        </is>
      </c>
      <c r="D11" s="3" t="n"/>
    </row>
    <row r="12">
      <c r="A12" s="4" t="inlineStr">
        <is>
          <t>Special Ability</t>
        </is>
      </c>
      <c r="B12" s="5" t="inlineStr">
        <is>
          <t>Psychic Attack</t>
        </is>
      </c>
      <c r="C12" s="6" t="inlineStr">
        <is>
          <t>—</t>
        </is>
      </c>
      <c r="D12" s="3" t="n"/>
    </row>
    <row r="13">
      <c r="A13" s="4" t="inlineStr">
        <is>
          <t>Current Status</t>
        </is>
      </c>
      <c r="B13" s="5" t="inlineStr">
        <is>
          <t>None</t>
        </is>
      </c>
      <c r="C13" s="6" t="inlineStr">
        <is>
          <t>Poisoned / Burning / Bound, etc.</t>
        </is>
      </c>
      <c r="D13" s="3" t="n"/>
    </row>
  </sheetData>
  <mergeCells count="12">
    <mergeCell ref="A1:D1"/>
    <mergeCell ref="C12:D12"/>
    <mergeCell ref="C6:D6"/>
    <mergeCell ref="C7:D7"/>
    <mergeCell ref="C10:D10"/>
    <mergeCell ref="C11:D11"/>
    <mergeCell ref="C5:D5"/>
    <mergeCell ref="C13:D13"/>
    <mergeCell ref="C9:D9"/>
    <mergeCell ref="C3:D3"/>
    <mergeCell ref="C8:D8"/>
    <mergeCell ref="C4:D4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cols>
    <col width="22" customWidth="1" min="1" max="1"/>
    <col width="16" customWidth="1" min="2" max="2"/>
    <col width="16" customWidth="1" min="3" max="3"/>
    <col width="38" customWidth="1" min="4" max="4"/>
  </cols>
  <sheetData>
    <row r="1">
      <c r="A1" s="1" t="inlineStr">
        <is>
          <t>Enemy: Rune Golem</t>
        </is>
      </c>
      <c r="B1" s="8" t="n"/>
      <c r="C1" s="8" t="n"/>
      <c r="D1" s="3" t="n"/>
    </row>
    <row r="2"/>
    <row r="3">
      <c r="A3" s="2" t="inlineStr">
        <is>
          <t>Field</t>
        </is>
      </c>
      <c r="B3" s="2" t="inlineStr">
        <is>
          <t>Value</t>
        </is>
      </c>
      <c r="C3" s="2" t="inlineStr">
        <is>
          <t>Formula / Notes</t>
        </is>
      </c>
      <c r="D3" s="3" t="n"/>
    </row>
    <row r="4">
      <c r="A4" s="4" t="inlineStr">
        <is>
          <t>Name</t>
        </is>
      </c>
      <c r="B4" s="5" t="inlineStr">
        <is>
          <t>Rune Golem</t>
        </is>
      </c>
      <c r="C4" s="6" t="inlineStr">
        <is>
          <t>—</t>
        </is>
      </c>
      <c r="D4" s="3" t="n"/>
    </row>
    <row r="5">
      <c r="A5" s="4" t="inlineStr">
        <is>
          <t>Type</t>
        </is>
      </c>
      <c r="B5" s="5" t="inlineStr">
        <is>
          <t>Construct</t>
        </is>
      </c>
      <c r="C5" s="6" t="inlineStr">
        <is>
          <t>—</t>
        </is>
      </c>
      <c r="D5" s="3" t="n"/>
    </row>
    <row r="6">
      <c r="A6" s="4" t="inlineStr">
        <is>
          <t>Challenge Rating (CR)</t>
        </is>
      </c>
      <c r="B6" s="5" t="n">
        <v>4</v>
      </c>
      <c r="C6" s="6" t="inlineStr">
        <is>
          <t>Enter 1-10</t>
        </is>
      </c>
      <c r="D6" s="3" t="n"/>
    </row>
    <row r="7">
      <c r="A7" s="4" t="inlineStr">
        <is>
          <t>Hit Points (HP)</t>
        </is>
      </c>
      <c r="B7" s="7">
        <f>10+B4*5</f>
        <v/>
      </c>
      <c r="C7" s="6" t="inlineStr">
        <is>
          <t>10+CR×5</t>
        </is>
      </c>
      <c r="D7" s="3" t="n"/>
    </row>
    <row r="8">
      <c r="A8" s="4" t="inlineStr">
        <is>
          <t>Attack (ATK)</t>
        </is>
      </c>
      <c r="B8" s="7">
        <f>B4*2+2</f>
        <v/>
      </c>
      <c r="C8" s="6" t="inlineStr">
        <is>
          <t>CR×2+2</t>
        </is>
      </c>
      <c r="D8" s="3" t="n"/>
    </row>
    <row r="9">
      <c r="A9" s="4" t="inlineStr">
        <is>
          <t>Defense (DEF)</t>
        </is>
      </c>
      <c r="B9" s="7">
        <f>8+ROUND(B4*1.5,0)</f>
        <v/>
      </c>
      <c r="C9" s="6" t="inlineStr">
        <is>
          <t>8+CR×1.5 (rounded)</t>
        </is>
      </c>
      <c r="D9" s="3" t="n"/>
    </row>
    <row r="10">
      <c r="A10" s="4" t="inlineStr">
        <is>
          <t>Movement (MOV)</t>
        </is>
      </c>
      <c r="B10" s="5" t="n">
        <v>3</v>
      </c>
      <c r="C10" s="6" t="inlineStr">
        <is>
          <t>Base</t>
        </is>
      </c>
      <c r="D10" s="3" t="n"/>
    </row>
    <row r="11">
      <c r="A11" s="4" t="inlineStr">
        <is>
          <t>Reward (XP / Resources)</t>
        </is>
      </c>
      <c r="B11" s="7">
        <f>B4*10</f>
        <v/>
      </c>
      <c r="C11" s="6" t="inlineStr">
        <is>
          <t>CR×10 gold equivalent</t>
        </is>
      </c>
      <c r="D11" s="3" t="n"/>
    </row>
    <row r="12">
      <c r="A12" s="4" t="inlineStr">
        <is>
          <t>Special Ability</t>
        </is>
      </c>
      <c r="B12" s="5" t="inlineStr">
        <is>
          <t>Rune Must Be Deciphered</t>
        </is>
      </c>
      <c r="C12" s="6" t="inlineStr">
        <is>
          <t>—</t>
        </is>
      </c>
      <c r="D12" s="3" t="n"/>
    </row>
    <row r="13">
      <c r="A13" s="4" t="inlineStr">
        <is>
          <t>Current Status</t>
        </is>
      </c>
      <c r="B13" s="5" t="inlineStr">
        <is>
          <t>None</t>
        </is>
      </c>
      <c r="C13" s="6" t="inlineStr">
        <is>
          <t>Poisoned / Burning / Bound, etc.</t>
        </is>
      </c>
      <c r="D13" s="3" t="n"/>
    </row>
  </sheetData>
  <mergeCells count="12">
    <mergeCell ref="A1:D1"/>
    <mergeCell ref="C12:D12"/>
    <mergeCell ref="C6:D6"/>
    <mergeCell ref="C7:D7"/>
    <mergeCell ref="C10:D10"/>
    <mergeCell ref="C11:D11"/>
    <mergeCell ref="C5:D5"/>
    <mergeCell ref="C13:D13"/>
    <mergeCell ref="C9:D9"/>
    <mergeCell ref="C3:D3"/>
    <mergeCell ref="C8:D8"/>
    <mergeCell ref="C4:D4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cols>
    <col width="22" customWidth="1" min="1" max="1"/>
    <col width="16" customWidth="1" min="2" max="2"/>
    <col width="16" customWidth="1" min="3" max="3"/>
    <col width="38" customWidth="1" min="4" max="4"/>
  </cols>
  <sheetData>
    <row r="1">
      <c r="A1" s="1" t="inlineStr">
        <is>
          <t>Enemy: Void Walker</t>
        </is>
      </c>
      <c r="B1" s="8" t="n"/>
      <c r="C1" s="8" t="n"/>
      <c r="D1" s="3" t="n"/>
    </row>
    <row r="2"/>
    <row r="3">
      <c r="A3" s="2" t="inlineStr">
        <is>
          <t>Field</t>
        </is>
      </c>
      <c r="B3" s="2" t="inlineStr">
        <is>
          <t>Value</t>
        </is>
      </c>
      <c r="C3" s="2" t="inlineStr">
        <is>
          <t>Formula / Notes</t>
        </is>
      </c>
      <c r="D3" s="3" t="n"/>
    </row>
    <row r="4">
      <c r="A4" s="4" t="inlineStr">
        <is>
          <t>Name</t>
        </is>
      </c>
      <c r="B4" s="5" t="inlineStr">
        <is>
          <t>Void Walker</t>
        </is>
      </c>
      <c r="C4" s="6" t="inlineStr">
        <is>
          <t>—</t>
        </is>
      </c>
      <c r="D4" s="3" t="n"/>
    </row>
    <row r="5">
      <c r="A5" s="4" t="inlineStr">
        <is>
          <t>Type</t>
        </is>
      </c>
      <c r="B5" s="5" t="inlineStr">
        <is>
          <t>Legendary Threat</t>
        </is>
      </c>
      <c r="C5" s="6" t="inlineStr">
        <is>
          <t>—</t>
        </is>
      </c>
      <c r="D5" s="3" t="n"/>
    </row>
    <row r="6">
      <c r="A6" s="4" t="inlineStr">
        <is>
          <t>Challenge Rating (CR)</t>
        </is>
      </c>
      <c r="B6" s="5" t="n">
        <v>8</v>
      </c>
      <c r="C6" s="6" t="inlineStr">
        <is>
          <t>Enter 1-10</t>
        </is>
      </c>
      <c r="D6" s="3" t="n"/>
    </row>
    <row r="7">
      <c r="A7" s="4" t="inlineStr">
        <is>
          <t>Hit Points (HP)</t>
        </is>
      </c>
      <c r="B7" s="7">
        <f>10+B4*5</f>
        <v/>
      </c>
      <c r="C7" s="6" t="inlineStr">
        <is>
          <t>10+CR×5</t>
        </is>
      </c>
      <c r="D7" s="3" t="n"/>
    </row>
    <row r="8">
      <c r="A8" s="4" t="inlineStr">
        <is>
          <t>Attack (ATK)</t>
        </is>
      </c>
      <c r="B8" s="7">
        <f>B4*2+2</f>
        <v/>
      </c>
      <c r="C8" s="6" t="inlineStr">
        <is>
          <t>CR×2+2</t>
        </is>
      </c>
      <c r="D8" s="3" t="n"/>
    </row>
    <row r="9">
      <c r="A9" s="4" t="inlineStr">
        <is>
          <t>Defense (DEF)</t>
        </is>
      </c>
      <c r="B9" s="7">
        <f>8+ROUND(B4*1.5,0)</f>
        <v/>
      </c>
      <c r="C9" s="6" t="inlineStr">
        <is>
          <t>8+CR×1.5 (rounded)</t>
        </is>
      </c>
      <c r="D9" s="3" t="n"/>
    </row>
    <row r="10">
      <c r="A10" s="4" t="inlineStr">
        <is>
          <t>Movement (MOV)</t>
        </is>
      </c>
      <c r="B10" s="5" t="n">
        <v>3</v>
      </c>
      <c r="C10" s="6" t="inlineStr">
        <is>
          <t>Base</t>
        </is>
      </c>
      <c r="D10" s="3" t="n"/>
    </row>
    <row r="11">
      <c r="A11" s="4" t="inlineStr">
        <is>
          <t>Reward (XP / Resources)</t>
        </is>
      </c>
      <c r="B11" s="7">
        <f>B4*10</f>
        <v/>
      </c>
      <c r="C11" s="6" t="inlineStr">
        <is>
          <t>CR×10 gold equivalent</t>
        </is>
      </c>
      <c r="D11" s="3" t="n"/>
    </row>
    <row r="12">
      <c r="A12" s="4" t="inlineStr">
        <is>
          <t>Special Ability</t>
        </is>
      </c>
      <c r="B12" s="5" t="inlineStr">
        <is>
          <t>Ancient Gatekeeper-tier</t>
        </is>
      </c>
      <c r="C12" s="6" t="inlineStr">
        <is>
          <t>—</t>
        </is>
      </c>
      <c r="D12" s="3" t="n"/>
    </row>
    <row r="13">
      <c r="A13" s="4" t="inlineStr">
        <is>
          <t>Current Status</t>
        </is>
      </c>
      <c r="B13" s="5" t="inlineStr">
        <is>
          <t>None</t>
        </is>
      </c>
      <c r="C13" s="6" t="inlineStr">
        <is>
          <t>Poisoned / Burning / Bound, etc.</t>
        </is>
      </c>
      <c r="D13" s="3" t="n"/>
    </row>
  </sheetData>
  <mergeCells count="12">
    <mergeCell ref="A1:D1"/>
    <mergeCell ref="C12:D12"/>
    <mergeCell ref="C6:D6"/>
    <mergeCell ref="C7:D7"/>
    <mergeCell ref="C10:D10"/>
    <mergeCell ref="C11:D11"/>
    <mergeCell ref="C5:D5"/>
    <mergeCell ref="C13:D13"/>
    <mergeCell ref="C9:D9"/>
    <mergeCell ref="C3:D3"/>
    <mergeCell ref="C8:D8"/>
    <mergeCell ref="C4:D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2026-07-16T16:08:03Z</dcterms:created>
  <dcterms:modified xsi:type="dcterms:W3CDTF">2026-08-09T17:00:49Z</dcterms:modified>
</cp:coreProperties>
</file>