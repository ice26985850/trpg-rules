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1 Trapper (TRP) Yin Wanshan" sheetId="1" state="visible" r:id="rId1"/>
    <sheet name="2-2 Wraith (WRT) Oulisen" sheetId="2" state="visible" r:id="rId2"/>
    <sheet name="2-3 Hillbilly (HBY) Zhuo Bingsh" sheetId="3" state="visible" r:id="rId3"/>
    <sheet name="2-4 Nurse (NRS) Sang Li" sheetId="4" state="visible" r:id="rId4"/>
    <sheet name="2-5 Huntress (HTR) Miao Shuang" sheetId="5" state="visible" r:id="rId5"/>
    <sheet name="2-6 Hag (HAG) Ao Xuaniang" sheetId="6" state="visible" r:id="rId6"/>
    <sheet name="2-7 Doctor (DOC) Tan Zhongru" sheetId="7" state="visible" r:id="rId7"/>
    <sheet name="2-8 Legion (LGN) Xi Lü" sheetId="8" state="visible" r:id="rId8"/>
    <sheet name="2-10 The Silent One (SIL) Hilda" sheetId="9" state="visible" r:id="rId9"/>
    <sheet name="RC-01 Rust Crows" sheetId="10" state="visible" r:id="rId10"/>
    <sheet name="RC-02 Well Chorus" sheetId="11" state="visible" r:id="rId11"/>
    <sheet name="RC-03 Tin Golem" sheetId="12" state="visible" r:id="rId12"/>
    <sheet name="RC-04 Straw Afterimage" sheetId="13" state="visible" r:id="rId13"/>
    <sheet name="RC-05 Ward Afterimage" sheetId="14" state="visible" r:id="rId14"/>
    <sheet name="RC-06 Mud Hands" sheetId="15" state="visible" r:id="rId15"/>
    <sheet name="RC-07 Observation Eye" sheetId="16" state="visible" r:id="rId16"/>
    <sheet name="RC-08 Blood Leaf Swarm" sheetId="17" state="visible" r:id="rId17"/>
    <sheet name="RC-09 Bonefield Statue" sheetId="18" state="visible" r:id="rId18"/>
    <sheet name="RC-10 The Fogcellar Warden" sheetId="19" state="visible" r:id="rId19"/>
    <sheet name="RC-11 Void Scavenger" sheetId="20" state="visible" r:id="rId20"/>
    <sheet name="RC-12 The Claw Upon the Hook" sheetId="21" state="visible" r:id="rId2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Microsoft JhengHei"/>
      <b val="1"/>
      <color rgb="00FFFFFF"/>
      <sz val="16"/>
    </font>
    <font>
      <name val="Microsoft JhengHei"/>
      <b val="1"/>
      <color rgb="007C8A96"/>
      <sz val="10"/>
    </font>
    <font>
      <name val="Microsoft JhengHei"/>
      <b val="1"/>
      <color rgb="002E3A46"/>
      <sz val="10"/>
    </font>
    <font>
      <name val="Microsoft JhengHei"/>
      <color rgb="002E3A46"/>
      <sz val="10"/>
    </font>
    <font>
      <name val="Microsoft JhengHei"/>
      <b val="1"/>
      <color rgb="00FFFFFF"/>
      <sz val="11"/>
    </font>
    <font>
      <name val="Microsoft JhengHei"/>
      <b val="1"/>
      <color rgb="008A5A00"/>
      <sz val="10"/>
    </font>
    <font>
      <name val="Microsoft JhengHei"/>
      <i val="1"/>
      <color rgb="006B7885"/>
      <sz val="9"/>
    </font>
  </fonts>
  <fills count="13">
    <fill>
      <patternFill/>
    </fill>
    <fill>
      <patternFill patternType="gray125"/>
    </fill>
    <fill>
      <patternFill patternType="solid">
        <fgColor rgb="005E2733"/>
      </patternFill>
    </fill>
    <fill>
      <patternFill patternType="solid">
        <fgColor rgb="00F0F2F4"/>
      </patternFill>
    </fill>
    <fill>
      <patternFill patternType="solid">
        <fgColor rgb="00E8ECEF"/>
      </patternFill>
    </fill>
    <fill>
      <patternFill patternType="solid">
        <fgColor rgb="00FFFFFF"/>
      </patternFill>
    </fill>
    <fill>
      <patternFill patternType="solid">
        <fgColor rgb="005A6B7C"/>
      </patternFill>
    </fill>
    <fill>
      <patternFill patternType="solid">
        <fgColor rgb="00FCE4EC"/>
      </patternFill>
    </fill>
    <fill>
      <patternFill patternType="solid">
        <fgColor rgb="00FFF6E0"/>
      </patternFill>
    </fill>
    <fill>
      <patternFill patternType="solid">
        <fgColor rgb="00F5F7F8"/>
      </patternFill>
    </fill>
    <fill>
      <patternFill patternType="solid">
        <fgColor rgb="00F3D6DC"/>
      </patternFill>
    </fill>
    <fill>
      <patternFill patternType="solid">
        <fgColor rgb="003E4A2E"/>
      </patternFill>
    </fill>
    <fill>
      <patternFill patternType="solid">
        <fgColor rgb="00E6EAD9"/>
      </patternFill>
    </fill>
  </fills>
  <borders count="16">
    <border>
      <left/>
      <right/>
      <top/>
      <bottom/>
      <diagonal/>
    </border>
    <border>
      <left style="medium">
        <color rgb="007C8A96"/>
      </left>
      <right style="medium">
        <color rgb="007C8A96"/>
      </right>
      <top style="medium">
        <color rgb="007C8A96"/>
      </top>
      <bottom style="medium">
        <color rgb="007C8A96"/>
      </bottom>
    </border>
    <border>
      <left style="thin">
        <color rgb="00B7C0C8"/>
      </left>
      <right style="thin">
        <color rgb="00B7C0C8"/>
      </right>
      <top style="thin">
        <color rgb="00B7C0C8"/>
      </top>
      <bottom style="thin">
        <color rgb="00B7C0C8"/>
      </bottom>
    </border>
    <border>
      <left/>
      <right/>
      <top style="thin">
        <color rgb="00B7C0C8"/>
      </top>
      <bottom/>
      <diagonal/>
    </border>
    <border>
      <left/>
      <right style="thin">
        <color rgb="00B7C0C8"/>
      </right>
      <top style="thin">
        <color rgb="00B7C0C8"/>
      </top>
      <bottom/>
      <diagonal/>
    </border>
    <border>
      <left/>
      <right/>
      <top style="thin">
        <color rgb="00B7C0C8"/>
      </top>
      <bottom style="thin">
        <color rgb="00B7C0C8"/>
      </bottom>
      <diagonal/>
    </border>
    <border>
      <left/>
      <right style="thin">
        <color rgb="00B7C0C8"/>
      </right>
      <top style="thin">
        <color rgb="00B7C0C8"/>
      </top>
      <bottom style="thin">
        <color rgb="00B7C0C8"/>
      </bottom>
      <diagonal/>
    </border>
    <border>
      <left/>
      <right/>
      <top style="medium">
        <color rgb="007C8A96"/>
      </top>
      <bottom/>
      <diagonal/>
    </border>
    <border>
      <left style="medium">
        <color rgb="007C8A96"/>
      </left>
      <right/>
      <top/>
      <bottom/>
      <diagonal/>
    </border>
    <border>
      <left/>
      <right style="medium">
        <color rgb="007C8A96"/>
      </right>
      <top style="medium">
        <color rgb="007C8A96"/>
      </top>
      <bottom/>
      <diagonal/>
    </border>
    <border>
      <left/>
      <right style="medium">
        <color rgb="007C8A96"/>
      </right>
      <top/>
      <bottom/>
      <diagonal/>
    </border>
    <border>
      <left style="medium">
        <color rgb="007C8A96"/>
      </left>
      <right/>
      <top/>
      <bottom style="medium">
        <color rgb="007C8A96"/>
      </bottom>
      <diagonal/>
    </border>
    <border>
      <left/>
      <right/>
      <top/>
      <bottom style="medium">
        <color rgb="007C8A96"/>
      </bottom>
      <diagonal/>
    </border>
    <border>
      <left/>
      <right style="medium">
        <color rgb="007C8A96"/>
      </right>
      <top/>
      <bottom style="medium">
        <color rgb="007C8A96"/>
      </bottom>
      <diagonal/>
    </border>
    <border>
      <left/>
      <right/>
      <top style="medium">
        <color rgb="007C8A96"/>
      </top>
      <bottom style="medium">
        <color rgb="007C8A96"/>
      </bottom>
      <diagonal/>
    </border>
    <border>
      <left/>
      <right style="medium">
        <color rgb="007C8A96"/>
      </right>
      <top style="medium">
        <color rgb="007C8A96"/>
      </top>
      <bottom style="medium">
        <color rgb="007C8A96"/>
      </bottom>
      <diagonal/>
    </border>
  </borders>
  <cellStyleXfs count="1">
    <xf numFmtId="0" fontId="0" fillId="0" borderId="0"/>
  </cellStyleXfs>
  <cellXfs count="36">
    <xf numFmtId="0" fontId="0" fillId="0" borderId="0" pivotButton="0" quotePrefix="0" xfId="0"/>
    <xf numFmtId="0" fontId="1" fillId="2" borderId="1" applyAlignment="1" pivotButton="0" quotePrefix="0" xfId="0">
      <alignment horizontal="center" vertical="center" wrapText="1"/>
    </xf>
    <xf numFmtId="0" fontId="0" fillId="2" borderId="1" pivotButton="0" quotePrefix="0" xfId="0"/>
    <xf numFmtId="0" fontId="2" fillId="3" borderId="1" applyAlignment="1" pivotButton="0" quotePrefix="0" xfId="0">
      <alignment horizontal="center" vertical="center" wrapText="1"/>
    </xf>
    <xf numFmtId="0" fontId="0" fillId="3" borderId="1" pivotButton="0" quotePrefix="0" xfId="0"/>
    <xf numFmtId="0" fontId="3" fillId="4" borderId="2" applyAlignment="1" pivotButton="0" quotePrefix="0" xfId="0">
      <alignment horizontal="center" vertical="center" wrapText="1"/>
    </xf>
    <xf numFmtId="0" fontId="4" fillId="5" borderId="2" applyAlignment="1" pivotButton="0" quotePrefix="0" xfId="0">
      <alignment horizontal="left" vertical="center" wrapText="1"/>
    </xf>
    <xf numFmtId="0" fontId="0" fillId="5" borderId="2" pivotButton="0" quotePrefix="0" xfId="0"/>
    <xf numFmtId="0" fontId="4" fillId="5" borderId="2" applyAlignment="1" pivotButton="0" quotePrefix="0" xfId="0">
      <alignment horizontal="center" vertical="center" wrapText="1"/>
    </xf>
    <xf numFmtId="0" fontId="5" fillId="6" borderId="2" applyAlignment="1" pivotButton="0" quotePrefix="0" xfId="0">
      <alignment horizontal="left" vertical="center" wrapText="1"/>
    </xf>
    <xf numFmtId="0" fontId="0" fillId="6" borderId="2" pivotButton="0" quotePrefix="0" xfId="0"/>
    <xf numFmtId="0" fontId="0" fillId="4" borderId="2" pivotButton="0" quotePrefix="0" xfId="0"/>
    <xf numFmtId="0" fontId="3" fillId="7" borderId="2" applyAlignment="1" pivotButton="0" quotePrefix="0" xfId="0">
      <alignment horizontal="center" vertical="center" wrapText="1"/>
    </xf>
    <xf numFmtId="0" fontId="0" fillId="7" borderId="2" pivotButton="0" quotePrefix="0" xfId="0"/>
    <xf numFmtId="0" fontId="6" fillId="8" borderId="2" applyAlignment="1" pivotButton="0" quotePrefix="0" xfId="0">
      <alignment horizontal="center" vertical="center" wrapText="1"/>
    </xf>
    <xf numFmtId="0" fontId="0" fillId="8" borderId="2" pivotButton="0" quotePrefix="0" xfId="0"/>
    <xf numFmtId="0" fontId="7" fillId="9" borderId="2" applyAlignment="1" pivotButton="0" quotePrefix="0" xfId="0">
      <alignment horizontal="left" vertical="center" wrapText="1"/>
    </xf>
    <xf numFmtId="0" fontId="0" fillId="9" borderId="2" pivotButton="0" quotePrefix="0" xfId="0"/>
    <xf numFmtId="0" fontId="4" fillId="5" borderId="2" applyAlignment="1" pivotButton="0" quotePrefix="0" xfId="0">
      <alignment horizontal="left" vertical="top" wrapText="1"/>
    </xf>
    <xf numFmtId="0" fontId="3" fillId="10" borderId="2" applyAlignment="1" pivotButton="0" quotePrefix="0" xfId="0">
      <alignment horizontal="center" vertical="center" wrapText="1"/>
    </xf>
    <xf numFmtId="0" fontId="0" fillId="10" borderId="2" pivotButton="0" quotePrefix="0" xfId="0"/>
    <xf numFmtId="0" fontId="1" fillId="11" borderId="1" applyAlignment="1" pivotButton="0" quotePrefix="0" xfId="0">
      <alignment horizontal="center" vertical="center" wrapText="1"/>
    </xf>
    <xf numFmtId="0" fontId="0" fillId="11" borderId="1" pivotButton="0" quotePrefix="0" xfId="0"/>
    <xf numFmtId="0" fontId="3" fillId="12" borderId="2" applyAlignment="1" pivotButton="0" quotePrefix="0" xfId="0">
      <alignment horizontal="center" vertical="center" wrapText="1"/>
    </xf>
    <xf numFmtId="0" fontId="0" fillId="12" borderId="2" pivotButton="0" quotePrefix="0" xfId="0"/>
    <xf numFmtId="0" fontId="0" fillId="0" borderId="14" pivotButton="0" quotePrefix="0" xfId="0"/>
    <xf numFmtId="0" fontId="0" fillId="0" borderId="15" pivotButton="0" quotePrefix="0" xfId="0"/>
    <xf numFmtId="0" fontId="0" fillId="0" borderId="7" pivotButton="0" quotePrefix="0" xfId="0"/>
    <xf numFmtId="0" fontId="0" fillId="0" borderId="9" pivotButton="0" quotePrefix="0" xfId="0"/>
    <xf numFmtId="0" fontId="0" fillId="0" borderId="5" pivotButton="0" quotePrefix="0" xfId="0"/>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68"/>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Enemy Character Sheet　·　Killer Avatar</t>
        </is>
      </c>
      <c r="B1" s="25" t="n"/>
      <c r="C1" s="25" t="n"/>
      <c r="D1" s="25" t="n"/>
      <c r="E1" s="25" t="n"/>
      <c r="F1" s="25" t="n"/>
      <c r="G1" s="25" t="n"/>
      <c r="H1" s="25" t="n"/>
      <c r="I1" s="26" t="n"/>
    </row>
    <row r="2">
      <c r="A2" s="3" t="inlineStr">
        <is>
          <t>Character Art
(Paste character image here)</t>
        </is>
      </c>
      <c r="B2" s="27" t="n"/>
      <c r="C2" s="28" t="n"/>
      <c r="D2" s="5" t="inlineStr">
        <is>
          <t>Avatar Name</t>
        </is>
      </c>
      <c r="E2" s="6" t="inlineStr">
        <is>
          <t>Trapper (TRP) | Yin Wanshan</t>
        </is>
      </c>
      <c r="F2" s="29" t="n"/>
      <c r="G2" s="29" t="n"/>
      <c r="H2" s="29" t="n"/>
      <c r="I2" s="30" t="n"/>
    </row>
    <row r="3">
      <c r="A3" s="31" t="n"/>
      <c r="C3" s="32" t="n"/>
      <c r="D3" s="5" t="inlineStr">
        <is>
          <t>Avatar Abbr.</t>
        </is>
      </c>
      <c r="E3" s="8" t="inlineStr">
        <is>
          <t>TRP</t>
        </is>
      </c>
      <c r="F3" s="5" t="inlineStr">
        <is>
          <t>True Name</t>
        </is>
      </c>
      <c r="G3" s="6" t="inlineStr">
        <is>
          <t>Yin Wanshan</t>
        </is>
      </c>
      <c r="H3" s="29" t="n"/>
      <c r="I3" s="30" t="n"/>
    </row>
    <row r="4">
      <c r="A4" s="31" t="n"/>
      <c r="C4" s="32" t="n"/>
      <c r="D4" s="5" t="inlineStr">
        <is>
          <t>Home Realm</t>
        </is>
      </c>
      <c r="E4" s="6" t="inlineStr">
        <is>
          <t>R1 Macmillan Estate</t>
        </is>
      </c>
      <c r="F4" s="29" t="n"/>
      <c r="G4" s="29" t="n"/>
      <c r="H4" s="29" t="n"/>
      <c r="I4" s="30" t="n"/>
    </row>
    <row r="5">
      <c r="A5" s="33" t="n"/>
      <c r="B5" s="34" t="n"/>
      <c r="C5" s="35" t="n"/>
      <c r="D5" s="5" t="inlineStr">
        <is>
          <t>Power Type</t>
        </is>
      </c>
      <c r="E5" s="8" t="inlineStr">
        <is>
          <t>Deploy-type</t>
        </is>
      </c>
      <c r="F5" s="30" t="n"/>
      <c r="G5" s="5" t="inlineStr">
        <is>
          <t>Attribute Tendency</t>
        </is>
      </c>
      <c r="H5" s="6" t="inlineStr">
        <is>
          <t>Brute Force (BRU)＋2、Occult (OCC)＋1</t>
        </is>
      </c>
      <c r="I5" s="30" t="n"/>
    </row>
    <row r="6" ht="20" customHeight="1">
      <c r="A6" s="9" t="inlineStr">
        <is>
          <t>I. Trial Panel (gray = fill, beige = auto)</t>
        </is>
      </c>
      <c r="B6" s="29" t="n"/>
      <c r="C6" s="29" t="n"/>
      <c r="D6" s="29" t="n"/>
      <c r="E6" s="29" t="n"/>
      <c r="F6" s="29" t="n"/>
      <c r="G6" s="29" t="n"/>
      <c r="H6" s="29" t="n"/>
      <c r="I6" s="30" t="n"/>
    </row>
    <row r="7">
      <c r="A7" s="5" t="inlineStr">
        <is>
          <t>Prestige (PRS)</t>
        </is>
      </c>
      <c r="B7" s="30" t="n"/>
      <c r="C7" s="8" t="n"/>
      <c r="D7" s="5" t="inlineStr">
        <is>
          <t>Survivor player count N</t>
        </is>
      </c>
      <c r="E7" s="30" t="n"/>
      <c r="F7" s="8" t="n"/>
      <c r="G7" s="5" t="inlineStr">
        <is>
          <t>Avatar Threat Factor (AVM)</t>
        </is>
      </c>
      <c r="H7" s="30" t="n"/>
      <c r="I7" s="8" t="n">
        <v>0</v>
      </c>
    </row>
    <row r="8">
      <c r="A8" s="12" t="inlineStr">
        <is>
          <t>Challenge Rating (CR)</t>
        </is>
      </c>
      <c r="B8" s="29" t="n"/>
      <c r="C8" s="30" t="n"/>
      <c r="D8" s="14">
        <f>IF($C$7="","",$C$7+$I$7)</f>
        <v/>
      </c>
      <c r="E8" s="30" t="n"/>
      <c r="F8" s="6" t="inlineStr">
        <is>
          <t>Prestige (PRS) + Avatar Threat Factor (AVM)</t>
        </is>
      </c>
      <c r="G8" s="29" t="n"/>
      <c r="H8" s="29" t="n"/>
      <c r="I8" s="30" t="n"/>
    </row>
    <row r="9">
      <c r="A9" s="12" t="inlineStr">
        <is>
          <t>Pressure Point (PRE) Cap</t>
        </is>
      </c>
      <c r="B9" s="29" t="n"/>
      <c r="C9" s="30" t="n"/>
      <c r="D9" s="14">
        <f>IF(OR($C$7="",$F$7=""),"",4+2*$F$7+INT($C$7/4))</f>
        <v/>
      </c>
      <c r="E9" s="30" t="n"/>
      <c r="F9" s="6" t="inlineStr">
        <is>
          <t>4 + 2×N + INT(Prestige (PRS) ÷ 4)</t>
        </is>
      </c>
      <c r="G9" s="29" t="n"/>
      <c r="H9" s="29" t="n"/>
      <c r="I9" s="30" t="n"/>
    </row>
    <row r="10">
      <c r="A10" s="12" t="inlineStr">
        <is>
          <t>Pressure Point (PRE) recovery / round</t>
        </is>
      </c>
      <c r="B10" s="29" t="n"/>
      <c r="C10" s="30" t="n"/>
      <c r="D10" s="14">
        <f>IF($F$7="","",2+INT($F$7/2))</f>
        <v/>
      </c>
      <c r="E10" s="30" t="n"/>
      <c r="F10" s="6" t="inlineStr">
        <is>
          <t>2 ＋ INT(N ÷ 2)</t>
        </is>
      </c>
      <c r="G10" s="29" t="n"/>
      <c r="H10" s="29" t="n"/>
      <c r="I10" s="30" t="n"/>
    </row>
    <row r="11">
      <c r="A11" s="12" t="inlineStr">
        <is>
          <t>Action Point (AP) / round</t>
        </is>
      </c>
      <c r="B11" s="29" t="n"/>
      <c r="C11" s="30" t="n"/>
      <c r="D11" s="14">
        <f>4</f>
        <v/>
      </c>
      <c r="E11" s="30" t="n"/>
      <c r="F11" s="6" t="inlineStr">
        <is>
          <t>Killer fixed at 4; Pressure Point (PRE) is a separate resource pool</t>
        </is>
      </c>
      <c r="G11" s="29" t="n"/>
      <c r="H11" s="29" t="n"/>
      <c r="I11" s="30" t="n"/>
    </row>
    <row r="12">
      <c r="A12" s="12" t="inlineStr">
        <is>
          <t>Hook Phase Rounds</t>
        </is>
      </c>
      <c r="B12" s="29" t="n"/>
      <c r="C12" s="30" t="n"/>
      <c r="D12" s="14">
        <f>IF($F$7="","",8-$F$7)</f>
        <v/>
      </c>
      <c r="E12" s="30" t="n"/>
      <c r="F12" s="6" t="inlineStr">
        <is>
          <t>8 − N. Each phase end advances one stage; end of phase 2 = Sacrifice</t>
        </is>
      </c>
      <c r="G12" s="29" t="n"/>
      <c r="H12" s="29" t="n"/>
      <c r="I12" s="30" t="n"/>
    </row>
    <row r="13">
      <c r="A13" s="12" t="inlineStr">
        <is>
          <t>Endgame Collapse rounds</t>
        </is>
      </c>
      <c r="B13" s="29" t="n"/>
      <c r="C13" s="30" t="n"/>
      <c r="D13" s="14">
        <f>IF($F$7="","",14-2*$F$7)</f>
        <v/>
      </c>
      <c r="E13" s="30" t="n"/>
      <c r="F13" s="6" t="inlineStr">
        <is>
          <t>14 − 2×N. Countdown starts after the last Generator is completed</t>
        </is>
      </c>
      <c r="G13" s="29" t="n"/>
      <c r="H13" s="29" t="n"/>
      <c r="I13" s="30" t="n"/>
    </row>
    <row r="14" ht="30" customHeight="1">
      <c r="A14" s="12" t="inlineStr">
        <is>
          <t>Terror Radius (TR)</t>
        </is>
      </c>
      <c r="B14" s="30" t="n"/>
      <c r="C14" s="8" t="n">
        <v>16</v>
      </c>
      <c r="D14" s="5" t="inlineStr">
        <is>
          <t>cell → meters</t>
        </is>
      </c>
      <c r="E14" s="14">
        <f>IF(C14="","",C14*2)</f>
        <v/>
      </c>
      <c r="F14" s="6" t="inlineStr">
        <is>
          <t>32 meters = 16 cells</t>
        </is>
      </c>
      <c r="G14" s="29" t="n"/>
      <c r="H14" s="29" t="n"/>
      <c r="I14" s="30" t="n"/>
    </row>
    <row r="15" ht="30" customHeight="1">
      <c r="A15" s="12" t="inlineStr">
        <is>
          <t>Move Level (MOV)</t>
        </is>
      </c>
      <c r="B15" s="30" t="n"/>
      <c r="C15" s="8" t="n">
        <v>7</v>
      </c>
      <c r="D15" s="5" t="inlineStr">
        <is>
          <t>cells / round(s)</t>
        </is>
      </c>
      <c r="E15" s="8" t="n"/>
      <c r="F15" s="6" t="inlineStr">
        <is>
          <t>Tier III Standard (7 cells / round(s), Move Speed Advantage +2)</t>
        </is>
      </c>
      <c r="G15" s="29" t="n"/>
      <c r="H15" s="29" t="n"/>
      <c r="I15" s="30" t="n"/>
    </row>
    <row r="16">
      <c r="A16" s="16" t="inlineStr">
        <is>
          <t>1 cell = 2 meters. Distance Band (DB): Contact (CON) 0–1 cells / Near (NEA) 1–4 cells / Mid (MID) 4–8 cells / Far (FAR) 8–16 cells / Escaped (ESC) 16+ cells.</t>
        </is>
      </c>
      <c r="B16" s="29" t="n"/>
      <c r="C16" s="29" t="n"/>
      <c r="D16" s="29" t="n"/>
      <c r="E16" s="29" t="n"/>
      <c r="F16" s="29" t="n"/>
      <c r="G16" s="29" t="n"/>
      <c r="H16" s="29" t="n"/>
      <c r="I16" s="30" t="n"/>
    </row>
    <row r="17" ht="20" customHeight="1">
      <c r="A17" s="9" t="inlineStr">
        <is>
          <t>II. Attributes &amp; Skills (three-baseline reference)</t>
        </is>
      </c>
      <c r="B17" s="29" t="n"/>
      <c r="C17" s="29" t="n"/>
      <c r="D17" s="29" t="n"/>
      <c r="E17" s="29" t="n"/>
      <c r="F17" s="29" t="n"/>
      <c r="G17" s="29" t="n"/>
      <c r="H17" s="29" t="n"/>
      <c r="I17" s="30" t="n"/>
    </row>
    <row r="18" ht="30" customHeight="1">
      <c r="A18" s="5" t="inlineStr">
        <is>
          <t>Attribute / Skill</t>
        </is>
      </c>
      <c r="B18" s="29" t="n"/>
      <c r="C18" s="30" t="n"/>
      <c r="D18" s="5" t="inlineStr">
        <is>
          <t>Prestige 1 (8 pts)</t>
        </is>
      </c>
      <c r="E18" s="5" t="inlineStr">
        <is>
          <t>Prestige 10 (13 pts)</t>
        </is>
      </c>
      <c r="F18" s="5" t="inlineStr">
        <is>
          <t>Prestige 20 (18 pts)</t>
        </is>
      </c>
      <c r="G18" s="5" t="inlineStr">
        <is>
          <t>Used This Trial</t>
        </is>
      </c>
      <c r="H18" s="5" t="inlineStr">
        <is>
          <t>Notes</t>
        </is>
      </c>
      <c r="I18" s="30" t="n"/>
    </row>
    <row r="19">
      <c r="A19" s="12" t="inlineStr">
        <is>
          <t>Brute Force (BRU)</t>
        </is>
      </c>
      <c r="B19" s="29" t="n"/>
      <c r="C19" s="30" t="n"/>
      <c r="D19" s="8" t="inlineStr">
        <is>
          <t>3</t>
        </is>
      </c>
      <c r="E19" s="8" t="inlineStr">
        <is>
          <t>4</t>
        </is>
      </c>
      <c r="F19" s="8" t="inlineStr">
        <is>
          <t>5</t>
        </is>
      </c>
      <c r="G19" s="8" t="n"/>
      <c r="H19" s="6" t="n"/>
      <c r="I19" s="30" t="n"/>
    </row>
    <row r="20">
      <c r="A20" s="12" t="inlineStr">
        <is>
          <t>Hunt (HNT)</t>
        </is>
      </c>
      <c r="B20" s="29" t="n"/>
      <c r="C20" s="30" t="n"/>
      <c r="D20" s="8" t="inlineStr">
        <is>
          <t>2</t>
        </is>
      </c>
      <c r="E20" s="8" t="inlineStr">
        <is>
          <t>3</t>
        </is>
      </c>
      <c r="F20" s="8" t="inlineStr">
        <is>
          <t>4</t>
        </is>
      </c>
      <c r="G20" s="8" t="n"/>
      <c r="H20" s="6" t="n"/>
      <c r="I20" s="30" t="n"/>
    </row>
    <row r="21">
      <c r="A21" s="12" t="inlineStr">
        <is>
          <t>Perception (PER)</t>
        </is>
      </c>
      <c r="B21" s="29" t="n"/>
      <c r="C21" s="30" t="n"/>
      <c r="D21" s="8" t="inlineStr">
        <is>
          <t>1</t>
        </is>
      </c>
      <c r="E21" s="8" t="inlineStr">
        <is>
          <t>2</t>
        </is>
      </c>
      <c r="F21" s="8" t="inlineStr">
        <is>
          <t>3</t>
        </is>
      </c>
      <c r="G21" s="8" t="n"/>
      <c r="H21" s="6" t="n"/>
      <c r="I21" s="30" t="n"/>
    </row>
    <row r="22">
      <c r="A22" s="12" t="inlineStr">
        <is>
          <t>Dread (DRE)</t>
        </is>
      </c>
      <c r="B22" s="29" t="n"/>
      <c r="C22" s="30" t="n"/>
      <c r="D22" s="8" t="inlineStr">
        <is>
          <t>1</t>
        </is>
      </c>
      <c r="E22" s="8" t="inlineStr">
        <is>
          <t>2</t>
        </is>
      </c>
      <c r="F22" s="8" t="inlineStr">
        <is>
          <t>2</t>
        </is>
      </c>
      <c r="G22" s="8" t="n"/>
      <c r="H22" s="6" t="n"/>
      <c r="I22" s="30" t="n"/>
    </row>
    <row r="23">
      <c r="A23" s="12" t="inlineStr">
        <is>
          <t>Occult (OCC)</t>
        </is>
      </c>
      <c r="B23" s="29" t="n"/>
      <c r="C23" s="30" t="n"/>
      <c r="D23" s="8" t="inlineStr">
        <is>
          <t>1</t>
        </is>
      </c>
      <c r="E23" s="8" t="inlineStr">
        <is>
          <t>2</t>
        </is>
      </c>
      <c r="F23" s="8" t="inlineStr">
        <is>
          <t>4</t>
        </is>
      </c>
      <c r="G23" s="8" t="n"/>
      <c r="H23" s="6" t="n"/>
      <c r="I23" s="30" t="n"/>
    </row>
    <row r="24">
      <c r="A24" s="12" t="inlineStr">
        <is>
          <t>Tracking (TRK)</t>
        </is>
      </c>
      <c r="B24" s="29" t="n"/>
      <c r="C24" s="30" t="n"/>
      <c r="D24" s="8" t="inlineStr">
        <is>
          <t>0</t>
        </is>
      </c>
      <c r="E24" s="8" t="inlineStr">
        <is>
          <t>2</t>
        </is>
      </c>
      <c r="F24" s="8" t="inlineStr">
        <is>
          <t>3</t>
        </is>
      </c>
      <c r="G24" s="8" t="n"/>
      <c r="H24" s="6" t="n"/>
      <c r="I24" s="30" t="n"/>
    </row>
    <row r="25">
      <c r="A25" s="12" t="inlineStr">
        <is>
          <t>Subdue (SUP)</t>
        </is>
      </c>
      <c r="B25" s="29" t="n"/>
      <c r="C25" s="30" t="n"/>
      <c r="D25" s="8" t="inlineStr">
        <is>
          <t>1</t>
        </is>
      </c>
      <c r="E25" s="8" t="inlineStr">
        <is>
          <t>3</t>
        </is>
      </c>
      <c r="F25" s="8" t="inlineStr">
        <is>
          <t>5</t>
        </is>
      </c>
      <c r="G25" s="8" t="n"/>
      <c r="H25" s="6" t="n"/>
      <c r="I25" s="30" t="n"/>
    </row>
    <row r="26">
      <c r="A26" s="12" t="inlineStr">
        <is>
          <t>Coerce (COE)</t>
        </is>
      </c>
      <c r="B26" s="29" t="n"/>
      <c r="C26" s="30" t="n"/>
      <c r="D26" s="8" t="inlineStr">
        <is>
          <t>1</t>
        </is>
      </c>
      <c r="E26" s="8" t="inlineStr">
        <is>
          <t>1</t>
        </is>
      </c>
      <c r="F26" s="8" t="inlineStr">
        <is>
          <t>2</t>
        </is>
      </c>
      <c r="G26" s="8" t="n"/>
      <c r="H26" s="6" t="n"/>
      <c r="I26" s="30" t="n"/>
    </row>
    <row r="27">
      <c r="A27" s="12" t="inlineStr">
        <is>
          <t>Ritual (RIT)</t>
        </is>
      </c>
      <c r="B27" s="29" t="n"/>
      <c r="C27" s="30" t="n"/>
      <c r="D27" s="8" t="inlineStr">
        <is>
          <t>0</t>
        </is>
      </c>
      <c r="E27" s="8" t="inlineStr">
        <is>
          <t>2</t>
        </is>
      </c>
      <c r="F27" s="8" t="inlineStr">
        <is>
          <t>4</t>
        </is>
      </c>
      <c r="G27" s="8" t="n"/>
      <c r="H27" s="6" t="n"/>
      <c r="I27" s="30" t="n"/>
    </row>
    <row r="28">
      <c r="A28" s="12" t="inlineStr">
        <is>
          <t>Challenge Rating (CR)</t>
        </is>
      </c>
      <c r="B28" s="29" t="n"/>
      <c r="C28" s="30" t="n"/>
      <c r="D28" s="8" t="inlineStr">
        <is>
          <t>1</t>
        </is>
      </c>
      <c r="E28" s="8" t="inlineStr">
        <is>
          <t>10</t>
        </is>
      </c>
      <c r="F28" s="8" t="inlineStr">
        <is>
          <t>20</t>
        </is>
      </c>
      <c r="G28" s="8" t="n"/>
      <c r="H28" s="6" t="n"/>
      <c r="I28" s="30" t="n"/>
    </row>
    <row r="29">
      <c r="A29" s="12" t="inlineStr">
        <is>
          <t>Base Attack Modifier</t>
        </is>
      </c>
      <c r="B29" s="29" t="n"/>
      <c r="C29" s="30" t="n"/>
      <c r="D29" s="8" t="inlineStr">
        <is>
          <t>+4</t>
        </is>
      </c>
      <c r="E29" s="8" t="inlineStr">
        <is>
          <t>+7</t>
        </is>
      </c>
      <c r="F29" s="8" t="inlineStr">
        <is>
          <t>+10</t>
        </is>
      </c>
      <c r="G29" s="8" t="n"/>
      <c r="H29" s="6" t="n"/>
      <c r="I29" s="30" t="n"/>
    </row>
    <row r="30">
      <c r="A30" s="12" t="inlineStr">
        <is>
          <t>Power Check Modifier</t>
        </is>
      </c>
      <c r="B30" s="29" t="n"/>
      <c r="C30" s="30" t="n"/>
      <c r="D30" s="8" t="inlineStr">
        <is>
          <t>+1</t>
        </is>
      </c>
      <c r="E30" s="8" t="inlineStr">
        <is>
          <t>+4</t>
        </is>
      </c>
      <c r="F30" s="8" t="inlineStr">
        <is>
          <t>+8</t>
        </is>
      </c>
      <c r="G30" s="8" t="n"/>
      <c r="H30" s="6" t="n"/>
      <c r="I30" s="30" t="n"/>
    </row>
    <row r="31">
      <c r="A31" s="16" t="inlineStr">
        <is>
          <t>Killer's five attributes use a 'level 1–5' scale; the level is the check bonus (no ÷ 2). Total points = 8 + INT(Prestige (PRS) ÷ 2). The 'Used This Trial' column is for the GM to interpolate per the actual Prestige (PRS) deployed.</t>
        </is>
      </c>
      <c r="B31" s="29" t="n"/>
      <c r="C31" s="29" t="n"/>
      <c r="D31" s="29" t="n"/>
      <c r="E31" s="29" t="n"/>
      <c r="F31" s="29" t="n"/>
      <c r="G31" s="29" t="n"/>
      <c r="H31" s="29" t="n"/>
      <c r="I31" s="30" t="n"/>
    </row>
    <row r="32" ht="20" customHeight="1">
      <c r="A32" s="9" t="inlineStr">
        <is>
          <t>III. Power Card: Bear Trap (Bear Trap)</t>
        </is>
      </c>
      <c r="B32" s="29" t="n"/>
      <c r="C32" s="29" t="n"/>
      <c r="D32" s="29" t="n"/>
      <c r="E32" s="29" t="n"/>
      <c r="F32" s="29" t="n"/>
      <c r="G32" s="29" t="n"/>
      <c r="H32" s="29" t="n"/>
      <c r="I32" s="30" t="n"/>
    </row>
    <row r="33" ht="22" customHeight="1">
      <c r="A33" s="12" t="inlineStr">
        <is>
          <t>Slot</t>
        </is>
      </c>
      <c r="B33" s="30" t="n"/>
      <c r="C33" s="18" t="inlineStr">
        <is>
          <t>Content</t>
        </is>
      </c>
      <c r="D33" s="29" t="n"/>
      <c r="E33" s="29" t="n"/>
      <c r="F33" s="29" t="n"/>
      <c r="G33" s="29" t="n"/>
      <c r="H33" s="29" t="n"/>
      <c r="I33" s="30" t="n"/>
    </row>
    <row r="34" ht="22" customHeight="1">
      <c r="A34" s="12" t="inlineStr">
        <is>
          <t>Power Type</t>
        </is>
      </c>
      <c r="B34" s="30" t="n"/>
      <c r="C34" s="18" t="inlineStr">
        <is>
          <t>Deploy-type (persistent object, not a Cooldown resource)</t>
        </is>
      </c>
      <c r="D34" s="29" t="n"/>
      <c r="E34" s="29" t="n"/>
      <c r="F34" s="29" t="n"/>
      <c r="G34" s="29" t="n"/>
      <c r="H34" s="29" t="n"/>
      <c r="I34" s="30" t="n"/>
    </row>
    <row r="35" ht="22" customHeight="1">
      <c r="A35" s="12" t="inlineStr">
        <is>
          <t>Power Charge (PWC) Name</t>
        </is>
      </c>
      <c r="B35" s="30" t="n"/>
      <c r="C35" s="18" t="inlineStr">
        <is>
          <t>Trap Stock</t>
        </is>
      </c>
      <c r="D35" s="29" t="n"/>
      <c r="E35" s="29" t="n"/>
      <c r="F35" s="29" t="n"/>
      <c r="G35" s="29" t="n"/>
      <c r="H35" s="29" t="n"/>
      <c r="I35" s="30" t="n"/>
    </row>
    <row r="36" ht="33" customHeight="1">
      <c r="A36" s="12" t="inlineStr">
        <is>
          <t>Charge Cap</t>
        </is>
      </c>
      <c r="B36" s="30" t="n"/>
      <c r="C36" s="18" t="inlineStr">
        <is>
          <t>PWC_max = 4 + INT(OCC / 2) → Occult 1–3: 4; Occult 4–5: 6</t>
        </is>
      </c>
      <c r="D36" s="29" t="n"/>
      <c r="E36" s="29" t="n"/>
      <c r="F36" s="29" t="n"/>
      <c r="G36" s="29" t="n"/>
      <c r="H36" s="29" t="n"/>
      <c r="I36" s="30" t="n"/>
    </row>
    <row r="37" ht="33" customHeight="1">
      <c r="A37" s="12" t="inlineStr">
        <is>
          <t>Charge Recovery</t>
        </is>
      </c>
      <c r="B37" s="30" t="n"/>
      <c r="C37" s="18" t="inlineStr">
        <is>
          <t>No automatic recovery. Recover a triggered or untriggered trap: 1 Action Point (AP), returns to stock. The map also scatters 2 + N idle traps to pick up (1 Action Point (AP) each).</t>
        </is>
      </c>
      <c r="D37" s="29" t="n"/>
      <c r="E37" s="29" t="n"/>
      <c r="F37" s="29" t="n"/>
      <c r="G37" s="29" t="n"/>
      <c r="H37" s="29" t="n"/>
      <c r="I37" s="30" t="n"/>
    </row>
    <row r="38" ht="22" customHeight="1">
      <c r="A38" s="12" t="inlineStr">
        <is>
          <t>Action Point (AP) Cost</t>
        </is>
      </c>
      <c r="B38" s="30" t="n"/>
      <c r="C38" s="18" t="inlineStr">
        <is>
          <t>Deploy 1 point; reset a triggered trap 1 point; recover 1 point</t>
        </is>
      </c>
      <c r="D38" s="29" t="n"/>
      <c r="E38" s="29" t="n"/>
      <c r="F38" s="29" t="n"/>
      <c r="G38" s="29" t="n"/>
      <c r="H38" s="29" t="n"/>
      <c r="I38" s="30" t="n"/>
    </row>
    <row r="39" ht="22" customHeight="1">
      <c r="A39" s="12" t="inlineStr">
        <is>
          <t>Pressure Point (PRE) Cost</t>
        </is>
      </c>
      <c r="B39" s="30" t="n"/>
      <c r="C39" s="18" t="inlineStr">
        <is>
          <t>Deploy 1 point; reset 0 points</t>
        </is>
      </c>
      <c r="D39" s="29" t="n"/>
      <c r="E39" s="29" t="n"/>
      <c r="F39" s="29" t="n"/>
      <c r="G39" s="29" t="n"/>
      <c r="H39" s="29" t="n"/>
      <c r="I39" s="30" t="n"/>
    </row>
    <row r="40" ht="63" customHeight="1">
      <c r="A40" s="12" t="inlineStr">
        <is>
          <t>Resolution Formula (Placement)</t>
        </is>
      </c>
      <c r="B40" s="30" t="n"/>
      <c r="C40" s="18" t="inlineStr">
        <is>
          <t>No check required. Deployed in the cell the user occupies, becoming a hidden object.
Survivor awareness Difficulty Class (DC) = 10 + 2 × Occult (OCC) (Prestige 1: DC 12 / Prestige 10: DC 14 / Prestige 20: DC 18)</t>
        </is>
      </c>
      <c r="D40" s="29" t="n"/>
      <c r="E40" s="29" t="n"/>
      <c r="F40" s="29" t="n"/>
      <c r="G40" s="29" t="n"/>
      <c r="H40" s="29" t="n"/>
      <c r="I40" s="30" t="n"/>
    </row>
    <row r="41" ht="63" customHeight="1">
      <c r="A41" s="12" t="inlineStr">
        <is>
          <t>Resolution Formula (Trigger)</t>
        </is>
      </c>
      <c r="B41" s="30" t="n"/>
      <c r="C41" s="18" t="inlineStr">
        <is>
          <t>A Survivor entering the cell at a run or full sprint: automatically triggers, no check.
A Survivor entering the cell walking or crouching: first make a Focus (FOC) check vs the awareness Difficulty Class (DC); on Success stop at the cell before and learn the trap location, on Failure trigger it.</t>
        </is>
      </c>
      <c r="D41" s="29" t="n"/>
      <c r="E41" s="29" t="n"/>
      <c r="F41" s="29" t="n"/>
      <c r="G41" s="29" t="n"/>
      <c r="H41" s="29" t="n"/>
      <c r="I41" s="30" t="n"/>
    </row>
    <row r="42" ht="48" customHeight="1">
      <c r="A42" s="12" t="inlineStr">
        <is>
          <t>Hit Effect</t>
        </is>
      </c>
      <c r="B42" s="30" t="n"/>
      <c r="C42" s="18" t="inlineStr">
        <is>
          <t>One who triggers: ① immediately lose 1 Tier of Health State (HS); ② gain Snared (Snared, ST-29); ③ trigger a noise notification, Killer freely gains 1 Hunt Lead and learns the exact cell.</t>
        </is>
      </c>
      <c r="D42" s="29" t="n"/>
      <c r="E42" s="29" t="n"/>
      <c r="F42" s="29" t="n"/>
      <c r="G42" s="29" t="n"/>
      <c r="H42" s="29" t="n"/>
      <c r="I42" s="30" t="n"/>
    </row>
    <row r="43" ht="63" customHeight="1">
      <c r="A43" s="12" t="inlineStr">
        <is>
          <t>Escape (self)</t>
        </is>
      </c>
      <c r="B43" s="30" t="n"/>
      <c r="C43" s="18" t="inlineStr">
        <is>
          <t>2 Action Point (AP) + Agility (AGI) + Escape (ESQ) check vs Difficulty Class (DC) 14.
Critical Success: escape and leave no Blood Pools; Success: escape; Failure: still Snared; Critical Failure: still Snared and lose another Tier of Health State (HS) (if already Injured, enter Dying).</t>
        </is>
      </c>
      <c r="D43" s="29" t="n"/>
      <c r="E43" s="29" t="n"/>
      <c r="F43" s="29" t="n"/>
      <c r="G43" s="29" t="n"/>
      <c r="H43" s="29" t="n"/>
      <c r="I43" s="30" t="n"/>
    </row>
    <row r="44" ht="33" customHeight="1">
      <c r="A44" s="12" t="inlineStr">
        <is>
          <t>Escape (rescue by others)</t>
        </is>
      </c>
      <c r="B44" s="30" t="n"/>
      <c r="C44" s="18" t="inlineStr">
        <is>
          <t>A teammate or Echo Companion spends 2 Action Point (AP) to auto-release, no check, no risk. This is the most important teammate-value anchor of this power.</t>
        </is>
      </c>
      <c r="D44" s="29" t="n"/>
      <c r="E44" s="29" t="n"/>
      <c r="F44" s="29" t="n"/>
      <c r="G44" s="29" t="n"/>
      <c r="H44" s="29" t="n"/>
      <c r="I44" s="30" t="n"/>
    </row>
    <row r="45" ht="33" customHeight="1">
      <c r="A45" s="12" t="inlineStr">
        <is>
          <t>Disarm (untriggered)</t>
        </is>
      </c>
      <c r="B45" s="30" t="n"/>
      <c r="C45" s="18" t="inlineStr">
        <is>
          <t>2 Action Point (AP) + Technique (TEC) + Mechanical Repair (MEC) check vs Difficulty Class (DC) 12. Critical Failure → immediately trigger. A successfully disarmed trap is permanently removed and not returned to stock.</t>
        </is>
      </c>
      <c r="D45" s="29" t="n"/>
      <c r="E45" s="29" t="n"/>
      <c r="F45" s="29" t="n"/>
      <c r="G45" s="29" t="n"/>
      <c r="H45" s="29" t="n"/>
      <c r="I45" s="30" t="n"/>
    </row>
    <row r="46" ht="33" customHeight="1">
      <c r="A46" s="12" t="inlineStr">
        <is>
          <t>Miss / Cost</t>
        </is>
      </c>
      <c r="B46" s="30" t="n"/>
      <c r="C46" s="18" t="inlineStr">
        <is>
          <t>Traps are sunk Cost: the Action Point (AP) and Pressure Point (PRE) spent deploying are not refunded. If the Survivor never walks that area, the investment is entirely lost. The Trapper's skill ceiling lies in "guessing the right route."</t>
        </is>
      </c>
      <c r="D46" s="29" t="n"/>
      <c r="E46" s="29" t="n"/>
      <c r="F46" s="29" t="n"/>
      <c r="G46" s="29" t="n"/>
      <c r="H46" s="29" t="n"/>
      <c r="I46" s="30" t="n"/>
    </row>
    <row r="47" ht="22" customHeight="1">
      <c r="A47" s="12" t="inlineStr">
        <is>
          <t>Cooldown</t>
        </is>
      </c>
      <c r="B47" s="30" t="n"/>
      <c r="C47" s="18" t="inlineStr">
        <is>
          <t>None</t>
        </is>
      </c>
      <c r="D47" s="29" t="n"/>
      <c r="E47" s="29" t="n"/>
      <c r="F47" s="29" t="n"/>
      <c r="G47" s="29" t="n"/>
      <c r="H47" s="29" t="n"/>
      <c r="I47" s="30" t="n"/>
    </row>
    <row r="48" ht="48" customHeight="1">
      <c r="A48" s="12" t="inlineStr">
        <is>
          <t>Survivor Counter</t>
        </is>
      </c>
      <c r="B48" s="30" t="n"/>
      <c r="C48" s="18" t="inlineStr">
        <is>
          <t>① Crouch-walk through unfamiliar areas — only walking/crouching gives an awareness-check chance; ② remember known trap locations and use them to circle around (the trap cell is also an obstacle to the Killer: the Killer will not step on it, but the Survivor can use the cell to force the Killer to detour, Chase check +2); ③ prioritize freeing Snared teammates — 2 Action Point (AP) auto-Success, far better than struggling yourself.</t>
        </is>
      </c>
      <c r="D48" s="29" t="n"/>
      <c r="E48" s="29" t="n"/>
      <c r="F48" s="29" t="n"/>
      <c r="G48" s="29" t="n"/>
      <c r="H48" s="29" t="n"/>
      <c r="I48" s="30" t="n"/>
    </row>
    <row r="49" ht="33" customHeight="1">
      <c r="A49" s="12" t="inlineStr">
        <is>
          <t>Solo Config Adjustment</t>
        </is>
      </c>
      <c r="B49" s="30" t="n"/>
      <c r="C49" s="18" t="inlineStr">
        <is>
          <t>When N = 1: Trap Stock cap −1; and while Snared, the self-escape Difficulty Class (DC) drops from 14 to 12 (no teammates to rescue, so it must be relaxed).</t>
        </is>
      </c>
      <c r="D49" s="29" t="n"/>
      <c r="E49" s="29" t="n"/>
      <c r="F49" s="29" t="n"/>
      <c r="G49" s="29" t="n"/>
      <c r="H49" s="29" t="n"/>
      <c r="I49" s="30" t="n"/>
    </row>
    <row r="50" ht="20" customHeight="1">
      <c r="A50" s="9" t="inlineStr">
        <is>
          <t>IV. Power Mastery</t>
        </is>
      </c>
      <c r="B50" s="29" t="n"/>
      <c r="C50" s="29" t="n"/>
      <c r="D50" s="29" t="n"/>
      <c r="E50" s="29" t="n"/>
      <c r="F50" s="29" t="n"/>
      <c r="G50" s="29" t="n"/>
      <c r="H50" s="29" t="n"/>
      <c r="I50" s="30" t="n"/>
    </row>
    <row r="51">
      <c r="A51" s="5" t="inlineStr">
        <is>
          <t>Tier</t>
        </is>
      </c>
      <c r="B51" s="30" t="n"/>
      <c r="C51" s="5" t="inlineStr">
        <is>
          <t>Effect</t>
        </is>
      </c>
      <c r="D51" s="29" t="n"/>
      <c r="E51" s="29" t="n"/>
      <c r="F51" s="29" t="n"/>
      <c r="G51" s="29" t="n"/>
      <c r="H51" s="29" t="n"/>
      <c r="I51" s="30" t="n"/>
    </row>
    <row r="52" ht="33" customHeight="1">
      <c r="A52" s="12" t="inlineStr">
        <is>
          <t>Tier 2 (Prestige 6)</t>
        </is>
      </c>
      <c r="B52" s="30" t="n"/>
      <c r="C52" s="18" t="inlineStr">
        <is>
          <t>Deploy Action Point (AP) Cost reduced to 0 points (still requires 1 Pressure Point (PRE)). Can be deployed casually while Moving.</t>
        </is>
      </c>
      <c r="D52" s="29" t="n"/>
      <c r="E52" s="29" t="n"/>
      <c r="F52" s="29" t="n"/>
      <c r="G52" s="29" t="n"/>
      <c r="H52" s="29" t="n"/>
      <c r="I52" s="30" t="n"/>
    </row>
    <row r="53" ht="22" customHeight="1">
      <c r="A53" s="12" t="inlineStr">
        <is>
          <t>Tier 3 (Prestige 11)</t>
        </is>
      </c>
      <c r="B53" s="30" t="n"/>
      <c r="C53" s="18" t="inlineStr">
        <is>
          <t>Trap Stock cap +2; resetting a triggered trap costs no Action Point (AP) (resets by walking over).</t>
        </is>
      </c>
      <c r="D53" s="29" t="n"/>
      <c r="E53" s="29" t="n"/>
      <c r="F53" s="29" t="n"/>
      <c r="G53" s="29" t="n"/>
      <c r="H53" s="29" t="n"/>
      <c r="I53" s="30" t="n"/>
    </row>
    <row r="54" ht="93" customHeight="1">
      <c r="A54" s="12" t="inlineStr">
        <is>
          <t>Tier 4 (Prestige 16)</t>
        </is>
      </c>
      <c r="B54" s="30" t="n"/>
      <c r="C54" s="18" t="inlineStr">
        <is>
          <t>Endgame Form | Iron Jaw Web
Cost 4 Pressure Point (PRE) + 2 Action Point (AP), 3 times per Trial.
Immediately deploy traps in all empty cells within a radius of 4 cells around the user (does not consume stock; these traps vanish after 5 round(s)). During this, any trigger who is already Injured goes directly to Dying.</t>
        </is>
      </c>
      <c r="D54" s="29" t="n"/>
      <c r="E54" s="29" t="n"/>
      <c r="F54" s="29" t="n"/>
      <c r="G54" s="29" t="n"/>
      <c r="H54" s="29" t="n"/>
      <c r="I54" s="30" t="n"/>
    </row>
    <row r="55" ht="20" customHeight="1">
      <c r="A55" s="9" t="inlineStr">
        <is>
          <t>V. Exclusive Perks (Perk)</t>
        </is>
      </c>
      <c r="B55" s="29" t="n"/>
      <c r="C55" s="29" t="n"/>
      <c r="D55" s="29" t="n"/>
      <c r="E55" s="29" t="n"/>
      <c r="F55" s="29" t="n"/>
      <c r="G55" s="29" t="n"/>
      <c r="H55" s="29" t="n"/>
      <c r="I55" s="30" t="n"/>
    </row>
    <row r="56">
      <c r="A56" s="5" t="inlineStr">
        <is>
          <t>No.</t>
        </is>
      </c>
      <c r="B56" s="30" t="n"/>
      <c r="C56" s="5" t="inlineStr">
        <is>
          <t>Name</t>
        </is>
      </c>
      <c r="D56" s="29" t="n"/>
      <c r="E56" s="29" t="n"/>
      <c r="F56" s="30" t="n"/>
      <c r="G56" s="5" t="inlineStr">
        <is>
          <t>Source</t>
        </is>
      </c>
      <c r="H56" s="29" t="n"/>
      <c r="I56" s="30" t="n"/>
    </row>
    <row r="57">
      <c r="A57" s="8" t="inlineStr">
        <is>
          <t>TALENT-K01</t>
        </is>
      </c>
      <c r="B57" s="30" t="n"/>
      <c r="C57" s="6" t="inlineStr">
        <is>
          <t>Unnerving Presence</t>
        </is>
      </c>
      <c r="D57" s="29" t="n"/>
      <c r="E57" s="29" t="n"/>
      <c r="F57" s="30" t="n"/>
      <c r="G57" s="6" t="inlineStr">
        <is>
          <t>21_Perk_Entries.md</t>
        </is>
      </c>
      <c r="H57" s="29" t="n"/>
      <c r="I57" s="30" t="n"/>
    </row>
    <row r="58">
      <c r="A58" s="8" t="inlineStr">
        <is>
          <t>TALENT-K02</t>
        </is>
      </c>
      <c r="B58" s="30" t="n"/>
      <c r="C58" s="6" t="inlineStr">
        <is>
          <t>Brute Force (Brutal Strength)</t>
        </is>
      </c>
      <c r="D58" s="29" t="n"/>
      <c r="E58" s="29" t="n"/>
      <c r="F58" s="30" t="n"/>
      <c r="G58" s="6" t="inlineStr">
        <is>
          <t>Same as above</t>
        </is>
      </c>
      <c r="H58" s="29" t="n"/>
      <c r="I58" s="30" t="n"/>
    </row>
    <row r="59">
      <c r="A59" s="8" t="inlineStr">
        <is>
          <t>TALENT-K03</t>
        </is>
      </c>
      <c r="B59" s="30" t="n"/>
      <c r="C59" s="6" t="inlineStr">
        <is>
          <t>Agitation</t>
        </is>
      </c>
      <c r="D59" s="29" t="n"/>
      <c r="E59" s="29" t="n"/>
      <c r="F59" s="30" t="n"/>
      <c r="G59" s="6" t="inlineStr">
        <is>
          <t>Same as above</t>
        </is>
      </c>
      <c r="H59" s="29" t="n"/>
      <c r="I59" s="30" t="n"/>
    </row>
    <row r="60" ht="20" customHeight="1">
      <c r="A60" s="9" t="inlineStr">
        <is>
          <t>VI. Encounter Cost &amp; Deployment</t>
        </is>
      </c>
      <c r="B60" s="29" t="n"/>
      <c r="C60" s="29" t="n"/>
      <c r="D60" s="29" t="n"/>
      <c r="E60" s="29" t="n"/>
      <c r="F60" s="29" t="n"/>
      <c r="G60" s="29" t="n"/>
      <c r="H60" s="29" t="n"/>
      <c r="I60" s="30" t="n"/>
    </row>
    <row r="61">
      <c r="A61" s="12" t="inlineStr">
        <is>
          <t>Use</t>
        </is>
      </c>
      <c r="B61" s="29" t="n"/>
      <c r="C61" s="30" t="n"/>
      <c r="D61" s="6" t="inlineStr">
        <is>
          <t>Cost</t>
        </is>
      </c>
      <c r="E61" s="29" t="n"/>
      <c r="F61" s="29" t="n"/>
      <c r="G61" s="29" t="n"/>
      <c r="H61" s="29" t="n"/>
      <c r="I61" s="30" t="n"/>
    </row>
    <row r="62">
      <c r="A62" s="12" t="inlineStr">
        <is>
          <t>As the Trial's main Killer</t>
        </is>
      </c>
      <c r="B62" s="29" t="n"/>
      <c r="C62" s="30" t="n"/>
      <c r="D62" s="6" t="inlineStr">
        <is>
          <t>takes 60% of Encounter Budget (EB)</t>
        </is>
      </c>
      <c r="E62" s="29" t="n"/>
      <c r="F62" s="29" t="n"/>
      <c r="G62" s="29" t="n"/>
      <c r="H62" s="29" t="n"/>
      <c r="I62" s="30" t="n"/>
    </row>
    <row r="63">
      <c r="A63" s="12" t="inlineStr">
        <is>
          <t>As a fixed threat in the scenario (does not chase, only deploys traps)</t>
        </is>
      </c>
      <c r="B63" s="29" t="n"/>
      <c r="C63" s="30" t="n"/>
      <c r="D63" s="6" t="inlineStr">
        <is>
          <t>CR × 2</t>
        </is>
      </c>
      <c r="E63" s="29" t="n"/>
      <c r="F63" s="29" t="n"/>
      <c r="G63" s="29" t="n"/>
      <c r="H63" s="29" t="n"/>
      <c r="I63" s="30" t="n"/>
    </row>
    <row r="64" ht="42" customHeight="1">
      <c r="A64" s="12" t="inlineStr">
        <is>
          <t>Solo config (N = 1) adjustment</t>
        </is>
      </c>
      <c r="B64" s="29" t="n"/>
      <c r="C64" s="30" t="n"/>
      <c r="D64" s="18" t="inlineStr">
        <is>
          <t>When N = 1: Trap Stock cap −1; and while Snared, the self-escape Difficulty Class (DC) drops from 14 to 12 (no teammates to rescue, so it must be relaxed).</t>
        </is>
      </c>
      <c r="E64" s="29" t="n"/>
      <c r="F64" s="29" t="n"/>
      <c r="G64" s="29" t="n"/>
      <c r="H64" s="29" t="n"/>
      <c r="I64" s="30" t="n"/>
    </row>
    <row r="65" ht="20" customHeight="1">
      <c r="A65" s="9" t="inlineStr">
        <is>
          <t>VII. In-Trial Tracker</t>
        </is>
      </c>
      <c r="B65" s="29" t="n"/>
      <c r="C65" s="29" t="n"/>
      <c r="D65" s="29" t="n"/>
      <c r="E65" s="29" t="n"/>
      <c r="F65" s="29" t="n"/>
      <c r="G65" s="29" t="n"/>
      <c r="H65" s="29" t="n"/>
      <c r="I65" s="30" t="n"/>
    </row>
    <row r="66">
      <c r="A66" s="12" t="inlineStr">
        <is>
          <t>Current Pressure Point (PRE)</t>
        </is>
      </c>
      <c r="B66" s="30" t="n"/>
      <c r="C66" s="8" t="n"/>
      <c r="D66" s="30" t="n"/>
      <c r="E66" s="12" t="inlineStr">
        <is>
          <t>Pressure Ramp Phase</t>
        </is>
      </c>
      <c r="F66" s="30" t="n"/>
      <c r="G66" s="8" t="inlineStr">
        <is>
          <t>☐ I　☐ II　☐ III</t>
        </is>
      </c>
      <c r="H66" s="29" t="n"/>
      <c r="I66" s="30" t="n"/>
    </row>
    <row r="67">
      <c r="A67" s="12" t="inlineStr">
        <is>
          <t>Sacrificed Count</t>
        </is>
      </c>
      <c r="B67" s="30" t="n"/>
      <c r="C67" s="8" t="n"/>
      <c r="D67" s="30" t="n"/>
      <c r="E67" s="12" t="inlineStr">
        <is>
          <t>Hunt Lead</t>
        </is>
      </c>
      <c r="F67" s="30" t="n"/>
      <c r="G67" s="8" t="n"/>
      <c r="H67" s="29" t="n"/>
      <c r="I67" s="30" t="n"/>
    </row>
    <row r="68" ht="44" customHeight="1">
      <c r="A68" s="12" t="inlineStr">
        <is>
          <t>Notes</t>
        </is>
      </c>
      <c r="B68" s="30" t="n"/>
      <c r="C68" s="18" t="n"/>
      <c r="D68" s="29" t="n"/>
      <c r="E68" s="29" t="n"/>
      <c r="F68" s="29" t="n"/>
      <c r="G68" s="29" t="n"/>
      <c r="H68" s="29" t="n"/>
      <c r="I68" s="30" t="n"/>
    </row>
  </sheetData>
  <mergeCells count="139">
    <mergeCell ref="C36:I36"/>
    <mergeCell ref="A15:B15"/>
    <mergeCell ref="A51:B51"/>
    <mergeCell ref="A21:C21"/>
    <mergeCell ref="A26:C26"/>
    <mergeCell ref="C53:I53"/>
    <mergeCell ref="A54:B54"/>
    <mergeCell ref="E4:I4"/>
    <mergeCell ref="A7:B7"/>
    <mergeCell ref="A23:C23"/>
    <mergeCell ref="A41:B41"/>
    <mergeCell ref="D13:E13"/>
    <mergeCell ref="A17:I17"/>
    <mergeCell ref="A56:B56"/>
    <mergeCell ref="C45:I45"/>
    <mergeCell ref="A63:C63"/>
    <mergeCell ref="D7:E7"/>
    <mergeCell ref="A33:B33"/>
    <mergeCell ref="A42:B42"/>
    <mergeCell ref="F15:I15"/>
    <mergeCell ref="C47:I47"/>
    <mergeCell ref="A53:B53"/>
    <mergeCell ref="A35:B35"/>
    <mergeCell ref="C40:I40"/>
    <mergeCell ref="C56:F56"/>
    <mergeCell ref="C67:D67"/>
    <mergeCell ref="A68:B68"/>
    <mergeCell ref="H23:I23"/>
    <mergeCell ref="A2:C5"/>
    <mergeCell ref="A39:B39"/>
    <mergeCell ref="A48:B48"/>
    <mergeCell ref="F13:I13"/>
    <mergeCell ref="D10:E10"/>
    <mergeCell ref="A59:B59"/>
    <mergeCell ref="A45:B45"/>
    <mergeCell ref="E67:F67"/>
    <mergeCell ref="E5:F5"/>
    <mergeCell ref="A12:C12"/>
    <mergeCell ref="H25:I25"/>
    <mergeCell ref="G7:H7"/>
    <mergeCell ref="D62:I62"/>
    <mergeCell ref="D11:E11"/>
    <mergeCell ref="C34:I34"/>
    <mergeCell ref="A37:B37"/>
    <mergeCell ref="A46:B46"/>
    <mergeCell ref="C68:I68"/>
    <mergeCell ref="C42:I42"/>
    <mergeCell ref="A29:C29"/>
    <mergeCell ref="D64:I64"/>
    <mergeCell ref="A13:C13"/>
    <mergeCell ref="H19:I19"/>
    <mergeCell ref="G56:I56"/>
    <mergeCell ref="H28:I28"/>
    <mergeCell ref="D9:E9"/>
    <mergeCell ref="A24:C24"/>
    <mergeCell ref="C44:I44"/>
    <mergeCell ref="A52:B52"/>
    <mergeCell ref="A1:I1"/>
    <mergeCell ref="C66:D66"/>
    <mergeCell ref="H5:I5"/>
    <mergeCell ref="C46:I46"/>
    <mergeCell ref="E66:F66"/>
    <mergeCell ref="C51:I51"/>
    <mergeCell ref="A34:B34"/>
    <mergeCell ref="A25:C25"/>
    <mergeCell ref="A65:I65"/>
    <mergeCell ref="G66:I66"/>
    <mergeCell ref="F9:I9"/>
    <mergeCell ref="C48:I48"/>
    <mergeCell ref="A49:B49"/>
    <mergeCell ref="D61:I61"/>
    <mergeCell ref="A18:C18"/>
    <mergeCell ref="A36:B36"/>
    <mergeCell ref="G3:I3"/>
    <mergeCell ref="C38:I38"/>
    <mergeCell ref="A55:I55"/>
    <mergeCell ref="C57:F57"/>
    <mergeCell ref="G58:I58"/>
    <mergeCell ref="H21:I21"/>
    <mergeCell ref="A32:I32"/>
    <mergeCell ref="C49:I49"/>
    <mergeCell ref="A22:C22"/>
    <mergeCell ref="A62:C62"/>
    <mergeCell ref="C33:I33"/>
    <mergeCell ref="C58:F58"/>
    <mergeCell ref="F10:I10"/>
    <mergeCell ref="A20:C20"/>
    <mergeCell ref="A28:C28"/>
    <mergeCell ref="A57:B57"/>
    <mergeCell ref="C35:I35"/>
    <mergeCell ref="E2:I2"/>
    <mergeCell ref="A14:B14"/>
    <mergeCell ref="A30:C30"/>
    <mergeCell ref="H22:I22"/>
    <mergeCell ref="D12:E12"/>
    <mergeCell ref="A64:C64"/>
    <mergeCell ref="D63:I63"/>
    <mergeCell ref="A38:B38"/>
    <mergeCell ref="A43:B43"/>
    <mergeCell ref="F8:I8"/>
    <mergeCell ref="A61:C61"/>
    <mergeCell ref="A6:I6"/>
    <mergeCell ref="A40:B40"/>
    <mergeCell ref="A67:B67"/>
    <mergeCell ref="H30:I30"/>
    <mergeCell ref="A16:I16"/>
    <mergeCell ref="C52:I52"/>
    <mergeCell ref="H20:I20"/>
    <mergeCell ref="G57:I57"/>
    <mergeCell ref="H29:I29"/>
    <mergeCell ref="C39:I39"/>
    <mergeCell ref="A27:C27"/>
    <mergeCell ref="A50:I50"/>
    <mergeCell ref="C37:I37"/>
    <mergeCell ref="F14:I14"/>
    <mergeCell ref="A8:C8"/>
    <mergeCell ref="F11:I11"/>
    <mergeCell ref="A66:B66"/>
    <mergeCell ref="A10:C10"/>
    <mergeCell ref="A19:C19"/>
    <mergeCell ref="A47:B47"/>
    <mergeCell ref="F12:I12"/>
    <mergeCell ref="A9:C9"/>
    <mergeCell ref="A31:I31"/>
    <mergeCell ref="C54:I54"/>
    <mergeCell ref="G59:I59"/>
    <mergeCell ref="C41:I41"/>
    <mergeCell ref="H27:I27"/>
    <mergeCell ref="D8:E8"/>
    <mergeCell ref="A11:C11"/>
    <mergeCell ref="A60:I60"/>
    <mergeCell ref="H24:I24"/>
    <mergeCell ref="G67:I67"/>
    <mergeCell ref="H18:I18"/>
    <mergeCell ref="C43:I43"/>
    <mergeCell ref="C59:F59"/>
    <mergeCell ref="A44:B44"/>
    <mergeCell ref="A58:B58"/>
    <mergeCell ref="H26:I26"/>
  </mergeCells>
  <printOptions horizontalCentered="1"/>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I64"/>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Enemy Character Sheet　·　Killer Avatar</t>
        </is>
      </c>
      <c r="B1" s="25" t="n"/>
      <c r="C1" s="25" t="n"/>
      <c r="D1" s="25" t="n"/>
      <c r="E1" s="25" t="n"/>
      <c r="F1" s="25" t="n"/>
      <c r="G1" s="25" t="n"/>
      <c r="H1" s="25" t="n"/>
      <c r="I1" s="26" t="n"/>
    </row>
    <row r="2">
      <c r="A2" s="3" t="inlineStr">
        <is>
          <t>Character Art
(Paste character image here)</t>
        </is>
      </c>
      <c r="B2" s="27" t="n"/>
      <c r="C2" s="28" t="n"/>
      <c r="D2" s="5" t="inlineStr">
        <is>
          <t>Avatar Name</t>
        </is>
      </c>
      <c r="E2" s="6" t="inlineStr">
        <is>
          <t>Wraith (WRT) | Oulisen</t>
        </is>
      </c>
      <c r="F2" s="29" t="n"/>
      <c r="G2" s="29" t="n"/>
      <c r="H2" s="29" t="n"/>
      <c r="I2" s="30" t="n"/>
    </row>
    <row r="3">
      <c r="A3" s="31" t="n"/>
      <c r="C3" s="32" t="n"/>
      <c r="D3" s="5" t="inlineStr">
        <is>
          <t>Avatar Abbr.</t>
        </is>
      </c>
      <c r="E3" s="8" t="inlineStr">
        <is>
          <t>WRT</t>
        </is>
      </c>
      <c r="F3" s="5" t="inlineStr">
        <is>
          <t>True Name</t>
        </is>
      </c>
      <c r="G3" s="6" t="inlineStr">
        <is>
          <t>Oulisen</t>
        </is>
      </c>
      <c r="H3" s="29" t="n"/>
      <c r="I3" s="30" t="n"/>
    </row>
    <row r="4">
      <c r="A4" s="31" t="n"/>
      <c r="C4" s="32" t="n"/>
      <c r="D4" s="5" t="inlineStr">
        <is>
          <t>Home Realm</t>
        </is>
      </c>
      <c r="E4" s="6" t="inlineStr">
        <is>
          <t>R2 Autohaven Wreckers</t>
        </is>
      </c>
      <c r="F4" s="29" t="n"/>
      <c r="G4" s="29" t="n"/>
      <c r="H4" s="29" t="n"/>
      <c r="I4" s="30" t="n"/>
    </row>
    <row r="5">
      <c r="A5" s="33" t="n"/>
      <c r="B5" s="34" t="n"/>
      <c r="C5" s="35" t="n"/>
      <c r="D5" s="5" t="inlineStr">
        <is>
          <t>Power Type</t>
        </is>
      </c>
      <c r="E5" s="8" t="inlineStr">
        <is>
          <t>Sneak-type</t>
        </is>
      </c>
      <c r="F5" s="30" t="n"/>
      <c r="G5" s="5" t="inlineStr">
        <is>
          <t>Attribute Tendency</t>
        </is>
      </c>
      <c r="H5" s="6" t="inlineStr">
        <is>
          <t>Occult (OCC)＋2、Hunt (HNT)＋1</t>
        </is>
      </c>
      <c r="I5" s="30" t="n"/>
    </row>
    <row r="6" ht="20" customHeight="1">
      <c r="A6" s="9" t="inlineStr">
        <is>
          <t>I. Trial Panel (gray = fill, beige = auto)</t>
        </is>
      </c>
      <c r="B6" s="29" t="n"/>
      <c r="C6" s="29" t="n"/>
      <c r="D6" s="29" t="n"/>
      <c r="E6" s="29" t="n"/>
      <c r="F6" s="29" t="n"/>
      <c r="G6" s="29" t="n"/>
      <c r="H6" s="29" t="n"/>
      <c r="I6" s="30" t="n"/>
    </row>
    <row r="7">
      <c r="A7" s="5" t="inlineStr">
        <is>
          <t>Prestige (PRS)</t>
        </is>
      </c>
      <c r="B7" s="30" t="n"/>
      <c r="C7" s="8" t="n"/>
      <c r="D7" s="5" t="inlineStr">
        <is>
          <t>Survivor player count N</t>
        </is>
      </c>
      <c r="E7" s="30" t="n"/>
      <c r="F7" s="8" t="n"/>
      <c r="G7" s="5" t="inlineStr">
        <is>
          <t>Avatar Threat Factor (AVM)</t>
        </is>
      </c>
      <c r="H7" s="30" t="n"/>
      <c r="I7" s="8" t="n">
        <v>1</v>
      </c>
    </row>
    <row r="8">
      <c r="A8" s="12" t="inlineStr">
        <is>
          <t>Challenge Rating (CR)</t>
        </is>
      </c>
      <c r="B8" s="29" t="n"/>
      <c r="C8" s="30" t="n"/>
      <c r="D8" s="14">
        <f>IF($C$7="","",$C$7+$I$7)</f>
        <v/>
      </c>
      <c r="E8" s="30" t="n"/>
      <c r="F8" s="6" t="inlineStr">
        <is>
          <t>Prestige (PRS) + Avatar Threat Factor (AVM)</t>
        </is>
      </c>
      <c r="G8" s="29" t="n"/>
      <c r="H8" s="29" t="n"/>
      <c r="I8" s="30" t="n"/>
    </row>
    <row r="9">
      <c r="A9" s="12" t="inlineStr">
        <is>
          <t>Pressure Point (PRE) Cap</t>
        </is>
      </c>
      <c r="B9" s="29" t="n"/>
      <c r="C9" s="30" t="n"/>
      <c r="D9" s="14">
        <f>IF(OR($C$7="",$F$7=""),"",4+2*$F$7+INT($C$7/4))</f>
        <v/>
      </c>
      <c r="E9" s="30" t="n"/>
      <c r="F9" s="6" t="inlineStr">
        <is>
          <t>4 + 2×N + INT(Prestige (PRS) ÷ 4)</t>
        </is>
      </c>
      <c r="G9" s="29" t="n"/>
      <c r="H9" s="29" t="n"/>
      <c r="I9" s="30" t="n"/>
    </row>
    <row r="10">
      <c r="A10" s="12" t="inlineStr">
        <is>
          <t>Pressure Point (PRE) recovery / round</t>
        </is>
      </c>
      <c r="B10" s="29" t="n"/>
      <c r="C10" s="30" t="n"/>
      <c r="D10" s="14">
        <f>IF($F$7="","",2+INT($F$7/2))</f>
        <v/>
      </c>
      <c r="E10" s="30" t="n"/>
      <c r="F10" s="6" t="inlineStr">
        <is>
          <t>2 ＋ INT(N ÷ 2)</t>
        </is>
      </c>
      <c r="G10" s="29" t="n"/>
      <c r="H10" s="29" t="n"/>
      <c r="I10" s="30" t="n"/>
    </row>
    <row r="11">
      <c r="A11" s="12" t="inlineStr">
        <is>
          <t>Action Point (AP) / round</t>
        </is>
      </c>
      <c r="B11" s="29" t="n"/>
      <c r="C11" s="30" t="n"/>
      <c r="D11" s="14">
        <f>4</f>
        <v/>
      </c>
      <c r="E11" s="30" t="n"/>
      <c r="F11" s="6" t="inlineStr">
        <is>
          <t>Killer fixed at 4; Pressure Point (PRE) is a separate resource pool</t>
        </is>
      </c>
      <c r="G11" s="29" t="n"/>
      <c r="H11" s="29" t="n"/>
      <c r="I11" s="30" t="n"/>
    </row>
    <row r="12">
      <c r="A12" s="12" t="inlineStr">
        <is>
          <t>Hook Phase Rounds</t>
        </is>
      </c>
      <c r="B12" s="29" t="n"/>
      <c r="C12" s="30" t="n"/>
      <c r="D12" s="14">
        <f>IF($F$7="","",8-$F$7)</f>
        <v/>
      </c>
      <c r="E12" s="30" t="n"/>
      <c r="F12" s="6" t="inlineStr">
        <is>
          <t>8 − N. Each phase end advances one stage; end of phase 2 = Sacrifice</t>
        </is>
      </c>
      <c r="G12" s="29" t="n"/>
      <c r="H12" s="29" t="n"/>
      <c r="I12" s="30" t="n"/>
    </row>
    <row r="13">
      <c r="A13" s="12" t="inlineStr">
        <is>
          <t>Endgame Collapse rounds</t>
        </is>
      </c>
      <c r="B13" s="29" t="n"/>
      <c r="C13" s="30" t="n"/>
      <c r="D13" s="14">
        <f>IF($F$7="","",14-2*$F$7)</f>
        <v/>
      </c>
      <c r="E13" s="30" t="n"/>
      <c r="F13" s="6" t="inlineStr">
        <is>
          <t>14 − 2×N. Countdown starts after the last Generator is completed</t>
        </is>
      </c>
      <c r="G13" s="29" t="n"/>
      <c r="H13" s="29" t="n"/>
      <c r="I13" s="30" t="n"/>
    </row>
    <row r="14" ht="30" customHeight="1">
      <c r="A14" s="12" t="inlineStr">
        <is>
          <t>Terror Radius (TR)</t>
        </is>
      </c>
      <c r="B14" s="30" t="n"/>
      <c r="C14" s="8" t="n">
        <v>16</v>
      </c>
      <c r="D14" s="5" t="inlineStr">
        <is>
          <t>cell → meters</t>
        </is>
      </c>
      <c r="E14" s="14">
        <f>IF(C14="","",C14*2)</f>
        <v/>
      </c>
      <c r="F14" s="6" t="inlineStr">
        <is>
          <t>32 meters = 16 cells (0 meters while Cloaked)</t>
        </is>
      </c>
      <c r="G14" s="29" t="n"/>
      <c r="H14" s="29" t="n"/>
      <c r="I14" s="30" t="n"/>
    </row>
    <row r="15" ht="30" customHeight="1">
      <c r="A15" s="12" t="inlineStr">
        <is>
          <t>Move Level (MOV)</t>
        </is>
      </c>
      <c r="B15" s="30" t="n"/>
      <c r="C15" s="8" t="n">
        <v>7</v>
      </c>
      <c r="D15" s="5" t="inlineStr">
        <is>
          <t>cells / round(s)</t>
        </is>
      </c>
      <c r="E15" s="8" t="n"/>
      <c r="F15" s="6" t="inlineStr">
        <is>
          <t>Tier III Standard (7 cells / round(s), Move Speed Advantage +2); Tier IV Swift while Cloaked (8 cells / round(s), Move Speed Advantage +3)</t>
        </is>
      </c>
      <c r="G15" s="29" t="n"/>
      <c r="H15" s="29" t="n"/>
      <c r="I15" s="30" t="n"/>
    </row>
    <row r="16">
      <c r="A16" s="16" t="inlineStr">
        <is>
          <t>1 cell = 2 meters. Distance Band (DB): Contact (CON) 0–1 cells / Near (NEA) 1–4 cells / Mid (MID) 4–8 cells / Far (FAR) 8–16 cells / Escaped (ESC) 16+ cells.</t>
        </is>
      </c>
      <c r="B16" s="29" t="n"/>
      <c r="C16" s="29" t="n"/>
      <c r="D16" s="29" t="n"/>
      <c r="E16" s="29" t="n"/>
      <c r="F16" s="29" t="n"/>
      <c r="G16" s="29" t="n"/>
      <c r="H16" s="29" t="n"/>
      <c r="I16" s="30" t="n"/>
    </row>
    <row r="17" ht="20" customHeight="1">
      <c r="A17" s="9" t="inlineStr">
        <is>
          <t>II. Attributes &amp; Skills (three-baseline reference)</t>
        </is>
      </c>
      <c r="B17" s="29" t="n"/>
      <c r="C17" s="29" t="n"/>
      <c r="D17" s="29" t="n"/>
      <c r="E17" s="29" t="n"/>
      <c r="F17" s="29" t="n"/>
      <c r="G17" s="29" t="n"/>
      <c r="H17" s="29" t="n"/>
      <c r="I17" s="30" t="n"/>
    </row>
    <row r="18" ht="30" customHeight="1">
      <c r="A18" s="5" t="inlineStr">
        <is>
          <t>Attribute / Skill</t>
        </is>
      </c>
      <c r="B18" s="29" t="n"/>
      <c r="C18" s="30" t="n"/>
      <c r="D18" s="5" t="inlineStr">
        <is>
          <t>Prestige 1 (8 pts)</t>
        </is>
      </c>
      <c r="E18" s="5" t="inlineStr">
        <is>
          <t>Prestige 10 (13 pts)</t>
        </is>
      </c>
      <c r="F18" s="5" t="inlineStr">
        <is>
          <t>Prestige 20 (18 pts)</t>
        </is>
      </c>
      <c r="G18" s="5" t="inlineStr">
        <is>
          <t>Used This Trial</t>
        </is>
      </c>
      <c r="H18" s="5" t="inlineStr">
        <is>
          <t>Notes</t>
        </is>
      </c>
      <c r="I18" s="30" t="n"/>
    </row>
    <row r="19">
      <c r="A19" s="12" t="inlineStr">
        <is>
          <t>Brute Force (BRU)</t>
        </is>
      </c>
      <c r="B19" s="29" t="n"/>
      <c r="C19" s="30" t="n"/>
      <c r="D19" s="8" t="inlineStr">
        <is>
          <t>2</t>
        </is>
      </c>
      <c r="E19" s="8" t="inlineStr">
        <is>
          <t>3</t>
        </is>
      </c>
      <c r="F19" s="8" t="inlineStr">
        <is>
          <t>4</t>
        </is>
      </c>
      <c r="G19" s="8" t="n"/>
      <c r="H19" s="6" t="n"/>
      <c r="I19" s="30" t="n"/>
    </row>
    <row r="20">
      <c r="A20" s="12" t="inlineStr">
        <is>
          <t>Hunt (HNT)</t>
        </is>
      </c>
      <c r="B20" s="29" t="n"/>
      <c r="C20" s="30" t="n"/>
      <c r="D20" s="8" t="inlineStr">
        <is>
          <t>2</t>
        </is>
      </c>
      <c r="E20" s="8" t="inlineStr">
        <is>
          <t>3</t>
        </is>
      </c>
      <c r="F20" s="8" t="inlineStr">
        <is>
          <t>4</t>
        </is>
      </c>
      <c r="G20" s="8" t="n"/>
      <c r="H20" s="6" t="n"/>
      <c r="I20" s="30" t="n"/>
    </row>
    <row r="21">
      <c r="A21" s="12" t="inlineStr">
        <is>
          <t>Perception (PER)</t>
        </is>
      </c>
      <c r="B21" s="29" t="n"/>
      <c r="C21" s="30" t="n"/>
      <c r="D21" s="8" t="inlineStr">
        <is>
          <t>1</t>
        </is>
      </c>
      <c r="E21" s="8" t="inlineStr">
        <is>
          <t>2</t>
        </is>
      </c>
      <c r="F21" s="8" t="inlineStr">
        <is>
          <t>3</t>
        </is>
      </c>
      <c r="G21" s="8" t="n"/>
      <c r="H21" s="6" t="n"/>
      <c r="I21" s="30" t="n"/>
    </row>
    <row r="22">
      <c r="A22" s="12" t="inlineStr">
        <is>
          <t>Dread (DRE)</t>
        </is>
      </c>
      <c r="B22" s="29" t="n"/>
      <c r="C22" s="30" t="n"/>
      <c r="D22" s="8" t="inlineStr">
        <is>
          <t>1</t>
        </is>
      </c>
      <c r="E22" s="8" t="inlineStr">
        <is>
          <t>1</t>
        </is>
      </c>
      <c r="F22" s="8" t="inlineStr">
        <is>
          <t>2</t>
        </is>
      </c>
      <c r="G22" s="8" t="n"/>
      <c r="H22" s="6" t="n"/>
      <c r="I22" s="30" t="n"/>
    </row>
    <row r="23">
      <c r="A23" s="12" t="inlineStr">
        <is>
          <t>Occult (OCC)</t>
        </is>
      </c>
      <c r="B23" s="29" t="n"/>
      <c r="C23" s="30" t="n"/>
      <c r="D23" s="8" t="inlineStr">
        <is>
          <t>2</t>
        </is>
      </c>
      <c r="E23" s="8" t="inlineStr">
        <is>
          <t>4</t>
        </is>
      </c>
      <c r="F23" s="8" t="inlineStr">
        <is>
          <t>5</t>
        </is>
      </c>
      <c r="G23" s="8" t="n"/>
      <c r="H23" s="6" t="n"/>
      <c r="I23" s="30" t="n"/>
    </row>
    <row r="24">
      <c r="A24" s="12" t="inlineStr">
        <is>
          <t>Tracking (TRK)</t>
        </is>
      </c>
      <c r="B24" s="29" t="n"/>
      <c r="C24" s="30" t="n"/>
      <c r="D24" s="8" t="inlineStr">
        <is>
          <t>1</t>
        </is>
      </c>
      <c r="E24" s="8" t="inlineStr">
        <is>
          <t>2</t>
        </is>
      </c>
      <c r="F24" s="8" t="inlineStr">
        <is>
          <t>4</t>
        </is>
      </c>
      <c r="G24" s="8" t="n"/>
      <c r="H24" s="6" t="n"/>
      <c r="I24" s="30" t="n"/>
    </row>
    <row r="25">
      <c r="A25" s="12" t="inlineStr">
        <is>
          <t>Subdue (SUP)</t>
        </is>
      </c>
      <c r="B25" s="29" t="n"/>
      <c r="C25" s="30" t="n"/>
      <c r="D25" s="8" t="inlineStr">
        <is>
          <t>1</t>
        </is>
      </c>
      <c r="E25" s="8" t="inlineStr">
        <is>
          <t>2</t>
        </is>
      </c>
      <c r="F25" s="8" t="inlineStr">
        <is>
          <t>4</t>
        </is>
      </c>
      <c r="G25" s="8" t="n"/>
      <c r="H25" s="6" t="n"/>
      <c r="I25" s="30" t="n"/>
    </row>
    <row r="26">
      <c r="A26" s="12" t="inlineStr">
        <is>
          <t>Coerce (COE)</t>
        </is>
      </c>
      <c r="B26" s="29" t="n"/>
      <c r="C26" s="30" t="n"/>
      <c r="D26" s="8" t="inlineStr">
        <is>
          <t>0</t>
        </is>
      </c>
      <c r="E26" s="8" t="inlineStr">
        <is>
          <t>1</t>
        </is>
      </c>
      <c r="F26" s="8" t="inlineStr">
        <is>
          <t>2</t>
        </is>
      </c>
      <c r="G26" s="8" t="n"/>
      <c r="H26" s="6" t="n"/>
      <c r="I26" s="30" t="n"/>
    </row>
    <row r="27">
      <c r="A27" s="12" t="inlineStr">
        <is>
          <t>Ritual (RIT)</t>
        </is>
      </c>
      <c r="B27" s="29" t="n"/>
      <c r="C27" s="30" t="n"/>
      <c r="D27" s="8" t="inlineStr">
        <is>
          <t>0</t>
        </is>
      </c>
      <c r="E27" s="8" t="inlineStr">
        <is>
          <t>3</t>
        </is>
      </c>
      <c r="F27" s="8" t="inlineStr">
        <is>
          <t>5</t>
        </is>
      </c>
      <c r="G27" s="8" t="n"/>
      <c r="H27" s="6" t="n"/>
      <c r="I27" s="30" t="n"/>
    </row>
    <row r="28">
      <c r="A28" s="12" t="inlineStr">
        <is>
          <t>Challenge Rating (CR)</t>
        </is>
      </c>
      <c r="B28" s="29" t="n"/>
      <c r="C28" s="30" t="n"/>
      <c r="D28" s="8" t="inlineStr">
        <is>
          <t>2</t>
        </is>
      </c>
      <c r="E28" s="8" t="inlineStr">
        <is>
          <t>11</t>
        </is>
      </c>
      <c r="F28" s="8" t="inlineStr">
        <is>
          <t>21</t>
        </is>
      </c>
      <c r="G28" s="8" t="n"/>
      <c r="H28" s="6" t="n"/>
      <c r="I28" s="30" t="n"/>
    </row>
    <row r="29">
      <c r="A29" s="12" t="inlineStr">
        <is>
          <t>Base Attack Modifier</t>
        </is>
      </c>
      <c r="B29" s="29" t="n"/>
      <c r="C29" s="30" t="n"/>
      <c r="D29" s="8" t="inlineStr">
        <is>
          <t>+3</t>
        </is>
      </c>
      <c r="E29" s="8" t="inlineStr">
        <is>
          <t>+5</t>
        </is>
      </c>
      <c r="F29" s="8" t="inlineStr">
        <is>
          <t>+8</t>
        </is>
      </c>
      <c r="G29" s="8" t="n"/>
      <c r="H29" s="6" t="n"/>
      <c r="I29" s="30" t="n"/>
    </row>
    <row r="30">
      <c r="A30" s="12" t="inlineStr">
        <is>
          <t>Power Check Modifier</t>
        </is>
      </c>
      <c r="B30" s="29" t="n"/>
      <c r="C30" s="30" t="n"/>
      <c r="D30" s="8" t="inlineStr">
        <is>
          <t>+2</t>
        </is>
      </c>
      <c r="E30" s="8" t="inlineStr">
        <is>
          <t>+7</t>
        </is>
      </c>
      <c r="F30" s="8" t="inlineStr">
        <is>
          <t>+10</t>
        </is>
      </c>
      <c r="G30" s="8" t="n"/>
      <c r="H30" s="6" t="n"/>
      <c r="I30" s="30" t="n"/>
    </row>
    <row r="31">
      <c r="A31" s="16" t="inlineStr">
        <is>
          <t>Killer's five attributes use a 'level 1–5' scale; the level is the check bonus (no ÷ 2). Total points = 8 + INT(Prestige (PRS) ÷ 2). The 'Used This Trial' column is for the GM to interpolate per the actual Prestige (PRS) deployed.</t>
        </is>
      </c>
      <c r="B31" s="29" t="n"/>
      <c r="C31" s="29" t="n"/>
      <c r="D31" s="29" t="n"/>
      <c r="E31" s="29" t="n"/>
      <c r="F31" s="29" t="n"/>
      <c r="G31" s="29" t="n"/>
      <c r="H31" s="29" t="n"/>
      <c r="I31" s="30" t="n"/>
    </row>
    <row r="32" ht="20" customHeight="1">
      <c r="A32" s="9" t="inlineStr">
        <is>
          <t>III. Power Card: Spirit Bell (Spirit Bell)</t>
        </is>
      </c>
      <c r="B32" s="29" t="n"/>
      <c r="C32" s="29" t="n"/>
      <c r="D32" s="29" t="n"/>
      <c r="E32" s="29" t="n"/>
      <c r="F32" s="29" t="n"/>
      <c r="G32" s="29" t="n"/>
      <c r="H32" s="29" t="n"/>
      <c r="I32" s="30" t="n"/>
    </row>
    <row r="33" ht="22" customHeight="1">
      <c r="A33" s="12" t="inlineStr">
        <is>
          <t>Slot</t>
        </is>
      </c>
      <c r="B33" s="30" t="n"/>
      <c r="C33" s="18" t="inlineStr">
        <is>
          <t>Content</t>
        </is>
      </c>
      <c r="D33" s="29" t="n"/>
      <c r="E33" s="29" t="n"/>
      <c r="F33" s="29" t="n"/>
      <c r="G33" s="29" t="n"/>
      <c r="H33" s="29" t="n"/>
      <c r="I33" s="30" t="n"/>
    </row>
    <row r="34" ht="22" customHeight="1">
      <c r="A34" s="12" t="inlineStr">
        <is>
          <t>Power Type</t>
        </is>
      </c>
      <c r="B34" s="30" t="n"/>
      <c r="C34" s="18" t="inlineStr">
        <is>
          <t>Sneak-type (Cooldown system, no stock)</t>
        </is>
      </c>
      <c r="D34" s="29" t="n"/>
      <c r="E34" s="29" t="n"/>
      <c r="F34" s="29" t="n"/>
      <c r="G34" s="29" t="n"/>
      <c r="H34" s="29" t="n"/>
      <c r="I34" s="30" t="n"/>
    </row>
    <row r="35" ht="22" customHeight="1">
      <c r="A35" s="12" t="inlineStr">
        <is>
          <t>Power Charge (PWC) Name</t>
        </is>
      </c>
      <c r="B35" s="30" t="n"/>
      <c r="C35" s="18" t="inlineStr">
        <is>
          <t>No Charge pool. Cooldown is the only limit.</t>
        </is>
      </c>
      <c r="D35" s="29" t="n"/>
      <c r="E35" s="29" t="n"/>
      <c r="F35" s="29" t="n"/>
      <c r="G35" s="29" t="n"/>
      <c r="H35" s="29" t="n"/>
      <c r="I35" s="30" t="n"/>
    </row>
    <row r="36" ht="22" customHeight="1">
      <c r="A36" s="12" t="inlineStr">
        <is>
          <t>Charge Cap / Recovery</t>
        </is>
      </c>
      <c r="B36" s="30" t="n"/>
      <c r="C36" s="18" t="inlineStr">
        <is>
          <t>N/A</t>
        </is>
      </c>
      <c r="D36" s="29" t="n"/>
      <c r="E36" s="29" t="n"/>
      <c r="F36" s="29" t="n"/>
      <c r="G36" s="29" t="n"/>
      <c r="H36" s="29" t="n"/>
      <c r="I36" s="30" t="n"/>
    </row>
    <row r="37" ht="22" customHeight="1">
      <c r="A37" s="12" t="inlineStr">
        <is>
          <t>Action Point (AP) Cost</t>
        </is>
      </c>
      <c r="B37" s="30" t="n"/>
      <c r="C37" s="18" t="inlineStr">
        <is>
          <t>Cloak 1 point; Uncloak 1 point</t>
        </is>
      </c>
      <c r="D37" s="29" t="n"/>
      <c r="E37" s="29" t="n"/>
      <c r="F37" s="29" t="n"/>
      <c r="G37" s="29" t="n"/>
      <c r="H37" s="29" t="n"/>
      <c r="I37" s="30" t="n"/>
    </row>
    <row r="38" ht="22" customHeight="1">
      <c r="A38" s="12" t="inlineStr">
        <is>
          <t>Pressure Point (PRE) Cost</t>
        </is>
      </c>
      <c r="B38" s="30" t="n"/>
      <c r="C38" s="18" t="inlineStr">
        <is>
          <t>Cloak 2 pts; Uncloak 0 points</t>
        </is>
      </c>
      <c r="D38" s="29" t="n"/>
      <c r="E38" s="29" t="n"/>
      <c r="F38" s="29" t="n"/>
      <c r="G38" s="29" t="n"/>
      <c r="H38" s="29" t="n"/>
      <c r="I38" s="30" t="n"/>
    </row>
    <row r="39" ht="22" customHeight="1">
      <c r="A39" s="12" t="inlineStr">
        <is>
          <t>Resolution Formula</t>
        </is>
      </c>
      <c r="B39" s="30" t="n"/>
      <c r="C39" s="18" t="inlineStr">
        <is>
          <t>Cloak/Uncloak requires no check and always Succeeds. Resolution happens on the Survivor side (see below).</t>
        </is>
      </c>
      <c r="D39" s="29" t="n"/>
      <c r="E39" s="29" t="n"/>
      <c r="F39" s="29" t="n"/>
      <c r="G39" s="29" t="n"/>
      <c r="H39" s="29" t="n"/>
      <c r="I39" s="30" t="n"/>
    </row>
    <row r="40" ht="108" customHeight="1">
      <c r="A40" s="12" t="inlineStr">
        <is>
          <t>Cloak Status Effect</t>
        </is>
      </c>
      <c r="B40" s="30" t="n"/>
      <c r="C40" s="18" t="inlineStr">
        <is>
          <t>① Gain Undetectable (Undetectable, ST-12): Terror Radius (TR) drops to 0 meters, no Heartbeat Token issued, no Red Stain left.
② Move tier raised to Tier IV Swift (8 cells / round(s), Move Speed Advantage +3).
③ Cannot perform basic attacks, cannot break Pallets, cannot carry victims.
④ Cloak lasts until actively ended, or auto-ends after 6 consecutive round(s).</t>
        </is>
      </c>
      <c r="D40" s="29" t="n"/>
      <c r="E40" s="29" t="n"/>
      <c r="F40" s="29" t="n"/>
      <c r="G40" s="29" t="n"/>
      <c r="H40" s="29" t="n"/>
      <c r="I40" s="30" t="n"/>
    </row>
    <row r="41" ht="123" customHeight="1">
      <c r="A41" s="12" t="inlineStr">
        <is>
          <t>Bell Sound (Survivor Detection)</t>
        </is>
      </c>
      <c r="B41" s="30" t="n"/>
      <c r="C41" s="18" t="inlineStr">
        <is>
          <t>While Cloaked, a Survivor within the Mid distance (MID, 4–8 cells) may make a Focus (FOC) + Insight (INS) check vs Difficulty Class (DC) 12 at the end of each round(s).
Critical Success: learn the Wraith's Distance Band and approximate direction (one of eight).
Success: learn the Distance Band (direction unknown).
Failure: no intel.
Critical Failure: receive false intel — the GM gives a fake Distance Band (the core of this avatar's information war).</t>
        </is>
      </c>
      <c r="D41" s="29" t="n"/>
      <c r="E41" s="29" t="n"/>
      <c r="F41" s="29" t="n"/>
      <c r="G41" s="29" t="n"/>
      <c r="H41" s="29" t="n"/>
      <c r="I41" s="30" t="n"/>
    </row>
    <row r="42" ht="78" customHeight="1">
      <c r="A42" s="12" t="inlineStr">
        <is>
          <t>Uncloak</t>
        </is>
      </c>
      <c r="B42" s="30" t="n"/>
      <c r="C42" s="18" t="inlineStr">
        <is>
          <t>Spend 1 Action Point (AP) to end. Within the round(s):
① Stun: after ending, Remaining Action Point (AP) −1 this round(s);
② Ambush bonus: the first basic attack this round(s) after ending gains +4, and that attack ignores Pallet Stun (even if the Survivor successfully pushes a Pallet, the Wraith is not stunned, only Chase Gap +1).</t>
        </is>
      </c>
      <c r="D42" s="29" t="n"/>
      <c r="E42" s="29" t="n"/>
      <c r="F42" s="29" t="n"/>
      <c r="G42" s="29" t="n"/>
      <c r="H42" s="29" t="n"/>
      <c r="I42" s="30" t="n"/>
    </row>
    <row r="43" ht="63" customHeight="1">
      <c r="A43" s="12" t="inlineStr">
        <is>
          <t>Miss / Cost</t>
        </is>
      </c>
      <c r="B43" s="30" t="n"/>
      <c r="C43" s="18" t="inlineStr">
        <is>
          <t>① While Cloaked the Wraith cannot deal damage at all — each Cloaked round(s) is a "no-pressure" round(s), Survivors can repair in peace.
② The post-end stun leaves the Wraith with only 3 Action Point (AP) in the round(s) it ends — if misjudged (Survivor already fled), that round(s) is wasted entirely.</t>
        </is>
      </c>
      <c r="D43" s="29" t="n"/>
      <c r="E43" s="29" t="n"/>
      <c r="F43" s="29" t="n"/>
      <c r="G43" s="29" t="n"/>
      <c r="H43" s="29" t="n"/>
      <c r="I43" s="30" t="n"/>
    </row>
    <row r="44" ht="22" customHeight="1">
      <c r="A44" s="12" t="inlineStr">
        <is>
          <t>Cooldown</t>
        </is>
      </c>
      <c r="B44" s="30" t="n"/>
      <c r="C44" s="18" t="inlineStr">
        <is>
          <t>Cannot Cloak again for 2 round(s) after Uncloak</t>
        </is>
      </c>
      <c r="D44" s="29" t="n"/>
      <c r="E44" s="29" t="n"/>
      <c r="F44" s="29" t="n"/>
      <c r="G44" s="29" t="n"/>
      <c r="H44" s="29" t="n"/>
      <c r="I44" s="30" t="n"/>
    </row>
    <row r="45" ht="48" customHeight="1">
      <c r="A45" s="12" t="inlineStr">
        <is>
          <t>Survivor Counter</t>
        </is>
      </c>
      <c r="B45" s="30" t="n"/>
      <c r="C45" s="18" t="inlineStr">
        <is>
          <t>① Crouch along walls + Insight check — actively detect the bell; one Success tells you which way to run; ② do not repair in the open — the Wraith's +4 ambush bonus almost always hits in the open; ③ push Pallets early — pushing in the ending round(s) causes no stun anyway, so push one round(s) early and trade Chase Gap for space.</t>
        </is>
      </c>
      <c r="D45" s="29" t="n"/>
      <c r="E45" s="29" t="n"/>
      <c r="F45" s="29" t="n"/>
      <c r="G45" s="29" t="n"/>
      <c r="H45" s="29" t="n"/>
      <c r="I45" s="30" t="n"/>
    </row>
    <row r="46" ht="33" customHeight="1">
      <c r="A46" s="12" t="inlineStr">
        <is>
          <t>Solo Config Adjustment</t>
        </is>
      </c>
      <c r="B46" s="30" t="n"/>
      <c r="C46" s="18" t="inlineStr">
        <is>
          <t>When N = 1: the bell-detection check Difficulty Class (DC) drops from 12 to 10, and a Critical Failure yields no false intel (instead yields no intel). A solo Player has no teammates to call out positions, so being fed false intel would cause an immediate collapse.</t>
        </is>
      </c>
      <c r="D46" s="29" t="n"/>
      <c r="E46" s="29" t="n"/>
      <c r="F46" s="29" t="n"/>
      <c r="G46" s="29" t="n"/>
      <c r="H46" s="29" t="n"/>
      <c r="I46" s="30" t="n"/>
    </row>
    <row r="47" ht="20" customHeight="1">
      <c r="A47" s="9" t="inlineStr">
        <is>
          <t>IV. Power Mastery</t>
        </is>
      </c>
      <c r="B47" s="29" t="n"/>
      <c r="C47" s="29" t="n"/>
      <c r="D47" s="29" t="n"/>
      <c r="E47" s="29" t="n"/>
      <c r="F47" s="29" t="n"/>
      <c r="G47" s="29" t="n"/>
      <c r="H47" s="29" t="n"/>
      <c r="I47" s="30" t="n"/>
    </row>
    <row r="48">
      <c r="A48" s="5" t="inlineStr">
        <is>
          <t>Tier</t>
        </is>
      </c>
      <c r="B48" s="30" t="n"/>
      <c r="C48" s="5" t="inlineStr">
        <is>
          <t>Effect</t>
        </is>
      </c>
      <c r="D48" s="29" t="n"/>
      <c r="E48" s="29" t="n"/>
      <c r="F48" s="29" t="n"/>
      <c r="G48" s="29" t="n"/>
      <c r="H48" s="29" t="n"/>
      <c r="I48" s="30" t="n"/>
    </row>
    <row r="49" ht="22" customHeight="1">
      <c r="A49" s="12" t="inlineStr">
        <is>
          <t>Tier 2 (Prestige 6)</t>
        </is>
      </c>
      <c r="B49" s="30" t="n"/>
      <c r="C49" s="18" t="inlineStr">
        <is>
          <t>Cooldown reduced from 2 round(s) to 1 round(s).</t>
        </is>
      </c>
      <c r="D49" s="29" t="n"/>
      <c r="E49" s="29" t="n"/>
      <c r="F49" s="29" t="n"/>
      <c r="G49" s="29" t="n"/>
      <c r="H49" s="29" t="n"/>
      <c r="I49" s="30" t="n"/>
    </row>
    <row r="50" ht="33" customHeight="1">
      <c r="A50" s="12" t="inlineStr">
        <is>
          <t>Tier 3 (Prestige 11)</t>
        </is>
      </c>
      <c r="B50" s="30" t="n"/>
      <c r="C50" s="18" t="inlineStr">
        <is>
          <t>While Cloaked, Move quota +1 more cell (9 cells / round(s) total); post-end stun reduced from "−1 Action Point (AP)" to 0.</t>
        </is>
      </c>
      <c r="D50" s="29" t="n"/>
      <c r="E50" s="29" t="n"/>
      <c r="F50" s="29" t="n"/>
      <c r="G50" s="29" t="n"/>
      <c r="H50" s="29" t="n"/>
      <c r="I50" s="30" t="n"/>
    </row>
    <row r="51" ht="93" customHeight="1">
      <c r="A51" s="12" t="inlineStr">
        <is>
          <t>Tier 4 (Prestige 16)</t>
        </is>
      </c>
      <c r="B51" s="30" t="n"/>
      <c r="C51" s="18" t="inlineStr">
        <is>
          <t>Endgame Form | The Silent Bell
Cost 4 Pressure Point (PRE) + 1 Action Point (AP), 3 times per Trial.
Enter "Silent Cloak": lasts 3 round(s), during which ① Survivor bell-detection Difficulty Class (DC) rises to 18; ② may perform a basic attack without ending Cloak (1 per round(s), Attack Modifier −2); ③ auto-ends at 3 round(s) with no stun.</t>
        </is>
      </c>
      <c r="D51" s="29" t="n"/>
      <c r="E51" s="29" t="n"/>
      <c r="F51" s="29" t="n"/>
      <c r="G51" s="29" t="n"/>
      <c r="H51" s="29" t="n"/>
      <c r="I51" s="30" t="n"/>
    </row>
    <row r="52" ht="20" customHeight="1">
      <c r="A52" s="9" t="inlineStr">
        <is>
          <t>V. Exclusive Perks (Perk)</t>
        </is>
      </c>
      <c r="B52" s="29" t="n"/>
      <c r="C52" s="29" t="n"/>
      <c r="D52" s="29" t="n"/>
      <c r="E52" s="29" t="n"/>
      <c r="F52" s="29" t="n"/>
      <c r="G52" s="29" t="n"/>
      <c r="H52" s="29" t="n"/>
      <c r="I52" s="30" t="n"/>
    </row>
    <row r="53">
      <c r="A53" s="5" t="inlineStr">
        <is>
          <t>No.</t>
        </is>
      </c>
      <c r="B53" s="30" t="n"/>
      <c r="C53" s="5" t="inlineStr">
        <is>
          <t>Name</t>
        </is>
      </c>
      <c r="D53" s="29" t="n"/>
      <c r="E53" s="29" t="n"/>
      <c r="F53" s="30" t="n"/>
      <c r="G53" s="5" t="inlineStr">
        <is>
          <t>Source</t>
        </is>
      </c>
      <c r="H53" s="29" t="n"/>
      <c r="I53" s="30" t="n"/>
    </row>
    <row r="54">
      <c r="A54" s="8" t="inlineStr">
        <is>
          <t>TALENT-K04</t>
        </is>
      </c>
      <c r="B54" s="30" t="n"/>
      <c r="C54" s="6" t="inlineStr">
        <is>
          <t>Predator</t>
        </is>
      </c>
      <c r="D54" s="29" t="n"/>
      <c r="E54" s="29" t="n"/>
      <c r="F54" s="30" t="n"/>
      <c r="G54" s="6" t="n"/>
      <c r="H54" s="29" t="n"/>
      <c r="I54" s="30" t="n"/>
    </row>
    <row r="55">
      <c r="A55" s="8" t="inlineStr">
        <is>
          <t>TALENT-K05</t>
        </is>
      </c>
      <c r="B55" s="30" t="n"/>
      <c r="C55" s="6" t="inlineStr">
        <is>
          <t>Blood PoolsTracking（Bloodhound）</t>
        </is>
      </c>
      <c r="D55" s="29" t="n"/>
      <c r="E55" s="29" t="n"/>
      <c r="F55" s="30" t="n"/>
      <c r="G55" s="6" t="n"/>
      <c r="H55" s="29" t="n"/>
      <c r="I55" s="30" t="n"/>
    </row>
    <row r="56">
      <c r="A56" s="8" t="inlineStr">
        <is>
          <t>TALENT-K06</t>
        </is>
      </c>
      <c r="B56" s="30" t="n"/>
      <c r="C56" s="6" t="inlineStr">
        <is>
          <t>Shadowborn</t>
        </is>
      </c>
      <c r="D56" s="29" t="n"/>
      <c r="E56" s="29" t="n"/>
      <c r="F56" s="30" t="n"/>
      <c r="G56" s="6" t="n"/>
      <c r="H56" s="29" t="n"/>
      <c r="I56" s="30" t="n"/>
    </row>
    <row r="57" ht="20" customHeight="1">
      <c r="A57" s="9" t="inlineStr">
        <is>
          <t>VI. Encounter Cost &amp; Deployment</t>
        </is>
      </c>
      <c r="B57" s="29" t="n"/>
      <c r="C57" s="29" t="n"/>
      <c r="D57" s="29" t="n"/>
      <c r="E57" s="29" t="n"/>
      <c r="F57" s="29" t="n"/>
      <c r="G57" s="29" t="n"/>
      <c r="H57" s="29" t="n"/>
      <c r="I57" s="30" t="n"/>
    </row>
    <row r="58">
      <c r="A58" s="12" t="inlineStr">
        <is>
          <t>As the Trial's main Killer</t>
        </is>
      </c>
      <c r="B58" s="29" t="n"/>
      <c r="C58" s="30" t="n"/>
      <c r="D58" s="6" t="inlineStr">
        <is>
          <t>takes 60% of Encounter Budget (EB)</t>
        </is>
      </c>
      <c r="E58" s="29" t="n"/>
      <c r="F58" s="29" t="n"/>
      <c r="G58" s="29" t="n"/>
      <c r="H58" s="29" t="n"/>
      <c r="I58" s="30" t="n"/>
    </row>
    <row r="59">
      <c r="A59" s="12" t="inlineStr">
        <is>
          <t>As a fixed threat in the scenario</t>
        </is>
      </c>
      <c r="B59" s="29" t="n"/>
      <c r="C59" s="30" t="n"/>
      <c r="D59" s="6" t="inlineStr">
        <is>
          <t>Challenge Rating (CR) × 2</t>
        </is>
      </c>
      <c r="E59" s="29" t="n"/>
      <c r="F59" s="29" t="n"/>
      <c r="G59" s="29" t="n"/>
      <c r="H59" s="29" t="n"/>
      <c r="I59" s="30" t="n"/>
    </row>
    <row r="60" ht="42" customHeight="1">
      <c r="A60" s="12" t="inlineStr">
        <is>
          <t>Solo config (N = 1) adjustment</t>
        </is>
      </c>
      <c r="B60" s="29" t="n"/>
      <c r="C60" s="30" t="n"/>
      <c r="D60" s="18" t="inlineStr">
        <is>
          <t>When N = 1: the bell-detection check Difficulty Class (DC) drops from 12 to 10, and a Critical Failure yields no false intel (instead yields no intel). A solo Player has no teammates to call out positions, so being fed false intel would cause an immediate collapse.</t>
        </is>
      </c>
      <c r="E60" s="29" t="n"/>
      <c r="F60" s="29" t="n"/>
      <c r="G60" s="29" t="n"/>
      <c r="H60" s="29" t="n"/>
      <c r="I60" s="30" t="n"/>
    </row>
    <row r="61" ht="20" customHeight="1">
      <c r="A61" s="9" t="inlineStr">
        <is>
          <t>VII. In-Trial Tracker</t>
        </is>
      </c>
      <c r="B61" s="29" t="n"/>
      <c r="C61" s="29" t="n"/>
      <c r="D61" s="29" t="n"/>
      <c r="E61" s="29" t="n"/>
      <c r="F61" s="29" t="n"/>
      <c r="G61" s="29" t="n"/>
      <c r="H61" s="29" t="n"/>
      <c r="I61" s="30" t="n"/>
    </row>
    <row r="62">
      <c r="A62" s="12" t="inlineStr">
        <is>
          <t>Current Pressure Point (PRE)</t>
        </is>
      </c>
      <c r="B62" s="30" t="n"/>
      <c r="C62" s="8" t="n"/>
      <c r="D62" s="30" t="n"/>
      <c r="E62" s="12" t="inlineStr">
        <is>
          <t>Pressure Ramp Phase</t>
        </is>
      </c>
      <c r="F62" s="30" t="n"/>
      <c r="G62" s="8" t="inlineStr">
        <is>
          <t>☐ I　☐ II　☐ III</t>
        </is>
      </c>
      <c r="H62" s="29" t="n"/>
      <c r="I62" s="30" t="n"/>
    </row>
    <row r="63">
      <c r="A63" s="12" t="inlineStr">
        <is>
          <t>Sacrificed Count</t>
        </is>
      </c>
      <c r="B63" s="30" t="n"/>
      <c r="C63" s="8" t="n"/>
      <c r="D63" s="30" t="n"/>
      <c r="E63" s="12" t="inlineStr">
        <is>
          <t>Hunt Lead</t>
        </is>
      </c>
      <c r="F63" s="30" t="n"/>
      <c r="G63" s="8" t="n"/>
      <c r="H63" s="29" t="n"/>
      <c r="I63" s="30" t="n"/>
    </row>
    <row r="64" ht="44" customHeight="1">
      <c r="A64" s="12" t="inlineStr">
        <is>
          <t>Notes</t>
        </is>
      </c>
      <c r="B64" s="30" t="n"/>
      <c r="C64" s="18" t="n"/>
      <c r="D64" s="29" t="n"/>
      <c r="E64" s="29" t="n"/>
      <c r="F64" s="29" t="n"/>
      <c r="G64" s="29" t="n"/>
      <c r="H64" s="29" t="n"/>
      <c r="I64" s="30" t="n"/>
    </row>
  </sheetData>
  <mergeCells count="131">
    <mergeCell ref="C36:I36"/>
    <mergeCell ref="C62:D62"/>
    <mergeCell ref="A64:B64"/>
    <mergeCell ref="A15:B15"/>
    <mergeCell ref="E62:F62"/>
    <mergeCell ref="A51:B51"/>
    <mergeCell ref="G62:I62"/>
    <mergeCell ref="A21:C21"/>
    <mergeCell ref="A26:C26"/>
    <mergeCell ref="A54:B54"/>
    <mergeCell ref="E4:I4"/>
    <mergeCell ref="A7:B7"/>
    <mergeCell ref="A23:C23"/>
    <mergeCell ref="A41:B41"/>
    <mergeCell ref="D13:E13"/>
    <mergeCell ref="C63:D63"/>
    <mergeCell ref="E63:F63"/>
    <mergeCell ref="A17:I17"/>
    <mergeCell ref="A56:B56"/>
    <mergeCell ref="G63:I63"/>
    <mergeCell ref="C45:I45"/>
    <mergeCell ref="D7:E7"/>
    <mergeCell ref="A33:B33"/>
    <mergeCell ref="A42:B42"/>
    <mergeCell ref="C54:F54"/>
    <mergeCell ref="F15:I15"/>
    <mergeCell ref="D59:I59"/>
    <mergeCell ref="D60:I60"/>
    <mergeCell ref="A53:B53"/>
    <mergeCell ref="A35:B35"/>
    <mergeCell ref="A62:B62"/>
    <mergeCell ref="C40:I40"/>
    <mergeCell ref="C56:F56"/>
    <mergeCell ref="H23:I23"/>
    <mergeCell ref="A61:I61"/>
    <mergeCell ref="A2:C5"/>
    <mergeCell ref="A39:B39"/>
    <mergeCell ref="A48:B48"/>
    <mergeCell ref="F13:I13"/>
    <mergeCell ref="D10:E10"/>
    <mergeCell ref="A45:B45"/>
    <mergeCell ref="E5:F5"/>
    <mergeCell ref="A12:C12"/>
    <mergeCell ref="H25:I25"/>
    <mergeCell ref="G7:H7"/>
    <mergeCell ref="D11:E11"/>
    <mergeCell ref="C34:I34"/>
    <mergeCell ref="A37:B37"/>
    <mergeCell ref="A46:B46"/>
    <mergeCell ref="G55:I55"/>
    <mergeCell ref="D58:I58"/>
    <mergeCell ref="C42:I42"/>
    <mergeCell ref="A29:C29"/>
    <mergeCell ref="A52:I52"/>
    <mergeCell ref="G54:I54"/>
    <mergeCell ref="A13:C13"/>
    <mergeCell ref="A58:C58"/>
    <mergeCell ref="H19:I19"/>
    <mergeCell ref="G56:I56"/>
    <mergeCell ref="H28:I28"/>
    <mergeCell ref="D9:E9"/>
    <mergeCell ref="A24:C24"/>
    <mergeCell ref="C44:I44"/>
    <mergeCell ref="A60:C60"/>
    <mergeCell ref="A63:B63"/>
    <mergeCell ref="A1:I1"/>
    <mergeCell ref="H5:I5"/>
    <mergeCell ref="C46:I46"/>
    <mergeCell ref="C51:I51"/>
    <mergeCell ref="A34:B34"/>
    <mergeCell ref="A25:C25"/>
    <mergeCell ref="F9:I9"/>
    <mergeCell ref="C48:I48"/>
    <mergeCell ref="A49:B49"/>
    <mergeCell ref="G53:I53"/>
    <mergeCell ref="A18:C18"/>
    <mergeCell ref="A36:B36"/>
    <mergeCell ref="G3:I3"/>
    <mergeCell ref="C38:I38"/>
    <mergeCell ref="C53:F53"/>
    <mergeCell ref="H21:I21"/>
    <mergeCell ref="A57:I57"/>
    <mergeCell ref="A32:I32"/>
    <mergeCell ref="C49:I49"/>
    <mergeCell ref="A22:C22"/>
    <mergeCell ref="C33:I33"/>
    <mergeCell ref="F10:I10"/>
    <mergeCell ref="A20:C20"/>
    <mergeCell ref="A55:B55"/>
    <mergeCell ref="A28:C28"/>
    <mergeCell ref="C35:I35"/>
    <mergeCell ref="E2:I2"/>
    <mergeCell ref="A14:B14"/>
    <mergeCell ref="A30:C30"/>
    <mergeCell ref="H22:I22"/>
    <mergeCell ref="A59:C59"/>
    <mergeCell ref="D12:E12"/>
    <mergeCell ref="A38:B38"/>
    <mergeCell ref="A43:B43"/>
    <mergeCell ref="F8:I8"/>
    <mergeCell ref="A6:I6"/>
    <mergeCell ref="A40:B40"/>
    <mergeCell ref="H30:I30"/>
    <mergeCell ref="A16:I16"/>
    <mergeCell ref="H20:I20"/>
    <mergeCell ref="H29:I29"/>
    <mergeCell ref="C39:I39"/>
    <mergeCell ref="A27:C27"/>
    <mergeCell ref="C37:I37"/>
    <mergeCell ref="F14:I14"/>
    <mergeCell ref="A47:I47"/>
    <mergeCell ref="A8:C8"/>
    <mergeCell ref="F11:I11"/>
    <mergeCell ref="A50:B50"/>
    <mergeCell ref="A10:C10"/>
    <mergeCell ref="A19:C19"/>
    <mergeCell ref="C64:I64"/>
    <mergeCell ref="F12:I12"/>
    <mergeCell ref="A9:C9"/>
    <mergeCell ref="A31:I31"/>
    <mergeCell ref="C55:F55"/>
    <mergeCell ref="C41:I41"/>
    <mergeCell ref="H27:I27"/>
    <mergeCell ref="D8:E8"/>
    <mergeCell ref="C50:I50"/>
    <mergeCell ref="A11:C11"/>
    <mergeCell ref="H24:I24"/>
    <mergeCell ref="H18:I18"/>
    <mergeCell ref="C43:I43"/>
    <mergeCell ref="A44:B44"/>
    <mergeCell ref="H26:I26"/>
  </mergeCells>
  <printOptions horizontalCentered="1"/>
  <pageMargins left="0.75" right="0.75" top="1" bottom="1"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I64"/>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Enemy Character Sheet　·　Killer Avatar</t>
        </is>
      </c>
      <c r="B1" s="25" t="n"/>
      <c r="C1" s="25" t="n"/>
      <c r="D1" s="25" t="n"/>
      <c r="E1" s="25" t="n"/>
      <c r="F1" s="25" t="n"/>
      <c r="G1" s="25" t="n"/>
      <c r="H1" s="25" t="n"/>
      <c r="I1" s="26" t="n"/>
    </row>
    <row r="2">
      <c r="A2" s="3" t="inlineStr">
        <is>
          <t>Character Art
(Paste character image here)</t>
        </is>
      </c>
      <c r="B2" s="27" t="n"/>
      <c r="C2" s="28" t="n"/>
      <c r="D2" s="5" t="inlineStr">
        <is>
          <t>Avatar Name</t>
        </is>
      </c>
      <c r="E2" s="6" t="inlineStr">
        <is>
          <t>Hillbilly (HBY) | Zhuo Bingshan</t>
        </is>
      </c>
      <c r="F2" s="29" t="n"/>
      <c r="G2" s="29" t="n"/>
      <c r="H2" s="29" t="n"/>
      <c r="I2" s="30" t="n"/>
    </row>
    <row r="3">
      <c r="A3" s="31" t="n"/>
      <c r="C3" s="32" t="n"/>
      <c r="D3" s="5" t="inlineStr">
        <is>
          <t>Avatar Abbr.</t>
        </is>
      </c>
      <c r="E3" s="8" t="inlineStr">
        <is>
          <t>HBY</t>
        </is>
      </c>
      <c r="F3" s="5" t="inlineStr">
        <is>
          <t>True Name</t>
        </is>
      </c>
      <c r="G3" s="6" t="inlineStr">
        <is>
          <t>Zhuo Bingshan</t>
        </is>
      </c>
      <c r="H3" s="29" t="n"/>
      <c r="I3" s="30" t="n"/>
    </row>
    <row r="4">
      <c r="A4" s="31" t="n"/>
      <c r="C4" s="32" t="n"/>
      <c r="D4" s="5" t="inlineStr">
        <is>
          <t>Home Realm</t>
        </is>
      </c>
      <c r="E4" s="6" t="inlineStr">
        <is>
          <t>R3 Coldwind Farm</t>
        </is>
      </c>
      <c r="F4" s="29" t="n"/>
      <c r="G4" s="29" t="n"/>
      <c r="H4" s="29" t="n"/>
      <c r="I4" s="30" t="n"/>
    </row>
    <row r="5">
      <c r="A5" s="33" t="n"/>
      <c r="B5" s="34" t="n"/>
      <c r="C5" s="35" t="n"/>
      <c r="D5" s="5" t="inlineStr">
        <is>
          <t>Power Type</t>
        </is>
      </c>
      <c r="E5" s="8" t="inlineStr">
        <is>
          <t>Dash-type</t>
        </is>
      </c>
      <c r="F5" s="30" t="n"/>
      <c r="G5" s="5" t="inlineStr">
        <is>
          <t>Attribute Tendency</t>
        </is>
      </c>
      <c r="H5" s="6" t="inlineStr">
        <is>
          <t>Brute Force (BRU)＋2、Hunt (HNT)＋1</t>
        </is>
      </c>
      <c r="I5" s="30" t="n"/>
    </row>
    <row r="6" ht="20" customHeight="1">
      <c r="A6" s="9" t="inlineStr">
        <is>
          <t>I. Trial Panel (gray = fill, beige = auto)</t>
        </is>
      </c>
      <c r="B6" s="29" t="n"/>
      <c r="C6" s="29" t="n"/>
      <c r="D6" s="29" t="n"/>
      <c r="E6" s="29" t="n"/>
      <c r="F6" s="29" t="n"/>
      <c r="G6" s="29" t="n"/>
      <c r="H6" s="29" t="n"/>
      <c r="I6" s="30" t="n"/>
    </row>
    <row r="7">
      <c r="A7" s="5" t="inlineStr">
        <is>
          <t>Prestige (PRS)</t>
        </is>
      </c>
      <c r="B7" s="30" t="n"/>
      <c r="C7" s="8" t="n"/>
      <c r="D7" s="5" t="inlineStr">
        <is>
          <t>Survivor player count N</t>
        </is>
      </c>
      <c r="E7" s="30" t="n"/>
      <c r="F7" s="8" t="n"/>
      <c r="G7" s="5" t="inlineStr">
        <is>
          <t>Avatar Threat Factor (AVM)</t>
        </is>
      </c>
      <c r="H7" s="30" t="n"/>
      <c r="I7" s="8" t="n">
        <v>2</v>
      </c>
    </row>
    <row r="8">
      <c r="A8" s="12" t="inlineStr">
        <is>
          <t>Challenge Rating (CR)</t>
        </is>
      </c>
      <c r="B8" s="29" t="n"/>
      <c r="C8" s="30" t="n"/>
      <c r="D8" s="14">
        <f>IF($C$7="","",$C$7+$I$7)</f>
        <v/>
      </c>
      <c r="E8" s="30" t="n"/>
      <c r="F8" s="6" t="inlineStr">
        <is>
          <t>Prestige (PRS) + Avatar Threat Factor (AVM)</t>
        </is>
      </c>
      <c r="G8" s="29" t="n"/>
      <c r="H8" s="29" t="n"/>
      <c r="I8" s="30" t="n"/>
    </row>
    <row r="9">
      <c r="A9" s="12" t="inlineStr">
        <is>
          <t>Pressure Point (PRE) Cap</t>
        </is>
      </c>
      <c r="B9" s="29" t="n"/>
      <c r="C9" s="30" t="n"/>
      <c r="D9" s="14">
        <f>IF(OR($C$7="",$F$7=""),"",4+2*$F$7+INT($C$7/4))</f>
        <v/>
      </c>
      <c r="E9" s="30" t="n"/>
      <c r="F9" s="6" t="inlineStr">
        <is>
          <t>4 + 2×N + INT(Prestige (PRS) ÷ 4)</t>
        </is>
      </c>
      <c r="G9" s="29" t="n"/>
      <c r="H9" s="29" t="n"/>
      <c r="I9" s="30" t="n"/>
    </row>
    <row r="10">
      <c r="A10" s="12" t="inlineStr">
        <is>
          <t>Pressure Point (PRE) recovery / round</t>
        </is>
      </c>
      <c r="B10" s="29" t="n"/>
      <c r="C10" s="30" t="n"/>
      <c r="D10" s="14">
        <f>IF($F$7="","",2+INT($F$7/2))</f>
        <v/>
      </c>
      <c r="E10" s="30" t="n"/>
      <c r="F10" s="6" t="inlineStr">
        <is>
          <t>2 ＋ INT(N ÷ 2)</t>
        </is>
      </c>
      <c r="G10" s="29" t="n"/>
      <c r="H10" s="29" t="n"/>
      <c r="I10" s="30" t="n"/>
    </row>
    <row r="11">
      <c r="A11" s="12" t="inlineStr">
        <is>
          <t>Action Point (AP) / round</t>
        </is>
      </c>
      <c r="B11" s="29" t="n"/>
      <c r="C11" s="30" t="n"/>
      <c r="D11" s="14">
        <f>4</f>
        <v/>
      </c>
      <c r="E11" s="30" t="n"/>
      <c r="F11" s="6" t="inlineStr">
        <is>
          <t>Killer fixed at 4; Pressure Point (PRE) is a separate resource pool</t>
        </is>
      </c>
      <c r="G11" s="29" t="n"/>
      <c r="H11" s="29" t="n"/>
      <c r="I11" s="30" t="n"/>
    </row>
    <row r="12">
      <c r="A12" s="12" t="inlineStr">
        <is>
          <t>Hook Phase Rounds</t>
        </is>
      </c>
      <c r="B12" s="29" t="n"/>
      <c r="C12" s="30" t="n"/>
      <c r="D12" s="14">
        <f>IF($F$7="","",8-$F$7)</f>
        <v/>
      </c>
      <c r="E12" s="30" t="n"/>
      <c r="F12" s="6" t="inlineStr">
        <is>
          <t>8 − N. Each phase end advances one stage; end of phase 2 = Sacrifice</t>
        </is>
      </c>
      <c r="G12" s="29" t="n"/>
      <c r="H12" s="29" t="n"/>
      <c r="I12" s="30" t="n"/>
    </row>
    <row r="13">
      <c r="A13" s="12" t="inlineStr">
        <is>
          <t>Endgame Collapse rounds</t>
        </is>
      </c>
      <c r="B13" s="29" t="n"/>
      <c r="C13" s="30" t="n"/>
      <c r="D13" s="14">
        <f>IF($F$7="","",14-2*$F$7)</f>
        <v/>
      </c>
      <c r="E13" s="30" t="n"/>
      <c r="F13" s="6" t="inlineStr">
        <is>
          <t>14 − 2×N. Countdown starts after the last Generator is completed</t>
        </is>
      </c>
      <c r="G13" s="29" t="n"/>
      <c r="H13" s="29" t="n"/>
      <c r="I13" s="30" t="n"/>
    </row>
    <row r="14" ht="30" customHeight="1">
      <c r="A14" s="12" t="inlineStr">
        <is>
          <t>Terror Radius (TR)</t>
        </is>
      </c>
      <c r="B14" s="30" t="n"/>
      <c r="C14" s="8" t="n">
        <v>16</v>
      </c>
      <c r="D14" s="5" t="inlineStr">
        <is>
          <t>cell → meters</t>
        </is>
      </c>
      <c r="E14" s="14">
        <f>IF(C14="","",C14*2)</f>
        <v/>
      </c>
      <c r="F14" s="6" t="inlineStr">
        <is>
          <t>32 meters = 16 cells</t>
        </is>
      </c>
      <c r="G14" s="29" t="n"/>
      <c r="H14" s="29" t="n"/>
      <c r="I14" s="30" t="n"/>
    </row>
    <row r="15" ht="30" customHeight="1">
      <c r="A15" s="12" t="inlineStr">
        <is>
          <t>Move Level (MOV)</t>
        </is>
      </c>
      <c r="B15" s="30" t="n"/>
      <c r="C15" s="8" t="n">
        <v>7</v>
      </c>
      <c r="D15" s="5" t="inlineStr">
        <is>
          <t>cells / round(s)</t>
        </is>
      </c>
      <c r="E15" s="8" t="n"/>
      <c r="F15" s="6" t="inlineStr">
        <is>
          <t>Tier III Standard (7 cells / round(s), Move Speed Advantage +2); Tier V Extreme Speed while dashing (14 cells straight line, Move Speed Advantage +5)</t>
        </is>
      </c>
      <c r="G15" s="29" t="n"/>
      <c r="H15" s="29" t="n"/>
      <c r="I15" s="30" t="n"/>
    </row>
    <row r="16">
      <c r="A16" s="16" t="inlineStr">
        <is>
          <t>1 cell = 2 meters. Distance Band (DB): Contact (CON) 0–1 cells / Near (NEA) 1–4 cells / Mid (MID) 4–8 cells / Far (FAR) 8–16 cells / Escaped (ESC) 16+ cells.</t>
        </is>
      </c>
      <c r="B16" s="29" t="n"/>
      <c r="C16" s="29" t="n"/>
      <c r="D16" s="29" t="n"/>
      <c r="E16" s="29" t="n"/>
      <c r="F16" s="29" t="n"/>
      <c r="G16" s="29" t="n"/>
      <c r="H16" s="29" t="n"/>
      <c r="I16" s="30" t="n"/>
    </row>
    <row r="17" ht="20" customHeight="1">
      <c r="A17" s="9" t="inlineStr">
        <is>
          <t>II. Attributes &amp; Skills (three-baseline reference)</t>
        </is>
      </c>
      <c r="B17" s="29" t="n"/>
      <c r="C17" s="29" t="n"/>
      <c r="D17" s="29" t="n"/>
      <c r="E17" s="29" t="n"/>
      <c r="F17" s="29" t="n"/>
      <c r="G17" s="29" t="n"/>
      <c r="H17" s="29" t="n"/>
      <c r="I17" s="30" t="n"/>
    </row>
    <row r="18" ht="30" customHeight="1">
      <c r="A18" s="5" t="inlineStr">
        <is>
          <t>Attribute / Skill</t>
        </is>
      </c>
      <c r="B18" s="29" t="n"/>
      <c r="C18" s="30" t="n"/>
      <c r="D18" s="5" t="inlineStr">
        <is>
          <t>Prestige 1 (8 pts)</t>
        </is>
      </c>
      <c r="E18" s="5" t="inlineStr">
        <is>
          <t>Prestige 10 (13 pts)</t>
        </is>
      </c>
      <c r="F18" s="5" t="inlineStr">
        <is>
          <t>Prestige 20 (18 pts)</t>
        </is>
      </c>
      <c r="G18" s="5" t="inlineStr">
        <is>
          <t>Used This Trial</t>
        </is>
      </c>
      <c r="H18" s="5" t="inlineStr">
        <is>
          <t>Notes</t>
        </is>
      </c>
      <c r="I18" s="30" t="n"/>
    </row>
    <row r="19">
      <c r="A19" s="12" t="inlineStr">
        <is>
          <t>Brute Force (BRU)</t>
        </is>
      </c>
      <c r="B19" s="29" t="n"/>
      <c r="C19" s="30" t="n"/>
      <c r="D19" s="8" t="inlineStr">
        <is>
          <t>3</t>
        </is>
      </c>
      <c r="E19" s="8" t="inlineStr">
        <is>
          <t>5</t>
        </is>
      </c>
      <c r="F19" s="8" t="inlineStr">
        <is>
          <t>5</t>
        </is>
      </c>
      <c r="G19" s="8" t="n"/>
      <c r="H19" s="6" t="n"/>
      <c r="I19" s="30" t="n"/>
    </row>
    <row r="20">
      <c r="A20" s="12" t="inlineStr">
        <is>
          <t>Hunt (HNT)</t>
        </is>
      </c>
      <c r="B20" s="29" t="n"/>
      <c r="C20" s="30" t="n"/>
      <c r="D20" s="8" t="inlineStr">
        <is>
          <t>2</t>
        </is>
      </c>
      <c r="E20" s="8" t="inlineStr">
        <is>
          <t>3</t>
        </is>
      </c>
      <c r="F20" s="8" t="inlineStr">
        <is>
          <t>5</t>
        </is>
      </c>
      <c r="G20" s="8" t="n"/>
      <c r="H20" s="6" t="n"/>
      <c r="I20" s="30" t="n"/>
    </row>
    <row r="21">
      <c r="A21" s="12" t="inlineStr">
        <is>
          <t>Perception (PER)</t>
        </is>
      </c>
      <c r="B21" s="29" t="n"/>
      <c r="C21" s="30" t="n"/>
      <c r="D21" s="8" t="inlineStr">
        <is>
          <t>1</t>
        </is>
      </c>
      <c r="E21" s="8" t="inlineStr">
        <is>
          <t>2</t>
        </is>
      </c>
      <c r="F21" s="8" t="inlineStr">
        <is>
          <t>3</t>
        </is>
      </c>
      <c r="G21" s="8" t="n"/>
      <c r="H21" s="6" t="n"/>
      <c r="I21" s="30" t="n"/>
    </row>
    <row r="22">
      <c r="A22" s="12" t="inlineStr">
        <is>
          <t>Dread (DRE)</t>
        </is>
      </c>
      <c r="B22" s="29" t="n"/>
      <c r="C22" s="30" t="n"/>
      <c r="D22" s="8" t="inlineStr">
        <is>
          <t>1</t>
        </is>
      </c>
      <c r="E22" s="8" t="inlineStr">
        <is>
          <t>1</t>
        </is>
      </c>
      <c r="F22" s="8" t="inlineStr">
        <is>
          <t>2</t>
        </is>
      </c>
      <c r="G22" s="8" t="n"/>
      <c r="H22" s="6" t="n"/>
      <c r="I22" s="30" t="n"/>
    </row>
    <row r="23">
      <c r="A23" s="12" t="inlineStr">
        <is>
          <t>Occult (OCC)</t>
        </is>
      </c>
      <c r="B23" s="29" t="n"/>
      <c r="C23" s="30" t="n"/>
      <c r="D23" s="8" t="inlineStr">
        <is>
          <t>1</t>
        </is>
      </c>
      <c r="E23" s="8" t="inlineStr">
        <is>
          <t>2</t>
        </is>
      </c>
      <c r="F23" s="8" t="inlineStr">
        <is>
          <t>3</t>
        </is>
      </c>
      <c r="G23" s="8" t="n"/>
      <c r="H23" s="6" t="n"/>
      <c r="I23" s="30" t="n"/>
    </row>
    <row r="24">
      <c r="A24" s="12" t="inlineStr">
        <is>
          <t>Tracking (TRK)</t>
        </is>
      </c>
      <c r="B24" s="29" t="n"/>
      <c r="C24" s="30" t="n"/>
      <c r="D24" s="8" t="inlineStr">
        <is>
          <t>0</t>
        </is>
      </c>
      <c r="E24" s="8" t="inlineStr">
        <is>
          <t>1</t>
        </is>
      </c>
      <c r="F24" s="8" t="inlineStr">
        <is>
          <t>3</t>
        </is>
      </c>
      <c r="G24" s="8" t="n"/>
      <c r="H24" s="6" t="n"/>
      <c r="I24" s="30" t="n"/>
    </row>
    <row r="25">
      <c r="A25" s="12" t="inlineStr">
        <is>
          <t>Subdue (SUP)</t>
        </is>
      </c>
      <c r="B25" s="29" t="n"/>
      <c r="C25" s="30" t="n"/>
      <c r="D25" s="8" t="inlineStr">
        <is>
          <t>1</t>
        </is>
      </c>
      <c r="E25" s="8" t="inlineStr">
        <is>
          <t>3</t>
        </is>
      </c>
      <c r="F25" s="8" t="inlineStr">
        <is>
          <t>5</t>
        </is>
      </c>
      <c r="G25" s="8" t="n"/>
      <c r="H25" s="6" t="n"/>
      <c r="I25" s="30" t="n"/>
    </row>
    <row r="26">
      <c r="A26" s="12" t="inlineStr">
        <is>
          <t>Coerce (COE)</t>
        </is>
      </c>
      <c r="B26" s="29" t="n"/>
      <c r="C26" s="30" t="n"/>
      <c r="D26" s="8" t="inlineStr">
        <is>
          <t>0</t>
        </is>
      </c>
      <c r="E26" s="8" t="inlineStr">
        <is>
          <t>1</t>
        </is>
      </c>
      <c r="F26" s="8" t="inlineStr">
        <is>
          <t>2</t>
        </is>
      </c>
      <c r="G26" s="8" t="n"/>
      <c r="H26" s="6" t="n"/>
      <c r="I26" s="30" t="n"/>
    </row>
    <row r="27">
      <c r="A27" s="12" t="inlineStr">
        <is>
          <t>Ritual (RIT)</t>
        </is>
      </c>
      <c r="B27" s="29" t="n"/>
      <c r="C27" s="30" t="n"/>
      <c r="D27" s="8" t="inlineStr">
        <is>
          <t>1</t>
        </is>
      </c>
      <c r="E27" s="8" t="inlineStr">
        <is>
          <t>3</t>
        </is>
      </c>
      <c r="F27" s="8" t="inlineStr">
        <is>
          <t>4</t>
        </is>
      </c>
      <c r="G27" s="8" t="n"/>
      <c r="H27" s="6" t="n"/>
      <c r="I27" s="30" t="n"/>
    </row>
    <row r="28">
      <c r="A28" s="12" t="inlineStr">
        <is>
          <t>Challenge Rating (CR)</t>
        </is>
      </c>
      <c r="B28" s="29" t="n"/>
      <c r="C28" s="30" t="n"/>
      <c r="D28" s="8" t="inlineStr">
        <is>
          <t>3</t>
        </is>
      </c>
      <c r="E28" s="8" t="inlineStr">
        <is>
          <t>12</t>
        </is>
      </c>
      <c r="F28" s="8" t="inlineStr">
        <is>
          <t>22</t>
        </is>
      </c>
      <c r="G28" s="8" t="n"/>
      <c r="H28" s="6" t="n"/>
      <c r="I28" s="30" t="n"/>
    </row>
    <row r="29">
      <c r="A29" s="12" t="inlineStr">
        <is>
          <t>Base Attack Modifier</t>
        </is>
      </c>
      <c r="B29" s="29" t="n"/>
      <c r="C29" s="30" t="n"/>
      <c r="D29" s="8" t="inlineStr">
        <is>
          <t>+4</t>
        </is>
      </c>
      <c r="E29" s="8" t="inlineStr">
        <is>
          <t>+8</t>
        </is>
      </c>
      <c r="F29" s="8" t="inlineStr">
        <is>
          <t>+10</t>
        </is>
      </c>
      <c r="G29" s="8" t="n"/>
      <c r="H29" s="6" t="n"/>
      <c r="I29" s="30" t="n"/>
    </row>
    <row r="30">
      <c r="A30" s="12" t="inlineStr">
        <is>
          <t>Power Check Modifier</t>
        </is>
      </c>
      <c r="B30" s="29" t="n"/>
      <c r="C30" s="30" t="n"/>
      <c r="D30" s="8" t="inlineStr">
        <is>
          <t>+2</t>
        </is>
      </c>
      <c r="E30" s="8" t="inlineStr">
        <is>
          <t>+5</t>
        </is>
      </c>
      <c r="F30" s="8" t="inlineStr">
        <is>
          <t>+7</t>
        </is>
      </c>
      <c r="G30" s="8" t="n"/>
      <c r="H30" s="6" t="n"/>
      <c r="I30" s="30" t="n"/>
    </row>
    <row r="31">
      <c r="A31" s="16" t="inlineStr">
        <is>
          <t>Killer's five attributes use a 'level 1–5' scale; the level is the check bonus (no ÷ 2). Total points = 8 + INT(Prestige (PRS) ÷ 2). The 'Used This Trial' column is for the GM to interpolate per the actual Prestige (PRS) deployed.</t>
        </is>
      </c>
      <c r="B31" s="29" t="n"/>
      <c r="C31" s="29" t="n"/>
      <c r="D31" s="29" t="n"/>
      <c r="E31" s="29" t="n"/>
      <c r="F31" s="29" t="n"/>
      <c r="G31" s="29" t="n"/>
      <c r="H31" s="29" t="n"/>
      <c r="I31" s="30" t="n"/>
    </row>
    <row r="32" ht="20" customHeight="1">
      <c r="A32" s="9" t="inlineStr">
        <is>
          <t>III. Power Card: Chainsaw Rush (Chainsaw Rush)</t>
        </is>
      </c>
      <c r="B32" s="29" t="n"/>
      <c r="C32" s="29" t="n"/>
      <c r="D32" s="29" t="n"/>
      <c r="E32" s="29" t="n"/>
      <c r="F32" s="29" t="n"/>
      <c r="G32" s="29" t="n"/>
      <c r="H32" s="29" t="n"/>
      <c r="I32" s="30" t="n"/>
    </row>
    <row r="33" ht="22" customHeight="1">
      <c r="A33" s="12" t="inlineStr">
        <is>
          <t>Slot</t>
        </is>
      </c>
      <c r="B33" s="30" t="n"/>
      <c r="C33" s="18" t="inlineStr">
        <is>
          <t>Content</t>
        </is>
      </c>
      <c r="D33" s="29" t="n"/>
      <c r="E33" s="29" t="n"/>
      <c r="F33" s="29" t="n"/>
      <c r="G33" s="29" t="n"/>
      <c r="H33" s="29" t="n"/>
      <c r="I33" s="30" t="n"/>
    </row>
    <row r="34" ht="22" customHeight="1">
      <c r="A34" s="12" t="inlineStr">
        <is>
          <t>Power Type</t>
        </is>
      </c>
      <c r="B34" s="30" t="n"/>
      <c r="C34" s="18" t="inlineStr">
        <is>
          <t>Dash-type (Overheat gauge system)</t>
        </is>
      </c>
      <c r="D34" s="29" t="n"/>
      <c r="E34" s="29" t="n"/>
      <c r="F34" s="29" t="n"/>
      <c r="G34" s="29" t="n"/>
      <c r="H34" s="29" t="n"/>
      <c r="I34" s="30" t="n"/>
    </row>
    <row r="35" ht="22" customHeight="1">
      <c r="A35" s="12" t="inlineStr">
        <is>
          <t>Power Charge (PWC) Name</t>
        </is>
      </c>
      <c r="B35" s="30" t="n"/>
      <c r="C35" s="18" t="inlineStr">
        <is>
          <t>Overheat Gauge — inverted resource: higher is worse</t>
        </is>
      </c>
      <c r="D35" s="29" t="n"/>
      <c r="E35" s="29" t="n"/>
      <c r="F35" s="29" t="n"/>
      <c r="G35" s="29" t="n"/>
      <c r="H35" s="29" t="n"/>
      <c r="I35" s="30" t="n"/>
    </row>
    <row r="36" ht="33" customHeight="1">
      <c r="A36" s="12" t="inlineStr">
        <is>
          <t>Charge Cap</t>
        </is>
      </c>
      <c r="B36" s="30" t="n"/>
      <c r="C36" s="18" t="inlineStr">
        <is>
          <t>Overheat cap = 4 (6 after Tier III mastery). Reaching cap → chainsaw locked 3 round(s), power unusable, and no Bloodlust accrues during those 3 round(s)</t>
        </is>
      </c>
      <c r="D36" s="29" t="n"/>
      <c r="E36" s="29" t="n"/>
      <c r="F36" s="29" t="n"/>
      <c r="G36" s="29" t="n"/>
      <c r="H36" s="29" t="n"/>
      <c r="I36" s="30" t="n"/>
    </row>
    <row r="37" ht="22" customHeight="1">
      <c r="A37" s="12" t="inlineStr">
        <is>
          <t>Charge Recovery</t>
        </is>
      </c>
      <c r="B37" s="30" t="n"/>
      <c r="C37" s="18" t="inlineStr">
        <is>
          <t>Each round(s) without using the power, Overheat −1; when the lock clears, Overheat returns to 0</t>
        </is>
      </c>
      <c r="D37" s="29" t="n"/>
      <c r="E37" s="29" t="n"/>
      <c r="F37" s="29" t="n"/>
      <c r="G37" s="29" t="n"/>
      <c r="H37" s="29" t="n"/>
      <c r="I37" s="30" t="n"/>
    </row>
    <row r="38" ht="22" customHeight="1">
      <c r="A38" s="12" t="inlineStr">
        <is>
          <t>Action Point (AP) Cost</t>
        </is>
      </c>
      <c r="B38" s="30" t="n"/>
      <c r="C38" s="18" t="inlineStr">
        <is>
          <t>2 pts</t>
        </is>
      </c>
      <c r="D38" s="29" t="n"/>
      <c r="E38" s="29" t="n"/>
      <c r="F38" s="29" t="n"/>
      <c r="G38" s="29" t="n"/>
      <c r="H38" s="29" t="n"/>
      <c r="I38" s="30" t="n"/>
    </row>
    <row r="39" ht="22" customHeight="1">
      <c r="A39" s="12" t="inlineStr">
        <is>
          <t>Pressure Point (PRE) Cost</t>
        </is>
      </c>
      <c r="B39" s="30" t="n"/>
      <c r="C39" s="18" t="inlineStr">
        <is>
          <t>3 points</t>
        </is>
      </c>
      <c r="D39" s="29" t="n"/>
      <c r="E39" s="29" t="n"/>
      <c r="F39" s="29" t="n"/>
      <c r="G39" s="29" t="n"/>
      <c r="H39" s="29" t="n"/>
      <c r="I39" s="30" t="n"/>
    </row>
    <row r="40" ht="78" customHeight="1">
      <c r="A40" s="12" t="inlineStr">
        <is>
          <t>Resolution Formula (Path)</t>
        </is>
      </c>
      <c r="B40" s="30" t="n"/>
      <c r="C40" s="18" t="inlineStr">
        <is>
          <t>Declare a straight-line path, max length 14 cells (starting cell is the user's own). The path must be drawn on the map before any resolution — this prevents the Killer Player from adjusting the route afterward.
If the path needs a turn (change direction 45° or 90°, at most 1 per dash): Hunt (HNT) + Subdue (SUP) check vs Difficulty Class (DC) 12. Failure → immediate collision (see below).</t>
        </is>
      </c>
      <c r="D40" s="29" t="n"/>
      <c r="E40" s="29" t="n"/>
      <c r="F40" s="29" t="n"/>
      <c r="G40" s="29" t="n"/>
      <c r="H40" s="29" t="n"/>
      <c r="I40" s="30" t="n"/>
    </row>
    <row r="41" ht="78" customHeight="1">
      <c r="A41" s="12" t="inlineStr">
        <is>
          <t>Resolution Formula (Hit)</t>
        </is>
      </c>
      <c r="B41" s="30" t="n"/>
      <c r="C41" s="18" t="inlineStr">
        <is>
          <t>When the path passes through any cell a Survivor occupies, resolve:
Power check 2d10 + Occult (OCC) + Ritual (RIT) vs Survivor 2d10 + Agility (AGI) + Parkour (PRK)
Tie goes to the Killer (core-mechanics rule).</t>
        </is>
      </c>
      <c r="D41" s="29" t="n"/>
      <c r="E41" s="29" t="n"/>
      <c r="F41" s="29" t="n"/>
      <c r="G41" s="29" t="n"/>
      <c r="H41" s="29" t="n"/>
      <c r="I41" s="30" t="n"/>
    </row>
    <row r="42" ht="63" customHeight="1">
      <c r="A42" s="12" t="inlineStr">
        <is>
          <t>Hit Effect</t>
        </is>
      </c>
      <c r="B42" s="30" t="n"/>
      <c r="C42" s="18" t="inlineStr">
        <is>
          <t>Enter Dying directly, ignoring current Health State (HS). Even a Healthy target goes down in one hit.
After a hit the dash stops immediately (no passing through), Overheat +1, Killer gains 2 Pressure Point (PRE).</t>
        </is>
      </c>
      <c r="D42" s="29" t="n"/>
      <c r="E42" s="29" t="n"/>
      <c r="F42" s="29" t="n"/>
      <c r="G42" s="29" t="n"/>
      <c r="H42" s="29" t="n"/>
      <c r="I42" s="30" t="n"/>
    </row>
    <row r="43" ht="108" customHeight="1">
      <c r="A43" s="12" t="inlineStr">
        <is>
          <t>Miss / Cost</t>
        </is>
      </c>
      <c r="B43" s="30" t="n"/>
      <c r="C43" s="18" t="inlineStr">
        <is>
          <t>① Miss everyone (path ends with no contact): Overheat +1, lose 1 Action Point (AP) next round(s).
② Collision — path hits a wall, Pallet, vehicle body, or a turn Failure: stop immediately, Overheat +2, next round(s) Action Point (AP) drops to 0 (full stun), Bloodlust resets. The heaviest self-penalty in the whole system.
③ A Survivor may deliberately cause a collision: stand behind an obstacle to bait the dash — the core counter to this avatar.</t>
        </is>
      </c>
      <c r="D43" s="29" t="n"/>
      <c r="E43" s="29" t="n"/>
      <c r="F43" s="29" t="n"/>
      <c r="G43" s="29" t="n"/>
      <c r="H43" s="29" t="n"/>
      <c r="I43" s="30" t="n"/>
    </row>
    <row r="44" ht="22" customHeight="1">
      <c r="A44" s="12" t="inlineStr">
        <is>
          <t>Cooldown</t>
        </is>
      </c>
      <c r="B44" s="30" t="n"/>
      <c r="C44" s="18" t="inlineStr">
        <is>
          <t>No fixed Cooldown; rhythm controlled by the Overheat gauge</t>
        </is>
      </c>
      <c r="D44" s="29" t="n"/>
      <c r="E44" s="29" t="n"/>
      <c r="F44" s="29" t="n"/>
      <c r="G44" s="29" t="n"/>
      <c r="H44" s="29" t="n"/>
      <c r="I44" s="30" t="n"/>
    </row>
    <row r="45" ht="78" customHeight="1">
      <c r="A45" s="12" t="inlineStr">
        <is>
          <t>Survivor Counter</t>
        </is>
      </c>
      <c r="B45" s="30" t="n"/>
      <c r="C45" s="18" t="inlineStr">
        <is>
          <t>① Never be chased in the open — Coldwind Farm's Cornfield is the only refuge; a straight path cannot cross dense corn (treated as obstacle, triggers collision); ② circle hugging obstacles — force his turn check (Difficulty Class (DC) 12; a Prestige 10 Killer succeeds ~79%, but Failure is a full-round(s) stun); ③ count Overheat — Overheat is public info (the GM must place an Overheat marker outside the Screen), at Overheat 3 force one more use to lock him 3 round(s).</t>
        </is>
      </c>
      <c r="D45" s="29" t="n"/>
      <c r="E45" s="29" t="n"/>
      <c r="F45" s="29" t="n"/>
      <c r="G45" s="29" t="n"/>
      <c r="H45" s="29" t="n"/>
      <c r="I45" s="30" t="n"/>
    </row>
    <row r="46" ht="63" customHeight="1">
      <c r="A46" s="12" t="inlineStr">
        <is>
          <t>Solo Config Adjustment</t>
        </is>
      </c>
      <c r="B46" s="30" t="n"/>
      <c r="C46" s="18" t="inlineStr">
        <is>
          <t>When N = 1: the Hit Effect changes from "directly Dying" to "lose 1 Tier of Health State (HS) + Deep Wound (ST-04)".
Reason: for a solo Player, one mistake means an immediate down with no one to rescue, which equals the end of the Trial. After changing to a two-stage model, the Player is still heavily wounded but has room to self-rescue (see Section 2-8 for Deep Wound self-heal).</t>
        </is>
      </c>
      <c r="D46" s="29" t="n"/>
      <c r="E46" s="29" t="n"/>
      <c r="F46" s="29" t="n"/>
      <c r="G46" s="29" t="n"/>
      <c r="H46" s="29" t="n"/>
      <c r="I46" s="30" t="n"/>
    </row>
    <row r="47" ht="20" customHeight="1">
      <c r="A47" s="9" t="inlineStr">
        <is>
          <t>IV. Power Mastery</t>
        </is>
      </c>
      <c r="B47" s="29" t="n"/>
      <c r="C47" s="29" t="n"/>
      <c r="D47" s="29" t="n"/>
      <c r="E47" s="29" t="n"/>
      <c r="F47" s="29" t="n"/>
      <c r="G47" s="29" t="n"/>
      <c r="H47" s="29" t="n"/>
      <c r="I47" s="30" t="n"/>
    </row>
    <row r="48">
      <c r="A48" s="5" t="inlineStr">
        <is>
          <t>Tier</t>
        </is>
      </c>
      <c r="B48" s="30" t="n"/>
      <c r="C48" s="5" t="inlineStr">
        <is>
          <t>Effect</t>
        </is>
      </c>
      <c r="D48" s="29" t="n"/>
      <c r="E48" s="29" t="n"/>
      <c r="F48" s="29" t="n"/>
      <c r="G48" s="29" t="n"/>
      <c r="H48" s="29" t="n"/>
      <c r="I48" s="30" t="n"/>
    </row>
    <row r="49" ht="22" customHeight="1">
      <c r="A49" s="12" t="inlineStr">
        <is>
          <t>Tier 2 (Prestige 6)</t>
        </is>
      </c>
      <c r="B49" s="30" t="n"/>
      <c r="C49" s="18" t="inlineStr">
        <is>
          <t>Action Point (AP) Cost reduced to 1 point (this avatar has no Cooldown; per §1-5 general rule changed to Cost −1).</t>
        </is>
      </c>
      <c r="D49" s="29" t="n"/>
      <c r="E49" s="29" t="n"/>
      <c r="F49" s="29" t="n"/>
      <c r="G49" s="29" t="n"/>
      <c r="H49" s="29" t="n"/>
      <c r="I49" s="30" t="n"/>
    </row>
    <row r="50" ht="22" customHeight="1">
      <c r="A50" s="12" t="inlineStr">
        <is>
          <t>Tier 3 (Prestige 11)</t>
        </is>
      </c>
      <c r="B50" s="30" t="n"/>
      <c r="C50" s="18" t="inlineStr">
        <is>
          <t>Overheat cap raised to 6; per round(s) without using the power, Overheat −2.</t>
        </is>
      </c>
      <c r="D50" s="29" t="n"/>
      <c r="E50" s="29" t="n"/>
      <c r="F50" s="29" t="n"/>
      <c r="G50" s="29" t="n"/>
      <c r="H50" s="29" t="n"/>
      <c r="I50" s="30" t="n"/>
    </row>
    <row r="51" ht="93" customHeight="1">
      <c r="A51" s="12" t="inlineStr">
        <is>
          <t>Tier 4 (Prestige 16)</t>
        </is>
      </c>
      <c r="B51" s="30" t="n"/>
      <c r="C51" s="18" t="inlineStr">
        <is>
          <t>Endgame Form | The Saw That Never Stops
Cost 5 Pressure Point (PRE) (Action Point (AP) Cost as normal), 3 times per Trial.
On declaration enter "Chain Saw": after hitting a Survivor, may immediately and freely (0 Action Point (AP)) declare a new 6-cell dash, up to 3 consecutive segments. Each segment resolves separately; each hit adds Overheat +2. Any segment collision cancels all and applies the collision penalty.</t>
        </is>
      </c>
      <c r="D51" s="29" t="n"/>
      <c r="E51" s="29" t="n"/>
      <c r="F51" s="29" t="n"/>
      <c r="G51" s="29" t="n"/>
      <c r="H51" s="29" t="n"/>
      <c r="I51" s="30" t="n"/>
    </row>
    <row r="52" ht="20" customHeight="1">
      <c r="A52" s="9" t="inlineStr">
        <is>
          <t>V. Exclusive Perks (Perk)</t>
        </is>
      </c>
      <c r="B52" s="29" t="n"/>
      <c r="C52" s="29" t="n"/>
      <c r="D52" s="29" t="n"/>
      <c r="E52" s="29" t="n"/>
      <c r="F52" s="29" t="n"/>
      <c r="G52" s="29" t="n"/>
      <c r="H52" s="29" t="n"/>
      <c r="I52" s="30" t="n"/>
    </row>
    <row r="53">
      <c r="A53" s="5" t="inlineStr">
        <is>
          <t>No.</t>
        </is>
      </c>
      <c r="B53" s="30" t="n"/>
      <c r="C53" s="5" t="inlineStr">
        <is>
          <t>Name</t>
        </is>
      </c>
      <c r="D53" s="29" t="n"/>
      <c r="E53" s="29" t="n"/>
      <c r="F53" s="30" t="n"/>
      <c r="G53" s="5" t="inlineStr">
        <is>
          <t>Source</t>
        </is>
      </c>
      <c r="H53" s="29" t="n"/>
      <c r="I53" s="30" t="n"/>
    </row>
    <row r="54">
      <c r="A54" s="8" t="inlineStr">
        <is>
          <t>TALENT-K07</t>
        </is>
      </c>
      <c r="B54" s="30" t="n"/>
      <c r="C54" s="6" t="inlineStr">
        <is>
          <t>Enduring</t>
        </is>
      </c>
      <c r="D54" s="29" t="n"/>
      <c r="E54" s="29" t="n"/>
      <c r="F54" s="30" t="n"/>
      <c r="G54" s="6" t="n"/>
      <c r="H54" s="29" t="n"/>
      <c r="I54" s="30" t="n"/>
    </row>
    <row r="55">
      <c r="A55" s="8" t="inlineStr">
        <is>
          <t>TALENT-K08</t>
        </is>
      </c>
      <c r="B55" s="30" t="n"/>
      <c r="C55" s="6" t="inlineStr">
        <is>
          <t>Iron Grudge (Lightborn adaptation)</t>
        </is>
      </c>
      <c r="D55" s="29" t="n"/>
      <c r="E55" s="29" t="n"/>
      <c r="F55" s="30" t="n"/>
      <c r="G55" s="6" t="n"/>
      <c r="H55" s="29" t="n"/>
      <c r="I55" s="30" t="n"/>
    </row>
    <row r="56">
      <c r="A56" s="8" t="inlineStr">
        <is>
          <t>TALENT-K09</t>
        </is>
      </c>
      <c r="B56" s="30" t="n"/>
      <c r="C56" s="6" t="inlineStr">
        <is>
          <t>Wild Scent (Tinkerer adaptation)</t>
        </is>
      </c>
      <c r="D56" s="29" t="n"/>
      <c r="E56" s="29" t="n"/>
      <c r="F56" s="30" t="n"/>
      <c r="G56" s="6" t="n"/>
      <c r="H56" s="29" t="n"/>
      <c r="I56" s="30" t="n"/>
    </row>
    <row r="57" ht="20" customHeight="1">
      <c r="A57" s="9" t="inlineStr">
        <is>
          <t>VI. Encounter Cost &amp; Deployment</t>
        </is>
      </c>
      <c r="B57" s="29" t="n"/>
      <c r="C57" s="29" t="n"/>
      <c r="D57" s="29" t="n"/>
      <c r="E57" s="29" t="n"/>
      <c r="F57" s="29" t="n"/>
      <c r="G57" s="29" t="n"/>
      <c r="H57" s="29" t="n"/>
      <c r="I57" s="30" t="n"/>
    </row>
    <row r="58">
      <c r="A58" s="12" t="inlineStr">
        <is>
          <t>As the Trial's main Killer</t>
        </is>
      </c>
      <c r="B58" s="29" t="n"/>
      <c r="C58" s="30" t="n"/>
      <c r="D58" s="6" t="inlineStr">
        <is>
          <t>takes 60% of Encounter Budget (EB)</t>
        </is>
      </c>
      <c r="E58" s="29" t="n"/>
      <c r="F58" s="29" t="n"/>
      <c r="G58" s="29" t="n"/>
      <c r="H58" s="29" t="n"/>
      <c r="I58" s="30" t="n"/>
    </row>
    <row r="59">
      <c r="A59" s="12" t="inlineStr">
        <is>
          <t>As a fixed threat in the scenario</t>
        </is>
      </c>
      <c r="B59" s="29" t="n"/>
      <c r="C59" s="30" t="n"/>
      <c r="D59" s="6" t="inlineStr">
        <is>
          <t>Challenge Rating (CR) × 2</t>
        </is>
      </c>
      <c r="E59" s="29" t="n"/>
      <c r="F59" s="29" t="n"/>
      <c r="G59" s="29" t="n"/>
      <c r="H59" s="29" t="n"/>
      <c r="I59" s="30" t="n"/>
    </row>
    <row r="60" ht="42" customHeight="1">
      <c r="A60" s="12" t="inlineStr">
        <is>
          <t>Solo config (N = 1) adjustment</t>
        </is>
      </c>
      <c r="B60" s="29" t="n"/>
      <c r="C60" s="30" t="n"/>
      <c r="D60" s="18" t="inlineStr">
        <is>
          <t>When N = 1: the Hit Effect changes from "directly Dying" to "lose 1 Tier of Health State (HS) + Deep Wound (ST-04)".
Reason: for a solo Player, one mistake means an immediate down with no one to rescue, which equals the end of the Trial. After changing to a two-stage model, the Player is still heavily wounded but has room to self-rescue (see Section 2-8 for Deep Wound self-heal).</t>
        </is>
      </c>
      <c r="E60" s="29" t="n"/>
      <c r="F60" s="29" t="n"/>
      <c r="G60" s="29" t="n"/>
      <c r="H60" s="29" t="n"/>
      <c r="I60" s="30" t="n"/>
    </row>
    <row r="61" ht="20" customHeight="1">
      <c r="A61" s="9" t="inlineStr">
        <is>
          <t>VII. In-Trial Tracker</t>
        </is>
      </c>
      <c r="B61" s="29" t="n"/>
      <c r="C61" s="29" t="n"/>
      <c r="D61" s="29" t="n"/>
      <c r="E61" s="29" t="n"/>
      <c r="F61" s="29" t="n"/>
      <c r="G61" s="29" t="n"/>
      <c r="H61" s="29" t="n"/>
      <c r="I61" s="30" t="n"/>
    </row>
    <row r="62">
      <c r="A62" s="12" t="inlineStr">
        <is>
          <t>Current Pressure Point (PRE)</t>
        </is>
      </c>
      <c r="B62" s="30" t="n"/>
      <c r="C62" s="8" t="n"/>
      <c r="D62" s="30" t="n"/>
      <c r="E62" s="12" t="inlineStr">
        <is>
          <t>Pressure Ramp Phase</t>
        </is>
      </c>
      <c r="F62" s="30" t="n"/>
      <c r="G62" s="8" t="inlineStr">
        <is>
          <t>☐ I　☐ II　☐ III</t>
        </is>
      </c>
      <c r="H62" s="29" t="n"/>
      <c r="I62" s="30" t="n"/>
    </row>
    <row r="63">
      <c r="A63" s="12" t="inlineStr">
        <is>
          <t>Sacrificed Count</t>
        </is>
      </c>
      <c r="B63" s="30" t="n"/>
      <c r="C63" s="8" t="n"/>
      <c r="D63" s="30" t="n"/>
      <c r="E63" s="12" t="inlineStr">
        <is>
          <t>Hunt Lead</t>
        </is>
      </c>
      <c r="F63" s="30" t="n"/>
      <c r="G63" s="8" t="n"/>
      <c r="H63" s="29" t="n"/>
      <c r="I63" s="30" t="n"/>
    </row>
    <row r="64" ht="44" customHeight="1">
      <c r="A64" s="12" t="inlineStr">
        <is>
          <t>Notes</t>
        </is>
      </c>
      <c r="B64" s="30" t="n"/>
      <c r="C64" s="18" t="n"/>
      <c r="D64" s="29" t="n"/>
      <c r="E64" s="29" t="n"/>
      <c r="F64" s="29" t="n"/>
      <c r="G64" s="29" t="n"/>
      <c r="H64" s="29" t="n"/>
      <c r="I64" s="30" t="n"/>
    </row>
  </sheetData>
  <mergeCells count="131">
    <mergeCell ref="C36:I36"/>
    <mergeCell ref="C62:D62"/>
    <mergeCell ref="A64:B64"/>
    <mergeCell ref="A15:B15"/>
    <mergeCell ref="E62:F62"/>
    <mergeCell ref="A51:B51"/>
    <mergeCell ref="G62:I62"/>
    <mergeCell ref="A21:C21"/>
    <mergeCell ref="A26:C26"/>
    <mergeCell ref="A54:B54"/>
    <mergeCell ref="E4:I4"/>
    <mergeCell ref="A7:B7"/>
    <mergeCell ref="A23:C23"/>
    <mergeCell ref="A41:B41"/>
    <mergeCell ref="D13:E13"/>
    <mergeCell ref="C63:D63"/>
    <mergeCell ref="E63:F63"/>
    <mergeCell ref="A17:I17"/>
    <mergeCell ref="A56:B56"/>
    <mergeCell ref="G63:I63"/>
    <mergeCell ref="C45:I45"/>
    <mergeCell ref="D7:E7"/>
    <mergeCell ref="A33:B33"/>
    <mergeCell ref="A42:B42"/>
    <mergeCell ref="C54:F54"/>
    <mergeCell ref="F15:I15"/>
    <mergeCell ref="D59:I59"/>
    <mergeCell ref="D60:I60"/>
    <mergeCell ref="A53:B53"/>
    <mergeCell ref="A35:B35"/>
    <mergeCell ref="A62:B62"/>
    <mergeCell ref="C40:I40"/>
    <mergeCell ref="C56:F56"/>
    <mergeCell ref="H23:I23"/>
    <mergeCell ref="A61:I61"/>
    <mergeCell ref="A2:C5"/>
    <mergeCell ref="A39:B39"/>
    <mergeCell ref="A48:B48"/>
    <mergeCell ref="F13:I13"/>
    <mergeCell ref="D10:E10"/>
    <mergeCell ref="A45:B45"/>
    <mergeCell ref="E5:F5"/>
    <mergeCell ref="A12:C12"/>
    <mergeCell ref="H25:I25"/>
    <mergeCell ref="G7:H7"/>
    <mergeCell ref="D11:E11"/>
    <mergeCell ref="C34:I34"/>
    <mergeCell ref="A37:B37"/>
    <mergeCell ref="A46:B46"/>
    <mergeCell ref="G55:I55"/>
    <mergeCell ref="D58:I58"/>
    <mergeCell ref="C42:I42"/>
    <mergeCell ref="A29:C29"/>
    <mergeCell ref="A52:I52"/>
    <mergeCell ref="G54:I54"/>
    <mergeCell ref="A13:C13"/>
    <mergeCell ref="A58:C58"/>
    <mergeCell ref="H19:I19"/>
    <mergeCell ref="G56:I56"/>
    <mergeCell ref="H28:I28"/>
    <mergeCell ref="D9:E9"/>
    <mergeCell ref="A24:C24"/>
    <mergeCell ref="C44:I44"/>
    <mergeCell ref="A60:C60"/>
    <mergeCell ref="A63:B63"/>
    <mergeCell ref="A1:I1"/>
    <mergeCell ref="H5:I5"/>
    <mergeCell ref="C46:I46"/>
    <mergeCell ref="C51:I51"/>
    <mergeCell ref="A34:B34"/>
    <mergeCell ref="A25:C25"/>
    <mergeCell ref="F9:I9"/>
    <mergeCell ref="C48:I48"/>
    <mergeCell ref="A49:B49"/>
    <mergeCell ref="G53:I53"/>
    <mergeCell ref="A18:C18"/>
    <mergeCell ref="A36:B36"/>
    <mergeCell ref="G3:I3"/>
    <mergeCell ref="C38:I38"/>
    <mergeCell ref="C53:F53"/>
    <mergeCell ref="H21:I21"/>
    <mergeCell ref="A57:I57"/>
    <mergeCell ref="A32:I32"/>
    <mergeCell ref="C49:I49"/>
    <mergeCell ref="A22:C22"/>
    <mergeCell ref="C33:I33"/>
    <mergeCell ref="F10:I10"/>
    <mergeCell ref="A20:C20"/>
    <mergeCell ref="A55:B55"/>
    <mergeCell ref="A28:C28"/>
    <mergeCell ref="C35:I35"/>
    <mergeCell ref="E2:I2"/>
    <mergeCell ref="A14:B14"/>
    <mergeCell ref="A30:C30"/>
    <mergeCell ref="H22:I22"/>
    <mergeCell ref="A59:C59"/>
    <mergeCell ref="D12:E12"/>
    <mergeCell ref="A38:B38"/>
    <mergeCell ref="A43:B43"/>
    <mergeCell ref="F8:I8"/>
    <mergeCell ref="A6:I6"/>
    <mergeCell ref="A40:B40"/>
    <mergeCell ref="H30:I30"/>
    <mergeCell ref="A16:I16"/>
    <mergeCell ref="H20:I20"/>
    <mergeCell ref="H29:I29"/>
    <mergeCell ref="C39:I39"/>
    <mergeCell ref="A27:C27"/>
    <mergeCell ref="C37:I37"/>
    <mergeCell ref="F14:I14"/>
    <mergeCell ref="A47:I47"/>
    <mergeCell ref="A8:C8"/>
    <mergeCell ref="F11:I11"/>
    <mergeCell ref="A50:B50"/>
    <mergeCell ref="A10:C10"/>
    <mergeCell ref="A19:C19"/>
    <mergeCell ref="C64:I64"/>
    <mergeCell ref="F12:I12"/>
    <mergeCell ref="A9:C9"/>
    <mergeCell ref="A31:I31"/>
    <mergeCell ref="C55:F55"/>
    <mergeCell ref="C41:I41"/>
    <mergeCell ref="H27:I27"/>
    <mergeCell ref="D8:E8"/>
    <mergeCell ref="C50:I50"/>
    <mergeCell ref="A11:C11"/>
    <mergeCell ref="H24:I24"/>
    <mergeCell ref="H18:I18"/>
    <mergeCell ref="C43:I43"/>
    <mergeCell ref="A44:B44"/>
    <mergeCell ref="H26:I26"/>
  </mergeCells>
  <printOptions horizontalCentered="1"/>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I65"/>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Enemy Character Sheet　·　Killer Avatar</t>
        </is>
      </c>
      <c r="B1" s="25" t="n"/>
      <c r="C1" s="25" t="n"/>
      <c r="D1" s="25" t="n"/>
      <c r="E1" s="25" t="n"/>
      <c r="F1" s="25" t="n"/>
      <c r="G1" s="25" t="n"/>
      <c r="H1" s="25" t="n"/>
      <c r="I1" s="26" t="n"/>
    </row>
    <row r="2">
      <c r="A2" s="3" t="inlineStr">
        <is>
          <t>Character Art
(Paste character image here)</t>
        </is>
      </c>
      <c r="B2" s="27" t="n"/>
      <c r="C2" s="28" t="n"/>
      <c r="D2" s="5" t="inlineStr">
        <is>
          <t>Avatar Name</t>
        </is>
      </c>
      <c r="E2" s="6" t="inlineStr">
        <is>
          <t>Nurse (NRS) | Sang Li</t>
        </is>
      </c>
      <c r="F2" s="29" t="n"/>
      <c r="G2" s="29" t="n"/>
      <c r="H2" s="29" t="n"/>
      <c r="I2" s="30" t="n"/>
    </row>
    <row r="3">
      <c r="A3" s="31" t="n"/>
      <c r="C3" s="32" t="n"/>
      <c r="D3" s="5" t="inlineStr">
        <is>
          <t>Avatar Abbr.</t>
        </is>
      </c>
      <c r="E3" s="8" t="inlineStr">
        <is>
          <t>NRS</t>
        </is>
      </c>
      <c r="F3" s="5" t="inlineStr">
        <is>
          <t>True Name</t>
        </is>
      </c>
      <c r="G3" s="6" t="inlineStr">
        <is>
          <t>Sang Li</t>
        </is>
      </c>
      <c r="H3" s="29" t="n"/>
      <c r="I3" s="30" t="n"/>
    </row>
    <row r="4">
      <c r="A4" s="31" t="n"/>
      <c r="C4" s="32" t="n"/>
      <c r="D4" s="5" t="inlineStr">
        <is>
          <t>Home Realm</t>
        </is>
      </c>
      <c r="E4" s="6" t="inlineStr">
        <is>
          <t>R4 Crotus Prenn Asylum</t>
        </is>
      </c>
      <c r="F4" s="29" t="n"/>
      <c r="G4" s="29" t="n"/>
      <c r="H4" s="29" t="n"/>
      <c r="I4" s="30" t="n"/>
    </row>
    <row r="5">
      <c r="A5" s="33" t="n"/>
      <c r="B5" s="34" t="n"/>
      <c r="C5" s="35" t="n"/>
      <c r="D5" s="5" t="inlineStr">
        <is>
          <t>Power Type</t>
        </is>
      </c>
      <c r="E5" s="8" t="inlineStr">
        <is>
          <t>Blink-type</t>
        </is>
      </c>
      <c r="F5" s="30" t="n"/>
      <c r="G5" s="5" t="inlineStr">
        <is>
          <t>Attribute Tendency</t>
        </is>
      </c>
      <c r="H5" s="6" t="inlineStr">
        <is>
          <t>Occult (OCC)＋3、Brute Force (BRU)−1</t>
        </is>
      </c>
      <c r="I5" s="30" t="n"/>
    </row>
    <row r="6" ht="20" customHeight="1">
      <c r="A6" s="9" t="inlineStr">
        <is>
          <t>I. Trial Panel (gray = fill, beige = auto)</t>
        </is>
      </c>
      <c r="B6" s="29" t="n"/>
      <c r="C6" s="29" t="n"/>
      <c r="D6" s="29" t="n"/>
      <c r="E6" s="29" t="n"/>
      <c r="F6" s="29" t="n"/>
      <c r="G6" s="29" t="n"/>
      <c r="H6" s="29" t="n"/>
      <c r="I6" s="30" t="n"/>
    </row>
    <row r="7">
      <c r="A7" s="5" t="inlineStr">
        <is>
          <t>Prestige (PRS)</t>
        </is>
      </c>
      <c r="B7" s="30" t="n"/>
      <c r="C7" s="8" t="n"/>
      <c r="D7" s="5" t="inlineStr">
        <is>
          <t>Survivor player count N</t>
        </is>
      </c>
      <c r="E7" s="30" t="n"/>
      <c r="F7" s="8" t="n"/>
      <c r="G7" s="5" t="inlineStr">
        <is>
          <t>Avatar Threat Factor (AVM)</t>
        </is>
      </c>
      <c r="H7" s="30" t="n"/>
      <c r="I7" s="8" t="n">
        <v>3</v>
      </c>
    </row>
    <row r="8">
      <c r="A8" s="12" t="inlineStr">
        <is>
          <t>Challenge Rating (CR)</t>
        </is>
      </c>
      <c r="B8" s="29" t="n"/>
      <c r="C8" s="30" t="n"/>
      <c r="D8" s="14">
        <f>IF($C$7="","",$C$7+$I$7)</f>
        <v/>
      </c>
      <c r="E8" s="30" t="n"/>
      <c r="F8" s="6" t="inlineStr">
        <is>
          <t>Prestige (PRS) + Avatar Threat Factor (AVM)</t>
        </is>
      </c>
      <c r="G8" s="29" t="n"/>
      <c r="H8" s="29" t="n"/>
      <c r="I8" s="30" t="n"/>
    </row>
    <row r="9">
      <c r="A9" s="12" t="inlineStr">
        <is>
          <t>Pressure Point (PRE) Cap</t>
        </is>
      </c>
      <c r="B9" s="29" t="n"/>
      <c r="C9" s="30" t="n"/>
      <c r="D9" s="14">
        <f>IF(OR($C$7="",$F$7=""),"",4+2*$F$7+INT($C$7/4))</f>
        <v/>
      </c>
      <c r="E9" s="30" t="n"/>
      <c r="F9" s="6" t="inlineStr">
        <is>
          <t>4 + 2×N + INT(Prestige (PRS) ÷ 4)</t>
        </is>
      </c>
      <c r="G9" s="29" t="n"/>
      <c r="H9" s="29" t="n"/>
      <c r="I9" s="30" t="n"/>
    </row>
    <row r="10">
      <c r="A10" s="12" t="inlineStr">
        <is>
          <t>Pressure Point (PRE) recovery / round</t>
        </is>
      </c>
      <c r="B10" s="29" t="n"/>
      <c r="C10" s="30" t="n"/>
      <c r="D10" s="14">
        <f>IF($F$7="","",2+INT($F$7/2))</f>
        <v/>
      </c>
      <c r="E10" s="30" t="n"/>
      <c r="F10" s="6" t="inlineStr">
        <is>
          <t>2 ＋ INT(N ÷ 2)</t>
        </is>
      </c>
      <c r="G10" s="29" t="n"/>
      <c r="H10" s="29" t="n"/>
      <c r="I10" s="30" t="n"/>
    </row>
    <row r="11">
      <c r="A11" s="12" t="inlineStr">
        <is>
          <t>Action Point (AP) / round</t>
        </is>
      </c>
      <c r="B11" s="29" t="n"/>
      <c r="C11" s="30" t="n"/>
      <c r="D11" s="14">
        <f>4</f>
        <v/>
      </c>
      <c r="E11" s="30" t="n"/>
      <c r="F11" s="6" t="inlineStr">
        <is>
          <t>Killer fixed at 4; Pressure Point (PRE) is a separate resource pool</t>
        </is>
      </c>
      <c r="G11" s="29" t="n"/>
      <c r="H11" s="29" t="n"/>
      <c r="I11" s="30" t="n"/>
    </row>
    <row r="12">
      <c r="A12" s="12" t="inlineStr">
        <is>
          <t>Hook Phase Rounds</t>
        </is>
      </c>
      <c r="B12" s="29" t="n"/>
      <c r="C12" s="30" t="n"/>
      <c r="D12" s="14">
        <f>IF($F$7="","",8-$F$7)</f>
        <v/>
      </c>
      <c r="E12" s="30" t="n"/>
      <c r="F12" s="6" t="inlineStr">
        <is>
          <t>8 − N. Each phase end advances one stage; end of phase 2 = Sacrifice</t>
        </is>
      </c>
      <c r="G12" s="29" t="n"/>
      <c r="H12" s="29" t="n"/>
      <c r="I12" s="30" t="n"/>
    </row>
    <row r="13">
      <c r="A13" s="12" t="inlineStr">
        <is>
          <t>Endgame Collapse rounds</t>
        </is>
      </c>
      <c r="B13" s="29" t="n"/>
      <c r="C13" s="30" t="n"/>
      <c r="D13" s="14">
        <f>IF($F$7="","",14-2*$F$7)</f>
        <v/>
      </c>
      <c r="E13" s="30" t="n"/>
      <c r="F13" s="6" t="inlineStr">
        <is>
          <t>14 − 2×N. Countdown starts after the last Generator is completed</t>
        </is>
      </c>
      <c r="G13" s="29" t="n"/>
      <c r="H13" s="29" t="n"/>
      <c r="I13" s="30" t="n"/>
    </row>
    <row r="14" ht="30" customHeight="1">
      <c r="A14" s="12" t="inlineStr">
        <is>
          <t>Terror Radius (TR)</t>
        </is>
      </c>
      <c r="B14" s="30" t="n"/>
      <c r="C14" s="8" t="n">
        <v>16</v>
      </c>
      <c r="D14" s="5" t="inlineStr">
        <is>
          <t>cell → meters</t>
        </is>
      </c>
      <c r="E14" s="14">
        <f>IF(C14="","",C14*2)</f>
        <v/>
      </c>
      <c r="F14" s="6" t="inlineStr">
        <is>
          <t>32 meters = 16 cells</t>
        </is>
      </c>
      <c r="G14" s="29" t="n"/>
      <c r="H14" s="29" t="n"/>
      <c r="I14" s="30" t="n"/>
    </row>
    <row r="15" ht="30" customHeight="1">
      <c r="A15" s="12" t="inlineStr">
        <is>
          <t>Move Level (MOV)</t>
        </is>
      </c>
      <c r="B15" s="30" t="n"/>
      <c r="C15" s="8" t="n">
        <v>6</v>
      </c>
      <c r="D15" s="5" t="inlineStr">
        <is>
          <t>cells / round(s)</t>
        </is>
      </c>
      <c r="E15" s="8" t="n"/>
      <c r="F15" s="6" t="inlineStr">
        <is>
          <t>Tier I Sluggish (6 cells / round(s), Move Speed Advantage +0)</t>
        </is>
      </c>
      <c r="G15" s="29" t="n"/>
      <c r="H15" s="29" t="n"/>
      <c r="I15" s="30" t="n"/>
    </row>
    <row r="16">
      <c r="A16" s="16" t="inlineStr">
        <is>
          <t>1 cell = 2 meters. Distance Band (DB): Contact (CON) 0–1 cells / Near (NEA) 1–4 cells / Mid (MID) 4–8 cells / Far (FAR) 8–16 cells / Escaped (ESC) 16+ cells.</t>
        </is>
      </c>
      <c r="B16" s="29" t="n"/>
      <c r="C16" s="29" t="n"/>
      <c r="D16" s="29" t="n"/>
      <c r="E16" s="29" t="n"/>
      <c r="F16" s="29" t="n"/>
      <c r="G16" s="29" t="n"/>
      <c r="H16" s="29" t="n"/>
      <c r="I16" s="30" t="n"/>
    </row>
    <row r="17" ht="20" customHeight="1">
      <c r="A17" s="9" t="inlineStr">
        <is>
          <t>II. Attributes &amp; Skills (three-baseline reference)</t>
        </is>
      </c>
      <c r="B17" s="29" t="n"/>
      <c r="C17" s="29" t="n"/>
      <c r="D17" s="29" t="n"/>
      <c r="E17" s="29" t="n"/>
      <c r="F17" s="29" t="n"/>
      <c r="G17" s="29" t="n"/>
      <c r="H17" s="29" t="n"/>
      <c r="I17" s="30" t="n"/>
    </row>
    <row r="18" ht="30" customHeight="1">
      <c r="A18" s="5" t="inlineStr">
        <is>
          <t>Attribute / Skill</t>
        </is>
      </c>
      <c r="B18" s="29" t="n"/>
      <c r="C18" s="30" t="n"/>
      <c r="D18" s="5" t="inlineStr">
        <is>
          <t>Prestige 1 (8 pts)</t>
        </is>
      </c>
      <c r="E18" s="5" t="inlineStr">
        <is>
          <t>Prestige 10 (13 pts)</t>
        </is>
      </c>
      <c r="F18" s="5" t="inlineStr">
        <is>
          <t>Prestige 20 (18 pts)</t>
        </is>
      </c>
      <c r="G18" s="5" t="inlineStr">
        <is>
          <t>Used This Trial</t>
        </is>
      </c>
      <c r="H18" s="5" t="inlineStr">
        <is>
          <t>Notes</t>
        </is>
      </c>
      <c r="I18" s="30" t="n"/>
    </row>
    <row r="19">
      <c r="A19" s="12" t="inlineStr">
        <is>
          <t>Brute Force (BRU)</t>
        </is>
      </c>
      <c r="B19" s="29" t="n"/>
      <c r="C19" s="30" t="n"/>
      <c r="D19" s="8" t="inlineStr">
        <is>
          <t>1</t>
        </is>
      </c>
      <c r="E19" s="8" t="inlineStr">
        <is>
          <t>2</t>
        </is>
      </c>
      <c r="F19" s="8" t="inlineStr">
        <is>
          <t>3</t>
        </is>
      </c>
      <c r="G19" s="8" t="n"/>
      <c r="H19" s="6" t="n"/>
      <c r="I19" s="30" t="n"/>
    </row>
    <row r="20">
      <c r="A20" s="12" t="inlineStr">
        <is>
          <t>Hunt (HNT)</t>
        </is>
      </c>
      <c r="B20" s="29" t="n"/>
      <c r="C20" s="30" t="n"/>
      <c r="D20" s="8" t="inlineStr">
        <is>
          <t>1</t>
        </is>
      </c>
      <c r="E20" s="8" t="inlineStr">
        <is>
          <t>2</t>
        </is>
      </c>
      <c r="F20" s="8" t="inlineStr">
        <is>
          <t>3</t>
        </is>
      </c>
      <c r="G20" s="8" t="n"/>
      <c r="H20" s="6" t="n"/>
      <c r="I20" s="30" t="n"/>
    </row>
    <row r="21">
      <c r="A21" s="12" t="inlineStr">
        <is>
          <t>Perception (PER)</t>
        </is>
      </c>
      <c r="B21" s="29" t="n"/>
      <c r="C21" s="30" t="n"/>
      <c r="D21" s="8" t="inlineStr">
        <is>
          <t>2</t>
        </is>
      </c>
      <c r="E21" s="8" t="inlineStr">
        <is>
          <t>3</t>
        </is>
      </c>
      <c r="F21" s="8" t="inlineStr">
        <is>
          <t>4</t>
        </is>
      </c>
      <c r="G21" s="8" t="n"/>
      <c r="H21" s="6" t="n"/>
      <c r="I21" s="30" t="n"/>
    </row>
    <row r="22">
      <c r="A22" s="12" t="inlineStr">
        <is>
          <t>Dread (DRE)</t>
        </is>
      </c>
      <c r="B22" s="29" t="n"/>
      <c r="C22" s="30" t="n"/>
      <c r="D22" s="8" t="inlineStr">
        <is>
          <t>1</t>
        </is>
      </c>
      <c r="E22" s="8" t="inlineStr">
        <is>
          <t>2</t>
        </is>
      </c>
      <c r="F22" s="8" t="inlineStr">
        <is>
          <t>3</t>
        </is>
      </c>
      <c r="G22" s="8" t="n"/>
      <c r="H22" s="6" t="n"/>
      <c r="I22" s="30" t="n"/>
    </row>
    <row r="23">
      <c r="A23" s="12" t="inlineStr">
        <is>
          <t>Occult (OCC)</t>
        </is>
      </c>
      <c r="B23" s="29" t="n"/>
      <c r="C23" s="30" t="n"/>
      <c r="D23" s="8" t="inlineStr">
        <is>
          <t>3</t>
        </is>
      </c>
      <c r="E23" s="8" t="inlineStr">
        <is>
          <t>4</t>
        </is>
      </c>
      <c r="F23" s="8" t="inlineStr">
        <is>
          <t>5</t>
        </is>
      </c>
      <c r="G23" s="8" t="n"/>
      <c r="H23" s="6" t="n"/>
      <c r="I23" s="30" t="n"/>
    </row>
    <row r="24">
      <c r="A24" s="12" t="inlineStr">
        <is>
          <t>Tracking (TRK)</t>
        </is>
      </c>
      <c r="B24" s="29" t="n"/>
      <c r="C24" s="30" t="n"/>
      <c r="D24" s="8" t="inlineStr">
        <is>
          <t>1</t>
        </is>
      </c>
      <c r="E24" s="8" t="inlineStr">
        <is>
          <t>3</t>
        </is>
      </c>
      <c r="F24" s="8" t="inlineStr">
        <is>
          <t>5</t>
        </is>
      </c>
      <c r="G24" s="8" t="n"/>
      <c r="H24" s="6" t="n"/>
      <c r="I24" s="30" t="n"/>
    </row>
    <row r="25">
      <c r="A25" s="12" t="inlineStr">
        <is>
          <t>Subdue (SUP)</t>
        </is>
      </c>
      <c r="B25" s="29" t="n"/>
      <c r="C25" s="30" t="n"/>
      <c r="D25" s="8" t="inlineStr">
        <is>
          <t>0</t>
        </is>
      </c>
      <c r="E25" s="8" t="inlineStr">
        <is>
          <t>1</t>
        </is>
      </c>
      <c r="F25" s="8" t="inlineStr">
        <is>
          <t>3</t>
        </is>
      </c>
      <c r="G25" s="8" t="n"/>
      <c r="H25" s="6" t="n"/>
      <c r="I25" s="30" t="n"/>
    </row>
    <row r="26">
      <c r="A26" s="12" t="inlineStr">
        <is>
          <t>Coerce (COE)</t>
        </is>
      </c>
      <c r="B26" s="29" t="n"/>
      <c r="C26" s="30" t="n"/>
      <c r="D26" s="8" t="inlineStr">
        <is>
          <t>0</t>
        </is>
      </c>
      <c r="E26" s="8" t="inlineStr">
        <is>
          <t>1</t>
        </is>
      </c>
      <c r="F26" s="8" t="inlineStr">
        <is>
          <t>2</t>
        </is>
      </c>
      <c r="G26" s="8" t="n"/>
      <c r="H26" s="6" t="n"/>
      <c r="I26" s="30" t="n"/>
    </row>
    <row r="27">
      <c r="A27" s="12" t="inlineStr">
        <is>
          <t>Ritual (RIT)</t>
        </is>
      </c>
      <c r="B27" s="29" t="n"/>
      <c r="C27" s="30" t="n"/>
      <c r="D27" s="8" t="inlineStr">
        <is>
          <t>1</t>
        </is>
      </c>
      <c r="E27" s="8" t="inlineStr">
        <is>
          <t>4</t>
        </is>
      </c>
      <c r="F27" s="8" t="inlineStr">
        <is>
          <t>5</t>
        </is>
      </c>
      <c r="G27" s="8" t="n"/>
      <c r="H27" s="6" t="n"/>
      <c r="I27" s="30" t="n"/>
    </row>
    <row r="28">
      <c r="A28" s="12" t="inlineStr">
        <is>
          <t>Challenge Rating (CR)</t>
        </is>
      </c>
      <c r="B28" s="29" t="n"/>
      <c r="C28" s="30" t="n"/>
      <c r="D28" s="8" t="inlineStr">
        <is>
          <t>4</t>
        </is>
      </c>
      <c r="E28" s="8" t="inlineStr">
        <is>
          <t>13</t>
        </is>
      </c>
      <c r="F28" s="8" t="inlineStr">
        <is>
          <t>23</t>
        </is>
      </c>
      <c r="G28" s="8" t="n"/>
      <c r="H28" s="6" t="n"/>
      <c r="I28" s="30" t="n"/>
    </row>
    <row r="29">
      <c r="A29" s="12" t="inlineStr">
        <is>
          <t>Base Attack Modifier</t>
        </is>
      </c>
      <c r="B29" s="29" t="n"/>
      <c r="C29" s="30" t="n"/>
      <c r="D29" s="8" t="inlineStr">
        <is>
          <t>+1</t>
        </is>
      </c>
      <c r="E29" s="8" t="inlineStr">
        <is>
          <t>+3</t>
        </is>
      </c>
      <c r="F29" s="8" t="inlineStr">
        <is>
          <t>+6</t>
        </is>
      </c>
      <c r="G29" s="8" t="n"/>
      <c r="H29" s="6" t="n"/>
      <c r="I29" s="30" t="n"/>
    </row>
    <row r="30">
      <c r="A30" s="12" t="inlineStr">
        <is>
          <t>Power Check Modifier</t>
        </is>
      </c>
      <c r="B30" s="29" t="n"/>
      <c r="C30" s="30" t="n"/>
      <c r="D30" s="8" t="inlineStr">
        <is>
          <t>+4</t>
        </is>
      </c>
      <c r="E30" s="8" t="inlineStr">
        <is>
          <t>+8</t>
        </is>
      </c>
      <c r="F30" s="8" t="inlineStr">
        <is>
          <t>+10</t>
        </is>
      </c>
      <c r="G30" s="8" t="n"/>
      <c r="H30" s="6" t="n"/>
      <c r="I30" s="30" t="n"/>
    </row>
    <row r="31">
      <c r="A31" s="16" t="inlineStr">
        <is>
          <t>Killer's five attributes use a 'level 1–5' scale; the level is the check bonus (no ÷ 2). Total points = 8 + INT(Prestige (PRS) ÷ 2). The 'Used This Trial' column is for the GM to interpolate per the actual Prestige (PRS) deployed.</t>
        </is>
      </c>
      <c r="B31" s="29" t="n"/>
      <c r="C31" s="29" t="n"/>
      <c r="D31" s="29" t="n"/>
      <c r="E31" s="29" t="n"/>
      <c r="F31" s="29" t="n"/>
      <c r="G31" s="29" t="n"/>
      <c r="H31" s="29" t="n"/>
      <c r="I31" s="30" t="n"/>
    </row>
    <row r="32" ht="20" customHeight="1">
      <c r="A32" s="9" t="inlineStr">
        <is>
          <t>III. Power Card: Blink (Blink)</t>
        </is>
      </c>
      <c r="B32" s="29" t="n"/>
      <c r="C32" s="29" t="n"/>
      <c r="D32" s="29" t="n"/>
      <c r="E32" s="29" t="n"/>
      <c r="F32" s="29" t="n"/>
      <c r="G32" s="29" t="n"/>
      <c r="H32" s="29" t="n"/>
      <c r="I32" s="30" t="n"/>
    </row>
    <row r="33" ht="22" customHeight="1">
      <c r="A33" s="12" t="inlineStr">
        <is>
          <t>Slot</t>
        </is>
      </c>
      <c r="B33" s="30" t="n"/>
      <c r="C33" s="18" t="inlineStr">
        <is>
          <t>Content</t>
        </is>
      </c>
      <c r="D33" s="29" t="n"/>
      <c r="E33" s="29" t="n"/>
      <c r="F33" s="29" t="n"/>
      <c r="G33" s="29" t="n"/>
      <c r="H33" s="29" t="n"/>
      <c r="I33" s="30" t="n"/>
    </row>
    <row r="34" ht="22" customHeight="1">
      <c r="A34" s="12" t="inlineStr">
        <is>
          <t>Power Type</t>
        </is>
      </c>
      <c r="B34" s="30" t="n"/>
      <c r="C34" s="18" t="inlineStr">
        <is>
          <t>Blink-type (Charge + Fatigue system)</t>
        </is>
      </c>
      <c r="D34" s="29" t="n"/>
      <c r="E34" s="29" t="n"/>
      <c r="F34" s="29" t="n"/>
      <c r="G34" s="29" t="n"/>
      <c r="H34" s="29" t="n"/>
      <c r="I34" s="30" t="n"/>
    </row>
    <row r="35" ht="22" customHeight="1">
      <c r="A35" s="12" t="inlineStr">
        <is>
          <t>Power Charge (PWC) Name</t>
        </is>
      </c>
      <c r="B35" s="30" t="n"/>
      <c r="C35" s="18" t="inlineStr">
        <is>
          <t>Blink Charge（Blink Charge）</t>
        </is>
      </c>
      <c r="D35" s="29" t="n"/>
      <c r="E35" s="29" t="n"/>
      <c r="F35" s="29" t="n"/>
      <c r="G35" s="29" t="n"/>
      <c r="H35" s="29" t="n"/>
      <c r="I35" s="30" t="n"/>
    </row>
    <row r="36" ht="22" customHeight="1">
      <c r="A36" s="12" t="inlineStr">
        <is>
          <t>Charge Cap</t>
        </is>
      </c>
      <c r="B36" s="30" t="n"/>
      <c r="C36" s="18" t="inlineStr">
        <is>
          <t>PWC_max = 2 (3 after Tier III mastery)</t>
        </is>
      </c>
      <c r="D36" s="29" t="n"/>
      <c r="E36" s="29" t="n"/>
      <c r="F36" s="29" t="n"/>
      <c r="G36" s="29" t="n"/>
      <c r="H36" s="29" t="n"/>
      <c r="I36" s="30" t="n"/>
    </row>
    <row r="37" ht="22" customHeight="1">
      <c r="A37" s="12" t="inlineStr">
        <is>
          <t>Charge Recovery</t>
        </is>
      </c>
      <c r="B37" s="30" t="n"/>
      <c r="C37" s="18" t="inlineStr">
        <is>
          <t>Fatigue fully refills at end. It does not recover round(s) by round(s) — this is the key to the power's rhythm</t>
        </is>
      </c>
      <c r="D37" s="29" t="n"/>
      <c r="E37" s="29" t="n"/>
      <c r="F37" s="29" t="n"/>
      <c r="G37" s="29" t="n"/>
      <c r="H37" s="29" t="n"/>
      <c r="I37" s="30" t="n"/>
    </row>
    <row r="38" ht="22" customHeight="1">
      <c r="A38" s="12" t="inlineStr">
        <is>
          <t>Action Point (AP) Cost</t>
        </is>
      </c>
      <c r="B38" s="30" t="n"/>
      <c r="C38" s="18" t="inlineStr">
        <is>
          <t>Each Blink 1 point</t>
        </is>
      </c>
      <c r="D38" s="29" t="n"/>
      <c r="E38" s="29" t="n"/>
      <c r="F38" s="29" t="n"/>
      <c r="G38" s="29" t="n"/>
      <c r="H38" s="29" t="n"/>
      <c r="I38" s="30" t="n"/>
    </row>
    <row r="39" ht="22" customHeight="1">
      <c r="A39" s="12" t="inlineStr">
        <is>
          <t>Pressure Point (PRE) Cost</t>
        </is>
      </c>
      <c r="B39" s="30" t="n"/>
      <c r="C39" s="18" t="inlineStr">
        <is>
          <t>First Blink 2 pts; second Blink same round(s) 1 point</t>
        </is>
      </c>
      <c r="D39" s="29" t="n"/>
      <c r="E39" s="29" t="n"/>
      <c r="F39" s="29" t="n"/>
      <c r="G39" s="29" t="n"/>
      <c r="H39" s="29" t="n"/>
      <c r="I39" s="30" t="n"/>
    </row>
    <row r="40" ht="78" customHeight="1">
      <c r="A40" s="12" t="inlineStr">
        <is>
          <t>Resolution Formula</t>
        </is>
      </c>
      <c r="B40" s="30" t="n"/>
      <c r="C40" s="18" t="inlineStr">
        <is>
          <t>Declare a target cell (ignores terrain, walls, Pallets, elevation), max distance Mid (MID) 8 cells.
Power check 2d10 + Occult (OCC) + Ritual (RIT) vs Difficulty Class (DC) = 8 + target cell distance (in cells)
Second Blink same round(s): Difficulty Class (DC) +4, max distance drops to 4 cells.</t>
        </is>
      </c>
      <c r="D40" s="29" t="n"/>
      <c r="E40" s="29" t="n"/>
      <c r="F40" s="29" t="n"/>
      <c r="G40" s="29" t="n"/>
      <c r="H40" s="29" t="n"/>
      <c r="I40" s="30" t="n"/>
    </row>
    <row r="41" ht="108" customHeight="1">
      <c r="A41" s="12" t="inlineStr">
        <is>
          <t>Hit Effect (Landing)</t>
        </is>
      </c>
      <c r="B41" s="30" t="n"/>
      <c r="C41" s="18" t="inlineStr">
        <is>
          <t>Critical Success: land precisely on target cell, and the first basic attack after landing +4.
Success: land precisely on target cell, first basic attack after landing +2.
Failure: land 1d4 cells away from the target cell, direction decided by GM rolling d8 (north clockwise). No attack bonus.
Critical Failure: land 1d4 cells away from target cell and immediately enter Fatigue, ending this round(s).</t>
        </is>
      </c>
      <c r="D41" s="29" t="n"/>
      <c r="E41" s="29" t="n"/>
      <c r="F41" s="29" t="n"/>
      <c r="G41" s="29" t="n"/>
      <c r="H41" s="29" t="n"/>
      <c r="I41" s="30" t="n"/>
    </row>
    <row r="42" ht="22" customHeight="1">
      <c r="A42" s="12" t="inlineStr">
        <is>
          <t>Blink Attack</t>
        </is>
      </c>
      <c r="B42" s="30" t="n"/>
      <c r="C42" s="18" t="inlineStr">
        <is>
          <t>In the same round(s) after landing, the basic attack Action Point (AP) Cost drops from 2 pts to 1 point (seize the moment).</t>
        </is>
      </c>
      <c r="D42" s="29" t="n"/>
      <c r="E42" s="29" t="n"/>
      <c r="F42" s="29" t="n"/>
      <c r="G42" s="29" t="n"/>
      <c r="H42" s="29" t="n"/>
      <c r="I42" s="30" t="n"/>
    </row>
    <row r="43" ht="78" customHeight="1">
      <c r="A43" s="12" t="inlineStr">
        <is>
          <t>Fatigue</t>
        </is>
      </c>
      <c r="B43" s="30" t="n"/>
      <c r="C43" s="18" t="inlineStr">
        <is>
          <t>Trigger Condition: at end of the round(s) after Blink Charge is depleted, or immediately on a Blink Critical Failure.
Effect: next round(s) Action Point (AP) = 0, cannot Move, attack, or use power. Survivors may safely flee or repair in this round(s).
After Fatigue ends, Blink Charge fully recovers.</t>
        </is>
      </c>
      <c r="D43" s="29" t="n"/>
      <c r="E43" s="29" t="n"/>
      <c r="F43" s="29" t="n"/>
      <c r="G43" s="29" t="n"/>
      <c r="H43" s="29" t="n"/>
      <c r="I43" s="30" t="n"/>
    </row>
    <row r="44" ht="78" customHeight="1">
      <c r="A44" s="12" t="inlineStr">
        <is>
          <t>Miss / Cost</t>
        </is>
      </c>
      <c r="B44" s="30" t="n"/>
      <c r="C44" s="18" t="inlineStr">
        <is>
          <t>① Base Move is sluggish (6 cells / round(s)) and Move Speed Advantage +0 — in a pure chase she cannot catch any Survivor;
② Fatigue is a full round(s) vacuum, meaning every 1–2 Blinks she "gives" the opponent a round(s);
③ A failed check lands in the wrong spot, possibly widening the distance instead.</t>
        </is>
      </c>
      <c r="D44" s="29" t="n"/>
      <c r="E44" s="29" t="n"/>
      <c r="F44" s="29" t="n"/>
      <c r="G44" s="29" t="n"/>
      <c r="H44" s="29" t="n"/>
      <c r="I44" s="30" t="n"/>
    </row>
    <row r="45" ht="22" customHeight="1">
      <c r="A45" s="12" t="inlineStr">
        <is>
          <t>Cooldown</t>
        </is>
      </c>
      <c r="B45" s="30" t="n"/>
      <c r="C45" s="18" t="inlineStr">
        <is>
          <t>No fixed Cooldown; rhythm controlled by Fatigue</t>
        </is>
      </c>
      <c r="D45" s="29" t="n"/>
      <c r="E45" s="29" t="n"/>
      <c r="F45" s="29" t="n"/>
      <c r="G45" s="29" t="n"/>
      <c r="H45" s="29" t="n"/>
      <c r="I45" s="30" t="n"/>
    </row>
    <row r="46" ht="63" customHeight="1">
      <c r="A46" s="12" t="inlineStr">
        <is>
          <t>Survivor Counter</t>
        </is>
      </c>
      <c r="B46" s="30" t="n"/>
      <c r="C46" s="18" t="inlineStr">
        <is>
          <t>① Do not flee in a straight line — Blink predicts your "extension line"; a sharp juke is the highest-value move against the Nurse of any avatar; ② close in rather than pull away — Blink's Difficulty Class (DC) rises with distance (8 cells = DC 16); pinning her within 2–3 cells stops her from blinking yet keeps her from catching up; ③ count Fatigue — Blink Charge and Fatigue state are public info; the Fatigue round(s) is your only free round(s), use it to finish the Generator's last Progress Point (PP).</t>
        </is>
      </c>
      <c r="D46" s="29" t="n"/>
      <c r="E46" s="29" t="n"/>
      <c r="F46" s="29" t="n"/>
      <c r="G46" s="29" t="n"/>
      <c r="H46" s="29" t="n"/>
      <c r="I46" s="30" t="n"/>
    </row>
    <row r="47" ht="63" customHeight="1">
      <c r="A47" s="12" t="inlineStr">
        <is>
          <t>Solo Config Adjustment</t>
        </is>
      </c>
      <c r="B47" s="30" t="n"/>
      <c r="C47" s="18" t="inlineStr">
        <is>
          <t>When N = 1: Blink Charge Cap is fixed at 2 (not raised by Tier III mastery or add-ons), and Fatigue remains "Action Point (AP) = 0".
Reason: the Nurse is a disastrous avatar against a solo Player. If the GM uses the Nurse in Config I, the Player must be given an extra 1 Hope Point (HOP) as opening compensation.</t>
        </is>
      </c>
      <c r="D47" s="29" t="n"/>
      <c r="E47" s="29" t="n"/>
      <c r="F47" s="29" t="n"/>
      <c r="G47" s="29" t="n"/>
      <c r="H47" s="29" t="n"/>
      <c r="I47" s="30" t="n"/>
    </row>
    <row r="48" ht="20" customHeight="1">
      <c r="A48" s="9" t="inlineStr">
        <is>
          <t>IV. Power Mastery</t>
        </is>
      </c>
      <c r="B48" s="29" t="n"/>
      <c r="C48" s="29" t="n"/>
      <c r="D48" s="29" t="n"/>
      <c r="E48" s="29" t="n"/>
      <c r="F48" s="29" t="n"/>
      <c r="G48" s="29" t="n"/>
      <c r="H48" s="29" t="n"/>
      <c r="I48" s="30" t="n"/>
    </row>
    <row r="49">
      <c r="A49" s="5" t="inlineStr">
        <is>
          <t>Tier</t>
        </is>
      </c>
      <c r="B49" s="30" t="n"/>
      <c r="C49" s="5" t="inlineStr">
        <is>
          <t>Effect</t>
        </is>
      </c>
      <c r="D49" s="29" t="n"/>
      <c r="E49" s="29" t="n"/>
      <c r="F49" s="29" t="n"/>
      <c r="G49" s="29" t="n"/>
      <c r="H49" s="29" t="n"/>
      <c r="I49" s="30" t="n"/>
    </row>
    <row r="50" ht="22" customHeight="1">
      <c r="A50" s="12" t="inlineStr">
        <is>
          <t>Tier 2 (Prestige 6)</t>
        </is>
      </c>
      <c r="B50" s="30" t="n"/>
      <c r="C50" s="18" t="inlineStr">
        <is>
          <t>Fatigue changed from "Action Point (AP) = 0" to "Action Point (AP) = 2 and cannot attack."</t>
        </is>
      </c>
      <c r="D50" s="29" t="n"/>
      <c r="E50" s="29" t="n"/>
      <c r="F50" s="29" t="n"/>
      <c r="G50" s="29" t="n"/>
      <c r="H50" s="29" t="n"/>
      <c r="I50" s="30" t="n"/>
    </row>
    <row r="51" ht="22" customHeight="1">
      <c r="A51" s="12" t="inlineStr">
        <is>
          <t>Tier 3 (Prestige 11)</t>
        </is>
      </c>
      <c r="B51" s="30" t="n"/>
      <c r="C51" s="18" t="inlineStr">
        <is>
          <t>Blink Charge Cap 3; third Blink same round(s) Difficulty Class (DC) +8, max distance 2 cells.</t>
        </is>
      </c>
      <c r="D51" s="29" t="n"/>
      <c r="E51" s="29" t="n"/>
      <c r="F51" s="29" t="n"/>
      <c r="G51" s="29" t="n"/>
      <c r="H51" s="29" t="n"/>
      <c r="I51" s="30" t="n"/>
    </row>
    <row r="52" ht="78" customHeight="1">
      <c r="A52" s="12" t="inlineStr">
        <is>
          <t>Tier 4 (Prestige 16)</t>
        </is>
      </c>
      <c r="B52" s="30" t="n"/>
      <c r="C52" s="18" t="inlineStr">
        <is>
          <t>Endgame Form | Nowhere Left
Cost 5 Pressure Point (PRE) + 1 Action Point (AP), 3 times per Trial.
Within this round(s): ① Blink max distance raised to Far (FAR) 16 cells; ② multiple Blinks same round(s) avoid the escalating Difficulty Class (DC) penalty; ③ no Fatigue triggered this round(s) (deferred to end of next round(s)).</t>
        </is>
      </c>
      <c r="D52" s="29" t="n"/>
      <c r="E52" s="29" t="n"/>
      <c r="F52" s="29" t="n"/>
      <c r="G52" s="29" t="n"/>
      <c r="H52" s="29" t="n"/>
      <c r="I52" s="30" t="n"/>
    </row>
    <row r="53" ht="20" customHeight="1">
      <c r="A53" s="9" t="inlineStr">
        <is>
          <t>V. Exclusive Perks (Perk)</t>
        </is>
      </c>
      <c r="B53" s="29" t="n"/>
      <c r="C53" s="29" t="n"/>
      <c r="D53" s="29" t="n"/>
      <c r="E53" s="29" t="n"/>
      <c r="F53" s="29" t="n"/>
      <c r="G53" s="29" t="n"/>
      <c r="H53" s="29" t="n"/>
      <c r="I53" s="30" t="n"/>
    </row>
    <row r="54">
      <c r="A54" s="5" t="inlineStr">
        <is>
          <t>No.</t>
        </is>
      </c>
      <c r="B54" s="30" t="n"/>
      <c r="C54" s="5" t="inlineStr">
        <is>
          <t>Name</t>
        </is>
      </c>
      <c r="D54" s="29" t="n"/>
      <c r="E54" s="29" t="n"/>
      <c r="F54" s="30" t="n"/>
      <c r="G54" s="5" t="inlineStr">
        <is>
          <t>Source</t>
        </is>
      </c>
      <c r="H54" s="29" t="n"/>
      <c r="I54" s="30" t="n"/>
    </row>
    <row r="55">
      <c r="A55" s="8" t="inlineStr">
        <is>
          <t>TALENT-K10</t>
        </is>
      </c>
      <c r="B55" s="30" t="n"/>
      <c r="C55" s="6" t="inlineStr">
        <is>
          <t>A Nurse's Calling</t>
        </is>
      </c>
      <c r="D55" s="29" t="n"/>
      <c r="E55" s="29" t="n"/>
      <c r="F55" s="30" t="n"/>
      <c r="G55" s="6" t="n"/>
      <c r="H55" s="29" t="n"/>
      <c r="I55" s="30" t="n"/>
    </row>
    <row r="56">
      <c r="A56" s="8" t="inlineStr">
        <is>
          <t>TALENT-K11</t>
        </is>
      </c>
      <c r="B56" s="30" t="n"/>
      <c r="C56" s="6" t="inlineStr">
        <is>
          <t>Thanatophobia</t>
        </is>
      </c>
      <c r="D56" s="29" t="n"/>
      <c r="E56" s="29" t="n"/>
      <c r="F56" s="30" t="n"/>
      <c r="G56" s="6" t="n"/>
      <c r="H56" s="29" t="n"/>
      <c r="I56" s="30" t="n"/>
    </row>
    <row r="57">
      <c r="A57" s="8" t="inlineStr">
        <is>
          <t>TALENT-K12</t>
        </is>
      </c>
      <c r="B57" s="30" t="n"/>
      <c r="C57" s="6" t="inlineStr">
        <is>
          <t>The Last Moment (Stridor adaptation)</t>
        </is>
      </c>
      <c r="D57" s="29" t="n"/>
      <c r="E57" s="29" t="n"/>
      <c r="F57" s="30" t="n"/>
      <c r="G57" s="6" t="n"/>
      <c r="H57" s="29" t="n"/>
      <c r="I57" s="30" t="n"/>
    </row>
    <row r="58" ht="20" customHeight="1">
      <c r="A58" s="9" t="inlineStr">
        <is>
          <t>VI. Encounter Cost &amp; Deployment</t>
        </is>
      </c>
      <c r="B58" s="29" t="n"/>
      <c r="C58" s="29" t="n"/>
      <c r="D58" s="29" t="n"/>
      <c r="E58" s="29" t="n"/>
      <c r="F58" s="29" t="n"/>
      <c r="G58" s="29" t="n"/>
      <c r="H58" s="29" t="n"/>
      <c r="I58" s="30" t="n"/>
    </row>
    <row r="59">
      <c r="A59" s="12" t="inlineStr">
        <is>
          <t>As the Trial's main Killer</t>
        </is>
      </c>
      <c r="B59" s="29" t="n"/>
      <c r="C59" s="30" t="n"/>
      <c r="D59" s="6" t="inlineStr">
        <is>
          <t>takes 60% of Encounter Budget (EB)</t>
        </is>
      </c>
      <c r="E59" s="29" t="n"/>
      <c r="F59" s="29" t="n"/>
      <c r="G59" s="29" t="n"/>
      <c r="H59" s="29" t="n"/>
      <c r="I59" s="30" t="n"/>
    </row>
    <row r="60">
      <c r="A60" s="12" t="inlineStr">
        <is>
          <t>As a fixed threat in the scenario</t>
        </is>
      </c>
      <c r="B60" s="29" t="n"/>
      <c r="C60" s="30" t="n"/>
      <c r="D60" s="6" t="inlineStr">
        <is>
          <t>Challenge Rating (CR) × 2</t>
        </is>
      </c>
      <c r="E60" s="29" t="n"/>
      <c r="F60" s="29" t="n"/>
      <c r="G60" s="29" t="n"/>
      <c r="H60" s="29" t="n"/>
      <c r="I60" s="30" t="n"/>
    </row>
    <row r="61" ht="42" customHeight="1">
      <c r="A61" s="12" t="inlineStr">
        <is>
          <t>Solo config (N = 1) adjustment</t>
        </is>
      </c>
      <c r="B61" s="29" t="n"/>
      <c r="C61" s="30" t="n"/>
      <c r="D61" s="18" t="inlineStr">
        <is>
          <t>When N = 1: Blink Charge Cap is fixed at 2 (not raised by Tier III mastery or add-ons), and Fatigue remains "Action Point (AP) = 0".
Reason: the Nurse is a disastrous avatar against a solo Player. If the GM uses the Nurse in Config I, the Player must be given an extra 1 Hope Point (HOP) as opening compensation.</t>
        </is>
      </c>
      <c r="E61" s="29" t="n"/>
      <c r="F61" s="29" t="n"/>
      <c r="G61" s="29" t="n"/>
      <c r="H61" s="29" t="n"/>
      <c r="I61" s="30" t="n"/>
    </row>
    <row r="62" ht="20" customHeight="1">
      <c r="A62" s="9" t="inlineStr">
        <is>
          <t>VII. In-Trial Tracker</t>
        </is>
      </c>
      <c r="B62" s="29" t="n"/>
      <c r="C62" s="29" t="n"/>
      <c r="D62" s="29" t="n"/>
      <c r="E62" s="29" t="n"/>
      <c r="F62" s="29" t="n"/>
      <c r="G62" s="29" t="n"/>
      <c r="H62" s="29" t="n"/>
      <c r="I62" s="30" t="n"/>
    </row>
    <row r="63">
      <c r="A63" s="12" t="inlineStr">
        <is>
          <t>Current Pressure Point (PRE)</t>
        </is>
      </c>
      <c r="B63" s="30" t="n"/>
      <c r="C63" s="8" t="n"/>
      <c r="D63" s="30" t="n"/>
      <c r="E63" s="12" t="inlineStr">
        <is>
          <t>Pressure Ramp Phase</t>
        </is>
      </c>
      <c r="F63" s="30" t="n"/>
      <c r="G63" s="8" t="inlineStr">
        <is>
          <t>☐ I　☐ II　☐ III</t>
        </is>
      </c>
      <c r="H63" s="29" t="n"/>
      <c r="I63" s="30" t="n"/>
    </row>
    <row r="64">
      <c r="A64" s="12" t="inlineStr">
        <is>
          <t>Sacrificed Count</t>
        </is>
      </c>
      <c r="B64" s="30" t="n"/>
      <c r="C64" s="8" t="n"/>
      <c r="D64" s="30" t="n"/>
      <c r="E64" s="12" t="inlineStr">
        <is>
          <t>Hunt Lead</t>
        </is>
      </c>
      <c r="F64" s="30" t="n"/>
      <c r="G64" s="8" t="n"/>
      <c r="H64" s="29" t="n"/>
      <c r="I64" s="30" t="n"/>
    </row>
    <row r="65" ht="44" customHeight="1">
      <c r="A65" s="12" t="inlineStr">
        <is>
          <t>Notes</t>
        </is>
      </c>
      <c r="B65" s="30" t="n"/>
      <c r="C65" s="18" t="n"/>
      <c r="D65" s="29" t="n"/>
      <c r="E65" s="29" t="n"/>
      <c r="F65" s="29" t="n"/>
      <c r="G65" s="29" t="n"/>
      <c r="H65" s="29" t="n"/>
      <c r="I65" s="30" t="n"/>
    </row>
  </sheetData>
  <mergeCells count="133">
    <mergeCell ref="C36:I36"/>
    <mergeCell ref="A15:B15"/>
    <mergeCell ref="A64:B64"/>
    <mergeCell ref="A51:B51"/>
    <mergeCell ref="A21:C21"/>
    <mergeCell ref="C64:D64"/>
    <mergeCell ref="A26:C26"/>
    <mergeCell ref="E64:F64"/>
    <mergeCell ref="A54:B54"/>
    <mergeCell ref="E4:I4"/>
    <mergeCell ref="A7:B7"/>
    <mergeCell ref="A23:C23"/>
    <mergeCell ref="A41:B41"/>
    <mergeCell ref="D13:E13"/>
    <mergeCell ref="C63:D63"/>
    <mergeCell ref="E63:F63"/>
    <mergeCell ref="A17:I17"/>
    <mergeCell ref="A53:I53"/>
    <mergeCell ref="A56:B56"/>
    <mergeCell ref="A62:I62"/>
    <mergeCell ref="G63:I63"/>
    <mergeCell ref="C45:I45"/>
    <mergeCell ref="D7:E7"/>
    <mergeCell ref="A33:B33"/>
    <mergeCell ref="A42:B42"/>
    <mergeCell ref="C54:F54"/>
    <mergeCell ref="F15:I15"/>
    <mergeCell ref="D59:I59"/>
    <mergeCell ref="C47:I47"/>
    <mergeCell ref="D60:I60"/>
    <mergeCell ref="A48:I48"/>
    <mergeCell ref="A35:B35"/>
    <mergeCell ref="C40:I40"/>
    <mergeCell ref="C56:F56"/>
    <mergeCell ref="H23:I23"/>
    <mergeCell ref="A2:C5"/>
    <mergeCell ref="A39:B39"/>
    <mergeCell ref="F13:I13"/>
    <mergeCell ref="D10:E10"/>
    <mergeCell ref="A45:B45"/>
    <mergeCell ref="E5:F5"/>
    <mergeCell ref="A12:C12"/>
    <mergeCell ref="H25:I25"/>
    <mergeCell ref="G7:H7"/>
    <mergeCell ref="D11:E11"/>
    <mergeCell ref="C34:I34"/>
    <mergeCell ref="A37:B37"/>
    <mergeCell ref="A46:B46"/>
    <mergeCell ref="G55:I55"/>
    <mergeCell ref="G64:I64"/>
    <mergeCell ref="C42:I42"/>
    <mergeCell ref="A29:C29"/>
    <mergeCell ref="G54:I54"/>
    <mergeCell ref="A13:C13"/>
    <mergeCell ref="H19:I19"/>
    <mergeCell ref="G56:I56"/>
    <mergeCell ref="H28:I28"/>
    <mergeCell ref="D9:E9"/>
    <mergeCell ref="C65:I65"/>
    <mergeCell ref="A24:C24"/>
    <mergeCell ref="C44:I44"/>
    <mergeCell ref="A60:C60"/>
    <mergeCell ref="A52:B52"/>
    <mergeCell ref="A63:B63"/>
    <mergeCell ref="A1:I1"/>
    <mergeCell ref="H5:I5"/>
    <mergeCell ref="C46:I46"/>
    <mergeCell ref="C51:I51"/>
    <mergeCell ref="A34:B34"/>
    <mergeCell ref="A25:C25"/>
    <mergeCell ref="F9:I9"/>
    <mergeCell ref="A49:B49"/>
    <mergeCell ref="D61:I61"/>
    <mergeCell ref="A18:C18"/>
    <mergeCell ref="A36:B36"/>
    <mergeCell ref="G3:I3"/>
    <mergeCell ref="C38:I38"/>
    <mergeCell ref="C57:F57"/>
    <mergeCell ref="H21:I21"/>
    <mergeCell ref="A65:B65"/>
    <mergeCell ref="A32:I32"/>
    <mergeCell ref="C49:I49"/>
    <mergeCell ref="A22:C22"/>
    <mergeCell ref="C33:I33"/>
    <mergeCell ref="F10:I10"/>
    <mergeCell ref="A20:C20"/>
    <mergeCell ref="A55:B55"/>
    <mergeCell ref="A28:C28"/>
    <mergeCell ref="A57:B57"/>
    <mergeCell ref="C35:I35"/>
    <mergeCell ref="E2:I2"/>
    <mergeCell ref="A14:B14"/>
    <mergeCell ref="A30:C30"/>
    <mergeCell ref="H22:I22"/>
    <mergeCell ref="A59:C59"/>
    <mergeCell ref="D12:E12"/>
    <mergeCell ref="A38:B38"/>
    <mergeCell ref="A43:B43"/>
    <mergeCell ref="F8:I8"/>
    <mergeCell ref="A61:C61"/>
    <mergeCell ref="A6:I6"/>
    <mergeCell ref="A40:B40"/>
    <mergeCell ref="H30:I30"/>
    <mergeCell ref="A16:I16"/>
    <mergeCell ref="C52:I52"/>
    <mergeCell ref="H20:I20"/>
    <mergeCell ref="G57:I57"/>
    <mergeCell ref="H29:I29"/>
    <mergeCell ref="C39:I39"/>
    <mergeCell ref="A27:C27"/>
    <mergeCell ref="C37:I37"/>
    <mergeCell ref="F14:I14"/>
    <mergeCell ref="A8:C8"/>
    <mergeCell ref="F11:I11"/>
    <mergeCell ref="A50:B50"/>
    <mergeCell ref="A10:C10"/>
    <mergeCell ref="A19:C19"/>
    <mergeCell ref="A47:B47"/>
    <mergeCell ref="F12:I12"/>
    <mergeCell ref="A9:C9"/>
    <mergeCell ref="A31:I31"/>
    <mergeCell ref="A58:I58"/>
    <mergeCell ref="C55:F55"/>
    <mergeCell ref="C41:I41"/>
    <mergeCell ref="H27:I27"/>
    <mergeCell ref="D8:E8"/>
    <mergeCell ref="C50:I50"/>
    <mergeCell ref="A11:C11"/>
    <mergeCell ref="H24:I24"/>
    <mergeCell ref="H18:I18"/>
    <mergeCell ref="C43:I43"/>
    <mergeCell ref="A44:B44"/>
    <mergeCell ref="H26:I26"/>
  </mergeCells>
  <printOptions horizontalCentered="1"/>
  <pageMargins left="0.75" right="0.75" top="1" bottom="1" header="0.5" footer="0.5"/>
  <pageSetup orientation="portrait" fitToHeight="0" fitToWidth="1"/>
</worksheet>
</file>

<file path=xl/worksheets/sheet5.xml><?xml version="1.0" encoding="utf-8"?>
<worksheet xmlns="http://schemas.openxmlformats.org/spreadsheetml/2006/main">
  <sheetPr>
    <outlinePr summaryBelow="1" summaryRight="1"/>
    <pageSetUpPr fitToPage="1"/>
  </sheetPr>
  <dimension ref="A1:I65"/>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Enemy Character Sheet　·　Killer Avatar</t>
        </is>
      </c>
      <c r="B1" s="25" t="n"/>
      <c r="C1" s="25" t="n"/>
      <c r="D1" s="25" t="n"/>
      <c r="E1" s="25" t="n"/>
      <c r="F1" s="25" t="n"/>
      <c r="G1" s="25" t="n"/>
      <c r="H1" s="25" t="n"/>
      <c r="I1" s="26" t="n"/>
    </row>
    <row r="2">
      <c r="A2" s="3" t="inlineStr">
        <is>
          <t>Character Art
(Paste character image here)</t>
        </is>
      </c>
      <c r="B2" s="27" t="n"/>
      <c r="C2" s="28" t="n"/>
      <c r="D2" s="5" t="inlineStr">
        <is>
          <t>Avatar Name</t>
        </is>
      </c>
      <c r="E2" s="6" t="inlineStr">
        <is>
          <t>Huntress (HTR) | Miao Shuang</t>
        </is>
      </c>
      <c r="F2" s="29" t="n"/>
      <c r="G2" s="29" t="n"/>
      <c r="H2" s="29" t="n"/>
      <c r="I2" s="30" t="n"/>
    </row>
    <row r="3">
      <c r="A3" s="31" t="n"/>
      <c r="C3" s="32" t="n"/>
      <c r="D3" s="5" t="inlineStr">
        <is>
          <t>Avatar Abbr.</t>
        </is>
      </c>
      <c r="E3" s="8" t="inlineStr">
        <is>
          <t>HTR</t>
        </is>
      </c>
      <c r="F3" s="5" t="inlineStr">
        <is>
          <t>True Name</t>
        </is>
      </c>
      <c r="G3" s="6" t="inlineStr">
        <is>
          <t>Miao Shuang</t>
        </is>
      </c>
      <c r="H3" s="29" t="n"/>
      <c r="I3" s="30" t="n"/>
    </row>
    <row r="4">
      <c r="A4" s="31" t="n"/>
      <c r="C4" s="32" t="n"/>
      <c r="D4" s="5" t="inlineStr">
        <is>
          <t>Home Realm</t>
        </is>
      </c>
      <c r="E4" s="6" t="inlineStr">
        <is>
          <t>R7 Red Forest</t>
        </is>
      </c>
      <c r="F4" s="29" t="n"/>
      <c r="G4" s="29" t="n"/>
      <c r="H4" s="29" t="n"/>
      <c r="I4" s="30" t="n"/>
    </row>
    <row r="5">
      <c r="A5" s="33" t="n"/>
      <c r="B5" s="34" t="n"/>
      <c r="C5" s="35" t="n"/>
      <c r="D5" s="5" t="inlineStr">
        <is>
          <t>Power Type</t>
        </is>
      </c>
      <c r="E5" s="8" t="inlineStr">
        <is>
          <t>Projectile-type</t>
        </is>
      </c>
      <c r="F5" s="30" t="n"/>
      <c r="G5" s="5" t="inlineStr">
        <is>
          <t>Attribute Tendency</t>
        </is>
      </c>
      <c r="H5" s="6" t="inlineStr">
        <is>
          <t>Hunt (HNT)＋2、Brute Force (BRU)＋1</t>
        </is>
      </c>
      <c r="I5" s="30" t="n"/>
    </row>
    <row r="6" ht="20" customHeight="1">
      <c r="A6" s="9" t="inlineStr">
        <is>
          <t>I. Trial Panel (gray = fill, beige = auto)</t>
        </is>
      </c>
      <c r="B6" s="29" t="n"/>
      <c r="C6" s="29" t="n"/>
      <c r="D6" s="29" t="n"/>
      <c r="E6" s="29" t="n"/>
      <c r="F6" s="29" t="n"/>
      <c r="G6" s="29" t="n"/>
      <c r="H6" s="29" t="n"/>
      <c r="I6" s="30" t="n"/>
    </row>
    <row r="7">
      <c r="A7" s="5" t="inlineStr">
        <is>
          <t>Prestige (PRS)</t>
        </is>
      </c>
      <c r="B7" s="30" t="n"/>
      <c r="C7" s="8" t="n"/>
      <c r="D7" s="5" t="inlineStr">
        <is>
          <t>Survivor player count N</t>
        </is>
      </c>
      <c r="E7" s="30" t="n"/>
      <c r="F7" s="8" t="n"/>
      <c r="G7" s="5" t="inlineStr">
        <is>
          <t>Avatar Threat Factor (AVM)</t>
        </is>
      </c>
      <c r="H7" s="30" t="n"/>
      <c r="I7" s="8" t="n">
        <v>1</v>
      </c>
    </row>
    <row r="8">
      <c r="A8" s="12" t="inlineStr">
        <is>
          <t>Challenge Rating (CR)</t>
        </is>
      </c>
      <c r="B8" s="29" t="n"/>
      <c r="C8" s="30" t="n"/>
      <c r="D8" s="14">
        <f>IF($C$7="","",$C$7+$I$7)</f>
        <v/>
      </c>
      <c r="E8" s="30" t="n"/>
      <c r="F8" s="6" t="inlineStr">
        <is>
          <t>Prestige (PRS) + Avatar Threat Factor (AVM)</t>
        </is>
      </c>
      <c r="G8" s="29" t="n"/>
      <c r="H8" s="29" t="n"/>
      <c r="I8" s="30" t="n"/>
    </row>
    <row r="9">
      <c r="A9" s="12" t="inlineStr">
        <is>
          <t>Pressure Point (PRE) Cap</t>
        </is>
      </c>
      <c r="B9" s="29" t="n"/>
      <c r="C9" s="30" t="n"/>
      <c r="D9" s="14">
        <f>IF(OR($C$7="",$F$7=""),"",4+2*$F$7+INT($C$7/4))</f>
        <v/>
      </c>
      <c r="E9" s="30" t="n"/>
      <c r="F9" s="6" t="inlineStr">
        <is>
          <t>4 + 2×N + INT(Prestige (PRS) ÷ 4)</t>
        </is>
      </c>
      <c r="G9" s="29" t="n"/>
      <c r="H9" s="29" t="n"/>
      <c r="I9" s="30" t="n"/>
    </row>
    <row r="10">
      <c r="A10" s="12" t="inlineStr">
        <is>
          <t>Pressure Point (PRE) recovery / round</t>
        </is>
      </c>
      <c r="B10" s="29" t="n"/>
      <c r="C10" s="30" t="n"/>
      <c r="D10" s="14">
        <f>IF($F$7="","",2+INT($F$7/2))</f>
        <v/>
      </c>
      <c r="E10" s="30" t="n"/>
      <c r="F10" s="6" t="inlineStr">
        <is>
          <t>2 ＋ INT(N ÷ 2)</t>
        </is>
      </c>
      <c r="G10" s="29" t="n"/>
      <c r="H10" s="29" t="n"/>
      <c r="I10" s="30" t="n"/>
    </row>
    <row r="11">
      <c r="A11" s="12" t="inlineStr">
        <is>
          <t>Action Point (AP) / round</t>
        </is>
      </c>
      <c r="B11" s="29" t="n"/>
      <c r="C11" s="30" t="n"/>
      <c r="D11" s="14">
        <f>4</f>
        <v/>
      </c>
      <c r="E11" s="30" t="n"/>
      <c r="F11" s="6" t="inlineStr">
        <is>
          <t>Killer fixed at 4; Pressure Point (PRE) is a separate resource pool</t>
        </is>
      </c>
      <c r="G11" s="29" t="n"/>
      <c r="H11" s="29" t="n"/>
      <c r="I11" s="30" t="n"/>
    </row>
    <row r="12">
      <c r="A12" s="12" t="inlineStr">
        <is>
          <t>Hook Phase Rounds</t>
        </is>
      </c>
      <c r="B12" s="29" t="n"/>
      <c r="C12" s="30" t="n"/>
      <c r="D12" s="14">
        <f>IF($F$7="","",8-$F$7)</f>
        <v/>
      </c>
      <c r="E12" s="30" t="n"/>
      <c r="F12" s="6" t="inlineStr">
        <is>
          <t>8 − N. Each phase end advances one stage; end of phase 2 = Sacrifice</t>
        </is>
      </c>
      <c r="G12" s="29" t="n"/>
      <c r="H12" s="29" t="n"/>
      <c r="I12" s="30" t="n"/>
    </row>
    <row r="13">
      <c r="A13" s="12" t="inlineStr">
        <is>
          <t>Endgame Collapse rounds</t>
        </is>
      </c>
      <c r="B13" s="29" t="n"/>
      <c r="C13" s="30" t="n"/>
      <c r="D13" s="14">
        <f>IF($F$7="","",14-2*$F$7)</f>
        <v/>
      </c>
      <c r="E13" s="30" t="n"/>
      <c r="F13" s="6" t="inlineStr">
        <is>
          <t>14 − 2×N. Countdown starts after the last Generator is completed</t>
        </is>
      </c>
      <c r="G13" s="29" t="n"/>
      <c r="H13" s="29" t="n"/>
      <c r="I13" s="30" t="n"/>
    </row>
    <row r="14" ht="30" customHeight="1">
      <c r="A14" s="12" t="inlineStr">
        <is>
          <t>Terror Radius (TR)</t>
        </is>
      </c>
      <c r="B14" s="30" t="n"/>
      <c r="C14" s="8" t="n">
        <v>10</v>
      </c>
      <c r="D14" s="5" t="inlineStr">
        <is>
          <t>cell → meters</t>
        </is>
      </c>
      <c r="E14" s="14">
        <f>IF(C14="","",C14*2)</f>
        <v/>
      </c>
      <c r="F14" s="6" t="inlineStr">
        <is>
          <t>20 meters = 10 cells + Lullaby Radius 44 meters = 22 cells</t>
        </is>
      </c>
      <c r="G14" s="29" t="n"/>
      <c r="H14" s="29" t="n"/>
      <c r="I14" s="30" t="n"/>
    </row>
    <row r="15" ht="30" customHeight="1">
      <c r="A15" s="12" t="inlineStr">
        <is>
          <t>Move Level (MOV)</t>
        </is>
      </c>
      <c r="B15" s="30" t="n"/>
      <c r="C15" s="8" t="n">
        <v>6</v>
      </c>
      <c r="D15" s="5" t="inlineStr">
        <is>
          <t>cells / round(s)</t>
        </is>
      </c>
      <c r="E15" s="8" t="n"/>
      <c r="F15" s="6" t="inlineStr">
        <is>
          <t>Tier II Slight Slow (6 cells / round(s), Move Speed Advantage +1)</t>
        </is>
      </c>
      <c r="G15" s="29" t="n"/>
      <c r="H15" s="29" t="n"/>
      <c r="I15" s="30" t="n"/>
    </row>
    <row r="16">
      <c r="A16" s="16" t="inlineStr">
        <is>
          <t>1 cell = 2 meters. Distance Band (DB): Contact (CON) 0–1 cells / Near (NEA) 1–4 cells / Mid (MID) 4–8 cells / Far (FAR) 8–16 cells / Escaped (ESC) 16+ cells.</t>
        </is>
      </c>
      <c r="B16" s="29" t="n"/>
      <c r="C16" s="29" t="n"/>
      <c r="D16" s="29" t="n"/>
      <c r="E16" s="29" t="n"/>
      <c r="F16" s="29" t="n"/>
      <c r="G16" s="29" t="n"/>
      <c r="H16" s="29" t="n"/>
      <c r="I16" s="30" t="n"/>
    </row>
    <row r="17" ht="20" customHeight="1">
      <c r="A17" s="9" t="inlineStr">
        <is>
          <t>II. Attributes &amp; Skills (three-baseline reference)</t>
        </is>
      </c>
      <c r="B17" s="29" t="n"/>
      <c r="C17" s="29" t="n"/>
      <c r="D17" s="29" t="n"/>
      <c r="E17" s="29" t="n"/>
      <c r="F17" s="29" t="n"/>
      <c r="G17" s="29" t="n"/>
      <c r="H17" s="29" t="n"/>
      <c r="I17" s="30" t="n"/>
    </row>
    <row r="18" ht="30" customHeight="1">
      <c r="A18" s="5" t="inlineStr">
        <is>
          <t>Attribute / Skill</t>
        </is>
      </c>
      <c r="B18" s="29" t="n"/>
      <c r="C18" s="30" t="n"/>
      <c r="D18" s="5" t="inlineStr">
        <is>
          <t>Prestige 1 (8 pts)</t>
        </is>
      </c>
      <c r="E18" s="5" t="inlineStr">
        <is>
          <t>Prestige 10 (13 pts)</t>
        </is>
      </c>
      <c r="F18" s="5" t="inlineStr">
        <is>
          <t>Prestige 20 (18 pts)</t>
        </is>
      </c>
      <c r="G18" s="5" t="inlineStr">
        <is>
          <t>Used This Trial</t>
        </is>
      </c>
      <c r="H18" s="5" t="inlineStr">
        <is>
          <t>Notes</t>
        </is>
      </c>
      <c r="I18" s="30" t="n"/>
    </row>
    <row r="19">
      <c r="A19" s="12" t="inlineStr">
        <is>
          <t>Brute Force (BRU)</t>
        </is>
      </c>
      <c r="B19" s="29" t="n"/>
      <c r="C19" s="30" t="n"/>
      <c r="D19" s="8" t="inlineStr">
        <is>
          <t>2</t>
        </is>
      </c>
      <c r="E19" s="8" t="inlineStr">
        <is>
          <t>3</t>
        </is>
      </c>
      <c r="F19" s="8" t="inlineStr">
        <is>
          <t>4</t>
        </is>
      </c>
      <c r="G19" s="8" t="n"/>
      <c r="H19" s="6" t="n"/>
      <c r="I19" s="30" t="n"/>
    </row>
    <row r="20">
      <c r="A20" s="12" t="inlineStr">
        <is>
          <t>Hunt (HNT)</t>
        </is>
      </c>
      <c r="B20" s="29" t="n"/>
      <c r="C20" s="30" t="n"/>
      <c r="D20" s="8" t="inlineStr">
        <is>
          <t>3</t>
        </is>
      </c>
      <c r="E20" s="8" t="inlineStr">
        <is>
          <t>4</t>
        </is>
      </c>
      <c r="F20" s="8" t="inlineStr">
        <is>
          <t>5</t>
        </is>
      </c>
      <c r="G20" s="8" t="n"/>
      <c r="H20" s="6" t="n"/>
      <c r="I20" s="30" t="n"/>
    </row>
    <row r="21">
      <c r="A21" s="12" t="inlineStr">
        <is>
          <t>Perception (PER)</t>
        </is>
      </c>
      <c r="B21" s="29" t="n"/>
      <c r="C21" s="30" t="n"/>
      <c r="D21" s="8" t="inlineStr">
        <is>
          <t>1</t>
        </is>
      </c>
      <c r="E21" s="8" t="inlineStr">
        <is>
          <t>2</t>
        </is>
      </c>
      <c r="F21" s="8" t="inlineStr">
        <is>
          <t>3</t>
        </is>
      </c>
      <c r="G21" s="8" t="n"/>
      <c r="H21" s="6" t="n"/>
      <c r="I21" s="30" t="n"/>
    </row>
    <row r="22">
      <c r="A22" s="12" t="inlineStr">
        <is>
          <t>Dread (DRE)</t>
        </is>
      </c>
      <c r="B22" s="29" t="n"/>
      <c r="C22" s="30" t="n"/>
      <c r="D22" s="8" t="inlineStr">
        <is>
          <t>1</t>
        </is>
      </c>
      <c r="E22" s="8" t="inlineStr">
        <is>
          <t>1</t>
        </is>
      </c>
      <c r="F22" s="8" t="inlineStr">
        <is>
          <t>2</t>
        </is>
      </c>
      <c r="G22" s="8" t="n"/>
      <c r="H22" s="6" t="n"/>
      <c r="I22" s="30" t="n"/>
    </row>
    <row r="23">
      <c r="A23" s="12" t="inlineStr">
        <is>
          <t>Occult (OCC)</t>
        </is>
      </c>
      <c r="B23" s="29" t="n"/>
      <c r="C23" s="30" t="n"/>
      <c r="D23" s="8" t="inlineStr">
        <is>
          <t>1</t>
        </is>
      </c>
      <c r="E23" s="8" t="inlineStr">
        <is>
          <t>3</t>
        </is>
      </c>
      <c r="F23" s="8" t="inlineStr">
        <is>
          <t>4</t>
        </is>
      </c>
      <c r="G23" s="8" t="n"/>
      <c r="H23" s="6" t="n"/>
      <c r="I23" s="30" t="n"/>
    </row>
    <row r="24">
      <c r="A24" s="12" t="inlineStr">
        <is>
          <t>Tracking (TRK)</t>
        </is>
      </c>
      <c r="B24" s="29" t="n"/>
      <c r="C24" s="30" t="n"/>
      <c r="D24" s="8" t="inlineStr">
        <is>
          <t>0</t>
        </is>
      </c>
      <c r="E24" s="8" t="inlineStr">
        <is>
          <t>2</t>
        </is>
      </c>
      <c r="F24" s="8" t="inlineStr">
        <is>
          <t>4</t>
        </is>
      </c>
      <c r="G24" s="8" t="n"/>
      <c r="H24" s="6" t="n"/>
      <c r="I24" s="30" t="n"/>
    </row>
    <row r="25">
      <c r="A25" s="12" t="inlineStr">
        <is>
          <t>Subdue (SUP)</t>
        </is>
      </c>
      <c r="B25" s="29" t="n"/>
      <c r="C25" s="30" t="n"/>
      <c r="D25" s="8" t="inlineStr">
        <is>
          <t>1</t>
        </is>
      </c>
      <c r="E25" s="8" t="inlineStr">
        <is>
          <t>2</t>
        </is>
      </c>
      <c r="F25" s="8" t="inlineStr">
        <is>
          <t>4</t>
        </is>
      </c>
      <c r="G25" s="8" t="n"/>
      <c r="H25" s="6" t="n"/>
      <c r="I25" s="30" t="n"/>
    </row>
    <row r="26">
      <c r="A26" s="12" t="inlineStr">
        <is>
          <t>Coerce (COE)</t>
        </is>
      </c>
      <c r="B26" s="29" t="n"/>
      <c r="C26" s="30" t="n"/>
      <c r="D26" s="8" t="inlineStr">
        <is>
          <t>0</t>
        </is>
      </c>
      <c r="E26" s="8" t="inlineStr">
        <is>
          <t>1</t>
        </is>
      </c>
      <c r="F26" s="8" t="inlineStr">
        <is>
          <t>2</t>
        </is>
      </c>
      <c r="G26" s="8" t="n"/>
      <c r="H26" s="6" t="n"/>
      <c r="I26" s="30" t="n"/>
    </row>
    <row r="27">
      <c r="A27" s="12" t="inlineStr">
        <is>
          <t>Ritual (RIT)</t>
        </is>
      </c>
      <c r="B27" s="29" t="n"/>
      <c r="C27" s="30" t="n"/>
      <c r="D27" s="8" t="inlineStr">
        <is>
          <t>1</t>
        </is>
      </c>
      <c r="E27" s="8" t="inlineStr">
        <is>
          <t>3</t>
        </is>
      </c>
      <c r="F27" s="8" t="inlineStr">
        <is>
          <t>5</t>
        </is>
      </c>
      <c r="G27" s="8" t="n"/>
      <c r="H27" s="6" t="n"/>
      <c r="I27" s="30" t="n"/>
    </row>
    <row r="28">
      <c r="A28" s="12" t="inlineStr">
        <is>
          <t>Challenge Rating (CR)</t>
        </is>
      </c>
      <c r="B28" s="29" t="n"/>
      <c r="C28" s="30" t="n"/>
      <c r="D28" s="8" t="inlineStr">
        <is>
          <t>2</t>
        </is>
      </c>
      <c r="E28" s="8" t="inlineStr">
        <is>
          <t>11</t>
        </is>
      </c>
      <c r="F28" s="8" t="inlineStr">
        <is>
          <t>21</t>
        </is>
      </c>
      <c r="G28" s="8" t="n"/>
      <c r="H28" s="6" t="n"/>
      <c r="I28" s="30" t="n"/>
    </row>
    <row r="29">
      <c r="A29" s="12" t="inlineStr">
        <is>
          <t>Base Attack Modifier</t>
        </is>
      </c>
      <c r="B29" s="29" t="n"/>
      <c r="C29" s="30" t="n"/>
      <c r="D29" s="8" t="inlineStr">
        <is>
          <t>+3</t>
        </is>
      </c>
      <c r="E29" s="8" t="inlineStr">
        <is>
          <t>+5</t>
        </is>
      </c>
      <c r="F29" s="8" t="inlineStr">
        <is>
          <t>+8</t>
        </is>
      </c>
      <c r="G29" s="8" t="n"/>
      <c r="H29" s="6" t="n"/>
      <c r="I29" s="30" t="n"/>
    </row>
    <row r="30">
      <c r="A30" s="12" t="inlineStr">
        <is>
          <t>Power Check Modifier</t>
        </is>
      </c>
      <c r="B30" s="29" t="n"/>
      <c r="C30" s="30" t="n"/>
      <c r="D30" s="8" t="inlineStr">
        <is>
          <t>+2</t>
        </is>
      </c>
      <c r="E30" s="8" t="inlineStr">
        <is>
          <t>+6</t>
        </is>
      </c>
      <c r="F30" s="8" t="inlineStr">
        <is>
          <t>+9</t>
        </is>
      </c>
      <c r="G30" s="8" t="n"/>
      <c r="H30" s="6" t="n"/>
      <c r="I30" s="30" t="n"/>
    </row>
    <row r="31">
      <c r="A31" s="16" t="inlineStr">
        <is>
          <t>Killer's five attributes use a 'level 1–5' scale; the level is the check bonus (no ÷ 2). Total points = 8 + INT(Prestige (PRS) ÷ 2). The 'Used This Trial' column is for the GM to interpolate per the actual Prestige (PRS) deployed.</t>
        </is>
      </c>
      <c r="B31" s="29" t="n"/>
      <c r="C31" s="29" t="n"/>
      <c r="D31" s="29" t="n"/>
      <c r="E31" s="29" t="n"/>
      <c r="F31" s="29" t="n"/>
      <c r="G31" s="29" t="n"/>
      <c r="H31" s="29" t="n"/>
      <c r="I31" s="30" t="n"/>
    </row>
    <row r="32" ht="20" customHeight="1">
      <c r="A32" s="9" t="inlineStr">
        <is>
          <t>III. Power Card: Hand Axe (Hand Axe)</t>
        </is>
      </c>
      <c r="B32" s="29" t="n"/>
      <c r="C32" s="29" t="n"/>
      <c r="D32" s="29" t="n"/>
      <c r="E32" s="29" t="n"/>
      <c r="F32" s="29" t="n"/>
      <c r="G32" s="29" t="n"/>
      <c r="H32" s="29" t="n"/>
      <c r="I32" s="30" t="n"/>
    </row>
    <row r="33" ht="22" customHeight="1">
      <c r="A33" s="12" t="inlineStr">
        <is>
          <t>Slot</t>
        </is>
      </c>
      <c r="B33" s="30" t="n"/>
      <c r="C33" s="18" t="inlineStr">
        <is>
          <t>Content</t>
        </is>
      </c>
      <c r="D33" s="29" t="n"/>
      <c r="E33" s="29" t="n"/>
      <c r="F33" s="29" t="n"/>
      <c r="G33" s="29" t="n"/>
      <c r="H33" s="29" t="n"/>
      <c r="I33" s="30" t="n"/>
    </row>
    <row r="34" ht="22" customHeight="1">
      <c r="A34" s="12" t="inlineStr">
        <is>
          <t>Power Type</t>
        </is>
      </c>
      <c r="B34" s="30" t="n"/>
      <c r="C34" s="18" t="inlineStr">
        <is>
          <t>Projectile-type (Ammo system)</t>
        </is>
      </c>
      <c r="D34" s="29" t="n"/>
      <c r="E34" s="29" t="n"/>
      <c r="F34" s="29" t="n"/>
      <c r="G34" s="29" t="n"/>
      <c r="H34" s="29" t="n"/>
      <c r="I34" s="30" t="n"/>
    </row>
    <row r="35" ht="22" customHeight="1">
      <c r="A35" s="12" t="inlineStr">
        <is>
          <t>Power Charge (PWC) Name</t>
        </is>
      </c>
      <c r="B35" s="30" t="n"/>
      <c r="C35" s="18" t="inlineStr">
        <is>
          <t>Hatchet Ammo（Hatchet Ammo）</t>
        </is>
      </c>
      <c r="D35" s="29" t="n"/>
      <c r="E35" s="29" t="n"/>
      <c r="F35" s="29" t="n"/>
      <c r="G35" s="29" t="n"/>
      <c r="H35" s="29" t="n"/>
      <c r="I35" s="30" t="n"/>
    </row>
    <row r="36" ht="22" customHeight="1">
      <c r="A36" s="12" t="inlineStr">
        <is>
          <t>Charge Cap</t>
        </is>
      </c>
      <c r="B36" s="30" t="n"/>
      <c r="C36" s="18" t="inlineStr">
        <is>
          <t>PWC_max = 5 (7 after Tier III mastery)</t>
        </is>
      </c>
      <c r="D36" s="29" t="n"/>
      <c r="E36" s="29" t="n"/>
      <c r="F36" s="29" t="n"/>
      <c r="G36" s="29" t="n"/>
      <c r="H36" s="29" t="n"/>
      <c r="I36" s="30" t="n"/>
    </row>
    <row r="37" ht="33" customHeight="1">
      <c r="A37" s="12" t="inlineStr">
        <is>
          <t>Charge Recovery</t>
        </is>
      </c>
      <c r="B37" s="30" t="n"/>
      <c r="C37" s="18" t="inlineStr">
        <is>
          <t>No automatic recovery. Go to any Locker (Locker) and spend 1 Action Point (AP) to refill. The number of Lockers on the map is set by the world-crafter's Realm config (suggest 4 + N).</t>
        </is>
      </c>
      <c r="D37" s="29" t="n"/>
      <c r="E37" s="29" t="n"/>
      <c r="F37" s="29" t="n"/>
      <c r="G37" s="29" t="n"/>
      <c r="H37" s="29" t="n"/>
      <c r="I37" s="30" t="n"/>
    </row>
    <row r="38" ht="22" customHeight="1">
      <c r="A38" s="12" t="inlineStr">
        <is>
          <t>Action Point (AP) Cost</t>
        </is>
      </c>
      <c r="B38" s="30" t="n"/>
      <c r="C38" s="18" t="inlineStr">
        <is>
          <t>Charge 1 point + Throw 1 point (Total 2 pts, may be split across two round(s): charge this round(s), throw next round(s))</t>
        </is>
      </c>
      <c r="D38" s="29" t="n"/>
      <c r="E38" s="29" t="n"/>
      <c r="F38" s="29" t="n"/>
      <c r="G38" s="29" t="n"/>
      <c r="H38" s="29" t="n"/>
      <c r="I38" s="30" t="n"/>
    </row>
    <row r="39" ht="22" customHeight="1">
      <c r="A39" s="12" t="inlineStr">
        <is>
          <t>Pressure Point (PRE) Cost</t>
        </is>
      </c>
      <c r="B39" s="30" t="n"/>
      <c r="C39" s="18" t="inlineStr">
        <is>
          <t>2 pts</t>
        </is>
      </c>
      <c r="D39" s="29" t="n"/>
      <c r="E39" s="29" t="n"/>
      <c r="F39" s="29" t="n"/>
      <c r="G39" s="29" t="n"/>
      <c r="H39" s="29" t="n"/>
      <c r="I39" s="30" t="n"/>
    </row>
    <row r="40" ht="123" customHeight="1">
      <c r="A40" s="12" t="inlineStr">
        <is>
          <t>Resolution Formula</t>
        </is>
      </c>
      <c r="B40" s="30" t="n"/>
      <c r="C40" s="18" t="inlineStr">
        <is>
          <t>Max range Far (FAR) 16 cells, requires Line of Sight.
Power check 2d10 + Occult (OCC) + Ritual (RIT) − distance penalty vs Survivor 2d10 + Agility (AGI) + Parkour (PRK)
If the target did not Move this round(s) (repairing, healing, opening chests), instead oppose a static Difficulty Class (DC) 12 (no roll).
Distance penalty: Contact (CON) / Near (NEA) −0; Mid (MID) −2; Far (FAR) −4.</t>
        </is>
      </c>
      <c r="D40" s="29" t="n"/>
      <c r="E40" s="29" t="n"/>
      <c r="F40" s="29" t="n"/>
      <c r="G40" s="29" t="n"/>
      <c r="H40" s="29" t="n"/>
      <c r="I40" s="30" t="n"/>
    </row>
    <row r="41" ht="93" customHeight="1">
      <c r="A41" s="12" t="inlineStr">
        <is>
          <t>Hit Effect</t>
        </is>
      </c>
      <c r="B41" s="30" t="n"/>
      <c r="C41" s="18" t="inlineStr">
        <is>
          <t>Success: lose 1 Tier of Health State (HS).
Critical Success: lose 1 Tier of Health State (HS) + Haemorrhage (ST-07) 3 round(s).
If the target has cover on the flight path (blocked by an obstacle): the cover absorbs the throw, Survivor takes no damage (cover is an explicit mechanic, not flavor — see §5-3 Range and Cover).</t>
        </is>
      </c>
      <c r="D41" s="29" t="n"/>
      <c r="E41" s="29" t="n"/>
      <c r="F41" s="29" t="n"/>
      <c r="G41" s="29" t="n"/>
      <c r="H41" s="29" t="n"/>
      <c r="I41" s="30" t="n"/>
    </row>
    <row r="42" ht="33" customHeight="1">
      <c r="A42" s="12" t="inlineStr">
        <is>
          <t>Charge Cost</t>
        </is>
      </c>
      <c r="B42" s="30" t="n"/>
      <c r="C42" s="18" t="inlineStr">
        <is>
          <t>In the round(s) of charging, Move quota drops to 3 cells and Move Speed Advantage to +0. If not thrown next round(s), the charge is wasted (no Action Point (AP) refund, Pressure Point (PRE) refunded).</t>
        </is>
      </c>
      <c r="D42" s="29" t="n"/>
      <c r="E42" s="29" t="n"/>
      <c r="F42" s="29" t="n"/>
      <c r="G42" s="29" t="n"/>
      <c r="H42" s="29" t="n"/>
      <c r="I42" s="30" t="n"/>
    </row>
    <row r="43" ht="33" customHeight="1">
      <c r="A43" s="12" t="inlineStr">
        <is>
          <t>Miss / Cost</t>
        </is>
      </c>
      <c r="B43" s="30" t="n"/>
      <c r="C43" s="18" t="inlineStr">
        <is>
          <t>① Miss: ammo still consumes 1 round; ② at zero ammo she must return to a Locker to resupply — that trip is the Survivor's most precious repair window; ③ the charge slowdown makes her close-range chase weaker than a standard Killer.</t>
        </is>
      </c>
      <c r="D43" s="29" t="n"/>
      <c r="E43" s="29" t="n"/>
      <c r="F43" s="29" t="n"/>
      <c r="G43" s="29" t="n"/>
      <c r="H43" s="29" t="n"/>
      <c r="I43" s="30" t="n"/>
    </row>
    <row r="44" ht="22" customHeight="1">
      <c r="A44" s="12" t="inlineStr">
        <is>
          <t>Cooldown</t>
        </is>
      </c>
      <c r="B44" s="30" t="n"/>
      <c r="C44" s="18" t="inlineStr">
        <is>
          <t>None</t>
        </is>
      </c>
      <c r="D44" s="29" t="n"/>
      <c r="E44" s="29" t="n"/>
      <c r="F44" s="29" t="n"/>
      <c r="G44" s="29" t="n"/>
      <c r="H44" s="29" t="n"/>
      <c r="I44" s="30" t="n"/>
    </row>
    <row r="45" ht="150" customHeight="1">
      <c r="A45" s="12" t="inlineStr">
        <is>
          <t>Lullaby Rules</t>
        </is>
      </c>
      <c r="B45" s="30" t="n"/>
      <c r="C45" s="18" t="inlineStr">
        <is>
          <t>This is the most important "information mismatch" mechanic in the whole system and must be enforced strictly.
① A Survivor within 22 cells (44 m) but beyond 10 cells (20 m): the GM verbally hums or plays a cue to tell that Player "you hear singing," but issues no Heartbeat Token.
② Within 10 cells (20 m): normally issue Heartbeat Tokens by Terror Radius (TR).
③ The Player is thus in a state of "knows she is near but has no idea how near" — exactly the famous psychological pressure of the original Huntress.
④ The Lullaby is not suppressed by Undetectable (singing is not a heartbeat).</t>
        </is>
      </c>
      <c r="D45" s="29" t="n"/>
      <c r="E45" s="29" t="n"/>
      <c r="F45" s="29" t="n"/>
      <c r="G45" s="29" t="n"/>
      <c r="H45" s="29" t="n"/>
      <c r="I45" s="30" t="n"/>
    </row>
    <row r="46" ht="48" customHeight="1">
      <c r="A46" s="12" t="inlineStr">
        <is>
          <t>Survivor Counter</t>
        </is>
      </c>
      <c r="B46" s="30" t="n"/>
      <c r="C46" s="18" t="inlineStr">
        <is>
          <t>① Keep cover between you and the song source — cover fully absorbs throws; ② keep Moving — a stationary target opposing the static Difficulty Class (DC) 12 means giving up evasion; ③ track her resupply route — at 5 rounds of ammo she must return to a Locker, that is the safe window.</t>
        </is>
      </c>
      <c r="D46" s="29" t="n"/>
      <c r="E46" s="29" t="n"/>
      <c r="F46" s="29" t="n"/>
      <c r="G46" s="29" t="n"/>
      <c r="H46" s="29" t="n"/>
      <c r="I46" s="30" t="n"/>
    </row>
    <row r="47" ht="33" customHeight="1">
      <c r="A47" s="12" t="inlineStr">
        <is>
          <t>Solo Config Adjustment</t>
        </is>
      </c>
      <c r="B47" s="30" t="n"/>
      <c r="C47" s="18" t="inlineStr">
        <is>
          <t>When N = 1: Ammo cap −1 (4 rounds); and the Lullaby humming is at most once per round(s) (to keep a solo Player from being overwhelmed by sound for the whole match and losing judgment).</t>
        </is>
      </c>
      <c r="D47" s="29" t="n"/>
      <c r="E47" s="29" t="n"/>
      <c r="F47" s="29" t="n"/>
      <c r="G47" s="29" t="n"/>
      <c r="H47" s="29" t="n"/>
      <c r="I47" s="30" t="n"/>
    </row>
    <row r="48" ht="20" customHeight="1">
      <c r="A48" s="9" t="inlineStr">
        <is>
          <t>IV. Power Mastery</t>
        </is>
      </c>
      <c r="B48" s="29" t="n"/>
      <c r="C48" s="29" t="n"/>
      <c r="D48" s="29" t="n"/>
      <c r="E48" s="29" t="n"/>
      <c r="F48" s="29" t="n"/>
      <c r="G48" s="29" t="n"/>
      <c r="H48" s="29" t="n"/>
      <c r="I48" s="30" t="n"/>
    </row>
    <row r="49">
      <c r="A49" s="5" t="inlineStr">
        <is>
          <t>Tier</t>
        </is>
      </c>
      <c r="B49" s="30" t="n"/>
      <c r="C49" s="5" t="inlineStr">
        <is>
          <t>Effect</t>
        </is>
      </c>
      <c r="D49" s="29" t="n"/>
      <c r="E49" s="29" t="n"/>
      <c r="F49" s="29" t="n"/>
      <c r="G49" s="29" t="n"/>
      <c r="H49" s="29" t="n"/>
      <c r="I49" s="30" t="n"/>
    </row>
    <row r="50" ht="22" customHeight="1">
      <c r="A50" s="12" t="inlineStr">
        <is>
          <t>Tier 2 (Prestige 6)</t>
        </is>
      </c>
      <c r="B50" s="30" t="n"/>
      <c r="C50" s="18" t="inlineStr">
        <is>
          <t>Charge and throw merged into 1 Action Point (AP) (quick throw).</t>
        </is>
      </c>
      <c r="D50" s="29" t="n"/>
      <c r="E50" s="29" t="n"/>
      <c r="F50" s="29" t="n"/>
      <c r="G50" s="29" t="n"/>
      <c r="H50" s="29" t="n"/>
      <c r="I50" s="30" t="n"/>
    </row>
    <row r="51" ht="22" customHeight="1">
      <c r="A51" s="12" t="inlineStr">
        <is>
          <t>Tier 3 (Prestige 11)</t>
        </is>
      </c>
      <c r="B51" s="30" t="n"/>
      <c r="C51" s="18" t="inlineStr">
        <is>
          <t>Ammo cap 7; the charge-round(s) Move quota penalty is removed (stays 6 cells).</t>
        </is>
      </c>
      <c r="D51" s="29" t="n"/>
      <c r="E51" s="29" t="n"/>
      <c r="F51" s="29" t="n"/>
      <c r="G51" s="29" t="n"/>
      <c r="H51" s="29" t="n"/>
      <c r="I51" s="30" t="n"/>
    </row>
    <row r="52" ht="93" customHeight="1">
      <c r="A52" s="12" t="inlineStr">
        <is>
          <t>Tier 4 (Prestige 16)</t>
        </is>
      </c>
      <c r="B52" s="30" t="n"/>
      <c r="C52" s="18" t="inlineStr">
        <is>
          <t>Endgame Form | The Echoing Axe
Cost 4 Pressure Point (PRE) + 2 Action Point (AP), 3 times per Trial.
Throw 3 Hand Axes at once (consumes 3 ammo), may target the same or different targets, each resolved separately. Any axe that hits a Far (FAR) target additionally applies Exposed (Exposed, ST-06) for 2 round(s).</t>
        </is>
      </c>
      <c r="D52" s="29" t="n"/>
      <c r="E52" s="29" t="n"/>
      <c r="F52" s="29" t="n"/>
      <c r="G52" s="29" t="n"/>
      <c r="H52" s="29" t="n"/>
      <c r="I52" s="30" t="n"/>
    </row>
    <row r="53" ht="20" customHeight="1">
      <c r="A53" s="9" t="inlineStr">
        <is>
          <t>V. Exclusive Perks (Perk)</t>
        </is>
      </c>
      <c r="B53" s="29" t="n"/>
      <c r="C53" s="29" t="n"/>
      <c r="D53" s="29" t="n"/>
      <c r="E53" s="29" t="n"/>
      <c r="F53" s="29" t="n"/>
      <c r="G53" s="29" t="n"/>
      <c r="H53" s="29" t="n"/>
      <c r="I53" s="30" t="n"/>
    </row>
    <row r="54">
      <c r="A54" s="5" t="inlineStr">
        <is>
          <t>No.</t>
        </is>
      </c>
      <c r="B54" s="30" t="n"/>
      <c r="C54" s="5" t="inlineStr">
        <is>
          <t>Name</t>
        </is>
      </c>
      <c r="D54" s="29" t="n"/>
      <c r="E54" s="29" t="n"/>
      <c r="F54" s="30" t="n"/>
      <c r="G54" s="5" t="inlineStr">
        <is>
          <t>Source</t>
        </is>
      </c>
      <c r="H54" s="29" t="n"/>
      <c r="I54" s="30" t="n"/>
    </row>
    <row r="55">
      <c r="A55" s="8" t="inlineStr">
        <is>
          <t>TALENT-K13</t>
        </is>
      </c>
      <c r="B55" s="30" t="n"/>
      <c r="C55" s="6" t="inlineStr">
        <is>
          <t>Beast of Prey</t>
        </is>
      </c>
      <c r="D55" s="29" t="n"/>
      <c r="E55" s="29" t="n"/>
      <c r="F55" s="30" t="n"/>
      <c r="G55" s="6" t="n"/>
      <c r="H55" s="29" t="n"/>
      <c r="I55" s="30" t="n"/>
    </row>
    <row r="56">
      <c r="A56" s="8" t="inlineStr">
        <is>
          <t>TALENT-K14</t>
        </is>
      </c>
      <c r="B56" s="30" t="n"/>
      <c r="C56" s="6" t="inlineStr">
        <is>
          <t>Territorial Imperative</t>
        </is>
      </c>
      <c r="D56" s="29" t="n"/>
      <c r="E56" s="29" t="n"/>
      <c r="F56" s="30" t="n"/>
      <c r="G56" s="6" t="n"/>
      <c r="H56" s="29" t="n"/>
      <c r="I56" s="30" t="n"/>
    </row>
    <row r="57">
      <c r="A57" s="8" t="inlineStr">
        <is>
          <t>TALENT-K15</t>
        </is>
      </c>
      <c r="B57" s="30" t="n"/>
      <c r="C57" s="6" t="inlineStr">
        <is>
          <t>Cursed: Huntress Lullaby (Hex)</t>
        </is>
      </c>
      <c r="D57" s="29" t="n"/>
      <c r="E57" s="29" t="n"/>
      <c r="F57" s="30" t="n"/>
      <c r="G57" s="6" t="n"/>
      <c r="H57" s="29" t="n"/>
      <c r="I57" s="30" t="n"/>
    </row>
    <row r="58" ht="20" customHeight="1">
      <c r="A58" s="9" t="inlineStr">
        <is>
          <t>VI. Encounter Cost &amp; Deployment</t>
        </is>
      </c>
      <c r="B58" s="29" t="n"/>
      <c r="C58" s="29" t="n"/>
      <c r="D58" s="29" t="n"/>
      <c r="E58" s="29" t="n"/>
      <c r="F58" s="29" t="n"/>
      <c r="G58" s="29" t="n"/>
      <c r="H58" s="29" t="n"/>
      <c r="I58" s="30" t="n"/>
    </row>
    <row r="59">
      <c r="A59" s="12" t="inlineStr">
        <is>
          <t>As the Trial's main Killer</t>
        </is>
      </c>
      <c r="B59" s="29" t="n"/>
      <c r="C59" s="30" t="n"/>
      <c r="D59" s="6" t="inlineStr">
        <is>
          <t>takes 60% of Encounter Budget (EB)</t>
        </is>
      </c>
      <c r="E59" s="29" t="n"/>
      <c r="F59" s="29" t="n"/>
      <c r="G59" s="29" t="n"/>
      <c r="H59" s="29" t="n"/>
      <c r="I59" s="30" t="n"/>
    </row>
    <row r="60">
      <c r="A60" s="12" t="inlineStr">
        <is>
          <t>As a fixed threat in the scenario</t>
        </is>
      </c>
      <c r="B60" s="29" t="n"/>
      <c r="C60" s="30" t="n"/>
      <c r="D60" s="6" t="inlineStr">
        <is>
          <t>Challenge Rating (CR) × 2</t>
        </is>
      </c>
      <c r="E60" s="29" t="n"/>
      <c r="F60" s="29" t="n"/>
      <c r="G60" s="29" t="n"/>
      <c r="H60" s="29" t="n"/>
      <c r="I60" s="30" t="n"/>
    </row>
    <row r="61" ht="42" customHeight="1">
      <c r="A61" s="12" t="inlineStr">
        <is>
          <t>Solo config (N = 1) adjustment</t>
        </is>
      </c>
      <c r="B61" s="29" t="n"/>
      <c r="C61" s="30" t="n"/>
      <c r="D61" s="18" t="inlineStr">
        <is>
          <t>When N = 1: Ammo cap −1 (4 rounds); and the Lullaby humming is at most once per round(s) (to keep a solo Player from being overwhelmed by sound for the whole match and losing judgment).</t>
        </is>
      </c>
      <c r="E61" s="29" t="n"/>
      <c r="F61" s="29" t="n"/>
      <c r="G61" s="29" t="n"/>
      <c r="H61" s="29" t="n"/>
      <c r="I61" s="30" t="n"/>
    </row>
    <row r="62" ht="20" customHeight="1">
      <c r="A62" s="9" t="inlineStr">
        <is>
          <t>VII. In-Trial Tracker</t>
        </is>
      </c>
      <c r="B62" s="29" t="n"/>
      <c r="C62" s="29" t="n"/>
      <c r="D62" s="29" t="n"/>
      <c r="E62" s="29" t="n"/>
      <c r="F62" s="29" t="n"/>
      <c r="G62" s="29" t="n"/>
      <c r="H62" s="29" t="n"/>
      <c r="I62" s="30" t="n"/>
    </row>
    <row r="63">
      <c r="A63" s="12" t="inlineStr">
        <is>
          <t>Current Pressure Point (PRE)</t>
        </is>
      </c>
      <c r="B63" s="30" t="n"/>
      <c r="C63" s="8" t="n"/>
      <c r="D63" s="30" t="n"/>
      <c r="E63" s="12" t="inlineStr">
        <is>
          <t>Pressure Ramp Phase</t>
        </is>
      </c>
      <c r="F63" s="30" t="n"/>
      <c r="G63" s="8" t="inlineStr">
        <is>
          <t>☐ I　☐ II　☐ III</t>
        </is>
      </c>
      <c r="H63" s="29" t="n"/>
      <c r="I63" s="30" t="n"/>
    </row>
    <row r="64">
      <c r="A64" s="12" t="inlineStr">
        <is>
          <t>Sacrificed Count</t>
        </is>
      </c>
      <c r="B64" s="30" t="n"/>
      <c r="C64" s="8" t="n"/>
      <c r="D64" s="30" t="n"/>
      <c r="E64" s="12" t="inlineStr">
        <is>
          <t>Hunt Lead</t>
        </is>
      </c>
      <c r="F64" s="30" t="n"/>
      <c r="G64" s="8" t="n"/>
      <c r="H64" s="29" t="n"/>
      <c r="I64" s="30" t="n"/>
    </row>
    <row r="65" ht="44" customHeight="1">
      <c r="A65" s="12" t="inlineStr">
        <is>
          <t>Notes</t>
        </is>
      </c>
      <c r="B65" s="30" t="n"/>
      <c r="C65" s="18" t="n"/>
      <c r="D65" s="29" t="n"/>
      <c r="E65" s="29" t="n"/>
      <c r="F65" s="29" t="n"/>
      <c r="G65" s="29" t="n"/>
      <c r="H65" s="29" t="n"/>
      <c r="I65" s="30" t="n"/>
    </row>
  </sheetData>
  <mergeCells count="133">
    <mergeCell ref="C36:I36"/>
    <mergeCell ref="A15:B15"/>
    <mergeCell ref="A64:B64"/>
    <mergeCell ref="A51:B51"/>
    <mergeCell ref="A21:C21"/>
    <mergeCell ref="C64:D64"/>
    <mergeCell ref="A26:C26"/>
    <mergeCell ref="E64:F64"/>
    <mergeCell ref="A54:B54"/>
    <mergeCell ref="E4:I4"/>
    <mergeCell ref="A7:B7"/>
    <mergeCell ref="A23:C23"/>
    <mergeCell ref="A41:B41"/>
    <mergeCell ref="D13:E13"/>
    <mergeCell ref="C63:D63"/>
    <mergeCell ref="E63:F63"/>
    <mergeCell ref="A17:I17"/>
    <mergeCell ref="A53:I53"/>
    <mergeCell ref="A56:B56"/>
    <mergeCell ref="A62:I62"/>
    <mergeCell ref="G63:I63"/>
    <mergeCell ref="C45:I45"/>
    <mergeCell ref="D7:E7"/>
    <mergeCell ref="A33:B33"/>
    <mergeCell ref="A42:B42"/>
    <mergeCell ref="C54:F54"/>
    <mergeCell ref="F15:I15"/>
    <mergeCell ref="D59:I59"/>
    <mergeCell ref="C47:I47"/>
    <mergeCell ref="D60:I60"/>
    <mergeCell ref="A48:I48"/>
    <mergeCell ref="A35:B35"/>
    <mergeCell ref="C40:I40"/>
    <mergeCell ref="C56:F56"/>
    <mergeCell ref="H23:I23"/>
    <mergeCell ref="A2:C5"/>
    <mergeCell ref="A39:B39"/>
    <mergeCell ref="F13:I13"/>
    <mergeCell ref="D10:E10"/>
    <mergeCell ref="A45:B45"/>
    <mergeCell ref="E5:F5"/>
    <mergeCell ref="A12:C12"/>
    <mergeCell ref="H25:I25"/>
    <mergeCell ref="G7:H7"/>
    <mergeCell ref="D11:E11"/>
    <mergeCell ref="C34:I34"/>
    <mergeCell ref="A37:B37"/>
    <mergeCell ref="A46:B46"/>
    <mergeCell ref="G55:I55"/>
    <mergeCell ref="G64:I64"/>
    <mergeCell ref="C42:I42"/>
    <mergeCell ref="A29:C29"/>
    <mergeCell ref="G54:I54"/>
    <mergeCell ref="A13:C13"/>
    <mergeCell ref="H19:I19"/>
    <mergeCell ref="G56:I56"/>
    <mergeCell ref="H28:I28"/>
    <mergeCell ref="D9:E9"/>
    <mergeCell ref="C65:I65"/>
    <mergeCell ref="A24:C24"/>
    <mergeCell ref="C44:I44"/>
    <mergeCell ref="A60:C60"/>
    <mergeCell ref="A52:B52"/>
    <mergeCell ref="A63:B63"/>
    <mergeCell ref="A1:I1"/>
    <mergeCell ref="H5:I5"/>
    <mergeCell ref="C46:I46"/>
    <mergeCell ref="C51:I51"/>
    <mergeCell ref="A34:B34"/>
    <mergeCell ref="A25:C25"/>
    <mergeCell ref="F9:I9"/>
    <mergeCell ref="A49:B49"/>
    <mergeCell ref="D61:I61"/>
    <mergeCell ref="A18:C18"/>
    <mergeCell ref="A36:B36"/>
    <mergeCell ref="G3:I3"/>
    <mergeCell ref="C38:I38"/>
    <mergeCell ref="C57:F57"/>
    <mergeCell ref="H21:I21"/>
    <mergeCell ref="A65:B65"/>
    <mergeCell ref="A32:I32"/>
    <mergeCell ref="C49:I49"/>
    <mergeCell ref="A22:C22"/>
    <mergeCell ref="C33:I33"/>
    <mergeCell ref="F10:I10"/>
    <mergeCell ref="A20:C20"/>
    <mergeCell ref="A55:B55"/>
    <mergeCell ref="A28:C28"/>
    <mergeCell ref="A57:B57"/>
    <mergeCell ref="C35:I35"/>
    <mergeCell ref="E2:I2"/>
    <mergeCell ref="A14:B14"/>
    <mergeCell ref="A30:C30"/>
    <mergeCell ref="H22:I22"/>
    <mergeCell ref="A59:C59"/>
    <mergeCell ref="D12:E12"/>
    <mergeCell ref="A38:B38"/>
    <mergeCell ref="A43:B43"/>
    <mergeCell ref="F8:I8"/>
    <mergeCell ref="A61:C61"/>
    <mergeCell ref="A6:I6"/>
    <mergeCell ref="A40:B40"/>
    <mergeCell ref="H30:I30"/>
    <mergeCell ref="A16:I16"/>
    <mergeCell ref="C52:I52"/>
    <mergeCell ref="H20:I20"/>
    <mergeCell ref="G57:I57"/>
    <mergeCell ref="H29:I29"/>
    <mergeCell ref="C39:I39"/>
    <mergeCell ref="A27:C27"/>
    <mergeCell ref="C37:I37"/>
    <mergeCell ref="F14:I14"/>
    <mergeCell ref="A8:C8"/>
    <mergeCell ref="F11:I11"/>
    <mergeCell ref="A50:B50"/>
    <mergeCell ref="A10:C10"/>
    <mergeCell ref="A19:C19"/>
    <mergeCell ref="A47:B47"/>
    <mergeCell ref="F12:I12"/>
    <mergeCell ref="A9:C9"/>
    <mergeCell ref="A31:I31"/>
    <mergeCell ref="A58:I58"/>
    <mergeCell ref="C55:F55"/>
    <mergeCell ref="C41:I41"/>
    <mergeCell ref="H27:I27"/>
    <mergeCell ref="D8:E8"/>
    <mergeCell ref="C50:I50"/>
    <mergeCell ref="A11:C11"/>
    <mergeCell ref="H24:I24"/>
    <mergeCell ref="H18:I18"/>
    <mergeCell ref="C43:I43"/>
    <mergeCell ref="A44:B44"/>
    <mergeCell ref="H26:I26"/>
  </mergeCells>
  <printOptions horizontalCentered="1"/>
  <pageMargins left="0.75" right="0.75" top="1" bottom="1" header="0.5" footer="0.5"/>
  <pageSetup orientation="portrait" fitToHeight="0" fitToWidth="1"/>
</worksheet>
</file>

<file path=xl/worksheets/sheet6.xml><?xml version="1.0" encoding="utf-8"?>
<worksheet xmlns="http://schemas.openxmlformats.org/spreadsheetml/2006/main">
  <sheetPr>
    <outlinePr summaryBelow="1" summaryRight="1"/>
    <pageSetUpPr fitToPage="1"/>
  </sheetPr>
  <dimension ref="A1:I66"/>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Enemy Character Sheet　·　Killer Avatar</t>
        </is>
      </c>
      <c r="B1" s="25" t="n"/>
      <c r="C1" s="25" t="n"/>
      <c r="D1" s="25" t="n"/>
      <c r="E1" s="25" t="n"/>
      <c r="F1" s="25" t="n"/>
      <c r="G1" s="25" t="n"/>
      <c r="H1" s="25" t="n"/>
      <c r="I1" s="26" t="n"/>
    </row>
    <row r="2">
      <c r="A2" s="3" t="inlineStr">
        <is>
          <t>Character Art
(Paste character image here)</t>
        </is>
      </c>
      <c r="B2" s="27" t="n"/>
      <c r="C2" s="28" t="n"/>
      <c r="D2" s="5" t="inlineStr">
        <is>
          <t>Avatar Name</t>
        </is>
      </c>
      <c r="E2" s="6" t="inlineStr">
        <is>
          <t>Hag (HAG) | Ao Xuaniang</t>
        </is>
      </c>
      <c r="F2" s="29" t="n"/>
      <c r="G2" s="29" t="n"/>
      <c r="H2" s="29" t="n"/>
      <c r="I2" s="30" t="n"/>
    </row>
    <row r="3">
      <c r="A3" s="31" t="n"/>
      <c r="C3" s="32" t="n"/>
      <c r="D3" s="5" t="inlineStr">
        <is>
          <t>Avatar Abbr.</t>
        </is>
      </c>
      <c r="E3" s="8" t="inlineStr">
        <is>
          <t>HAG</t>
        </is>
      </c>
      <c r="F3" s="5" t="inlineStr">
        <is>
          <t>True Name</t>
        </is>
      </c>
      <c r="G3" s="6" t="inlineStr">
        <is>
          <t>Ao Xuaniang</t>
        </is>
      </c>
      <c r="H3" s="29" t="n"/>
      <c r="I3" s="30" t="n"/>
    </row>
    <row r="4">
      <c r="A4" s="31" t="n"/>
      <c r="C4" s="32" t="n"/>
      <c r="D4" s="5" t="inlineStr">
        <is>
          <t>Home Realm</t>
        </is>
      </c>
      <c r="E4" s="6" t="inlineStr">
        <is>
          <t>R5 Backwater Swamp</t>
        </is>
      </c>
      <c r="F4" s="29" t="n"/>
      <c r="G4" s="29" t="n"/>
      <c r="H4" s="29" t="n"/>
      <c r="I4" s="30" t="n"/>
    </row>
    <row r="5">
      <c r="A5" s="33" t="n"/>
      <c r="B5" s="34" t="n"/>
      <c r="C5" s="35" t="n"/>
      <c r="D5" s="5" t="inlineStr">
        <is>
          <t>Power Type</t>
        </is>
      </c>
      <c r="E5" s="8" t="inlineStr">
        <is>
          <t>Deploy-Blink-type</t>
        </is>
      </c>
      <c r="F5" s="30" t="n"/>
      <c r="G5" s="5" t="inlineStr">
        <is>
          <t>Attribute Tendency</t>
        </is>
      </c>
      <c r="H5" s="6" t="inlineStr">
        <is>
          <t>Occult (OCC)＋2、Dread (DRE)＋1</t>
        </is>
      </c>
      <c r="I5" s="30" t="n"/>
    </row>
    <row r="6" ht="20" customHeight="1">
      <c r="A6" s="9" t="inlineStr">
        <is>
          <t>I. Trial Panel (gray = fill, beige = auto)</t>
        </is>
      </c>
      <c r="B6" s="29" t="n"/>
      <c r="C6" s="29" t="n"/>
      <c r="D6" s="29" t="n"/>
      <c r="E6" s="29" t="n"/>
      <c r="F6" s="29" t="n"/>
      <c r="G6" s="29" t="n"/>
      <c r="H6" s="29" t="n"/>
      <c r="I6" s="30" t="n"/>
    </row>
    <row r="7">
      <c r="A7" s="5" t="inlineStr">
        <is>
          <t>Prestige (PRS)</t>
        </is>
      </c>
      <c r="B7" s="30" t="n"/>
      <c r="C7" s="8" t="n"/>
      <c r="D7" s="5" t="inlineStr">
        <is>
          <t>Survivor player count N</t>
        </is>
      </c>
      <c r="E7" s="30" t="n"/>
      <c r="F7" s="8" t="n"/>
      <c r="G7" s="5" t="inlineStr">
        <is>
          <t>Avatar Threat Factor (AVM)</t>
        </is>
      </c>
      <c r="H7" s="30" t="n"/>
      <c r="I7" s="8" t="n">
        <v>0</v>
      </c>
    </row>
    <row r="8">
      <c r="A8" s="12" t="inlineStr">
        <is>
          <t>Challenge Rating (CR)</t>
        </is>
      </c>
      <c r="B8" s="29" t="n"/>
      <c r="C8" s="30" t="n"/>
      <c r="D8" s="14">
        <f>IF($C$7="","",$C$7+$I$7)</f>
        <v/>
      </c>
      <c r="E8" s="30" t="n"/>
      <c r="F8" s="6" t="inlineStr">
        <is>
          <t>Prestige (PRS) + Avatar Threat Factor (AVM)</t>
        </is>
      </c>
      <c r="G8" s="29" t="n"/>
      <c r="H8" s="29" t="n"/>
      <c r="I8" s="30" t="n"/>
    </row>
    <row r="9">
      <c r="A9" s="12" t="inlineStr">
        <is>
          <t>Pressure Point (PRE) Cap</t>
        </is>
      </c>
      <c r="B9" s="29" t="n"/>
      <c r="C9" s="30" t="n"/>
      <c r="D9" s="14">
        <f>IF(OR($C$7="",$F$7=""),"",4+2*$F$7+INT($C$7/4))</f>
        <v/>
      </c>
      <c r="E9" s="30" t="n"/>
      <c r="F9" s="6" t="inlineStr">
        <is>
          <t>4 + 2×N + INT(Prestige (PRS) ÷ 4)</t>
        </is>
      </c>
      <c r="G9" s="29" t="n"/>
      <c r="H9" s="29" t="n"/>
      <c r="I9" s="30" t="n"/>
    </row>
    <row r="10">
      <c r="A10" s="12" t="inlineStr">
        <is>
          <t>Pressure Point (PRE) recovery / round</t>
        </is>
      </c>
      <c r="B10" s="29" t="n"/>
      <c r="C10" s="30" t="n"/>
      <c r="D10" s="14">
        <f>IF($F$7="","",2+INT($F$7/2))</f>
        <v/>
      </c>
      <c r="E10" s="30" t="n"/>
      <c r="F10" s="6" t="inlineStr">
        <is>
          <t>2 ＋ INT(N ÷ 2)</t>
        </is>
      </c>
      <c r="G10" s="29" t="n"/>
      <c r="H10" s="29" t="n"/>
      <c r="I10" s="30" t="n"/>
    </row>
    <row r="11">
      <c r="A11" s="12" t="inlineStr">
        <is>
          <t>Action Point (AP) / round</t>
        </is>
      </c>
      <c r="B11" s="29" t="n"/>
      <c r="C11" s="30" t="n"/>
      <c r="D11" s="14">
        <f>4</f>
        <v/>
      </c>
      <c r="E11" s="30" t="n"/>
      <c r="F11" s="6" t="inlineStr">
        <is>
          <t>Killer fixed at 4; Pressure Point (PRE) is a separate resource pool</t>
        </is>
      </c>
      <c r="G11" s="29" t="n"/>
      <c r="H11" s="29" t="n"/>
      <c r="I11" s="30" t="n"/>
    </row>
    <row r="12">
      <c r="A12" s="12" t="inlineStr">
        <is>
          <t>Hook Phase Rounds</t>
        </is>
      </c>
      <c r="B12" s="29" t="n"/>
      <c r="C12" s="30" t="n"/>
      <c r="D12" s="14">
        <f>IF($F$7="","",8-$F$7)</f>
        <v/>
      </c>
      <c r="E12" s="30" t="n"/>
      <c r="F12" s="6" t="inlineStr">
        <is>
          <t>8 − N. Each phase end advances one stage; end of phase 2 = Sacrifice</t>
        </is>
      </c>
      <c r="G12" s="29" t="n"/>
      <c r="H12" s="29" t="n"/>
      <c r="I12" s="30" t="n"/>
    </row>
    <row r="13">
      <c r="A13" s="12" t="inlineStr">
        <is>
          <t>Endgame Collapse rounds</t>
        </is>
      </c>
      <c r="B13" s="29" t="n"/>
      <c r="C13" s="30" t="n"/>
      <c r="D13" s="14">
        <f>IF($F$7="","",14-2*$F$7)</f>
        <v/>
      </c>
      <c r="E13" s="30" t="n"/>
      <c r="F13" s="6" t="inlineStr">
        <is>
          <t>14 − 2×N. Countdown starts after the last Generator is completed</t>
        </is>
      </c>
      <c r="G13" s="29" t="n"/>
      <c r="H13" s="29" t="n"/>
      <c r="I13" s="30" t="n"/>
    </row>
    <row r="14" ht="30" customHeight="1">
      <c r="A14" s="12" t="inlineStr">
        <is>
          <t>Terror Radius (TR)</t>
        </is>
      </c>
      <c r="B14" s="30" t="n"/>
      <c r="C14" s="8" t="n">
        <v>12</v>
      </c>
      <c r="D14" s="5" t="inlineStr">
        <is>
          <t>cell → meters</t>
        </is>
      </c>
      <c r="E14" s="14">
        <f>IF(C14="","",C14*2)</f>
        <v/>
      </c>
      <c r="F14" s="6" t="inlineStr">
        <is>
          <t>24 meters = 12 cells</t>
        </is>
      </c>
      <c r="G14" s="29" t="n"/>
      <c r="H14" s="29" t="n"/>
      <c r="I14" s="30" t="n"/>
    </row>
    <row r="15" ht="30" customHeight="1">
      <c r="A15" s="12" t="inlineStr">
        <is>
          <t>Move Level (MOV)</t>
        </is>
      </c>
      <c r="B15" s="30" t="n"/>
      <c r="C15" s="8" t="n">
        <v>6</v>
      </c>
      <c r="D15" s="5" t="inlineStr">
        <is>
          <t>cells / round(s)</t>
        </is>
      </c>
      <c r="E15" s="8" t="n"/>
      <c r="F15" s="6" t="inlineStr">
        <is>
          <t>Tier II Slight Slow (6 cells / round(s), Move Speed Advantage +1)</t>
        </is>
      </c>
      <c r="G15" s="29" t="n"/>
      <c r="H15" s="29" t="n"/>
      <c r="I15" s="30" t="n"/>
    </row>
    <row r="16">
      <c r="A16" s="16" t="inlineStr">
        <is>
          <t>1 cell = 2 meters. Distance Band (DB): Contact (CON) 0–1 cells / Near (NEA) 1–4 cells / Mid (MID) 4–8 cells / Far (FAR) 8–16 cells / Escaped (ESC) 16+ cells.</t>
        </is>
      </c>
      <c r="B16" s="29" t="n"/>
      <c r="C16" s="29" t="n"/>
      <c r="D16" s="29" t="n"/>
      <c r="E16" s="29" t="n"/>
      <c r="F16" s="29" t="n"/>
      <c r="G16" s="29" t="n"/>
      <c r="H16" s="29" t="n"/>
      <c r="I16" s="30" t="n"/>
    </row>
    <row r="17" ht="20" customHeight="1">
      <c r="A17" s="9" t="inlineStr">
        <is>
          <t>II. Attributes &amp; Skills (three-baseline reference)</t>
        </is>
      </c>
      <c r="B17" s="29" t="n"/>
      <c r="C17" s="29" t="n"/>
      <c r="D17" s="29" t="n"/>
      <c r="E17" s="29" t="n"/>
      <c r="F17" s="29" t="n"/>
      <c r="G17" s="29" t="n"/>
      <c r="H17" s="29" t="n"/>
      <c r="I17" s="30" t="n"/>
    </row>
    <row r="18" ht="30" customHeight="1">
      <c r="A18" s="5" t="inlineStr">
        <is>
          <t>Attribute / Skill</t>
        </is>
      </c>
      <c r="B18" s="29" t="n"/>
      <c r="C18" s="30" t="n"/>
      <c r="D18" s="5" t="inlineStr">
        <is>
          <t>Prestige 1 (8 pts)</t>
        </is>
      </c>
      <c r="E18" s="5" t="inlineStr">
        <is>
          <t>Prestige 10 (13 pts)</t>
        </is>
      </c>
      <c r="F18" s="5" t="inlineStr">
        <is>
          <t>Prestige 20 (18 pts)</t>
        </is>
      </c>
      <c r="G18" s="5" t="inlineStr">
        <is>
          <t>Used This Trial</t>
        </is>
      </c>
      <c r="H18" s="5" t="inlineStr">
        <is>
          <t>Notes</t>
        </is>
      </c>
      <c r="I18" s="30" t="n"/>
    </row>
    <row r="19">
      <c r="A19" s="12" t="inlineStr">
        <is>
          <t>Brute Force (BRU)</t>
        </is>
      </c>
      <c r="B19" s="29" t="n"/>
      <c r="C19" s="30" t="n"/>
      <c r="D19" s="8" t="inlineStr">
        <is>
          <t>1</t>
        </is>
      </c>
      <c r="E19" s="8" t="inlineStr">
        <is>
          <t>2</t>
        </is>
      </c>
      <c r="F19" s="8" t="inlineStr">
        <is>
          <t>3</t>
        </is>
      </c>
      <c r="G19" s="8" t="n"/>
      <c r="H19" s="6" t="n"/>
      <c r="I19" s="30" t="n"/>
    </row>
    <row r="20">
      <c r="A20" s="12" t="inlineStr">
        <is>
          <t>Hunt (HNT)</t>
        </is>
      </c>
      <c r="B20" s="29" t="n"/>
      <c r="C20" s="30" t="n"/>
      <c r="D20" s="8" t="inlineStr">
        <is>
          <t>1</t>
        </is>
      </c>
      <c r="E20" s="8" t="inlineStr">
        <is>
          <t>2</t>
        </is>
      </c>
      <c r="F20" s="8" t="inlineStr">
        <is>
          <t>3</t>
        </is>
      </c>
      <c r="G20" s="8" t="n"/>
      <c r="H20" s="6" t="n"/>
      <c r="I20" s="30" t="n"/>
    </row>
    <row r="21">
      <c r="A21" s="12" t="inlineStr">
        <is>
          <t>Perception (PER)</t>
        </is>
      </c>
      <c r="B21" s="29" t="n"/>
      <c r="C21" s="30" t="n"/>
      <c r="D21" s="8" t="inlineStr">
        <is>
          <t>2</t>
        </is>
      </c>
      <c r="E21" s="8" t="inlineStr">
        <is>
          <t>3</t>
        </is>
      </c>
      <c r="F21" s="8" t="inlineStr">
        <is>
          <t>4</t>
        </is>
      </c>
      <c r="G21" s="8" t="n"/>
      <c r="H21" s="6" t="n"/>
      <c r="I21" s="30" t="n"/>
    </row>
    <row r="22">
      <c r="A22" s="12" t="inlineStr">
        <is>
          <t>Dread (DRE)</t>
        </is>
      </c>
      <c r="B22" s="29" t="n"/>
      <c r="C22" s="30" t="n"/>
      <c r="D22" s="8" t="inlineStr">
        <is>
          <t>2</t>
        </is>
      </c>
      <c r="E22" s="8" t="inlineStr">
        <is>
          <t>3</t>
        </is>
      </c>
      <c r="F22" s="8" t="inlineStr">
        <is>
          <t>4</t>
        </is>
      </c>
      <c r="G22" s="8" t="n"/>
      <c r="H22" s="6" t="n"/>
      <c r="I22" s="30" t="n"/>
    </row>
    <row r="23">
      <c r="A23" s="12" t="inlineStr">
        <is>
          <t>Occult (OCC)</t>
        </is>
      </c>
      <c r="B23" s="29" t="n"/>
      <c r="C23" s="30" t="n"/>
      <c r="D23" s="8" t="inlineStr">
        <is>
          <t>2</t>
        </is>
      </c>
      <c r="E23" s="8" t="inlineStr">
        <is>
          <t>3</t>
        </is>
      </c>
      <c r="F23" s="8" t="inlineStr">
        <is>
          <t>5</t>
        </is>
      </c>
      <c r="G23" s="8" t="n"/>
      <c r="H23" s="6" t="n"/>
      <c r="I23" s="30" t="n"/>
    </row>
    <row r="24">
      <c r="A24" s="12" t="inlineStr">
        <is>
          <t>Tracking (TRK)</t>
        </is>
      </c>
      <c r="B24" s="29" t="n"/>
      <c r="C24" s="30" t="n"/>
      <c r="D24" s="8" t="inlineStr">
        <is>
          <t>1</t>
        </is>
      </c>
      <c r="E24" s="8" t="inlineStr">
        <is>
          <t>2</t>
        </is>
      </c>
      <c r="F24" s="8" t="inlineStr">
        <is>
          <t>4</t>
        </is>
      </c>
      <c r="G24" s="8" t="n"/>
      <c r="H24" s="6" t="n"/>
      <c r="I24" s="30" t="n"/>
    </row>
    <row r="25">
      <c r="A25" s="12" t="inlineStr">
        <is>
          <t>Subdue (SUP)</t>
        </is>
      </c>
      <c r="B25" s="29" t="n"/>
      <c r="C25" s="30" t="n"/>
      <c r="D25" s="8" t="inlineStr">
        <is>
          <t>0</t>
        </is>
      </c>
      <c r="E25" s="8" t="inlineStr">
        <is>
          <t>1</t>
        </is>
      </c>
      <c r="F25" s="8" t="inlineStr">
        <is>
          <t>3</t>
        </is>
      </c>
      <c r="G25" s="8" t="n"/>
      <c r="H25" s="6" t="n"/>
      <c r="I25" s="30" t="n"/>
    </row>
    <row r="26">
      <c r="A26" s="12" t="inlineStr">
        <is>
          <t>Coerce (COE)</t>
        </is>
      </c>
      <c r="B26" s="29" t="n"/>
      <c r="C26" s="30" t="n"/>
      <c r="D26" s="8" t="inlineStr">
        <is>
          <t>1</t>
        </is>
      </c>
      <c r="E26" s="8" t="inlineStr">
        <is>
          <t>3</t>
        </is>
      </c>
      <c r="F26" s="8" t="inlineStr">
        <is>
          <t>4</t>
        </is>
      </c>
      <c r="G26" s="8" t="n"/>
      <c r="H26" s="6" t="n"/>
      <c r="I26" s="30" t="n"/>
    </row>
    <row r="27">
      <c r="A27" s="12" t="inlineStr">
        <is>
          <t>Ritual (RIT)</t>
        </is>
      </c>
      <c r="B27" s="29" t="n"/>
      <c r="C27" s="30" t="n"/>
      <c r="D27" s="8" t="inlineStr">
        <is>
          <t>1</t>
        </is>
      </c>
      <c r="E27" s="8" t="inlineStr">
        <is>
          <t>3</t>
        </is>
      </c>
      <c r="F27" s="8" t="inlineStr">
        <is>
          <t>5</t>
        </is>
      </c>
      <c r="G27" s="8" t="n"/>
      <c r="H27" s="6" t="n"/>
      <c r="I27" s="30" t="n"/>
    </row>
    <row r="28">
      <c r="A28" s="12" t="inlineStr">
        <is>
          <t>Challenge Rating (CR)</t>
        </is>
      </c>
      <c r="B28" s="29" t="n"/>
      <c r="C28" s="30" t="n"/>
      <c r="D28" s="8" t="inlineStr">
        <is>
          <t>2</t>
        </is>
      </c>
      <c r="E28" s="8" t="inlineStr">
        <is>
          <t>11</t>
        </is>
      </c>
      <c r="F28" s="8" t="inlineStr">
        <is>
          <t>21</t>
        </is>
      </c>
      <c r="G28" s="8" t="n"/>
      <c r="H28" s="6" t="n"/>
      <c r="I28" s="30" t="n"/>
    </row>
    <row r="29">
      <c r="A29" s="12" t="inlineStr">
        <is>
          <t>Base Attack Modifier</t>
        </is>
      </c>
      <c r="B29" s="29" t="n"/>
      <c r="C29" s="30" t="n"/>
      <c r="D29" s="8" t="inlineStr">
        <is>
          <t>+1</t>
        </is>
      </c>
      <c r="E29" s="8" t="inlineStr">
        <is>
          <t>+3</t>
        </is>
      </c>
      <c r="F29" s="8" t="inlineStr">
        <is>
          <t>+6</t>
        </is>
      </c>
      <c r="G29" s="8" t="n"/>
      <c r="H29" s="6" t="n"/>
      <c r="I29" s="30" t="n"/>
    </row>
    <row r="30">
      <c r="A30" s="12" t="inlineStr">
        <is>
          <t>Power Check Modifier</t>
        </is>
      </c>
      <c r="B30" s="29" t="n"/>
      <c r="C30" s="30" t="n"/>
      <c r="D30" s="8" t="inlineStr">
        <is>
          <t>+3</t>
        </is>
      </c>
      <c r="E30" s="8" t="inlineStr">
        <is>
          <t>+6</t>
        </is>
      </c>
      <c r="F30" s="8" t="inlineStr">
        <is>
          <t>+10</t>
        </is>
      </c>
      <c r="G30" s="8" t="n"/>
      <c r="H30" s="6" t="n"/>
      <c r="I30" s="30" t="n"/>
    </row>
    <row r="31">
      <c r="A31" s="16" t="inlineStr">
        <is>
          <t>Killer's five attributes use a 'level 1–5' scale; the level is the check bonus (no ÷ 2). Total points = 8 + INT(Prestige (PRS) ÷ 2). The 'Used This Trial' column is for the GM to interpolate per the actual Prestige (PRS) deployed.</t>
        </is>
      </c>
      <c r="B31" s="29" t="n"/>
      <c r="C31" s="29" t="n"/>
      <c r="D31" s="29" t="n"/>
      <c r="E31" s="29" t="n"/>
      <c r="F31" s="29" t="n"/>
      <c r="G31" s="29" t="n"/>
      <c r="H31" s="29" t="n"/>
      <c r="I31" s="30" t="n"/>
    </row>
    <row r="32" ht="20" customHeight="1">
      <c r="A32" s="9" t="inlineStr">
        <is>
          <t>III. Power Card: Mud Glyph (Mud Glyph) and Phantasm Teleport (Phantasm Teleport)</t>
        </is>
      </c>
      <c r="B32" s="29" t="n"/>
      <c r="C32" s="29" t="n"/>
      <c r="D32" s="29" t="n"/>
      <c r="E32" s="29" t="n"/>
      <c r="F32" s="29" t="n"/>
      <c r="G32" s="29" t="n"/>
      <c r="H32" s="29" t="n"/>
      <c r="I32" s="30" t="n"/>
    </row>
    <row r="33" ht="22" customHeight="1">
      <c r="A33" s="12" t="inlineStr">
        <is>
          <t>Slot</t>
        </is>
      </c>
      <c r="B33" s="30" t="n"/>
      <c r="C33" s="18" t="inlineStr">
        <is>
          <t>Content</t>
        </is>
      </c>
      <c r="D33" s="29" t="n"/>
      <c r="E33" s="29" t="n"/>
      <c r="F33" s="29" t="n"/>
      <c r="G33" s="29" t="n"/>
      <c r="H33" s="29" t="n"/>
      <c r="I33" s="30" t="n"/>
    </row>
    <row r="34" ht="22" customHeight="1">
      <c r="A34" s="12" t="inlineStr">
        <is>
          <t>Power Type</t>
        </is>
      </c>
      <c r="B34" s="30" t="n"/>
      <c r="C34" s="18" t="inlineStr">
        <is>
          <t>Deploy-Blink-type (two-stage: invest first, then recover)</t>
        </is>
      </c>
      <c r="D34" s="29" t="n"/>
      <c r="E34" s="29" t="n"/>
      <c r="F34" s="29" t="n"/>
      <c r="G34" s="29" t="n"/>
      <c r="H34" s="29" t="n"/>
      <c r="I34" s="30" t="n"/>
    </row>
    <row r="35" ht="22" customHeight="1">
      <c r="A35" s="12" t="inlineStr">
        <is>
          <t>Power Charge (PWC) Name</t>
        </is>
      </c>
      <c r="B35" s="30" t="n"/>
      <c r="C35" s="18" t="inlineStr">
        <is>
          <t>Glyph Stock</t>
        </is>
      </c>
      <c r="D35" s="29" t="n"/>
      <c r="E35" s="29" t="n"/>
      <c r="F35" s="29" t="n"/>
      <c r="G35" s="29" t="n"/>
      <c r="H35" s="29" t="n"/>
      <c r="I35" s="30" t="n"/>
    </row>
    <row r="36" ht="22" customHeight="1">
      <c r="A36" s="12" t="inlineStr">
        <is>
          <t>Charge Cap</t>
        </is>
      </c>
      <c r="B36" s="30" t="n"/>
      <c r="C36" s="18" t="inlineStr">
        <is>
          <t>PWC_max = 6 (8 after Tier III mastery)</t>
        </is>
      </c>
      <c r="D36" s="29" t="n"/>
      <c r="E36" s="29" t="n"/>
      <c r="F36" s="29" t="n"/>
      <c r="G36" s="29" t="n"/>
      <c r="H36" s="29" t="n"/>
      <c r="I36" s="30" t="n"/>
    </row>
    <row r="37" ht="33" customHeight="1">
      <c r="A37" s="12" t="inlineStr">
        <is>
          <t>Charge Recovery</t>
        </is>
      </c>
      <c r="B37" s="30" t="n"/>
      <c r="C37" s="18" t="inlineStr">
        <is>
          <t>Recover own Mud Glyph: 1 Action Point (AP), returns to stock. A triggered Mud Glyph vanishes and is not returned (except Tier IV mastery).</t>
        </is>
      </c>
      <c r="D37" s="29" t="n"/>
      <c r="E37" s="29" t="n"/>
      <c r="F37" s="29" t="n"/>
      <c r="G37" s="29" t="n"/>
      <c r="H37" s="29" t="n"/>
      <c r="I37" s="30" t="n"/>
    </row>
    <row r="38" ht="22" customHeight="1">
      <c r="A38" s="12" t="inlineStr">
        <is>
          <t>Action Point (AP) Cost</t>
        </is>
      </c>
      <c r="B38" s="30" t="n"/>
      <c r="C38" s="18" t="inlineStr">
        <is>
          <t>Draw glyph 1 point; teleport 0 points (free action)</t>
        </is>
      </c>
      <c r="D38" s="29" t="n"/>
      <c r="E38" s="29" t="n"/>
      <c r="F38" s="29" t="n"/>
      <c r="G38" s="29" t="n"/>
      <c r="H38" s="29" t="n"/>
      <c r="I38" s="30" t="n"/>
    </row>
    <row r="39" ht="22" customHeight="1">
      <c r="A39" s="12" t="inlineStr">
        <is>
          <t>Pressure Point (PRE) Cost</t>
        </is>
      </c>
      <c r="B39" s="30" t="n"/>
      <c r="C39" s="18" t="inlineStr">
        <is>
          <t>Draw glyph 1 point; teleport 2 pts</t>
        </is>
      </c>
      <c r="D39" s="29" t="n"/>
      <c r="E39" s="29" t="n"/>
      <c r="F39" s="29" t="n"/>
      <c r="G39" s="29" t="n"/>
      <c r="H39" s="29" t="n"/>
      <c r="I39" s="30" t="n"/>
    </row>
    <row r="40" ht="63" customHeight="1">
      <c r="A40" s="12" t="inlineStr">
        <is>
          <t>Resolution Formula (Glyph)</t>
        </is>
      </c>
      <c r="B40" s="30" t="n"/>
      <c r="C40" s="18" t="inlineStr">
        <is>
          <t>No check required. Drawn in the user's cell, becomes a hidden object.
Survivor awareness Difficulty Class (DC) = 10 + 2 × Occult (OCC) (Prestige 1: DC 14 / Prestige 10: DC 16 / Prestige 20: DC 20)</t>
        </is>
      </c>
      <c r="D40" s="29" t="n"/>
      <c r="E40" s="29" t="n"/>
      <c r="F40" s="29" t="n"/>
      <c r="G40" s="29" t="n"/>
      <c r="H40" s="29" t="n"/>
      <c r="I40" s="30" t="n"/>
    </row>
    <row r="41" ht="63" customHeight="1">
      <c r="A41" s="12" t="inlineStr">
        <is>
          <t>Resolution Formula (Trigger)</t>
        </is>
      </c>
      <c r="B41" s="30" t="n"/>
      <c r="C41" s="18" t="inlineStr">
        <is>
          <t>A Survivor entering the Mud Glyph cell or its 8 adjacent cells while standing (walking/running/dashing): auto-triggers.
A Survivor passing by crouch-walking: first make a Stealth (STL) + Sneak (SNK) check vs Difficulty Class (DC) 12; on Success pass safely and learn the Mud Glyph location, on Failure trigger it.</t>
        </is>
      </c>
      <c r="D41" s="29" t="n"/>
      <c r="E41" s="29" t="n"/>
      <c r="F41" s="29" t="n"/>
      <c r="G41" s="29" t="n"/>
      <c r="H41" s="29" t="n"/>
      <c r="I41" s="30" t="n"/>
    </row>
    <row r="42" ht="78" customHeight="1">
      <c r="A42" s="12" t="inlineStr">
        <is>
          <t>Trigger Effect (on Survivor)</t>
        </is>
      </c>
      <c r="B42" s="30" t="n"/>
      <c r="C42" s="18" t="inlineStr">
        <is>
          <t>① immediately gain Revealed (Revealed, ST-18) 1 round(s) (scream);
② gain Trembling (Trembling, ST-26) 1 round(s) (Action Point (AP) −1);
③ the GM marks that Survivor's position on the map, Killer freely gains 1 Hunt Lead.</t>
        </is>
      </c>
      <c r="D42" s="29" t="n"/>
      <c r="E42" s="29" t="n"/>
      <c r="F42" s="29" t="n"/>
      <c r="G42" s="29" t="n"/>
      <c r="H42" s="29" t="n"/>
      <c r="I42" s="30" t="n"/>
    </row>
    <row r="43" ht="93" customHeight="1">
      <c r="A43" s="12" t="inlineStr">
        <is>
          <t>Phantasm Teleport</t>
        </is>
      </c>
      <c r="B43" s="30" t="n"/>
      <c r="C43" s="18" t="inlineStr">
        <is>
          <t>The moment a Mud Glyph triggers, the Hag may spend 0 Action Point (AP) + 2 Pressure Point (PRE) to instantly teleport to that Mud Glyph's cell.
Unlimited range (within the same Realm).
Cost: after teleport, that round(s)'s Remaining Action Point (AP) cap drops to 2 pts (cannot immediately unleash a full combo after teleporting).
Limit: at most 1 teleport per round(s).</t>
        </is>
      </c>
      <c r="D43" s="29" t="n"/>
      <c r="E43" s="29" t="n"/>
      <c r="F43" s="29" t="n"/>
      <c r="G43" s="29" t="n"/>
      <c r="H43" s="29" t="n"/>
      <c r="I43" s="30" t="n"/>
    </row>
    <row r="44" ht="63" customHeight="1">
      <c r="A44" s="12" t="inlineStr">
        <is>
          <t>Dispel Glyph (Survivor counter)</t>
        </is>
      </c>
      <c r="B44" s="30" t="n"/>
      <c r="C44" s="18" t="inlineStr">
        <is>
          <t>① Flashlight (FLT) shine: 1 Action Point (AP), auto-dispel, no check, consumes 2 Charge;
② Technique (TEC) + Search (SRC) check vs Difficulty Class (DC) 14: 2 Action Point (AP), Success dispels (Critical Failure triggers).</t>
        </is>
      </c>
      <c r="D44" s="29" t="n"/>
      <c r="E44" s="29" t="n"/>
      <c r="F44" s="29" t="n"/>
      <c r="G44" s="29" t="n"/>
      <c r="H44" s="29" t="n"/>
      <c r="I44" s="30" t="n"/>
    </row>
    <row r="45" ht="93" customHeight="1">
      <c r="A45" s="12" t="inlineStr">
        <is>
          <t>Miss / Cost</t>
        </is>
      </c>
      <c r="B45" s="30" t="n"/>
      <c r="C45" s="18" t="inlineStr">
        <is>
          <t>① Mud Glyph is pure sunk Cost — drawn where no one passes equals wasted Action Point (AP) and Pressure Point (PRE);
② the Hag's base Attributes (Brute Force (BRU), Hunt (HNT)) are the lowest of any avatar; once her Mud Glyph layout is dismantled, she can barely win a frontal chase against any Survivor;
③ with Action Point (AP) capped at 2 after teleport, even arriving on scene she may not immediately deal damage.</t>
        </is>
      </c>
      <c r="D45" s="29" t="n"/>
      <c r="E45" s="29" t="n"/>
      <c r="F45" s="29" t="n"/>
      <c r="G45" s="29" t="n"/>
      <c r="H45" s="29" t="n"/>
      <c r="I45" s="30" t="n"/>
    </row>
    <row r="46" ht="22" customHeight="1">
      <c r="A46" s="12" t="inlineStr">
        <is>
          <t>Cooldown</t>
        </is>
      </c>
      <c r="B46" s="30" t="n"/>
      <c r="C46" s="18" t="inlineStr">
        <is>
          <t>Teleport 1 time per round(s)</t>
        </is>
      </c>
      <c r="D46" s="29" t="n"/>
      <c r="E46" s="29" t="n"/>
      <c r="F46" s="29" t="n"/>
      <c r="G46" s="29" t="n"/>
      <c r="H46" s="29" t="n"/>
      <c r="I46" s="30" t="n"/>
    </row>
    <row r="47" ht="63" customHeight="1">
      <c r="A47" s="12" t="inlineStr">
        <is>
          <t>Survivor Counter</t>
        </is>
      </c>
      <c r="B47" s="30" t="n"/>
      <c r="C47" s="18" t="inlineStr">
        <is>
          <t>① crouch-walk the whole way through unfamiliar narrow paths — Backwater Swamp's boardwalks are her main battlefield; ② carry a Flashlight (FLT) — 1 Action Point (AP) dispel is among the most efficient counters in the system; ③ record known Mud Glyphs — Mud Glyphs are static, drawn on the map they are forever intel; ④ push progress in the first 6 round(s) — her early pressure is the lowest of any avatar, the first 6 round(s) are the Survivor's golden repair window.</t>
        </is>
      </c>
      <c r="D47" s="29" t="n"/>
      <c r="E47" s="29" t="n"/>
      <c r="F47" s="29" t="n"/>
      <c r="G47" s="29" t="n"/>
      <c r="H47" s="29" t="n"/>
      <c r="I47" s="30" t="n"/>
    </row>
    <row r="48" ht="48" customHeight="1">
      <c r="A48" s="12" t="inlineStr">
        <is>
          <t>Solo Config Adjustment</t>
        </is>
      </c>
      <c r="B48" s="30" t="n"/>
      <c r="C48" s="18" t="inlineStr">
        <is>
          <t>When N = 1: Mud Glyph Stock cap is 4; and the Action Point (AP) cap after teleport drops to 1 point.
Reason: a solo Player has no teammates to help dispel glyphs, so the Mud Glyph web would quickly cover the whole map and form an impassable zone.</t>
        </is>
      </c>
      <c r="D48" s="29" t="n"/>
      <c r="E48" s="29" t="n"/>
      <c r="F48" s="29" t="n"/>
      <c r="G48" s="29" t="n"/>
      <c r="H48" s="29" t="n"/>
      <c r="I48" s="30" t="n"/>
    </row>
    <row r="49" ht="20" customHeight="1">
      <c r="A49" s="9" t="inlineStr">
        <is>
          <t>IV. Power Mastery</t>
        </is>
      </c>
      <c r="B49" s="29" t="n"/>
      <c r="C49" s="29" t="n"/>
      <c r="D49" s="29" t="n"/>
      <c r="E49" s="29" t="n"/>
      <c r="F49" s="29" t="n"/>
      <c r="G49" s="29" t="n"/>
      <c r="H49" s="29" t="n"/>
      <c r="I49" s="30" t="n"/>
    </row>
    <row r="50">
      <c r="A50" s="5" t="inlineStr">
        <is>
          <t>Tier</t>
        </is>
      </c>
      <c r="B50" s="30" t="n"/>
      <c r="C50" s="5" t="inlineStr">
        <is>
          <t>Effect</t>
        </is>
      </c>
      <c r="D50" s="29" t="n"/>
      <c r="E50" s="29" t="n"/>
      <c r="F50" s="29" t="n"/>
      <c r="G50" s="29" t="n"/>
      <c r="H50" s="29" t="n"/>
      <c r="I50" s="30" t="n"/>
    </row>
    <row r="51" ht="22" customHeight="1">
      <c r="A51" s="12" t="inlineStr">
        <is>
          <t>Tier 2 (Prestige 6)</t>
        </is>
      </c>
      <c r="B51" s="30" t="n"/>
      <c r="C51" s="18" t="inlineStr">
        <is>
          <t>Teleport Pressure Point (PRE) Cost reduced to 1 point.</t>
        </is>
      </c>
      <c r="D51" s="29" t="n"/>
      <c r="E51" s="29" t="n"/>
      <c r="F51" s="29" t="n"/>
      <c r="G51" s="29" t="n"/>
      <c r="H51" s="29" t="n"/>
      <c r="I51" s="30" t="n"/>
    </row>
    <row r="52" ht="22" customHeight="1">
      <c r="A52" s="12" t="inlineStr">
        <is>
          <t>Tier 3 (Prestige 11)</t>
        </is>
      </c>
      <c r="B52" s="30" t="n"/>
      <c r="C52" s="18" t="inlineStr">
        <is>
          <t>Mud Glyph Stock cap 8; Action Point (AP) cap after teleport raised to 3 points.</t>
        </is>
      </c>
      <c r="D52" s="29" t="n"/>
      <c r="E52" s="29" t="n"/>
      <c r="F52" s="29" t="n"/>
      <c r="G52" s="29" t="n"/>
      <c r="H52" s="29" t="n"/>
      <c r="I52" s="30" t="n"/>
    </row>
    <row r="53" ht="78" customHeight="1">
      <c r="A53" s="12" t="inlineStr">
        <is>
          <t>Tier 4 (Prestige 16)</t>
        </is>
      </c>
      <c r="B53" s="30" t="n"/>
      <c r="C53" s="18" t="inlineStr">
        <is>
          <t>Endgame Form | The Mire Dominion
Cost 4 Pressure Point (PRE) + 1 Action Point (AP), 3 times per Trial.
Lasts 5 round(s): during it all Mud Glyphs do not vanish after triggering (may re-trigger, same Mud Glyph at most once per round(s)), and teleport becomes 2 times per round(s).</t>
        </is>
      </c>
      <c r="D53" s="29" t="n"/>
      <c r="E53" s="29" t="n"/>
      <c r="F53" s="29" t="n"/>
      <c r="G53" s="29" t="n"/>
      <c r="H53" s="29" t="n"/>
      <c r="I53" s="30" t="n"/>
    </row>
    <row r="54" ht="20" customHeight="1">
      <c r="A54" s="9" t="inlineStr">
        <is>
          <t>V. Exclusive Perks (Perk)</t>
        </is>
      </c>
      <c r="B54" s="29" t="n"/>
      <c r="C54" s="29" t="n"/>
      <c r="D54" s="29" t="n"/>
      <c r="E54" s="29" t="n"/>
      <c r="F54" s="29" t="n"/>
      <c r="G54" s="29" t="n"/>
      <c r="H54" s="29" t="n"/>
      <c r="I54" s="30" t="n"/>
    </row>
    <row r="55">
      <c r="A55" s="5" t="inlineStr">
        <is>
          <t>No.</t>
        </is>
      </c>
      <c r="B55" s="30" t="n"/>
      <c r="C55" s="5" t="inlineStr">
        <is>
          <t>Name</t>
        </is>
      </c>
      <c r="D55" s="29" t="n"/>
      <c r="E55" s="29" t="n"/>
      <c r="F55" s="30" t="n"/>
      <c r="G55" s="5" t="inlineStr">
        <is>
          <t>Source</t>
        </is>
      </c>
      <c r="H55" s="29" t="n"/>
      <c r="I55" s="30" t="n"/>
    </row>
    <row r="56">
      <c r="A56" s="8" t="inlineStr">
        <is>
          <t>TALENT-K16</t>
        </is>
      </c>
      <c r="B56" s="30" t="n"/>
      <c r="C56" s="6" t="inlineStr">
        <is>
          <t>Cursed: Ruin (Hex)</t>
        </is>
      </c>
      <c r="D56" s="29" t="n"/>
      <c r="E56" s="29" t="n"/>
      <c r="F56" s="30" t="n"/>
      <c r="G56" s="6" t="n"/>
      <c r="H56" s="29" t="n"/>
      <c r="I56" s="30" t="n"/>
    </row>
    <row r="57">
      <c r="A57" s="8" t="inlineStr">
        <is>
          <t>TALENT-K17</t>
        </is>
      </c>
      <c r="B57" s="30" t="n"/>
      <c r="C57" s="6" t="inlineStr">
        <is>
          <t>Cursed: Devour Hope (Hex)</t>
        </is>
      </c>
      <c r="D57" s="29" t="n"/>
      <c r="E57" s="29" t="n"/>
      <c r="F57" s="30" t="n"/>
      <c r="G57" s="6" t="n"/>
      <c r="H57" s="29" t="n"/>
      <c r="I57" s="30" t="n"/>
    </row>
    <row r="58">
      <c r="A58" s="8" t="inlineStr">
        <is>
          <t>TALENT-K18</t>
        </is>
      </c>
      <c r="B58" s="30" t="n"/>
      <c r="C58" s="6" t="inlineStr">
        <is>
          <t>Cursed: The Third Seal (Hex)</t>
        </is>
      </c>
      <c r="D58" s="29" t="n"/>
      <c r="E58" s="29" t="n"/>
      <c r="F58" s="30" t="n"/>
      <c r="G58" s="6" t="n"/>
      <c r="H58" s="29" t="n"/>
      <c r="I58" s="30" t="n"/>
    </row>
    <row r="59" ht="20" customHeight="1">
      <c r="A59" s="9" t="inlineStr">
        <is>
          <t>VI. Encounter Cost &amp; Deployment</t>
        </is>
      </c>
      <c r="B59" s="29" t="n"/>
      <c r="C59" s="29" t="n"/>
      <c r="D59" s="29" t="n"/>
      <c r="E59" s="29" t="n"/>
      <c r="F59" s="29" t="n"/>
      <c r="G59" s="29" t="n"/>
      <c r="H59" s="29" t="n"/>
      <c r="I59" s="30" t="n"/>
    </row>
    <row r="60">
      <c r="A60" s="12" t="inlineStr">
        <is>
          <t>As the Trial's main Killer</t>
        </is>
      </c>
      <c r="B60" s="29" t="n"/>
      <c r="C60" s="30" t="n"/>
      <c r="D60" s="6" t="inlineStr">
        <is>
          <t>takes 60% of Encounter Budget (EB)</t>
        </is>
      </c>
      <c r="E60" s="29" t="n"/>
      <c r="F60" s="29" t="n"/>
      <c r="G60" s="29" t="n"/>
      <c r="H60" s="29" t="n"/>
      <c r="I60" s="30" t="n"/>
    </row>
    <row r="61">
      <c r="A61" s="12" t="inlineStr">
        <is>
          <t>As a fixed threat in the scenario</t>
        </is>
      </c>
      <c r="B61" s="29" t="n"/>
      <c r="C61" s="30" t="n"/>
      <c r="D61" s="6" t="inlineStr">
        <is>
          <t>Challenge Rating (CR) × 2</t>
        </is>
      </c>
      <c r="E61" s="29" t="n"/>
      <c r="F61" s="29" t="n"/>
      <c r="G61" s="29" t="n"/>
      <c r="H61" s="29" t="n"/>
      <c r="I61" s="30" t="n"/>
    </row>
    <row r="62" ht="42" customHeight="1">
      <c r="A62" s="12" t="inlineStr">
        <is>
          <t>Solo config (N = 1) adjustment</t>
        </is>
      </c>
      <c r="B62" s="29" t="n"/>
      <c r="C62" s="30" t="n"/>
      <c r="D62" s="18" t="inlineStr">
        <is>
          <t>When N = 1: Mud Glyph Stock cap is 4; and the Action Point (AP) cap after teleport drops to 1 point.
Reason: a solo Player has no teammates to help dispel glyphs, so the Mud Glyph web would quickly cover the whole map and form an impassable zone.</t>
        </is>
      </c>
      <c r="E62" s="29" t="n"/>
      <c r="F62" s="29" t="n"/>
      <c r="G62" s="29" t="n"/>
      <c r="H62" s="29" t="n"/>
      <c r="I62" s="30" t="n"/>
    </row>
    <row r="63" ht="20" customHeight="1">
      <c r="A63" s="9" t="inlineStr">
        <is>
          <t>VII. In-Trial Tracker</t>
        </is>
      </c>
      <c r="B63" s="29" t="n"/>
      <c r="C63" s="29" t="n"/>
      <c r="D63" s="29" t="n"/>
      <c r="E63" s="29" t="n"/>
      <c r="F63" s="29" t="n"/>
      <c r="G63" s="29" t="n"/>
      <c r="H63" s="29" t="n"/>
      <c r="I63" s="30" t="n"/>
    </row>
    <row r="64">
      <c r="A64" s="12" t="inlineStr">
        <is>
          <t>Current Pressure Point (PRE)</t>
        </is>
      </c>
      <c r="B64" s="30" t="n"/>
      <c r="C64" s="8" t="n"/>
      <c r="D64" s="30" t="n"/>
      <c r="E64" s="12" t="inlineStr">
        <is>
          <t>Pressure Ramp Phase</t>
        </is>
      </c>
      <c r="F64" s="30" t="n"/>
      <c r="G64" s="8" t="inlineStr">
        <is>
          <t>☐ I　☐ II　☐ III</t>
        </is>
      </c>
      <c r="H64" s="29" t="n"/>
      <c r="I64" s="30" t="n"/>
    </row>
    <row r="65">
      <c r="A65" s="12" t="inlineStr">
        <is>
          <t>Sacrificed Count</t>
        </is>
      </c>
      <c r="B65" s="30" t="n"/>
      <c r="C65" s="8" t="n"/>
      <c r="D65" s="30" t="n"/>
      <c r="E65" s="12" t="inlineStr">
        <is>
          <t>Hunt Lead</t>
        </is>
      </c>
      <c r="F65" s="30" t="n"/>
      <c r="G65" s="8" t="n"/>
      <c r="H65" s="29" t="n"/>
      <c r="I65" s="30" t="n"/>
    </row>
    <row r="66" ht="44" customHeight="1">
      <c r="A66" s="12" t="inlineStr">
        <is>
          <t>Notes</t>
        </is>
      </c>
      <c r="B66" s="30" t="n"/>
      <c r="C66" s="18" t="n"/>
      <c r="D66" s="29" t="n"/>
      <c r="E66" s="29" t="n"/>
      <c r="F66" s="29" t="n"/>
      <c r="G66" s="29" t="n"/>
      <c r="H66" s="29" t="n"/>
      <c r="I66" s="30" t="n"/>
    </row>
  </sheetData>
  <mergeCells count="135">
    <mergeCell ref="C36:I36"/>
    <mergeCell ref="A15:B15"/>
    <mergeCell ref="A64:B64"/>
    <mergeCell ref="A51:B51"/>
    <mergeCell ref="A21:C21"/>
    <mergeCell ref="C64:D64"/>
    <mergeCell ref="A26:C26"/>
    <mergeCell ref="E64:F64"/>
    <mergeCell ref="C53:I53"/>
    <mergeCell ref="E4:I4"/>
    <mergeCell ref="A7:B7"/>
    <mergeCell ref="A23:C23"/>
    <mergeCell ref="A41:B41"/>
    <mergeCell ref="D13:E13"/>
    <mergeCell ref="G65:I65"/>
    <mergeCell ref="A17:I17"/>
    <mergeCell ref="A56:B56"/>
    <mergeCell ref="E65:F65"/>
    <mergeCell ref="C45:I45"/>
    <mergeCell ref="D7:E7"/>
    <mergeCell ref="A33:B33"/>
    <mergeCell ref="A42:B42"/>
    <mergeCell ref="F15:I15"/>
    <mergeCell ref="C47:I47"/>
    <mergeCell ref="D60:I60"/>
    <mergeCell ref="A53:B53"/>
    <mergeCell ref="A35:B35"/>
    <mergeCell ref="A59:I59"/>
    <mergeCell ref="C40:I40"/>
    <mergeCell ref="C56:F56"/>
    <mergeCell ref="H23:I23"/>
    <mergeCell ref="A2:C5"/>
    <mergeCell ref="A39:B39"/>
    <mergeCell ref="A48:B48"/>
    <mergeCell ref="F13:I13"/>
    <mergeCell ref="D10:E10"/>
    <mergeCell ref="A45:B45"/>
    <mergeCell ref="E5:F5"/>
    <mergeCell ref="A12:C12"/>
    <mergeCell ref="C66:I66"/>
    <mergeCell ref="H25:I25"/>
    <mergeCell ref="G7:H7"/>
    <mergeCell ref="D62:I62"/>
    <mergeCell ref="D11:E11"/>
    <mergeCell ref="C34:I34"/>
    <mergeCell ref="A37:B37"/>
    <mergeCell ref="A46:B46"/>
    <mergeCell ref="G55:I55"/>
    <mergeCell ref="G64:I64"/>
    <mergeCell ref="C42:I42"/>
    <mergeCell ref="A29:C29"/>
    <mergeCell ref="A13:C13"/>
    <mergeCell ref="A63:I63"/>
    <mergeCell ref="H19:I19"/>
    <mergeCell ref="G56:I56"/>
    <mergeCell ref="H28:I28"/>
    <mergeCell ref="D9:E9"/>
    <mergeCell ref="A24:C24"/>
    <mergeCell ref="C44:I44"/>
    <mergeCell ref="A60:C60"/>
    <mergeCell ref="A49:I49"/>
    <mergeCell ref="A52:B52"/>
    <mergeCell ref="A1:I1"/>
    <mergeCell ref="H5:I5"/>
    <mergeCell ref="C46:I46"/>
    <mergeCell ref="C51:I51"/>
    <mergeCell ref="A34:B34"/>
    <mergeCell ref="A25:C25"/>
    <mergeCell ref="F9:I9"/>
    <mergeCell ref="C48:I48"/>
    <mergeCell ref="D61:I61"/>
    <mergeCell ref="A18:C18"/>
    <mergeCell ref="A36:B36"/>
    <mergeCell ref="G3:I3"/>
    <mergeCell ref="C38:I38"/>
    <mergeCell ref="C57:F57"/>
    <mergeCell ref="G58:I58"/>
    <mergeCell ref="H21:I21"/>
    <mergeCell ref="A65:B65"/>
    <mergeCell ref="A32:I32"/>
    <mergeCell ref="C65:D65"/>
    <mergeCell ref="A22:C22"/>
    <mergeCell ref="A62:C62"/>
    <mergeCell ref="C33:I33"/>
    <mergeCell ref="C58:F58"/>
    <mergeCell ref="F10:I10"/>
    <mergeCell ref="A20:C20"/>
    <mergeCell ref="A55:B55"/>
    <mergeCell ref="A28:C28"/>
    <mergeCell ref="A57:B57"/>
    <mergeCell ref="C35:I35"/>
    <mergeCell ref="E2:I2"/>
    <mergeCell ref="A14:B14"/>
    <mergeCell ref="A30:C30"/>
    <mergeCell ref="H22:I22"/>
    <mergeCell ref="D12:E12"/>
    <mergeCell ref="A38:B38"/>
    <mergeCell ref="A43:B43"/>
    <mergeCell ref="F8:I8"/>
    <mergeCell ref="A61:C61"/>
    <mergeCell ref="A6:I6"/>
    <mergeCell ref="A40:B40"/>
    <mergeCell ref="H30:I30"/>
    <mergeCell ref="A16:I16"/>
    <mergeCell ref="C52:I52"/>
    <mergeCell ref="H20:I20"/>
    <mergeCell ref="G57:I57"/>
    <mergeCell ref="H29:I29"/>
    <mergeCell ref="C39:I39"/>
    <mergeCell ref="A27:C27"/>
    <mergeCell ref="C37:I37"/>
    <mergeCell ref="F14:I14"/>
    <mergeCell ref="A8:C8"/>
    <mergeCell ref="F11:I11"/>
    <mergeCell ref="A66:B66"/>
    <mergeCell ref="A50:B50"/>
    <mergeCell ref="A10:C10"/>
    <mergeCell ref="A19:C19"/>
    <mergeCell ref="A47:B47"/>
    <mergeCell ref="F12:I12"/>
    <mergeCell ref="A9:C9"/>
    <mergeCell ref="A31:I31"/>
    <mergeCell ref="C55:F55"/>
    <mergeCell ref="C41:I41"/>
    <mergeCell ref="H27:I27"/>
    <mergeCell ref="D8:E8"/>
    <mergeCell ref="C50:I50"/>
    <mergeCell ref="A11:C11"/>
    <mergeCell ref="H24:I24"/>
    <mergeCell ref="H18:I18"/>
    <mergeCell ref="C43:I43"/>
    <mergeCell ref="A44:B44"/>
    <mergeCell ref="A58:B58"/>
    <mergeCell ref="A54:I54"/>
    <mergeCell ref="H26:I26"/>
  </mergeCells>
  <printOptions horizontalCentered="1"/>
  <pageMargins left="0.75" right="0.75" top="1" bottom="1" header="0.5" footer="0.5"/>
  <pageSetup orientation="portrait" fitToHeight="0" fitToWidth="1"/>
</worksheet>
</file>

<file path=xl/worksheets/sheet7.xml><?xml version="1.0" encoding="utf-8"?>
<worksheet xmlns="http://schemas.openxmlformats.org/spreadsheetml/2006/main">
  <sheetPr>
    <outlinePr summaryBelow="1" summaryRight="1"/>
    <pageSetUpPr fitToPage="1"/>
  </sheetPr>
  <dimension ref="A1:I64"/>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Enemy Character Sheet　·　Killer Avatar</t>
        </is>
      </c>
      <c r="B1" s="25" t="n"/>
      <c r="C1" s="25" t="n"/>
      <c r="D1" s="25" t="n"/>
      <c r="E1" s="25" t="n"/>
      <c r="F1" s="25" t="n"/>
      <c r="G1" s="25" t="n"/>
      <c r="H1" s="25" t="n"/>
      <c r="I1" s="26" t="n"/>
    </row>
    <row r="2">
      <c r="A2" s="3" t="inlineStr">
        <is>
          <t>Character Art
(Paste character image here)</t>
        </is>
      </c>
      <c r="B2" s="27" t="n"/>
      <c r="C2" s="28" t="n"/>
      <c r="D2" s="5" t="inlineStr">
        <is>
          <t>Avatar Name</t>
        </is>
      </c>
      <c r="E2" s="6" t="inlineStr">
        <is>
          <t>Doctor (DOC) | Tan Zhongru</t>
        </is>
      </c>
      <c r="F2" s="29" t="n"/>
      <c r="G2" s="29" t="n"/>
      <c r="H2" s="29" t="n"/>
      <c r="I2" s="30" t="n"/>
    </row>
    <row r="3">
      <c r="A3" s="31" t="n"/>
      <c r="C3" s="32" t="n"/>
      <c r="D3" s="5" t="inlineStr">
        <is>
          <t>Avatar Abbr.</t>
        </is>
      </c>
      <c r="E3" s="8" t="inlineStr">
        <is>
          <t>DOC</t>
        </is>
      </c>
      <c r="F3" s="5" t="inlineStr">
        <is>
          <t>True Name</t>
        </is>
      </c>
      <c r="G3" s="6" t="inlineStr">
        <is>
          <t>Tan Zhongru</t>
        </is>
      </c>
      <c r="H3" s="29" t="n"/>
      <c r="I3" s="30" t="n"/>
    </row>
    <row r="4">
      <c r="A4" s="31" t="n"/>
      <c r="C4" s="32" t="n"/>
      <c r="D4" s="5" t="inlineStr">
        <is>
          <t>Home Realm</t>
        </is>
      </c>
      <c r="E4" s="6" t="inlineStr">
        <is>
          <t>R6 Léry's Memorial Institute</t>
        </is>
      </c>
      <c r="F4" s="29" t="n"/>
      <c r="G4" s="29" t="n"/>
      <c r="H4" s="29" t="n"/>
      <c r="I4" s="30" t="n"/>
    </row>
    <row r="5">
      <c r="A5" s="33" t="n"/>
      <c r="B5" s="34" t="n"/>
      <c r="C5" s="35" t="n"/>
      <c r="D5" s="5" t="inlineStr">
        <is>
          <t>Power Type</t>
        </is>
      </c>
      <c r="E5" s="8" t="inlineStr">
        <is>
          <t>Area-type</t>
        </is>
      </c>
      <c r="F5" s="30" t="n"/>
      <c r="G5" s="5" t="inlineStr">
        <is>
          <t>Attribute Tendency</t>
        </is>
      </c>
      <c r="H5" s="6" t="inlineStr">
        <is>
          <t>Dread (DRE)＋3、Hunt (HNT)＋1</t>
        </is>
      </c>
      <c r="I5" s="30" t="n"/>
    </row>
    <row r="6" ht="20" customHeight="1">
      <c r="A6" s="9" t="inlineStr">
        <is>
          <t>I. Trial Panel (gray = fill, beige = auto)</t>
        </is>
      </c>
      <c r="B6" s="29" t="n"/>
      <c r="C6" s="29" t="n"/>
      <c r="D6" s="29" t="n"/>
      <c r="E6" s="29" t="n"/>
      <c r="F6" s="29" t="n"/>
      <c r="G6" s="29" t="n"/>
      <c r="H6" s="29" t="n"/>
      <c r="I6" s="30" t="n"/>
    </row>
    <row r="7">
      <c r="A7" s="5" t="inlineStr">
        <is>
          <t>Prestige (PRS)</t>
        </is>
      </c>
      <c r="B7" s="30" t="n"/>
      <c r="C7" s="8" t="n"/>
      <c r="D7" s="5" t="inlineStr">
        <is>
          <t>Survivor player count N</t>
        </is>
      </c>
      <c r="E7" s="30" t="n"/>
      <c r="F7" s="8" t="n"/>
      <c r="G7" s="5" t="inlineStr">
        <is>
          <t>Avatar Threat Factor (AVM)</t>
        </is>
      </c>
      <c r="H7" s="30" t="n"/>
      <c r="I7" s="8" t="n">
        <v>1</v>
      </c>
    </row>
    <row r="8">
      <c r="A8" s="12" t="inlineStr">
        <is>
          <t>Challenge Rating (CR)</t>
        </is>
      </c>
      <c r="B8" s="29" t="n"/>
      <c r="C8" s="30" t="n"/>
      <c r="D8" s="14">
        <f>IF($C$7="","",$C$7+$I$7)</f>
        <v/>
      </c>
      <c r="E8" s="30" t="n"/>
      <c r="F8" s="6" t="inlineStr">
        <is>
          <t>Prestige (PRS) + Avatar Threat Factor (AVM)</t>
        </is>
      </c>
      <c r="G8" s="29" t="n"/>
      <c r="H8" s="29" t="n"/>
      <c r="I8" s="30" t="n"/>
    </row>
    <row r="9">
      <c r="A9" s="12" t="inlineStr">
        <is>
          <t>Pressure Point (PRE) Cap</t>
        </is>
      </c>
      <c r="B9" s="29" t="n"/>
      <c r="C9" s="30" t="n"/>
      <c r="D9" s="14">
        <f>IF(OR($C$7="",$F$7=""),"",4+2*$F$7+INT($C$7/4))</f>
        <v/>
      </c>
      <c r="E9" s="30" t="n"/>
      <c r="F9" s="6" t="inlineStr">
        <is>
          <t>4 + 2×N + INT(Prestige (PRS) ÷ 4)</t>
        </is>
      </c>
      <c r="G9" s="29" t="n"/>
      <c r="H9" s="29" t="n"/>
      <c r="I9" s="30" t="n"/>
    </row>
    <row r="10">
      <c r="A10" s="12" t="inlineStr">
        <is>
          <t>Pressure Point (PRE) recovery / round</t>
        </is>
      </c>
      <c r="B10" s="29" t="n"/>
      <c r="C10" s="30" t="n"/>
      <c r="D10" s="14">
        <f>IF($F$7="","",2+INT($F$7/2))</f>
        <v/>
      </c>
      <c r="E10" s="30" t="n"/>
      <c r="F10" s="6" t="inlineStr">
        <is>
          <t>2 ＋ INT(N ÷ 2)</t>
        </is>
      </c>
      <c r="G10" s="29" t="n"/>
      <c r="H10" s="29" t="n"/>
      <c r="I10" s="30" t="n"/>
    </row>
    <row r="11">
      <c r="A11" s="12" t="inlineStr">
        <is>
          <t>Action Point (AP) / round</t>
        </is>
      </c>
      <c r="B11" s="29" t="n"/>
      <c r="C11" s="30" t="n"/>
      <c r="D11" s="14">
        <f>4</f>
        <v/>
      </c>
      <c r="E11" s="30" t="n"/>
      <c r="F11" s="6" t="inlineStr">
        <is>
          <t>Killer fixed at 4; Pressure Point (PRE) is a separate resource pool</t>
        </is>
      </c>
      <c r="G11" s="29" t="n"/>
      <c r="H11" s="29" t="n"/>
      <c r="I11" s="30" t="n"/>
    </row>
    <row r="12">
      <c r="A12" s="12" t="inlineStr">
        <is>
          <t>Hook Phase Rounds</t>
        </is>
      </c>
      <c r="B12" s="29" t="n"/>
      <c r="C12" s="30" t="n"/>
      <c r="D12" s="14">
        <f>IF($F$7="","",8-$F$7)</f>
        <v/>
      </c>
      <c r="E12" s="30" t="n"/>
      <c r="F12" s="6" t="inlineStr">
        <is>
          <t>8 − N. Each phase end advances one stage; end of phase 2 = Sacrifice</t>
        </is>
      </c>
      <c r="G12" s="29" t="n"/>
      <c r="H12" s="29" t="n"/>
      <c r="I12" s="30" t="n"/>
    </row>
    <row r="13">
      <c r="A13" s="12" t="inlineStr">
        <is>
          <t>Endgame Collapse rounds</t>
        </is>
      </c>
      <c r="B13" s="29" t="n"/>
      <c r="C13" s="30" t="n"/>
      <c r="D13" s="14">
        <f>IF($F$7="","",14-2*$F$7)</f>
        <v/>
      </c>
      <c r="E13" s="30" t="n"/>
      <c r="F13" s="6" t="inlineStr">
        <is>
          <t>14 − 2×N. Countdown starts after the last Generator is completed</t>
        </is>
      </c>
      <c r="G13" s="29" t="n"/>
      <c r="H13" s="29" t="n"/>
      <c r="I13" s="30" t="n"/>
    </row>
    <row r="14" ht="30" customHeight="1">
      <c r="A14" s="12" t="inlineStr">
        <is>
          <t>Terror Radius (TR)</t>
        </is>
      </c>
      <c r="B14" s="30" t="n"/>
      <c r="C14" s="8" t="n">
        <v>16</v>
      </c>
      <c r="D14" s="5" t="inlineStr">
        <is>
          <t>cell → meters</t>
        </is>
      </c>
      <c r="E14" s="14">
        <f>IF(C14="","",C14*2)</f>
        <v/>
      </c>
      <c r="F14" s="6" t="inlineStr">
        <is>
          <t>32 meters = 16 cells</t>
        </is>
      </c>
      <c r="G14" s="29" t="n"/>
      <c r="H14" s="29" t="n"/>
      <c r="I14" s="30" t="n"/>
    </row>
    <row r="15" ht="30" customHeight="1">
      <c r="A15" s="12" t="inlineStr">
        <is>
          <t>Move Level (MOV)</t>
        </is>
      </c>
      <c r="B15" s="30" t="n"/>
      <c r="C15" s="8" t="n">
        <v>7</v>
      </c>
      <c r="D15" s="5" t="inlineStr">
        <is>
          <t>cells / round(s)</t>
        </is>
      </c>
      <c r="E15" s="8" t="n"/>
      <c r="F15" s="6" t="inlineStr">
        <is>
          <t>Tier III Standard (7 cells / round(s), Move Speed Advantage +2)</t>
        </is>
      </c>
      <c r="G15" s="29" t="n"/>
      <c r="H15" s="29" t="n"/>
      <c r="I15" s="30" t="n"/>
    </row>
    <row r="16">
      <c r="A16" s="16" t="inlineStr">
        <is>
          <t>1 cell = 2 meters. Distance Band (DB): Contact (CON) 0–1 cells / Near (NEA) 1–4 cells / Mid (MID) 4–8 cells / Far (FAR) 8–16 cells / Escaped (ESC) 16+ cells.</t>
        </is>
      </c>
      <c r="B16" s="29" t="n"/>
      <c r="C16" s="29" t="n"/>
      <c r="D16" s="29" t="n"/>
      <c r="E16" s="29" t="n"/>
      <c r="F16" s="29" t="n"/>
      <c r="G16" s="29" t="n"/>
      <c r="H16" s="29" t="n"/>
      <c r="I16" s="30" t="n"/>
    </row>
    <row r="17" ht="20" customHeight="1">
      <c r="A17" s="9" t="inlineStr">
        <is>
          <t>II. Attributes &amp; Skills (three-baseline reference)</t>
        </is>
      </c>
      <c r="B17" s="29" t="n"/>
      <c r="C17" s="29" t="n"/>
      <c r="D17" s="29" t="n"/>
      <c r="E17" s="29" t="n"/>
      <c r="F17" s="29" t="n"/>
      <c r="G17" s="29" t="n"/>
      <c r="H17" s="29" t="n"/>
      <c r="I17" s="30" t="n"/>
    </row>
    <row r="18" ht="30" customHeight="1">
      <c r="A18" s="5" t="inlineStr">
        <is>
          <t>Attribute / Skill</t>
        </is>
      </c>
      <c r="B18" s="29" t="n"/>
      <c r="C18" s="30" t="n"/>
      <c r="D18" s="5" t="inlineStr">
        <is>
          <t>Prestige 1 (8 pts)</t>
        </is>
      </c>
      <c r="E18" s="5" t="inlineStr">
        <is>
          <t>Prestige 10 (13 pts)</t>
        </is>
      </c>
      <c r="F18" s="5" t="inlineStr">
        <is>
          <t>Prestige 20 (18 pts)</t>
        </is>
      </c>
      <c r="G18" s="5" t="inlineStr">
        <is>
          <t>Used This Trial</t>
        </is>
      </c>
      <c r="H18" s="5" t="inlineStr">
        <is>
          <t>Notes</t>
        </is>
      </c>
      <c r="I18" s="30" t="n"/>
    </row>
    <row r="19">
      <c r="A19" s="12" t="inlineStr">
        <is>
          <t>Brute Force (BRU)</t>
        </is>
      </c>
      <c r="B19" s="29" t="n"/>
      <c r="C19" s="30" t="n"/>
      <c r="D19" s="8" t="inlineStr">
        <is>
          <t>1</t>
        </is>
      </c>
      <c r="E19" s="8" t="inlineStr">
        <is>
          <t>2</t>
        </is>
      </c>
      <c r="F19" s="8" t="inlineStr">
        <is>
          <t>3</t>
        </is>
      </c>
      <c r="G19" s="8" t="n"/>
      <c r="H19" s="6" t="n"/>
      <c r="I19" s="30" t="n"/>
    </row>
    <row r="20">
      <c r="A20" s="12" t="inlineStr">
        <is>
          <t>Hunt (HNT)</t>
        </is>
      </c>
      <c r="B20" s="29" t="n"/>
      <c r="C20" s="30" t="n"/>
      <c r="D20" s="8" t="inlineStr">
        <is>
          <t>2</t>
        </is>
      </c>
      <c r="E20" s="8" t="inlineStr">
        <is>
          <t>3</t>
        </is>
      </c>
      <c r="F20" s="8" t="inlineStr">
        <is>
          <t>4</t>
        </is>
      </c>
      <c r="G20" s="8" t="n"/>
      <c r="H20" s="6" t="n"/>
      <c r="I20" s="30" t="n"/>
    </row>
    <row r="21">
      <c r="A21" s="12" t="inlineStr">
        <is>
          <t>Perception (PER)</t>
        </is>
      </c>
      <c r="B21" s="29" t="n"/>
      <c r="C21" s="30" t="n"/>
      <c r="D21" s="8" t="inlineStr">
        <is>
          <t>1</t>
        </is>
      </c>
      <c r="E21" s="8" t="inlineStr">
        <is>
          <t>2</t>
        </is>
      </c>
      <c r="F21" s="8" t="inlineStr">
        <is>
          <t>3</t>
        </is>
      </c>
      <c r="G21" s="8" t="n"/>
      <c r="H21" s="6" t="n"/>
      <c r="I21" s="30" t="n"/>
    </row>
    <row r="22">
      <c r="A22" s="12" t="inlineStr">
        <is>
          <t>Dread (DRE)</t>
        </is>
      </c>
      <c r="B22" s="29" t="n"/>
      <c r="C22" s="30" t="n"/>
      <c r="D22" s="8" t="inlineStr">
        <is>
          <t>3</t>
        </is>
      </c>
      <c r="E22" s="8" t="inlineStr">
        <is>
          <t>4</t>
        </is>
      </c>
      <c r="F22" s="8" t="inlineStr">
        <is>
          <t>5</t>
        </is>
      </c>
      <c r="G22" s="8" t="n"/>
      <c r="H22" s="6" t="n"/>
      <c r="I22" s="30" t="n"/>
    </row>
    <row r="23">
      <c r="A23" s="12" t="inlineStr">
        <is>
          <t>Occult (OCC)</t>
        </is>
      </c>
      <c r="B23" s="29" t="n"/>
      <c r="C23" s="30" t="n"/>
      <c r="D23" s="8" t="inlineStr">
        <is>
          <t>1</t>
        </is>
      </c>
      <c r="E23" s="8" t="inlineStr">
        <is>
          <t>2</t>
        </is>
      </c>
      <c r="F23" s="8" t="inlineStr">
        <is>
          <t>3</t>
        </is>
      </c>
      <c r="G23" s="8" t="n"/>
      <c r="H23" s="6" t="n"/>
      <c r="I23" s="30" t="n"/>
    </row>
    <row r="24">
      <c r="A24" s="12" t="inlineStr">
        <is>
          <t>Tracking (TRK)</t>
        </is>
      </c>
      <c r="B24" s="29" t="n"/>
      <c r="C24" s="30" t="n"/>
      <c r="D24" s="8" t="inlineStr">
        <is>
          <t>0</t>
        </is>
      </c>
      <c r="E24" s="8" t="inlineStr">
        <is>
          <t>2</t>
        </is>
      </c>
      <c r="F24" s="8" t="inlineStr">
        <is>
          <t>3</t>
        </is>
      </c>
      <c r="G24" s="8" t="n"/>
      <c r="H24" s="6" t="n"/>
      <c r="I24" s="30" t="n"/>
    </row>
    <row r="25">
      <c r="A25" s="12" t="inlineStr">
        <is>
          <t>Subdue (SUP)</t>
        </is>
      </c>
      <c r="B25" s="29" t="n"/>
      <c r="C25" s="30" t="n"/>
      <c r="D25" s="8" t="inlineStr">
        <is>
          <t>1</t>
        </is>
      </c>
      <c r="E25" s="8" t="inlineStr">
        <is>
          <t>2</t>
        </is>
      </c>
      <c r="F25" s="8" t="inlineStr">
        <is>
          <t>4</t>
        </is>
      </c>
      <c r="G25" s="8" t="n"/>
      <c r="H25" s="6" t="n"/>
      <c r="I25" s="30" t="n"/>
    </row>
    <row r="26">
      <c r="A26" s="12" t="inlineStr">
        <is>
          <t>Coerce (COE)</t>
        </is>
      </c>
      <c r="B26" s="29" t="n"/>
      <c r="C26" s="30" t="n"/>
      <c r="D26" s="8" t="inlineStr">
        <is>
          <t>1</t>
        </is>
      </c>
      <c r="E26" s="8" t="inlineStr">
        <is>
          <t>4</t>
        </is>
      </c>
      <c r="F26" s="8" t="inlineStr">
        <is>
          <t>5</t>
        </is>
      </c>
      <c r="G26" s="8" t="n"/>
      <c r="H26" s="6" t="n"/>
      <c r="I26" s="30" t="n"/>
    </row>
    <row r="27">
      <c r="A27" s="12" t="inlineStr">
        <is>
          <t>Ritual (RIT)</t>
        </is>
      </c>
      <c r="B27" s="29" t="n"/>
      <c r="C27" s="30" t="n"/>
      <c r="D27" s="8" t="inlineStr">
        <is>
          <t>0</t>
        </is>
      </c>
      <c r="E27" s="8" t="inlineStr">
        <is>
          <t>2</t>
        </is>
      </c>
      <c r="F27" s="8" t="inlineStr">
        <is>
          <t>4</t>
        </is>
      </c>
      <c r="G27" s="8" t="n"/>
      <c r="H27" s="6" t="n"/>
      <c r="I27" s="30" t="n"/>
    </row>
    <row r="28">
      <c r="A28" s="12" t="inlineStr">
        <is>
          <t>Challenge Rating (CR)</t>
        </is>
      </c>
      <c r="B28" s="29" t="n"/>
      <c r="C28" s="30" t="n"/>
      <c r="D28" s="8" t="inlineStr">
        <is>
          <t>2</t>
        </is>
      </c>
      <c r="E28" s="8" t="inlineStr">
        <is>
          <t>11</t>
        </is>
      </c>
      <c r="F28" s="8" t="inlineStr">
        <is>
          <t>21</t>
        </is>
      </c>
      <c r="G28" s="8" t="n"/>
      <c r="H28" s="6" t="n"/>
      <c r="I28" s="30" t="n"/>
    </row>
    <row r="29">
      <c r="A29" s="12" t="inlineStr">
        <is>
          <t>Base Attack Modifier</t>
        </is>
      </c>
      <c r="B29" s="29" t="n"/>
      <c r="C29" s="30" t="n"/>
      <c r="D29" s="8" t="inlineStr">
        <is>
          <t>+2</t>
        </is>
      </c>
      <c r="E29" s="8" t="inlineStr">
        <is>
          <t>+4</t>
        </is>
      </c>
      <c r="F29" s="8" t="inlineStr">
        <is>
          <t>+7</t>
        </is>
      </c>
      <c r="G29" s="8" t="n"/>
      <c r="H29" s="6" t="n"/>
      <c r="I29" s="30" t="n"/>
    </row>
    <row r="30">
      <c r="A30" s="12" t="inlineStr">
        <is>
          <t>Power Check Modifier</t>
        </is>
      </c>
      <c r="B30" s="29" t="n"/>
      <c r="C30" s="30" t="n"/>
      <c r="D30" s="8" t="inlineStr">
        <is>
          <t>+1</t>
        </is>
      </c>
      <c r="E30" s="8" t="inlineStr">
        <is>
          <t>+4</t>
        </is>
      </c>
      <c r="F30" s="8" t="inlineStr">
        <is>
          <t>+7</t>
        </is>
      </c>
      <c r="G30" s="8" t="n"/>
      <c r="H30" s="6" t="n"/>
      <c r="I30" s="30" t="n"/>
    </row>
    <row r="31">
      <c r="A31" s="12" t="inlineStr">
        <is>
          <t>Dread Pressure Modifier</t>
        </is>
      </c>
      <c r="B31" s="29" t="n"/>
      <c r="C31" s="30" t="n"/>
      <c r="D31" s="8" t="inlineStr">
        <is>
          <t>+4</t>
        </is>
      </c>
      <c r="E31" s="8" t="inlineStr">
        <is>
          <t>+8</t>
        </is>
      </c>
      <c r="F31" s="8" t="inlineStr">
        <is>
          <t>+10</t>
        </is>
      </c>
      <c r="G31" s="8" t="n"/>
      <c r="H31" s="6" t="n"/>
      <c r="I31" s="30" t="n"/>
    </row>
    <row r="32">
      <c r="A32" s="16" t="inlineStr">
        <is>
          <t>Killer's five attributes use a 'level 1–5' scale; the level is the check bonus (no ÷ 2). Total points = 8 + INT(Prestige (PRS) ÷ 2). The 'Used This Trial' column is for the GM to interpolate per the actual Prestige (PRS) deployed.</t>
        </is>
      </c>
      <c r="B32" s="29" t="n"/>
      <c r="C32" s="29" t="n"/>
      <c r="D32" s="29" t="n"/>
      <c r="E32" s="29" t="n"/>
      <c r="F32" s="29" t="n"/>
      <c r="G32" s="29" t="n"/>
      <c r="H32" s="29" t="n"/>
      <c r="I32" s="30" t="n"/>
    </row>
    <row r="33" ht="20" customHeight="1">
      <c r="A33" s="9" t="inlineStr">
        <is>
          <t>III. Power Card: Shock Therapy (Shock Therapy) and Static Field (Static Field)</t>
        </is>
      </c>
      <c r="B33" s="29" t="n"/>
      <c r="C33" s="29" t="n"/>
      <c r="D33" s="29" t="n"/>
      <c r="E33" s="29" t="n"/>
      <c r="F33" s="29" t="n"/>
      <c r="G33" s="29" t="n"/>
      <c r="H33" s="29" t="n"/>
      <c r="I33" s="30" t="n"/>
    </row>
    <row r="34" ht="22" customHeight="1">
      <c r="A34" s="12" t="inlineStr">
        <is>
          <t>Slot</t>
        </is>
      </c>
      <c r="B34" s="30" t="n"/>
      <c r="C34" s="18" t="inlineStr">
        <is>
          <t>Content</t>
        </is>
      </c>
      <c r="D34" s="29" t="n"/>
      <c r="E34" s="29" t="n"/>
      <c r="F34" s="29" t="n"/>
      <c r="G34" s="29" t="n"/>
      <c r="H34" s="29" t="n"/>
      <c r="I34" s="30" t="n"/>
    </row>
    <row r="35" ht="22" customHeight="1">
      <c r="A35" s="12" t="inlineStr">
        <is>
          <t>Power Type</t>
        </is>
      </c>
      <c r="B35" s="30" t="n"/>
      <c r="C35" s="18" t="inlineStr">
        <is>
          <t>Area-type (dual-mode switch)</t>
        </is>
      </c>
      <c r="D35" s="29" t="n"/>
      <c r="E35" s="29" t="n"/>
      <c r="F35" s="29" t="n"/>
      <c r="G35" s="29" t="n"/>
      <c r="H35" s="29" t="n"/>
      <c r="I35" s="30" t="n"/>
    </row>
    <row r="36" ht="22" customHeight="1">
      <c r="A36" s="12" t="inlineStr">
        <is>
          <t>Power Charge (PWC) Name</t>
        </is>
      </c>
      <c r="B36" s="30" t="n"/>
      <c r="C36" s="18" t="inlineStr">
        <is>
          <t>No Charge pool. Uses the target's Madness (Madness, ST-15) tier count as the resource axis</t>
        </is>
      </c>
      <c r="D36" s="29" t="n"/>
      <c r="E36" s="29" t="n"/>
      <c r="F36" s="29" t="n"/>
      <c r="G36" s="29" t="n"/>
      <c r="H36" s="29" t="n"/>
      <c r="I36" s="30" t="n"/>
    </row>
    <row r="37" ht="22" customHeight="1">
      <c r="A37" s="12" t="inlineStr">
        <is>
          <t>Mode Switch</t>
        </is>
      </c>
      <c r="B37" s="30" t="n"/>
      <c r="C37" s="18" t="inlineStr">
        <is>
          <t>0 Action Point (AP), limited to 1 per round(s). The two modes cannot be active at once</t>
        </is>
      </c>
      <c r="D37" s="29" t="n"/>
      <c r="E37" s="29" t="n"/>
      <c r="F37" s="29" t="n"/>
      <c r="G37" s="29" t="n"/>
      <c r="H37" s="29" t="n"/>
      <c r="I37" s="30" t="n"/>
    </row>
    <row r="38" ht="108" customHeight="1">
      <c r="A38" s="12" t="inlineStr">
        <is>
          <t>[Mode I] Static Field (passive)</t>
        </is>
      </c>
      <c r="B38" s="30" t="n"/>
      <c r="C38" s="18" t="inlineStr">
        <is>
          <t>All Survivors within the Terror Radius (TR) make a Will (WIL) + Endurance (END) check vs Difficulty Class (DC) = 10 + Dread (DRE) at the end of each round(s).
Failure → Madness +1 tier.
Critical Failure → Madness +2 tiers.
In this mode, the Doctor's basic attack −2 (distracted maintaining the field).</t>
        </is>
      </c>
      <c r="D38" s="29" t="n"/>
      <c r="E38" s="29" t="n"/>
      <c r="F38" s="29" t="n"/>
      <c r="G38" s="29" t="n"/>
      <c r="H38" s="29" t="n"/>
      <c r="I38" s="30" t="n"/>
    </row>
    <row r="39" ht="123" customHeight="1">
      <c r="A39" s="12" t="inlineStr">
        <is>
          <t>[Mode II] Shock Therapy (active)</t>
        </is>
      </c>
      <c r="B39" s="30" t="n"/>
      <c r="C39" s="18" t="inlineStr">
        <is>
          <t>2 Action Point (AP) + 2 Pressure Point (PRE). Choose one:
(A) all within a 4-cell radius of self (Near (NEA));
(B) a cone in a chosen direction: origin at self, length 6 cells, width 4 cells at the end (Chebyshev distance, see 30_Chase_Combat.md §10-4).
Power check 2d10 + Occult (OCC) + Ritual (RIT) vs each target 2d10 + Focus (FOC) + Insight (INS).</t>
        </is>
      </c>
      <c r="D39" s="29" t="n"/>
      <c r="E39" s="29" t="n"/>
      <c r="F39" s="29" t="n"/>
      <c r="G39" s="29" t="n"/>
      <c r="H39" s="29" t="n"/>
      <c r="I39" s="30" t="n"/>
    </row>
    <row r="40" ht="78" customHeight="1">
      <c r="A40" s="12" t="inlineStr">
        <is>
          <t>Shock Hit Effect</t>
        </is>
      </c>
      <c r="B40" s="30" t="n"/>
      <c r="C40" s="18" t="inlineStr">
        <is>
          <t>① Madness +1 tier;
② target's Remaining Action Point (AP) this round(s) drops to 0 (recreates the original "cannot vault or push after electrocution");
③ if the target is performing a sustained action (repair, heal, open door), that action's Progress Point (PP) −2.</t>
        </is>
      </c>
      <c r="D40" s="29" t="n"/>
      <c r="E40" s="29" t="n"/>
      <c r="F40" s="29" t="n"/>
      <c r="G40" s="29" t="n"/>
      <c r="H40" s="29" t="n"/>
      <c r="I40" s="30" t="n"/>
    </row>
    <row r="41" ht="108" customHeight="1">
      <c r="A41" s="12" t="inlineStr">
        <is>
          <t>Madness Ladder</t>
        </is>
      </c>
      <c r="B41" s="30" t="n"/>
      <c r="C41" s="18" t="inlineStr">
        <is>
          <t>Tier 1: all Technique checks −2.
Tier 2: all Technique checks −4; at the start of each round(s) a Focus (FOC) check vs Difficulty Class (DC) 12, on Failure scream (gain Revealed (Revealed, ST-18) 1 round(s)).
Tier 3 | Madness Snap: immediately scream; Action Point (AP) −1 for 3 round(s); and the GM may place 1 fake Heartbeat Token on that Player's Action memory card (the Player cannot tell real from fake — the most vicious yet brilliant mechanic of this avatar).</t>
        </is>
      </c>
      <c r="D41" s="29" t="n"/>
      <c r="E41" s="29" t="n"/>
      <c r="F41" s="29" t="n"/>
      <c r="G41" s="29" t="n"/>
      <c r="H41" s="29" t="n"/>
      <c r="I41" s="30" t="n"/>
    </row>
    <row r="42" ht="93" customHeight="1">
      <c r="A42" s="12" t="inlineStr">
        <is>
          <t>Madness Relief</t>
        </is>
      </c>
      <c r="B42" s="30" t="n"/>
      <c r="C42" s="18" t="inlineStr">
        <is>
          <t>① Sober action: 3 Action Point (AP) + Will (WIL) + Endurance (END) check vs Difficulty Class (DC) 14, Success −1 tier (Critical Success −2 tiers);
② −1 tier when completing a heal (self or received);
③ each Generator completed, all Survivors −1 tier (achievement disperses fear — a deliberate positive-feedback design).</t>
        </is>
      </c>
      <c r="D42" s="29" t="n"/>
      <c r="E42" s="29" t="n"/>
      <c r="F42" s="29" t="n"/>
      <c r="G42" s="29" t="n"/>
      <c r="H42" s="29" t="n"/>
      <c r="I42" s="30" t="n"/>
    </row>
    <row r="43" ht="78" customHeight="1">
      <c r="A43" s="12" t="inlineStr">
        <is>
          <t>Miss / Cost</t>
        </is>
      </c>
      <c r="B43" s="30" t="n"/>
      <c r="C43" s="18" t="inlineStr">
        <is>
          <t>① In Static Field mode basic attack −2, and the two modes being mutually exclusive means he cannot both "pressure" and "execute";
② Madness only interferes with checks, does not directly deduct Health State (HS) — the Doctor has the lowest "pure lethality" of any avatar;
③ each Generator completed drops all by −1 tier, so advancing the objective is itself the antidote.</t>
        </is>
      </c>
      <c r="D43" s="29" t="n"/>
      <c r="E43" s="29" t="n"/>
      <c r="F43" s="29" t="n"/>
      <c r="G43" s="29" t="n"/>
      <c r="H43" s="29" t="n"/>
      <c r="I43" s="30" t="n"/>
    </row>
    <row r="44" ht="22" customHeight="1">
      <c r="A44" s="12" t="inlineStr">
        <is>
          <t>Cooldown</t>
        </is>
      </c>
      <c r="B44" s="30" t="n"/>
      <c r="C44" s="18" t="inlineStr">
        <is>
          <t>Shock Therapy 1 round(s)</t>
        </is>
      </c>
      <c r="D44" s="29" t="n"/>
      <c r="E44" s="29" t="n"/>
      <c r="F44" s="29" t="n"/>
      <c r="G44" s="29" t="n"/>
      <c r="H44" s="29" t="n"/>
      <c r="I44" s="30" t="n"/>
    </row>
    <row r="45" ht="48" customHeight="1">
      <c r="A45" s="12" t="inlineStr">
        <is>
          <t>Survivor Counter</t>
        </is>
      </c>
      <c r="B45" s="30" t="n"/>
      <c r="C45" s="18" t="inlineStr">
        <is>
          <t>① Pushing Generators is the cure — do not stop to fight Madness; finish the objective to clear tiers; ② spread out — the shock is an Area Effect (AOE), two people within 4 cells double his payoff; ③ handle it at Tier 2 — the Tier 3 fake Heartbeat Token destroys all your judgment, do not let it get there.</t>
        </is>
      </c>
      <c r="D45" s="29" t="n"/>
      <c r="E45" s="29" t="n"/>
      <c r="F45" s="29" t="n"/>
      <c r="G45" s="29" t="n"/>
      <c r="H45" s="29" t="n"/>
      <c r="I45" s="30" t="n"/>
    </row>
    <row r="46" ht="63" customHeight="1">
      <c r="A46" s="12" t="inlineStr">
        <is>
          <t>Solo Config Adjustment</t>
        </is>
      </c>
      <c r="B46" s="30" t="n"/>
      <c r="C46" s="18" t="inlineStr">
        <is>
          <t>When N = 1: the Tier 3 Madness "fake Heartbeat Token" becomes at most 1 per 2 round(s), and the Tier 3 Action Point (AP) −1 is shortened to 2 round(s).
Reason: a solo Player only has their own Heartbeat Token as an information source; total contamination equals immediate blindness.</t>
        </is>
      </c>
      <c r="D46" s="29" t="n"/>
      <c r="E46" s="29" t="n"/>
      <c r="F46" s="29" t="n"/>
      <c r="G46" s="29" t="n"/>
      <c r="H46" s="29" t="n"/>
      <c r="I46" s="30" t="n"/>
    </row>
    <row r="47" ht="20" customHeight="1">
      <c r="A47" s="9" t="inlineStr">
        <is>
          <t>IV. Power Mastery</t>
        </is>
      </c>
      <c r="B47" s="29" t="n"/>
      <c r="C47" s="29" t="n"/>
      <c r="D47" s="29" t="n"/>
      <c r="E47" s="29" t="n"/>
      <c r="F47" s="29" t="n"/>
      <c r="G47" s="29" t="n"/>
      <c r="H47" s="29" t="n"/>
      <c r="I47" s="30" t="n"/>
    </row>
    <row r="48">
      <c r="A48" s="5" t="inlineStr">
        <is>
          <t>Tier</t>
        </is>
      </c>
      <c r="B48" s="30" t="n"/>
      <c r="C48" s="5" t="inlineStr">
        <is>
          <t>Effect</t>
        </is>
      </c>
      <c r="D48" s="29" t="n"/>
      <c r="E48" s="29" t="n"/>
      <c r="F48" s="29" t="n"/>
      <c r="G48" s="29" t="n"/>
      <c r="H48" s="29" t="n"/>
      <c r="I48" s="30" t="n"/>
    </row>
    <row r="49" ht="22" customHeight="1">
      <c r="A49" s="12" t="inlineStr">
        <is>
          <t>Tier 2 (Prestige 6)</t>
        </is>
      </c>
      <c r="B49" s="30" t="n"/>
      <c r="C49" s="18" t="inlineStr">
        <is>
          <t>Shock Therapy Cooldown reduced to 0 round(s) (Action Point (AP) Cost still 2).</t>
        </is>
      </c>
      <c r="D49" s="29" t="n"/>
      <c r="E49" s="29" t="n"/>
      <c r="F49" s="29" t="n"/>
      <c r="G49" s="29" t="n"/>
      <c r="H49" s="29" t="n"/>
      <c r="I49" s="30" t="n"/>
    </row>
    <row r="50" ht="22" customHeight="1">
      <c r="A50" s="12" t="inlineStr">
        <is>
          <t>Tier 3 (Prestige 11)</t>
        </is>
      </c>
      <c r="B50" s="30" t="n"/>
      <c r="C50" s="18" t="inlineStr">
        <is>
          <t>Static Field Difficulty Class (DC) +2; cone range extended to 8 cells.</t>
        </is>
      </c>
      <c r="D50" s="29" t="n"/>
      <c r="E50" s="29" t="n"/>
      <c r="F50" s="29" t="n"/>
      <c r="G50" s="29" t="n"/>
      <c r="H50" s="29" t="n"/>
      <c r="I50" s="30" t="n"/>
    </row>
    <row r="51" ht="93" customHeight="1">
      <c r="A51" s="12" t="inlineStr">
        <is>
          <t>Tier 4 (Prestige 16)</t>
        </is>
      </c>
      <c r="B51" s="30" t="n"/>
      <c r="C51" s="18" t="inlineStr">
        <is>
          <t>Endgame Form | Grand Rounds
Cost 4 Pressure Point (PRE) + 2 Action Point (AP), 3 times per Trial.
Lasts 4 round(s): during it ① Static Field and Shock Therapy can be active together (no longer mutually exclusive, no −2 attack penalty); ② a Survivor at Madness Tier 3 makes Technique checks of other Survivors within 4 cells −2 (Madness is contagious).</t>
        </is>
      </c>
      <c r="D51" s="29" t="n"/>
      <c r="E51" s="29" t="n"/>
      <c r="F51" s="29" t="n"/>
      <c r="G51" s="29" t="n"/>
      <c r="H51" s="29" t="n"/>
      <c r="I51" s="30" t="n"/>
    </row>
    <row r="52" ht="20" customHeight="1">
      <c r="A52" s="9" t="inlineStr">
        <is>
          <t>V. Exclusive Perks (Perk)</t>
        </is>
      </c>
      <c r="B52" s="29" t="n"/>
      <c r="C52" s="29" t="n"/>
      <c r="D52" s="29" t="n"/>
      <c r="E52" s="29" t="n"/>
      <c r="F52" s="29" t="n"/>
      <c r="G52" s="29" t="n"/>
      <c r="H52" s="29" t="n"/>
      <c r="I52" s="30" t="n"/>
    </row>
    <row r="53">
      <c r="A53" s="5" t="inlineStr">
        <is>
          <t>No.</t>
        </is>
      </c>
      <c r="B53" s="30" t="n"/>
      <c r="C53" s="5" t="inlineStr">
        <is>
          <t>Name</t>
        </is>
      </c>
      <c r="D53" s="29" t="n"/>
      <c r="E53" s="29" t="n"/>
      <c r="F53" s="30" t="n"/>
      <c r="G53" s="5" t="inlineStr">
        <is>
          <t>Source</t>
        </is>
      </c>
      <c r="H53" s="29" t="n"/>
      <c r="I53" s="30" t="n"/>
    </row>
    <row r="54">
      <c r="A54" s="8" t="inlineStr">
        <is>
          <t>TALENT-K19</t>
        </is>
      </c>
      <c r="B54" s="30" t="n"/>
      <c r="C54" s="6" t="inlineStr">
        <is>
          <t>Overcharge</t>
        </is>
      </c>
      <c r="D54" s="29" t="n"/>
      <c r="E54" s="29" t="n"/>
      <c r="F54" s="30" t="n"/>
      <c r="G54" s="6" t="n"/>
      <c r="H54" s="29" t="n"/>
      <c r="I54" s="30" t="n"/>
    </row>
    <row r="55">
      <c r="A55" s="8" t="inlineStr">
        <is>
          <t>TALENT-K20</t>
        </is>
      </c>
      <c r="B55" s="30" t="n"/>
      <c r="C55" s="6" t="inlineStr">
        <is>
          <t>Monitor &amp; Abuse</t>
        </is>
      </c>
      <c r="D55" s="29" t="n"/>
      <c r="E55" s="29" t="n"/>
      <c r="F55" s="30" t="n"/>
      <c r="G55" s="6" t="n"/>
      <c r="H55" s="29" t="n"/>
      <c r="I55" s="30" t="n"/>
    </row>
    <row r="56">
      <c r="A56" s="8" t="inlineStr">
        <is>
          <t>TALENT-K21</t>
        </is>
      </c>
      <c r="B56" s="30" t="n"/>
      <c r="C56" s="6" t="inlineStr">
        <is>
          <t>Overwhelming Presence</t>
        </is>
      </c>
      <c r="D56" s="29" t="n"/>
      <c r="E56" s="29" t="n"/>
      <c r="F56" s="30" t="n"/>
      <c r="G56" s="6" t="n"/>
      <c r="H56" s="29" t="n"/>
      <c r="I56" s="30" t="n"/>
    </row>
    <row r="57" ht="20" customHeight="1">
      <c r="A57" s="9" t="inlineStr">
        <is>
          <t>VI. Encounter Cost &amp; Deployment</t>
        </is>
      </c>
      <c r="B57" s="29" t="n"/>
      <c r="C57" s="29" t="n"/>
      <c r="D57" s="29" t="n"/>
      <c r="E57" s="29" t="n"/>
      <c r="F57" s="29" t="n"/>
      <c r="G57" s="29" t="n"/>
      <c r="H57" s="29" t="n"/>
      <c r="I57" s="30" t="n"/>
    </row>
    <row r="58">
      <c r="A58" s="12" t="inlineStr">
        <is>
          <t>As the Trial's main Killer</t>
        </is>
      </c>
      <c r="B58" s="29" t="n"/>
      <c r="C58" s="30" t="n"/>
      <c r="D58" s="6" t="inlineStr">
        <is>
          <t>takes 60% of Encounter Budget (EB)</t>
        </is>
      </c>
      <c r="E58" s="29" t="n"/>
      <c r="F58" s="29" t="n"/>
      <c r="G58" s="29" t="n"/>
      <c r="H58" s="29" t="n"/>
      <c r="I58" s="30" t="n"/>
    </row>
    <row r="59">
      <c r="A59" s="12" t="inlineStr">
        <is>
          <t>As a fixed threat in the scenario</t>
        </is>
      </c>
      <c r="B59" s="29" t="n"/>
      <c r="C59" s="30" t="n"/>
      <c r="D59" s="6" t="inlineStr">
        <is>
          <t>Challenge Rating (CR) × 2</t>
        </is>
      </c>
      <c r="E59" s="29" t="n"/>
      <c r="F59" s="29" t="n"/>
      <c r="G59" s="29" t="n"/>
      <c r="H59" s="29" t="n"/>
      <c r="I59" s="30" t="n"/>
    </row>
    <row r="60" ht="42" customHeight="1">
      <c r="A60" s="12" t="inlineStr">
        <is>
          <t>Solo config (N = 1) adjustment</t>
        </is>
      </c>
      <c r="B60" s="29" t="n"/>
      <c r="C60" s="30" t="n"/>
      <c r="D60" s="18" t="inlineStr">
        <is>
          <t>When N = 1: the Tier 3 Madness "fake Heartbeat Token" becomes at most 1 per 2 round(s), and the Tier 3 Action Point (AP) −1 is shortened to 2 round(s).
Reason: a solo Player only has their own Heartbeat Token as an information source; total contamination equals immediate blindness.</t>
        </is>
      </c>
      <c r="E60" s="29" t="n"/>
      <c r="F60" s="29" t="n"/>
      <c r="G60" s="29" t="n"/>
      <c r="H60" s="29" t="n"/>
      <c r="I60" s="30" t="n"/>
    </row>
    <row r="61" ht="20" customHeight="1">
      <c r="A61" s="9" t="inlineStr">
        <is>
          <t>VII. In-Trial Tracker</t>
        </is>
      </c>
      <c r="B61" s="29" t="n"/>
      <c r="C61" s="29" t="n"/>
      <c r="D61" s="29" t="n"/>
      <c r="E61" s="29" t="n"/>
      <c r="F61" s="29" t="n"/>
      <c r="G61" s="29" t="n"/>
      <c r="H61" s="29" t="n"/>
      <c r="I61" s="30" t="n"/>
    </row>
    <row r="62">
      <c r="A62" s="12" t="inlineStr">
        <is>
          <t>Current Pressure Point (PRE)</t>
        </is>
      </c>
      <c r="B62" s="30" t="n"/>
      <c r="C62" s="8" t="n"/>
      <c r="D62" s="30" t="n"/>
      <c r="E62" s="12" t="inlineStr">
        <is>
          <t>Pressure Ramp Phase</t>
        </is>
      </c>
      <c r="F62" s="30" t="n"/>
      <c r="G62" s="8" t="inlineStr">
        <is>
          <t>☐ I　☐ II　☐ III</t>
        </is>
      </c>
      <c r="H62" s="29" t="n"/>
      <c r="I62" s="30" t="n"/>
    </row>
    <row r="63">
      <c r="A63" s="12" t="inlineStr">
        <is>
          <t>Sacrificed Count</t>
        </is>
      </c>
      <c r="B63" s="30" t="n"/>
      <c r="C63" s="8" t="n"/>
      <c r="D63" s="30" t="n"/>
      <c r="E63" s="12" t="inlineStr">
        <is>
          <t>Hunt Lead</t>
        </is>
      </c>
      <c r="F63" s="30" t="n"/>
      <c r="G63" s="8" t="n"/>
      <c r="H63" s="29" t="n"/>
      <c r="I63" s="30" t="n"/>
    </row>
    <row r="64" ht="44" customHeight="1">
      <c r="A64" s="12" t="inlineStr">
        <is>
          <t>Notes</t>
        </is>
      </c>
      <c r="B64" s="30" t="n"/>
      <c r="C64" s="18" t="n"/>
      <c r="D64" s="29" t="n"/>
      <c r="E64" s="29" t="n"/>
      <c r="F64" s="29" t="n"/>
      <c r="G64" s="29" t="n"/>
      <c r="H64" s="29" t="n"/>
      <c r="I64" s="30" t="n"/>
    </row>
  </sheetData>
  <mergeCells count="131">
    <mergeCell ref="C36:I36"/>
    <mergeCell ref="C62:D62"/>
    <mergeCell ref="A64:B64"/>
    <mergeCell ref="A15:B15"/>
    <mergeCell ref="E62:F62"/>
    <mergeCell ref="A51:B51"/>
    <mergeCell ref="G62:I62"/>
    <mergeCell ref="A21:C21"/>
    <mergeCell ref="A26:C26"/>
    <mergeCell ref="A54:B54"/>
    <mergeCell ref="A33:I33"/>
    <mergeCell ref="E4:I4"/>
    <mergeCell ref="A7:B7"/>
    <mergeCell ref="A23:C23"/>
    <mergeCell ref="A41:B41"/>
    <mergeCell ref="D13:E13"/>
    <mergeCell ref="C63:D63"/>
    <mergeCell ref="E63:F63"/>
    <mergeCell ref="A17:I17"/>
    <mergeCell ref="A56:B56"/>
    <mergeCell ref="G63:I63"/>
    <mergeCell ref="C45:I45"/>
    <mergeCell ref="D7:E7"/>
    <mergeCell ref="A42:B42"/>
    <mergeCell ref="C54:F54"/>
    <mergeCell ref="F15:I15"/>
    <mergeCell ref="D59:I59"/>
    <mergeCell ref="D60:I60"/>
    <mergeCell ref="A53:B53"/>
    <mergeCell ref="A35:B35"/>
    <mergeCell ref="A62:B62"/>
    <mergeCell ref="C40:I40"/>
    <mergeCell ref="C56:F56"/>
    <mergeCell ref="H23:I23"/>
    <mergeCell ref="A61:I61"/>
    <mergeCell ref="A2:C5"/>
    <mergeCell ref="A39:B39"/>
    <mergeCell ref="A48:B48"/>
    <mergeCell ref="F13:I13"/>
    <mergeCell ref="D10:E10"/>
    <mergeCell ref="A45:B45"/>
    <mergeCell ref="E5:F5"/>
    <mergeCell ref="A12:C12"/>
    <mergeCell ref="H25:I25"/>
    <mergeCell ref="G7:H7"/>
    <mergeCell ref="D11:E11"/>
    <mergeCell ref="C34:I34"/>
    <mergeCell ref="A37:B37"/>
    <mergeCell ref="A46:B46"/>
    <mergeCell ref="G55:I55"/>
    <mergeCell ref="D58:I58"/>
    <mergeCell ref="C42:I42"/>
    <mergeCell ref="A29:C29"/>
    <mergeCell ref="A52:I52"/>
    <mergeCell ref="G54:I54"/>
    <mergeCell ref="A13:C13"/>
    <mergeCell ref="A31:C31"/>
    <mergeCell ref="A58:C58"/>
    <mergeCell ref="H19:I19"/>
    <mergeCell ref="G56:I56"/>
    <mergeCell ref="H28:I28"/>
    <mergeCell ref="D9:E9"/>
    <mergeCell ref="A24:C24"/>
    <mergeCell ref="C44:I44"/>
    <mergeCell ref="A60:C60"/>
    <mergeCell ref="A63:B63"/>
    <mergeCell ref="A1:I1"/>
    <mergeCell ref="H5:I5"/>
    <mergeCell ref="C46:I46"/>
    <mergeCell ref="C51:I51"/>
    <mergeCell ref="A34:B34"/>
    <mergeCell ref="A25:C25"/>
    <mergeCell ref="F9:I9"/>
    <mergeCell ref="C48:I48"/>
    <mergeCell ref="A49:B49"/>
    <mergeCell ref="G53:I53"/>
    <mergeCell ref="A18:C18"/>
    <mergeCell ref="A36:B36"/>
    <mergeCell ref="G3:I3"/>
    <mergeCell ref="C38:I38"/>
    <mergeCell ref="H31:I31"/>
    <mergeCell ref="C53:F53"/>
    <mergeCell ref="H21:I21"/>
    <mergeCell ref="A57:I57"/>
    <mergeCell ref="A32:I32"/>
    <mergeCell ref="C49:I49"/>
    <mergeCell ref="A22:C22"/>
    <mergeCell ref="F10:I10"/>
    <mergeCell ref="A20:C20"/>
    <mergeCell ref="A55:B55"/>
    <mergeCell ref="A28:C28"/>
    <mergeCell ref="C35:I35"/>
    <mergeCell ref="E2:I2"/>
    <mergeCell ref="A14:B14"/>
    <mergeCell ref="A30:C30"/>
    <mergeCell ref="H22:I22"/>
    <mergeCell ref="A59:C59"/>
    <mergeCell ref="D12:E12"/>
    <mergeCell ref="A38:B38"/>
    <mergeCell ref="A43:B43"/>
    <mergeCell ref="F8:I8"/>
    <mergeCell ref="A6:I6"/>
    <mergeCell ref="A40:B40"/>
    <mergeCell ref="H30:I30"/>
    <mergeCell ref="A16:I16"/>
    <mergeCell ref="H20:I20"/>
    <mergeCell ref="H29:I29"/>
    <mergeCell ref="C39:I39"/>
    <mergeCell ref="A27:C27"/>
    <mergeCell ref="C37:I37"/>
    <mergeCell ref="F14:I14"/>
    <mergeCell ref="A47:I47"/>
    <mergeCell ref="A8:C8"/>
    <mergeCell ref="F11:I11"/>
    <mergeCell ref="A50:B50"/>
    <mergeCell ref="A10:C10"/>
    <mergeCell ref="A19:C19"/>
    <mergeCell ref="C64:I64"/>
    <mergeCell ref="F12:I12"/>
    <mergeCell ref="A9:C9"/>
    <mergeCell ref="C55:F55"/>
    <mergeCell ref="C41:I41"/>
    <mergeCell ref="H27:I27"/>
    <mergeCell ref="D8:E8"/>
    <mergeCell ref="C50:I50"/>
    <mergeCell ref="A11:C11"/>
    <mergeCell ref="H24:I24"/>
    <mergeCell ref="H18:I18"/>
    <mergeCell ref="C43:I43"/>
    <mergeCell ref="A44:B44"/>
    <mergeCell ref="H26:I26"/>
  </mergeCells>
  <printOptions horizontalCentered="1"/>
  <pageMargins left="0.75" right="0.75" top="1" bottom="1" header="0.5" footer="0.5"/>
  <pageSetup orientation="portrait" fitToHeight="0" fitToWidth="1"/>
</worksheet>
</file>

<file path=xl/worksheets/sheet8.xml><?xml version="1.0" encoding="utf-8"?>
<worksheet xmlns="http://schemas.openxmlformats.org/spreadsheetml/2006/main">
  <sheetPr>
    <outlinePr summaryBelow="1" summaryRight="1"/>
    <pageSetUpPr fitToPage="1"/>
  </sheetPr>
  <dimension ref="A1:I65"/>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Enemy Character Sheet　·　Killer Avatar</t>
        </is>
      </c>
      <c r="B1" s="25" t="n"/>
      <c r="C1" s="25" t="n"/>
      <c r="D1" s="25" t="n"/>
      <c r="E1" s="25" t="n"/>
      <c r="F1" s="25" t="n"/>
      <c r="G1" s="25" t="n"/>
      <c r="H1" s="25" t="n"/>
      <c r="I1" s="26" t="n"/>
    </row>
    <row r="2">
      <c r="A2" s="3" t="inlineStr">
        <is>
          <t>Character Art
(Paste character image here)</t>
        </is>
      </c>
      <c r="B2" s="27" t="n"/>
      <c r="C2" s="28" t="n"/>
      <c r="D2" s="5" t="inlineStr">
        <is>
          <t>Avatar Name</t>
        </is>
      </c>
      <c r="E2" s="6" t="inlineStr">
        <is>
          <t>Legion (LGN) | Xi Lü</t>
        </is>
      </c>
      <c r="F2" s="29" t="n"/>
      <c r="G2" s="29" t="n"/>
      <c r="H2" s="29" t="n"/>
      <c r="I2" s="30" t="n"/>
    </row>
    <row r="3">
      <c r="A3" s="31" t="n"/>
      <c r="C3" s="32" t="n"/>
      <c r="D3" s="5" t="inlineStr">
        <is>
          <t>Avatar Abbr.</t>
        </is>
      </c>
      <c r="E3" s="8" t="inlineStr">
        <is>
          <t>LGN</t>
        </is>
      </c>
      <c r="F3" s="5" t="inlineStr">
        <is>
          <t>True Name</t>
        </is>
      </c>
      <c r="G3" s="6" t="inlineStr">
        <is>
          <t>Xi Lü (four share one body; the signatory)</t>
        </is>
      </c>
      <c r="H3" s="29" t="n"/>
      <c r="I3" s="30" t="n"/>
    </row>
    <row r="4">
      <c r="A4" s="31" t="n"/>
      <c r="C4" s="32" t="n"/>
      <c r="D4" s="5" t="inlineStr">
        <is>
          <t>Home Realm</t>
        </is>
      </c>
      <c r="E4" s="6" t="inlineStr">
        <is>
          <t>R8 Forsaken Boneyard</t>
        </is>
      </c>
      <c r="F4" s="29" t="n"/>
      <c r="G4" s="29" t="n"/>
      <c r="H4" s="29" t="n"/>
      <c r="I4" s="30" t="n"/>
    </row>
    <row r="5">
      <c r="A5" s="33" t="n"/>
      <c r="B5" s="34" t="n"/>
      <c r="C5" s="35" t="n"/>
      <c r="D5" s="5" t="inlineStr">
        <is>
          <t>Power Type</t>
        </is>
      </c>
      <c r="E5" s="8" t="inlineStr">
        <is>
          <t>Combo-type</t>
        </is>
      </c>
      <c r="F5" s="30" t="n"/>
      <c r="G5" s="5" t="inlineStr">
        <is>
          <t>Attribute Tendency</t>
        </is>
      </c>
      <c r="H5" s="6" t="inlineStr">
        <is>
          <t>Hunt (HNT)＋2、Brute Force (BRU)＋1</t>
        </is>
      </c>
      <c r="I5" s="30" t="n"/>
    </row>
    <row r="6" ht="20" customHeight="1">
      <c r="A6" s="9" t="inlineStr">
        <is>
          <t>I. Trial Panel (gray = fill, beige = auto)</t>
        </is>
      </c>
      <c r="B6" s="29" t="n"/>
      <c r="C6" s="29" t="n"/>
      <c r="D6" s="29" t="n"/>
      <c r="E6" s="29" t="n"/>
      <c r="F6" s="29" t="n"/>
      <c r="G6" s="29" t="n"/>
      <c r="H6" s="29" t="n"/>
      <c r="I6" s="30" t="n"/>
    </row>
    <row r="7">
      <c r="A7" s="5" t="inlineStr">
        <is>
          <t>Prestige (PRS)</t>
        </is>
      </c>
      <c r="B7" s="30" t="n"/>
      <c r="C7" s="8" t="n"/>
      <c r="D7" s="5" t="inlineStr">
        <is>
          <t>Survivor player count N</t>
        </is>
      </c>
      <c r="E7" s="30" t="n"/>
      <c r="F7" s="8" t="n"/>
      <c r="G7" s="5" t="inlineStr">
        <is>
          <t>Avatar Threat Factor (AVM)</t>
        </is>
      </c>
      <c r="H7" s="30" t="n"/>
      <c r="I7" s="8" t="n">
        <v>1</v>
      </c>
    </row>
    <row r="8">
      <c r="A8" s="12" t="inlineStr">
        <is>
          <t>Challenge Rating (CR)</t>
        </is>
      </c>
      <c r="B8" s="29" t="n"/>
      <c r="C8" s="30" t="n"/>
      <c r="D8" s="14">
        <f>IF($C$7="","",$C$7+$I$7)</f>
        <v/>
      </c>
      <c r="E8" s="30" t="n"/>
      <c r="F8" s="6" t="inlineStr">
        <is>
          <t>Prestige (PRS) + Avatar Threat Factor (AVM)</t>
        </is>
      </c>
      <c r="G8" s="29" t="n"/>
      <c r="H8" s="29" t="n"/>
      <c r="I8" s="30" t="n"/>
    </row>
    <row r="9">
      <c r="A9" s="12" t="inlineStr">
        <is>
          <t>Pressure Point (PRE) Cap</t>
        </is>
      </c>
      <c r="B9" s="29" t="n"/>
      <c r="C9" s="30" t="n"/>
      <c r="D9" s="14">
        <f>IF(OR($C$7="",$F$7=""),"",4+2*$F$7+INT($C$7/4))</f>
        <v/>
      </c>
      <c r="E9" s="30" t="n"/>
      <c r="F9" s="6" t="inlineStr">
        <is>
          <t>4 + 2×N + INT(Prestige (PRS) ÷ 4)</t>
        </is>
      </c>
      <c r="G9" s="29" t="n"/>
      <c r="H9" s="29" t="n"/>
      <c r="I9" s="30" t="n"/>
    </row>
    <row r="10">
      <c r="A10" s="12" t="inlineStr">
        <is>
          <t>Pressure Point (PRE) recovery / round</t>
        </is>
      </c>
      <c r="B10" s="29" t="n"/>
      <c r="C10" s="30" t="n"/>
      <c r="D10" s="14">
        <f>IF($F$7="","",2+INT($F$7/2))</f>
        <v/>
      </c>
      <c r="E10" s="30" t="n"/>
      <c r="F10" s="6" t="inlineStr">
        <is>
          <t>2 ＋ INT(N ÷ 2)</t>
        </is>
      </c>
      <c r="G10" s="29" t="n"/>
      <c r="H10" s="29" t="n"/>
      <c r="I10" s="30" t="n"/>
    </row>
    <row r="11">
      <c r="A11" s="12" t="inlineStr">
        <is>
          <t>Action Point (AP) / round</t>
        </is>
      </c>
      <c r="B11" s="29" t="n"/>
      <c r="C11" s="30" t="n"/>
      <c r="D11" s="14">
        <f>4</f>
        <v/>
      </c>
      <c r="E11" s="30" t="n"/>
      <c r="F11" s="6" t="inlineStr">
        <is>
          <t>Killer fixed at 4; Pressure Point (PRE) is a separate resource pool</t>
        </is>
      </c>
      <c r="G11" s="29" t="n"/>
      <c r="H11" s="29" t="n"/>
      <c r="I11" s="30" t="n"/>
    </row>
    <row r="12">
      <c r="A12" s="12" t="inlineStr">
        <is>
          <t>Hook Phase Rounds</t>
        </is>
      </c>
      <c r="B12" s="29" t="n"/>
      <c r="C12" s="30" t="n"/>
      <c r="D12" s="14">
        <f>IF($F$7="","",8-$F$7)</f>
        <v/>
      </c>
      <c r="E12" s="30" t="n"/>
      <c r="F12" s="6" t="inlineStr">
        <is>
          <t>8 − N. Each phase end advances one stage; end of phase 2 = Sacrifice</t>
        </is>
      </c>
      <c r="G12" s="29" t="n"/>
      <c r="H12" s="29" t="n"/>
      <c r="I12" s="30" t="n"/>
    </row>
    <row r="13">
      <c r="A13" s="12" t="inlineStr">
        <is>
          <t>Endgame Collapse rounds</t>
        </is>
      </c>
      <c r="B13" s="29" t="n"/>
      <c r="C13" s="30" t="n"/>
      <c r="D13" s="14">
        <f>IF($F$7="","",14-2*$F$7)</f>
        <v/>
      </c>
      <c r="E13" s="30" t="n"/>
      <c r="F13" s="6" t="inlineStr">
        <is>
          <t>14 − 2×N. Countdown starts after the last Generator is completed</t>
        </is>
      </c>
      <c r="G13" s="29" t="n"/>
      <c r="H13" s="29" t="n"/>
      <c r="I13" s="30" t="n"/>
    </row>
    <row r="14" ht="30" customHeight="1">
      <c r="A14" s="12" t="inlineStr">
        <is>
          <t>Terror Radius (TR)</t>
        </is>
      </c>
      <c r="B14" s="30" t="n"/>
      <c r="C14" s="8" t="n">
        <v>16</v>
      </c>
      <c r="D14" s="5" t="inlineStr">
        <is>
          <t>cell → meters</t>
        </is>
      </c>
      <c r="E14" s="14">
        <f>IF(C14="","",C14*2)</f>
        <v/>
      </c>
      <c r="F14" s="6" t="inlineStr">
        <is>
          <t>32 meters = 16 cells (40 m = 20 cells during Frenzy)</t>
        </is>
      </c>
      <c r="G14" s="29" t="n"/>
      <c r="H14" s="29" t="n"/>
      <c r="I14" s="30" t="n"/>
    </row>
    <row r="15" ht="30" customHeight="1">
      <c r="A15" s="12" t="inlineStr">
        <is>
          <t>Move Level (MOV)</t>
        </is>
      </c>
      <c r="B15" s="30" t="n"/>
      <c r="C15" s="8" t="n">
        <v>7</v>
      </c>
      <c r="D15" s="5" t="inlineStr">
        <is>
          <t>cells / round(s)</t>
        </is>
      </c>
      <c r="E15" s="8" t="n"/>
      <c r="F15" s="6" t="inlineStr">
        <is>
          <t>Tier III Standard (7 cells / round(s), Move Speed Advantage +2); Tier IV Swift during Frenzy (8 cells / round(s), Move Speed Advantage +3)</t>
        </is>
      </c>
      <c r="G15" s="29" t="n"/>
      <c r="H15" s="29" t="n"/>
      <c r="I15" s="30" t="n"/>
    </row>
    <row r="16">
      <c r="A16" s="16" t="inlineStr">
        <is>
          <t>1 cell = 2 meters. Distance Band (DB): Contact (CON) 0–1 cells / Near (NEA) 1–4 cells / Mid (MID) 4–8 cells / Far (FAR) 8–16 cells / Escaped (ESC) 16+ cells.</t>
        </is>
      </c>
      <c r="B16" s="29" t="n"/>
      <c r="C16" s="29" t="n"/>
      <c r="D16" s="29" t="n"/>
      <c r="E16" s="29" t="n"/>
      <c r="F16" s="29" t="n"/>
      <c r="G16" s="29" t="n"/>
      <c r="H16" s="29" t="n"/>
      <c r="I16" s="30" t="n"/>
    </row>
    <row r="17" ht="20" customHeight="1">
      <c r="A17" s="9" t="inlineStr">
        <is>
          <t>II. Attributes &amp; Skills (three-baseline reference)</t>
        </is>
      </c>
      <c r="B17" s="29" t="n"/>
      <c r="C17" s="29" t="n"/>
      <c r="D17" s="29" t="n"/>
      <c r="E17" s="29" t="n"/>
      <c r="F17" s="29" t="n"/>
      <c r="G17" s="29" t="n"/>
      <c r="H17" s="29" t="n"/>
      <c r="I17" s="30" t="n"/>
    </row>
    <row r="18" ht="30" customHeight="1">
      <c r="A18" s="5" t="inlineStr">
        <is>
          <t>Attribute / Skill</t>
        </is>
      </c>
      <c r="B18" s="29" t="n"/>
      <c r="C18" s="30" t="n"/>
      <c r="D18" s="5" t="inlineStr">
        <is>
          <t>Prestige 1 (8 pts)</t>
        </is>
      </c>
      <c r="E18" s="5" t="inlineStr">
        <is>
          <t>Prestige 10 (13 pts)</t>
        </is>
      </c>
      <c r="F18" s="5" t="inlineStr">
        <is>
          <t>Prestige 20 (18 pts)</t>
        </is>
      </c>
      <c r="G18" s="5" t="inlineStr">
        <is>
          <t>Used This Trial</t>
        </is>
      </c>
      <c r="H18" s="5" t="inlineStr">
        <is>
          <t>Notes</t>
        </is>
      </c>
      <c r="I18" s="30" t="n"/>
    </row>
    <row r="19">
      <c r="A19" s="12" t="inlineStr">
        <is>
          <t>Brute Force (BRU)</t>
        </is>
      </c>
      <c r="B19" s="29" t="n"/>
      <c r="C19" s="30" t="n"/>
      <c r="D19" s="8" t="inlineStr">
        <is>
          <t>2</t>
        </is>
      </c>
      <c r="E19" s="8" t="inlineStr">
        <is>
          <t>3</t>
        </is>
      </c>
      <c r="F19" s="8" t="inlineStr">
        <is>
          <t>4</t>
        </is>
      </c>
      <c r="G19" s="8" t="n"/>
      <c r="H19" s="6" t="n"/>
      <c r="I19" s="30" t="n"/>
    </row>
    <row r="20">
      <c r="A20" s="12" t="inlineStr">
        <is>
          <t>Hunt (HNT)</t>
        </is>
      </c>
      <c r="B20" s="29" t="n"/>
      <c r="C20" s="30" t="n"/>
      <c r="D20" s="8" t="inlineStr">
        <is>
          <t>3</t>
        </is>
      </c>
      <c r="E20" s="8" t="inlineStr">
        <is>
          <t>4</t>
        </is>
      </c>
      <c r="F20" s="8" t="inlineStr">
        <is>
          <t>5</t>
        </is>
      </c>
      <c r="G20" s="8" t="n"/>
      <c r="H20" s="6" t="n"/>
      <c r="I20" s="30" t="n"/>
    </row>
    <row r="21">
      <c r="A21" s="12" t="inlineStr">
        <is>
          <t>Perception (PER)</t>
        </is>
      </c>
      <c r="B21" s="29" t="n"/>
      <c r="C21" s="30" t="n"/>
      <c r="D21" s="8" t="inlineStr">
        <is>
          <t>1</t>
        </is>
      </c>
      <c r="E21" s="8" t="inlineStr">
        <is>
          <t>2</t>
        </is>
      </c>
      <c r="F21" s="8" t="inlineStr">
        <is>
          <t>4</t>
        </is>
      </c>
      <c r="G21" s="8" t="n"/>
      <c r="H21" s="6" t="n"/>
      <c r="I21" s="30" t="n"/>
    </row>
    <row r="22">
      <c r="A22" s="12" t="inlineStr">
        <is>
          <t>Dread (DRE)</t>
        </is>
      </c>
      <c r="B22" s="29" t="n"/>
      <c r="C22" s="30" t="n"/>
      <c r="D22" s="8" t="inlineStr">
        <is>
          <t>1</t>
        </is>
      </c>
      <c r="E22" s="8" t="inlineStr">
        <is>
          <t>2</t>
        </is>
      </c>
      <c r="F22" s="8" t="inlineStr">
        <is>
          <t>2</t>
        </is>
      </c>
      <c r="G22" s="8" t="n"/>
      <c r="H22" s="6" t="n"/>
      <c r="I22" s="30" t="n"/>
    </row>
    <row r="23">
      <c r="A23" s="12" t="inlineStr">
        <is>
          <t>Occult (OCC)</t>
        </is>
      </c>
      <c r="B23" s="29" t="n"/>
      <c r="C23" s="30" t="n"/>
      <c r="D23" s="8" t="inlineStr">
        <is>
          <t>1</t>
        </is>
      </c>
      <c r="E23" s="8" t="inlineStr">
        <is>
          <t>2</t>
        </is>
      </c>
      <c r="F23" s="8" t="inlineStr">
        <is>
          <t>3</t>
        </is>
      </c>
      <c r="G23" s="8" t="n"/>
      <c r="H23" s="6" t="n"/>
      <c r="I23" s="30" t="n"/>
    </row>
    <row r="24">
      <c r="A24" s="12" t="inlineStr">
        <is>
          <t>Tracking (TRK)</t>
        </is>
      </c>
      <c r="B24" s="29" t="n"/>
      <c r="C24" s="30" t="n"/>
      <c r="D24" s="8" t="inlineStr">
        <is>
          <t>1</t>
        </is>
      </c>
      <c r="E24" s="8" t="inlineStr">
        <is>
          <t>3</t>
        </is>
      </c>
      <c r="F24" s="8" t="inlineStr">
        <is>
          <t>4</t>
        </is>
      </c>
      <c r="G24" s="8" t="n"/>
      <c r="H24" s="6" t="n"/>
      <c r="I24" s="30" t="n"/>
    </row>
    <row r="25">
      <c r="A25" s="12" t="inlineStr">
        <is>
          <t>Subdue (SUP)</t>
        </is>
      </c>
      <c r="B25" s="29" t="n"/>
      <c r="C25" s="30" t="n"/>
      <c r="D25" s="8" t="inlineStr">
        <is>
          <t>1</t>
        </is>
      </c>
      <c r="E25" s="8" t="inlineStr">
        <is>
          <t>2</t>
        </is>
      </c>
      <c r="F25" s="8" t="inlineStr">
        <is>
          <t>4</t>
        </is>
      </c>
      <c r="G25" s="8" t="n"/>
      <c r="H25" s="6" t="n"/>
      <c r="I25" s="30" t="n"/>
    </row>
    <row r="26">
      <c r="A26" s="12" t="inlineStr">
        <is>
          <t>Coerce (COE)</t>
        </is>
      </c>
      <c r="B26" s="29" t="n"/>
      <c r="C26" s="30" t="n"/>
      <c r="D26" s="8" t="inlineStr">
        <is>
          <t>0</t>
        </is>
      </c>
      <c r="E26" s="8" t="inlineStr">
        <is>
          <t>1</t>
        </is>
      </c>
      <c r="F26" s="8" t="inlineStr">
        <is>
          <t>3</t>
        </is>
      </c>
      <c r="G26" s="8" t="n"/>
      <c r="H26" s="6" t="n"/>
      <c r="I26" s="30" t="n"/>
    </row>
    <row r="27">
      <c r="A27" s="12" t="inlineStr">
        <is>
          <t>Ritual (RIT)</t>
        </is>
      </c>
      <c r="B27" s="29" t="n"/>
      <c r="C27" s="30" t="n"/>
      <c r="D27" s="8" t="inlineStr">
        <is>
          <t>0</t>
        </is>
      </c>
      <c r="E27" s="8" t="inlineStr">
        <is>
          <t>2</t>
        </is>
      </c>
      <c r="F27" s="8" t="inlineStr">
        <is>
          <t>4</t>
        </is>
      </c>
      <c r="G27" s="8" t="n"/>
      <c r="H27" s="6" t="n"/>
      <c r="I27" s="30" t="n"/>
    </row>
    <row r="28">
      <c r="A28" s="12" t="inlineStr">
        <is>
          <t>Challenge Rating (CR)</t>
        </is>
      </c>
      <c r="B28" s="29" t="n"/>
      <c r="C28" s="30" t="n"/>
      <c r="D28" s="8" t="inlineStr">
        <is>
          <t>2</t>
        </is>
      </c>
      <c r="E28" s="8" t="inlineStr">
        <is>
          <t>11</t>
        </is>
      </c>
      <c r="F28" s="8" t="inlineStr">
        <is>
          <t>21</t>
        </is>
      </c>
      <c r="G28" s="8" t="n"/>
      <c r="H28" s="6" t="n"/>
      <c r="I28" s="30" t="n"/>
    </row>
    <row r="29">
      <c r="A29" s="12" t="inlineStr">
        <is>
          <t>Base Attack Modifier</t>
        </is>
      </c>
      <c r="B29" s="29" t="n"/>
      <c r="C29" s="30" t="n"/>
      <c r="D29" s="8" t="inlineStr">
        <is>
          <t>+3</t>
        </is>
      </c>
      <c r="E29" s="8" t="inlineStr">
        <is>
          <t>+5</t>
        </is>
      </c>
      <c r="F29" s="8" t="inlineStr">
        <is>
          <t>+8</t>
        </is>
      </c>
      <c r="G29" s="8" t="n"/>
      <c r="H29" s="6" t="n"/>
      <c r="I29" s="30" t="n"/>
    </row>
    <row r="30">
      <c r="A30" s="12" t="inlineStr">
        <is>
          <t>Chase Opposition Modifier (during Frenzy)</t>
        </is>
      </c>
      <c r="B30" s="29" t="n"/>
      <c r="C30" s="30" t="n"/>
      <c r="D30" s="8" t="inlineStr">
        <is>
          <t>+6</t>
        </is>
      </c>
      <c r="E30" s="8" t="inlineStr">
        <is>
          <t>+7</t>
        </is>
      </c>
      <c r="F30" s="8" t="inlineStr">
        <is>
          <t>+8</t>
        </is>
      </c>
      <c r="G30" s="8" t="n"/>
      <c r="H30" s="6" t="n"/>
      <c r="I30" s="30" t="n"/>
    </row>
    <row r="31">
      <c r="A31" s="16" t="inlineStr">
        <is>
          <t>Killer's five attributes use a 'level 1–5' scale; the level is the check bonus (no ÷ 2). Total points = 8 + INT(Prestige (PRS) ÷ 2). The 'Used This Trial' column is for the GM to interpolate per the actual Prestige (PRS) deployed.</t>
        </is>
      </c>
      <c r="B31" s="29" t="n"/>
      <c r="C31" s="29" t="n"/>
      <c r="D31" s="29" t="n"/>
      <c r="E31" s="29" t="n"/>
      <c r="F31" s="29" t="n"/>
      <c r="G31" s="29" t="n"/>
      <c r="H31" s="29" t="n"/>
      <c r="I31" s="30" t="n"/>
    </row>
    <row r="32" ht="20" customHeight="1">
      <c r="A32" s="9" t="inlineStr">
        <is>
          <t>III. Power Card: Frenzy (Frenzy)</t>
        </is>
      </c>
      <c r="B32" s="29" t="n"/>
      <c r="C32" s="29" t="n"/>
      <c r="D32" s="29" t="n"/>
      <c r="E32" s="29" t="n"/>
      <c r="F32" s="29" t="n"/>
      <c r="G32" s="29" t="n"/>
      <c r="H32" s="29" t="n"/>
      <c r="I32" s="30" t="n"/>
    </row>
    <row r="33" ht="22" customHeight="1">
      <c r="A33" s="12" t="inlineStr">
        <is>
          <t>Slot</t>
        </is>
      </c>
      <c r="B33" s="30" t="n"/>
      <c r="C33" s="18" t="inlineStr">
        <is>
          <t>Content</t>
        </is>
      </c>
      <c r="D33" s="29" t="n"/>
      <c r="E33" s="29" t="n"/>
      <c r="F33" s="29" t="n"/>
      <c r="G33" s="29" t="n"/>
      <c r="H33" s="29" t="n"/>
      <c r="I33" s="30" t="n"/>
    </row>
    <row r="34" ht="22" customHeight="1">
      <c r="A34" s="12" t="inlineStr">
        <is>
          <t>Power Type</t>
        </is>
      </c>
      <c r="B34" s="30" t="n"/>
      <c r="C34" s="18" t="inlineStr">
        <is>
          <t>Combo-type (gauge system)</t>
        </is>
      </c>
      <c r="D34" s="29" t="n"/>
      <c r="E34" s="29" t="n"/>
      <c r="F34" s="29" t="n"/>
      <c r="G34" s="29" t="n"/>
      <c r="H34" s="29" t="n"/>
      <c r="I34" s="30" t="n"/>
    </row>
    <row r="35" ht="22" customHeight="1">
      <c r="A35" s="12" t="inlineStr">
        <is>
          <t>Power Charge (PWC) Name</t>
        </is>
      </c>
      <c r="B35" s="30" t="n"/>
      <c r="C35" s="18" t="inlineStr">
        <is>
          <t>Frenzy Gauge, range 0–5 (0–7 after Tier III mastery)</t>
        </is>
      </c>
      <c r="D35" s="29" t="n"/>
      <c r="E35" s="29" t="n"/>
      <c r="F35" s="29" t="n"/>
      <c r="G35" s="29" t="n"/>
      <c r="H35" s="29" t="n"/>
      <c r="I35" s="30" t="n"/>
    </row>
    <row r="36" ht="22" customHeight="1">
      <c r="A36" s="12" t="inlineStr">
        <is>
          <t>Charge Cap</t>
        </is>
      </c>
      <c r="B36" s="30" t="n"/>
      <c r="C36" s="18" t="inlineStr">
        <is>
          <t>PWC_max = 5 (7 after Tier III mastery)</t>
        </is>
      </c>
      <c r="D36" s="29" t="n"/>
      <c r="E36" s="29" t="n"/>
      <c r="F36" s="29" t="n"/>
      <c r="G36" s="29" t="n"/>
      <c r="H36" s="29" t="n"/>
      <c r="I36" s="30" t="n"/>
    </row>
    <row r="37" ht="22" customHeight="1">
      <c r="A37" s="12" t="inlineStr">
        <is>
          <t>Charge Recovery</t>
        </is>
      </c>
      <c r="B37" s="30" t="n"/>
      <c r="C37" s="18" t="inlineStr">
        <is>
          <t>Each hit on a target not yet hit in this Frenzy during Frenzy +1; resets to 0 at Frenzy end</t>
        </is>
      </c>
      <c r="D37" s="29" t="n"/>
      <c r="E37" s="29" t="n"/>
      <c r="F37" s="29" t="n"/>
      <c r="G37" s="29" t="n"/>
      <c r="H37" s="29" t="n"/>
      <c r="I37" s="30" t="n"/>
    </row>
    <row r="38" ht="22" customHeight="1">
      <c r="A38" s="12" t="inlineStr">
        <is>
          <t>Action Point (AP) Cost</t>
        </is>
      </c>
      <c r="B38" s="30" t="n"/>
      <c r="C38" s="18" t="inlineStr">
        <is>
          <t>Activate Frenzy 1 point</t>
        </is>
      </c>
      <c r="D38" s="29" t="n"/>
      <c r="E38" s="29" t="n"/>
      <c r="F38" s="29" t="n"/>
      <c r="G38" s="29" t="n"/>
      <c r="H38" s="29" t="n"/>
      <c r="I38" s="30" t="n"/>
    </row>
    <row r="39" ht="22" customHeight="1">
      <c r="A39" s="12" t="inlineStr">
        <is>
          <t>Pressure Point (PRE) Cost</t>
        </is>
      </c>
      <c r="B39" s="30" t="n"/>
      <c r="C39" s="18" t="inlineStr">
        <is>
          <t>2 pts</t>
        </is>
      </c>
      <c r="D39" s="29" t="n"/>
      <c r="E39" s="29" t="n"/>
      <c r="F39" s="29" t="n"/>
      <c r="G39" s="29" t="n"/>
      <c r="H39" s="29" t="n"/>
      <c r="I39" s="30" t="n"/>
    </row>
    <row r="40" ht="22" customHeight="1">
      <c r="A40" s="12" t="inlineStr">
        <is>
          <t>Resolution Formula (Activation)</t>
        </is>
      </c>
      <c r="B40" s="30" t="n"/>
      <c r="C40" s="18" t="inlineStr">
        <is>
          <t>No check required. Declaration enters Frenzy, lasts 3 round(s) (4 round(s) after Tier II mastery)</t>
        </is>
      </c>
      <c r="D40" s="29" t="n"/>
      <c r="E40" s="29" t="n"/>
      <c r="F40" s="29" t="n"/>
      <c r="G40" s="29" t="n"/>
      <c r="H40" s="29" t="n"/>
      <c r="I40" s="30" t="n"/>
    </row>
    <row r="41" ht="150" customHeight="1">
      <c r="A41" s="12" t="inlineStr">
        <is>
          <t>Frenzy State Effect</t>
        </is>
      </c>
      <c r="B41" s="30" t="n"/>
      <c r="C41" s="18" t="inlineStr">
        <is>
          <t>① Move tier raised to Tier IV Swift (8 cells / round(s), Move Speed Advantage +3);
② Terror Radius (TR) expands to 40 m (20 cells) — this is both cost and power: farther Survivors get Heartbeat Tokens earlier;
③ basic attack Action Point (AP) Cost drops from 2 pts to 1 point;
④ a hit does not deduct Health State (HS), instead applies Deep Wound (Deep Wound, ST-04); if the target already has Deep Wound, normally lose 1 Tier of Health State (HS);
⑤ Pursue: after each hit, may immediately spend 0 Action Point (AP) to Move 4 cells toward any other Survivor.</t>
        </is>
      </c>
      <c r="D41" s="29" t="n"/>
      <c r="E41" s="29" t="n"/>
      <c r="F41" s="29" t="n"/>
      <c r="G41" s="29" t="n"/>
      <c r="H41" s="29" t="n"/>
      <c r="I41" s="30" t="n"/>
    </row>
    <row r="42" ht="123" customHeight="1">
      <c r="A42" s="12" t="inlineStr">
        <is>
          <t>Deep Wound Self-Mend rules</t>
        </is>
      </c>
      <c r="B42" s="30" t="n"/>
      <c r="C42" s="18" t="inlineStr">
        <is>
          <t>Self-Mend: 2 Action Point (AP) + Focus (FOC) + First Aid (MED) check vs Difficulty Class (DC) 12, requires accumulating 2 Successes.
Timer: 4 round(s) after applied. Timeout without self-mend → immediately enter Dying.
Regression: during unfinished self-mend, at each round(s) end make a Will (WIL) check vs Difficulty Class (DC) 10, on Failure self-mend progress −1 Success.
Sprint worsens it: if "full sprint" is performed while self-mend is unfinished, timer −1 round(s).</t>
        </is>
      </c>
      <c r="D42" s="29" t="n"/>
      <c r="E42" s="29" t="n"/>
      <c r="F42" s="29" t="n"/>
      <c r="G42" s="29" t="n"/>
      <c r="H42" s="29" t="n"/>
      <c r="I42" s="30" t="n"/>
    </row>
    <row r="43" ht="78" customHeight="1">
      <c r="A43" s="12" t="inlineStr">
        <is>
          <t>Frenzy End Stun</t>
        </is>
      </c>
      <c r="B43" s="30" t="n"/>
      <c r="C43" s="18" t="inlineStr">
        <is>
          <t>When Frenzy naturally ends, check the gauge:
Gauge 0–1: stun 1 round(s) (next round(s) Action Point (AP) = 2, cannot attack);
Gauge 2: no stun;
Gauge ≥ 3: no stun, and refund 2 Pressure Point (PRE).</t>
        </is>
      </c>
      <c r="D43" s="29" t="n"/>
      <c r="E43" s="29" t="n"/>
      <c r="F43" s="29" t="n"/>
      <c r="G43" s="29" t="n"/>
      <c r="H43" s="29" t="n"/>
      <c r="I43" s="30" t="n"/>
    </row>
    <row r="44" ht="78" customHeight="1">
      <c r="A44" s="12" t="inlineStr">
        <is>
          <t>Miss / Cost</t>
        </is>
      </c>
      <c r="B44" s="30" t="n"/>
      <c r="C44" s="18" t="inlineStr">
        <is>
          <t>① During Frenzy you cannot down anyone (unless they already have Deep Wound) — this is a pure "stack damage" tier, not advancing the Killer's victory Condition;
② Terror Radius expands 8 m, equal to actively calling out positions to Survivors 4 cells away;
③ A whiff finish (gauge 0–1) equals giving away a round(s) for free.</t>
        </is>
      </c>
      <c r="D44" s="29" t="n"/>
      <c r="E44" s="29" t="n"/>
      <c r="F44" s="29" t="n"/>
      <c r="G44" s="29" t="n"/>
      <c r="H44" s="29" t="n"/>
      <c r="I44" s="30" t="n"/>
    </row>
    <row r="45" ht="22" customHeight="1">
      <c r="A45" s="12" t="inlineStr">
        <is>
          <t>Cooldown</t>
        </is>
      </c>
      <c r="B45" s="30" t="n"/>
      <c r="C45" s="18" t="inlineStr">
        <is>
          <t>Cannot activate again for 2 round(s) after Frenzy ends</t>
        </is>
      </c>
      <c r="D45" s="29" t="n"/>
      <c r="E45" s="29" t="n"/>
      <c r="F45" s="29" t="n"/>
      <c r="G45" s="29" t="n"/>
      <c r="H45" s="29" t="n"/>
      <c r="I45" s="30" t="n"/>
    </row>
    <row r="46" ht="63" customHeight="1">
      <c r="A46" s="12" t="inlineStr">
        <is>
          <t>Survivor Counter</t>
        </is>
      </c>
      <c r="B46" s="30" t="n"/>
      <c r="C46" s="18" t="inlineStr">
        <is>
          <t>① Mend immediately, do not tough it out — the 4 round(s) timer is short and the regression check eats progress; ② spread out — the Pursue Move of 4 cells is how he chains targets; teammates 8+ cells apart cut the chain; ③ Frenzy time is actually repair time — he cannot down you, only give Deep Wound. If you already have Deep Wound and are mending, let a teammate cover and step back; ④ count the round(s) — Frenzy 3 round(s), Cooldown 2 round(s), the rhythm is very fixed.</t>
        </is>
      </c>
      <c r="D46" s="29" t="n"/>
      <c r="E46" s="29" t="n"/>
      <c r="F46" s="29" t="n"/>
      <c r="G46" s="29" t="n"/>
      <c r="H46" s="29" t="n"/>
      <c r="I46" s="30" t="n"/>
    </row>
    <row r="47" ht="150" customHeight="1">
      <c r="A47" s="12" t="inlineStr">
        <is>
          <t>Solo Config Adjustment (important)</t>
        </is>
      </c>
      <c r="B47" s="30" t="n"/>
      <c r="C47" s="18" t="inlineStr">
        <is>
          <t>When N = 1 and no Echo Companion is alive, the power changes to the following version:
① Pursue disabled (no second target);
② instead: each Frenzy hit, the Killer gains an extra 2 Pressure Point (PRE), and the Deep Wound timer applied to the target shortens to 3 round(s);
③ Frenzy End Stun is always 1 round(s) (regardless of gauge);
④ Terror Radius expansion remains (preserving the Survivor's early-warning benefit).
Reason: the Legion's power is designed around multiple targets; without rewriting for a solo game, it degenerates into "a Killer who cannot down anyone" and the Trial stalls.</t>
        </is>
      </c>
      <c r="D47" s="29" t="n"/>
      <c r="E47" s="29" t="n"/>
      <c r="F47" s="29" t="n"/>
      <c r="G47" s="29" t="n"/>
      <c r="H47" s="29" t="n"/>
      <c r="I47" s="30" t="n"/>
    </row>
    <row r="48" ht="20" customHeight="1">
      <c r="A48" s="9" t="inlineStr">
        <is>
          <t>IV. Power Mastery</t>
        </is>
      </c>
      <c r="B48" s="29" t="n"/>
      <c r="C48" s="29" t="n"/>
      <c r="D48" s="29" t="n"/>
      <c r="E48" s="29" t="n"/>
      <c r="F48" s="29" t="n"/>
      <c r="G48" s="29" t="n"/>
      <c r="H48" s="29" t="n"/>
      <c r="I48" s="30" t="n"/>
    </row>
    <row r="49">
      <c r="A49" s="5" t="inlineStr">
        <is>
          <t>Tier</t>
        </is>
      </c>
      <c r="B49" s="30" t="n"/>
      <c r="C49" s="5" t="inlineStr">
        <is>
          <t>Effect</t>
        </is>
      </c>
      <c r="D49" s="29" t="n"/>
      <c r="E49" s="29" t="n"/>
      <c r="F49" s="29" t="n"/>
      <c r="G49" s="29" t="n"/>
      <c r="H49" s="29" t="n"/>
      <c r="I49" s="30" t="n"/>
    </row>
    <row r="50" ht="22" customHeight="1">
      <c r="A50" s="12" t="inlineStr">
        <is>
          <t>Tier 2 (Prestige 6)</t>
        </is>
      </c>
      <c r="B50" s="30" t="n"/>
      <c r="C50" s="18" t="inlineStr">
        <is>
          <t>Frenzy lasts 4 round(s); Cooldown reduced to 1 round(s).</t>
        </is>
      </c>
      <c r="D50" s="29" t="n"/>
      <c r="E50" s="29" t="n"/>
      <c r="F50" s="29" t="n"/>
      <c r="G50" s="29" t="n"/>
      <c r="H50" s="29" t="n"/>
      <c r="I50" s="30" t="n"/>
    </row>
    <row r="51" ht="22" customHeight="1">
      <c r="A51" s="12" t="inlineStr">
        <is>
          <t>Tier 3 (Prestige 11)</t>
        </is>
      </c>
      <c r="B51" s="30" t="n"/>
      <c r="C51" s="18" t="inlineStr">
        <is>
          <t>Frenzy Gauge cap 7; during Frenzy, each 2 pts of gauge accumulated gives basic attack +1 (max +3).</t>
        </is>
      </c>
      <c r="D51" s="29" t="n"/>
      <c r="E51" s="29" t="n"/>
      <c r="F51" s="29" t="n"/>
      <c r="G51" s="29" t="n"/>
      <c r="H51" s="29" t="n"/>
      <c r="I51" s="30" t="n"/>
    </row>
    <row r="52" ht="93" customHeight="1">
      <c r="A52" s="12" t="inlineStr">
        <is>
          <t>Tier 4 (Prestige 16)</t>
        </is>
      </c>
      <c r="B52" s="30" t="n"/>
      <c r="C52" s="18" t="inlineStr">
        <is>
          <t>Endgame Form | The Four As One
Cost 5 Pressure Point (PRE) + 1 Action Point (AP), 3 times per Trial.
During this Frenzy: ① each round(s) may perform one extra 0 Action Point (AP) 4-cell Move; ② a hit on a target already with Deep Wound goes directly to Dying (skips the Injured tier); ③ during Frenzy immune to Pallet Stun.</t>
        </is>
      </c>
      <c r="D52" s="29" t="n"/>
      <c r="E52" s="29" t="n"/>
      <c r="F52" s="29" t="n"/>
      <c r="G52" s="29" t="n"/>
      <c r="H52" s="29" t="n"/>
      <c r="I52" s="30" t="n"/>
    </row>
    <row r="53" ht="20" customHeight="1">
      <c r="A53" s="9" t="inlineStr">
        <is>
          <t>V. Exclusive Perks (Perk)</t>
        </is>
      </c>
      <c r="B53" s="29" t="n"/>
      <c r="C53" s="29" t="n"/>
      <c r="D53" s="29" t="n"/>
      <c r="E53" s="29" t="n"/>
      <c r="F53" s="29" t="n"/>
      <c r="G53" s="29" t="n"/>
      <c r="H53" s="29" t="n"/>
      <c r="I53" s="30" t="n"/>
    </row>
    <row r="54">
      <c r="A54" s="5" t="inlineStr">
        <is>
          <t>No.</t>
        </is>
      </c>
      <c r="B54" s="30" t="n"/>
      <c r="C54" s="5" t="inlineStr">
        <is>
          <t>Name</t>
        </is>
      </c>
      <c r="D54" s="29" t="n"/>
      <c r="E54" s="29" t="n"/>
      <c r="F54" s="30" t="n"/>
      <c r="G54" s="5" t="inlineStr">
        <is>
          <t>Source</t>
        </is>
      </c>
      <c r="H54" s="29" t="n"/>
      <c r="I54" s="30" t="n"/>
    </row>
    <row r="55">
      <c r="A55" s="8" t="inlineStr">
        <is>
          <t>TALENT-K22</t>
        </is>
      </c>
      <c r="B55" s="30" t="n"/>
      <c r="C55" s="6" t="inlineStr">
        <is>
          <t>Discordance</t>
        </is>
      </c>
      <c r="D55" s="29" t="n"/>
      <c r="E55" s="29" t="n"/>
      <c r="F55" s="30" t="n"/>
      <c r="G55" s="6" t="n"/>
      <c r="H55" s="29" t="n"/>
      <c r="I55" s="30" t="n"/>
    </row>
    <row r="56">
      <c r="A56" s="8" t="inlineStr">
        <is>
          <t>TALENT-K23</t>
        </is>
      </c>
      <c r="B56" s="30" t="n"/>
      <c r="C56" s="6" t="inlineStr">
        <is>
          <t>Iron Maiden</t>
        </is>
      </c>
      <c r="D56" s="29" t="n"/>
      <c r="E56" s="29" t="n"/>
      <c r="F56" s="30" t="n"/>
      <c r="G56" s="6" t="n"/>
      <c r="H56" s="29" t="n"/>
      <c r="I56" s="30" t="n"/>
    </row>
    <row r="57">
      <c r="A57" s="8" t="inlineStr">
        <is>
          <t>TALENT-K24</t>
        </is>
      </c>
      <c r="B57" s="30" t="n"/>
      <c r="C57" s="6" t="inlineStr">
        <is>
          <t>Mad Grit</t>
        </is>
      </c>
      <c r="D57" s="29" t="n"/>
      <c r="E57" s="29" t="n"/>
      <c r="F57" s="30" t="n"/>
      <c r="G57" s="6" t="n"/>
      <c r="H57" s="29" t="n"/>
      <c r="I57" s="30" t="n"/>
    </row>
    <row r="58" ht="20" customHeight="1">
      <c r="A58" s="9" t="inlineStr">
        <is>
          <t>VI. Encounter Cost &amp; Deployment</t>
        </is>
      </c>
      <c r="B58" s="29" t="n"/>
      <c r="C58" s="29" t="n"/>
      <c r="D58" s="29" t="n"/>
      <c r="E58" s="29" t="n"/>
      <c r="F58" s="29" t="n"/>
      <c r="G58" s="29" t="n"/>
      <c r="H58" s="29" t="n"/>
      <c r="I58" s="30" t="n"/>
    </row>
    <row r="59">
      <c r="A59" s="12" t="inlineStr">
        <is>
          <t>As the Trial's main Killer</t>
        </is>
      </c>
      <c r="B59" s="29" t="n"/>
      <c r="C59" s="30" t="n"/>
      <c r="D59" s="6" t="inlineStr">
        <is>
          <t>takes 60% of Encounter Budget (EB)</t>
        </is>
      </c>
      <c r="E59" s="29" t="n"/>
      <c r="F59" s="29" t="n"/>
      <c r="G59" s="29" t="n"/>
      <c r="H59" s="29" t="n"/>
      <c r="I59" s="30" t="n"/>
    </row>
    <row r="60">
      <c r="A60" s="12" t="inlineStr">
        <is>
          <t>As a fixed threat in the scenario</t>
        </is>
      </c>
      <c r="B60" s="29" t="n"/>
      <c r="C60" s="30" t="n"/>
      <c r="D60" s="6" t="inlineStr">
        <is>
          <t>Challenge Rating (CR) × 2</t>
        </is>
      </c>
      <c r="E60" s="29" t="n"/>
      <c r="F60" s="29" t="n"/>
      <c r="G60" s="29" t="n"/>
      <c r="H60" s="29" t="n"/>
      <c r="I60" s="30" t="n"/>
    </row>
    <row r="61" ht="42" customHeight="1">
      <c r="A61" s="12" t="inlineStr">
        <is>
          <t>Solo config (N = 1) adjustment</t>
        </is>
      </c>
      <c r="B61" s="29" t="n"/>
      <c r="C61" s="30" t="n"/>
      <c r="D61" s="18" t="n"/>
      <c r="E61" s="29" t="n"/>
      <c r="F61" s="29" t="n"/>
      <c r="G61" s="29" t="n"/>
      <c r="H61" s="29" t="n"/>
      <c r="I61" s="30" t="n"/>
    </row>
    <row r="62" ht="20" customHeight="1">
      <c r="A62" s="9" t="inlineStr">
        <is>
          <t>VII. In-Trial Tracker</t>
        </is>
      </c>
      <c r="B62" s="29" t="n"/>
      <c r="C62" s="29" t="n"/>
      <c r="D62" s="29" t="n"/>
      <c r="E62" s="29" t="n"/>
      <c r="F62" s="29" t="n"/>
      <c r="G62" s="29" t="n"/>
      <c r="H62" s="29" t="n"/>
      <c r="I62" s="30" t="n"/>
    </row>
    <row r="63">
      <c r="A63" s="12" t="inlineStr">
        <is>
          <t>Current Pressure Point (PRE)</t>
        </is>
      </c>
      <c r="B63" s="30" t="n"/>
      <c r="C63" s="8" t="n"/>
      <c r="D63" s="30" t="n"/>
      <c r="E63" s="12" t="inlineStr">
        <is>
          <t>Pressure Ramp Phase</t>
        </is>
      </c>
      <c r="F63" s="30" t="n"/>
      <c r="G63" s="8" t="inlineStr">
        <is>
          <t>☐ I　☐ II　☐ III</t>
        </is>
      </c>
      <c r="H63" s="29" t="n"/>
      <c r="I63" s="30" t="n"/>
    </row>
    <row r="64">
      <c r="A64" s="12" t="inlineStr">
        <is>
          <t>Sacrificed Count</t>
        </is>
      </c>
      <c r="B64" s="30" t="n"/>
      <c r="C64" s="8" t="n"/>
      <c r="D64" s="30" t="n"/>
      <c r="E64" s="12" t="inlineStr">
        <is>
          <t>Hunt Lead</t>
        </is>
      </c>
      <c r="F64" s="30" t="n"/>
      <c r="G64" s="8" t="n"/>
      <c r="H64" s="29" t="n"/>
      <c r="I64" s="30" t="n"/>
    </row>
    <row r="65" ht="44" customHeight="1">
      <c r="A65" s="12" t="inlineStr">
        <is>
          <t>Notes</t>
        </is>
      </c>
      <c r="B65" s="30" t="n"/>
      <c r="C65" s="18" t="n"/>
      <c r="D65" s="29" t="n"/>
      <c r="E65" s="29" t="n"/>
      <c r="F65" s="29" t="n"/>
      <c r="G65" s="29" t="n"/>
      <c r="H65" s="29" t="n"/>
      <c r="I65" s="30" t="n"/>
    </row>
  </sheetData>
  <mergeCells count="133">
    <mergeCell ref="C36:I36"/>
    <mergeCell ref="A15:B15"/>
    <mergeCell ref="A64:B64"/>
    <mergeCell ref="A51:B51"/>
    <mergeCell ref="A21:C21"/>
    <mergeCell ref="C64:D64"/>
    <mergeCell ref="A26:C26"/>
    <mergeCell ref="E64:F64"/>
    <mergeCell ref="A54:B54"/>
    <mergeCell ref="E4:I4"/>
    <mergeCell ref="A7:B7"/>
    <mergeCell ref="A23:C23"/>
    <mergeCell ref="A41:B41"/>
    <mergeCell ref="D13:E13"/>
    <mergeCell ref="C63:D63"/>
    <mergeCell ref="E63:F63"/>
    <mergeCell ref="A17:I17"/>
    <mergeCell ref="A53:I53"/>
    <mergeCell ref="A56:B56"/>
    <mergeCell ref="A62:I62"/>
    <mergeCell ref="G63:I63"/>
    <mergeCell ref="C45:I45"/>
    <mergeCell ref="D7:E7"/>
    <mergeCell ref="A33:B33"/>
    <mergeCell ref="A42:B42"/>
    <mergeCell ref="C54:F54"/>
    <mergeCell ref="F15:I15"/>
    <mergeCell ref="D59:I59"/>
    <mergeCell ref="C47:I47"/>
    <mergeCell ref="D60:I60"/>
    <mergeCell ref="A48:I48"/>
    <mergeCell ref="A35:B35"/>
    <mergeCell ref="C40:I40"/>
    <mergeCell ref="C56:F56"/>
    <mergeCell ref="H23:I23"/>
    <mergeCell ref="A2:C5"/>
    <mergeCell ref="A39:B39"/>
    <mergeCell ref="F13:I13"/>
    <mergeCell ref="D10:E10"/>
    <mergeCell ref="A45:B45"/>
    <mergeCell ref="E5:F5"/>
    <mergeCell ref="A12:C12"/>
    <mergeCell ref="H25:I25"/>
    <mergeCell ref="G7:H7"/>
    <mergeCell ref="D11:E11"/>
    <mergeCell ref="C34:I34"/>
    <mergeCell ref="A37:B37"/>
    <mergeCell ref="A46:B46"/>
    <mergeCell ref="G55:I55"/>
    <mergeCell ref="G64:I64"/>
    <mergeCell ref="C42:I42"/>
    <mergeCell ref="A29:C29"/>
    <mergeCell ref="G54:I54"/>
    <mergeCell ref="A13:C13"/>
    <mergeCell ref="H19:I19"/>
    <mergeCell ref="G56:I56"/>
    <mergeCell ref="H28:I28"/>
    <mergeCell ref="D9:E9"/>
    <mergeCell ref="C65:I65"/>
    <mergeCell ref="A24:C24"/>
    <mergeCell ref="C44:I44"/>
    <mergeCell ref="A60:C60"/>
    <mergeCell ref="A52:B52"/>
    <mergeCell ref="A63:B63"/>
    <mergeCell ref="A1:I1"/>
    <mergeCell ref="H5:I5"/>
    <mergeCell ref="C46:I46"/>
    <mergeCell ref="C51:I51"/>
    <mergeCell ref="A34:B34"/>
    <mergeCell ref="A25:C25"/>
    <mergeCell ref="F9:I9"/>
    <mergeCell ref="A49:B49"/>
    <mergeCell ref="D61:I61"/>
    <mergeCell ref="A18:C18"/>
    <mergeCell ref="A36:B36"/>
    <mergeCell ref="G3:I3"/>
    <mergeCell ref="C38:I38"/>
    <mergeCell ref="C57:F57"/>
    <mergeCell ref="H21:I21"/>
    <mergeCell ref="A65:B65"/>
    <mergeCell ref="A32:I32"/>
    <mergeCell ref="C49:I49"/>
    <mergeCell ref="A22:C22"/>
    <mergeCell ref="C33:I33"/>
    <mergeCell ref="F10:I10"/>
    <mergeCell ref="A20:C20"/>
    <mergeCell ref="A55:B55"/>
    <mergeCell ref="A28:C28"/>
    <mergeCell ref="A57:B57"/>
    <mergeCell ref="C35:I35"/>
    <mergeCell ref="E2:I2"/>
    <mergeCell ref="A14:B14"/>
    <mergeCell ref="A30:C30"/>
    <mergeCell ref="H22:I22"/>
    <mergeCell ref="A59:C59"/>
    <mergeCell ref="D12:E12"/>
    <mergeCell ref="A38:B38"/>
    <mergeCell ref="A43:B43"/>
    <mergeCell ref="F8:I8"/>
    <mergeCell ref="A61:C61"/>
    <mergeCell ref="A6:I6"/>
    <mergeCell ref="A40:B40"/>
    <mergeCell ref="H30:I30"/>
    <mergeCell ref="A16:I16"/>
    <mergeCell ref="C52:I52"/>
    <mergeCell ref="H20:I20"/>
    <mergeCell ref="G57:I57"/>
    <mergeCell ref="H29:I29"/>
    <mergeCell ref="C39:I39"/>
    <mergeCell ref="A27:C27"/>
    <mergeCell ref="C37:I37"/>
    <mergeCell ref="F14:I14"/>
    <mergeCell ref="A8:C8"/>
    <mergeCell ref="F11:I11"/>
    <mergeCell ref="A50:B50"/>
    <mergeCell ref="A10:C10"/>
    <mergeCell ref="A19:C19"/>
    <mergeCell ref="A47:B47"/>
    <mergeCell ref="F12:I12"/>
    <mergeCell ref="A9:C9"/>
    <mergeCell ref="A31:I31"/>
    <mergeCell ref="A58:I58"/>
    <mergeCell ref="C55:F55"/>
    <mergeCell ref="C41:I41"/>
    <mergeCell ref="H27:I27"/>
    <mergeCell ref="D8:E8"/>
    <mergeCell ref="C50:I50"/>
    <mergeCell ref="A11:C11"/>
    <mergeCell ref="H24:I24"/>
    <mergeCell ref="H18:I18"/>
    <mergeCell ref="C43:I43"/>
    <mergeCell ref="A44:B44"/>
    <mergeCell ref="H26:I26"/>
  </mergeCells>
  <printOptions horizontalCentered="1"/>
  <pageMargins left="0.75" right="0.75" top="1" bottom="1" header="0.5" footer="0.5"/>
  <pageSetup orientation="portrait" fitToHeight="0" fitToWidth="1"/>
</worksheet>
</file>

<file path=xl/worksheets/sheet9.xml><?xml version="1.0" encoding="utf-8"?>
<worksheet xmlns="http://schemas.openxmlformats.org/spreadsheetml/2006/main">
  <sheetPr>
    <outlinePr summaryBelow="1" summaryRight="1"/>
    <pageSetUpPr fitToPage="1"/>
  </sheetPr>
  <dimension ref="A1:I67"/>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1" t="inlineStr">
        <is>
          <t>Dead by Daylight TRPG　Enemy Character Sheet　·　Killer Avatar</t>
        </is>
      </c>
      <c r="B1" s="25" t="n"/>
      <c r="C1" s="25" t="n"/>
      <c r="D1" s="25" t="n"/>
      <c r="E1" s="25" t="n"/>
      <c r="F1" s="25" t="n"/>
      <c r="G1" s="25" t="n"/>
      <c r="H1" s="25" t="n"/>
      <c r="I1" s="26" t="n"/>
    </row>
    <row r="2">
      <c r="A2" s="3" t="inlineStr">
        <is>
          <t>Character Art
(Paste character image here)</t>
        </is>
      </c>
      <c r="B2" s="27" t="n"/>
      <c r="C2" s="28" t="n"/>
      <c r="D2" s="5" t="inlineStr">
        <is>
          <t>Avatar Name</t>
        </is>
      </c>
      <c r="E2" s="6" t="inlineStr">
        <is>
          <t>The Silent One (SIL) | Hilda Lane</t>
        </is>
      </c>
      <c r="F2" s="29" t="n"/>
      <c r="G2" s="29" t="n"/>
      <c r="H2" s="29" t="n"/>
      <c r="I2" s="30" t="n"/>
    </row>
    <row r="3">
      <c r="A3" s="31" t="n"/>
      <c r="C3" s="32" t="n"/>
      <c r="D3" s="5" t="inlineStr">
        <is>
          <t>Avatar Abbr.</t>
        </is>
      </c>
      <c r="E3" s="8" t="inlineStr">
        <is>
          <t>SIL</t>
        </is>
      </c>
      <c r="F3" s="5" t="inlineStr">
        <is>
          <t>True Name</t>
        </is>
      </c>
      <c r="G3" s="6" t="inlineStr">
        <is>
          <t>Hilda Lane</t>
        </is>
      </c>
      <c r="H3" s="29" t="n"/>
      <c r="I3" s="30" t="n"/>
    </row>
    <row r="4">
      <c r="A4" s="31" t="n"/>
      <c r="C4" s="32" t="n"/>
      <c r="D4" s="5" t="inlineStr">
        <is>
          <t>Home Realm</t>
        </is>
      </c>
      <c r="E4" s="6" t="inlineStr">
        <is>
          <t>R4 Crotus Prenn Asylum (Treatment Room 13) | [Story-exclusive: appears S6–S8]</t>
        </is>
      </c>
      <c r="F4" s="29" t="n"/>
      <c r="G4" s="29" t="n"/>
      <c r="H4" s="29" t="n"/>
      <c r="I4" s="30" t="n"/>
    </row>
    <row r="5">
      <c r="A5" s="33" t="n"/>
      <c r="B5" s="34" t="n"/>
      <c r="C5" s="35" t="n"/>
      <c r="D5" s="5" t="inlineStr">
        <is>
          <t>Power Type</t>
        </is>
      </c>
      <c r="E5" s="8" t="inlineStr">
        <is>
          <t>Psychological-pressure type (non-lethal)</t>
        </is>
      </c>
      <c r="F5" s="30" t="n"/>
      <c r="G5" s="5" t="inlineStr">
        <is>
          <t>Attribute Tendency</t>
        </is>
      </c>
      <c r="H5" s="6" t="inlineStr">
        <is>
          <t>Dread (DRE)＋2、Occult (OCC)＋1</t>
        </is>
      </c>
      <c r="I5" s="30" t="n"/>
    </row>
    <row r="6">
      <c r="A6" s="19" t="inlineStr">
        <is>
          <t>[Story-exclusive avatar] Not part of the standard avatar pool; deployed by the GM only in designated scenarios.</t>
        </is>
      </c>
      <c r="B6" s="29" t="n"/>
      <c r="C6" s="29" t="n"/>
      <c r="D6" s="29" t="n"/>
      <c r="E6" s="29" t="n"/>
      <c r="F6" s="29" t="n"/>
      <c r="G6" s="29" t="n"/>
      <c r="H6" s="29" t="n"/>
      <c r="I6" s="30" t="n"/>
    </row>
    <row r="7" ht="20" customHeight="1">
      <c r="A7" s="9" t="inlineStr">
        <is>
          <t>I. Trial Panel (gray = fill, beige = auto)</t>
        </is>
      </c>
      <c r="B7" s="29" t="n"/>
      <c r="C7" s="29" t="n"/>
      <c r="D7" s="29" t="n"/>
      <c r="E7" s="29" t="n"/>
      <c r="F7" s="29" t="n"/>
      <c r="G7" s="29" t="n"/>
      <c r="H7" s="29" t="n"/>
      <c r="I7" s="30" t="n"/>
    </row>
    <row r="8">
      <c r="A8" s="5" t="inlineStr">
        <is>
          <t>Prestige (PRS)</t>
        </is>
      </c>
      <c r="B8" s="30" t="n"/>
      <c r="C8" s="8" t="n"/>
      <c r="D8" s="5" t="inlineStr">
        <is>
          <t>Survivor player count N</t>
        </is>
      </c>
      <c r="E8" s="30" t="n"/>
      <c r="F8" s="8" t="n"/>
      <c r="G8" s="5" t="inlineStr">
        <is>
          <t>Avatar Threat Factor (AVM)</t>
        </is>
      </c>
      <c r="H8" s="30" t="n"/>
      <c r="I8" s="8" t="n">
        <v>0</v>
      </c>
    </row>
    <row r="9">
      <c r="A9" s="12" t="inlineStr">
        <is>
          <t>Challenge Rating (CR)</t>
        </is>
      </c>
      <c r="B9" s="29" t="n"/>
      <c r="C9" s="30" t="n"/>
      <c r="D9" s="14">
        <f>IF($C$8="","",$C$8+$I$8)</f>
        <v/>
      </c>
      <c r="E9" s="30" t="n"/>
      <c r="F9" s="6" t="inlineStr">
        <is>
          <t>Prestige (PRS) + Avatar Threat Factor (AVM)</t>
        </is>
      </c>
      <c r="G9" s="29" t="n"/>
      <c r="H9" s="29" t="n"/>
      <c r="I9" s="30" t="n"/>
    </row>
    <row r="10">
      <c r="A10" s="12" t="inlineStr">
        <is>
          <t>Pressure Point (PRE) Cap</t>
        </is>
      </c>
      <c r="B10" s="29" t="n"/>
      <c r="C10" s="30" t="n"/>
      <c r="D10" s="14">
        <f>IF(OR($C$8="",$F$8=""),"",4+2*$F$8+INT($C$8/4))</f>
        <v/>
      </c>
      <c r="E10" s="30" t="n"/>
      <c r="F10" s="6" t="inlineStr">
        <is>
          <t>4 + 2×N + INT(Prestige (PRS) ÷ 4)</t>
        </is>
      </c>
      <c r="G10" s="29" t="n"/>
      <c r="H10" s="29" t="n"/>
      <c r="I10" s="30" t="n"/>
    </row>
    <row r="11">
      <c r="A11" s="12" t="inlineStr">
        <is>
          <t>Pressure Point (PRE) recovery / round</t>
        </is>
      </c>
      <c r="B11" s="29" t="n"/>
      <c r="C11" s="30" t="n"/>
      <c r="D11" s="14">
        <f>IF($F$8="","",2+INT($F$8/2))</f>
        <v/>
      </c>
      <c r="E11" s="30" t="n"/>
      <c r="F11" s="6" t="inlineStr">
        <is>
          <t>2 ＋ INT(N ÷ 2)</t>
        </is>
      </c>
      <c r="G11" s="29" t="n"/>
      <c r="H11" s="29" t="n"/>
      <c r="I11" s="30" t="n"/>
    </row>
    <row r="12">
      <c r="A12" s="12" t="inlineStr">
        <is>
          <t>Action Point (AP) / round</t>
        </is>
      </c>
      <c r="B12" s="29" t="n"/>
      <c r="C12" s="30" t="n"/>
      <c r="D12" s="14">
        <f>4</f>
        <v/>
      </c>
      <c r="E12" s="30" t="n"/>
      <c r="F12" s="6" t="inlineStr">
        <is>
          <t>Killer fixed at 4; Pressure Point (PRE) is a separate resource pool</t>
        </is>
      </c>
      <c r="G12" s="29" t="n"/>
      <c r="H12" s="29" t="n"/>
      <c r="I12" s="30" t="n"/>
    </row>
    <row r="13">
      <c r="A13" s="12" t="inlineStr">
        <is>
          <t>Hook Phase Rounds</t>
        </is>
      </c>
      <c r="B13" s="29" t="n"/>
      <c r="C13" s="30" t="n"/>
      <c r="D13" s="14">
        <f>IF($F$8="","",8-$F$8)</f>
        <v/>
      </c>
      <c r="E13" s="30" t="n"/>
      <c r="F13" s="6" t="inlineStr">
        <is>
          <t>8 − N. Each phase end advances one stage; end of phase 2 = Sacrifice</t>
        </is>
      </c>
      <c r="G13" s="29" t="n"/>
      <c r="H13" s="29" t="n"/>
      <c r="I13" s="30" t="n"/>
    </row>
    <row r="14">
      <c r="A14" s="12" t="inlineStr">
        <is>
          <t>Endgame Collapse rounds</t>
        </is>
      </c>
      <c r="B14" s="29" t="n"/>
      <c r="C14" s="30" t="n"/>
      <c r="D14" s="14">
        <f>IF($F$8="","",14-2*$F$8)</f>
        <v/>
      </c>
      <c r="E14" s="30" t="n"/>
      <c r="F14" s="6" t="inlineStr">
        <is>
          <t>14 − 2×N. Countdown starts after the last Generator is completed</t>
        </is>
      </c>
      <c r="G14" s="29" t="n"/>
      <c r="H14" s="29" t="n"/>
      <c r="I14" s="30" t="n"/>
    </row>
    <row r="15" ht="30" customHeight="1">
      <c r="A15" s="12" t="inlineStr">
        <is>
          <t>Terror Radius (TR)</t>
        </is>
      </c>
      <c r="B15" s="30" t="n"/>
      <c r="C15" s="8" t="n">
        <v>12</v>
      </c>
      <c r="D15" s="5" t="inlineStr">
        <is>
          <t>cell → meters</t>
        </is>
      </c>
      <c r="E15" s="14">
        <f>IF(C15="","",C15*2)</f>
        <v/>
      </c>
      <c r="F15" s="6" t="inlineStr">
        <is>
          <t>24 meters = 12 cells</t>
        </is>
      </c>
      <c r="G15" s="29" t="n"/>
      <c r="H15" s="29" t="n"/>
      <c r="I15" s="30" t="n"/>
    </row>
    <row r="16" ht="30" customHeight="1">
      <c r="A16" s="12" t="inlineStr">
        <is>
          <t>Move Level (MOV)</t>
        </is>
      </c>
      <c r="B16" s="30" t="n"/>
      <c r="C16" s="8" t="n">
        <v>6</v>
      </c>
      <c r="D16" s="5" t="inlineStr">
        <is>
          <t>cells / round(s)</t>
        </is>
      </c>
      <c r="E16" s="8" t="n"/>
      <c r="F16" s="6" t="inlineStr">
        <is>
          <t>Tier II Slight Slow (6 cells / round(s), Move Speed Advantage +1)</t>
        </is>
      </c>
      <c r="G16" s="29" t="n"/>
      <c r="H16" s="29" t="n"/>
      <c r="I16" s="30" t="n"/>
    </row>
    <row r="17">
      <c r="A17" s="16" t="inlineStr">
        <is>
          <t>1 cell = 2 meters. Distance Band (DB): Contact (CON) 0–1 cells / Near (NEA) 1–4 cells / Mid (MID) 4–8 cells / Far (FAR) 8–16 cells / Escaped (ESC) 16+ cells.</t>
        </is>
      </c>
      <c r="B17" s="29" t="n"/>
      <c r="C17" s="29" t="n"/>
      <c r="D17" s="29" t="n"/>
      <c r="E17" s="29" t="n"/>
      <c r="F17" s="29" t="n"/>
      <c r="G17" s="29" t="n"/>
      <c r="H17" s="29" t="n"/>
      <c r="I17" s="30" t="n"/>
    </row>
    <row r="18" ht="20" customHeight="1">
      <c r="A18" s="9" t="inlineStr">
        <is>
          <t>II. Attributes &amp; Skills (three-baseline reference)</t>
        </is>
      </c>
      <c r="B18" s="29" t="n"/>
      <c r="C18" s="29" t="n"/>
      <c r="D18" s="29" t="n"/>
      <c r="E18" s="29" t="n"/>
      <c r="F18" s="29" t="n"/>
      <c r="G18" s="29" t="n"/>
      <c r="H18" s="29" t="n"/>
      <c r="I18" s="30" t="n"/>
    </row>
    <row r="19" ht="30" customHeight="1">
      <c r="A19" s="5" t="inlineStr">
        <is>
          <t>Attribute / Skill</t>
        </is>
      </c>
      <c r="B19" s="29" t="n"/>
      <c r="C19" s="30" t="n"/>
      <c r="D19" s="5" t="inlineStr">
        <is>
          <t>Prestige 1 (8 pts)</t>
        </is>
      </c>
      <c r="E19" s="5" t="inlineStr">
        <is>
          <t>Prestige 10 (13 pts)</t>
        </is>
      </c>
      <c r="F19" s="5" t="inlineStr">
        <is>
          <t>Prestige 20 (18 pts)</t>
        </is>
      </c>
      <c r="G19" s="5" t="inlineStr">
        <is>
          <t>Used This Trial</t>
        </is>
      </c>
      <c r="H19" s="5" t="inlineStr">
        <is>
          <t>Notes</t>
        </is>
      </c>
      <c r="I19" s="30" t="n"/>
    </row>
    <row r="20">
      <c r="A20" s="12" t="inlineStr">
        <is>
          <t>Brute Force (BRU)</t>
        </is>
      </c>
      <c r="B20" s="29" t="n"/>
      <c r="C20" s="30" t="n"/>
      <c r="D20" s="8" t="inlineStr">
        <is>
          <t>1</t>
        </is>
      </c>
      <c r="E20" s="8" t="inlineStr">
        <is>
          <t>2</t>
        </is>
      </c>
      <c r="F20" s="8" t="inlineStr">
        <is>
          <t>3</t>
        </is>
      </c>
      <c r="G20" s="8" t="n"/>
      <c r="H20" s="6" t="n"/>
      <c r="I20" s="30" t="n"/>
    </row>
    <row r="21">
      <c r="A21" s="12" t="inlineStr">
        <is>
          <t>Hunt (HNT)</t>
        </is>
      </c>
      <c r="B21" s="29" t="n"/>
      <c r="C21" s="30" t="n"/>
      <c r="D21" s="8" t="inlineStr">
        <is>
          <t>2</t>
        </is>
      </c>
      <c r="E21" s="8" t="inlineStr">
        <is>
          <t>3</t>
        </is>
      </c>
      <c r="F21" s="8" t="inlineStr">
        <is>
          <t>4</t>
        </is>
      </c>
      <c r="G21" s="8" t="n"/>
      <c r="H21" s="6" t="n"/>
      <c r="I21" s="30" t="n"/>
    </row>
    <row r="22">
      <c r="A22" s="12" t="inlineStr">
        <is>
          <t>Perception (PER)</t>
        </is>
      </c>
      <c r="B22" s="29" t="n"/>
      <c r="C22" s="30" t="n"/>
      <c r="D22" s="8" t="inlineStr">
        <is>
          <t>1</t>
        </is>
      </c>
      <c r="E22" s="8" t="inlineStr">
        <is>
          <t>2</t>
        </is>
      </c>
      <c r="F22" s="8" t="inlineStr">
        <is>
          <t>3</t>
        </is>
      </c>
      <c r="G22" s="8" t="n"/>
      <c r="H22" s="6" t="n"/>
      <c r="I22" s="30" t="n"/>
    </row>
    <row r="23">
      <c r="A23" s="12" t="inlineStr">
        <is>
          <t>Dread (DRE)</t>
        </is>
      </c>
      <c r="B23" s="29" t="n"/>
      <c r="C23" s="30" t="n"/>
      <c r="D23" s="8" t="inlineStr">
        <is>
          <t>3</t>
        </is>
      </c>
      <c r="E23" s="8" t="inlineStr">
        <is>
          <t>4</t>
        </is>
      </c>
      <c r="F23" s="8" t="inlineStr">
        <is>
          <t>5</t>
        </is>
      </c>
      <c r="G23" s="8" t="n"/>
      <c r="H23" s="6" t="n"/>
      <c r="I23" s="30" t="n"/>
    </row>
    <row r="24">
      <c r="A24" s="12" t="inlineStr">
        <is>
          <t>Occult (OCC)</t>
        </is>
      </c>
      <c r="B24" s="29" t="n"/>
      <c r="C24" s="30" t="n"/>
      <c r="D24" s="8" t="inlineStr">
        <is>
          <t>1</t>
        </is>
      </c>
      <c r="E24" s="8" t="inlineStr">
        <is>
          <t>2</t>
        </is>
      </c>
      <c r="F24" s="8" t="inlineStr">
        <is>
          <t>3</t>
        </is>
      </c>
      <c r="G24" s="8" t="n"/>
      <c r="H24" s="6" t="n"/>
      <c r="I24" s="30" t="n"/>
    </row>
    <row r="25">
      <c r="A25" s="12" t="inlineStr">
        <is>
          <t>Tracking (TRK)</t>
        </is>
      </c>
      <c r="B25" s="29" t="n"/>
      <c r="C25" s="30" t="n"/>
      <c r="D25" s="8" t="inlineStr">
        <is>
          <t>1</t>
        </is>
      </c>
      <c r="E25" s="8" t="inlineStr">
        <is>
          <t>2</t>
        </is>
      </c>
      <c r="F25" s="8" t="inlineStr">
        <is>
          <t>3</t>
        </is>
      </c>
      <c r="G25" s="8" t="n"/>
      <c r="H25" s="6" t="n"/>
      <c r="I25" s="30" t="n"/>
    </row>
    <row r="26">
      <c r="A26" s="12" t="inlineStr">
        <is>
          <t>Subdue (SUP)</t>
        </is>
      </c>
      <c r="B26" s="29" t="n"/>
      <c r="C26" s="30" t="n"/>
      <c r="D26" s="8" t="inlineStr">
        <is>
          <t>0</t>
        </is>
      </c>
      <c r="E26" s="8" t="inlineStr">
        <is>
          <t>1</t>
        </is>
      </c>
      <c r="F26" s="8" t="inlineStr">
        <is>
          <t>2</t>
        </is>
      </c>
      <c r="G26" s="8" t="n"/>
      <c r="H26" s="6" t="n"/>
      <c r="I26" s="30" t="n"/>
    </row>
    <row r="27">
      <c r="A27" s="12" t="inlineStr">
        <is>
          <t>Coerce (COE)</t>
        </is>
      </c>
      <c r="B27" s="29" t="n"/>
      <c r="C27" s="30" t="n"/>
      <c r="D27" s="8" t="inlineStr">
        <is>
          <t>2</t>
        </is>
      </c>
      <c r="E27" s="8" t="inlineStr">
        <is>
          <t>3</t>
        </is>
      </c>
      <c r="F27" s="8" t="inlineStr">
        <is>
          <t>4</t>
        </is>
      </c>
      <c r="G27" s="8" t="n"/>
      <c r="H27" s="6" t="n"/>
      <c r="I27" s="30" t="n"/>
    </row>
    <row r="28">
      <c r="A28" s="12" t="inlineStr">
        <is>
          <t>Ritual (RIT)</t>
        </is>
      </c>
      <c r="B28" s="29" t="n"/>
      <c r="C28" s="30" t="n"/>
      <c r="D28" s="8" t="inlineStr">
        <is>
          <t>1</t>
        </is>
      </c>
      <c r="E28" s="8" t="inlineStr">
        <is>
          <t>2</t>
        </is>
      </c>
      <c r="F28" s="8" t="inlineStr">
        <is>
          <t>3</t>
        </is>
      </c>
      <c r="G28" s="8" t="n"/>
      <c r="H28" s="6" t="n"/>
      <c r="I28" s="30" t="n"/>
    </row>
    <row r="29">
      <c r="A29" s="12" t="inlineStr">
        <is>
          <t>Challenge Rating (CR)</t>
        </is>
      </c>
      <c r="B29" s="29" t="n"/>
      <c r="C29" s="30" t="n"/>
      <c r="D29" s="8" t="inlineStr">
        <is>
          <t>1</t>
        </is>
      </c>
      <c r="E29" s="8" t="inlineStr">
        <is>
          <t>10</t>
        </is>
      </c>
      <c r="F29" s="8" t="inlineStr">
        <is>
          <t>20</t>
        </is>
      </c>
      <c r="G29" s="8" t="n"/>
      <c r="H29" s="6" t="n"/>
      <c r="I29" s="30" t="n"/>
    </row>
    <row r="30">
      <c r="A30" s="12" t="inlineStr">
        <is>
          <t>Base Attack Modifier</t>
        </is>
      </c>
      <c r="B30" s="29" t="n"/>
      <c r="C30" s="30" t="n"/>
      <c r="D30" s="8" t="inlineStr">
        <is>
          <t>+1</t>
        </is>
      </c>
      <c r="E30" s="8" t="inlineStr">
        <is>
          <t>+3</t>
        </is>
      </c>
      <c r="F30" s="8" t="inlineStr">
        <is>
          <t>+5</t>
        </is>
      </c>
      <c r="G30" s="8" t="n"/>
      <c r="H30" s="6" t="n"/>
      <c r="I30" s="30" t="n"/>
    </row>
    <row r="31">
      <c r="A31" s="12" t="inlineStr">
        <is>
          <t>Power Check Modifier</t>
        </is>
      </c>
      <c r="B31" s="29" t="n"/>
      <c r="C31" s="30" t="n"/>
      <c r="D31" s="8" t="inlineStr">
        <is>
          <t>+5</t>
        </is>
      </c>
      <c r="E31" s="8" t="inlineStr">
        <is>
          <t>+7</t>
        </is>
      </c>
      <c r="F31" s="8" t="inlineStr">
        <is>
          <t>+9</t>
        </is>
      </c>
      <c r="G31" s="8" t="n"/>
      <c r="H31" s="6" t="n"/>
      <c r="I31" s="30" t="n"/>
    </row>
    <row r="32">
      <c r="A32" s="16" t="inlineStr">
        <is>
          <t>Killer's five attributes use a 'level 1–5' scale; the level is the check bonus (no ÷ 2). Total points = 8 + INT(Prestige (PRS) ÷ 2). The 'Used This Trial' column is for the GM to interpolate per the actual Prestige (PRS) deployed.</t>
        </is>
      </c>
      <c r="B32" s="29" t="n"/>
      <c r="C32" s="29" t="n"/>
      <c r="D32" s="29" t="n"/>
      <c r="E32" s="29" t="n"/>
      <c r="F32" s="29" t="n"/>
      <c r="G32" s="29" t="n"/>
      <c r="H32" s="29" t="n"/>
      <c r="I32" s="30" t="n"/>
    </row>
    <row r="33" ht="20" customHeight="1">
      <c r="A33" s="9" t="inlineStr">
        <is>
          <t>III. Power Card: Unspoken (Unspoken)</t>
        </is>
      </c>
      <c r="B33" s="29" t="n"/>
      <c r="C33" s="29" t="n"/>
      <c r="D33" s="29" t="n"/>
      <c r="E33" s="29" t="n"/>
      <c r="F33" s="29" t="n"/>
      <c r="G33" s="29" t="n"/>
      <c r="H33" s="29" t="n"/>
      <c r="I33" s="30" t="n"/>
    </row>
    <row r="34" ht="22" customHeight="1">
      <c r="A34" s="12" t="inlineStr">
        <is>
          <t>Slot</t>
        </is>
      </c>
      <c r="B34" s="30" t="n"/>
      <c r="C34" s="18" t="inlineStr">
        <is>
          <t>Content</t>
        </is>
      </c>
      <c r="D34" s="29" t="n"/>
      <c r="E34" s="29" t="n"/>
      <c r="F34" s="29" t="n"/>
      <c r="G34" s="29" t="n"/>
      <c r="H34" s="29" t="n"/>
      <c r="I34" s="30" t="n"/>
    </row>
    <row r="35" ht="22" customHeight="1">
      <c r="A35" s="12" t="inlineStr">
        <is>
          <t>Power Type</t>
        </is>
      </c>
      <c r="B35" s="30" t="n"/>
      <c r="C35" s="18" t="inlineStr">
        <is>
          <t>Psychological-pressure type (persistent Aura + triggered cost; non-lethal, basic attack only for finishing)</t>
        </is>
      </c>
      <c r="D35" s="29" t="n"/>
      <c r="E35" s="29" t="n"/>
      <c r="F35" s="29" t="n"/>
      <c r="G35" s="29" t="n"/>
      <c r="H35" s="29" t="n"/>
      <c r="I35" s="30" t="n"/>
    </row>
    <row r="36" ht="33" customHeight="1">
      <c r="A36" s="12" t="inlineStr">
        <is>
          <t>Power Charge (PWC) Name</t>
        </is>
      </c>
      <c r="B36" s="30" t="n"/>
      <c r="C36" s="18" t="inlineStr">
        <is>
          <t>No Charge (passive Aura). Instead uses "Silent Resonance" as an internal gauge: each Survivor within the Terror Radius (TR) provides 1 resonance tier (cap 3), strengthening pressure.</t>
        </is>
      </c>
      <c r="D36" s="29" t="n"/>
      <c r="E36" s="29" t="n"/>
      <c r="F36" s="29" t="n"/>
      <c r="G36" s="29" t="n"/>
      <c r="H36" s="29" t="n"/>
      <c r="I36" s="30" t="n"/>
    </row>
    <row r="37" ht="22" customHeight="1">
      <c r="A37" s="12" t="inlineStr">
        <is>
          <t>Charge Cap</t>
        </is>
      </c>
      <c r="B37" s="30" t="n"/>
      <c r="C37" s="18" t="inlineStr">
        <is>
          <t>N/A (passive). Resonance Tier cap 3.</t>
        </is>
      </c>
      <c r="D37" s="29" t="n"/>
      <c r="E37" s="29" t="n"/>
      <c r="F37" s="29" t="n"/>
      <c r="G37" s="29" t="n"/>
      <c r="H37" s="29" t="n"/>
      <c r="I37" s="30" t="n"/>
    </row>
    <row r="38" ht="22" customHeight="1">
      <c r="A38" s="12" t="inlineStr">
        <is>
          <t>Charge Recovery</t>
        </is>
      </c>
      <c r="B38" s="30" t="n"/>
      <c r="C38" s="18" t="inlineStr">
        <is>
          <t>N/A. Resonance Tier count auto-adjusts each round(s) by the number of Survivors within the Terror Radius (TR).</t>
        </is>
      </c>
      <c r="D38" s="29" t="n"/>
      <c r="E38" s="29" t="n"/>
      <c r="F38" s="29" t="n"/>
      <c r="G38" s="29" t="n"/>
      <c r="H38" s="29" t="n"/>
      <c r="I38" s="30" t="n"/>
    </row>
    <row r="39" ht="22" customHeight="1">
      <c r="A39" s="12" t="inlineStr">
        <is>
          <t>Action Point (AP) Cost</t>
        </is>
      </c>
      <c r="B39" s="30" t="n"/>
      <c r="C39" s="18" t="inlineStr">
        <is>
          <t>Aura 0 (passive); active trigger 'True-Name Resonance counter' 0.</t>
        </is>
      </c>
      <c r="D39" s="29" t="n"/>
      <c r="E39" s="29" t="n"/>
      <c r="F39" s="29" t="n"/>
      <c r="G39" s="29" t="n"/>
      <c r="H39" s="29" t="n"/>
      <c r="I39" s="30" t="n"/>
    </row>
    <row r="40" ht="22" customHeight="1">
      <c r="A40" s="12" t="inlineStr">
        <is>
          <t>Pressure Point (PRE) Cost</t>
        </is>
      </c>
      <c r="B40" s="30" t="n"/>
      <c r="C40" s="18" t="inlineStr">
        <is>
          <t>0 (the threat comes from its mere presence, not resource spend).</t>
        </is>
      </c>
      <c r="D40" s="29" t="n"/>
      <c r="E40" s="29" t="n"/>
      <c r="F40" s="29" t="n"/>
      <c r="G40" s="29" t="n"/>
      <c r="H40" s="29" t="n"/>
      <c r="I40" s="30" t="n"/>
    </row>
    <row r="41" ht="63" customHeight="1">
      <c r="A41" s="12" t="inlineStr">
        <is>
          <t>Resolution Formula (Aura)</t>
        </is>
      </c>
      <c r="B41" s="30" t="n"/>
      <c r="C41" s="18" t="inlineStr">
        <is>
          <t>Every Survivor entering the Terror Radius (TR) is immediately marked Unspoken. At each round(s) start, Survivors in the Terror Radius (TR) make a Will (WIL) + Endurance (END) check vs Difficulty Class (DC) = 10 + Dread (DRE) tier + Resonance Tier count: Failure → Trembling (Trembling, ST-26) 1 round(s); Critical Failure → Trembling 2 round(s).</t>
        </is>
      </c>
      <c r="D41" s="29" t="n"/>
      <c r="E41" s="29" t="n"/>
      <c r="F41" s="29" t="n"/>
      <c r="G41" s="29" t="n"/>
      <c r="H41" s="29" t="n"/>
      <c r="I41" s="30" t="n"/>
    </row>
    <row r="42" ht="93" customHeight="1">
      <c r="A42" s="12" t="inlineStr">
        <is>
          <t>Resolution Formula (Aggressive Action Cost)</t>
        </is>
      </c>
      <c r="B42" s="30" t="n"/>
      <c r="C42" s="18" t="inlineStr">
        <is>
          <t>A Survivor marked "Unspoken," when using an aggressive/destructive action (basic attack, break Pallet, disarm trap, violence other than rescue) against The Silent One herself, her Realm creatures, or other Survivors: first make a Will (WIL) check vs Difficulty Class (DC) 12 + Trembling tiers. Failure → action delayed 1 round(s) (Action Point (AP) already spent but does not take effect this round(s)) and gain Exposed (Exposed, ST-06) 1 round(s); Critical Failure → action voided (Action Point (AP) not refunded) and Palsied (Palsied, ST-27) 1 round(s); Success → executes normally, but thereafter resistance to "True-Name Resonance" −1 (max −3).</t>
        </is>
      </c>
      <c r="D42" s="29" t="n"/>
      <c r="E42" s="29" t="n"/>
      <c r="F42" s="29" t="n"/>
      <c r="G42" s="29" t="n"/>
      <c r="H42" s="29" t="n"/>
      <c r="I42" s="30" t="n"/>
    </row>
    <row r="43" ht="33" customHeight="1">
      <c r="A43" s="12" t="inlineStr">
        <is>
          <t>Hit Effect (Base Attack)</t>
        </is>
      </c>
      <c r="B43" s="30" t="n"/>
      <c r="C43" s="18" t="inlineStr">
        <is>
          <t>Deals only 1 Tier of Health State (HS) loss (lowest damage of any avatar); and applies Trembling (Trembling, ST-26) 2 round(s). She does not aim to execute.</t>
        </is>
      </c>
      <c r="D43" s="29" t="n"/>
      <c r="E43" s="29" t="n"/>
      <c r="F43" s="29" t="n"/>
      <c r="G43" s="29" t="n"/>
      <c r="H43" s="29" t="n"/>
      <c r="I43" s="30" t="n"/>
    </row>
    <row r="44" ht="93" customHeight="1">
      <c r="A44" s="12" t="inlineStr">
        <is>
          <t>Cost (True-Name Resonance)</t>
        </is>
      </c>
      <c r="B44" s="30" t="n"/>
      <c r="C44" s="18" t="inlineStr">
        <is>
          <t>When any Survivor shouts "Hilda Rayne" aloud (spends 1 Action Point (AP), within Mid (MID) distance, and The Silent One can hear): The Silent One immediately enters True-Name Resonance for 1 round(s) — during it she cannot use Power, Move Speed Advantage drops to +0, Terror Radius (TR) counts as 0 (Undetectable (Undetectable, ST-12)), and attacks/status on her resolve normally (no longer immune). This is the rules landing of the S6 choice: will you call back that "person" in exchange for 1 round(s) of Respite?</t>
        </is>
      </c>
      <c r="D44" s="29" t="n"/>
      <c r="E44" s="29" t="n"/>
      <c r="F44" s="29" t="n"/>
      <c r="G44" s="29" t="n"/>
      <c r="H44" s="29" t="n"/>
      <c r="I44" s="30" t="n"/>
    </row>
    <row r="45" ht="22" customHeight="1">
      <c r="A45" s="12" t="inlineStr">
        <is>
          <t>Cooldown</t>
        </is>
      </c>
      <c r="B45" s="30" t="n"/>
      <c r="C45" s="18" t="inlineStr">
        <is>
          <t>True-Name Resonance: at most 3 triggers per Trial; the same Survivor cannot re-trigger within two consecutive round(s).</t>
        </is>
      </c>
      <c r="D45" s="29" t="n"/>
      <c r="E45" s="29" t="n"/>
      <c r="F45" s="29" t="n"/>
      <c r="G45" s="29" t="n"/>
      <c r="H45" s="29" t="n"/>
      <c r="I45" s="30" t="n"/>
    </row>
    <row r="46" ht="48" customHeight="1">
      <c r="A46" s="12" t="inlineStr">
        <is>
          <t>Survivor Counter</t>
        </is>
      </c>
      <c r="B46" s="30" t="n"/>
      <c r="C46" s="18" t="inlineStr">
        <is>
          <t>① trade "name-shout" for a Respite window (limited per Trial); ② save aggressive actions for truly necessary moments, avoid pointless swings under the Aura; ③ exploit the 1 round(s) opening of True-Name Resonance to attack or escape; ④ let high-Will (WIL) teammates bear the interaction, spreading the hesitation.</t>
        </is>
      </c>
      <c r="D46" s="29" t="n"/>
      <c r="E46" s="29" t="n"/>
      <c r="F46" s="29" t="n"/>
      <c r="G46" s="29" t="n"/>
      <c r="H46" s="29" t="n"/>
      <c r="I46" s="30" t="n"/>
    </row>
    <row r="47" ht="48" customHeight="1">
      <c r="A47" s="12" t="inlineStr">
        <is>
          <t>Solo Config Adjustment</t>
        </is>
      </c>
      <c r="B47" s="30" t="n"/>
      <c r="C47" s="18" t="inlineStr">
        <is>
          <t>When N = 1: ① True-Name Resonance also works on the solo Player, and shouting the name grants an extra 1 Hope Point (HOP) (compensation for the absence of an Echo Companion); ② the cost-check threshold for aggressive actions is −2 (easier to trigger, but a solo Player needs more Actions, creating tension).</t>
        </is>
      </c>
      <c r="D47" s="29" t="n"/>
      <c r="E47" s="29" t="n"/>
      <c r="F47" s="29" t="n"/>
      <c r="G47" s="29" t="n"/>
      <c r="H47" s="29" t="n"/>
      <c r="I47" s="30" t="n"/>
    </row>
    <row r="48" ht="33" customHeight="1">
      <c r="A48" s="12" t="inlineStr">
        <is>
          <t>Miss / Cost</t>
        </is>
      </c>
      <c r="B48" s="30" t="n"/>
      <c r="C48" s="18" t="inlineStr">
        <is>
          <t>The Silent One has almost no "miss" risk — the threat is constant. The cost: if Survivors never strike her, she also does not actively grievously wound anyone, and the Trial stalls into "who breaks first"; this is the design intent.</t>
        </is>
      </c>
      <c r="D48" s="29" t="n"/>
      <c r="E48" s="29" t="n"/>
      <c r="F48" s="29" t="n"/>
      <c r="G48" s="29" t="n"/>
      <c r="H48" s="29" t="n"/>
      <c r="I48" s="30" t="n"/>
    </row>
    <row r="49" ht="20" customHeight="1">
      <c r="A49" s="9" t="inlineStr">
        <is>
          <t>IV. Power Mastery</t>
        </is>
      </c>
      <c r="B49" s="29" t="n"/>
      <c r="C49" s="29" t="n"/>
      <c r="D49" s="29" t="n"/>
      <c r="E49" s="29" t="n"/>
      <c r="F49" s="29" t="n"/>
      <c r="G49" s="29" t="n"/>
      <c r="H49" s="29" t="n"/>
      <c r="I49" s="30" t="n"/>
    </row>
    <row r="50">
      <c r="A50" s="5" t="inlineStr">
        <is>
          <t>Tier</t>
        </is>
      </c>
      <c r="B50" s="30" t="n"/>
      <c r="C50" s="5" t="inlineStr">
        <is>
          <t>Effect</t>
        </is>
      </c>
      <c r="D50" s="29" t="n"/>
      <c r="E50" s="29" t="n"/>
      <c r="F50" s="29" t="n"/>
      <c r="G50" s="29" t="n"/>
      <c r="H50" s="29" t="n"/>
      <c r="I50" s="30" t="n"/>
    </row>
    <row r="51" ht="22" customHeight="1">
      <c r="A51" s="12" t="inlineStr">
        <is>
          <t>Tier 2 (Prestige 6)</t>
        </is>
      </c>
      <c r="B51" s="30" t="n"/>
      <c r="C51" s="18" t="inlineStr">
        <is>
          <t>Aura check Difficulty Class (DC) +1 extra; True-Name Resonance per-Trial trigger cap +1 (becomes 4).</t>
        </is>
      </c>
      <c r="D51" s="29" t="n"/>
      <c r="E51" s="29" t="n"/>
      <c r="F51" s="29" t="n"/>
      <c r="G51" s="29" t="n"/>
      <c r="H51" s="29" t="n"/>
      <c r="I51" s="30" t="n"/>
    </row>
    <row r="52" ht="33" customHeight="1">
      <c r="A52" s="12" t="inlineStr">
        <is>
          <t>Tier 3 (Prestige 11)</t>
        </is>
      </c>
      <c r="B52" s="30" t="n"/>
      <c r="C52" s="18" t="inlineStr">
        <is>
          <t>For those marked "Unspoken," the aggressive-action cost-check threshold is another −2; during True-Name Resonance she additionally gains Hindered (Hindered, ST-08) (Move −2 cells/round(s)).</t>
        </is>
      </c>
      <c r="D52" s="29" t="n"/>
      <c r="E52" s="29" t="n"/>
      <c r="F52" s="29" t="n"/>
      <c r="G52" s="29" t="n"/>
      <c r="H52" s="29" t="n"/>
      <c r="I52" s="30" t="n"/>
    </row>
    <row r="53" ht="123" customHeight="1">
      <c r="A53" s="12" t="inlineStr">
        <is>
          <t>Tier 4 (Prestige 16)</t>
        </is>
      </c>
      <c r="B53" s="30" t="n"/>
      <c r="C53" s="18" t="inlineStr">
        <is>
          <t>Endgame Form | Silence of a Thousand Words
Cost 4 Pressure Point (PRE) + 2 Action Point (AP), 2 times per Trial.
Immediately applies Incapacitated (Incapacitated, ST-17) 2 round(s) to all Survivors in the Terror Radius (TR) (cannot repair/heal/rescue/cleanse), and zeroes their True-Name Resonance resistance.
Cost: after activation The Silent One herself enters Exposed (Exposed, ST-06) 3 round(s) (she spent all her silence on this).</t>
        </is>
      </c>
      <c r="D53" s="29" t="n"/>
      <c r="E53" s="29" t="n"/>
      <c r="F53" s="29" t="n"/>
      <c r="G53" s="29" t="n"/>
      <c r="H53" s="29" t="n"/>
      <c r="I53" s="30" t="n"/>
    </row>
    <row r="54" ht="20" customHeight="1">
      <c r="A54" s="9" t="inlineStr">
        <is>
          <t>V. Exclusive Perks (Perk)</t>
        </is>
      </c>
      <c r="B54" s="29" t="n"/>
      <c r="C54" s="29" t="n"/>
      <c r="D54" s="29" t="n"/>
      <c r="E54" s="29" t="n"/>
      <c r="F54" s="29" t="n"/>
      <c r="G54" s="29" t="n"/>
      <c r="H54" s="29" t="n"/>
      <c r="I54" s="30" t="n"/>
    </row>
    <row r="55">
      <c r="A55" s="5" t="inlineStr">
        <is>
          <t>No.</t>
        </is>
      </c>
      <c r="B55" s="30" t="n"/>
      <c r="C55" s="5" t="inlineStr">
        <is>
          <t>Name</t>
        </is>
      </c>
      <c r="D55" s="29" t="n"/>
      <c r="E55" s="29" t="n"/>
      <c r="F55" s="30" t="n"/>
      <c r="G55" s="5" t="inlineStr">
        <is>
          <t>Source</t>
        </is>
      </c>
      <c r="H55" s="29" t="n"/>
      <c r="I55" s="30" t="n"/>
    </row>
    <row r="56">
      <c r="A56" s="8" t="inlineStr">
        <is>
          <t>TALENT-K25</t>
        </is>
      </c>
      <c r="B56" s="30" t="n"/>
      <c r="C56" s="6" t="inlineStr">
        <is>
          <t>Unfinished Words [proposed addition]</t>
        </is>
      </c>
      <c r="D56" s="29" t="n"/>
      <c r="E56" s="29" t="n"/>
      <c r="F56" s="30" t="n"/>
      <c r="G56" s="6" t="inlineStr">
        <is>
          <t>21_Perk_Entries.md (pending integration)</t>
        </is>
      </c>
      <c r="H56" s="29" t="n"/>
      <c r="I56" s="30" t="n"/>
    </row>
    <row r="57">
      <c r="A57" s="8" t="inlineStr">
        <is>
          <t>TALENT-K26</t>
        </is>
      </c>
      <c r="B57" s="30" t="n"/>
      <c r="C57" s="6" t="inlineStr">
        <is>
          <t>Silent Echo [proposed addition]</t>
        </is>
      </c>
      <c r="D57" s="29" t="n"/>
      <c r="E57" s="29" t="n"/>
      <c r="F57" s="30" t="n"/>
      <c r="G57" s="6" t="inlineStr">
        <is>
          <t>Same as above</t>
        </is>
      </c>
      <c r="H57" s="29" t="n"/>
      <c r="I57" s="30" t="n"/>
    </row>
    <row r="58">
      <c r="A58" s="8" t="inlineStr">
        <is>
          <t>TALENT-K27</t>
        </is>
      </c>
      <c r="B58" s="30" t="n"/>
      <c r="C58" s="6" t="inlineStr">
        <is>
          <t>Hatred Resonance [proposed addition]</t>
        </is>
      </c>
      <c r="D58" s="29" t="n"/>
      <c r="E58" s="29" t="n"/>
      <c r="F58" s="30" t="n"/>
      <c r="G58" s="6" t="inlineStr">
        <is>
          <t>Same as above</t>
        </is>
      </c>
      <c r="H58" s="29" t="n"/>
      <c r="I58" s="30" t="n"/>
    </row>
    <row r="59" ht="20" customHeight="1">
      <c r="A59" s="9" t="inlineStr">
        <is>
          <t>VI. Encounter Cost &amp; Deployment</t>
        </is>
      </c>
      <c r="B59" s="29" t="n"/>
      <c r="C59" s="29" t="n"/>
      <c r="D59" s="29" t="n"/>
      <c r="E59" s="29" t="n"/>
      <c r="F59" s="29" t="n"/>
      <c r="G59" s="29" t="n"/>
      <c r="H59" s="29" t="n"/>
      <c r="I59" s="30" t="n"/>
    </row>
    <row r="60">
      <c r="A60" s="12" t="inlineStr">
        <is>
          <t>Use</t>
        </is>
      </c>
      <c r="B60" s="29" t="n"/>
      <c r="C60" s="30" t="n"/>
      <c r="D60" s="6" t="inlineStr">
        <is>
          <t>Cost</t>
        </is>
      </c>
      <c r="E60" s="29" t="n"/>
      <c r="F60" s="29" t="n"/>
      <c r="G60" s="29" t="n"/>
      <c r="H60" s="29" t="n"/>
      <c r="I60" s="30" t="n"/>
    </row>
    <row r="61">
      <c r="A61" s="12" t="inlineStr">
        <is>
          <t>As the Trial's main Killer</t>
        </is>
      </c>
      <c r="B61" s="29" t="n"/>
      <c r="C61" s="30" t="n"/>
      <c r="D61" s="6" t="inlineStr">
        <is>
          <t>takes 60% of Encounter Budget (EB) (rarely used this way — she is essentially a story threat)</t>
        </is>
      </c>
      <c r="E61" s="29" t="n"/>
      <c r="F61" s="29" t="n"/>
      <c r="G61" s="29" t="n"/>
      <c r="H61" s="29" t="n"/>
      <c r="I61" s="30" t="n"/>
    </row>
    <row r="62">
      <c r="A62" s="12" t="inlineStr">
        <is>
          <t>As a fixed psychological threat in scenarios S6–S8 (does not chase, only applies pressure)</t>
        </is>
      </c>
      <c r="B62" s="29" t="n"/>
      <c r="C62" s="30" t="n"/>
      <c r="D62" s="6" t="inlineStr">
        <is>
          <t>CR × 2 (same price as the Trapper's non-chase deployment)</t>
        </is>
      </c>
      <c r="E62" s="29" t="n"/>
      <c r="F62" s="29" t="n"/>
      <c r="G62" s="29" t="n"/>
      <c r="H62" s="29" t="n"/>
      <c r="I62" s="30" t="n"/>
    </row>
    <row r="63" ht="42" customHeight="1">
      <c r="A63" s="12" t="inlineStr">
        <is>
          <t>Solo config (N = 1) adjustment</t>
        </is>
      </c>
      <c r="B63" s="29" t="n"/>
      <c r="C63" s="30" t="n"/>
      <c r="D63" s="18" t="inlineStr">
        <is>
          <t>When N = 1: ① True-Name Resonance also works on the solo Player, and shouting the name grants an extra 1 Hope Point (HOP) (compensation for the absence of an Echo Companion); ② the cost-check threshold for aggressive actions is −2 (easier to trigger, but a solo Player needs more Actions, creating tension).</t>
        </is>
      </c>
      <c r="E63" s="29" t="n"/>
      <c r="F63" s="29" t="n"/>
      <c r="G63" s="29" t="n"/>
      <c r="H63" s="29" t="n"/>
      <c r="I63" s="30" t="n"/>
    </row>
    <row r="64" ht="20" customHeight="1">
      <c r="A64" s="9" t="inlineStr">
        <is>
          <t>VII. In-Trial Tracker</t>
        </is>
      </c>
      <c r="B64" s="29" t="n"/>
      <c r="C64" s="29" t="n"/>
      <c r="D64" s="29" t="n"/>
      <c r="E64" s="29" t="n"/>
      <c r="F64" s="29" t="n"/>
      <c r="G64" s="29" t="n"/>
      <c r="H64" s="29" t="n"/>
      <c r="I64" s="30" t="n"/>
    </row>
    <row r="65">
      <c r="A65" s="12" t="inlineStr">
        <is>
          <t>Current Pressure Point (PRE)</t>
        </is>
      </c>
      <c r="B65" s="30" t="n"/>
      <c r="C65" s="8" t="n"/>
      <c r="D65" s="30" t="n"/>
      <c r="E65" s="12" t="inlineStr">
        <is>
          <t>Pressure Ramp Phase</t>
        </is>
      </c>
      <c r="F65" s="30" t="n"/>
      <c r="G65" s="8" t="inlineStr">
        <is>
          <t>☐ I　☐ II　☐ III</t>
        </is>
      </c>
      <c r="H65" s="29" t="n"/>
      <c r="I65" s="30" t="n"/>
    </row>
    <row r="66">
      <c r="A66" s="12" t="inlineStr">
        <is>
          <t>Sacrificed Count</t>
        </is>
      </c>
      <c r="B66" s="30" t="n"/>
      <c r="C66" s="8" t="n"/>
      <c r="D66" s="30" t="n"/>
      <c r="E66" s="12" t="inlineStr">
        <is>
          <t>Hunt Lead</t>
        </is>
      </c>
      <c r="F66" s="30" t="n"/>
      <c r="G66" s="8" t="n"/>
      <c r="H66" s="29" t="n"/>
      <c r="I66" s="30" t="n"/>
    </row>
    <row r="67" ht="44" customHeight="1">
      <c r="A67" s="12" t="inlineStr">
        <is>
          <t>Notes</t>
        </is>
      </c>
      <c r="B67" s="30" t="n"/>
      <c r="C67" s="18" t="n"/>
      <c r="D67" s="29" t="n"/>
      <c r="E67" s="29" t="n"/>
      <c r="F67" s="29" t="n"/>
      <c r="G67" s="29" t="n"/>
      <c r="H67" s="29" t="n"/>
      <c r="I67" s="30" t="n"/>
    </row>
  </sheetData>
  <mergeCells count="136">
    <mergeCell ref="C36:I36"/>
    <mergeCell ref="A7:I7"/>
    <mergeCell ref="A15:B15"/>
    <mergeCell ref="A51:B51"/>
    <mergeCell ref="A21:C21"/>
    <mergeCell ref="C67:I67"/>
    <mergeCell ref="A26:C26"/>
    <mergeCell ref="C53:I53"/>
    <mergeCell ref="A33:I33"/>
    <mergeCell ref="E4:I4"/>
    <mergeCell ref="A23:C23"/>
    <mergeCell ref="A41:B41"/>
    <mergeCell ref="D13:E13"/>
    <mergeCell ref="G65:I65"/>
    <mergeCell ref="A17:I17"/>
    <mergeCell ref="F16:I16"/>
    <mergeCell ref="A56:B56"/>
    <mergeCell ref="E65:F65"/>
    <mergeCell ref="C45:I45"/>
    <mergeCell ref="A63:C63"/>
    <mergeCell ref="A42:B42"/>
    <mergeCell ref="F15:I15"/>
    <mergeCell ref="C47:I47"/>
    <mergeCell ref="D60:I60"/>
    <mergeCell ref="A53:B53"/>
    <mergeCell ref="A35:B35"/>
    <mergeCell ref="A59:I59"/>
    <mergeCell ref="C40:I40"/>
    <mergeCell ref="C56:F56"/>
    <mergeCell ref="H23:I23"/>
    <mergeCell ref="A2:C5"/>
    <mergeCell ref="A39:B39"/>
    <mergeCell ref="A48:B48"/>
    <mergeCell ref="F13:I13"/>
    <mergeCell ref="D10:E10"/>
    <mergeCell ref="A45:B45"/>
    <mergeCell ref="E5:F5"/>
    <mergeCell ref="A12:C12"/>
    <mergeCell ref="H25:I25"/>
    <mergeCell ref="D62:I62"/>
    <mergeCell ref="D11:E11"/>
    <mergeCell ref="A14:C14"/>
    <mergeCell ref="C34:I34"/>
    <mergeCell ref="A37:B37"/>
    <mergeCell ref="A46:B46"/>
    <mergeCell ref="G55:I55"/>
    <mergeCell ref="C42:I42"/>
    <mergeCell ref="A29:C29"/>
    <mergeCell ref="A13:C13"/>
    <mergeCell ref="A31:C31"/>
    <mergeCell ref="H19:I19"/>
    <mergeCell ref="G56:I56"/>
    <mergeCell ref="H28:I28"/>
    <mergeCell ref="D9:E9"/>
    <mergeCell ref="A8:B8"/>
    <mergeCell ref="A24:C24"/>
    <mergeCell ref="C44:I44"/>
    <mergeCell ref="A60:C60"/>
    <mergeCell ref="A49:I49"/>
    <mergeCell ref="A52:B52"/>
    <mergeCell ref="A1:I1"/>
    <mergeCell ref="C66:D66"/>
    <mergeCell ref="H5:I5"/>
    <mergeCell ref="C46:I46"/>
    <mergeCell ref="E66:F66"/>
    <mergeCell ref="C51:I51"/>
    <mergeCell ref="A34:B34"/>
    <mergeCell ref="A25:C25"/>
    <mergeCell ref="G66:I66"/>
    <mergeCell ref="F9:I9"/>
    <mergeCell ref="C48:I48"/>
    <mergeCell ref="D61:I61"/>
    <mergeCell ref="A36:B36"/>
    <mergeCell ref="G3:I3"/>
    <mergeCell ref="C38:I38"/>
    <mergeCell ref="H31:I31"/>
    <mergeCell ref="C57:F57"/>
    <mergeCell ref="G58:I58"/>
    <mergeCell ref="H21:I21"/>
    <mergeCell ref="A65:B65"/>
    <mergeCell ref="A32:I32"/>
    <mergeCell ref="C65:D65"/>
    <mergeCell ref="A22:C22"/>
    <mergeCell ref="A62:C62"/>
    <mergeCell ref="C58:F58"/>
    <mergeCell ref="F10:I10"/>
    <mergeCell ref="A20:C20"/>
    <mergeCell ref="A55:B55"/>
    <mergeCell ref="A28:C28"/>
    <mergeCell ref="A57:B57"/>
    <mergeCell ref="C35:I35"/>
    <mergeCell ref="E2:I2"/>
    <mergeCell ref="A30:C30"/>
    <mergeCell ref="H22:I22"/>
    <mergeCell ref="D12:E12"/>
    <mergeCell ref="D63:I63"/>
    <mergeCell ref="A38:B38"/>
    <mergeCell ref="A43:B43"/>
    <mergeCell ref="A61:C61"/>
    <mergeCell ref="D14:E14"/>
    <mergeCell ref="A6:I6"/>
    <mergeCell ref="A40:B40"/>
    <mergeCell ref="A67:B67"/>
    <mergeCell ref="H30:I30"/>
    <mergeCell ref="C52:I52"/>
    <mergeCell ref="H20:I20"/>
    <mergeCell ref="G57:I57"/>
    <mergeCell ref="H29:I29"/>
    <mergeCell ref="C39:I39"/>
    <mergeCell ref="A18:I18"/>
    <mergeCell ref="A27:C27"/>
    <mergeCell ref="G8:H8"/>
    <mergeCell ref="C37:I37"/>
    <mergeCell ref="F14:I14"/>
    <mergeCell ref="A16:B16"/>
    <mergeCell ref="F11:I11"/>
    <mergeCell ref="A66:B66"/>
    <mergeCell ref="A50:B50"/>
    <mergeCell ref="A10:C10"/>
    <mergeCell ref="A19:C19"/>
    <mergeCell ref="A47:B47"/>
    <mergeCell ref="F12:I12"/>
    <mergeCell ref="A9:C9"/>
    <mergeCell ref="C55:F55"/>
    <mergeCell ref="C41:I41"/>
    <mergeCell ref="H27:I27"/>
    <mergeCell ref="D8:E8"/>
    <mergeCell ref="C50:I50"/>
    <mergeCell ref="A64:I64"/>
    <mergeCell ref="A11:C11"/>
    <mergeCell ref="H24:I24"/>
    <mergeCell ref="C43:I43"/>
    <mergeCell ref="A44:B44"/>
    <mergeCell ref="A58:B58"/>
    <mergeCell ref="A54:I54"/>
    <mergeCell ref="H26:I26"/>
  </mergeCells>
  <printOptions horizontalCentered="1"/>
  <pageMargins left="0.75" right="0.75" top="1" bottom="1" header="0.5" footer="0.5"/>
  <pageSetup orientation="portrait" fitToHeight="0" fitToWidth="1"/>
</worksheet>
</file>

<file path=xl/worksheets/sheet10.xml><?xml version="1.0" encoding="utf-8"?>
<worksheet xmlns="http://schemas.openxmlformats.org/spreadsheetml/2006/main">
  <sheetPr>
    <outlinePr summaryBelow="1" summaryRight="1"/>
    <pageSetUpPr fitToPage="1"/>
  </sheetPr>
  <dimension ref="A1:I23"/>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21" t="inlineStr">
        <is>
          <t>Dead by Daylight TRPG　Enemy Character Sheet　·　Realm Creature</t>
        </is>
      </c>
      <c r="B1" s="25" t="n"/>
      <c r="C1" s="25" t="n"/>
      <c r="D1" s="25" t="n"/>
      <c r="E1" s="25" t="n"/>
      <c r="F1" s="25" t="n"/>
      <c r="G1" s="25" t="n"/>
      <c r="H1" s="25" t="n"/>
      <c r="I1" s="26" t="n"/>
    </row>
    <row r="2">
      <c r="A2" s="3" t="inlineStr">
        <is>
          <t>Character Art
(Paste character image here)</t>
        </is>
      </c>
      <c r="B2" s="27" t="n"/>
      <c r="C2" s="28" t="n"/>
      <c r="D2" s="5" t="inlineStr">
        <is>
          <t>No.</t>
        </is>
      </c>
      <c r="E2" s="8" t="inlineStr">
        <is>
          <t>RC-01</t>
        </is>
      </c>
      <c r="F2" s="5" t="inlineStr">
        <is>
          <t>Name</t>
        </is>
      </c>
      <c r="G2" s="6" t="inlineStr">
        <is>
          <t>Rust Crows（Rust Crows）</t>
        </is>
      </c>
      <c r="H2" s="29" t="n"/>
      <c r="I2" s="30" t="n"/>
    </row>
    <row r="3">
      <c r="A3" s="31" t="n"/>
      <c r="C3" s="32" t="n"/>
      <c r="D3" s="5" t="inlineStr">
        <is>
          <t>Affiliated Realm</t>
        </is>
      </c>
      <c r="E3" s="6" t="inlineStr">
        <is>
          <t>R1 Macmillan Estate (general; can be deployed in any Realm)</t>
        </is>
      </c>
      <c r="F3" s="29" t="n"/>
      <c r="G3" s="29" t="n"/>
      <c r="H3" s="29" t="n"/>
      <c r="I3" s="30" t="n"/>
    </row>
    <row r="4">
      <c r="A4" s="31" t="n"/>
      <c r="C4" s="32" t="n"/>
      <c r="D4" s="5" t="inlineStr">
        <is>
          <t>Type</t>
        </is>
      </c>
      <c r="E4" s="6" t="inlineStr">
        <is>
          <t>Group / Alarm-type</t>
        </is>
      </c>
      <c r="F4" s="29" t="n"/>
      <c r="G4" s="29" t="n"/>
      <c r="H4" s="29" t="n"/>
      <c r="I4" s="30" t="n"/>
    </row>
    <row r="5">
      <c r="A5" s="33" t="n"/>
      <c r="B5" s="34" t="n"/>
      <c r="C5" s="35" t="n"/>
      <c r="D5" s="5" t="inlineStr">
        <is>
          <t>Boss-level</t>
        </is>
      </c>
      <c r="E5" s="8" t="inlineStr">
        <is>
          <t>No</t>
        </is>
      </c>
      <c r="F5" s="5" t="inlineStr">
        <is>
          <t>Deals Health State (HS) loss</t>
        </is>
      </c>
      <c r="H5" s="8" t="n"/>
      <c r="I5" s="30" t="n"/>
    </row>
    <row r="6" ht="20" customHeight="1">
      <c r="A6" s="9" t="inlineStr">
        <is>
          <t>I. Data (enter Challenge Rating (CR); rest auto-calculated)</t>
        </is>
      </c>
      <c r="B6" s="29" t="n"/>
      <c r="C6" s="29" t="n"/>
      <c r="D6" s="29" t="n"/>
      <c r="E6" s="29" t="n"/>
      <c r="F6" s="29" t="n"/>
      <c r="G6" s="29" t="n"/>
      <c r="H6" s="29" t="n"/>
      <c r="I6" s="30" t="n"/>
    </row>
    <row r="7" ht="30" customHeight="1">
      <c r="A7" s="5" t="inlineStr">
        <is>
          <t>Challenge Rating (CR)</t>
        </is>
      </c>
      <c r="B7" s="30" t="n"/>
      <c r="C7" s="8" t="n">
        <v>1</v>
      </c>
      <c r="D7" s="5" t="inlineStr">
        <is>
          <t>Move</t>
        </is>
      </c>
      <c r="E7" s="30" t="n"/>
      <c r="F7" s="6" t="inlineStr">
        <is>
          <t>6 cells / round(s) (flying, ignores terrain)</t>
        </is>
      </c>
      <c r="G7" s="29" t="n"/>
      <c r="H7" s="29" t="n"/>
      <c r="I7" s="30" t="n"/>
    </row>
    <row r="8">
      <c r="A8" s="23" t="inlineStr">
        <is>
          <t>HP (HP)</t>
        </is>
      </c>
      <c r="B8" s="30" t="n"/>
      <c r="C8" s="14">
        <f>IF($C$7="","",10+4*$C$7)</f>
        <v/>
      </c>
      <c r="D8" s="30" t="n"/>
      <c r="E8" s="6" t="inlineStr">
        <is>
          <t>10 + 4×Challenge Rating (CR)</t>
        </is>
      </c>
      <c r="F8" s="29" t="n"/>
      <c r="G8" s="29" t="n"/>
      <c r="H8" s="29" t="n"/>
      <c r="I8" s="30" t="n"/>
    </row>
    <row r="9">
      <c r="A9" s="23" t="inlineStr">
        <is>
          <t>Attack Modifier</t>
        </is>
      </c>
      <c r="B9" s="30" t="n"/>
      <c r="C9" s="14">
        <f>IF($C$7="","",INT($C$7/2)+2)</f>
        <v/>
      </c>
      <c r="D9" s="30" t="n"/>
      <c r="E9" s="6" t="inlineStr">
        <is>
          <t>INT(CR ÷ 2) ＋ 2</t>
        </is>
      </c>
      <c r="F9" s="29" t="n"/>
      <c r="G9" s="29" t="n"/>
      <c r="H9" s="29" t="n"/>
      <c r="I9" s="30" t="n"/>
    </row>
    <row r="10">
      <c r="A10" s="23" t="inlineStr">
        <is>
          <t>Defense Difficulty Class (DC)</t>
        </is>
      </c>
      <c r="B10" s="30" t="n"/>
      <c r="C10" s="14">
        <f>IF($C$7="","",10+INT($C$7/2))</f>
        <v/>
      </c>
      <c r="D10" s="30" t="n"/>
      <c r="E10" s="6" t="inlineStr">
        <is>
          <t>10 + INT(CR ÷ 2). Target value when a Survivor attacks or interferes with this creature</t>
        </is>
      </c>
      <c r="F10" s="29" t="n"/>
      <c r="G10" s="29" t="n"/>
      <c r="H10" s="29" t="n"/>
      <c r="I10" s="30" t="n"/>
    </row>
    <row r="11">
      <c r="A11" s="23" t="inlineStr">
        <is>
          <t>Action Point (AP) / round</t>
        </is>
      </c>
      <c r="B11" s="30" t="n"/>
      <c r="C11" s="14">
        <f>IF($C$7="","",IF($C$7&gt;=8,4,IF($C$7&gt;=5,3,2)))</f>
        <v/>
      </c>
      <c r="D11" s="30" t="n"/>
      <c r="E11" s="6" t="inlineStr">
        <is>
          <t>CR 1–4 → 2 / CR 5–7 → 3 / CR 8+ → 4</t>
        </is>
      </c>
      <c r="F11" s="29" t="n"/>
      <c r="G11" s="29" t="n"/>
      <c r="H11" s="29" t="n"/>
      <c r="I11" s="30" t="n"/>
    </row>
    <row r="12">
      <c r="A12" s="23" t="inlineStr">
        <is>
          <t>Resilience (RES)</t>
        </is>
      </c>
      <c r="B12" s="30" t="n"/>
      <c r="C12" s="14">
        <f>IF($C$7="","",INT($C$7/3))</f>
        <v/>
      </c>
      <c r="D12" s="30" t="n"/>
      <c r="E12" s="6" t="inlineStr">
        <is>
          <t>INT(CR ÷ 3). Added to checks against status effects and forced movement</t>
        </is>
      </c>
      <c r="F12" s="29" t="n"/>
      <c r="G12" s="29" t="n"/>
      <c r="H12" s="29" t="n"/>
      <c r="I12" s="30" t="n"/>
    </row>
    <row r="13">
      <c r="A13" s="23" t="inlineStr">
        <is>
          <t>Encounter Budget Cost (EBC)</t>
        </is>
      </c>
      <c r="B13" s="30" t="n"/>
      <c r="C13" s="14">
        <f>IF($C$7="","",$C$7*IF($E$5="Yes",3,2))</f>
        <v/>
      </c>
      <c r="D13" s="30" t="n"/>
      <c r="E13" s="6" t="inlineStr">
        <is>
          <t>CR × 2 (standard) / CR × 3 (Boss-level)</t>
        </is>
      </c>
      <c r="F13" s="29" t="n"/>
      <c r="G13" s="29" t="n"/>
      <c r="H13" s="29" t="n"/>
      <c r="I13" s="30" t="n"/>
    </row>
    <row r="14">
      <c r="A14" s="16" t="inlineStr">
        <is>
          <t>Survivors' combat ability is deliberately weak: unarmed / improvised objects deal only 1d4 damage. The creature's correct answer is always 'dispel its weakness' or evade, not kill it. The GM must make this clear to players on first encounter.</t>
        </is>
      </c>
      <c r="B14" s="29" t="n"/>
      <c r="C14" s="29" t="n"/>
      <c r="D14" s="29" t="n"/>
      <c r="E14" s="29" t="n"/>
      <c r="F14" s="29" t="n"/>
      <c r="G14" s="29" t="n"/>
      <c r="H14" s="29" t="n"/>
      <c r="I14" s="30" t="n"/>
    </row>
    <row r="15" ht="20" customHeight="1">
      <c r="A15" s="9" t="inlineStr">
        <is>
          <t>II. Behavior, Effect &amp; Dispel</t>
        </is>
      </c>
      <c r="B15" s="29" t="n"/>
      <c r="C15" s="29" t="n"/>
      <c r="D15" s="29" t="n"/>
      <c r="E15" s="29" t="n"/>
      <c r="F15" s="29" t="n"/>
      <c r="G15" s="29" t="n"/>
      <c r="H15" s="29" t="n"/>
      <c r="I15" s="30" t="n"/>
    </row>
    <row r="16" ht="22" customHeight="1">
      <c r="A16" s="23" t="inlineStr">
        <is>
          <t>Behavior</t>
        </is>
      </c>
      <c r="B16" s="30" t="n"/>
      <c r="C16" s="18" t="inlineStr">
        <is>
          <t>Rests on a fixed cell. When a Survivor enters its adjacent 4 cells at a run or dash → startled into flight.</t>
        </is>
      </c>
      <c r="D16" s="29" t="n"/>
      <c r="E16" s="29" t="n"/>
      <c r="F16" s="29" t="n"/>
      <c r="G16" s="29" t="n"/>
      <c r="H16" s="29" t="n"/>
      <c r="I16" s="30" t="n"/>
    </row>
    <row r="17" ht="48" customHeight="1">
      <c r="A17" s="23" t="inlineStr">
        <is>
          <t>Effect</t>
        </is>
      </c>
      <c r="B17" s="30" t="n"/>
      <c r="C17" s="18" t="inlineStr">
        <is>
          <t>On startle: ① trigger a noise notification, Killer freely gains 1 Hunt Lead and learns the area; ② that Survivor gains Revealed (Revealed, ST-18) 1 round(s).
Deals no damage.</t>
        </is>
      </c>
      <c r="D17" s="29" t="n"/>
      <c r="E17" s="29" t="n"/>
      <c r="F17" s="29" t="n"/>
      <c r="G17" s="29" t="n"/>
      <c r="H17" s="29" t="n"/>
      <c r="I17" s="30" t="n"/>
    </row>
    <row r="18" ht="33" customHeight="1">
      <c r="A18" s="23" t="inlineStr">
        <is>
          <t>Dispel Weakness</t>
        </is>
      </c>
      <c r="B18" s="30" t="n"/>
      <c r="C18" s="18" t="inlineStr">
        <is>
          <t>Crouch-walk through its adjacent cells: completely no trigger, no check. Or throw any object to an empty cell 4+ cells away: the crows fly there and re-roost after 3 round(s).</t>
        </is>
      </c>
      <c r="D18" s="29" t="n"/>
      <c r="E18" s="29" t="n"/>
      <c r="F18" s="29" t="n"/>
      <c r="G18" s="29" t="n"/>
      <c r="H18" s="29" t="n"/>
      <c r="I18" s="30" t="n"/>
    </row>
    <row r="19" ht="22" customHeight="1">
      <c r="A19" s="23" t="inlineStr">
        <is>
          <t>Solo config (N = 1) adjustment</t>
        </is>
      </c>
      <c r="B19" s="30" t="n"/>
      <c r="C19" s="18" t="inlineStr">
        <is>
          <t>Crow count halved (rounded up).</t>
        </is>
      </c>
      <c r="D19" s="29" t="n"/>
      <c r="E19" s="29" t="n"/>
      <c r="F19" s="29" t="n"/>
      <c r="G19" s="29" t="n"/>
      <c r="H19" s="29" t="n"/>
      <c r="I19" s="30" t="n"/>
    </row>
    <row r="20" ht="20" customHeight="1">
      <c r="A20" s="9" t="inlineStr">
        <is>
          <t>IV. Tracking Track (in Trial)</t>
        </is>
      </c>
      <c r="B20" s="29" t="n"/>
      <c r="C20" s="29" t="n"/>
      <c r="D20" s="29" t="n"/>
      <c r="E20" s="29" t="n"/>
      <c r="F20" s="29" t="n"/>
      <c r="G20" s="29" t="n"/>
      <c r="H20" s="29" t="n"/>
      <c r="I20" s="30" t="n"/>
    </row>
    <row r="21">
      <c r="A21" s="23" t="inlineStr">
        <is>
          <t>Current HP (HP)</t>
        </is>
      </c>
      <c r="B21" s="30" t="n"/>
      <c r="C21" s="8" t="n"/>
      <c r="D21" s="30" t="n"/>
      <c r="E21" s="23" t="inlineStr">
        <is>
          <t>Core Exposed / Tier Segment</t>
        </is>
      </c>
      <c r="F21" s="30" t="n"/>
      <c r="G21" s="6" t="n"/>
      <c r="H21" s="29" t="n"/>
      <c r="I21" s="30" t="n"/>
    </row>
    <row r="22">
      <c r="A22" s="23" t="inlineStr">
        <is>
          <t>Current Status Effect</t>
        </is>
      </c>
      <c r="B22" s="30" t="n"/>
      <c r="C22" s="6" t="n"/>
      <c r="D22" s="29" t="n"/>
      <c r="E22" s="29" t="n"/>
      <c r="F22" s="29" t="n"/>
      <c r="G22" s="29" t="n"/>
      <c r="H22" s="29" t="n"/>
      <c r="I22" s="30" t="n"/>
    </row>
    <row r="23" ht="44" customHeight="1">
      <c r="A23" s="23" t="inlineStr">
        <is>
          <t>Notes</t>
        </is>
      </c>
      <c r="B23" s="30" t="n"/>
      <c r="C23" s="18" t="n"/>
      <c r="D23" s="29" t="n"/>
      <c r="E23" s="29" t="n"/>
      <c r="F23" s="29" t="n"/>
      <c r="G23" s="29" t="n"/>
      <c r="H23" s="29" t="n"/>
      <c r="I23" s="30" t="n"/>
    </row>
  </sheetData>
  <mergeCells count="47">
    <mergeCell ref="E3:I3"/>
    <mergeCell ref="C23:I23"/>
    <mergeCell ref="E12:I12"/>
    <mergeCell ref="C17:I17"/>
    <mergeCell ref="A11:B11"/>
    <mergeCell ref="E8:I8"/>
    <mergeCell ref="C19:I19"/>
    <mergeCell ref="A16:B16"/>
    <mergeCell ref="E4:I4"/>
    <mergeCell ref="A7:B7"/>
    <mergeCell ref="C10:D10"/>
    <mergeCell ref="C18:I18"/>
    <mergeCell ref="E10:I10"/>
    <mergeCell ref="A14:I14"/>
    <mergeCell ref="E13:I13"/>
    <mergeCell ref="C9:D9"/>
    <mergeCell ref="A18:B18"/>
    <mergeCell ref="A20:I20"/>
    <mergeCell ref="E9:I9"/>
    <mergeCell ref="A12:B12"/>
    <mergeCell ref="C12:D12"/>
    <mergeCell ref="A21:B21"/>
    <mergeCell ref="D7:E7"/>
    <mergeCell ref="C21:D21"/>
    <mergeCell ref="F7:I7"/>
    <mergeCell ref="C11:D11"/>
    <mergeCell ref="E11:I11"/>
    <mergeCell ref="C16:I16"/>
    <mergeCell ref="A17:B17"/>
    <mergeCell ref="A23:B23"/>
    <mergeCell ref="A8:B8"/>
    <mergeCell ref="G21:I21"/>
    <mergeCell ref="C8:D8"/>
    <mergeCell ref="A22:B22"/>
    <mergeCell ref="A15:I15"/>
    <mergeCell ref="G2:I2"/>
    <mergeCell ref="C22:I22"/>
    <mergeCell ref="A19:B19"/>
    <mergeCell ref="A10:B10"/>
    <mergeCell ref="A1:I1"/>
    <mergeCell ref="A13:B13"/>
    <mergeCell ref="H5:I5"/>
    <mergeCell ref="C13:D13"/>
    <mergeCell ref="A6:I6"/>
    <mergeCell ref="A2:C5"/>
    <mergeCell ref="A9:B9"/>
    <mergeCell ref="E21:F21"/>
  </mergeCells>
  <dataValidations count="2">
    <dataValidation sqref="E5" showDropDown="0" showInputMessage="0" showErrorMessage="0" allowBlank="1" type="list">
      <formula1>"是,否"</formula1>
    </dataValidation>
    <dataValidation sqref="H5:I5" showDropDown="0" showInputMessage="0" showErrorMessage="0" allowBlank="1" type="list">
      <formula1>"是,否"</formula1>
    </dataValidation>
  </dataValidations>
  <printOptions horizontalCentered="1"/>
  <pageMargins left="0.75" right="0.75" top="1" bottom="1" header="0.5" footer="0.5"/>
  <pageSetup orientation="portrait" fitToHeight="0" fitToWidth="1"/>
</worksheet>
</file>

<file path=xl/worksheets/sheet11.xml><?xml version="1.0" encoding="utf-8"?>
<worksheet xmlns="http://schemas.openxmlformats.org/spreadsheetml/2006/main">
  <sheetPr>
    <outlinePr summaryBelow="1" summaryRight="1"/>
    <pageSetUpPr fitToPage="1"/>
  </sheetPr>
  <dimension ref="A1:I25"/>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21" t="inlineStr">
        <is>
          <t>Dead by Daylight TRPG　Enemy Character Sheet　·　Realm Creature</t>
        </is>
      </c>
      <c r="B1" s="25" t="n"/>
      <c r="C1" s="25" t="n"/>
      <c r="D1" s="25" t="n"/>
      <c r="E1" s="25" t="n"/>
      <c r="F1" s="25" t="n"/>
      <c r="G1" s="25" t="n"/>
      <c r="H1" s="25" t="n"/>
      <c r="I1" s="26" t="n"/>
    </row>
    <row r="2">
      <c r="A2" s="3" t="inlineStr">
        <is>
          <t>Character Art
(Paste character image here)</t>
        </is>
      </c>
      <c r="B2" s="27" t="n"/>
      <c r="C2" s="28" t="n"/>
      <c r="D2" s="5" t="inlineStr">
        <is>
          <t>No.</t>
        </is>
      </c>
      <c r="E2" s="8" t="inlineStr">
        <is>
          <t>RC-02</t>
        </is>
      </c>
      <c r="F2" s="5" t="inlineStr">
        <is>
          <t>Name</t>
        </is>
      </c>
      <c r="G2" s="6" t="inlineStr">
        <is>
          <t>Well Chorus（The Choir in the Well）</t>
        </is>
      </c>
      <c r="H2" s="29" t="n"/>
      <c r="I2" s="30" t="n"/>
    </row>
    <row r="3">
      <c r="A3" s="31" t="n"/>
      <c r="C3" s="32" t="n"/>
      <c r="D3" s="5" t="inlineStr">
        <is>
          <t>Affiliated Realm</t>
        </is>
      </c>
      <c r="E3" s="6" t="inlineStr">
        <is>
          <t>R1 Macmillan Estate · Suffocation Pit (see 40_World_and_Narrative.md §8-10)</t>
        </is>
      </c>
      <c r="F3" s="29" t="n"/>
      <c r="G3" s="29" t="n"/>
      <c r="H3" s="29" t="n"/>
      <c r="I3" s="30" t="n"/>
    </row>
    <row r="4">
      <c r="A4" s="31" t="n"/>
      <c r="C4" s="32" t="n"/>
      <c r="D4" s="5" t="inlineStr">
        <is>
          <t>Type</t>
        </is>
      </c>
      <c r="E4" s="6" t="inlineStr">
        <is>
          <t>Whisperer / intel-trading type, non-combat creature</t>
        </is>
      </c>
      <c r="F4" s="29" t="n"/>
      <c r="G4" s="29" t="n"/>
      <c r="H4" s="29" t="n"/>
      <c r="I4" s="30" t="n"/>
    </row>
    <row r="5">
      <c r="A5" s="33" t="n"/>
      <c r="B5" s="34" t="n"/>
      <c r="C5" s="35" t="n"/>
      <c r="D5" s="5" t="inlineStr">
        <is>
          <t>Boss-level</t>
        </is>
      </c>
      <c r="E5" s="8" t="inlineStr">
        <is>
          <t>No</t>
        </is>
      </c>
      <c r="F5" s="5" t="inlineStr">
        <is>
          <t>Deals Health State (HS) loss</t>
        </is>
      </c>
      <c r="H5" s="8" t="n"/>
      <c r="I5" s="30" t="n"/>
    </row>
    <row r="6" ht="20" customHeight="1">
      <c r="A6" s="9" t="inlineStr">
        <is>
          <t>I. Data (enter Challenge Rating (CR); rest auto-calculated)</t>
        </is>
      </c>
      <c r="B6" s="29" t="n"/>
      <c r="C6" s="29" t="n"/>
      <c r="D6" s="29" t="n"/>
      <c r="E6" s="29" t="n"/>
      <c r="F6" s="29" t="n"/>
      <c r="G6" s="29" t="n"/>
      <c r="H6" s="29" t="n"/>
      <c r="I6" s="30" t="n"/>
    </row>
    <row r="7" ht="30" customHeight="1">
      <c r="A7" s="5" t="inlineStr">
        <is>
          <t>Challenge Rating (CR)</t>
        </is>
      </c>
      <c r="B7" s="30" t="n"/>
      <c r="C7" s="8" t="n">
        <v>2</v>
      </c>
      <c r="D7" s="5" t="inlineStr">
        <is>
          <t>Move</t>
        </is>
      </c>
      <c r="E7" s="30" t="n"/>
      <c r="F7" s="6" t="inlineStr">
        <is>
          <t>0 (fixed at the mine shaft mouth)</t>
        </is>
      </c>
      <c r="G7" s="29" t="n"/>
      <c r="H7" s="29" t="n"/>
      <c r="I7" s="30" t="n"/>
    </row>
    <row r="8">
      <c r="A8" s="23" t="inlineStr">
        <is>
          <t>HP (HP)</t>
        </is>
      </c>
      <c r="B8" s="30" t="n"/>
      <c r="C8" s="14">
        <f>IF($C$7="","",10+4*$C$7)</f>
        <v/>
      </c>
      <c r="D8" s="30" t="n"/>
      <c r="E8" s="6" t="inlineStr">
        <is>
          <t>10 + 4×Challenge Rating (CR)</t>
        </is>
      </c>
      <c r="F8" s="29" t="n"/>
      <c r="G8" s="29" t="n"/>
      <c r="H8" s="29" t="n"/>
      <c r="I8" s="30" t="n"/>
    </row>
    <row r="9">
      <c r="A9" s="23" t="inlineStr">
        <is>
          <t>Attack Modifier</t>
        </is>
      </c>
      <c r="B9" s="30" t="n"/>
      <c r="C9" s="14">
        <f>IF($C$7="","",INT($C$7/2)+2)</f>
        <v/>
      </c>
      <c r="D9" s="30" t="n"/>
      <c r="E9" s="6" t="inlineStr">
        <is>
          <t>INT(CR ÷ 2) ＋ 2</t>
        </is>
      </c>
      <c r="F9" s="29" t="n"/>
      <c r="G9" s="29" t="n"/>
      <c r="H9" s="29" t="n"/>
      <c r="I9" s="30" t="n"/>
    </row>
    <row r="10">
      <c r="A10" s="23" t="inlineStr">
        <is>
          <t>Defense Difficulty Class (DC)</t>
        </is>
      </c>
      <c r="B10" s="30" t="n"/>
      <c r="C10" s="14">
        <f>IF($C$7="","",10+INT($C$7/2))</f>
        <v/>
      </c>
      <c r="D10" s="30" t="n"/>
      <c r="E10" s="6" t="inlineStr">
        <is>
          <t>10 + INT(CR ÷ 2). Target value when a Survivor attacks or interferes with this creature</t>
        </is>
      </c>
      <c r="F10" s="29" t="n"/>
      <c r="G10" s="29" t="n"/>
      <c r="H10" s="29" t="n"/>
      <c r="I10" s="30" t="n"/>
    </row>
    <row r="11">
      <c r="A11" s="23" t="inlineStr">
        <is>
          <t>Action Point (AP) / round</t>
        </is>
      </c>
      <c r="B11" s="30" t="n"/>
      <c r="C11" s="14">
        <f>IF($C$7="","",IF($C$7&gt;=8,4,IF($C$7&gt;=5,3,2)))</f>
        <v/>
      </c>
      <c r="D11" s="30" t="n"/>
      <c r="E11" s="6" t="inlineStr">
        <is>
          <t>CR 1–4 → 2 / CR 5–7 → 3 / CR 8+ → 4</t>
        </is>
      </c>
      <c r="F11" s="29" t="n"/>
      <c r="G11" s="29" t="n"/>
      <c r="H11" s="29" t="n"/>
      <c r="I11" s="30" t="n"/>
    </row>
    <row r="12">
      <c r="A12" s="23" t="inlineStr">
        <is>
          <t>Resilience (RES)</t>
        </is>
      </c>
      <c r="B12" s="30" t="n"/>
      <c r="C12" s="14">
        <f>IF($C$7="","",INT($C$7/3))</f>
        <v/>
      </c>
      <c r="D12" s="30" t="n"/>
      <c r="E12" s="6" t="inlineStr">
        <is>
          <t>INT(CR ÷ 3). Added to checks against status effects and forced movement</t>
        </is>
      </c>
      <c r="F12" s="29" t="n"/>
      <c r="G12" s="29" t="n"/>
      <c r="H12" s="29" t="n"/>
      <c r="I12" s="30" t="n"/>
    </row>
    <row r="13">
      <c r="A13" s="23" t="inlineStr">
        <is>
          <t>Encounter Budget Cost (EBC)</t>
        </is>
      </c>
      <c r="B13" s="30" t="n"/>
      <c r="C13" s="14">
        <f>IF($C$7="","",$C$7*IF($E$5="Yes",3,2))</f>
        <v/>
      </c>
      <c r="D13" s="30" t="n"/>
      <c r="E13" s="6" t="inlineStr">
        <is>
          <t>CR × 2 (standard) / CR × 3 (Boss-level)</t>
        </is>
      </c>
      <c r="F13" s="29" t="n"/>
      <c r="G13" s="29" t="n"/>
      <c r="H13" s="29" t="n"/>
      <c r="I13" s="30" t="n"/>
    </row>
    <row r="14">
      <c r="A14" s="16" t="inlineStr">
        <is>
          <t>Survivors' combat ability is deliberately weak: unarmed / improvised objects deal only 1d4 damage. The creature's correct answer is always 'dispel its weakness' or evade, not kill it. The GM must make this clear to players on first encounter.</t>
        </is>
      </c>
      <c r="B14" s="29" t="n"/>
      <c r="C14" s="29" t="n"/>
      <c r="D14" s="29" t="n"/>
      <c r="E14" s="29" t="n"/>
      <c r="F14" s="29" t="n"/>
      <c r="G14" s="29" t="n"/>
      <c r="H14" s="29" t="n"/>
      <c r="I14" s="30" t="n"/>
    </row>
    <row r="15" ht="20" customHeight="1">
      <c r="A15" s="9" t="inlineStr">
        <is>
          <t>II. Behavior, Effect &amp; Dispel</t>
        </is>
      </c>
      <c r="B15" s="29" t="n"/>
      <c r="C15" s="29" t="n"/>
      <c r="D15" s="29" t="n"/>
      <c r="E15" s="29" t="n"/>
      <c r="F15" s="29" t="n"/>
      <c r="G15" s="29" t="n"/>
      <c r="H15" s="29" t="n"/>
      <c r="I15" s="30" t="n"/>
    </row>
    <row r="16" ht="22" customHeight="1">
      <c r="A16" s="23" t="inlineStr">
        <is>
          <t>Behavior</t>
        </is>
      </c>
      <c r="B16" s="30" t="n"/>
      <c r="C16" s="18" t="inlineStr">
        <is>
          <t>Stationary. Survivors may approach and "listen" voluntarily.</t>
        </is>
      </c>
      <c r="D16" s="29" t="n"/>
      <c r="E16" s="29" t="n"/>
      <c r="F16" s="29" t="n"/>
      <c r="G16" s="29" t="n"/>
      <c r="H16" s="29" t="n"/>
      <c r="I16" s="30" t="n"/>
    </row>
    <row r="17" ht="22" customHeight="1">
      <c r="A17" s="23" t="inlineStr">
        <is>
          <t>Effect</t>
        </is>
      </c>
      <c r="B17" s="30" t="n"/>
      <c r="C17" s="18" t="n"/>
      <c r="D17" s="29" t="n"/>
      <c r="E17" s="29" t="n"/>
      <c r="F17" s="29" t="n"/>
      <c r="G17" s="29" t="n"/>
      <c r="H17" s="29" t="n"/>
      <c r="I17" s="30" t="n"/>
    </row>
    <row r="18" ht="33" customHeight="1">
      <c r="A18" s="23" t="inlineStr">
        <is>
          <t>Dispel Weakness</t>
        </is>
      </c>
      <c r="B18" s="30" t="n"/>
      <c r="C18" s="18" t="inlineStr">
        <is>
          <t>No dispel needed. It is not hostile. But each Survivor may listen at most 2 times per Trial; from the 3rd time on, automatic Critical Failure (it starts demanding repayment).</t>
        </is>
      </c>
      <c r="D18" s="29" t="n"/>
      <c r="E18" s="29" t="n"/>
      <c r="F18" s="29" t="n"/>
      <c r="G18" s="29" t="n"/>
      <c r="H18" s="29" t="n"/>
      <c r="I18" s="30" t="n"/>
    </row>
    <row r="19" ht="33" customHeight="1">
      <c r="A19" s="23" t="inlineStr">
        <is>
          <t>Solo config (N = 1) adjustment</t>
        </is>
      </c>
      <c r="B19" s="30" t="n"/>
      <c r="C19" s="18" t="inlineStr">
        <is>
          <t>Listen cap raised to 4 times, and Difficulty Class (DC) lowered to 12. This is one of the most important intel sources for a solo Player, compensating for no teammates calling positions.</t>
        </is>
      </c>
      <c r="D19" s="29" t="n"/>
      <c r="E19" s="29" t="n"/>
      <c r="F19" s="29" t="n"/>
      <c r="G19" s="29" t="n"/>
      <c r="H19" s="29" t="n"/>
      <c r="I19" s="30" t="n"/>
    </row>
    <row r="20" ht="20" customHeight="1">
      <c r="A20" s="9" t="inlineStr">
        <is>
          <t>III. Special Rule</t>
        </is>
      </c>
      <c r="B20" s="29" t="n"/>
      <c r="C20" s="29" t="n"/>
      <c r="D20" s="29" t="n"/>
      <c r="E20" s="29" t="n"/>
      <c r="F20" s="29" t="n"/>
      <c r="G20" s="29" t="n"/>
      <c r="H20" s="29" t="n"/>
      <c r="I20" s="30" t="n"/>
    </row>
    <row r="21" ht="150" customHeight="1">
      <c r="A21" s="23" t="inlineStr">
        <is>
          <t>Effect (Listen)</t>
        </is>
      </c>
      <c r="B21" s="30" t="n"/>
      <c r="C21" s="18" t="inlineStr">
        <is>
          <t>3 Action Point (AP) + Will (WIL) + Endurance (END) check vs Difficulty Class (DC) 14:
Critical Success: gain 2 intel (see below) + 1 Hope Point (HOP).
Success: gain 1 intel.
Failure: no intel, gain Suffocating (Suffocating, ST-24) 2 round(s).
Critical Failure: no intel, gain Suffocating 4 round(s) + Madness (Madness, ST-15) 1 tier.
Tradable intel (GM rolls d6 or chooses): 1 current area of the Killer / 2 Hatch location / 3 nearest Totem location / 4 current Health State (HS) and position of a specified teammate / 5 exact location of the next Generator / 6 current Pressure Point (PRE) value of the Killer.</t>
        </is>
      </c>
      <c r="D21" s="29" t="n"/>
      <c r="E21" s="29" t="n"/>
      <c r="F21" s="29" t="n"/>
      <c r="G21" s="29" t="n"/>
      <c r="H21" s="29" t="n"/>
      <c r="I21" s="30" t="n"/>
    </row>
    <row r="22" ht="20" customHeight="1">
      <c r="A22" s="9" t="inlineStr">
        <is>
          <t>IV. Tracking Track (in Trial)</t>
        </is>
      </c>
      <c r="B22" s="29" t="n"/>
      <c r="C22" s="29" t="n"/>
      <c r="D22" s="29" t="n"/>
      <c r="E22" s="29" t="n"/>
      <c r="F22" s="29" t="n"/>
      <c r="G22" s="29" t="n"/>
      <c r="H22" s="29" t="n"/>
      <c r="I22" s="30" t="n"/>
    </row>
    <row r="23">
      <c r="A23" s="23" t="inlineStr">
        <is>
          <t>Current HP (HP)</t>
        </is>
      </c>
      <c r="B23" s="30" t="n"/>
      <c r="C23" s="8" t="n"/>
      <c r="D23" s="30" t="n"/>
      <c r="E23" s="23" t="inlineStr">
        <is>
          <t>Core Exposed / Tier Segment</t>
        </is>
      </c>
      <c r="F23" s="30" t="n"/>
      <c r="G23" s="6" t="n"/>
      <c r="H23" s="29" t="n"/>
      <c r="I23" s="30" t="n"/>
    </row>
    <row r="24">
      <c r="A24" s="23" t="inlineStr">
        <is>
          <t>Current Status Effect</t>
        </is>
      </c>
      <c r="B24" s="30" t="n"/>
      <c r="C24" s="6" t="n"/>
      <c r="D24" s="29" t="n"/>
      <c r="E24" s="29" t="n"/>
      <c r="F24" s="29" t="n"/>
      <c r="G24" s="29" t="n"/>
      <c r="H24" s="29" t="n"/>
      <c r="I24" s="30" t="n"/>
    </row>
    <row r="25" ht="44" customHeight="1">
      <c r="A25" s="23" t="inlineStr">
        <is>
          <t>Notes</t>
        </is>
      </c>
      <c r="B25" s="30" t="n"/>
      <c r="C25" s="18" t="n"/>
      <c r="D25" s="29" t="n"/>
      <c r="E25" s="29" t="n"/>
      <c r="F25" s="29" t="n"/>
      <c r="G25" s="29" t="n"/>
      <c r="H25" s="29" t="n"/>
      <c r="I25" s="30" t="n"/>
    </row>
  </sheetData>
  <mergeCells count="50">
    <mergeCell ref="E3:I3"/>
    <mergeCell ref="A24:B24"/>
    <mergeCell ref="E12:I12"/>
    <mergeCell ref="C17:I17"/>
    <mergeCell ref="A11:B11"/>
    <mergeCell ref="E23:F23"/>
    <mergeCell ref="E8:I8"/>
    <mergeCell ref="C19:I19"/>
    <mergeCell ref="A16:B16"/>
    <mergeCell ref="E4:I4"/>
    <mergeCell ref="A7:B7"/>
    <mergeCell ref="C10:D10"/>
    <mergeCell ref="C18:I18"/>
    <mergeCell ref="A25:B25"/>
    <mergeCell ref="E10:I10"/>
    <mergeCell ref="A14:I14"/>
    <mergeCell ref="E13:I13"/>
    <mergeCell ref="C24:I24"/>
    <mergeCell ref="C9:D9"/>
    <mergeCell ref="A18:B18"/>
    <mergeCell ref="A22:I22"/>
    <mergeCell ref="A20:I20"/>
    <mergeCell ref="E9:I9"/>
    <mergeCell ref="A12:B12"/>
    <mergeCell ref="C12:D12"/>
    <mergeCell ref="A21:B21"/>
    <mergeCell ref="D7:E7"/>
    <mergeCell ref="F7:I7"/>
    <mergeCell ref="C11:D11"/>
    <mergeCell ref="E11:I11"/>
    <mergeCell ref="C16:I16"/>
    <mergeCell ref="A17:B17"/>
    <mergeCell ref="A23:B23"/>
    <mergeCell ref="A8:B8"/>
    <mergeCell ref="C23:D23"/>
    <mergeCell ref="C25:I25"/>
    <mergeCell ref="C8:D8"/>
    <mergeCell ref="A15:I15"/>
    <mergeCell ref="G2:I2"/>
    <mergeCell ref="A19:B19"/>
    <mergeCell ref="A10:B10"/>
    <mergeCell ref="C21:I21"/>
    <mergeCell ref="A1:I1"/>
    <mergeCell ref="G23:I23"/>
    <mergeCell ref="A13:B13"/>
    <mergeCell ref="H5:I5"/>
    <mergeCell ref="C13:D13"/>
    <mergeCell ref="A6:I6"/>
    <mergeCell ref="A2:C5"/>
    <mergeCell ref="A9:B9"/>
  </mergeCells>
  <dataValidations count="2">
    <dataValidation sqref="E5" showDropDown="0" showInputMessage="0" showErrorMessage="0" allowBlank="1" type="list">
      <formula1>"是,否"</formula1>
    </dataValidation>
    <dataValidation sqref="H5:I5" showDropDown="0" showInputMessage="0" showErrorMessage="0" allowBlank="1" type="list">
      <formula1>"是,否"</formula1>
    </dataValidation>
  </dataValidations>
  <printOptions horizontalCentered="1"/>
  <pageMargins left="0.75" right="0.75" top="1" bottom="1" header="0.5" footer="0.5"/>
  <pageSetup orientation="portrait" fitToHeight="0" fitToWidth="1"/>
</worksheet>
</file>

<file path=xl/worksheets/sheet12.xml><?xml version="1.0" encoding="utf-8"?>
<worksheet xmlns="http://schemas.openxmlformats.org/spreadsheetml/2006/main">
  <sheetPr>
    <outlinePr summaryBelow="1" summaryRight="1"/>
    <pageSetUpPr fitToPage="1"/>
  </sheetPr>
  <dimension ref="A1:I26"/>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21" t="inlineStr">
        <is>
          <t>Dead by Daylight TRPG　Enemy Character Sheet　·　Realm Creature</t>
        </is>
      </c>
      <c r="B1" s="25" t="n"/>
      <c r="C1" s="25" t="n"/>
      <c r="D1" s="25" t="n"/>
      <c r="E1" s="25" t="n"/>
      <c r="F1" s="25" t="n"/>
      <c r="G1" s="25" t="n"/>
      <c r="H1" s="25" t="n"/>
      <c r="I1" s="26" t="n"/>
    </row>
    <row r="2">
      <c r="A2" s="3" t="inlineStr">
        <is>
          <t>Character Art
(Paste character image here)</t>
        </is>
      </c>
      <c r="B2" s="27" t="n"/>
      <c r="C2" s="28" t="n"/>
      <c r="D2" s="5" t="inlineStr">
        <is>
          <t>No.</t>
        </is>
      </c>
      <c r="E2" s="8" t="inlineStr">
        <is>
          <t>RC-03</t>
        </is>
      </c>
      <c r="F2" s="5" t="inlineStr">
        <is>
          <t>Name</t>
        </is>
      </c>
      <c r="G2" s="6" t="inlineStr">
        <is>
          <t>Tin Golem（Scrap Effigy）</t>
        </is>
      </c>
      <c r="H2" s="29" t="n"/>
      <c r="I2" s="30" t="n"/>
    </row>
    <row r="3">
      <c r="A3" s="31" t="n"/>
      <c r="C3" s="32" t="n"/>
      <c r="D3" s="5" t="inlineStr">
        <is>
          <t>Affiliated Realm</t>
        </is>
      </c>
      <c r="E3" s="6" t="inlineStr">
        <is>
          <t>R2 Autohaven Wreckers</t>
        </is>
      </c>
      <c r="F3" s="29" t="n"/>
      <c r="G3" s="29" t="n"/>
      <c r="H3" s="29" t="n"/>
      <c r="I3" s="30" t="n"/>
    </row>
    <row r="4">
      <c r="A4" s="31" t="n"/>
      <c r="C4" s="32" t="n"/>
      <c r="D4" s="5" t="inlineStr">
        <is>
          <t>Type</t>
        </is>
      </c>
      <c r="E4" s="6" t="inlineStr">
        <is>
          <t>Wander / Block-type</t>
        </is>
      </c>
      <c r="F4" s="29" t="n"/>
      <c r="G4" s="29" t="n"/>
      <c r="H4" s="29" t="n"/>
      <c r="I4" s="30" t="n"/>
    </row>
    <row r="5">
      <c r="A5" s="33" t="n"/>
      <c r="B5" s="34" t="n"/>
      <c r="C5" s="35" t="n"/>
      <c r="D5" s="5" t="inlineStr">
        <is>
          <t>Boss-level</t>
        </is>
      </c>
      <c r="E5" s="8" t="inlineStr">
        <is>
          <t>No</t>
        </is>
      </c>
      <c r="F5" s="5" t="inlineStr">
        <is>
          <t>Deals Health State (HS) loss</t>
        </is>
      </c>
      <c r="H5" s="8" t="n"/>
      <c r="I5" s="30" t="n"/>
    </row>
    <row r="6" ht="20" customHeight="1">
      <c r="A6" s="9" t="inlineStr">
        <is>
          <t>I. Data (enter Challenge Rating (CR); rest auto-calculated)</t>
        </is>
      </c>
      <c r="B6" s="29" t="n"/>
      <c r="C6" s="29" t="n"/>
      <c r="D6" s="29" t="n"/>
      <c r="E6" s="29" t="n"/>
      <c r="F6" s="29" t="n"/>
      <c r="G6" s="29" t="n"/>
      <c r="H6" s="29" t="n"/>
      <c r="I6" s="30" t="n"/>
    </row>
    <row r="7" ht="30" customHeight="1">
      <c r="A7" s="5" t="inlineStr">
        <is>
          <t>Challenge Rating (CR)</t>
        </is>
      </c>
      <c r="B7" s="30" t="n"/>
      <c r="C7" s="8" t="n">
        <v>3</v>
      </c>
      <c r="D7" s="5" t="inlineStr">
        <is>
          <t>Move</t>
        </is>
      </c>
      <c r="E7" s="30" t="n"/>
      <c r="F7" s="6" t="inlineStr">
        <is>
          <t>4 cells / round(s) (slow; cannot vault windows, cannot vault Pallets)</t>
        </is>
      </c>
      <c r="G7" s="29" t="n"/>
      <c r="H7" s="29" t="n"/>
      <c r="I7" s="30" t="n"/>
    </row>
    <row r="8">
      <c r="A8" s="23" t="inlineStr">
        <is>
          <t>HP (HP)</t>
        </is>
      </c>
      <c r="B8" s="30" t="n"/>
      <c r="C8" s="14">
        <f>IF($C$7="","",10+4*$C$7)</f>
        <v/>
      </c>
      <c r="D8" s="30" t="n"/>
      <c r="E8" s="6" t="inlineStr">
        <is>
          <t>10 + 4×Challenge Rating (CR)</t>
        </is>
      </c>
      <c r="F8" s="29" t="n"/>
      <c r="G8" s="29" t="n"/>
      <c r="H8" s="29" t="n"/>
      <c r="I8" s="30" t="n"/>
    </row>
    <row r="9">
      <c r="A9" s="23" t="inlineStr">
        <is>
          <t>Attack Modifier</t>
        </is>
      </c>
      <c r="B9" s="30" t="n"/>
      <c r="C9" s="14">
        <f>IF($C$7="","",INT($C$7/2)+2)</f>
        <v/>
      </c>
      <c r="D9" s="30" t="n"/>
      <c r="E9" s="6" t="inlineStr">
        <is>
          <t>INT(CR ÷ 2) ＋ 2</t>
        </is>
      </c>
      <c r="F9" s="29" t="n"/>
      <c r="G9" s="29" t="n"/>
      <c r="H9" s="29" t="n"/>
      <c r="I9" s="30" t="n"/>
    </row>
    <row r="10">
      <c r="A10" s="23" t="inlineStr">
        <is>
          <t>Defense Difficulty Class (DC)</t>
        </is>
      </c>
      <c r="B10" s="30" t="n"/>
      <c r="C10" s="14">
        <f>IF($C$7="","",10+INT($C$7/2))</f>
        <v/>
      </c>
      <c r="D10" s="30" t="n"/>
      <c r="E10" s="6" t="inlineStr">
        <is>
          <t>10 + INT(CR ÷ 2). Target value when a Survivor attacks or interferes with this creature</t>
        </is>
      </c>
      <c r="F10" s="29" t="n"/>
      <c r="G10" s="29" t="n"/>
      <c r="H10" s="29" t="n"/>
      <c r="I10" s="30" t="n"/>
    </row>
    <row r="11">
      <c r="A11" s="23" t="inlineStr">
        <is>
          <t>Action Point (AP) / round</t>
        </is>
      </c>
      <c r="B11" s="30" t="n"/>
      <c r="C11" s="14">
        <f>IF($C$7="","",IF($C$7&gt;=8,4,IF($C$7&gt;=5,3,2)))</f>
        <v/>
      </c>
      <c r="D11" s="30" t="n"/>
      <c r="E11" s="6" t="inlineStr">
        <is>
          <t>CR 1–4 → 2 / CR 5–7 → 3 / CR 8+ → 4</t>
        </is>
      </c>
      <c r="F11" s="29" t="n"/>
      <c r="G11" s="29" t="n"/>
      <c r="H11" s="29" t="n"/>
      <c r="I11" s="30" t="n"/>
    </row>
    <row r="12">
      <c r="A12" s="23" t="inlineStr">
        <is>
          <t>Resilience (RES)</t>
        </is>
      </c>
      <c r="B12" s="30" t="n"/>
      <c r="C12" s="14">
        <f>IF($C$7="","",INT($C$7/3))</f>
        <v/>
      </c>
      <c r="D12" s="30" t="n"/>
      <c r="E12" s="6" t="inlineStr">
        <is>
          <t>INT(CR ÷ 3). Added to checks against status effects and forced movement</t>
        </is>
      </c>
      <c r="F12" s="29" t="n"/>
      <c r="G12" s="29" t="n"/>
      <c r="H12" s="29" t="n"/>
      <c r="I12" s="30" t="n"/>
    </row>
    <row r="13">
      <c r="A13" s="23" t="inlineStr">
        <is>
          <t>Encounter Budget Cost (EBC)</t>
        </is>
      </c>
      <c r="B13" s="30" t="n"/>
      <c r="C13" s="14">
        <f>IF($C$7="","",$C$7*IF($E$5="Yes",3,2))</f>
        <v/>
      </c>
      <c r="D13" s="30" t="n"/>
      <c r="E13" s="6" t="inlineStr">
        <is>
          <t>CR × 2 (standard) / CR × 3 (Boss-level)</t>
        </is>
      </c>
      <c r="F13" s="29" t="n"/>
      <c r="G13" s="29" t="n"/>
      <c r="H13" s="29" t="n"/>
      <c r="I13" s="30" t="n"/>
    </row>
    <row r="14">
      <c r="A14" s="16" t="inlineStr">
        <is>
          <t>Survivors' combat ability is deliberately weak: unarmed / improvised objects deal only 1d4 damage. The creature's correct answer is always 'dispel its weakness' or evade, not kill it. The GM must make this clear to players on first encounter.</t>
        </is>
      </c>
      <c r="B14" s="29" t="n"/>
      <c r="C14" s="29" t="n"/>
      <c r="D14" s="29" t="n"/>
      <c r="E14" s="29" t="n"/>
      <c r="F14" s="29" t="n"/>
      <c r="G14" s="29" t="n"/>
      <c r="H14" s="29" t="n"/>
      <c r="I14" s="30" t="n"/>
    </row>
    <row r="15" ht="20" customHeight="1">
      <c r="A15" s="9" t="inlineStr">
        <is>
          <t>II. Behavior, Effect &amp; Dispel</t>
        </is>
      </c>
      <c r="B15" s="29" t="n"/>
      <c r="C15" s="29" t="n"/>
      <c r="D15" s="29" t="n"/>
      <c r="E15" s="29" t="n"/>
      <c r="F15" s="29" t="n"/>
      <c r="G15" s="29" t="n"/>
      <c r="H15" s="29" t="n"/>
      <c r="I15" s="30" t="n"/>
    </row>
    <row r="16" ht="33" customHeight="1">
      <c r="A16" s="23" t="inlineStr">
        <is>
          <t>Behavior</t>
        </is>
      </c>
      <c r="B16" s="30" t="n"/>
      <c r="C16" s="18" t="inlineStr">
        <is>
          <t>Wanders along a fixed patrol route (drawn in advance by the GM on the encounter map, public). A standing Survivor within detection range 6 cells turns it to chase for 3 round(s) before returning to route.</t>
        </is>
      </c>
      <c r="D16" s="29" t="n"/>
      <c r="E16" s="29" t="n"/>
      <c r="F16" s="29" t="n"/>
      <c r="G16" s="29" t="n"/>
      <c r="H16" s="29" t="n"/>
      <c r="I16" s="30" t="n"/>
    </row>
    <row r="17" ht="22" customHeight="1">
      <c r="A17" s="23" t="inlineStr">
        <is>
          <t>Effect</t>
        </is>
      </c>
      <c r="B17" s="30" t="n"/>
      <c r="C17" s="18" t="n"/>
      <c r="D17" s="29" t="n"/>
      <c r="E17" s="29" t="n"/>
      <c r="F17" s="29" t="n"/>
      <c r="G17" s="29" t="n"/>
      <c r="H17" s="29" t="n"/>
      <c r="I17" s="30" t="n"/>
    </row>
    <row r="18" ht="48" customHeight="1">
      <c r="A18" s="23" t="inlineStr">
        <is>
          <t>Dispel Weakness</t>
        </is>
      </c>
      <c r="B18" s="30" t="n"/>
      <c r="C18" s="18" t="inlineStr">
        <is>
          <t>It is built of stacked vehicle debris. A Pallet push hit (2d4+4) or luring it under a forklift cell (scenario-marked cell) lets you spend 1 Action Point (AP) + Technique (TEC) check vs Difficulty Class (DC) 12 to crush it → destroyed immediately.</t>
        </is>
      </c>
      <c r="D18" s="29" t="n"/>
      <c r="E18" s="29" t="n"/>
      <c r="F18" s="29" t="n"/>
      <c r="G18" s="29" t="n"/>
      <c r="H18" s="29" t="n"/>
      <c r="I18" s="30" t="n"/>
    </row>
    <row r="19" ht="22" customHeight="1">
      <c r="A19" s="23" t="inlineStr">
        <is>
          <t>Solo config (N = 1) adjustment</t>
        </is>
      </c>
      <c r="B19" s="30" t="n"/>
      <c r="C19" s="18" t="n"/>
      <c r="D19" s="29" t="n"/>
      <c r="E19" s="29" t="n"/>
      <c r="F19" s="29" t="n"/>
      <c r="G19" s="29" t="n"/>
      <c r="H19" s="29" t="n"/>
      <c r="I19" s="30" t="n"/>
    </row>
    <row r="20" ht="20" customHeight="1">
      <c r="A20" s="9" t="inlineStr">
        <is>
          <t>III. Special Rule</t>
        </is>
      </c>
      <c r="B20" s="29" t="n"/>
      <c r="C20" s="29" t="n"/>
      <c r="D20" s="29" t="n"/>
      <c r="E20" s="29" t="n"/>
      <c r="F20" s="29" t="n"/>
      <c r="G20" s="29" t="n"/>
      <c r="H20" s="29" t="n"/>
      <c r="I20" s="30" t="n"/>
    </row>
    <row r="21" ht="63" customHeight="1">
      <c r="A21" s="23" t="inlineStr">
        <is>
          <t>Effect (Attack)</t>
        </is>
      </c>
      <c r="B21" s="30" t="n"/>
      <c r="C21" s="18" t="inlineStr">
        <is>
          <t>Contact (CON) with attack: 2d10 + 3 vs Survivor Agility (AGI) dodge Difficulty Class (DC).
Hit → no Health State (HS) loss, instead: forced displacement 2 cells (knockback) + Trembling (Trembling, ST-26) 2 round(s) + trigger noise notification.</t>
        </is>
      </c>
      <c r="D21" s="29" t="n"/>
      <c r="E21" s="29" t="n"/>
      <c r="F21" s="29" t="n"/>
      <c r="G21" s="29" t="n"/>
      <c r="H21" s="29" t="n"/>
      <c r="I21" s="30" t="n"/>
    </row>
    <row r="22" ht="22" customHeight="1">
      <c r="A22" s="23" t="inlineStr">
        <is>
          <t>Solo config</t>
        </is>
      </c>
      <c r="B22" s="30" t="n"/>
      <c r="C22" s="18" t="inlineStr">
        <is>
          <t>Patrol route changed to circle a single area (no crossing zones), detection range lowered to 4 cells.</t>
        </is>
      </c>
      <c r="D22" s="29" t="n"/>
      <c r="E22" s="29" t="n"/>
      <c r="F22" s="29" t="n"/>
      <c r="G22" s="29" t="n"/>
      <c r="H22" s="29" t="n"/>
      <c r="I22" s="30" t="n"/>
    </row>
    <row r="23" ht="20" customHeight="1">
      <c r="A23" s="9" t="inlineStr">
        <is>
          <t>IV. Tracking Track (in Trial)</t>
        </is>
      </c>
      <c r="B23" s="29" t="n"/>
      <c r="C23" s="29" t="n"/>
      <c r="D23" s="29" t="n"/>
      <c r="E23" s="29" t="n"/>
      <c r="F23" s="29" t="n"/>
      <c r="G23" s="29" t="n"/>
      <c r="H23" s="29" t="n"/>
      <c r="I23" s="30" t="n"/>
    </row>
    <row r="24">
      <c r="A24" s="23" t="inlineStr">
        <is>
          <t>Current HP (HP)</t>
        </is>
      </c>
      <c r="B24" s="30" t="n"/>
      <c r="C24" s="8" t="n"/>
      <c r="D24" s="30" t="n"/>
      <c r="E24" s="23" t="inlineStr">
        <is>
          <t>Core Exposed / Tier Segment</t>
        </is>
      </c>
      <c r="F24" s="30" t="n"/>
      <c r="G24" s="6" t="n"/>
      <c r="H24" s="29" t="n"/>
      <c r="I24" s="30" t="n"/>
    </row>
    <row r="25">
      <c r="A25" s="23" t="inlineStr">
        <is>
          <t>Current Status Effect</t>
        </is>
      </c>
      <c r="B25" s="30" t="n"/>
      <c r="C25" s="6" t="n"/>
      <c r="D25" s="29" t="n"/>
      <c r="E25" s="29" t="n"/>
      <c r="F25" s="29" t="n"/>
      <c r="G25" s="29" t="n"/>
      <c r="H25" s="29" t="n"/>
      <c r="I25" s="30" t="n"/>
    </row>
    <row r="26" ht="44" customHeight="1">
      <c r="A26" s="23" t="inlineStr">
        <is>
          <t>Notes</t>
        </is>
      </c>
      <c r="B26" s="30" t="n"/>
      <c r="C26" s="18" t="n"/>
      <c r="D26" s="29" t="n"/>
      <c r="E26" s="29" t="n"/>
      <c r="F26" s="29" t="n"/>
      <c r="G26" s="29" t="n"/>
      <c r="H26" s="29" t="n"/>
      <c r="I26" s="30" t="n"/>
    </row>
  </sheetData>
  <mergeCells count="52">
    <mergeCell ref="E3:I3"/>
    <mergeCell ref="A24:B24"/>
    <mergeCell ref="E12:I12"/>
    <mergeCell ref="C24:D24"/>
    <mergeCell ref="C17:I17"/>
    <mergeCell ref="E24:F24"/>
    <mergeCell ref="A11:B11"/>
    <mergeCell ref="E8:I8"/>
    <mergeCell ref="C19:I19"/>
    <mergeCell ref="G24:I24"/>
    <mergeCell ref="A16:B16"/>
    <mergeCell ref="E4:I4"/>
    <mergeCell ref="A7:B7"/>
    <mergeCell ref="C10:D10"/>
    <mergeCell ref="C18:I18"/>
    <mergeCell ref="A25:B25"/>
    <mergeCell ref="E10:I10"/>
    <mergeCell ref="A14:I14"/>
    <mergeCell ref="E13:I13"/>
    <mergeCell ref="A23:I23"/>
    <mergeCell ref="C9:D9"/>
    <mergeCell ref="A18:B18"/>
    <mergeCell ref="A20:I20"/>
    <mergeCell ref="E9:I9"/>
    <mergeCell ref="A12:B12"/>
    <mergeCell ref="C12:D12"/>
    <mergeCell ref="A21:B21"/>
    <mergeCell ref="A26:B26"/>
    <mergeCell ref="D7:E7"/>
    <mergeCell ref="F7:I7"/>
    <mergeCell ref="C26:I26"/>
    <mergeCell ref="C11:D11"/>
    <mergeCell ref="E11:I11"/>
    <mergeCell ref="C16:I16"/>
    <mergeCell ref="A17:B17"/>
    <mergeCell ref="A8:B8"/>
    <mergeCell ref="C25:I25"/>
    <mergeCell ref="C8:D8"/>
    <mergeCell ref="A22:B22"/>
    <mergeCell ref="A15:I15"/>
    <mergeCell ref="G2:I2"/>
    <mergeCell ref="C22:I22"/>
    <mergeCell ref="A19:B19"/>
    <mergeCell ref="A10:B10"/>
    <mergeCell ref="C21:I21"/>
    <mergeCell ref="A1:I1"/>
    <mergeCell ref="A13:B13"/>
    <mergeCell ref="H5:I5"/>
    <mergeCell ref="C13:D13"/>
    <mergeCell ref="A6:I6"/>
    <mergeCell ref="A2:C5"/>
    <mergeCell ref="A9:B9"/>
  </mergeCells>
  <dataValidations count="2">
    <dataValidation sqref="E5" showDropDown="0" showInputMessage="0" showErrorMessage="0" allowBlank="1" type="list">
      <formula1>"是,否"</formula1>
    </dataValidation>
    <dataValidation sqref="H5:I5" showDropDown="0" showInputMessage="0" showErrorMessage="0" allowBlank="1" type="list">
      <formula1>"是,否"</formula1>
    </dataValidation>
  </dataValidations>
  <printOptions horizontalCentered="1"/>
  <pageMargins left="0.75" right="0.75" top="1" bottom="1" header="0.5" footer="0.5"/>
  <pageSetup orientation="portrait" fitToHeight="0" fitToWidth="1"/>
</worksheet>
</file>

<file path=xl/worksheets/sheet13.xml><?xml version="1.0" encoding="utf-8"?>
<worksheet xmlns="http://schemas.openxmlformats.org/spreadsheetml/2006/main">
  <sheetPr>
    <outlinePr summaryBelow="1" summaryRight="1"/>
    <pageSetUpPr fitToPage="1"/>
  </sheetPr>
  <dimension ref="A1:I26"/>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21" t="inlineStr">
        <is>
          <t>Dead by Daylight TRPG　Enemy Character Sheet　·　Realm Creature</t>
        </is>
      </c>
      <c r="B1" s="25" t="n"/>
      <c r="C1" s="25" t="n"/>
      <c r="D1" s="25" t="n"/>
      <c r="E1" s="25" t="n"/>
      <c r="F1" s="25" t="n"/>
      <c r="G1" s="25" t="n"/>
      <c r="H1" s="25" t="n"/>
      <c r="I1" s="26" t="n"/>
    </row>
    <row r="2">
      <c r="A2" s="3" t="inlineStr">
        <is>
          <t>Character Art
(Paste character image here)</t>
        </is>
      </c>
      <c r="B2" s="27" t="n"/>
      <c r="C2" s="28" t="n"/>
      <c r="D2" s="5" t="inlineStr">
        <is>
          <t>No.</t>
        </is>
      </c>
      <c r="E2" s="8" t="inlineStr">
        <is>
          <t>RC-04</t>
        </is>
      </c>
      <c r="F2" s="5" t="inlineStr">
        <is>
          <t>Name</t>
        </is>
      </c>
      <c r="G2" s="6" t="inlineStr">
        <is>
          <t>Straw Afterimage（Scarecrow Haunt）</t>
        </is>
      </c>
      <c r="H2" s="29" t="n"/>
      <c r="I2" s="30" t="n"/>
    </row>
    <row r="3">
      <c r="A3" s="31" t="n"/>
      <c r="C3" s="32" t="n"/>
      <c r="D3" s="5" t="inlineStr">
        <is>
          <t>Affiliated Realm</t>
        </is>
      </c>
      <c r="E3" s="6" t="inlineStr">
        <is>
          <t>R3 Coldwind Farm·Cornfield</t>
        </is>
      </c>
      <c r="F3" s="29" t="n"/>
      <c r="G3" s="29" t="n"/>
      <c r="H3" s="29" t="n"/>
      <c r="I3" s="30" t="n"/>
    </row>
    <row r="4">
      <c r="A4" s="31" t="n"/>
      <c r="C4" s="32" t="n"/>
      <c r="D4" s="5" t="inlineStr">
        <is>
          <t>Type</t>
        </is>
      </c>
      <c r="E4" s="6" t="inlineStr">
        <is>
          <t>Afterimage (Haunt) / Disguise-type</t>
        </is>
      </c>
      <c r="F4" s="29" t="n"/>
      <c r="G4" s="29" t="n"/>
      <c r="H4" s="29" t="n"/>
      <c r="I4" s="30" t="n"/>
    </row>
    <row r="5">
      <c r="A5" s="33" t="n"/>
      <c r="B5" s="34" t="n"/>
      <c r="C5" s="35" t="n"/>
      <c r="D5" s="5" t="inlineStr">
        <is>
          <t>Boss-level</t>
        </is>
      </c>
      <c r="E5" s="8" t="inlineStr">
        <is>
          <t>No</t>
        </is>
      </c>
      <c r="F5" s="5" t="inlineStr">
        <is>
          <t>Deals Health State (HS) loss</t>
        </is>
      </c>
      <c r="H5" s="8" t="n"/>
      <c r="I5" s="30" t="n"/>
    </row>
    <row r="6" ht="20" customHeight="1">
      <c r="A6" s="9" t="inlineStr">
        <is>
          <t>I. Data (enter Challenge Rating (CR); rest auto-calculated)</t>
        </is>
      </c>
      <c r="B6" s="29" t="n"/>
      <c r="C6" s="29" t="n"/>
      <c r="D6" s="29" t="n"/>
      <c r="E6" s="29" t="n"/>
      <c r="F6" s="29" t="n"/>
      <c r="G6" s="29" t="n"/>
      <c r="H6" s="29" t="n"/>
      <c r="I6" s="30" t="n"/>
    </row>
    <row r="7" ht="30" customHeight="1">
      <c r="A7" s="5" t="inlineStr">
        <is>
          <t>Challenge Rating (CR)</t>
        </is>
      </c>
      <c r="B7" s="30" t="n"/>
      <c r="C7" s="8" t="n">
        <v>2</v>
      </c>
      <c r="D7" s="5" t="inlineStr">
        <is>
          <t>Move</t>
        </is>
      </c>
      <c r="E7" s="30" t="n"/>
      <c r="F7" s="6" t="inlineStr">
        <is>
          <t>0 (stationary) → 6 cells / round(s) after revealed</t>
        </is>
      </c>
      <c r="G7" s="29" t="n"/>
      <c r="H7" s="29" t="n"/>
      <c r="I7" s="30" t="n"/>
    </row>
    <row r="8">
      <c r="A8" s="23" t="inlineStr">
        <is>
          <t>HP (HP)</t>
        </is>
      </c>
      <c r="B8" s="30" t="n"/>
      <c r="C8" s="14">
        <f>IF($C$7="","",10+4*$C$7)</f>
        <v/>
      </c>
      <c r="D8" s="30" t="n"/>
      <c r="E8" s="6" t="inlineStr">
        <is>
          <t>10 + 4×Challenge Rating (CR)</t>
        </is>
      </c>
      <c r="F8" s="29" t="n"/>
      <c r="G8" s="29" t="n"/>
      <c r="H8" s="29" t="n"/>
      <c r="I8" s="30" t="n"/>
    </row>
    <row r="9">
      <c r="A9" s="23" t="inlineStr">
        <is>
          <t>Attack Modifier</t>
        </is>
      </c>
      <c r="B9" s="30" t="n"/>
      <c r="C9" s="14">
        <f>IF($C$7="","",INT($C$7/2)+2)</f>
        <v/>
      </c>
      <c r="D9" s="30" t="n"/>
      <c r="E9" s="6" t="inlineStr">
        <is>
          <t>INT(CR ÷ 2) ＋ 2</t>
        </is>
      </c>
      <c r="F9" s="29" t="n"/>
      <c r="G9" s="29" t="n"/>
      <c r="H9" s="29" t="n"/>
      <c r="I9" s="30" t="n"/>
    </row>
    <row r="10">
      <c r="A10" s="23" t="inlineStr">
        <is>
          <t>Defense Difficulty Class (DC)</t>
        </is>
      </c>
      <c r="B10" s="30" t="n"/>
      <c r="C10" s="14">
        <f>IF($C$7="","",10+INT($C$7/2))</f>
        <v/>
      </c>
      <c r="D10" s="30" t="n"/>
      <c r="E10" s="6" t="inlineStr">
        <is>
          <t>10 + INT(CR ÷ 2). Target value when a Survivor attacks or interferes with this creature</t>
        </is>
      </c>
      <c r="F10" s="29" t="n"/>
      <c r="G10" s="29" t="n"/>
      <c r="H10" s="29" t="n"/>
      <c r="I10" s="30" t="n"/>
    </row>
    <row r="11">
      <c r="A11" s="23" t="inlineStr">
        <is>
          <t>Action Point (AP) / round</t>
        </is>
      </c>
      <c r="B11" s="30" t="n"/>
      <c r="C11" s="14">
        <f>IF($C$7="","",IF($C$7&gt;=8,4,IF($C$7&gt;=5,3,2)))</f>
        <v/>
      </c>
      <c r="D11" s="30" t="n"/>
      <c r="E11" s="6" t="inlineStr">
        <is>
          <t>CR 1–4 → 2 / CR 5–7 → 3 / CR 8+ → 4</t>
        </is>
      </c>
      <c r="F11" s="29" t="n"/>
      <c r="G11" s="29" t="n"/>
      <c r="H11" s="29" t="n"/>
      <c r="I11" s="30" t="n"/>
    </row>
    <row r="12">
      <c r="A12" s="23" t="inlineStr">
        <is>
          <t>Resilience (RES)</t>
        </is>
      </c>
      <c r="B12" s="30" t="n"/>
      <c r="C12" s="14">
        <f>IF($C$7="","",INT($C$7/3))</f>
        <v/>
      </c>
      <c r="D12" s="30" t="n"/>
      <c r="E12" s="6" t="inlineStr">
        <is>
          <t>INT(CR ÷ 3). Added to checks against status effects and forced movement</t>
        </is>
      </c>
      <c r="F12" s="29" t="n"/>
      <c r="G12" s="29" t="n"/>
      <c r="H12" s="29" t="n"/>
      <c r="I12" s="30" t="n"/>
    </row>
    <row r="13">
      <c r="A13" s="23" t="inlineStr">
        <is>
          <t>Encounter Budget Cost (EBC)</t>
        </is>
      </c>
      <c r="B13" s="30" t="n"/>
      <c r="C13" s="14">
        <f>IF($C$7="","",$C$7*IF($E$5="Yes",3,2))</f>
        <v/>
      </c>
      <c r="D13" s="30" t="n"/>
      <c r="E13" s="6" t="inlineStr">
        <is>
          <t>CR × 2 (standard) / CR × 3 (Boss-level)</t>
        </is>
      </c>
      <c r="F13" s="29" t="n"/>
      <c r="G13" s="29" t="n"/>
      <c r="H13" s="29" t="n"/>
      <c r="I13" s="30" t="n"/>
    </row>
    <row r="14">
      <c r="A14" s="16" t="inlineStr">
        <is>
          <t>Survivors' combat ability is deliberately weak: unarmed / improvised objects deal only 1d4 damage. The creature's correct answer is always 'dispel its weakness' or evade, not kill it. The GM must make this clear to players on first encounter.</t>
        </is>
      </c>
      <c r="B14" s="29" t="n"/>
      <c r="C14" s="29" t="n"/>
      <c r="D14" s="29" t="n"/>
      <c r="E14" s="29" t="n"/>
      <c r="F14" s="29" t="n"/>
      <c r="G14" s="29" t="n"/>
      <c r="H14" s="29" t="n"/>
      <c r="I14" s="30" t="n"/>
    </row>
    <row r="15" ht="20" customHeight="1">
      <c r="A15" s="9" t="inlineStr">
        <is>
          <t>II. Behavior, Effect &amp; Dispel</t>
        </is>
      </c>
      <c r="B15" s="29" t="n"/>
      <c r="C15" s="29" t="n"/>
      <c r="D15" s="29" t="n"/>
      <c r="E15" s="29" t="n"/>
      <c r="F15" s="29" t="n"/>
      <c r="G15" s="29" t="n"/>
      <c r="H15" s="29" t="n"/>
      <c r="I15" s="30" t="n"/>
    </row>
    <row r="16" ht="63" customHeight="1">
      <c r="A16" s="23" t="inlineStr">
        <is>
          <t>Behavior</t>
        </is>
      </c>
      <c r="B16" s="30" t="n"/>
      <c r="C16" s="18" t="inlineStr">
        <is>
          <t>Disguised as a scarecrow in the Cornfield. Identical on the map to real scarecrows (the GM places 2 + N scarecrow markers on the encounter map, of which only 1–2 are afterimages, marked true/false on the back).
Revealed when a Survivor enters an adjacent cell, then chases 4 round(s).</t>
        </is>
      </c>
      <c r="D16" s="29" t="n"/>
      <c r="E16" s="29" t="n"/>
      <c r="F16" s="29" t="n"/>
      <c r="G16" s="29" t="n"/>
      <c r="H16" s="29" t="n"/>
      <c r="I16" s="30" t="n"/>
    </row>
    <row r="17" ht="22" customHeight="1">
      <c r="A17" s="23" t="inlineStr">
        <is>
          <t>Effect</t>
        </is>
      </c>
      <c r="B17" s="30" t="n"/>
      <c r="C17" s="18" t="n"/>
      <c r="D17" s="29" t="n"/>
      <c r="E17" s="29" t="n"/>
      <c r="F17" s="29" t="n"/>
      <c r="G17" s="29" t="n"/>
      <c r="H17" s="29" t="n"/>
      <c r="I17" s="30" t="n"/>
    </row>
    <row r="18" ht="48" customHeight="1">
      <c r="A18" s="23" t="inlineStr">
        <is>
          <t>Dispel Weakness</t>
        </is>
      </c>
      <c r="B18" s="30" t="n"/>
      <c r="C18" s="18" t="inlineStr">
        <is>
          <t>Weeding sickles (scenario items) are scattered in the Cornfield. Attacking with a sickle deals 3d4; two hits destroy it. Or: shine a Flashlight (FLT) continuously for 2 round(s) — the afterimage fears light, reverts to stationary and permanently loses disguise (then can be bypassed).</t>
        </is>
      </c>
      <c r="D18" s="29" t="n"/>
      <c r="E18" s="29" t="n"/>
      <c r="F18" s="29" t="n"/>
      <c r="G18" s="29" t="n"/>
      <c r="H18" s="29" t="n"/>
      <c r="I18" s="30" t="n"/>
    </row>
    <row r="19" ht="22" customHeight="1">
      <c r="A19" s="23" t="inlineStr">
        <is>
          <t>Solo config (N = 1) adjustment</t>
        </is>
      </c>
      <c r="B19" s="30" t="n"/>
      <c r="C19" s="18" t="inlineStr">
        <is>
          <t>Afterimage count fixed at 1; identification check Difficulty Class (DC) lowered to 11.</t>
        </is>
      </c>
      <c r="D19" s="29" t="n"/>
      <c r="E19" s="29" t="n"/>
      <c r="F19" s="29" t="n"/>
      <c r="G19" s="29" t="n"/>
      <c r="H19" s="29" t="n"/>
      <c r="I19" s="30" t="n"/>
    </row>
    <row r="20" ht="20" customHeight="1">
      <c r="A20" s="9" t="inlineStr">
        <is>
          <t>III. Special Rule</t>
        </is>
      </c>
      <c r="B20" s="29" t="n"/>
      <c r="C20" s="29" t="n"/>
      <c r="D20" s="29" t="n"/>
      <c r="E20" s="29" t="n"/>
      <c r="F20" s="29" t="n"/>
      <c r="G20" s="29" t="n"/>
      <c r="H20" s="29" t="n"/>
      <c r="I20" s="30" t="n"/>
    </row>
    <row r="21" ht="48" customHeight="1">
      <c r="A21" s="23" t="inlineStr">
        <is>
          <t>Effect (Attack)</t>
        </is>
      </c>
      <c r="B21" s="30" t="n"/>
      <c r="C21" s="18" t="inlineStr">
        <is>
          <t>Contact (CON) with attack: 2d10 + 3 vs Survivor Agility (AGI) dodge Difficulty Class (DC).
Hit → lose 1 Tier of Health State (HS) (one of the few creatures with real damage).</t>
        </is>
      </c>
      <c r="D21" s="29" t="n"/>
      <c r="E21" s="29" t="n"/>
      <c r="F21" s="29" t="n"/>
      <c r="G21" s="29" t="n"/>
      <c r="H21" s="29" t="n"/>
      <c r="I21" s="30" t="n"/>
    </row>
    <row r="22" ht="33" customHeight="1">
      <c r="A22" s="23" t="inlineStr">
        <is>
          <t>Identification</t>
        </is>
      </c>
      <c r="B22" s="30" t="n"/>
      <c r="C22" s="18" t="inlineStr">
        <is>
          <t>Beyond 5 cells, spend 1 Action Point (AP) + Focus (FOC) + Insight (INS) check vs Difficulty Class (DC) 13 to identify true/false. Critical Success identifies all scarecrows in that area at once.</t>
        </is>
      </c>
      <c r="D22" s="29" t="n"/>
      <c r="E22" s="29" t="n"/>
      <c r="F22" s="29" t="n"/>
      <c r="G22" s="29" t="n"/>
      <c r="H22" s="29" t="n"/>
      <c r="I22" s="30" t="n"/>
    </row>
    <row r="23" ht="20" customHeight="1">
      <c r="A23" s="9" t="inlineStr">
        <is>
          <t>IV. Tracking Track (in Trial)</t>
        </is>
      </c>
      <c r="B23" s="29" t="n"/>
      <c r="C23" s="29" t="n"/>
      <c r="D23" s="29" t="n"/>
      <c r="E23" s="29" t="n"/>
      <c r="F23" s="29" t="n"/>
      <c r="G23" s="29" t="n"/>
      <c r="H23" s="29" t="n"/>
      <c r="I23" s="30" t="n"/>
    </row>
    <row r="24">
      <c r="A24" s="23" t="inlineStr">
        <is>
          <t>Current HP (HP)</t>
        </is>
      </c>
      <c r="B24" s="30" t="n"/>
      <c r="C24" s="8" t="n"/>
      <c r="D24" s="30" t="n"/>
      <c r="E24" s="23" t="inlineStr">
        <is>
          <t>Core Exposed / Tier Segment</t>
        </is>
      </c>
      <c r="F24" s="30" t="n"/>
      <c r="G24" s="6" t="n"/>
      <c r="H24" s="29" t="n"/>
      <c r="I24" s="30" t="n"/>
    </row>
    <row r="25">
      <c r="A25" s="23" t="inlineStr">
        <is>
          <t>Current Status Effect</t>
        </is>
      </c>
      <c r="B25" s="30" t="n"/>
      <c r="C25" s="6" t="n"/>
      <c r="D25" s="29" t="n"/>
      <c r="E25" s="29" t="n"/>
      <c r="F25" s="29" t="n"/>
      <c r="G25" s="29" t="n"/>
      <c r="H25" s="29" t="n"/>
      <c r="I25" s="30" t="n"/>
    </row>
    <row r="26" ht="44" customHeight="1">
      <c r="A26" s="23" t="inlineStr">
        <is>
          <t>Notes</t>
        </is>
      </c>
      <c r="B26" s="30" t="n"/>
      <c r="C26" s="18" t="n"/>
      <c r="D26" s="29" t="n"/>
      <c r="E26" s="29" t="n"/>
      <c r="F26" s="29" t="n"/>
      <c r="G26" s="29" t="n"/>
      <c r="H26" s="29" t="n"/>
      <c r="I26" s="30" t="n"/>
    </row>
  </sheetData>
  <mergeCells count="52">
    <mergeCell ref="E3:I3"/>
    <mergeCell ref="A24:B24"/>
    <mergeCell ref="E12:I12"/>
    <mergeCell ref="C24:D24"/>
    <mergeCell ref="C17:I17"/>
    <mergeCell ref="E24:F24"/>
    <mergeCell ref="A11:B11"/>
    <mergeCell ref="E8:I8"/>
    <mergeCell ref="C19:I19"/>
    <mergeCell ref="G24:I24"/>
    <mergeCell ref="A16:B16"/>
    <mergeCell ref="E4:I4"/>
    <mergeCell ref="A7:B7"/>
    <mergeCell ref="C10:D10"/>
    <mergeCell ref="C18:I18"/>
    <mergeCell ref="A25:B25"/>
    <mergeCell ref="E10:I10"/>
    <mergeCell ref="A14:I14"/>
    <mergeCell ref="E13:I13"/>
    <mergeCell ref="A23:I23"/>
    <mergeCell ref="C9:D9"/>
    <mergeCell ref="A18:B18"/>
    <mergeCell ref="A20:I20"/>
    <mergeCell ref="E9:I9"/>
    <mergeCell ref="A12:B12"/>
    <mergeCell ref="C12:D12"/>
    <mergeCell ref="A21:B21"/>
    <mergeCell ref="A26:B26"/>
    <mergeCell ref="D7:E7"/>
    <mergeCell ref="F7:I7"/>
    <mergeCell ref="C26:I26"/>
    <mergeCell ref="C11:D11"/>
    <mergeCell ref="E11:I11"/>
    <mergeCell ref="C16:I16"/>
    <mergeCell ref="A17:B17"/>
    <mergeCell ref="A8:B8"/>
    <mergeCell ref="C25:I25"/>
    <mergeCell ref="C8:D8"/>
    <mergeCell ref="A22:B22"/>
    <mergeCell ref="A15:I15"/>
    <mergeCell ref="G2:I2"/>
    <mergeCell ref="C22:I22"/>
    <mergeCell ref="A19:B19"/>
    <mergeCell ref="A10:B10"/>
    <mergeCell ref="C21:I21"/>
    <mergeCell ref="A1:I1"/>
    <mergeCell ref="A13:B13"/>
    <mergeCell ref="H5:I5"/>
    <mergeCell ref="C13:D13"/>
    <mergeCell ref="A6:I6"/>
    <mergeCell ref="A2:C5"/>
    <mergeCell ref="A9:B9"/>
  </mergeCells>
  <dataValidations count="2">
    <dataValidation sqref="E5" showDropDown="0" showInputMessage="0" showErrorMessage="0" allowBlank="1" type="list">
      <formula1>"是,否"</formula1>
    </dataValidation>
    <dataValidation sqref="H5:I5" showDropDown="0" showInputMessage="0" showErrorMessage="0" allowBlank="1" type="list">
      <formula1>"是,否"</formula1>
    </dataValidation>
  </dataValidations>
  <printOptions horizontalCentered="1"/>
  <pageMargins left="0.75" right="0.75" top="1" bottom="1" header="0.5" footer="0.5"/>
  <pageSetup orientation="portrait" fitToHeight="0" fitToWidth="1"/>
</worksheet>
</file>

<file path=xl/worksheets/sheet14.xml><?xml version="1.0" encoding="utf-8"?>
<worksheet xmlns="http://schemas.openxmlformats.org/spreadsheetml/2006/main">
  <sheetPr>
    <outlinePr summaryBelow="1" summaryRight="1"/>
    <pageSetUpPr fitToPage="1"/>
  </sheetPr>
  <dimension ref="A1:I26"/>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21" t="inlineStr">
        <is>
          <t>Dead by Daylight TRPG　Enemy Character Sheet　·　Realm Creature</t>
        </is>
      </c>
      <c r="B1" s="25" t="n"/>
      <c r="C1" s="25" t="n"/>
      <c r="D1" s="25" t="n"/>
      <c r="E1" s="25" t="n"/>
      <c r="F1" s="25" t="n"/>
      <c r="G1" s="25" t="n"/>
      <c r="H1" s="25" t="n"/>
      <c r="I1" s="26" t="n"/>
    </row>
    <row r="2">
      <c r="A2" s="3" t="inlineStr">
        <is>
          <t>Character Art
(Paste character image here)</t>
        </is>
      </c>
      <c r="B2" s="27" t="n"/>
      <c r="C2" s="28" t="n"/>
      <c r="D2" s="5" t="inlineStr">
        <is>
          <t>No.</t>
        </is>
      </c>
      <c r="E2" s="8" t="inlineStr">
        <is>
          <t>RC-05</t>
        </is>
      </c>
      <c r="F2" s="5" t="inlineStr">
        <is>
          <t>Name</t>
        </is>
      </c>
      <c r="G2" s="6" t="inlineStr">
        <is>
          <t>Ward Afterimage（Ward Haunt）</t>
        </is>
      </c>
      <c r="H2" s="29" t="n"/>
      <c r="I2" s="30" t="n"/>
    </row>
    <row r="3">
      <c r="A3" s="31" t="n"/>
      <c r="C3" s="32" t="n"/>
      <c r="D3" s="5" t="inlineStr">
        <is>
          <t>Affiliated Realm</t>
        </is>
      </c>
      <c r="E3" s="6" t="inlineStr">
        <is>
          <t>R4 Crotus Prenn Asylum (highest afterimage density of any Realm)</t>
        </is>
      </c>
      <c r="F3" s="29" t="n"/>
      <c r="G3" s="29" t="n"/>
      <c r="H3" s="29" t="n"/>
      <c r="I3" s="30" t="n"/>
    </row>
    <row r="4">
      <c r="A4" s="31" t="n"/>
      <c r="C4" s="32" t="n"/>
      <c r="D4" s="5" t="inlineStr">
        <is>
          <t>Type</t>
        </is>
      </c>
      <c r="E4" s="6" t="inlineStr">
        <is>
          <t>Afterimage (Haunt) / Narrative-puzzle type</t>
        </is>
      </c>
      <c r="F4" s="29" t="n"/>
      <c r="G4" s="29" t="n"/>
      <c r="H4" s="29" t="n"/>
      <c r="I4" s="30" t="n"/>
    </row>
    <row r="5">
      <c r="A5" s="33" t="n"/>
      <c r="B5" s="34" t="n"/>
      <c r="C5" s="35" t="n"/>
      <c r="D5" s="5" t="inlineStr">
        <is>
          <t>Boss-level</t>
        </is>
      </c>
      <c r="E5" s="8" t="inlineStr">
        <is>
          <t>No</t>
        </is>
      </c>
      <c r="F5" s="5" t="inlineStr">
        <is>
          <t>Deals Health State (HS) loss</t>
        </is>
      </c>
      <c r="H5" s="8" t="n"/>
      <c r="I5" s="30" t="n"/>
    </row>
    <row r="6" ht="20" customHeight="1">
      <c r="A6" s="9" t="inlineStr">
        <is>
          <t>I. Data (enter Challenge Rating (CR); rest auto-calculated)</t>
        </is>
      </c>
      <c r="B6" s="29" t="n"/>
      <c r="C6" s="29" t="n"/>
      <c r="D6" s="29" t="n"/>
      <c r="E6" s="29" t="n"/>
      <c r="F6" s="29" t="n"/>
      <c r="G6" s="29" t="n"/>
      <c r="H6" s="29" t="n"/>
      <c r="I6" s="30" t="n"/>
    </row>
    <row r="7" ht="30" customHeight="1">
      <c r="A7" s="5" t="inlineStr">
        <is>
          <t>Challenge Rating (CR)</t>
        </is>
      </c>
      <c r="B7" s="30" t="n"/>
      <c r="C7" s="8" t="n">
        <v>4</v>
      </c>
      <c r="D7" s="5" t="inlineStr">
        <is>
          <t>Move</t>
        </is>
      </c>
      <c r="E7" s="30" t="n"/>
      <c r="F7" s="6" t="inlineStr">
        <is>
          <t>5 cells / round(s) (passes walls, but cannot leave its own ward and the adjacent corridor, 5 nodes total)</t>
        </is>
      </c>
      <c r="G7" s="29" t="n"/>
      <c r="H7" s="29" t="n"/>
      <c r="I7" s="30" t="n"/>
    </row>
    <row r="8">
      <c r="A8" s="23" t="inlineStr">
        <is>
          <t>HP (HP)</t>
        </is>
      </c>
      <c r="B8" s="30" t="n"/>
      <c r="C8" s="14">
        <f>IF($C$7="","",10+4*$C$7)</f>
        <v/>
      </c>
      <c r="D8" s="30" t="n"/>
      <c r="E8" s="6" t="inlineStr">
        <is>
          <t>10 + 4×Challenge Rating (CR)</t>
        </is>
      </c>
      <c r="F8" s="29" t="n"/>
      <c r="G8" s="29" t="n"/>
      <c r="H8" s="29" t="n"/>
      <c r="I8" s="30" t="n"/>
    </row>
    <row r="9">
      <c r="A9" s="23" t="inlineStr">
        <is>
          <t>Attack Modifier</t>
        </is>
      </c>
      <c r="B9" s="30" t="n"/>
      <c r="C9" s="14">
        <f>IF($C$7="","",INT($C$7/2)+2)</f>
        <v/>
      </c>
      <c r="D9" s="30" t="n"/>
      <c r="E9" s="6" t="inlineStr">
        <is>
          <t>INT(CR ÷ 2) ＋ 2</t>
        </is>
      </c>
      <c r="F9" s="29" t="n"/>
      <c r="G9" s="29" t="n"/>
      <c r="H9" s="29" t="n"/>
      <c r="I9" s="30" t="n"/>
    </row>
    <row r="10">
      <c r="A10" s="23" t="inlineStr">
        <is>
          <t>Defense Difficulty Class (DC)</t>
        </is>
      </c>
      <c r="B10" s="30" t="n"/>
      <c r="C10" s="14">
        <f>IF($C$7="","",10+INT($C$7/2))</f>
        <v/>
      </c>
      <c r="D10" s="30" t="n"/>
      <c r="E10" s="6" t="inlineStr">
        <is>
          <t>10 + INT(CR ÷ 2). Target value when a Survivor attacks or interferes with this creature</t>
        </is>
      </c>
      <c r="F10" s="29" t="n"/>
      <c r="G10" s="29" t="n"/>
      <c r="H10" s="29" t="n"/>
      <c r="I10" s="30" t="n"/>
    </row>
    <row r="11">
      <c r="A11" s="23" t="inlineStr">
        <is>
          <t>Action Point (AP) / round</t>
        </is>
      </c>
      <c r="B11" s="30" t="n"/>
      <c r="C11" s="14">
        <f>IF($C$7="","",IF($C$7&gt;=8,4,IF($C$7&gt;=5,3,2)))</f>
        <v/>
      </c>
      <c r="D11" s="30" t="n"/>
      <c r="E11" s="6" t="inlineStr">
        <is>
          <t>CR 1–4 → 2 / CR 5–7 → 3 / CR 8+ → 4</t>
        </is>
      </c>
      <c r="F11" s="29" t="n"/>
      <c r="G11" s="29" t="n"/>
      <c r="H11" s="29" t="n"/>
      <c r="I11" s="30" t="n"/>
    </row>
    <row r="12">
      <c r="A12" s="23" t="inlineStr">
        <is>
          <t>Resilience (RES)</t>
        </is>
      </c>
      <c r="B12" s="30" t="n"/>
      <c r="C12" s="14">
        <f>IF($C$7="","",INT($C$7/3))</f>
        <v/>
      </c>
      <c r="D12" s="30" t="n"/>
      <c r="E12" s="6" t="inlineStr">
        <is>
          <t>INT(CR ÷ 3). Added to checks against status effects and forced movement</t>
        </is>
      </c>
      <c r="F12" s="29" t="n"/>
      <c r="G12" s="29" t="n"/>
      <c r="H12" s="29" t="n"/>
      <c r="I12" s="30" t="n"/>
    </row>
    <row r="13">
      <c r="A13" s="23" t="inlineStr">
        <is>
          <t>Encounter Budget Cost (EBC)</t>
        </is>
      </c>
      <c r="B13" s="30" t="n"/>
      <c r="C13" s="14">
        <f>IF($C$7="","",$C$7*IF($E$5="Yes",3,2))</f>
        <v/>
      </c>
      <c r="D13" s="30" t="n"/>
      <c r="E13" s="6" t="inlineStr">
        <is>
          <t>CR × 2 (standard) / CR × 3 (Boss-level)</t>
        </is>
      </c>
      <c r="F13" s="29" t="n"/>
      <c r="G13" s="29" t="n"/>
      <c r="H13" s="29" t="n"/>
      <c r="I13" s="30" t="n"/>
    </row>
    <row r="14">
      <c r="A14" s="16" t="inlineStr">
        <is>
          <t>Survivors' combat ability is deliberately weak: unarmed / improvised objects deal only 1d4 damage. The creature's correct answer is always 'dispel its weakness' or evade, not kill it. The GM must make this clear to players on first encounter.</t>
        </is>
      </c>
      <c r="B14" s="29" t="n"/>
      <c r="C14" s="29" t="n"/>
      <c r="D14" s="29" t="n"/>
      <c r="E14" s="29" t="n"/>
      <c r="F14" s="29" t="n"/>
      <c r="G14" s="29" t="n"/>
      <c r="H14" s="29" t="n"/>
      <c r="I14" s="30" t="n"/>
    </row>
    <row r="15" ht="20" customHeight="1">
      <c r="A15" s="9" t="inlineStr">
        <is>
          <t>II. Behavior, Effect &amp; Dispel</t>
        </is>
      </c>
      <c r="B15" s="29" t="n"/>
      <c r="C15" s="29" t="n"/>
      <c r="D15" s="29" t="n"/>
      <c r="E15" s="29" t="n"/>
      <c r="F15" s="29" t="n"/>
      <c r="G15" s="29" t="n"/>
      <c r="H15" s="29" t="n"/>
      <c r="I15" s="30" t="n"/>
    </row>
    <row r="16" ht="33" customHeight="1">
      <c r="A16" s="23" t="inlineStr">
        <is>
          <t>Behavior</t>
        </is>
      </c>
      <c r="B16" s="30" t="n"/>
      <c r="C16" s="18" t="inlineStr">
        <is>
          <t>Repeats the last emotional Behavior before death (always knocking on a door that is not there, always counting). Does not attack on its own unless a Survivor breaks its loop (enters its cell, or performs any sustained action in its adjacent cell).</t>
        </is>
      </c>
      <c r="D16" s="29" t="n"/>
      <c r="E16" s="29" t="n"/>
      <c r="F16" s="29" t="n"/>
      <c r="G16" s="29" t="n"/>
      <c r="H16" s="29" t="n"/>
      <c r="I16" s="30" t="n"/>
    </row>
    <row r="17" ht="22" customHeight="1">
      <c r="A17" s="23" t="inlineStr">
        <is>
          <t>Effect</t>
        </is>
      </c>
      <c r="B17" s="30" t="n"/>
      <c r="C17" s="18" t="n"/>
      <c r="D17" s="29" t="n"/>
      <c r="E17" s="29" t="n"/>
      <c r="F17" s="29" t="n"/>
      <c r="G17" s="29" t="n"/>
      <c r="H17" s="29" t="n"/>
      <c r="I17" s="30" t="n"/>
    </row>
    <row r="18" ht="22" customHeight="1">
      <c r="A18" s="23" t="inlineStr">
        <is>
          <t>Dispel Weakness</t>
        </is>
      </c>
      <c r="B18" s="30" t="n"/>
      <c r="C18" s="18" t="n"/>
      <c r="D18" s="29" t="n"/>
      <c r="E18" s="29" t="n"/>
      <c r="F18" s="29" t="n"/>
      <c r="G18" s="29" t="n"/>
      <c r="H18" s="29" t="n"/>
      <c r="I18" s="30" t="n"/>
    </row>
    <row r="19" ht="22" customHeight="1">
      <c r="A19" s="23" t="inlineStr">
        <is>
          <t>Solo config (N = 1) adjustment</t>
        </is>
      </c>
      <c r="B19" s="30" t="n"/>
      <c r="C19" s="18" t="inlineStr">
        <is>
          <t>Identification check Difficulty Class (DC) lowered to 12; archive reward raised to 2 pts Hope Point (HOP).</t>
        </is>
      </c>
      <c r="D19" s="29" t="n"/>
      <c r="E19" s="29" t="n"/>
      <c r="F19" s="29" t="n"/>
      <c r="G19" s="29" t="n"/>
      <c r="H19" s="29" t="n"/>
      <c r="I19" s="30" t="n"/>
    </row>
    <row r="20" ht="20" customHeight="1">
      <c r="A20" s="9" t="inlineStr">
        <is>
          <t>III. Special Rule</t>
        </is>
      </c>
      <c r="B20" s="29" t="n"/>
      <c r="C20" s="29" t="n"/>
      <c r="D20" s="29" t="n"/>
      <c r="E20" s="29" t="n"/>
      <c r="F20" s="29" t="n"/>
      <c r="G20" s="29" t="n"/>
      <c r="H20" s="29" t="n"/>
      <c r="I20" s="30" t="n"/>
    </row>
    <row r="21" ht="78" customHeight="1">
      <c r="A21" s="23" t="inlineStr">
        <is>
          <t>Effect (When Interrupted)</t>
        </is>
      </c>
      <c r="B21" s="30" t="n"/>
      <c r="C21" s="18" t="inlineStr">
        <is>
          <t>Against the interrupter: dread pressure 2d10 + 4 vs Survivor Will (WIL) check.
Failure → Madness (Madness, ST-15) +1 tier + Blindness (Blindness, ST-01) 2 round(s).
Critical Failure → additionally Revealed 1 round(s) and noise notification.</t>
        </is>
      </c>
      <c r="D21" s="29" t="n"/>
      <c r="E21" s="29" t="n"/>
      <c r="F21" s="29" t="n"/>
      <c r="G21" s="29" t="n"/>
      <c r="H21" s="29" t="n"/>
      <c r="I21" s="30" t="n"/>
    </row>
    <row r="22" ht="93" customHeight="1">
      <c r="A22" s="23" t="inlineStr">
        <is>
          <t>Dispel Weakness (narrative solution)</t>
        </is>
      </c>
      <c r="B22" s="30" t="n"/>
      <c r="C22" s="18" t="inlineStr">
        <is>
          <t>Afterimage Archive (see 40_World_and_Narrative.md §1-5 S4 Core): identify its unfinished business and complete it.
Mechanized steps: ① 1 Action Point (AP) + Focus (FOC) + Insight (INS) check vs Difficulty Class (DC) 14 → learn what it repeats; ② perform the corresponding concrete Action (open that door / count to the number it cannot pass / return the medical record to the shelf), spend 2 Action Point (AP), no check; ③ Afterimage Archive: dissipates immediately, and all Survivors in that area gain 1 Hope Point (HOP), and a story clue is revealed.</t>
        </is>
      </c>
      <c r="D22" s="29" t="n"/>
      <c r="E22" s="29" t="n"/>
      <c r="F22" s="29" t="n"/>
      <c r="G22" s="29" t="n"/>
      <c r="H22" s="29" t="n"/>
      <c r="I22" s="30" t="n"/>
    </row>
    <row r="23" ht="20" customHeight="1">
      <c r="A23" s="9" t="inlineStr">
        <is>
          <t>IV. Tracking Track (in Trial)</t>
        </is>
      </c>
      <c r="B23" s="29" t="n"/>
      <c r="C23" s="29" t="n"/>
      <c r="D23" s="29" t="n"/>
      <c r="E23" s="29" t="n"/>
      <c r="F23" s="29" t="n"/>
      <c r="G23" s="29" t="n"/>
      <c r="H23" s="29" t="n"/>
      <c r="I23" s="30" t="n"/>
    </row>
    <row r="24">
      <c r="A24" s="23" t="inlineStr">
        <is>
          <t>Current HP (HP)</t>
        </is>
      </c>
      <c r="B24" s="30" t="n"/>
      <c r="C24" s="8" t="n"/>
      <c r="D24" s="30" t="n"/>
      <c r="E24" s="23" t="inlineStr">
        <is>
          <t>Core Exposed / Tier Segment</t>
        </is>
      </c>
      <c r="F24" s="30" t="n"/>
      <c r="G24" s="6" t="n"/>
      <c r="H24" s="29" t="n"/>
      <c r="I24" s="30" t="n"/>
    </row>
    <row r="25">
      <c r="A25" s="23" t="inlineStr">
        <is>
          <t>Current Status Effect</t>
        </is>
      </c>
      <c r="B25" s="30" t="n"/>
      <c r="C25" s="6" t="n"/>
      <c r="D25" s="29" t="n"/>
      <c r="E25" s="29" t="n"/>
      <c r="F25" s="29" t="n"/>
      <c r="G25" s="29" t="n"/>
      <c r="H25" s="29" t="n"/>
      <c r="I25" s="30" t="n"/>
    </row>
    <row r="26" ht="44" customHeight="1">
      <c r="A26" s="23" t="inlineStr">
        <is>
          <t>Notes</t>
        </is>
      </c>
      <c r="B26" s="30" t="n"/>
      <c r="C26" s="18" t="n"/>
      <c r="D26" s="29" t="n"/>
      <c r="E26" s="29" t="n"/>
      <c r="F26" s="29" t="n"/>
      <c r="G26" s="29" t="n"/>
      <c r="H26" s="29" t="n"/>
      <c r="I26" s="30" t="n"/>
    </row>
  </sheetData>
  <mergeCells count="52">
    <mergeCell ref="E3:I3"/>
    <mergeCell ref="A24:B24"/>
    <mergeCell ref="E12:I12"/>
    <mergeCell ref="C24:D24"/>
    <mergeCell ref="C17:I17"/>
    <mergeCell ref="E24:F24"/>
    <mergeCell ref="A11:B11"/>
    <mergeCell ref="E8:I8"/>
    <mergeCell ref="C19:I19"/>
    <mergeCell ref="G24:I24"/>
    <mergeCell ref="A16:B16"/>
    <mergeCell ref="E4:I4"/>
    <mergeCell ref="A7:B7"/>
    <mergeCell ref="C10:D10"/>
    <mergeCell ref="C18:I18"/>
    <mergeCell ref="A25:B25"/>
    <mergeCell ref="E10:I10"/>
    <mergeCell ref="A14:I14"/>
    <mergeCell ref="E13:I13"/>
    <mergeCell ref="A23:I23"/>
    <mergeCell ref="C9:D9"/>
    <mergeCell ref="A18:B18"/>
    <mergeCell ref="A20:I20"/>
    <mergeCell ref="E9:I9"/>
    <mergeCell ref="A12:B12"/>
    <mergeCell ref="C12:D12"/>
    <mergeCell ref="A21:B21"/>
    <mergeCell ref="A26:B26"/>
    <mergeCell ref="D7:E7"/>
    <mergeCell ref="F7:I7"/>
    <mergeCell ref="C26:I26"/>
    <mergeCell ref="C11:D11"/>
    <mergeCell ref="E11:I11"/>
    <mergeCell ref="C16:I16"/>
    <mergeCell ref="A17:B17"/>
    <mergeCell ref="A8:B8"/>
    <mergeCell ref="C25:I25"/>
    <mergeCell ref="C8:D8"/>
    <mergeCell ref="A22:B22"/>
    <mergeCell ref="A15:I15"/>
    <mergeCell ref="G2:I2"/>
    <mergeCell ref="C22:I22"/>
    <mergeCell ref="A19:B19"/>
    <mergeCell ref="A10:B10"/>
    <mergeCell ref="C21:I21"/>
    <mergeCell ref="A1:I1"/>
    <mergeCell ref="A13:B13"/>
    <mergeCell ref="H5:I5"/>
    <mergeCell ref="C13:D13"/>
    <mergeCell ref="A6:I6"/>
    <mergeCell ref="A2:C5"/>
    <mergeCell ref="A9:B9"/>
  </mergeCells>
  <dataValidations count="2">
    <dataValidation sqref="E5" showDropDown="0" showInputMessage="0" showErrorMessage="0" allowBlank="1" type="list">
      <formula1>"是,否"</formula1>
    </dataValidation>
    <dataValidation sqref="H5:I5" showDropDown="0" showInputMessage="0" showErrorMessage="0" allowBlank="1" type="list">
      <formula1>"是,否"</formula1>
    </dataValidation>
  </dataValidations>
  <printOptions horizontalCentered="1"/>
  <pageMargins left="0.75" right="0.75" top="1" bottom="1" header="0.5" footer="0.5"/>
  <pageSetup orientation="portrait" fitToHeight="0" fitToWidth="1"/>
</worksheet>
</file>

<file path=xl/worksheets/sheet15.xml><?xml version="1.0" encoding="utf-8"?>
<worksheet xmlns="http://schemas.openxmlformats.org/spreadsheetml/2006/main">
  <sheetPr>
    <outlinePr summaryBelow="1" summaryRight="1"/>
    <pageSetUpPr fitToPage="1"/>
  </sheetPr>
  <dimension ref="A1:I23"/>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21" t="inlineStr">
        <is>
          <t>Dead by Daylight TRPG　Enemy Character Sheet　·　Realm Creature</t>
        </is>
      </c>
      <c r="B1" s="25" t="n"/>
      <c r="C1" s="25" t="n"/>
      <c r="D1" s="25" t="n"/>
      <c r="E1" s="25" t="n"/>
      <c r="F1" s="25" t="n"/>
      <c r="G1" s="25" t="n"/>
      <c r="H1" s="25" t="n"/>
      <c r="I1" s="26" t="n"/>
    </row>
    <row r="2">
      <c r="A2" s="3" t="inlineStr">
        <is>
          <t>Character Art
(Paste character image here)</t>
        </is>
      </c>
      <c r="B2" s="27" t="n"/>
      <c r="C2" s="28" t="n"/>
      <c r="D2" s="5" t="inlineStr">
        <is>
          <t>No.</t>
        </is>
      </c>
      <c r="E2" s="8" t="inlineStr">
        <is>
          <t>RC-06</t>
        </is>
      </c>
      <c r="F2" s="5" t="inlineStr">
        <is>
          <t>Name</t>
        </is>
      </c>
      <c r="G2" s="6" t="inlineStr">
        <is>
          <t>Mud Hands（The Mire Hands）</t>
        </is>
      </c>
      <c r="H2" s="29" t="n"/>
      <c r="I2" s="30" t="n"/>
    </row>
    <row r="3">
      <c r="A3" s="31" t="n"/>
      <c r="C3" s="32" t="n"/>
      <c r="D3" s="5" t="inlineStr">
        <is>
          <t>Affiliated Realm</t>
        </is>
      </c>
      <c r="E3" s="6" t="inlineStr">
        <is>
          <t>R5 Backwater Swamp</t>
        </is>
      </c>
      <c r="F3" s="29" t="n"/>
      <c r="G3" s="29" t="n"/>
      <c r="H3" s="29" t="n"/>
      <c r="I3" s="30" t="n"/>
    </row>
    <row r="4">
      <c r="A4" s="31" t="n"/>
      <c r="C4" s="32" t="n"/>
      <c r="D4" s="5" t="inlineStr">
        <is>
          <t>Type</t>
        </is>
      </c>
      <c r="E4" s="6" t="inlineStr">
        <is>
          <t>Environment / Area-denial type</t>
        </is>
      </c>
      <c r="F4" s="29" t="n"/>
      <c r="G4" s="29" t="n"/>
      <c r="H4" s="29" t="n"/>
      <c r="I4" s="30" t="n"/>
    </row>
    <row r="5">
      <c r="A5" s="33" t="n"/>
      <c r="B5" s="34" t="n"/>
      <c r="C5" s="35" t="n"/>
      <c r="D5" s="5" t="inlineStr">
        <is>
          <t>Boss-level</t>
        </is>
      </c>
      <c r="E5" s="8" t="inlineStr">
        <is>
          <t>No</t>
        </is>
      </c>
      <c r="F5" s="5" t="inlineStr">
        <is>
          <t>Deals Health State (HS) loss</t>
        </is>
      </c>
      <c r="H5" s="8" t="n"/>
      <c r="I5" s="30" t="n"/>
    </row>
    <row r="6" ht="20" customHeight="1">
      <c r="A6" s="9" t="inlineStr">
        <is>
          <t>I. Data (enter Challenge Rating (CR); rest auto-calculated)</t>
        </is>
      </c>
      <c r="B6" s="29" t="n"/>
      <c r="C6" s="29" t="n"/>
      <c r="D6" s="29" t="n"/>
      <c r="E6" s="29" t="n"/>
      <c r="F6" s="29" t="n"/>
      <c r="G6" s="29" t="n"/>
      <c r="H6" s="29" t="n"/>
      <c r="I6" s="30" t="n"/>
    </row>
    <row r="7" ht="30" customHeight="1">
      <c r="A7" s="5" t="inlineStr">
        <is>
          <t>Challenge Rating (CR)</t>
        </is>
      </c>
      <c r="B7" s="30" t="n"/>
      <c r="C7" s="8" t="n">
        <v>3</v>
      </c>
      <c r="D7" s="5" t="inlineStr">
        <is>
          <t>Move</t>
        </is>
      </c>
      <c r="E7" s="30" t="n"/>
      <c r="F7" s="6" t="inlineStr">
        <is>
          <t>0 (covers the scenario-designated "deep water" cell cluster, usually 8–16 cells)</t>
        </is>
      </c>
      <c r="G7" s="29" t="n"/>
      <c r="H7" s="29" t="n"/>
      <c r="I7" s="30" t="n"/>
    </row>
    <row r="8">
      <c r="A8" s="23" t="inlineStr">
        <is>
          <t>HP (HP)</t>
        </is>
      </c>
      <c r="B8" s="30" t="n"/>
      <c r="C8" s="14">
        <f>IF($C$7="","",10+4*$C$7)</f>
        <v/>
      </c>
      <c r="D8" s="30" t="n"/>
      <c r="E8" s="6" t="inlineStr">
        <is>
          <t>10 + 4×Challenge Rating (CR)</t>
        </is>
      </c>
      <c r="F8" s="29" t="n"/>
      <c r="G8" s="29" t="n"/>
      <c r="H8" s="29" t="n"/>
      <c r="I8" s="30" t="n"/>
    </row>
    <row r="9">
      <c r="A9" s="23" t="inlineStr">
        <is>
          <t>Attack Modifier</t>
        </is>
      </c>
      <c r="B9" s="30" t="n"/>
      <c r="C9" s="14">
        <f>IF($C$7="","",INT($C$7/2)+2)</f>
        <v/>
      </c>
      <c r="D9" s="30" t="n"/>
      <c r="E9" s="6" t="inlineStr">
        <is>
          <t>INT(CR ÷ 2) ＋ 2</t>
        </is>
      </c>
      <c r="F9" s="29" t="n"/>
      <c r="G9" s="29" t="n"/>
      <c r="H9" s="29" t="n"/>
      <c r="I9" s="30" t="n"/>
    </row>
    <row r="10">
      <c r="A10" s="23" t="inlineStr">
        <is>
          <t>Defense Difficulty Class (DC)</t>
        </is>
      </c>
      <c r="B10" s="30" t="n"/>
      <c r="C10" s="14">
        <f>IF($C$7="","",10+INT($C$7/2))</f>
        <v/>
      </c>
      <c r="D10" s="30" t="n"/>
      <c r="E10" s="6" t="inlineStr">
        <is>
          <t>10 + INT(CR ÷ 2). Target value when a Survivor attacks or interferes with this creature</t>
        </is>
      </c>
      <c r="F10" s="29" t="n"/>
      <c r="G10" s="29" t="n"/>
      <c r="H10" s="29" t="n"/>
      <c r="I10" s="30" t="n"/>
    </row>
    <row r="11">
      <c r="A11" s="23" t="inlineStr">
        <is>
          <t>Action Point (AP) / round</t>
        </is>
      </c>
      <c r="B11" s="30" t="n"/>
      <c r="C11" s="14">
        <f>IF($C$7="","",IF($C$7&gt;=8,4,IF($C$7&gt;=5,3,2)))</f>
        <v/>
      </c>
      <c r="D11" s="30" t="n"/>
      <c r="E11" s="6" t="inlineStr">
        <is>
          <t>CR 1–4 → 2 / CR 5–7 → 3 / CR 8+ → 4</t>
        </is>
      </c>
      <c r="F11" s="29" t="n"/>
      <c r="G11" s="29" t="n"/>
      <c r="H11" s="29" t="n"/>
      <c r="I11" s="30" t="n"/>
    </row>
    <row r="12">
      <c r="A12" s="23" t="inlineStr">
        <is>
          <t>Resilience (RES)</t>
        </is>
      </c>
      <c r="B12" s="30" t="n"/>
      <c r="C12" s="14">
        <f>IF($C$7="","",INT($C$7/3))</f>
        <v/>
      </c>
      <c r="D12" s="30" t="n"/>
      <c r="E12" s="6" t="inlineStr">
        <is>
          <t>INT(CR ÷ 3). Added to checks against status effects and forced movement</t>
        </is>
      </c>
      <c r="F12" s="29" t="n"/>
      <c r="G12" s="29" t="n"/>
      <c r="H12" s="29" t="n"/>
      <c r="I12" s="30" t="n"/>
    </row>
    <row r="13">
      <c r="A13" s="23" t="inlineStr">
        <is>
          <t>Encounter Budget Cost (EBC)</t>
        </is>
      </c>
      <c r="B13" s="30" t="n"/>
      <c r="C13" s="14">
        <f>IF($C$7="","",$C$7*IF($E$5="Yes",3,2))</f>
        <v/>
      </c>
      <c r="D13" s="30" t="n"/>
      <c r="E13" s="6" t="inlineStr">
        <is>
          <t>CR × 2 (standard) / CR × 3 (Boss-level)</t>
        </is>
      </c>
      <c r="F13" s="29" t="n"/>
      <c r="G13" s="29" t="n"/>
      <c r="H13" s="29" t="n"/>
      <c r="I13" s="30" t="n"/>
    </row>
    <row r="14">
      <c r="A14" s="16" t="inlineStr">
        <is>
          <t>Survivors' combat ability is deliberately weak: unarmed / improvised objects deal only 1d4 damage. The creature's correct answer is always 'dispel its weakness' or evade, not kill it. The GM must make this clear to players on first encounter.</t>
        </is>
      </c>
      <c r="B14" s="29" t="n"/>
      <c r="C14" s="29" t="n"/>
      <c r="D14" s="29" t="n"/>
      <c r="E14" s="29" t="n"/>
      <c r="F14" s="29" t="n"/>
      <c r="G14" s="29" t="n"/>
      <c r="H14" s="29" t="n"/>
      <c r="I14" s="30" t="n"/>
    </row>
    <row r="15" ht="20" customHeight="1">
      <c r="A15" s="9" t="inlineStr">
        <is>
          <t>II. Behavior, Effect &amp; Dispel</t>
        </is>
      </c>
      <c r="B15" s="29" t="n"/>
      <c r="C15" s="29" t="n"/>
      <c r="D15" s="29" t="n"/>
      <c r="E15" s="29" t="n"/>
      <c r="F15" s="29" t="n"/>
      <c r="G15" s="29" t="n"/>
      <c r="H15" s="29" t="n"/>
      <c r="I15" s="30" t="n"/>
    </row>
    <row r="16" ht="22" customHeight="1">
      <c r="A16" s="23" t="inlineStr">
        <is>
          <t>Behavior</t>
        </is>
      </c>
      <c r="B16" s="30" t="n"/>
      <c r="C16" s="18" t="inlineStr">
        <is>
          <t>Any cell in the deep-water area may extend a hand. Triggers when a Survivor ends Move on a deep-water cell.</t>
        </is>
      </c>
      <c r="D16" s="29" t="n"/>
      <c r="E16" s="29" t="n"/>
      <c r="F16" s="29" t="n"/>
      <c r="G16" s="29" t="n"/>
      <c r="H16" s="29" t="n"/>
      <c r="I16" s="30" t="n"/>
    </row>
    <row r="17" ht="138" customHeight="1">
      <c r="A17" s="23" t="inlineStr">
        <is>
          <t>Effect</t>
        </is>
      </c>
      <c r="B17" s="30" t="n"/>
      <c r="C17" s="18" t="inlineStr">
        <is>
          <t>Agility (AGI) + Escape (ESQ) check vs Difficulty Class (DC) 13.
Success: nothing happens.
Failure: gain Snared (Snared, ST-29), and next round(s) Move quota −2 cells.
Critical Failure: Snared + Suffocating (Suffocating, ST-24) 2 round(s) + noise notification.
Snared escape: 2 Action Point (AP) + Agility (AGI) check vs Difficulty Class (DC) 13, or a teammate spends 2 Action Point (AP) to auto-pull out.</t>
        </is>
      </c>
      <c r="D17" s="29" t="n"/>
      <c r="E17" s="29" t="n"/>
      <c r="F17" s="29" t="n"/>
      <c r="G17" s="29" t="n"/>
      <c r="H17" s="29" t="n"/>
      <c r="I17" s="30" t="n"/>
    </row>
    <row r="18" ht="63" customHeight="1">
      <c r="A18" s="23" t="inlineStr">
        <is>
          <t>Dispel Weakness</t>
        </is>
      </c>
      <c r="B18" s="30" t="n"/>
      <c r="C18" s="18" t="inlineStr">
        <is>
          <t>Boardwalk: the scenario marks several broken boardwalk segments. Moving on boardwalk cells never triggers. A Survivor may spend 3 Action Point (AP) + Technique (TEC) check vs Difficulty Class (DC) 12 to repair a broken segment with nearby planks (extends 3 cells), permanently effective and a team asset. This is the right answer to the creature: do not fight it, build the path.</t>
        </is>
      </c>
      <c r="D18" s="29" t="n"/>
      <c r="E18" s="29" t="n"/>
      <c r="F18" s="29" t="n"/>
      <c r="G18" s="29" t="n"/>
      <c r="H18" s="29" t="n"/>
      <c r="I18" s="30" t="n"/>
    </row>
    <row r="19" ht="22" customHeight="1">
      <c r="A19" s="23" t="inlineStr">
        <is>
          <t>Solo config (N = 1) adjustment</t>
        </is>
      </c>
      <c r="B19" s="30" t="n"/>
      <c r="C19" s="18" t="inlineStr">
        <is>
          <t>Deep-water cell count halved; boardwalk repair Action Point (AP) lowered to 2 pts.</t>
        </is>
      </c>
      <c r="D19" s="29" t="n"/>
      <c r="E19" s="29" t="n"/>
      <c r="F19" s="29" t="n"/>
      <c r="G19" s="29" t="n"/>
      <c r="H19" s="29" t="n"/>
      <c r="I19" s="30" t="n"/>
    </row>
    <row r="20" ht="20" customHeight="1">
      <c r="A20" s="9" t="inlineStr">
        <is>
          <t>IV. Tracking Track (in Trial)</t>
        </is>
      </c>
      <c r="B20" s="29" t="n"/>
      <c r="C20" s="29" t="n"/>
      <c r="D20" s="29" t="n"/>
      <c r="E20" s="29" t="n"/>
      <c r="F20" s="29" t="n"/>
      <c r="G20" s="29" t="n"/>
      <c r="H20" s="29" t="n"/>
      <c r="I20" s="30" t="n"/>
    </row>
    <row r="21">
      <c r="A21" s="23" t="inlineStr">
        <is>
          <t>Current HP (HP)</t>
        </is>
      </c>
      <c r="B21" s="30" t="n"/>
      <c r="C21" s="8" t="n"/>
      <c r="D21" s="30" t="n"/>
      <c r="E21" s="23" t="inlineStr">
        <is>
          <t>Core Exposed / Tier Segment</t>
        </is>
      </c>
      <c r="F21" s="30" t="n"/>
      <c r="G21" s="6" t="n"/>
      <c r="H21" s="29" t="n"/>
      <c r="I21" s="30" t="n"/>
    </row>
    <row r="22">
      <c r="A22" s="23" t="inlineStr">
        <is>
          <t>Current Status Effect</t>
        </is>
      </c>
      <c r="B22" s="30" t="n"/>
      <c r="C22" s="6" t="n"/>
      <c r="D22" s="29" t="n"/>
      <c r="E22" s="29" t="n"/>
      <c r="F22" s="29" t="n"/>
      <c r="G22" s="29" t="n"/>
      <c r="H22" s="29" t="n"/>
      <c r="I22" s="30" t="n"/>
    </row>
    <row r="23" ht="44" customHeight="1">
      <c r="A23" s="23" t="inlineStr">
        <is>
          <t>Notes</t>
        </is>
      </c>
      <c r="B23" s="30" t="n"/>
      <c r="C23" s="18" t="n"/>
      <c r="D23" s="29" t="n"/>
      <c r="E23" s="29" t="n"/>
      <c r="F23" s="29" t="n"/>
      <c r="G23" s="29" t="n"/>
      <c r="H23" s="29" t="n"/>
      <c r="I23" s="30" t="n"/>
    </row>
  </sheetData>
  <mergeCells count="47">
    <mergeCell ref="E3:I3"/>
    <mergeCell ref="C23:I23"/>
    <mergeCell ref="E12:I12"/>
    <mergeCell ref="C17:I17"/>
    <mergeCell ref="A11:B11"/>
    <mergeCell ref="E8:I8"/>
    <mergeCell ref="C19:I19"/>
    <mergeCell ref="A16:B16"/>
    <mergeCell ref="E4:I4"/>
    <mergeCell ref="A7:B7"/>
    <mergeCell ref="C10:D10"/>
    <mergeCell ref="C18:I18"/>
    <mergeCell ref="E10:I10"/>
    <mergeCell ref="A14:I14"/>
    <mergeCell ref="E13:I13"/>
    <mergeCell ref="C9:D9"/>
    <mergeCell ref="A18:B18"/>
    <mergeCell ref="A20:I20"/>
    <mergeCell ref="E9:I9"/>
    <mergeCell ref="A12:B12"/>
    <mergeCell ref="C12:D12"/>
    <mergeCell ref="A21:B21"/>
    <mergeCell ref="D7:E7"/>
    <mergeCell ref="C21:D21"/>
    <mergeCell ref="F7:I7"/>
    <mergeCell ref="C11:D11"/>
    <mergeCell ref="E11:I11"/>
    <mergeCell ref="C16:I16"/>
    <mergeCell ref="A17:B17"/>
    <mergeCell ref="A23:B23"/>
    <mergeCell ref="A8:B8"/>
    <mergeCell ref="G21:I21"/>
    <mergeCell ref="C8:D8"/>
    <mergeCell ref="A22:B22"/>
    <mergeCell ref="A15:I15"/>
    <mergeCell ref="G2:I2"/>
    <mergeCell ref="C22:I22"/>
    <mergeCell ref="A19:B19"/>
    <mergeCell ref="A10:B10"/>
    <mergeCell ref="A1:I1"/>
    <mergeCell ref="A13:B13"/>
    <mergeCell ref="H5:I5"/>
    <mergeCell ref="C13:D13"/>
    <mergeCell ref="A6:I6"/>
    <mergeCell ref="A2:C5"/>
    <mergeCell ref="A9:B9"/>
    <mergeCell ref="E21:F21"/>
  </mergeCells>
  <dataValidations count="2">
    <dataValidation sqref="E5" showDropDown="0" showInputMessage="0" showErrorMessage="0" allowBlank="1" type="list">
      <formula1>"是,否"</formula1>
    </dataValidation>
    <dataValidation sqref="H5:I5" showDropDown="0" showInputMessage="0" showErrorMessage="0" allowBlank="1" type="list">
      <formula1>"是,否"</formula1>
    </dataValidation>
  </dataValidations>
  <printOptions horizontalCentered="1"/>
  <pageMargins left="0.75" right="0.75" top="1" bottom="1" header="0.5" footer="0.5"/>
  <pageSetup orientation="portrait" fitToHeight="0" fitToWidth="1"/>
</worksheet>
</file>

<file path=xl/worksheets/sheet16.xml><?xml version="1.0" encoding="utf-8"?>
<worksheet xmlns="http://schemas.openxmlformats.org/spreadsheetml/2006/main">
  <sheetPr>
    <outlinePr summaryBelow="1" summaryRight="1"/>
    <pageSetUpPr fitToPage="1"/>
  </sheetPr>
  <dimension ref="A1:I23"/>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21" t="inlineStr">
        <is>
          <t>Dead by Daylight TRPG　Enemy Character Sheet　·　Realm Creature</t>
        </is>
      </c>
      <c r="B1" s="25" t="n"/>
      <c r="C1" s="25" t="n"/>
      <c r="D1" s="25" t="n"/>
      <c r="E1" s="25" t="n"/>
      <c r="F1" s="25" t="n"/>
      <c r="G1" s="25" t="n"/>
      <c r="H1" s="25" t="n"/>
      <c r="I1" s="26" t="n"/>
    </row>
    <row r="2">
      <c r="A2" s="3" t="inlineStr">
        <is>
          <t>Character Art
(Paste character image here)</t>
        </is>
      </c>
      <c r="B2" s="27" t="n"/>
      <c r="C2" s="28" t="n"/>
      <c r="D2" s="5" t="inlineStr">
        <is>
          <t>No.</t>
        </is>
      </c>
      <c r="E2" s="8" t="inlineStr">
        <is>
          <t>RC-07</t>
        </is>
      </c>
      <c r="F2" s="5" t="inlineStr">
        <is>
          <t>Name</t>
        </is>
      </c>
      <c r="G2" s="6" t="inlineStr">
        <is>
          <t>Observation Eye（The Observation Eye）</t>
        </is>
      </c>
      <c r="H2" s="29" t="n"/>
      <c r="I2" s="30" t="n"/>
    </row>
    <row r="3">
      <c r="A3" s="31" t="n"/>
      <c r="C3" s="32" t="n"/>
      <c r="D3" s="5" t="inlineStr">
        <is>
          <t>Affiliated Realm</t>
        </is>
      </c>
      <c r="E3" s="6" t="inlineStr">
        <is>
          <t>R6 Léry's Memorial Institute</t>
        </is>
      </c>
      <c r="F3" s="29" t="n"/>
      <c r="G3" s="29" t="n"/>
      <c r="H3" s="29" t="n"/>
      <c r="I3" s="30" t="n"/>
    </row>
    <row r="4">
      <c r="A4" s="31" t="n"/>
      <c r="C4" s="32" t="n"/>
      <c r="D4" s="5" t="inlineStr">
        <is>
          <t>Type</t>
        </is>
      </c>
      <c r="E4" s="6" t="inlineStr">
        <is>
          <t>Surveillance / Intel-deprivation type</t>
        </is>
      </c>
      <c r="F4" s="29" t="n"/>
      <c r="G4" s="29" t="n"/>
      <c r="H4" s="29" t="n"/>
      <c r="I4" s="30" t="n"/>
    </row>
    <row r="5">
      <c r="A5" s="33" t="n"/>
      <c r="B5" s="34" t="n"/>
      <c r="C5" s="35" t="n"/>
      <c r="D5" s="5" t="inlineStr">
        <is>
          <t>Boss-level</t>
        </is>
      </c>
      <c r="E5" s="8" t="inlineStr">
        <is>
          <t>No</t>
        </is>
      </c>
      <c r="F5" s="5" t="inlineStr">
        <is>
          <t>Deals Health State (HS) loss</t>
        </is>
      </c>
      <c r="H5" s="8" t="n"/>
      <c r="I5" s="30" t="n"/>
    </row>
    <row r="6" ht="20" customHeight="1">
      <c r="A6" s="9" t="inlineStr">
        <is>
          <t>I. Data (enter Challenge Rating (CR); rest auto-calculated)</t>
        </is>
      </c>
      <c r="B6" s="29" t="n"/>
      <c r="C6" s="29" t="n"/>
      <c r="D6" s="29" t="n"/>
      <c r="E6" s="29" t="n"/>
      <c r="F6" s="29" t="n"/>
      <c r="G6" s="29" t="n"/>
      <c r="H6" s="29" t="n"/>
      <c r="I6" s="30" t="n"/>
    </row>
    <row r="7" ht="30" customHeight="1">
      <c r="A7" s="5" t="inlineStr">
        <is>
          <t>Challenge Rating (CR)</t>
        </is>
      </c>
      <c r="B7" s="30" t="n"/>
      <c r="C7" s="8" t="n">
        <v>5</v>
      </c>
      <c r="D7" s="5" t="inlineStr">
        <is>
          <t>Move</t>
        </is>
      </c>
      <c r="E7" s="30" t="n"/>
      <c r="F7" s="6" t="inlineStr">
        <is>
          <t>0 (embedded in the observation-window glass; 1–2 per research-node)</t>
        </is>
      </c>
      <c r="G7" s="29" t="n"/>
      <c r="H7" s="29" t="n"/>
      <c r="I7" s="30" t="n"/>
    </row>
    <row r="8">
      <c r="A8" s="23" t="inlineStr">
        <is>
          <t>HP (HP)</t>
        </is>
      </c>
      <c r="B8" s="30" t="n"/>
      <c r="C8" s="14">
        <f>IF($C$7="","",10+4*$C$7)</f>
        <v/>
      </c>
      <c r="D8" s="30" t="n"/>
      <c r="E8" s="6" t="inlineStr">
        <is>
          <t>10 + 4×Challenge Rating (CR)</t>
        </is>
      </c>
      <c r="F8" s="29" t="n"/>
      <c r="G8" s="29" t="n"/>
      <c r="H8" s="29" t="n"/>
      <c r="I8" s="30" t="n"/>
    </row>
    <row r="9">
      <c r="A9" s="23" t="inlineStr">
        <is>
          <t>Attack Modifier</t>
        </is>
      </c>
      <c r="B9" s="30" t="n"/>
      <c r="C9" s="14">
        <f>IF($C$7="","",INT($C$7/2)+2)</f>
        <v/>
      </c>
      <c r="D9" s="30" t="n"/>
      <c r="E9" s="6" t="inlineStr">
        <is>
          <t>INT(CR ÷ 2) ＋ 2</t>
        </is>
      </c>
      <c r="F9" s="29" t="n"/>
      <c r="G9" s="29" t="n"/>
      <c r="H9" s="29" t="n"/>
      <c r="I9" s="30" t="n"/>
    </row>
    <row r="10">
      <c r="A10" s="23" t="inlineStr">
        <is>
          <t>Defense Difficulty Class (DC)</t>
        </is>
      </c>
      <c r="B10" s="30" t="n"/>
      <c r="C10" s="14">
        <f>IF($C$7="","",10+INT($C$7/2))</f>
        <v/>
      </c>
      <c r="D10" s="30" t="n"/>
      <c r="E10" s="6" t="inlineStr">
        <is>
          <t>10 + INT(CR ÷ 2). Target value when a Survivor attacks or interferes with this creature</t>
        </is>
      </c>
      <c r="F10" s="29" t="n"/>
      <c r="G10" s="29" t="n"/>
      <c r="H10" s="29" t="n"/>
      <c r="I10" s="30" t="n"/>
    </row>
    <row r="11">
      <c r="A11" s="23" t="inlineStr">
        <is>
          <t>Action Point (AP) / round</t>
        </is>
      </c>
      <c r="B11" s="30" t="n"/>
      <c r="C11" s="14">
        <f>IF($C$7="","",IF($C$7&gt;=8,4,IF($C$7&gt;=5,3,2)))</f>
        <v/>
      </c>
      <c r="D11" s="30" t="n"/>
      <c r="E11" s="6" t="inlineStr">
        <is>
          <t>CR 1–4 → 2 / CR 5–7 → 3 / CR 8+ → 4</t>
        </is>
      </c>
      <c r="F11" s="29" t="n"/>
      <c r="G11" s="29" t="n"/>
      <c r="H11" s="29" t="n"/>
      <c r="I11" s="30" t="n"/>
    </row>
    <row r="12">
      <c r="A12" s="23" t="inlineStr">
        <is>
          <t>Resilience (RES)</t>
        </is>
      </c>
      <c r="B12" s="30" t="n"/>
      <c r="C12" s="14">
        <f>IF($C$7="","",INT($C$7/3))</f>
        <v/>
      </c>
      <c r="D12" s="30" t="n"/>
      <c r="E12" s="6" t="inlineStr">
        <is>
          <t>INT(CR ÷ 3). Added to checks against status effects and forced movement</t>
        </is>
      </c>
      <c r="F12" s="29" t="n"/>
      <c r="G12" s="29" t="n"/>
      <c r="H12" s="29" t="n"/>
      <c r="I12" s="30" t="n"/>
    </row>
    <row r="13">
      <c r="A13" s="23" t="inlineStr">
        <is>
          <t>Encounter Budget Cost (EBC)</t>
        </is>
      </c>
      <c r="B13" s="30" t="n"/>
      <c r="C13" s="14">
        <f>IF($C$7="","",$C$7*IF($E$5="Yes",3,2))</f>
        <v/>
      </c>
      <c r="D13" s="30" t="n"/>
      <c r="E13" s="6" t="inlineStr">
        <is>
          <t>CR × 2 (standard) / CR × 3 (Boss-level)</t>
        </is>
      </c>
      <c r="F13" s="29" t="n"/>
      <c r="G13" s="29" t="n"/>
      <c r="H13" s="29" t="n"/>
      <c r="I13" s="30" t="n"/>
    </row>
    <row r="14">
      <c r="A14" s="16" t="inlineStr">
        <is>
          <t>Survivors' combat ability is deliberately weak: unarmed / improvised objects deal only 1d4 damage. The creature's correct answer is always 'dispel its weakness' or evade, not kill it. The GM must make this clear to players on first encounter.</t>
        </is>
      </c>
      <c r="B14" s="29" t="n"/>
      <c r="C14" s="29" t="n"/>
      <c r="D14" s="29" t="n"/>
      <c r="E14" s="29" t="n"/>
      <c r="F14" s="29" t="n"/>
      <c r="G14" s="29" t="n"/>
      <c r="H14" s="29" t="n"/>
      <c r="I14" s="30" t="n"/>
    </row>
    <row r="15" ht="20" customHeight="1">
      <c r="A15" s="9" t="inlineStr">
        <is>
          <t>II. Behavior, Effect &amp; Dispel</t>
        </is>
      </c>
      <c r="B15" s="29" t="n"/>
      <c r="C15" s="29" t="n"/>
      <c r="D15" s="29" t="n"/>
      <c r="E15" s="29" t="n"/>
      <c r="F15" s="29" t="n"/>
      <c r="G15" s="29" t="n"/>
      <c r="H15" s="29" t="n"/>
      <c r="I15" s="30" t="n"/>
    </row>
    <row r="16" ht="22" customHeight="1">
      <c r="A16" s="23" t="inlineStr">
        <is>
          <t>Behavior</t>
        </is>
      </c>
      <c r="B16" s="30" t="n"/>
      <c r="C16" s="18" t="inlineStr">
        <is>
          <t>Continuously scans Survivors in its line of sight (same corridor or room, no range limit). Does not attack.</t>
        </is>
      </c>
      <c r="D16" s="29" t="n"/>
      <c r="E16" s="29" t="n"/>
      <c r="F16" s="29" t="n"/>
      <c r="G16" s="29" t="n"/>
      <c r="H16" s="29" t="n"/>
      <c r="I16" s="30" t="n"/>
    </row>
    <row r="17" ht="123" customHeight="1">
      <c r="A17" s="23" t="inlineStr">
        <is>
          <t>Effect</t>
        </is>
      </c>
      <c r="B17" s="30" t="n"/>
      <c r="C17" s="18" t="inlineStr">
        <is>
          <t>At each round(s) end, for each Survivor in its line of sight:
① that Survivor must reveal to the GM the zone column of their Action memory card (see 30_Chase_Combat.md §1-3);
② the Killer gains 1 Hunt Lead (cap 1 per eye per round(s));
③ that Survivor's Technique checks −1 (pressure of being watched).
Line-of-sight rule: straight line with no The Entity obstruction. Crouch-walking cannot evade (it is on the wall).</t>
        </is>
      </c>
      <c r="D17" s="29" t="n"/>
      <c r="E17" s="29" t="n"/>
      <c r="F17" s="29" t="n"/>
      <c r="G17" s="29" t="n"/>
      <c r="H17" s="29" t="n"/>
      <c r="I17" s="30" t="n"/>
    </row>
    <row r="18" ht="123" customHeight="1">
      <c r="A18" s="23" t="inlineStr">
        <is>
          <t>Dispel Weakness</t>
        </is>
      </c>
      <c r="B18" s="30" t="n"/>
      <c r="C18" s="18" t="inlineStr">
        <is>
          <t>① Break the glass: 2 Action Point (AP) + Brute Force action (Agility (AGI) check vs Difficulty Class (DC) 12) → destroyed immediately, but triggers a huge noise notification (Killer gains 2 hunt leads and learns exact position). A clear trade-off: trade one Exposed for permanent removal.
② Flashlight (FLT) shine 1 round(s): blinds it 3 round(s) (not destroyed, but no noise).
③ crouch along the wall through blind spots: in the symmetric layout of the research institute, every corridor has a 2-cell-wide sight blind spot (marked by the world-crafter on the encounter map); moving through it is never scanned.</t>
        </is>
      </c>
      <c r="D18" s="29" t="n"/>
      <c r="E18" s="29" t="n"/>
      <c r="F18" s="29" t="n"/>
      <c r="G18" s="29" t="n"/>
      <c r="H18" s="29" t="n"/>
      <c r="I18" s="30" t="n"/>
    </row>
    <row r="19" ht="22" customHeight="1">
      <c r="A19" s="23" t="inlineStr">
        <is>
          <t>Solo config (N = 1) adjustment</t>
        </is>
      </c>
      <c r="B19" s="30" t="n"/>
      <c r="C19" s="18" t="inlineStr">
        <is>
          <t>Only 1 per node; the Technique-check penalty of Effect ③ is removed.</t>
        </is>
      </c>
      <c r="D19" s="29" t="n"/>
      <c r="E19" s="29" t="n"/>
      <c r="F19" s="29" t="n"/>
      <c r="G19" s="29" t="n"/>
      <c r="H19" s="29" t="n"/>
      <c r="I19" s="30" t="n"/>
    </row>
    <row r="20" ht="20" customHeight="1">
      <c r="A20" s="9" t="inlineStr">
        <is>
          <t>IV. Tracking Track (in Trial)</t>
        </is>
      </c>
      <c r="B20" s="29" t="n"/>
      <c r="C20" s="29" t="n"/>
      <c r="D20" s="29" t="n"/>
      <c r="E20" s="29" t="n"/>
      <c r="F20" s="29" t="n"/>
      <c r="G20" s="29" t="n"/>
      <c r="H20" s="29" t="n"/>
      <c r="I20" s="30" t="n"/>
    </row>
    <row r="21">
      <c r="A21" s="23" t="inlineStr">
        <is>
          <t>Current HP (HP)</t>
        </is>
      </c>
      <c r="B21" s="30" t="n"/>
      <c r="C21" s="8" t="n"/>
      <c r="D21" s="30" t="n"/>
      <c r="E21" s="23" t="inlineStr">
        <is>
          <t>Core Exposed / Tier Segment</t>
        </is>
      </c>
      <c r="F21" s="30" t="n"/>
      <c r="G21" s="6" t="n"/>
      <c r="H21" s="29" t="n"/>
      <c r="I21" s="30" t="n"/>
    </row>
    <row r="22">
      <c r="A22" s="23" t="inlineStr">
        <is>
          <t>Current Status Effect</t>
        </is>
      </c>
      <c r="B22" s="30" t="n"/>
      <c r="C22" s="6" t="n"/>
      <c r="D22" s="29" t="n"/>
      <c r="E22" s="29" t="n"/>
      <c r="F22" s="29" t="n"/>
      <c r="G22" s="29" t="n"/>
      <c r="H22" s="29" t="n"/>
      <c r="I22" s="30" t="n"/>
    </row>
    <row r="23" ht="44" customHeight="1">
      <c r="A23" s="23" t="inlineStr">
        <is>
          <t>Notes</t>
        </is>
      </c>
      <c r="B23" s="30" t="n"/>
      <c r="C23" s="18" t="n"/>
      <c r="D23" s="29" t="n"/>
      <c r="E23" s="29" t="n"/>
      <c r="F23" s="29" t="n"/>
      <c r="G23" s="29" t="n"/>
      <c r="H23" s="29" t="n"/>
      <c r="I23" s="30" t="n"/>
    </row>
  </sheetData>
  <mergeCells count="47">
    <mergeCell ref="E3:I3"/>
    <mergeCell ref="C23:I23"/>
    <mergeCell ref="E12:I12"/>
    <mergeCell ref="C17:I17"/>
    <mergeCell ref="A11:B11"/>
    <mergeCell ref="E8:I8"/>
    <mergeCell ref="C19:I19"/>
    <mergeCell ref="A16:B16"/>
    <mergeCell ref="E4:I4"/>
    <mergeCell ref="A7:B7"/>
    <mergeCell ref="C10:D10"/>
    <mergeCell ref="C18:I18"/>
    <mergeCell ref="E10:I10"/>
    <mergeCell ref="A14:I14"/>
    <mergeCell ref="E13:I13"/>
    <mergeCell ref="C9:D9"/>
    <mergeCell ref="A18:B18"/>
    <mergeCell ref="A20:I20"/>
    <mergeCell ref="E9:I9"/>
    <mergeCell ref="A12:B12"/>
    <mergeCell ref="C12:D12"/>
    <mergeCell ref="A21:B21"/>
    <mergeCell ref="D7:E7"/>
    <mergeCell ref="C21:D21"/>
    <mergeCell ref="F7:I7"/>
    <mergeCell ref="C11:D11"/>
    <mergeCell ref="E11:I11"/>
    <mergeCell ref="C16:I16"/>
    <mergeCell ref="A17:B17"/>
    <mergeCell ref="A23:B23"/>
    <mergeCell ref="A8:B8"/>
    <mergeCell ref="G21:I21"/>
    <mergeCell ref="C8:D8"/>
    <mergeCell ref="A22:B22"/>
    <mergeCell ref="A15:I15"/>
    <mergeCell ref="G2:I2"/>
    <mergeCell ref="C22:I22"/>
    <mergeCell ref="A19:B19"/>
    <mergeCell ref="A10:B10"/>
    <mergeCell ref="A1:I1"/>
    <mergeCell ref="A13:B13"/>
    <mergeCell ref="H5:I5"/>
    <mergeCell ref="C13:D13"/>
    <mergeCell ref="A6:I6"/>
    <mergeCell ref="A2:C5"/>
    <mergeCell ref="A9:B9"/>
    <mergeCell ref="E21:F21"/>
  </mergeCells>
  <dataValidations count="2">
    <dataValidation sqref="E5" showDropDown="0" showInputMessage="0" showErrorMessage="0" allowBlank="1" type="list">
      <formula1>"是,否"</formula1>
    </dataValidation>
    <dataValidation sqref="H5:I5" showDropDown="0" showInputMessage="0" showErrorMessage="0" allowBlank="1" type="list">
      <formula1>"是,否"</formula1>
    </dataValidation>
  </dataValidations>
  <printOptions horizontalCentered="1"/>
  <pageMargins left="0.75" right="0.75" top="1" bottom="1" header="0.5" footer="0.5"/>
  <pageSetup orientation="portrait" fitToHeight="0" fitToWidth="1"/>
</worksheet>
</file>

<file path=xl/worksheets/sheet17.xml><?xml version="1.0" encoding="utf-8"?>
<worksheet xmlns="http://schemas.openxmlformats.org/spreadsheetml/2006/main">
  <sheetPr>
    <outlinePr summaryBelow="1" summaryRight="1"/>
    <pageSetUpPr fitToPage="1"/>
  </sheetPr>
  <dimension ref="A1:I23"/>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21" t="inlineStr">
        <is>
          <t>Dead by Daylight TRPG　Enemy Character Sheet　·　Realm Creature</t>
        </is>
      </c>
      <c r="B1" s="25" t="n"/>
      <c r="C1" s="25" t="n"/>
      <c r="D1" s="25" t="n"/>
      <c r="E1" s="25" t="n"/>
      <c r="F1" s="25" t="n"/>
      <c r="G1" s="25" t="n"/>
      <c r="H1" s="25" t="n"/>
      <c r="I1" s="26" t="n"/>
    </row>
    <row r="2">
      <c r="A2" s="3" t="inlineStr">
        <is>
          <t>Character Art
(Paste character image here)</t>
        </is>
      </c>
      <c r="B2" s="27" t="n"/>
      <c r="C2" s="28" t="n"/>
      <c r="D2" s="5" t="inlineStr">
        <is>
          <t>No.</t>
        </is>
      </c>
      <c r="E2" s="8" t="inlineStr">
        <is>
          <t>RC-08</t>
        </is>
      </c>
      <c r="F2" s="5" t="inlineStr">
        <is>
          <t>Name</t>
        </is>
      </c>
      <c r="G2" s="6" t="inlineStr">
        <is>
          <t>Blood Leaf Swarm（Bloodleaf Swarm）</t>
        </is>
      </c>
      <c r="H2" s="29" t="n"/>
      <c r="I2" s="30" t="n"/>
    </row>
    <row r="3">
      <c r="A3" s="31" t="n"/>
      <c r="C3" s="32" t="n"/>
      <c r="D3" s="5" t="inlineStr">
        <is>
          <t>Affiliated Realm</t>
        </is>
      </c>
      <c r="E3" s="6" t="inlineStr">
        <is>
          <t>R7 Red Forest</t>
        </is>
      </c>
      <c r="F3" s="29" t="n"/>
      <c r="G3" s="29" t="n"/>
      <c r="H3" s="29" t="n"/>
      <c r="I3" s="30" t="n"/>
    </row>
    <row r="4">
      <c r="A4" s="31" t="n"/>
      <c r="C4" s="32" t="n"/>
      <c r="D4" s="5" t="inlineStr">
        <is>
          <t>Type</t>
        </is>
      </c>
      <c r="E4" s="6" t="inlineStr">
        <is>
          <t>Group / Tracking-mark type</t>
        </is>
      </c>
      <c r="F4" s="29" t="n"/>
      <c r="G4" s="29" t="n"/>
      <c r="H4" s="29" t="n"/>
      <c r="I4" s="30" t="n"/>
    </row>
    <row r="5">
      <c r="A5" s="33" t="n"/>
      <c r="B5" s="34" t="n"/>
      <c r="C5" s="35" t="n"/>
      <c r="D5" s="5" t="inlineStr">
        <is>
          <t>Boss-level</t>
        </is>
      </c>
      <c r="E5" s="8" t="inlineStr">
        <is>
          <t>No</t>
        </is>
      </c>
      <c r="F5" s="5" t="inlineStr">
        <is>
          <t>Deals Health State (HS) loss</t>
        </is>
      </c>
      <c r="H5" s="8" t="n"/>
      <c r="I5" s="30" t="n"/>
    </row>
    <row r="6" ht="20" customHeight="1">
      <c r="A6" s="9" t="inlineStr">
        <is>
          <t>I. Data (enter Challenge Rating (CR); rest auto-calculated)</t>
        </is>
      </c>
      <c r="B6" s="29" t="n"/>
      <c r="C6" s="29" t="n"/>
      <c r="D6" s="29" t="n"/>
      <c r="E6" s="29" t="n"/>
      <c r="F6" s="29" t="n"/>
      <c r="G6" s="29" t="n"/>
      <c r="H6" s="29" t="n"/>
      <c r="I6" s="30" t="n"/>
    </row>
    <row r="7" ht="30" customHeight="1">
      <c r="A7" s="5" t="inlineStr">
        <is>
          <t>Challenge Rating (CR)</t>
        </is>
      </c>
      <c r="B7" s="30" t="n"/>
      <c r="C7" s="8" t="n">
        <v>4</v>
      </c>
      <c r="D7" s="5" t="inlineStr">
        <is>
          <t>Move</t>
        </is>
      </c>
      <c r="E7" s="30" t="n"/>
      <c r="F7" s="6" t="inlineStr">
        <is>
          <t>7 cells / round(s) (drifts with the wind, ignores terrain, but cannot enter building interiors)</t>
        </is>
      </c>
      <c r="G7" s="29" t="n"/>
      <c r="H7" s="29" t="n"/>
      <c r="I7" s="30" t="n"/>
    </row>
    <row r="8">
      <c r="A8" s="23" t="inlineStr">
        <is>
          <t>HP (HP)</t>
        </is>
      </c>
      <c r="B8" s="30" t="n"/>
      <c r="C8" s="14">
        <f>IF($C$7="","",10+4*$C$7)</f>
        <v/>
      </c>
      <c r="D8" s="30" t="n"/>
      <c r="E8" s="6" t="inlineStr">
        <is>
          <t>10 + 4×Challenge Rating (CR)</t>
        </is>
      </c>
      <c r="F8" s="29" t="n"/>
      <c r="G8" s="29" t="n"/>
      <c r="H8" s="29" t="n"/>
      <c r="I8" s="30" t="n"/>
    </row>
    <row r="9">
      <c r="A9" s="23" t="inlineStr">
        <is>
          <t>Attack Modifier</t>
        </is>
      </c>
      <c r="B9" s="30" t="n"/>
      <c r="C9" s="14">
        <f>IF($C$7="","",INT($C$7/2)+2)</f>
        <v/>
      </c>
      <c r="D9" s="30" t="n"/>
      <c r="E9" s="6" t="inlineStr">
        <is>
          <t>INT(CR ÷ 2) ＋ 2</t>
        </is>
      </c>
      <c r="F9" s="29" t="n"/>
      <c r="G9" s="29" t="n"/>
      <c r="H9" s="29" t="n"/>
      <c r="I9" s="30" t="n"/>
    </row>
    <row r="10">
      <c r="A10" s="23" t="inlineStr">
        <is>
          <t>Defense Difficulty Class (DC)</t>
        </is>
      </c>
      <c r="B10" s="30" t="n"/>
      <c r="C10" s="14">
        <f>IF($C$7="","",10+INT($C$7/2))</f>
        <v/>
      </c>
      <c r="D10" s="30" t="n"/>
      <c r="E10" s="6" t="inlineStr">
        <is>
          <t>10 + INT(CR ÷ 2). Target value when a Survivor attacks or interferes with this creature</t>
        </is>
      </c>
      <c r="F10" s="29" t="n"/>
      <c r="G10" s="29" t="n"/>
      <c r="H10" s="29" t="n"/>
      <c r="I10" s="30" t="n"/>
    </row>
    <row r="11">
      <c r="A11" s="23" t="inlineStr">
        <is>
          <t>Action Point (AP) / round</t>
        </is>
      </c>
      <c r="B11" s="30" t="n"/>
      <c r="C11" s="14">
        <f>IF($C$7="","",IF($C$7&gt;=8,4,IF($C$7&gt;=5,3,2)))</f>
        <v/>
      </c>
      <c r="D11" s="30" t="n"/>
      <c r="E11" s="6" t="inlineStr">
        <is>
          <t>CR 1–4 → 2 / CR 5–7 → 3 / CR 8+ → 4</t>
        </is>
      </c>
      <c r="F11" s="29" t="n"/>
      <c r="G11" s="29" t="n"/>
      <c r="H11" s="29" t="n"/>
      <c r="I11" s="30" t="n"/>
    </row>
    <row r="12">
      <c r="A12" s="23" t="inlineStr">
        <is>
          <t>Resilience (RES)</t>
        </is>
      </c>
      <c r="B12" s="30" t="n"/>
      <c r="C12" s="14">
        <f>IF($C$7="","",INT($C$7/3))</f>
        <v/>
      </c>
      <c r="D12" s="30" t="n"/>
      <c r="E12" s="6" t="inlineStr">
        <is>
          <t>INT(CR ÷ 3). Added to checks against status effects and forced movement</t>
        </is>
      </c>
      <c r="F12" s="29" t="n"/>
      <c r="G12" s="29" t="n"/>
      <c r="H12" s="29" t="n"/>
      <c r="I12" s="30" t="n"/>
    </row>
    <row r="13">
      <c r="A13" s="23" t="inlineStr">
        <is>
          <t>Encounter Budget Cost (EBC)</t>
        </is>
      </c>
      <c r="B13" s="30" t="n"/>
      <c r="C13" s="14">
        <f>IF($C$7="","",$C$7*IF($E$5="Yes",3,2))</f>
        <v/>
      </c>
      <c r="D13" s="30" t="n"/>
      <c r="E13" s="6" t="inlineStr">
        <is>
          <t>CR × 2 (standard) / CR × 3 (Boss-level)</t>
        </is>
      </c>
      <c r="F13" s="29" t="n"/>
      <c r="G13" s="29" t="n"/>
      <c r="H13" s="29" t="n"/>
      <c r="I13" s="30" t="n"/>
    </row>
    <row r="14">
      <c r="A14" s="16" t="inlineStr">
        <is>
          <t>Survivors' combat ability is deliberately weak: unarmed / improvised objects deal only 1d4 damage. The creature's correct answer is always 'dispel its weakness' or evade, not kill it. The GM must make this clear to players on first encounter.</t>
        </is>
      </c>
      <c r="B14" s="29" t="n"/>
      <c r="C14" s="29" t="n"/>
      <c r="D14" s="29" t="n"/>
      <c r="E14" s="29" t="n"/>
      <c r="F14" s="29" t="n"/>
      <c r="G14" s="29" t="n"/>
      <c r="H14" s="29" t="n"/>
      <c r="I14" s="30" t="n"/>
    </row>
    <row r="15" ht="20" customHeight="1">
      <c r="A15" s="9" t="inlineStr">
        <is>
          <t>II. Behavior, Effect &amp; Dispel</t>
        </is>
      </c>
      <c r="B15" s="29" t="n"/>
      <c r="C15" s="29" t="n"/>
      <c r="D15" s="29" t="n"/>
      <c r="E15" s="29" t="n"/>
      <c r="F15" s="29" t="n"/>
      <c r="G15" s="29" t="n"/>
      <c r="H15" s="29" t="n"/>
      <c r="I15" s="30" t="n"/>
    </row>
    <row r="16" ht="33" customHeight="1">
      <c r="A16" s="23" t="inlineStr">
        <is>
          <t>Behavior</t>
        </is>
      </c>
      <c r="B16" s="30" t="n"/>
      <c r="C16" s="18" t="inlineStr">
        <is>
          <t>Follows the nearest Injured or Dying Survivor. If none wounded, drifts randomly (GM rolls d8 for direction).</t>
        </is>
      </c>
      <c r="D16" s="29" t="n"/>
      <c r="E16" s="29" t="n"/>
      <c r="F16" s="29" t="n"/>
      <c r="G16" s="29" t="n"/>
      <c r="H16" s="29" t="n"/>
      <c r="I16" s="30" t="n"/>
    </row>
    <row r="17" ht="93" customHeight="1">
      <c r="A17" s="23" t="inlineStr">
        <is>
          <t>Effect</t>
        </is>
      </c>
      <c r="B17" s="30" t="n"/>
      <c r="C17" s="18" t="inlineStr">
        <is>
          <t>When on the same or adjacent cell as the target, at each round(s) end:
① the target gains Ash Mark (Ash Mark, ST-23) — that Survivor's Scratch Marks last twice as long and the Killer's check to read Scratch Marks +3;
② the target's heal-progress track −1 cell (leaves keep tearing the wound open).
Deals no Health State (HS) loss.</t>
        </is>
      </c>
      <c r="D17" s="29" t="n"/>
      <c r="E17" s="29" t="n"/>
      <c r="F17" s="29" t="n"/>
      <c r="G17" s="29" t="n"/>
      <c r="H17" s="29" t="n"/>
      <c r="I17" s="30" t="n"/>
    </row>
    <row r="18" ht="78" customHeight="1">
      <c r="A18" s="23" t="inlineStr">
        <is>
          <t>Dispel Weakness</t>
        </is>
      </c>
      <c r="B18" s="30" t="n"/>
      <c r="C18" s="18" t="inlineStr">
        <is>
          <t>① entering a building or crossing a flowing-water cell: the leaf swarm cannot follow, immediately detaches (Ash Mark persists until expiry);
② completing healing back to Healthy: the leaf swarm loses its target and drifts randomly;
③ fire (altar braziers provided by the scenario): entering a cell adjacent to flame → leaf swarm destroyed immediately.</t>
        </is>
      </c>
      <c r="D18" s="29" t="n"/>
      <c r="E18" s="29" t="n"/>
      <c r="F18" s="29" t="n"/>
      <c r="G18" s="29" t="n"/>
      <c r="H18" s="29" t="n"/>
      <c r="I18" s="30" t="n"/>
    </row>
    <row r="19" ht="22" customHeight="1">
      <c r="A19" s="23" t="inlineStr">
        <is>
          <t>Solo config (N = 1) adjustment</t>
        </is>
      </c>
      <c r="B19" s="30" t="n"/>
      <c r="C19" s="18" t="inlineStr">
        <is>
          <t>Heal-progress-track penalty changed to −1 cell per 2 round(s).</t>
        </is>
      </c>
      <c r="D19" s="29" t="n"/>
      <c r="E19" s="29" t="n"/>
      <c r="F19" s="29" t="n"/>
      <c r="G19" s="29" t="n"/>
      <c r="H19" s="29" t="n"/>
      <c r="I19" s="30" t="n"/>
    </row>
    <row r="20" ht="20" customHeight="1">
      <c r="A20" s="9" t="inlineStr">
        <is>
          <t>IV. Tracking Track (in Trial)</t>
        </is>
      </c>
      <c r="B20" s="29" t="n"/>
      <c r="C20" s="29" t="n"/>
      <c r="D20" s="29" t="n"/>
      <c r="E20" s="29" t="n"/>
      <c r="F20" s="29" t="n"/>
      <c r="G20" s="29" t="n"/>
      <c r="H20" s="29" t="n"/>
      <c r="I20" s="30" t="n"/>
    </row>
    <row r="21">
      <c r="A21" s="23" t="inlineStr">
        <is>
          <t>Current HP (HP)</t>
        </is>
      </c>
      <c r="B21" s="30" t="n"/>
      <c r="C21" s="8" t="n"/>
      <c r="D21" s="30" t="n"/>
      <c r="E21" s="23" t="inlineStr">
        <is>
          <t>Core Exposed / Tier Segment</t>
        </is>
      </c>
      <c r="F21" s="30" t="n"/>
      <c r="G21" s="6" t="n"/>
      <c r="H21" s="29" t="n"/>
      <c r="I21" s="30" t="n"/>
    </row>
    <row r="22">
      <c r="A22" s="23" t="inlineStr">
        <is>
          <t>Current Status Effect</t>
        </is>
      </c>
      <c r="B22" s="30" t="n"/>
      <c r="C22" s="6" t="n"/>
      <c r="D22" s="29" t="n"/>
      <c r="E22" s="29" t="n"/>
      <c r="F22" s="29" t="n"/>
      <c r="G22" s="29" t="n"/>
      <c r="H22" s="29" t="n"/>
      <c r="I22" s="30" t="n"/>
    </row>
    <row r="23" ht="44" customHeight="1">
      <c r="A23" s="23" t="inlineStr">
        <is>
          <t>Notes</t>
        </is>
      </c>
      <c r="B23" s="30" t="n"/>
      <c r="C23" s="18" t="n"/>
      <c r="D23" s="29" t="n"/>
      <c r="E23" s="29" t="n"/>
      <c r="F23" s="29" t="n"/>
      <c r="G23" s="29" t="n"/>
      <c r="H23" s="29" t="n"/>
      <c r="I23" s="30" t="n"/>
    </row>
  </sheetData>
  <mergeCells count="47">
    <mergeCell ref="E3:I3"/>
    <mergeCell ref="C23:I23"/>
    <mergeCell ref="E12:I12"/>
    <mergeCell ref="C17:I17"/>
    <mergeCell ref="A11:B11"/>
    <mergeCell ref="E8:I8"/>
    <mergeCell ref="C19:I19"/>
    <mergeCell ref="A16:B16"/>
    <mergeCell ref="E4:I4"/>
    <mergeCell ref="A7:B7"/>
    <mergeCell ref="C10:D10"/>
    <mergeCell ref="C18:I18"/>
    <mergeCell ref="E10:I10"/>
    <mergeCell ref="A14:I14"/>
    <mergeCell ref="E13:I13"/>
    <mergeCell ref="C9:D9"/>
    <mergeCell ref="A18:B18"/>
    <mergeCell ref="A20:I20"/>
    <mergeCell ref="E9:I9"/>
    <mergeCell ref="A12:B12"/>
    <mergeCell ref="C12:D12"/>
    <mergeCell ref="A21:B21"/>
    <mergeCell ref="D7:E7"/>
    <mergeCell ref="C21:D21"/>
    <mergeCell ref="F7:I7"/>
    <mergeCell ref="C11:D11"/>
    <mergeCell ref="E11:I11"/>
    <mergeCell ref="C16:I16"/>
    <mergeCell ref="A17:B17"/>
    <mergeCell ref="A23:B23"/>
    <mergeCell ref="A8:B8"/>
    <mergeCell ref="G21:I21"/>
    <mergeCell ref="C8:D8"/>
    <mergeCell ref="A22:B22"/>
    <mergeCell ref="A15:I15"/>
    <mergeCell ref="G2:I2"/>
    <mergeCell ref="C22:I22"/>
    <mergeCell ref="A19:B19"/>
    <mergeCell ref="A10:B10"/>
    <mergeCell ref="A1:I1"/>
    <mergeCell ref="A13:B13"/>
    <mergeCell ref="H5:I5"/>
    <mergeCell ref="C13:D13"/>
    <mergeCell ref="A6:I6"/>
    <mergeCell ref="A2:C5"/>
    <mergeCell ref="A9:B9"/>
    <mergeCell ref="E21:F21"/>
  </mergeCells>
  <dataValidations count="2">
    <dataValidation sqref="E5" showDropDown="0" showInputMessage="0" showErrorMessage="0" allowBlank="1" type="list">
      <formula1>"是,否"</formula1>
    </dataValidation>
    <dataValidation sqref="H5:I5" showDropDown="0" showInputMessage="0" showErrorMessage="0" allowBlank="1" type="list">
      <formula1>"是,否"</formula1>
    </dataValidation>
  </dataValidations>
  <printOptions horizontalCentered="1"/>
  <pageMargins left="0.75" right="0.75" top="1" bottom="1" header="0.5" footer="0.5"/>
  <pageSetup orientation="portrait" fitToHeight="0" fitToWidth="1"/>
</worksheet>
</file>

<file path=xl/worksheets/sheet18.xml><?xml version="1.0" encoding="utf-8"?>
<worksheet xmlns="http://schemas.openxmlformats.org/spreadsheetml/2006/main">
  <sheetPr>
    <outlinePr summaryBelow="1" summaryRight="1"/>
    <pageSetUpPr fitToPage="1"/>
  </sheetPr>
  <dimension ref="A1:I25"/>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21" t="inlineStr">
        <is>
          <t>Dead by Daylight TRPG　Enemy Character Sheet　·　Realm Creature</t>
        </is>
      </c>
      <c r="B1" s="25" t="n"/>
      <c r="C1" s="25" t="n"/>
      <c r="D1" s="25" t="n"/>
      <c r="E1" s="25" t="n"/>
      <c r="F1" s="25" t="n"/>
      <c r="G1" s="25" t="n"/>
      <c r="H1" s="25" t="n"/>
      <c r="I1" s="26" t="n"/>
    </row>
    <row r="2">
      <c r="A2" s="3" t="inlineStr">
        <is>
          <t>Character Art
(Paste character image here)</t>
        </is>
      </c>
      <c r="B2" s="27" t="n"/>
      <c r="C2" s="28" t="n"/>
      <c r="D2" s="5" t="inlineStr">
        <is>
          <t>No.</t>
        </is>
      </c>
      <c r="E2" s="8" t="inlineStr">
        <is>
          <t>RC-09</t>
        </is>
      </c>
      <c r="F2" s="5" t="inlineStr">
        <is>
          <t>Name</t>
        </is>
      </c>
      <c r="G2" s="6" t="inlineStr">
        <is>
          <t>Bonefield Statue（Boneyard Effigy）</t>
        </is>
      </c>
      <c r="H2" s="29" t="n"/>
      <c r="I2" s="30" t="n"/>
    </row>
    <row r="3">
      <c r="A3" s="31" t="n"/>
      <c r="C3" s="32" t="n"/>
      <c r="D3" s="5" t="inlineStr">
        <is>
          <t>Affiliated Realm</t>
        </is>
      </c>
      <c r="E3" s="6" t="inlineStr">
        <is>
          <t>R8 Forsaken Boneyard</t>
        </is>
      </c>
      <c r="F3" s="29" t="n"/>
      <c r="G3" s="29" t="n"/>
      <c r="H3" s="29" t="n"/>
      <c r="I3" s="30" t="n"/>
    </row>
    <row r="4">
      <c r="A4" s="31" t="n"/>
      <c r="C4" s="32" t="n"/>
      <c r="D4" s="5" t="inlineStr">
        <is>
          <t>Type</t>
        </is>
      </c>
      <c r="E4" s="6" t="inlineStr">
        <is>
          <t>Guard / Area-lock type</t>
        </is>
      </c>
      <c r="F4" s="29" t="n"/>
      <c r="G4" s="29" t="n"/>
      <c r="H4" s="29" t="n"/>
      <c r="I4" s="30" t="n"/>
    </row>
    <row r="5">
      <c r="A5" s="33" t="n"/>
      <c r="B5" s="34" t="n"/>
      <c r="C5" s="35" t="n"/>
      <c r="D5" s="5" t="inlineStr">
        <is>
          <t>Boss-level</t>
        </is>
      </c>
      <c r="E5" s="8" t="inlineStr">
        <is>
          <t>No</t>
        </is>
      </c>
      <c r="F5" s="5" t="inlineStr">
        <is>
          <t>Deals Health State (HS) loss</t>
        </is>
      </c>
      <c r="H5" s="8" t="n"/>
      <c r="I5" s="30" t="n"/>
    </row>
    <row r="6" ht="20" customHeight="1">
      <c r="A6" s="9" t="inlineStr">
        <is>
          <t>I. Data (enter Challenge Rating (CR); rest auto-calculated)</t>
        </is>
      </c>
      <c r="B6" s="29" t="n"/>
      <c r="C6" s="29" t="n"/>
      <c r="D6" s="29" t="n"/>
      <c r="E6" s="29" t="n"/>
      <c r="F6" s="29" t="n"/>
      <c r="G6" s="29" t="n"/>
      <c r="H6" s="29" t="n"/>
      <c r="I6" s="30" t="n"/>
    </row>
    <row r="7" ht="30" customHeight="1">
      <c r="A7" s="5" t="inlineStr">
        <is>
          <t>Challenge Rating (CR)</t>
        </is>
      </c>
      <c r="B7" s="30" t="n"/>
      <c r="C7" s="8" t="n">
        <v>6</v>
      </c>
      <c r="D7" s="5" t="inlineStr">
        <is>
          <t>Move</t>
        </is>
      </c>
      <c r="E7" s="30" t="n"/>
      <c r="F7" s="6" t="inlineStr">
        <is>
          <t>0 (stationary stone statue), but may "reappear" anywhere within an 8-cell radius of itself (1 Action Point (AP), no Move trail)</t>
        </is>
      </c>
      <c r="G7" s="29" t="n"/>
      <c r="H7" s="29" t="n"/>
      <c r="I7" s="30" t="n"/>
    </row>
    <row r="8">
      <c r="A8" s="23" t="inlineStr">
        <is>
          <t>HP (HP)</t>
        </is>
      </c>
      <c r="B8" s="30" t="n"/>
      <c r="C8" s="14">
        <f>IF($C$7="","",10+4*$C$7)</f>
        <v/>
      </c>
      <c r="D8" s="30" t="n"/>
      <c r="E8" s="6" t="inlineStr">
        <is>
          <t>10 + 4×Challenge Rating (CR)</t>
        </is>
      </c>
      <c r="F8" s="29" t="n"/>
      <c r="G8" s="29" t="n"/>
      <c r="H8" s="29" t="n"/>
      <c r="I8" s="30" t="n"/>
    </row>
    <row r="9">
      <c r="A9" s="23" t="inlineStr">
        <is>
          <t>Attack Modifier</t>
        </is>
      </c>
      <c r="B9" s="30" t="n"/>
      <c r="C9" s="14">
        <f>IF($C$7="","",INT($C$7/2)+2)</f>
        <v/>
      </c>
      <c r="D9" s="30" t="n"/>
      <c r="E9" s="6" t="inlineStr">
        <is>
          <t>INT(CR ÷ 2) ＋ 2</t>
        </is>
      </c>
      <c r="F9" s="29" t="n"/>
      <c r="G9" s="29" t="n"/>
      <c r="H9" s="29" t="n"/>
      <c r="I9" s="30" t="n"/>
    </row>
    <row r="10">
      <c r="A10" s="23" t="inlineStr">
        <is>
          <t>Defense Difficulty Class (DC)</t>
        </is>
      </c>
      <c r="B10" s="30" t="n"/>
      <c r="C10" s="14">
        <f>IF($C$7="","",10+INT($C$7/2))</f>
        <v/>
      </c>
      <c r="D10" s="30" t="n"/>
      <c r="E10" s="6" t="inlineStr">
        <is>
          <t>10 + INT(CR ÷ 2). Target value when a Survivor attacks or interferes with this creature</t>
        </is>
      </c>
      <c r="F10" s="29" t="n"/>
      <c r="G10" s="29" t="n"/>
      <c r="H10" s="29" t="n"/>
      <c r="I10" s="30" t="n"/>
    </row>
    <row r="11">
      <c r="A11" s="23" t="inlineStr">
        <is>
          <t>Action Point (AP) / round</t>
        </is>
      </c>
      <c r="B11" s="30" t="n"/>
      <c r="C11" s="14">
        <f>IF($C$7="","",IF($C$7&gt;=8,4,IF($C$7&gt;=5,3,2)))</f>
        <v/>
      </c>
      <c r="D11" s="30" t="n"/>
      <c r="E11" s="6" t="inlineStr">
        <is>
          <t>CR 1–4 → 2 / CR 5–7 → 3 / CR 8+ → 4</t>
        </is>
      </c>
      <c r="F11" s="29" t="n"/>
      <c r="G11" s="29" t="n"/>
      <c r="H11" s="29" t="n"/>
      <c r="I11" s="30" t="n"/>
    </row>
    <row r="12">
      <c r="A12" s="23" t="inlineStr">
        <is>
          <t>Resilience (RES)</t>
        </is>
      </c>
      <c r="B12" s="30" t="n"/>
      <c r="C12" s="14">
        <f>IF($C$7="","",INT($C$7/3))</f>
        <v/>
      </c>
      <c r="D12" s="30" t="n"/>
      <c r="E12" s="6" t="inlineStr">
        <is>
          <t>INT(CR ÷ 3). Added to checks against status effects and forced movement</t>
        </is>
      </c>
      <c r="F12" s="29" t="n"/>
      <c r="G12" s="29" t="n"/>
      <c r="H12" s="29" t="n"/>
      <c r="I12" s="30" t="n"/>
    </row>
    <row r="13">
      <c r="A13" s="23" t="inlineStr">
        <is>
          <t>Encounter Budget Cost (EBC)</t>
        </is>
      </c>
      <c r="B13" s="30" t="n"/>
      <c r="C13" s="14">
        <f>IF($C$7="","",$C$7*IF($E$5="Yes",3,2))</f>
        <v/>
      </c>
      <c r="D13" s="30" t="n"/>
      <c r="E13" s="6" t="inlineStr">
        <is>
          <t>CR × 2 (standard) / CR × 3 (Boss-level)</t>
        </is>
      </c>
      <c r="F13" s="29" t="n"/>
      <c r="G13" s="29" t="n"/>
      <c r="H13" s="29" t="n"/>
      <c r="I13" s="30" t="n"/>
    </row>
    <row r="14">
      <c r="A14" s="16" t="inlineStr">
        <is>
          <t>Survivors' combat ability is deliberately weak: unarmed / improvised objects deal only 1d4 damage. The creature's correct answer is always 'dispel its weakness' or evade, not kill it. The GM must make this clear to players on first encounter.</t>
        </is>
      </c>
      <c r="B14" s="29" t="n"/>
      <c r="C14" s="29" t="n"/>
      <c r="D14" s="29" t="n"/>
      <c r="E14" s="29" t="n"/>
      <c r="F14" s="29" t="n"/>
      <c r="G14" s="29" t="n"/>
      <c r="H14" s="29" t="n"/>
      <c r="I14" s="30" t="n"/>
    </row>
    <row r="15" ht="20" customHeight="1">
      <c r="A15" s="9" t="inlineStr">
        <is>
          <t>II. Behavior, Effect &amp; Dispel</t>
        </is>
      </c>
      <c r="B15" s="29" t="n"/>
      <c r="C15" s="29" t="n"/>
      <c r="D15" s="29" t="n"/>
      <c r="E15" s="29" t="n"/>
      <c r="F15" s="29" t="n"/>
      <c r="G15" s="29" t="n"/>
      <c r="H15" s="29" t="n"/>
      <c r="I15" s="30" t="n"/>
    </row>
    <row r="16" ht="33" customHeight="1">
      <c r="A16" s="23" t="inlineStr">
        <is>
          <t>Behavior</t>
        </is>
      </c>
      <c r="B16" s="30" t="n"/>
      <c r="C16" s="18" t="inlineStr">
        <is>
          <t>Guards a designated target (a Generator, a Chest, or the tier-ladder to the central tower). Activates when a Survivor enters its guard range (6 cells).</t>
        </is>
      </c>
      <c r="D16" s="29" t="n"/>
      <c r="E16" s="29" t="n"/>
      <c r="F16" s="29" t="n"/>
      <c r="G16" s="29" t="n"/>
      <c r="H16" s="29" t="n"/>
      <c r="I16" s="30" t="n"/>
    </row>
    <row r="17" ht="22" customHeight="1">
      <c r="A17" s="23" t="inlineStr">
        <is>
          <t>Effect</t>
        </is>
      </c>
      <c r="B17" s="30" t="n"/>
      <c r="C17" s="18" t="n"/>
      <c r="D17" s="29" t="n"/>
      <c r="E17" s="29" t="n"/>
      <c r="F17" s="29" t="n"/>
      <c r="G17" s="29" t="n"/>
      <c r="H17" s="29" t="n"/>
      <c r="I17" s="30" t="n"/>
    </row>
    <row r="18" ht="138" customHeight="1">
      <c r="A18" s="23" t="inlineStr">
        <is>
          <t>Dispel Weakness</t>
        </is>
      </c>
      <c r="B18" s="30" t="n"/>
      <c r="C18" s="18" t="inlineStr">
        <is>
          <t>The statue's two eyes are embedded bone beads.
Take the beads: requires two Survivors simultaneously on its two diagonal adjacent cells, each spending 2 Action Point (AP) + Agility (AGI) check vs Difficulty Class (DC) 14, both Success in the same round(s) → the statue crumbles, destroyed immediately, and drops 1 carryable bone bead (usable as a one-time Killer-stun item: throw for 1 Action Point (AP), on hit the Killer is stunned 1 round(s)).
Solo alternative (required for N = 1): a solo player may instead spend 3 round(s) consecutively, 3 Action Point (AP) each, on a Technique (TEC) + Search (SRC) check vs Difficulty Class (DC) 14, accumulating 3 Successes (need not be consecutive) to take the bead. If hit by the statue during this, progress resets.</t>
        </is>
      </c>
      <c r="D18" s="29" t="n"/>
      <c r="E18" s="29" t="n"/>
      <c r="F18" s="29" t="n"/>
      <c r="G18" s="29" t="n"/>
      <c r="H18" s="29" t="n"/>
      <c r="I18" s="30" t="n"/>
    </row>
    <row r="19" ht="22" customHeight="1">
      <c r="A19" s="23" t="inlineStr">
        <is>
          <t>Solo config (N = 1) adjustment</t>
        </is>
      </c>
      <c r="B19" s="30" t="n"/>
      <c r="C19" s="18" t="inlineStr">
        <is>
          <t>See alternative above; guard range lowered to 4 cells.</t>
        </is>
      </c>
      <c r="D19" s="29" t="n"/>
      <c r="E19" s="29" t="n"/>
      <c r="F19" s="29" t="n"/>
      <c r="G19" s="29" t="n"/>
      <c r="H19" s="29" t="n"/>
      <c r="I19" s="30" t="n"/>
    </row>
    <row r="20" ht="20" customHeight="1">
      <c r="A20" s="9" t="inlineStr">
        <is>
          <t>III. Special Rule</t>
        </is>
      </c>
      <c r="B20" s="29" t="n"/>
      <c r="C20" s="29" t="n"/>
      <c r="D20" s="29" t="n"/>
      <c r="E20" s="29" t="n"/>
      <c r="F20" s="29" t="n"/>
      <c r="G20" s="29" t="n"/>
      <c r="H20" s="29" t="n"/>
      <c r="I20" s="30" t="n"/>
    </row>
    <row r="21" ht="78" customHeight="1">
      <c r="A21" s="23" t="inlineStr">
        <is>
          <t>Effect (Attack)</t>
        </is>
      </c>
      <c r="B21" s="30" t="n"/>
      <c r="C21" s="18" t="inlineStr">
        <is>
          <t>Contact (CON) with attack: 2d10 + 5 vs Survivor Agility (AGI) dodge Difficulty Class (DC).
Hit → lose 1 Tier of Health State (HS) + forced displacement 3 cells (pushed out of guard range).
Extra: for the object it guards, all of a Survivor's checks against that target within its guard range are −3.</t>
        </is>
      </c>
      <c r="D21" s="29" t="n"/>
      <c r="E21" s="29" t="n"/>
      <c r="F21" s="29" t="n"/>
      <c r="G21" s="29" t="n"/>
      <c r="H21" s="29" t="n"/>
      <c r="I21" s="30" t="n"/>
    </row>
    <row r="22" ht="20" customHeight="1">
      <c r="A22" s="9" t="inlineStr">
        <is>
          <t>IV. Tracking Track (in Trial)</t>
        </is>
      </c>
      <c r="B22" s="29" t="n"/>
      <c r="C22" s="29" t="n"/>
      <c r="D22" s="29" t="n"/>
      <c r="E22" s="29" t="n"/>
      <c r="F22" s="29" t="n"/>
      <c r="G22" s="29" t="n"/>
      <c r="H22" s="29" t="n"/>
      <c r="I22" s="30" t="n"/>
    </row>
    <row r="23">
      <c r="A23" s="23" t="inlineStr">
        <is>
          <t>Current HP (HP)</t>
        </is>
      </c>
      <c r="B23" s="30" t="n"/>
      <c r="C23" s="8" t="n"/>
      <c r="D23" s="30" t="n"/>
      <c r="E23" s="23" t="inlineStr">
        <is>
          <t>Core Exposed / Tier Segment</t>
        </is>
      </c>
      <c r="F23" s="30" t="n"/>
      <c r="G23" s="6" t="n"/>
      <c r="H23" s="29" t="n"/>
      <c r="I23" s="30" t="n"/>
    </row>
    <row r="24">
      <c r="A24" s="23" t="inlineStr">
        <is>
          <t>Current Status Effect</t>
        </is>
      </c>
      <c r="B24" s="30" t="n"/>
      <c r="C24" s="6" t="n"/>
      <c r="D24" s="29" t="n"/>
      <c r="E24" s="29" t="n"/>
      <c r="F24" s="29" t="n"/>
      <c r="G24" s="29" t="n"/>
      <c r="H24" s="29" t="n"/>
      <c r="I24" s="30" t="n"/>
    </row>
    <row r="25" ht="44" customHeight="1">
      <c r="A25" s="23" t="inlineStr">
        <is>
          <t>Notes</t>
        </is>
      </c>
      <c r="B25" s="30" t="n"/>
      <c r="C25" s="18" t="n"/>
      <c r="D25" s="29" t="n"/>
      <c r="E25" s="29" t="n"/>
      <c r="F25" s="29" t="n"/>
      <c r="G25" s="29" t="n"/>
      <c r="H25" s="29" t="n"/>
      <c r="I25" s="30" t="n"/>
    </row>
  </sheetData>
  <mergeCells count="50">
    <mergeCell ref="E3:I3"/>
    <mergeCell ref="A24:B24"/>
    <mergeCell ref="E12:I12"/>
    <mergeCell ref="C17:I17"/>
    <mergeCell ref="A11:B11"/>
    <mergeCell ref="E23:F23"/>
    <mergeCell ref="E8:I8"/>
    <mergeCell ref="C19:I19"/>
    <mergeCell ref="A16:B16"/>
    <mergeCell ref="E4:I4"/>
    <mergeCell ref="A7:B7"/>
    <mergeCell ref="C10:D10"/>
    <mergeCell ref="C18:I18"/>
    <mergeCell ref="A25:B25"/>
    <mergeCell ref="E10:I10"/>
    <mergeCell ref="A14:I14"/>
    <mergeCell ref="E13:I13"/>
    <mergeCell ref="C24:I24"/>
    <mergeCell ref="C9:D9"/>
    <mergeCell ref="A18:B18"/>
    <mergeCell ref="A22:I22"/>
    <mergeCell ref="A20:I20"/>
    <mergeCell ref="E9:I9"/>
    <mergeCell ref="A12:B12"/>
    <mergeCell ref="C12:D12"/>
    <mergeCell ref="A21:B21"/>
    <mergeCell ref="D7:E7"/>
    <mergeCell ref="F7:I7"/>
    <mergeCell ref="C11:D11"/>
    <mergeCell ref="E11:I11"/>
    <mergeCell ref="C16:I16"/>
    <mergeCell ref="A17:B17"/>
    <mergeCell ref="A23:B23"/>
    <mergeCell ref="A8:B8"/>
    <mergeCell ref="C23:D23"/>
    <mergeCell ref="C25:I25"/>
    <mergeCell ref="C8:D8"/>
    <mergeCell ref="A15:I15"/>
    <mergeCell ref="G2:I2"/>
    <mergeCell ref="A19:B19"/>
    <mergeCell ref="A10:B10"/>
    <mergeCell ref="C21:I21"/>
    <mergeCell ref="A1:I1"/>
    <mergeCell ref="G23:I23"/>
    <mergeCell ref="A13:B13"/>
    <mergeCell ref="H5:I5"/>
    <mergeCell ref="C13:D13"/>
    <mergeCell ref="A6:I6"/>
    <mergeCell ref="A2:C5"/>
    <mergeCell ref="A9:B9"/>
  </mergeCells>
  <dataValidations count="2">
    <dataValidation sqref="E5" showDropDown="0" showInputMessage="0" showErrorMessage="0" allowBlank="1" type="list">
      <formula1>"是,否"</formula1>
    </dataValidation>
    <dataValidation sqref="H5:I5" showDropDown="0" showInputMessage="0" showErrorMessage="0" allowBlank="1" type="list">
      <formula1>"是,否"</formula1>
    </dataValidation>
  </dataValidations>
  <printOptions horizontalCentered="1"/>
  <pageMargins left="0.75" right="0.75" top="1" bottom="1" header="0.5" footer="0.5"/>
  <pageSetup orientation="portrait" fitToHeight="0" fitToWidth="1"/>
</worksheet>
</file>

<file path=xl/worksheets/sheet19.xml><?xml version="1.0" encoding="utf-8"?>
<worksheet xmlns="http://schemas.openxmlformats.org/spreadsheetml/2006/main">
  <sheetPr>
    <outlinePr summaryBelow="1" summaryRight="1"/>
    <pageSetUpPr fitToPage="1"/>
  </sheetPr>
  <dimension ref="A1:I27"/>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21" t="inlineStr">
        <is>
          <t>Dead by Daylight TRPG　Enemy Character Sheet　·　Realm Creature</t>
        </is>
      </c>
      <c r="B1" s="25" t="n"/>
      <c r="C1" s="25" t="n"/>
      <c r="D1" s="25" t="n"/>
      <c r="E1" s="25" t="n"/>
      <c r="F1" s="25" t="n"/>
      <c r="G1" s="25" t="n"/>
      <c r="H1" s="25" t="n"/>
      <c r="I1" s="26" t="n"/>
    </row>
    <row r="2">
      <c r="A2" s="3" t="inlineStr">
        <is>
          <t>Character Art
(Paste character image here)</t>
        </is>
      </c>
      <c r="B2" s="27" t="n"/>
      <c r="C2" s="28" t="n"/>
      <c r="D2" s="5" t="inlineStr">
        <is>
          <t>No.</t>
        </is>
      </c>
      <c r="E2" s="8" t="inlineStr">
        <is>
          <t>RC-10</t>
        </is>
      </c>
      <c r="F2" s="5" t="inlineStr">
        <is>
          <t>Name</t>
        </is>
      </c>
      <c r="G2" s="6" t="inlineStr">
        <is>
          <t>The Fogcellar Warden　Boss-tier</t>
        </is>
      </c>
      <c r="H2" s="29" t="n"/>
      <c r="I2" s="30" t="n"/>
    </row>
    <row r="3">
      <c r="A3" s="31" t="n"/>
      <c r="C3" s="32" t="n"/>
      <c r="D3" s="5" t="inlineStr">
        <is>
          <t>Affiliated Realm</t>
        </is>
      </c>
      <c r="E3" s="6" t="inlineStr">
        <is>
          <t>General (The Fog boundary, Fogcellar entrance)</t>
        </is>
      </c>
      <c r="F3" s="29" t="n"/>
      <c r="G3" s="29" t="n"/>
      <c r="H3" s="29" t="n"/>
      <c r="I3" s="30" t="n"/>
    </row>
    <row r="4">
      <c r="A4" s="31" t="n"/>
      <c r="C4" s="32" t="n"/>
      <c r="D4" s="5" t="inlineStr">
        <is>
          <t>Type</t>
        </is>
      </c>
      <c r="E4" s="6" t="inlineStr">
        <is>
          <t>Boss-tier / Tier-segment type</t>
        </is>
      </c>
      <c r="F4" s="29" t="n"/>
      <c r="G4" s="29" t="n"/>
      <c r="H4" s="29" t="n"/>
      <c r="I4" s="30" t="n"/>
    </row>
    <row r="5">
      <c r="A5" s="33" t="n"/>
      <c r="B5" s="34" t="n"/>
      <c r="C5" s="35" t="n"/>
      <c r="D5" s="5" t="inlineStr">
        <is>
          <t>Boss-level</t>
        </is>
      </c>
      <c r="E5" s="8" t="inlineStr">
        <is>
          <t>Yes</t>
        </is>
      </c>
      <c r="F5" s="5" t="inlineStr">
        <is>
          <t>Deals Health State (HS) loss</t>
        </is>
      </c>
      <c r="H5" s="8" t="n"/>
      <c r="I5" s="30" t="n"/>
    </row>
    <row r="6" ht="20" customHeight="1">
      <c r="A6" s="9" t="inlineStr">
        <is>
          <t>I. Data (enter Challenge Rating (CR); rest auto-calculated)</t>
        </is>
      </c>
      <c r="B6" s="29" t="n"/>
      <c r="C6" s="29" t="n"/>
      <c r="D6" s="29" t="n"/>
      <c r="E6" s="29" t="n"/>
      <c r="F6" s="29" t="n"/>
      <c r="G6" s="29" t="n"/>
      <c r="H6" s="29" t="n"/>
      <c r="I6" s="30" t="n"/>
    </row>
    <row r="7" ht="30" customHeight="1">
      <c r="A7" s="5" t="inlineStr">
        <is>
          <t>Challenge Rating (CR)</t>
        </is>
      </c>
      <c r="B7" s="30" t="n"/>
      <c r="C7" s="8" t="n">
        <v>8</v>
      </c>
      <c r="D7" s="5" t="inlineStr">
        <is>
          <t>Move</t>
        </is>
      </c>
      <c r="E7" s="30" t="n"/>
      <c r="F7" s="6" t="inlineStr">
        <is>
          <t>6 cells / round(s) (passes through fog, may ignore non-The Entity obstacles)</t>
        </is>
      </c>
      <c r="G7" s="29" t="n"/>
      <c r="H7" s="29" t="n"/>
      <c r="I7" s="30" t="n"/>
    </row>
    <row r="8">
      <c r="A8" s="23" t="inlineStr">
        <is>
          <t>HP (HP)</t>
        </is>
      </c>
      <c r="B8" s="30" t="n"/>
      <c r="C8" s="14">
        <f>IF($C$7="","",10+4*$C$7)</f>
        <v/>
      </c>
      <c r="D8" s="30" t="n"/>
      <c r="E8" s="6" t="inlineStr">
        <is>
          <t>10 + 4×Challenge Rating (CR)</t>
        </is>
      </c>
      <c r="F8" s="29" t="n"/>
      <c r="G8" s="29" t="n"/>
      <c r="H8" s="29" t="n"/>
      <c r="I8" s="30" t="n"/>
    </row>
    <row r="9">
      <c r="A9" s="23" t="inlineStr">
        <is>
          <t>Attack Modifier</t>
        </is>
      </c>
      <c r="B9" s="30" t="n"/>
      <c r="C9" s="14">
        <f>IF($C$7="","",INT($C$7/2)+2)</f>
        <v/>
      </c>
      <c r="D9" s="30" t="n"/>
      <c r="E9" s="6" t="inlineStr">
        <is>
          <t>INT(CR ÷ 2) ＋ 2</t>
        </is>
      </c>
      <c r="F9" s="29" t="n"/>
      <c r="G9" s="29" t="n"/>
      <c r="H9" s="29" t="n"/>
      <c r="I9" s="30" t="n"/>
    </row>
    <row r="10">
      <c r="A10" s="23" t="inlineStr">
        <is>
          <t>Defense Difficulty Class (DC)</t>
        </is>
      </c>
      <c r="B10" s="30" t="n"/>
      <c r="C10" s="14">
        <f>IF($C$7="","",10+INT($C$7/2))</f>
        <v/>
      </c>
      <c r="D10" s="30" t="n"/>
      <c r="E10" s="6" t="inlineStr">
        <is>
          <t>10 + INT(CR ÷ 2). Target value when a Survivor attacks or interferes with this creature</t>
        </is>
      </c>
      <c r="F10" s="29" t="n"/>
      <c r="G10" s="29" t="n"/>
      <c r="H10" s="29" t="n"/>
      <c r="I10" s="30" t="n"/>
    </row>
    <row r="11">
      <c r="A11" s="23" t="inlineStr">
        <is>
          <t>Action Point (AP) / round</t>
        </is>
      </c>
      <c r="B11" s="30" t="n"/>
      <c r="C11" s="14">
        <f>IF($C$7="","",IF($C$7&gt;=8,4,IF($C$7&gt;=5,3,2)))</f>
        <v/>
      </c>
      <c r="D11" s="30" t="n"/>
      <c r="E11" s="6" t="inlineStr">
        <is>
          <t>CR 1–4 → 2 / CR 5–7 → 3 / CR 8+ → 4</t>
        </is>
      </c>
      <c r="F11" s="29" t="n"/>
      <c r="G11" s="29" t="n"/>
      <c r="H11" s="29" t="n"/>
      <c r="I11" s="30" t="n"/>
    </row>
    <row r="12">
      <c r="A12" s="23" t="inlineStr">
        <is>
          <t>Resilience (RES)</t>
        </is>
      </c>
      <c r="B12" s="30" t="n"/>
      <c r="C12" s="14">
        <f>IF($C$7="","",INT($C$7/3))</f>
        <v/>
      </c>
      <c r="D12" s="30" t="n"/>
      <c r="E12" s="6" t="inlineStr">
        <is>
          <t>INT(CR ÷ 3). Added to checks against status effects and forced movement</t>
        </is>
      </c>
      <c r="F12" s="29" t="n"/>
      <c r="G12" s="29" t="n"/>
      <c r="H12" s="29" t="n"/>
      <c r="I12" s="30" t="n"/>
    </row>
    <row r="13">
      <c r="A13" s="23" t="inlineStr">
        <is>
          <t>Encounter Budget Cost (EBC)</t>
        </is>
      </c>
      <c r="B13" s="30" t="n"/>
      <c r="C13" s="14">
        <f>IF($C$7="","",$C$7*IF($E$5="Yes",3,2))</f>
        <v/>
      </c>
      <c r="D13" s="30" t="n"/>
      <c r="E13" s="6" t="inlineStr">
        <is>
          <t>CR × 2 (standard) / CR × 3 (Boss-level)</t>
        </is>
      </c>
      <c r="F13" s="29" t="n"/>
      <c r="G13" s="29" t="n"/>
      <c r="H13" s="29" t="n"/>
      <c r="I13" s="30" t="n"/>
    </row>
    <row r="14">
      <c r="A14" s="16" t="inlineStr">
        <is>
          <t>Survivors' combat ability is deliberately weak: unarmed / improvised objects deal only 1d4 damage. The creature's correct answer is always 'dispel its weakness' or evade, not kill it. The GM must make this clear to players on first encounter.</t>
        </is>
      </c>
      <c r="B14" s="29" t="n"/>
      <c r="C14" s="29" t="n"/>
      <c r="D14" s="29" t="n"/>
      <c r="E14" s="29" t="n"/>
      <c r="F14" s="29" t="n"/>
      <c r="G14" s="29" t="n"/>
      <c r="H14" s="29" t="n"/>
      <c r="I14" s="30" t="n"/>
    </row>
    <row r="15" ht="20" customHeight="1">
      <c r="A15" s="9" t="inlineStr">
        <is>
          <t>II. Behavior, Effect &amp; Dispel</t>
        </is>
      </c>
      <c r="B15" s="29" t="n"/>
      <c r="C15" s="29" t="n"/>
      <c r="D15" s="29" t="n"/>
      <c r="E15" s="29" t="n"/>
      <c r="F15" s="29" t="n"/>
      <c r="G15" s="29" t="n"/>
      <c r="H15" s="29" t="n"/>
      <c r="I15" s="30" t="n"/>
    </row>
    <row r="16" ht="22" customHeight="1">
      <c r="A16" s="23" t="inlineStr">
        <is>
          <t>Behavior</t>
        </is>
      </c>
      <c r="B16" s="30" t="n"/>
      <c r="C16" s="18" t="inlineStr">
        <is>
          <t>Guards the Fogcellar (source of Echo Companions, see 40_World_and_Narrative.md). Three-tier-segment boss.</t>
        </is>
      </c>
      <c r="D16" s="29" t="n"/>
      <c r="E16" s="29" t="n"/>
      <c r="F16" s="29" t="n"/>
      <c r="G16" s="29" t="n"/>
      <c r="H16" s="29" t="n"/>
      <c r="I16" s="30" t="n"/>
    </row>
    <row r="17" ht="22" customHeight="1">
      <c r="A17" s="23" t="inlineStr">
        <is>
          <t>Effect</t>
        </is>
      </c>
      <c r="B17" s="30" t="n"/>
      <c r="C17" s="18" t="n"/>
      <c r="D17" s="29" t="n"/>
      <c r="E17" s="29" t="n"/>
      <c r="F17" s="29" t="n"/>
      <c r="G17" s="29" t="n"/>
      <c r="H17" s="29" t="n"/>
      <c r="I17" s="30" t="n"/>
    </row>
    <row r="18" ht="78" customHeight="1">
      <c r="A18" s="23" t="inlineStr">
        <is>
          <t>Dispel Weakness</t>
        </is>
      </c>
      <c r="B18" s="30" t="n"/>
      <c r="C18" s="18" t="inlineStr">
        <is>
          <t>Its core is a fog lantern. Survivors may shine a Flashlight (FLT) continuously for 2 round(s) in any tier segment (each round(s) 1 Action Point (AP) + Focus (FOC) check vs Difficulty Class (DC) 14) to Expose its core for 2 round(s): during it all damage to it ×2, and its Attack Modifier −4.
Full dispel: while the core is Exposed, accumulating 10 points of damage force-skips the current tier segment.</t>
        </is>
      </c>
      <c r="D18" s="29" t="n"/>
      <c r="E18" s="29" t="n"/>
      <c r="F18" s="29" t="n"/>
      <c r="G18" s="29" t="n"/>
      <c r="H18" s="29" t="n"/>
      <c r="I18" s="30" t="n"/>
    </row>
    <row r="19" ht="33" customHeight="1">
      <c r="A19" s="23" t="inlineStr">
        <is>
          <t>Solo config (N = 1) adjustment</t>
        </is>
      </c>
      <c r="B19" s="30" t="n"/>
      <c r="C19" s="18" t="inlineStr">
        <is>
          <t>HP lowered to 30 (tier thresholds changed to 30–21 / 20–11 / 10–1); Tier 2 segment does not summon Rust Crows; Tier 3 segment's "drag into Fogcellar" changed to 5 round(s).</t>
        </is>
      </c>
      <c r="D19" s="29" t="n"/>
      <c r="E19" s="29" t="n"/>
      <c r="F19" s="29" t="n"/>
      <c r="G19" s="29" t="n"/>
      <c r="H19" s="29" t="n"/>
      <c r="I19" s="30" t="n"/>
    </row>
    <row r="20" ht="20" customHeight="1">
      <c r="A20" s="9" t="inlineStr">
        <is>
          <t>III. Special Rule</t>
        </is>
      </c>
      <c r="B20" s="29" t="n"/>
      <c r="C20" s="29" t="n"/>
      <c r="D20" s="29" t="n"/>
      <c r="E20" s="29" t="n"/>
      <c r="F20" s="29" t="n"/>
      <c r="G20" s="29" t="n"/>
      <c r="H20" s="29" t="n"/>
      <c r="I20" s="30" t="n"/>
    </row>
    <row r="21" ht="63" customHeight="1">
      <c r="A21" s="23" t="inlineStr">
        <is>
          <t>Tier 1 Segment (HP 42–29)</t>
        </is>
      </c>
      <c r="B21" s="30" t="n"/>
      <c r="C21" s="18" t="inlineStr">
        <is>
          <t>"Measure": each round(s) applies dread pressure 2d10 + 6 vs Will (WIL) to one Survivor in sight. Failure → Trembling (Trembling, ST-26) 2 round(s) + Action Point (AP) −1.
Deals no Health State (HS) loss.</t>
        </is>
      </c>
      <c r="D21" s="29" t="n"/>
      <c r="E21" s="29" t="n"/>
      <c r="F21" s="29" t="n"/>
      <c r="G21" s="29" t="n"/>
      <c r="H21" s="29" t="n"/>
      <c r="I21" s="30" t="n"/>
    </row>
    <row r="22" ht="63" customHeight="1">
      <c r="A22" s="23" t="inlineStr">
        <is>
          <t>Tier 2 Segment (HP 28–15)</t>
        </is>
      </c>
      <c r="B22" s="30" t="n"/>
      <c r="C22" s="18" t="inlineStr">
        <is>
          <t>"Gather": gains an Area Effect (AOE) attack — all within 4 cells of self, 2d10 + 6 vs Agility (AGI). Hit → forced displacement 3 cells (toward the Fogcellar) + Suffocating (Suffocating, ST-24) 2 round(s).
Extra: each round(s) summons 1 flock of Rust Crows (RC-01).</t>
        </is>
      </c>
      <c r="D22" s="29" t="n"/>
      <c r="E22" s="29" t="n"/>
      <c r="F22" s="29" t="n"/>
      <c r="G22" s="29" t="n"/>
      <c r="H22" s="29" t="n"/>
      <c r="I22" s="30" t="n"/>
    </row>
    <row r="23" ht="93" customHeight="1">
      <c r="A23" s="23" t="inlineStr">
        <is>
          <t>Tier 3 Segment (HP 14–1)</t>
        </is>
      </c>
      <c r="B23" s="30" t="n"/>
      <c r="C23" s="18" t="inlineStr">
        <is>
          <t>"Collect": gains real damage. Contact (CON) with attack 2d10 + 6, hit → lose 1 Tier of Health State (HS).
Special: if a Survivor enters Dying in this tier segment and is not raised within 3 round(s), that Survivor is dragged into the Fogcellar — not dead, but exits this Trial and appears as an Echo Companion in the next Trial (one of the most important narrative mechanics of this work, see 40_World_and_Narrative.md).</t>
        </is>
      </c>
      <c r="D23" s="29" t="n"/>
      <c r="E23" s="29" t="n"/>
      <c r="F23" s="29" t="n"/>
      <c r="G23" s="29" t="n"/>
      <c r="H23" s="29" t="n"/>
      <c r="I23" s="30" t="n"/>
    </row>
    <row r="24" ht="20" customHeight="1">
      <c r="A24" s="9" t="inlineStr">
        <is>
          <t>IV. Tracking Track (in Trial)</t>
        </is>
      </c>
      <c r="B24" s="29" t="n"/>
      <c r="C24" s="29" t="n"/>
      <c r="D24" s="29" t="n"/>
      <c r="E24" s="29" t="n"/>
      <c r="F24" s="29" t="n"/>
      <c r="G24" s="29" t="n"/>
      <c r="H24" s="29" t="n"/>
      <c r="I24" s="30" t="n"/>
    </row>
    <row r="25">
      <c r="A25" s="23" t="inlineStr">
        <is>
          <t>Current HP (HP)</t>
        </is>
      </c>
      <c r="B25" s="30" t="n"/>
      <c r="C25" s="8" t="n"/>
      <c r="D25" s="30" t="n"/>
      <c r="E25" s="23" t="inlineStr">
        <is>
          <t>Core Exposed / Tier Segment</t>
        </is>
      </c>
      <c r="F25" s="30" t="n"/>
      <c r="G25" s="6" t="n"/>
      <c r="H25" s="29" t="n"/>
      <c r="I25" s="30" t="n"/>
    </row>
    <row r="26">
      <c r="A26" s="23" t="inlineStr">
        <is>
          <t>Current Status Effect</t>
        </is>
      </c>
      <c r="B26" s="30" t="n"/>
      <c r="C26" s="6" t="n"/>
      <c r="D26" s="29" t="n"/>
      <c r="E26" s="29" t="n"/>
      <c r="F26" s="29" t="n"/>
      <c r="G26" s="29" t="n"/>
      <c r="H26" s="29" t="n"/>
      <c r="I26" s="30" t="n"/>
    </row>
    <row r="27" ht="44" customHeight="1">
      <c r="A27" s="23" t="inlineStr">
        <is>
          <t>Notes</t>
        </is>
      </c>
      <c r="B27" s="30" t="n"/>
      <c r="C27" s="18" t="n"/>
      <c r="D27" s="29" t="n"/>
      <c r="E27" s="29" t="n"/>
      <c r="F27" s="29" t="n"/>
      <c r="G27" s="29" t="n"/>
      <c r="H27" s="29" t="n"/>
      <c r="I27" s="30" t="n"/>
    </row>
  </sheetData>
  <mergeCells count="54">
    <mergeCell ref="E3:I3"/>
    <mergeCell ref="C23:I23"/>
    <mergeCell ref="E12:I12"/>
    <mergeCell ref="C17:I17"/>
    <mergeCell ref="A11:B11"/>
    <mergeCell ref="E8:I8"/>
    <mergeCell ref="C19:I19"/>
    <mergeCell ref="A16:B16"/>
    <mergeCell ref="E4:I4"/>
    <mergeCell ref="A7:B7"/>
    <mergeCell ref="C10:D10"/>
    <mergeCell ref="C18:I18"/>
    <mergeCell ref="A25:B25"/>
    <mergeCell ref="C25:D25"/>
    <mergeCell ref="E10:I10"/>
    <mergeCell ref="A14:I14"/>
    <mergeCell ref="E13:I13"/>
    <mergeCell ref="C9:D9"/>
    <mergeCell ref="A18:B18"/>
    <mergeCell ref="A27:B27"/>
    <mergeCell ref="A20:I20"/>
    <mergeCell ref="E9:I9"/>
    <mergeCell ref="A12:B12"/>
    <mergeCell ref="G25:I25"/>
    <mergeCell ref="C12:D12"/>
    <mergeCell ref="A21:B21"/>
    <mergeCell ref="A26:B26"/>
    <mergeCell ref="D7:E7"/>
    <mergeCell ref="F7:I7"/>
    <mergeCell ref="C26:I26"/>
    <mergeCell ref="C11:D11"/>
    <mergeCell ref="E11:I11"/>
    <mergeCell ref="C16:I16"/>
    <mergeCell ref="A17:B17"/>
    <mergeCell ref="A23:B23"/>
    <mergeCell ref="A8:B8"/>
    <mergeCell ref="C8:D8"/>
    <mergeCell ref="A22:B22"/>
    <mergeCell ref="A24:I24"/>
    <mergeCell ref="A15:I15"/>
    <mergeCell ref="G2:I2"/>
    <mergeCell ref="C22:I22"/>
    <mergeCell ref="E25:F25"/>
    <mergeCell ref="A19:B19"/>
    <mergeCell ref="A10:B10"/>
    <mergeCell ref="C21:I21"/>
    <mergeCell ref="A1:I1"/>
    <mergeCell ref="A13:B13"/>
    <mergeCell ref="H5:I5"/>
    <mergeCell ref="C13:D13"/>
    <mergeCell ref="A6:I6"/>
    <mergeCell ref="A2:C5"/>
    <mergeCell ref="A9:B9"/>
    <mergeCell ref="C27:I27"/>
  </mergeCells>
  <dataValidations count="2">
    <dataValidation sqref="E5" showDropDown="0" showInputMessage="0" showErrorMessage="0" allowBlank="1" type="list">
      <formula1>"是,否"</formula1>
    </dataValidation>
    <dataValidation sqref="H5:I5" showDropDown="0" showInputMessage="0" showErrorMessage="0" allowBlank="1" type="list">
      <formula1>"是,否"</formula1>
    </dataValidation>
  </dataValidations>
  <printOptions horizontalCentered="1"/>
  <pageMargins left="0.75" right="0.75" top="1" bottom="1" header="0.5" footer="0.5"/>
  <pageSetup orientation="portrait" fitToHeight="0" fitToWidth="1"/>
</worksheet>
</file>

<file path=xl/worksheets/sheet20.xml><?xml version="1.0" encoding="utf-8"?>
<worksheet xmlns="http://schemas.openxmlformats.org/spreadsheetml/2006/main">
  <sheetPr>
    <outlinePr summaryBelow="1" summaryRight="1"/>
    <pageSetUpPr fitToPage="1"/>
  </sheetPr>
  <dimension ref="A1:I26"/>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21" t="inlineStr">
        <is>
          <t>Dead by Daylight TRPG　Enemy Character Sheet　·　Realm Creature</t>
        </is>
      </c>
      <c r="B1" s="25" t="n"/>
      <c r="C1" s="25" t="n"/>
      <c r="D1" s="25" t="n"/>
      <c r="E1" s="25" t="n"/>
      <c r="F1" s="25" t="n"/>
      <c r="G1" s="25" t="n"/>
      <c r="H1" s="25" t="n"/>
      <c r="I1" s="26" t="n"/>
    </row>
    <row r="2">
      <c r="A2" s="3" t="inlineStr">
        <is>
          <t>Character Art
(Paste character image here)</t>
        </is>
      </c>
      <c r="B2" s="27" t="n"/>
      <c r="C2" s="28" t="n"/>
      <c r="D2" s="5" t="inlineStr">
        <is>
          <t>No.</t>
        </is>
      </c>
      <c r="E2" s="8" t="inlineStr">
        <is>
          <t>RC-11</t>
        </is>
      </c>
      <c r="F2" s="5" t="inlineStr">
        <is>
          <t>Name</t>
        </is>
      </c>
      <c r="G2" s="6" t="inlineStr">
        <is>
          <t>Void Scavenger（Void Scavenger）</t>
        </is>
      </c>
      <c r="H2" s="29" t="n"/>
      <c r="I2" s="30" t="n"/>
    </row>
    <row r="3">
      <c r="A3" s="31" t="n"/>
      <c r="C3" s="32" t="n"/>
      <c r="D3" s="5" t="inlineStr">
        <is>
          <t>Affiliated Realm</t>
        </is>
      </c>
      <c r="E3" s="6" t="inlineStr">
        <is>
          <t>The Void / Afterimage Plain (appears near any Realm's Seep after S5 unlock)</t>
        </is>
      </c>
      <c r="F3" s="29" t="n"/>
      <c r="G3" s="29" t="n"/>
      <c r="H3" s="29" t="n"/>
      <c r="I3" s="30" t="n"/>
    </row>
    <row r="4">
      <c r="A4" s="31" t="n"/>
      <c r="C4" s="32" t="n"/>
      <c r="D4" s="5" t="inlineStr">
        <is>
          <t>Type</t>
        </is>
      </c>
      <c r="E4" s="6" t="inlineStr">
        <is>
          <t>Plunder / Resource-deprivation type</t>
        </is>
      </c>
      <c r="F4" s="29" t="n"/>
      <c r="G4" s="29" t="n"/>
      <c r="H4" s="29" t="n"/>
      <c r="I4" s="30" t="n"/>
    </row>
    <row r="5">
      <c r="A5" s="33" t="n"/>
      <c r="B5" s="34" t="n"/>
      <c r="C5" s="35" t="n"/>
      <c r="D5" s="5" t="inlineStr">
        <is>
          <t>Boss-level</t>
        </is>
      </c>
      <c r="E5" s="8" t="inlineStr">
        <is>
          <t>No</t>
        </is>
      </c>
      <c r="F5" s="5" t="inlineStr">
        <is>
          <t>Deals Health State (HS) loss</t>
        </is>
      </c>
      <c r="H5" s="8" t="n"/>
      <c r="I5" s="30" t="n"/>
    </row>
    <row r="6" ht="20" customHeight="1">
      <c r="A6" s="9" t="inlineStr">
        <is>
          <t>I. Data (enter Challenge Rating (CR); rest auto-calculated)</t>
        </is>
      </c>
      <c r="B6" s="29" t="n"/>
      <c r="C6" s="29" t="n"/>
      <c r="D6" s="29" t="n"/>
      <c r="E6" s="29" t="n"/>
      <c r="F6" s="29" t="n"/>
      <c r="G6" s="29" t="n"/>
      <c r="H6" s="29" t="n"/>
      <c r="I6" s="30" t="n"/>
    </row>
    <row r="7" ht="30" customHeight="1">
      <c r="A7" s="5" t="inlineStr">
        <is>
          <t>Challenge Rating (CR)</t>
        </is>
      </c>
      <c r="B7" s="30" t="n"/>
      <c r="C7" s="8" t="n">
        <v>7</v>
      </c>
      <c r="D7" s="5" t="inlineStr">
        <is>
          <t>Move</t>
        </is>
      </c>
      <c r="E7" s="30" t="n"/>
      <c r="F7" s="6" t="inlineStr">
        <is>
          <t>8 cells / round(s) (very fast, but every 2 round(s) must stand still 1 round(s) to "digest")</t>
        </is>
      </c>
      <c r="G7" s="29" t="n"/>
      <c r="H7" s="29" t="n"/>
      <c r="I7" s="30" t="n"/>
    </row>
    <row r="8">
      <c r="A8" s="23" t="inlineStr">
        <is>
          <t>HP (HP)</t>
        </is>
      </c>
      <c r="B8" s="30" t="n"/>
      <c r="C8" s="14">
        <f>IF($C$7="","",10+4*$C$7)</f>
        <v/>
      </c>
      <c r="D8" s="30" t="n"/>
      <c r="E8" s="6" t="inlineStr">
        <is>
          <t>10 + 4×Challenge Rating (CR)</t>
        </is>
      </c>
      <c r="F8" s="29" t="n"/>
      <c r="G8" s="29" t="n"/>
      <c r="H8" s="29" t="n"/>
      <c r="I8" s="30" t="n"/>
    </row>
    <row r="9">
      <c r="A9" s="23" t="inlineStr">
        <is>
          <t>Attack Modifier</t>
        </is>
      </c>
      <c r="B9" s="30" t="n"/>
      <c r="C9" s="14">
        <f>IF($C$7="","",INT($C$7/2)+2)</f>
        <v/>
      </c>
      <c r="D9" s="30" t="n"/>
      <c r="E9" s="6" t="inlineStr">
        <is>
          <t>INT(CR ÷ 2) ＋ 2</t>
        </is>
      </c>
      <c r="F9" s="29" t="n"/>
      <c r="G9" s="29" t="n"/>
      <c r="H9" s="29" t="n"/>
      <c r="I9" s="30" t="n"/>
    </row>
    <row r="10">
      <c r="A10" s="23" t="inlineStr">
        <is>
          <t>Defense Difficulty Class (DC)</t>
        </is>
      </c>
      <c r="B10" s="30" t="n"/>
      <c r="C10" s="14">
        <f>IF($C$7="","",10+INT($C$7/2))</f>
        <v/>
      </c>
      <c r="D10" s="30" t="n"/>
      <c r="E10" s="6" t="inlineStr">
        <is>
          <t>10 + INT(CR ÷ 2). Target value when a Survivor attacks or interferes with this creature</t>
        </is>
      </c>
      <c r="F10" s="29" t="n"/>
      <c r="G10" s="29" t="n"/>
      <c r="H10" s="29" t="n"/>
      <c r="I10" s="30" t="n"/>
    </row>
    <row r="11">
      <c r="A11" s="23" t="inlineStr">
        <is>
          <t>Action Point (AP) / round</t>
        </is>
      </c>
      <c r="B11" s="30" t="n"/>
      <c r="C11" s="14">
        <f>IF($C$7="","",IF($C$7&gt;=8,4,IF($C$7&gt;=5,3,2)))</f>
        <v/>
      </c>
      <c r="D11" s="30" t="n"/>
      <c r="E11" s="6" t="inlineStr">
        <is>
          <t>CR 1–4 → 2 / CR 5–7 → 3 / CR 8+ → 4</t>
        </is>
      </c>
      <c r="F11" s="29" t="n"/>
      <c r="G11" s="29" t="n"/>
      <c r="H11" s="29" t="n"/>
      <c r="I11" s="30" t="n"/>
    </row>
    <row r="12">
      <c r="A12" s="23" t="inlineStr">
        <is>
          <t>Resilience (RES)</t>
        </is>
      </c>
      <c r="B12" s="30" t="n"/>
      <c r="C12" s="14">
        <f>IF($C$7="","",INT($C$7/3))</f>
        <v/>
      </c>
      <c r="D12" s="30" t="n"/>
      <c r="E12" s="6" t="inlineStr">
        <is>
          <t>INT(CR ÷ 3). Added to checks against status effects and forced movement</t>
        </is>
      </c>
      <c r="F12" s="29" t="n"/>
      <c r="G12" s="29" t="n"/>
      <c r="H12" s="29" t="n"/>
      <c r="I12" s="30" t="n"/>
    </row>
    <row r="13">
      <c r="A13" s="23" t="inlineStr">
        <is>
          <t>Encounter Budget Cost (EBC)</t>
        </is>
      </c>
      <c r="B13" s="30" t="n"/>
      <c r="C13" s="14">
        <f>IF($C$7="","",$C$7*IF($E$5="Yes",3,2))</f>
        <v/>
      </c>
      <c r="D13" s="30" t="n"/>
      <c r="E13" s="6" t="inlineStr">
        <is>
          <t>CR × 2 (standard) / CR × 3 (Boss-level)</t>
        </is>
      </c>
      <c r="F13" s="29" t="n"/>
      <c r="G13" s="29" t="n"/>
      <c r="H13" s="29" t="n"/>
      <c r="I13" s="30" t="n"/>
    </row>
    <row r="14">
      <c r="A14" s="16" t="inlineStr">
        <is>
          <t>Survivors' combat ability is deliberately weak: unarmed / improvised objects deal only 1d4 damage. The creature's correct answer is always 'dispel its weakness' or evade, not kill it. The GM must make this clear to players on first encounter.</t>
        </is>
      </c>
      <c r="B14" s="29" t="n"/>
      <c r="C14" s="29" t="n"/>
      <c r="D14" s="29" t="n"/>
      <c r="E14" s="29" t="n"/>
      <c r="F14" s="29" t="n"/>
      <c r="G14" s="29" t="n"/>
      <c r="H14" s="29" t="n"/>
      <c r="I14" s="30" t="n"/>
    </row>
    <row r="15" ht="20" customHeight="1">
      <c r="A15" s="9" t="inlineStr">
        <is>
          <t>II. Behavior, Effect &amp; Dispel</t>
        </is>
      </c>
      <c r="B15" s="29" t="n"/>
      <c r="C15" s="29" t="n"/>
      <c r="D15" s="29" t="n"/>
      <c r="E15" s="29" t="n"/>
      <c r="F15" s="29" t="n"/>
      <c r="G15" s="29" t="n"/>
      <c r="H15" s="29" t="n"/>
      <c r="I15" s="30" t="n"/>
    </row>
    <row r="16" ht="22" customHeight="1">
      <c r="A16" s="23" t="inlineStr">
        <is>
          <t>Behavior</t>
        </is>
      </c>
      <c r="B16" s="30" t="n"/>
      <c r="C16" s="18" t="inlineStr">
        <is>
          <t>Chases the Survivor holding the most Items (ties chase the nearest). Its purpose is not to wound but to steal things.</t>
        </is>
      </c>
      <c r="D16" s="29" t="n"/>
      <c r="E16" s="29" t="n"/>
      <c r="F16" s="29" t="n"/>
      <c r="G16" s="29" t="n"/>
      <c r="H16" s="29" t="n"/>
      <c r="I16" s="30" t="n"/>
    </row>
    <row r="17" ht="22" customHeight="1">
      <c r="A17" s="23" t="inlineStr">
        <is>
          <t>Effect</t>
        </is>
      </c>
      <c r="B17" s="30" t="n"/>
      <c r="C17" s="18" t="n"/>
      <c r="D17" s="29" t="n"/>
      <c r="E17" s="29" t="n"/>
      <c r="F17" s="29" t="n"/>
      <c r="G17" s="29" t="n"/>
      <c r="H17" s="29" t="n"/>
      <c r="I17" s="30" t="n"/>
    </row>
    <row r="18" ht="78" customHeight="1">
      <c r="A18" s="23" t="inlineStr">
        <is>
          <t>Dispel Weakness</t>
        </is>
      </c>
      <c r="B18" s="30" t="n"/>
      <c r="C18" s="18" t="inlineStr">
        <is>
          <t>It is greedy and stupid. Actively drop an Item on the ground (0 Action Point (AP)) → it immediately turns to pick it up and enters a 2 round(s) stationary "digestion." During those 2 round(s) it does nothing.
Advanced tactic: drop an Item with empty Charge (e.g., a spent broken key, see 22_Item_Entries.md ITEM-KEY-02) as bait — the lowest-cost perfect counter in the whole system; the GM should hint at this on first encounter.</t>
        </is>
      </c>
      <c r="D18" s="29" t="n"/>
      <c r="E18" s="29" t="n"/>
      <c r="F18" s="29" t="n"/>
      <c r="G18" s="29" t="n"/>
      <c r="H18" s="29" t="n"/>
      <c r="I18" s="30" t="n"/>
    </row>
    <row r="19" ht="33" customHeight="1">
      <c r="A19" s="23" t="inlineStr">
        <is>
          <t>Solo config (N = 1) adjustment</t>
        </is>
      </c>
      <c r="B19" s="30" t="n"/>
      <c r="C19" s="18" t="inlineStr">
        <is>
          <t>Plunder changed to "steal 1 point of Item Charge (CHG)" rather than the whole Item; a solo Player losing the whole Item would collapse outright.</t>
        </is>
      </c>
      <c r="D19" s="29" t="n"/>
      <c r="E19" s="29" t="n"/>
      <c r="F19" s="29" t="n"/>
      <c r="G19" s="29" t="n"/>
      <c r="H19" s="29" t="n"/>
      <c r="I19" s="30" t="n"/>
    </row>
    <row r="20" ht="20" customHeight="1">
      <c r="A20" s="9" t="inlineStr">
        <is>
          <t>III. Special Rule</t>
        </is>
      </c>
      <c r="B20" s="29" t="n"/>
      <c r="C20" s="29" t="n"/>
      <c r="D20" s="29" t="n"/>
      <c r="E20" s="29" t="n"/>
      <c r="F20" s="29" t="n"/>
      <c r="G20" s="29" t="n"/>
      <c r="H20" s="29" t="n"/>
      <c r="I20" s="30" t="n"/>
    </row>
    <row r="21" ht="78" customHeight="1">
      <c r="A21" s="23" t="inlineStr">
        <is>
          <t>Effect (Plunder)</t>
        </is>
      </c>
      <c r="B21" s="30" t="n"/>
      <c r="C21" s="18" t="inlineStr">
        <is>
          <t>Contact (CON) with: 2d10 + 5 vs Survivor Agility (AGI) + Escape (ESQ).
Hit → randomly steals 1 Item (including add-ons) from the target and swallows it. The target also gains Trembling (Trembling, ST-26) 1 round(s).
Deals no Health State (HS) loss.</t>
        </is>
      </c>
      <c r="D21" s="29" t="n"/>
      <c r="E21" s="29" t="n"/>
      <c r="F21" s="29" t="n"/>
      <c r="G21" s="29" t="n"/>
      <c r="H21" s="29" t="n"/>
      <c r="I21" s="30" t="n"/>
    </row>
    <row r="22" ht="63" customHeight="1">
      <c r="A22" s="23" t="inlineStr">
        <is>
          <t>Recover</t>
        </is>
      </c>
      <c r="B22" s="30" t="n"/>
      <c r="C22" s="18" t="inlineStr">
        <is>
          <t>Destroy it (HP to 0) → regurgitates all swallowed Items on that cell.
Or: during its "digestion round(s)" (the stationary one), spend 3 Action Point (AP) + Agility (AGI) check vs Difficulty Class (DC) 15 to retrieve 1 Item from its body; on Critical Failure that Item is permanently destroyed.</t>
        </is>
      </c>
      <c r="D22" s="29" t="n"/>
      <c r="E22" s="29" t="n"/>
      <c r="F22" s="29" t="n"/>
      <c r="G22" s="29" t="n"/>
      <c r="H22" s="29" t="n"/>
      <c r="I22" s="30" t="n"/>
    </row>
    <row r="23" ht="20" customHeight="1">
      <c r="A23" s="9" t="inlineStr">
        <is>
          <t>IV. Tracking Track (in Trial)</t>
        </is>
      </c>
      <c r="B23" s="29" t="n"/>
      <c r="C23" s="29" t="n"/>
      <c r="D23" s="29" t="n"/>
      <c r="E23" s="29" t="n"/>
      <c r="F23" s="29" t="n"/>
      <c r="G23" s="29" t="n"/>
      <c r="H23" s="29" t="n"/>
      <c r="I23" s="30" t="n"/>
    </row>
    <row r="24">
      <c r="A24" s="23" t="inlineStr">
        <is>
          <t>Current HP (HP)</t>
        </is>
      </c>
      <c r="B24" s="30" t="n"/>
      <c r="C24" s="8" t="n"/>
      <c r="D24" s="30" t="n"/>
      <c r="E24" s="23" t="inlineStr">
        <is>
          <t>Core Exposed / Tier Segment</t>
        </is>
      </c>
      <c r="F24" s="30" t="n"/>
      <c r="G24" s="6" t="n"/>
      <c r="H24" s="29" t="n"/>
      <c r="I24" s="30" t="n"/>
    </row>
    <row r="25">
      <c r="A25" s="23" t="inlineStr">
        <is>
          <t>Current Status Effect</t>
        </is>
      </c>
      <c r="B25" s="30" t="n"/>
      <c r="C25" s="6" t="n"/>
      <c r="D25" s="29" t="n"/>
      <c r="E25" s="29" t="n"/>
      <c r="F25" s="29" t="n"/>
      <c r="G25" s="29" t="n"/>
      <c r="H25" s="29" t="n"/>
      <c r="I25" s="30" t="n"/>
    </row>
    <row r="26" ht="44" customHeight="1">
      <c r="A26" s="23" t="inlineStr">
        <is>
          <t>Notes</t>
        </is>
      </c>
      <c r="B26" s="30" t="n"/>
      <c r="C26" s="18" t="n"/>
      <c r="D26" s="29" t="n"/>
      <c r="E26" s="29" t="n"/>
      <c r="F26" s="29" t="n"/>
      <c r="G26" s="29" t="n"/>
      <c r="H26" s="29" t="n"/>
      <c r="I26" s="30" t="n"/>
    </row>
  </sheetData>
  <mergeCells count="52">
    <mergeCell ref="E3:I3"/>
    <mergeCell ref="A24:B24"/>
    <mergeCell ref="E12:I12"/>
    <mergeCell ref="C24:D24"/>
    <mergeCell ref="C17:I17"/>
    <mergeCell ref="E24:F24"/>
    <mergeCell ref="A11:B11"/>
    <mergeCell ref="E8:I8"/>
    <mergeCell ref="C19:I19"/>
    <mergeCell ref="G24:I24"/>
    <mergeCell ref="A16:B16"/>
    <mergeCell ref="E4:I4"/>
    <mergeCell ref="A7:B7"/>
    <mergeCell ref="C10:D10"/>
    <mergeCell ref="C18:I18"/>
    <mergeCell ref="A25:B25"/>
    <mergeCell ref="E10:I10"/>
    <mergeCell ref="A14:I14"/>
    <mergeCell ref="E13:I13"/>
    <mergeCell ref="A23:I23"/>
    <mergeCell ref="C9:D9"/>
    <mergeCell ref="A18:B18"/>
    <mergeCell ref="A20:I20"/>
    <mergeCell ref="E9:I9"/>
    <mergeCell ref="A12:B12"/>
    <mergeCell ref="C12:D12"/>
    <mergeCell ref="A21:B21"/>
    <mergeCell ref="A26:B26"/>
    <mergeCell ref="D7:E7"/>
    <mergeCell ref="F7:I7"/>
    <mergeCell ref="C26:I26"/>
    <mergeCell ref="C11:D11"/>
    <mergeCell ref="E11:I11"/>
    <mergeCell ref="C16:I16"/>
    <mergeCell ref="A17:B17"/>
    <mergeCell ref="A8:B8"/>
    <mergeCell ref="C25:I25"/>
    <mergeCell ref="C8:D8"/>
    <mergeCell ref="A22:B22"/>
    <mergeCell ref="A15:I15"/>
    <mergeCell ref="G2:I2"/>
    <mergeCell ref="C22:I22"/>
    <mergeCell ref="A19:B19"/>
    <mergeCell ref="A10:B10"/>
    <mergeCell ref="C21:I21"/>
    <mergeCell ref="A1:I1"/>
    <mergeCell ref="A13:B13"/>
    <mergeCell ref="H5:I5"/>
    <mergeCell ref="C13:D13"/>
    <mergeCell ref="A6:I6"/>
    <mergeCell ref="A2:C5"/>
    <mergeCell ref="A9:B9"/>
  </mergeCells>
  <dataValidations count="2">
    <dataValidation sqref="E5" showDropDown="0" showInputMessage="0" showErrorMessage="0" allowBlank="1" type="list">
      <formula1>"是,否"</formula1>
    </dataValidation>
    <dataValidation sqref="H5:I5" showDropDown="0" showInputMessage="0" showErrorMessage="0" allowBlank="1" type="list">
      <formula1>"是,否"</formula1>
    </dataValidation>
  </dataValidations>
  <printOptions horizontalCentered="1"/>
  <pageMargins left="0.75" right="0.75" top="1" bottom="1" header="0.5" footer="0.5"/>
  <pageSetup orientation="portrait" fitToHeight="0" fitToWidth="1"/>
</worksheet>
</file>

<file path=xl/worksheets/sheet21.xml><?xml version="1.0" encoding="utf-8"?>
<worksheet xmlns="http://schemas.openxmlformats.org/spreadsheetml/2006/main">
  <sheetPr>
    <outlinePr summaryBelow="1" summaryRight="1"/>
    <pageSetUpPr fitToPage="1"/>
  </sheetPr>
  <dimension ref="A1:I26"/>
  <sheetViews>
    <sheetView workbookViewId="0">
      <pane ySplit="5" topLeftCell="A6"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13" customWidth="1" min="5" max="5"/>
    <col width="12" customWidth="1" min="6" max="6"/>
    <col width="12" customWidth="1" min="7" max="7"/>
    <col width="13" customWidth="1" min="8" max="8"/>
    <col width="13" customWidth="1" min="9" max="9"/>
  </cols>
  <sheetData>
    <row r="1" ht="28" customHeight="1">
      <c r="A1" s="21" t="inlineStr">
        <is>
          <t>Dead by Daylight TRPG　Enemy Character Sheet　·　Realm Creature</t>
        </is>
      </c>
      <c r="B1" s="25" t="n"/>
      <c r="C1" s="25" t="n"/>
      <c r="D1" s="25" t="n"/>
      <c r="E1" s="25" t="n"/>
      <c r="F1" s="25" t="n"/>
      <c r="G1" s="25" t="n"/>
      <c r="H1" s="25" t="n"/>
      <c r="I1" s="26" t="n"/>
    </row>
    <row r="2">
      <c r="A2" s="3" t="inlineStr">
        <is>
          <t>Character Art
(Paste character image here)</t>
        </is>
      </c>
      <c r="B2" s="27" t="n"/>
      <c r="C2" s="28" t="n"/>
      <c r="D2" s="5" t="inlineStr">
        <is>
          <t>No.</t>
        </is>
      </c>
      <c r="E2" s="8" t="inlineStr">
        <is>
          <t>RC-12</t>
        </is>
      </c>
      <c r="F2" s="5" t="inlineStr">
        <is>
          <t>Name</t>
        </is>
      </c>
      <c r="G2" s="6" t="inlineStr">
        <is>
          <t>The Claw Upon the Hook　Boss-tier</t>
        </is>
      </c>
      <c r="H2" s="29" t="n"/>
      <c r="I2" s="30" t="n"/>
    </row>
    <row r="3">
      <c r="A3" s="31" t="n"/>
      <c r="C3" s="32" t="n"/>
      <c r="D3" s="5" t="inlineStr">
        <is>
          <t>Affiliated Realm</t>
        </is>
      </c>
      <c r="E3" s="6" t="inlineStr">
        <is>
          <t>General (anywhere with a Hook; usually appears at the scenario climax)</t>
        </is>
      </c>
      <c r="F3" s="29" t="n"/>
      <c r="G3" s="29" t="n"/>
      <c r="H3" s="29" t="n"/>
      <c r="I3" s="30" t="n"/>
    </row>
    <row r="4">
      <c r="A4" s="31" t="n"/>
      <c r="C4" s="32" t="n"/>
      <c r="D4" s="5" t="inlineStr">
        <is>
          <t>Type</t>
        </is>
      </c>
      <c r="E4" s="6" t="inlineStr">
        <is>
          <t>Boss-tier / direct manifestation of The Entity, environmental-hazard type</t>
        </is>
      </c>
      <c r="F4" s="29" t="n"/>
      <c r="G4" s="29" t="n"/>
      <c r="H4" s="29" t="n"/>
      <c r="I4" s="30" t="n"/>
    </row>
    <row r="5">
      <c r="A5" s="33" t="n"/>
      <c r="B5" s="34" t="n"/>
      <c r="C5" s="35" t="n"/>
      <c r="D5" s="5" t="inlineStr">
        <is>
          <t>Boss-level</t>
        </is>
      </c>
      <c r="E5" s="8" t="inlineStr">
        <is>
          <t>Yes</t>
        </is>
      </c>
      <c r="F5" s="5" t="inlineStr">
        <is>
          <t>Deals Health State (HS) loss</t>
        </is>
      </c>
      <c r="H5" s="8" t="n"/>
      <c r="I5" s="30" t="n"/>
    </row>
    <row r="6" ht="20" customHeight="1">
      <c r="A6" s="9" t="inlineStr">
        <is>
          <t>I. Data (enter Challenge Rating (CR); rest auto-calculated)</t>
        </is>
      </c>
      <c r="B6" s="29" t="n"/>
      <c r="C6" s="29" t="n"/>
      <c r="D6" s="29" t="n"/>
      <c r="E6" s="29" t="n"/>
      <c r="F6" s="29" t="n"/>
      <c r="G6" s="29" t="n"/>
      <c r="H6" s="29" t="n"/>
      <c r="I6" s="30" t="n"/>
    </row>
    <row r="7" ht="30" customHeight="1">
      <c r="A7" s="5" t="inlineStr">
        <is>
          <t>Challenge Rating (CR)</t>
        </is>
      </c>
      <c r="B7" s="30" t="n"/>
      <c r="C7" s="8" t="n">
        <v>10</v>
      </c>
      <c r="D7" s="5" t="inlineStr">
        <is>
          <t>Move</t>
        </is>
      </c>
      <c r="E7" s="30" t="n"/>
      <c r="F7" s="6" t="inlineStr">
        <is>
          <t>0 (extends from all Hooks at once, treated as present within 2 cells of every Hook on the map)</t>
        </is>
      </c>
      <c r="G7" s="29" t="n"/>
      <c r="H7" s="29" t="n"/>
      <c r="I7" s="30" t="n"/>
    </row>
    <row r="8">
      <c r="A8" s="23" t="inlineStr">
        <is>
          <t>HP (HP)</t>
        </is>
      </c>
      <c r="B8" s="30" t="n"/>
      <c r="C8" s="14">
        <f>IF($C$7="","",10+4*$C$7)</f>
        <v/>
      </c>
      <c r="D8" s="30" t="n"/>
      <c r="E8" s="6" t="inlineStr">
        <is>
          <t>10 + 4×Challenge Rating (CR)</t>
        </is>
      </c>
      <c r="F8" s="29" t="n"/>
      <c r="G8" s="29" t="n"/>
      <c r="H8" s="29" t="n"/>
      <c r="I8" s="30" t="n"/>
    </row>
    <row r="9">
      <c r="A9" s="23" t="inlineStr">
        <is>
          <t>Attack Modifier</t>
        </is>
      </c>
      <c r="B9" s="30" t="n"/>
      <c r="C9" s="14">
        <f>IF($C$7="","",INT($C$7/2)+2)</f>
        <v/>
      </c>
      <c r="D9" s="30" t="n"/>
      <c r="E9" s="6" t="inlineStr">
        <is>
          <t>INT(CR ÷ 2) ＋ 2</t>
        </is>
      </c>
      <c r="F9" s="29" t="n"/>
      <c r="G9" s="29" t="n"/>
      <c r="H9" s="29" t="n"/>
      <c r="I9" s="30" t="n"/>
    </row>
    <row r="10">
      <c r="A10" s="23" t="inlineStr">
        <is>
          <t>Defense Difficulty Class (DC)</t>
        </is>
      </c>
      <c r="B10" s="30" t="n"/>
      <c r="C10" s="14">
        <f>IF($C$7="","",10+INT($C$7/2))</f>
        <v/>
      </c>
      <c r="D10" s="30" t="n"/>
      <c r="E10" s="6" t="inlineStr">
        <is>
          <t>10 + INT(CR ÷ 2). Target value when a Survivor attacks or interferes with this creature</t>
        </is>
      </c>
      <c r="F10" s="29" t="n"/>
      <c r="G10" s="29" t="n"/>
      <c r="H10" s="29" t="n"/>
      <c r="I10" s="30" t="n"/>
    </row>
    <row r="11">
      <c r="A11" s="23" t="inlineStr">
        <is>
          <t>Action Point (AP) / round</t>
        </is>
      </c>
      <c r="B11" s="30" t="n"/>
      <c r="C11" s="14">
        <f>IF($C$7="","",IF($C$7&gt;=8,4,IF($C$7&gt;=5,3,2)))</f>
        <v/>
      </c>
      <c r="D11" s="30" t="n"/>
      <c r="E11" s="6" t="inlineStr">
        <is>
          <t>CR 1–4 → 2 / CR 5–7 → 3 / CR 8+ → 4</t>
        </is>
      </c>
      <c r="F11" s="29" t="n"/>
      <c r="G11" s="29" t="n"/>
      <c r="H11" s="29" t="n"/>
      <c r="I11" s="30" t="n"/>
    </row>
    <row r="12">
      <c r="A12" s="23" t="inlineStr">
        <is>
          <t>Resilience (RES)</t>
        </is>
      </c>
      <c r="B12" s="30" t="n"/>
      <c r="C12" s="14">
        <f>IF($C$7="","",INT($C$7/3))</f>
        <v/>
      </c>
      <c r="D12" s="30" t="n"/>
      <c r="E12" s="6" t="inlineStr">
        <is>
          <t>INT(CR ÷ 3). Added to checks against status effects and forced movement</t>
        </is>
      </c>
      <c r="F12" s="29" t="n"/>
      <c r="G12" s="29" t="n"/>
      <c r="H12" s="29" t="n"/>
      <c r="I12" s="30" t="n"/>
    </row>
    <row r="13">
      <c r="A13" s="23" t="inlineStr">
        <is>
          <t>Encounter Budget Cost (EBC)</t>
        </is>
      </c>
      <c r="B13" s="30" t="n"/>
      <c r="C13" s="14">
        <f>IF($C$7="","",$C$7*IF($E$5="Yes",3,2))</f>
        <v/>
      </c>
      <c r="D13" s="30" t="n"/>
      <c r="E13" s="6" t="inlineStr">
        <is>
          <t>CR × 2 (standard) / CR × 3 (Boss-level)</t>
        </is>
      </c>
      <c r="F13" s="29" t="n"/>
      <c r="G13" s="29" t="n"/>
      <c r="H13" s="29" t="n"/>
      <c r="I13" s="30" t="n"/>
    </row>
    <row r="14">
      <c r="A14" s="16" t="inlineStr">
        <is>
          <t>Survivors' combat ability is deliberately weak: unarmed / improvised objects deal only 1d4 damage. The creature's correct answer is always 'dispel its weakness' or evade, not kill it. The GM must make this clear to players on first encounter.</t>
        </is>
      </c>
      <c r="B14" s="29" t="n"/>
      <c r="C14" s="29" t="n"/>
      <c r="D14" s="29" t="n"/>
      <c r="E14" s="29" t="n"/>
      <c r="F14" s="29" t="n"/>
      <c r="G14" s="29" t="n"/>
      <c r="H14" s="29" t="n"/>
      <c r="I14" s="30" t="n"/>
    </row>
    <row r="15" ht="20" customHeight="1">
      <c r="A15" s="9" t="inlineStr">
        <is>
          <t>II. Behavior, Effect &amp; Dispel</t>
        </is>
      </c>
      <c r="B15" s="29" t="n"/>
      <c r="C15" s="29" t="n"/>
      <c r="D15" s="29" t="n"/>
      <c r="E15" s="29" t="n"/>
      <c r="F15" s="29" t="n"/>
      <c r="G15" s="29" t="n"/>
      <c r="H15" s="29" t="n"/>
      <c r="I15" s="30" t="n"/>
    </row>
    <row r="16" ht="33" customHeight="1">
      <c r="A16" s="23" t="inlineStr">
        <is>
          <t>Behavior</t>
        </is>
      </c>
      <c r="B16" s="30" t="n"/>
      <c r="C16" s="18" t="inlineStr">
        <is>
          <t>This is not a monster; it is a finger extended by The Entity itself. It appears at the scenario-designated moment (usually when the finale collapse begins, or when the third Survivor is Hooked) and persists until the Trial ends.</t>
        </is>
      </c>
      <c r="D16" s="29" t="n"/>
      <c r="E16" s="29" t="n"/>
      <c r="F16" s="29" t="n"/>
      <c r="G16" s="29" t="n"/>
      <c r="H16" s="29" t="n"/>
      <c r="I16" s="30" t="n"/>
    </row>
    <row r="17" ht="22" customHeight="1">
      <c r="A17" s="23" t="inlineStr">
        <is>
          <t>Effect</t>
        </is>
      </c>
      <c r="B17" s="30" t="n"/>
      <c r="C17" s="18" t="n"/>
      <c r="D17" s="29" t="n"/>
      <c r="E17" s="29" t="n"/>
      <c r="F17" s="29" t="n"/>
      <c r="G17" s="29" t="n"/>
      <c r="H17" s="29" t="n"/>
      <c r="I17" s="30" t="n"/>
    </row>
    <row r="18" ht="123" customHeight="1">
      <c r="A18" s="23" t="inlineStr">
        <is>
          <t>Dispel Weakness</t>
        </is>
      </c>
      <c r="B18" s="30" t="n"/>
      <c r="C18" s="18" t="inlineStr">
        <is>
          <t>Indestructible. The HP 50 value is only for special narrative means like "counterattack with a Ritual at the Red Forest altar" in the scenario (provided by the world-crafter's script, usually 10–15 per Ritual).
The only practical response: stay 3+ cells from any Hook. Its role is to turn the area around every Hook into a forbidden zone — tactically this means "rescuing becomes extremely costly."
Sabotage a Hook: with a Toolbox (TBX) spend 3 Action Point (AP) + Technique (TEC) + Mechanical Repair (MEC) check vs Difficulty Class (DC) 15 to destroy a Hook → that Hook's claw vanishes permanently. The only way to truly shrink its coverage.</t>
        </is>
      </c>
      <c r="D18" s="29" t="n"/>
      <c r="E18" s="29" t="n"/>
      <c r="F18" s="29" t="n"/>
      <c r="G18" s="29" t="n"/>
      <c r="H18" s="29" t="n"/>
      <c r="I18" s="30" t="n"/>
    </row>
    <row r="19" ht="33" customHeight="1">
      <c r="A19" s="23" t="inlineStr">
        <is>
          <t>Solo config (N = 1) adjustment</t>
        </is>
      </c>
      <c r="B19" s="30" t="n"/>
      <c r="C19" s="18" t="inlineStr">
        <is>
          <t>Trigger range lowered to 1 cell adjacent to the Hook; the Hook-acceleration effect is removed; and it exists only during the finale collapse (does not appear early).</t>
        </is>
      </c>
      <c r="D19" s="29" t="n"/>
      <c r="E19" s="29" t="n"/>
      <c r="F19" s="29" t="n"/>
      <c r="G19" s="29" t="n"/>
      <c r="H19" s="29" t="n"/>
      <c r="I19" s="30" t="n"/>
    </row>
    <row r="20" ht="20" customHeight="1">
      <c r="A20" s="9" t="inlineStr">
        <is>
          <t>III. Special Rule</t>
        </is>
      </c>
      <c r="B20" s="29" t="n"/>
      <c r="C20" s="29" t="n"/>
      <c r="D20" s="29" t="n"/>
      <c r="E20" s="29" t="n"/>
      <c r="F20" s="29" t="n"/>
      <c r="G20" s="29" t="n"/>
      <c r="H20" s="29" t="n"/>
      <c r="I20" s="30" t="n"/>
    </row>
    <row r="21" ht="150" customHeight="1">
      <c r="A21" s="23" t="inlineStr">
        <is>
          <t>Effect (per round)</t>
        </is>
      </c>
      <c r="B21" s="30" t="n"/>
      <c r="C21" s="18" t="inlineStr">
        <is>
          <t>At each round(s) end, for all Survivors within 2 cells of any Hook:
2d10 + 7 vs Survivor Will (WIL) + Endurance (END).
Failure → lose 1 Tier of Health State (HS).
Critical Failure → lose 1 Tier of Health State (HS) + Cursed (Cursed, ST-14) (cannot be healed to Healthy until a Totem is destroyed).
Success → nothing happens.
Critical Success → nothing happens, and gain 1 Hope Point (HOP) (you stared at it, and it blinked).</t>
        </is>
      </c>
      <c r="D21" s="29" t="n"/>
      <c r="E21" s="29" t="n"/>
      <c r="F21" s="29" t="n"/>
      <c r="G21" s="29" t="n"/>
      <c r="H21" s="29" t="n"/>
      <c r="I21" s="30" t="n"/>
    </row>
    <row r="22" ht="22" customHeight="1">
      <c r="A22" s="23" t="inlineStr">
        <is>
          <t>Effect on Hooked Survivor</t>
        </is>
      </c>
      <c r="B22" s="30" t="n"/>
      <c r="C22" s="18" t="inlineStr">
        <is>
          <t>A Survivor on a Hook has its Hook Phase Timer accelerated by 1 round(s) per round(s) (i.e., loses 2 round(s) per round(s)).</t>
        </is>
      </c>
      <c r="D22" s="29" t="n"/>
      <c r="E22" s="29" t="n"/>
      <c r="F22" s="29" t="n"/>
      <c r="G22" s="29" t="n"/>
      <c r="H22" s="29" t="n"/>
      <c r="I22" s="30" t="n"/>
    </row>
    <row r="23" ht="20" customHeight="1">
      <c r="A23" s="9" t="inlineStr">
        <is>
          <t>IV. Tracking Track (in Trial)</t>
        </is>
      </c>
      <c r="B23" s="29" t="n"/>
      <c r="C23" s="29" t="n"/>
      <c r="D23" s="29" t="n"/>
      <c r="E23" s="29" t="n"/>
      <c r="F23" s="29" t="n"/>
      <c r="G23" s="29" t="n"/>
      <c r="H23" s="29" t="n"/>
      <c r="I23" s="30" t="n"/>
    </row>
    <row r="24">
      <c r="A24" s="23" t="inlineStr">
        <is>
          <t>Current HP (HP)</t>
        </is>
      </c>
      <c r="B24" s="30" t="n"/>
      <c r="C24" s="8" t="n"/>
      <c r="D24" s="30" t="n"/>
      <c r="E24" s="23" t="inlineStr">
        <is>
          <t>Core Exposed / Tier Segment</t>
        </is>
      </c>
      <c r="F24" s="30" t="n"/>
      <c r="G24" s="6" t="n"/>
      <c r="H24" s="29" t="n"/>
      <c r="I24" s="30" t="n"/>
    </row>
    <row r="25">
      <c r="A25" s="23" t="inlineStr">
        <is>
          <t>Current Status Effect</t>
        </is>
      </c>
      <c r="B25" s="30" t="n"/>
      <c r="C25" s="6" t="n"/>
      <c r="D25" s="29" t="n"/>
      <c r="E25" s="29" t="n"/>
      <c r="F25" s="29" t="n"/>
      <c r="G25" s="29" t="n"/>
      <c r="H25" s="29" t="n"/>
      <c r="I25" s="30" t="n"/>
    </row>
    <row r="26" ht="44" customHeight="1">
      <c r="A26" s="23" t="inlineStr">
        <is>
          <t>Notes</t>
        </is>
      </c>
      <c r="B26" s="30" t="n"/>
      <c r="C26" s="18" t="n"/>
      <c r="D26" s="29" t="n"/>
      <c r="E26" s="29" t="n"/>
      <c r="F26" s="29" t="n"/>
      <c r="G26" s="29" t="n"/>
      <c r="H26" s="29" t="n"/>
      <c r="I26" s="30" t="n"/>
    </row>
  </sheetData>
  <mergeCells count="52">
    <mergeCell ref="E3:I3"/>
    <mergeCell ref="A24:B24"/>
    <mergeCell ref="E12:I12"/>
    <mergeCell ref="C24:D24"/>
    <mergeCell ref="C17:I17"/>
    <mergeCell ref="E24:F24"/>
    <mergeCell ref="A11:B11"/>
    <mergeCell ref="E8:I8"/>
    <mergeCell ref="C19:I19"/>
    <mergeCell ref="G24:I24"/>
    <mergeCell ref="A16:B16"/>
    <mergeCell ref="E4:I4"/>
    <mergeCell ref="A7:B7"/>
    <mergeCell ref="C10:D10"/>
    <mergeCell ref="C18:I18"/>
    <mergeCell ref="A25:B25"/>
    <mergeCell ref="E10:I10"/>
    <mergeCell ref="A14:I14"/>
    <mergeCell ref="E13:I13"/>
    <mergeCell ref="A23:I23"/>
    <mergeCell ref="C9:D9"/>
    <mergeCell ref="A18:B18"/>
    <mergeCell ref="A20:I20"/>
    <mergeCell ref="E9:I9"/>
    <mergeCell ref="A12:B12"/>
    <mergeCell ref="C12:D12"/>
    <mergeCell ref="A21:B21"/>
    <mergeCell ref="A26:B26"/>
    <mergeCell ref="D7:E7"/>
    <mergeCell ref="F7:I7"/>
    <mergeCell ref="C26:I26"/>
    <mergeCell ref="C11:D11"/>
    <mergeCell ref="E11:I11"/>
    <mergeCell ref="C16:I16"/>
    <mergeCell ref="A17:B17"/>
    <mergeCell ref="A8:B8"/>
    <mergeCell ref="C25:I25"/>
    <mergeCell ref="C8:D8"/>
    <mergeCell ref="A22:B22"/>
    <mergeCell ref="A15:I15"/>
    <mergeCell ref="G2:I2"/>
    <mergeCell ref="C22:I22"/>
    <mergeCell ref="A19:B19"/>
    <mergeCell ref="A10:B10"/>
    <mergeCell ref="C21:I21"/>
    <mergeCell ref="A1:I1"/>
    <mergeCell ref="A13:B13"/>
    <mergeCell ref="H5:I5"/>
    <mergeCell ref="C13:D13"/>
    <mergeCell ref="A6:I6"/>
    <mergeCell ref="A2:C5"/>
    <mergeCell ref="A9:B9"/>
  </mergeCells>
  <dataValidations count="2">
    <dataValidation sqref="E5" showDropDown="0" showInputMessage="0" showErrorMessage="0" allowBlank="1" type="list">
      <formula1>"是,否"</formula1>
    </dataValidation>
    <dataValidation sqref="H5:I5" showDropDown="0" showInputMessage="0" showErrorMessage="0" allowBlank="1" type="list">
      <formula1>"是,否"</formula1>
    </dataValidation>
  </dataValidations>
  <printOptions horizontalCentered="1"/>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2026-08-01T19:34:46Z</dcterms:created>
  <dcterms:modified xsi:type="dcterms:W3CDTF">2026-08-07T16:03:42Z</dcterms:modified>
</cp:coreProperties>
</file>