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iller Avatar (Blank)" sheetId="1" state="visible" r:id="rId1"/>
    <sheet name="Realm Creature (Blank)"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icrosoft JhengHei"/>
      <b val="1"/>
      <color rgb="00FFFFFF"/>
      <sz val="16"/>
    </font>
    <font>
      <name val="Microsoft JhengHei"/>
      <b val="1"/>
      <color rgb="007C8A96"/>
      <sz val="10"/>
    </font>
    <font>
      <name val="Microsoft JhengHei"/>
      <b val="1"/>
      <color rgb="002E3A46"/>
      <sz val="10"/>
    </font>
    <font>
      <name val="Microsoft JhengHei"/>
      <color rgb="002E3A46"/>
      <sz val="10"/>
    </font>
    <font>
      <name val="Microsoft JhengHei"/>
      <b val="1"/>
      <color rgb="00FFFFFF"/>
      <sz val="11"/>
    </font>
    <font>
      <name val="Microsoft JhengHei"/>
      <b val="1"/>
      <color rgb="008A5A00"/>
      <sz val="10"/>
    </font>
    <font>
      <name val="Microsoft JhengHei"/>
      <i val="1"/>
      <color rgb="006B7885"/>
      <sz val="9"/>
    </font>
  </fonts>
  <fills count="12">
    <fill>
      <patternFill/>
    </fill>
    <fill>
      <patternFill patternType="gray125"/>
    </fill>
    <fill>
      <patternFill patternType="solid">
        <fgColor rgb="005E2733"/>
      </patternFill>
    </fill>
    <fill>
      <patternFill patternType="solid">
        <fgColor rgb="00F0F2F4"/>
      </patternFill>
    </fill>
    <fill>
      <patternFill patternType="solid">
        <fgColor rgb="00E8ECEF"/>
      </patternFill>
    </fill>
    <fill>
      <patternFill patternType="solid">
        <fgColor rgb="00FFFFFF"/>
      </patternFill>
    </fill>
    <fill>
      <patternFill patternType="solid">
        <fgColor rgb="005A6B7C"/>
      </patternFill>
    </fill>
    <fill>
      <patternFill patternType="solid">
        <fgColor rgb="00FCE4EC"/>
      </patternFill>
    </fill>
    <fill>
      <patternFill patternType="solid">
        <fgColor rgb="00FFF6E0"/>
      </patternFill>
    </fill>
    <fill>
      <patternFill patternType="solid">
        <fgColor rgb="00F5F7F8"/>
      </patternFill>
    </fill>
    <fill>
      <patternFill patternType="solid">
        <fgColor rgb="003E4A2E"/>
      </patternFill>
    </fill>
    <fill>
      <patternFill patternType="solid">
        <fgColor rgb="00E6EAD9"/>
      </patternFill>
    </fill>
  </fills>
  <borders count="16">
    <border>
      <left/>
      <right/>
      <top/>
      <bottom/>
      <diagonal/>
    </border>
    <border>
      <left style="medium">
        <color rgb="007C8A96"/>
      </left>
      <right style="medium">
        <color rgb="007C8A96"/>
      </right>
      <top style="medium">
        <color rgb="007C8A96"/>
      </top>
      <bottom style="medium">
        <color rgb="007C8A96"/>
      </bottom>
    </border>
    <border>
      <left style="thin">
        <color rgb="00B7C0C8"/>
      </left>
      <right style="thin">
        <color rgb="00B7C0C8"/>
      </right>
      <top style="thin">
        <color rgb="00B7C0C8"/>
      </top>
      <bottom style="thin">
        <color rgb="00B7C0C8"/>
      </bottom>
    </border>
    <border>
      <left/>
      <right/>
      <top style="thin">
        <color rgb="00B7C0C8"/>
      </top>
      <bottom/>
      <diagonal/>
    </border>
    <border>
      <left/>
      <right style="thin">
        <color rgb="00B7C0C8"/>
      </right>
      <top style="thin">
        <color rgb="00B7C0C8"/>
      </top>
      <bottom/>
      <diagonal/>
    </border>
    <border>
      <left/>
      <right/>
      <top style="thin">
        <color rgb="00B7C0C8"/>
      </top>
      <bottom style="thin">
        <color rgb="00B7C0C8"/>
      </bottom>
      <diagonal/>
    </border>
    <border>
      <left/>
      <right style="thin">
        <color rgb="00B7C0C8"/>
      </right>
      <top style="thin">
        <color rgb="00B7C0C8"/>
      </top>
      <bottom style="thin">
        <color rgb="00B7C0C8"/>
      </bottom>
      <diagonal/>
    </border>
    <border>
      <left/>
      <right/>
      <top style="medium">
        <color rgb="007C8A96"/>
      </top>
      <bottom/>
      <diagonal/>
    </border>
    <border>
      <left style="medium">
        <color rgb="007C8A96"/>
      </left>
      <right/>
      <top/>
      <bottom/>
      <diagonal/>
    </border>
    <border>
      <left/>
      <right style="medium">
        <color rgb="007C8A96"/>
      </right>
      <top style="medium">
        <color rgb="007C8A96"/>
      </top>
      <bottom/>
      <diagonal/>
    </border>
    <border>
      <left/>
      <right style="medium">
        <color rgb="007C8A96"/>
      </right>
      <top/>
      <bottom/>
      <diagonal/>
    </border>
    <border>
      <left style="medium">
        <color rgb="007C8A96"/>
      </left>
      <right/>
      <top/>
      <bottom style="medium">
        <color rgb="007C8A96"/>
      </bottom>
      <diagonal/>
    </border>
    <border>
      <left/>
      <right/>
      <top/>
      <bottom style="medium">
        <color rgb="007C8A96"/>
      </bottom>
      <diagonal/>
    </border>
    <border>
      <left/>
      <right style="medium">
        <color rgb="007C8A96"/>
      </right>
      <top/>
      <bottom style="medium">
        <color rgb="007C8A96"/>
      </bottom>
      <diagonal/>
    </border>
    <border>
      <left/>
      <right/>
      <top style="medium">
        <color rgb="007C8A96"/>
      </top>
      <bottom style="medium">
        <color rgb="007C8A96"/>
      </bottom>
      <diagonal/>
    </border>
    <border>
      <left/>
      <right style="medium">
        <color rgb="007C8A96"/>
      </right>
      <top style="medium">
        <color rgb="007C8A96"/>
      </top>
      <bottom style="medium">
        <color rgb="007C8A96"/>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center" wrapText="1"/>
    </xf>
    <xf numFmtId="0" fontId="0" fillId="3" borderId="1" pivotButton="0" quotePrefix="0" xfId="0"/>
    <xf numFmtId="0" fontId="3" fillId="4" borderId="2" applyAlignment="1" pivotButton="0" quotePrefix="0" xfId="0">
      <alignment horizontal="center" vertical="center" wrapText="1"/>
    </xf>
    <xf numFmtId="0" fontId="4" fillId="5" borderId="2" applyAlignment="1" pivotButton="0" quotePrefix="0" xfId="0">
      <alignment horizontal="left" vertical="center" wrapText="1"/>
    </xf>
    <xf numFmtId="0" fontId="0" fillId="5" borderId="2" pivotButton="0" quotePrefix="0" xfId="0"/>
    <xf numFmtId="0" fontId="4" fillId="5" borderId="2" applyAlignment="1" pivotButton="0" quotePrefix="0" xfId="0">
      <alignment horizontal="center" vertical="center" wrapText="1"/>
    </xf>
    <xf numFmtId="0" fontId="5" fillId="6" borderId="2" applyAlignment="1" pivotButton="0" quotePrefix="0" xfId="0">
      <alignment horizontal="left" vertical="center" wrapText="1"/>
    </xf>
    <xf numFmtId="0" fontId="0" fillId="6" borderId="2" pivotButton="0" quotePrefix="0" xfId="0"/>
    <xf numFmtId="0" fontId="0" fillId="4" borderId="2" pivotButton="0" quotePrefix="0" xfId="0"/>
    <xf numFmtId="0" fontId="3" fillId="7" borderId="2" applyAlignment="1" pivotButton="0" quotePrefix="0" xfId="0">
      <alignment horizontal="center" vertical="center" wrapText="1"/>
    </xf>
    <xf numFmtId="0" fontId="0" fillId="7" borderId="2" pivotButton="0" quotePrefix="0" xfId="0"/>
    <xf numFmtId="0" fontId="6" fillId="8" borderId="2" applyAlignment="1" pivotButton="0" quotePrefix="0" xfId="0">
      <alignment horizontal="center" vertical="center" wrapText="1"/>
    </xf>
    <xf numFmtId="0" fontId="0" fillId="8" borderId="2" pivotButton="0" quotePrefix="0" xfId="0"/>
    <xf numFmtId="0" fontId="7" fillId="9" borderId="2" applyAlignment="1" pivotButton="0" quotePrefix="0" xfId="0">
      <alignment horizontal="left" vertical="center" wrapText="1"/>
    </xf>
    <xf numFmtId="0" fontId="0" fillId="9" borderId="2" pivotButton="0" quotePrefix="0" xfId="0"/>
    <xf numFmtId="0" fontId="4" fillId="5" borderId="2" applyAlignment="1" pivotButton="0" quotePrefix="0" xfId="0">
      <alignment horizontal="left" vertical="top" wrapText="1"/>
    </xf>
    <xf numFmtId="0" fontId="1" fillId="10" borderId="1" applyAlignment="1" pivotButton="0" quotePrefix="0" xfId="0">
      <alignment horizontal="center" vertical="center" wrapText="1"/>
    </xf>
    <xf numFmtId="0" fontId="0" fillId="10" borderId="1" pivotButton="0" quotePrefix="0" xfId="0"/>
    <xf numFmtId="0" fontId="3" fillId="11" borderId="2" applyAlignment="1" pivotButton="0" quotePrefix="0" xfId="0">
      <alignment horizontal="center" vertical="center" wrapText="1"/>
    </xf>
    <xf numFmtId="0" fontId="0" fillId="11" borderId="2" pivotButton="0" quotePrefix="0" xfId="0"/>
    <xf numFmtId="0" fontId="0" fillId="0" borderId="14" pivotButton="0" quotePrefix="0" xfId="0"/>
    <xf numFmtId="0" fontId="0" fillId="0" borderId="15" pivotButton="0" quotePrefix="0" xfId="0"/>
    <xf numFmtId="0" fontId="0" fillId="0" borderId="7" pivotButton="0" quotePrefix="0" xfId="0"/>
    <xf numFmtId="0" fontId="0" fillId="0" borderId="9" pivotButton="0" quotePrefix="0" xfId="0"/>
    <xf numFmtId="0" fontId="0" fillId="0" borderId="5" pivotButton="0" quotePrefix="0" xfId="0"/>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61"/>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Enemy Character Sheet　·　Killer Avatar</t>
        </is>
      </c>
      <c r="B1" s="23" t="n"/>
      <c r="C1" s="23" t="n"/>
      <c r="D1" s="23" t="n"/>
      <c r="E1" s="23" t="n"/>
      <c r="F1" s="23" t="n"/>
      <c r="G1" s="23" t="n"/>
      <c r="H1" s="23" t="n"/>
      <c r="I1" s="24" t="n"/>
    </row>
    <row r="2">
      <c r="A2" s="3" t="inlineStr">
        <is>
          <t>Character Art
(Paste character image here)</t>
        </is>
      </c>
      <c r="B2" s="25" t="n"/>
      <c r="C2" s="26" t="n"/>
      <c r="D2" s="5" t="inlineStr">
        <is>
          <t>Avatar Name</t>
        </is>
      </c>
      <c r="E2" s="6" t="n"/>
      <c r="F2" s="27" t="n"/>
      <c r="G2" s="27" t="n"/>
      <c r="H2" s="27" t="n"/>
      <c r="I2" s="28" t="n"/>
    </row>
    <row r="3">
      <c r="A3" s="29" t="n"/>
      <c r="C3" s="30" t="n"/>
      <c r="D3" s="5" t="inlineStr">
        <is>
          <t>Avatar Abbr.</t>
        </is>
      </c>
      <c r="E3" s="8" t="n"/>
      <c r="F3" s="5" t="inlineStr">
        <is>
          <t>True Name</t>
        </is>
      </c>
      <c r="G3" s="6" t="n"/>
      <c r="H3" s="27" t="n"/>
      <c r="I3" s="28" t="n"/>
    </row>
    <row r="4">
      <c r="A4" s="29" t="n"/>
      <c r="C4" s="30" t="n"/>
      <c r="D4" s="5" t="inlineStr">
        <is>
          <t>Home Realm</t>
        </is>
      </c>
      <c r="E4" s="6" t="n"/>
      <c r="F4" s="27" t="n"/>
      <c r="G4" s="27" t="n"/>
      <c r="H4" s="27" t="n"/>
      <c r="I4" s="28" t="n"/>
    </row>
    <row r="5">
      <c r="A5" s="31" t="n"/>
      <c r="B5" s="32" t="n"/>
      <c r="C5" s="33" t="n"/>
      <c r="D5" s="5" t="inlineStr">
        <is>
          <t>Power Type</t>
        </is>
      </c>
      <c r="E5" s="8" t="n"/>
      <c r="F5" s="28" t="n"/>
      <c r="G5" s="5" t="inlineStr">
        <is>
          <t>Attribute Tendency</t>
        </is>
      </c>
      <c r="H5" s="6" t="n"/>
      <c r="I5" s="28" t="n"/>
    </row>
    <row r="6" ht="20" customHeight="1">
      <c r="A6" s="9" t="inlineStr">
        <is>
          <t>I. Trial Panel (gray = fill, beige = auto)</t>
        </is>
      </c>
      <c r="B6" s="27" t="n"/>
      <c r="C6" s="27" t="n"/>
      <c r="D6" s="27" t="n"/>
      <c r="E6" s="27" t="n"/>
      <c r="F6" s="27" t="n"/>
      <c r="G6" s="27" t="n"/>
      <c r="H6" s="27" t="n"/>
      <c r="I6" s="28" t="n"/>
    </row>
    <row r="7">
      <c r="A7" s="5" t="inlineStr">
        <is>
          <t>Prestige (PRS)</t>
        </is>
      </c>
      <c r="B7" s="28" t="n"/>
      <c r="C7" s="8" t="n"/>
      <c r="D7" s="5" t="inlineStr">
        <is>
          <t>Survivor player count N</t>
        </is>
      </c>
      <c r="E7" s="28" t="n"/>
      <c r="F7" s="8" t="n"/>
      <c r="G7" s="5" t="inlineStr">
        <is>
          <t>Avatar Threat Factor (AVM)</t>
        </is>
      </c>
      <c r="H7" s="28" t="n"/>
      <c r="I7" s="8" t="n"/>
    </row>
    <row r="8">
      <c r="A8" s="12" t="inlineStr">
        <is>
          <t>Challenge Rating (CR)</t>
        </is>
      </c>
      <c r="B8" s="27" t="n"/>
      <c r="C8" s="28" t="n"/>
      <c r="D8" s="14">
        <f>IF($C$7="","",$C$7+$I$7)</f>
        <v/>
      </c>
      <c r="E8" s="28" t="n"/>
      <c r="F8" s="6" t="inlineStr">
        <is>
          <t>Prestige (PRS) + Avatar Threat Factor (AVM)</t>
        </is>
      </c>
      <c r="G8" s="27" t="n"/>
      <c r="H8" s="27" t="n"/>
      <c r="I8" s="28" t="n"/>
    </row>
    <row r="9">
      <c r="A9" s="12" t="inlineStr">
        <is>
          <t>Pressure Point (PRE) Cap</t>
        </is>
      </c>
      <c r="B9" s="27" t="n"/>
      <c r="C9" s="28" t="n"/>
      <c r="D9" s="14">
        <f>IF(OR($C$7="",$F$7=""),"",4+2*$F$7+INT($C$7/4))</f>
        <v/>
      </c>
      <c r="E9" s="28" t="n"/>
      <c r="F9" s="6" t="inlineStr">
        <is>
          <t>4 + 2×N + INT(Prestige (PRS) ÷ 4)</t>
        </is>
      </c>
      <c r="G9" s="27" t="n"/>
      <c r="H9" s="27" t="n"/>
      <c r="I9" s="28" t="n"/>
    </row>
    <row r="10">
      <c r="A10" s="12" t="inlineStr">
        <is>
          <t>Pressure Point (PRE) recovery / round</t>
        </is>
      </c>
      <c r="B10" s="27" t="n"/>
      <c r="C10" s="28" t="n"/>
      <c r="D10" s="14">
        <f>IF($F$7="","",2+INT($F$7/2))</f>
        <v/>
      </c>
      <c r="E10" s="28" t="n"/>
      <c r="F10" s="6" t="inlineStr">
        <is>
          <t>2 ＋ INT(N ÷ 2)</t>
        </is>
      </c>
      <c r="G10" s="27" t="n"/>
      <c r="H10" s="27" t="n"/>
      <c r="I10" s="28" t="n"/>
    </row>
    <row r="11">
      <c r="A11" s="12" t="inlineStr">
        <is>
          <t>Action Point (AP) / round</t>
        </is>
      </c>
      <c r="B11" s="27" t="n"/>
      <c r="C11" s="28" t="n"/>
      <c r="D11" s="14">
        <f>4</f>
        <v/>
      </c>
      <c r="E11" s="28" t="n"/>
      <c r="F11" s="6" t="inlineStr">
        <is>
          <t>Killer fixed at 4; Pressure Point (PRE) is a separate resource pool</t>
        </is>
      </c>
      <c r="G11" s="27" t="n"/>
      <c r="H11" s="27" t="n"/>
      <c r="I11" s="28" t="n"/>
    </row>
    <row r="12">
      <c r="A12" s="12" t="inlineStr">
        <is>
          <t>Hook Phase Rounds</t>
        </is>
      </c>
      <c r="B12" s="27" t="n"/>
      <c r="C12" s="28" t="n"/>
      <c r="D12" s="14">
        <f>IF($F$7="","",8-$F$7)</f>
        <v/>
      </c>
      <c r="E12" s="28" t="n"/>
      <c r="F12" s="6" t="inlineStr">
        <is>
          <t>8 − N. Each phase end advances one stage; end of phase 2 = Sacrifice</t>
        </is>
      </c>
      <c r="G12" s="27" t="n"/>
      <c r="H12" s="27" t="n"/>
      <c r="I12" s="28" t="n"/>
    </row>
    <row r="13">
      <c r="A13" s="12" t="inlineStr">
        <is>
          <t>Endgame Collapse rounds</t>
        </is>
      </c>
      <c r="B13" s="27" t="n"/>
      <c r="C13" s="28" t="n"/>
      <c r="D13" s="14">
        <f>IF($F$7="","",14-2*$F$7)</f>
        <v/>
      </c>
      <c r="E13" s="28" t="n"/>
      <c r="F13" s="6" t="inlineStr">
        <is>
          <t>14 − 2×N. Countdown starts after the last Generator is completed</t>
        </is>
      </c>
      <c r="G13" s="27" t="n"/>
      <c r="H13" s="27" t="n"/>
      <c r="I13" s="28" t="n"/>
    </row>
    <row r="14" ht="30" customHeight="1">
      <c r="A14" s="12" t="inlineStr">
        <is>
          <t>Terror Radius (TR)</t>
        </is>
      </c>
      <c r="B14" s="28" t="n"/>
      <c r="C14" s="8" t="n"/>
      <c r="D14" s="5" t="inlineStr">
        <is>
          <t>cell → meters</t>
        </is>
      </c>
      <c r="E14" s="14">
        <f>IF(C14="","",C14*2)</f>
        <v/>
      </c>
      <c r="F14" s="6" t="inlineStr"/>
      <c r="G14" s="27" t="n"/>
      <c r="H14" s="27" t="n"/>
      <c r="I14" s="28" t="n"/>
    </row>
    <row r="15" ht="30" customHeight="1">
      <c r="A15" s="12" t="inlineStr">
        <is>
          <t>Move Level (MOV)</t>
        </is>
      </c>
      <c r="B15" s="28" t="n"/>
      <c r="C15" s="8" t="n"/>
      <c r="D15" s="5" t="inlineStr">
        <is>
          <t>cells / round(s)</t>
        </is>
      </c>
      <c r="E15" s="8" t="n"/>
      <c r="F15" s="6" t="inlineStr"/>
      <c r="G15" s="27" t="n"/>
      <c r="H15" s="27" t="n"/>
      <c r="I15" s="28" t="n"/>
    </row>
    <row r="16">
      <c r="A16" s="16" t="inlineStr">
        <is>
          <t>1 cell = 2 meters. Distance Band (DB): Contact (CON) 0–1 cells / Near (NEA) 1–4 cells / Mid (MID) 4–8 cells / Far (FAR) 8–16 cells / Escaped (ESC) 16+ cells.</t>
        </is>
      </c>
      <c r="B16" s="27" t="n"/>
      <c r="C16" s="27" t="n"/>
      <c r="D16" s="27" t="n"/>
      <c r="E16" s="27" t="n"/>
      <c r="F16" s="27" t="n"/>
      <c r="G16" s="27" t="n"/>
      <c r="H16" s="27" t="n"/>
      <c r="I16" s="28" t="n"/>
    </row>
    <row r="17" ht="20" customHeight="1">
      <c r="A17" s="9" t="inlineStr">
        <is>
          <t>II. Attributes &amp; Skills (three-baseline reference)</t>
        </is>
      </c>
      <c r="B17" s="27" t="n"/>
      <c r="C17" s="27" t="n"/>
      <c r="D17" s="27" t="n"/>
      <c r="E17" s="27" t="n"/>
      <c r="F17" s="27" t="n"/>
      <c r="G17" s="27" t="n"/>
      <c r="H17" s="27" t="n"/>
      <c r="I17" s="28" t="n"/>
    </row>
    <row r="18" ht="30" customHeight="1">
      <c r="A18" s="5" t="inlineStr">
        <is>
          <t>Attribute / Skill</t>
        </is>
      </c>
      <c r="B18" s="27" t="n"/>
      <c r="C18" s="28" t="n"/>
      <c r="D18" s="5" t="inlineStr">
        <is>
          <t>Prestige 1 (8 pts)</t>
        </is>
      </c>
      <c r="E18" s="5" t="inlineStr">
        <is>
          <t>Prestige 10 (13 pts)</t>
        </is>
      </c>
      <c r="F18" s="5" t="inlineStr">
        <is>
          <t>Prestige 20 (18 pts)</t>
        </is>
      </c>
      <c r="G18" s="5" t="inlineStr">
        <is>
          <t>Used This Trial</t>
        </is>
      </c>
      <c r="H18" s="5" t="inlineStr">
        <is>
          <t>Notes</t>
        </is>
      </c>
      <c r="I18" s="28" t="n"/>
    </row>
    <row r="19">
      <c r="A19" s="12" t="inlineStr">
        <is>
          <t>Brute Force (BRU)</t>
        </is>
      </c>
      <c r="B19" s="27" t="n"/>
      <c r="C19" s="28" t="n"/>
      <c r="D19" s="8" t="inlineStr"/>
      <c r="E19" s="8" t="inlineStr"/>
      <c r="F19" s="8" t="inlineStr"/>
      <c r="G19" s="8" t="n"/>
      <c r="H19" s="6" t="n"/>
      <c r="I19" s="28" t="n"/>
    </row>
    <row r="20">
      <c r="A20" s="12" t="inlineStr">
        <is>
          <t>Hunt (HNT)</t>
        </is>
      </c>
      <c r="B20" s="27" t="n"/>
      <c r="C20" s="28" t="n"/>
      <c r="D20" s="8" t="inlineStr"/>
      <c r="E20" s="8" t="inlineStr"/>
      <c r="F20" s="8" t="inlineStr"/>
      <c r="G20" s="8" t="n"/>
      <c r="H20" s="6" t="n"/>
      <c r="I20" s="28" t="n"/>
    </row>
    <row r="21">
      <c r="A21" s="12" t="inlineStr">
        <is>
          <t>Perception (PER)</t>
        </is>
      </c>
      <c r="B21" s="27" t="n"/>
      <c r="C21" s="28" t="n"/>
      <c r="D21" s="8" t="inlineStr"/>
      <c r="E21" s="8" t="inlineStr"/>
      <c r="F21" s="8" t="inlineStr"/>
      <c r="G21" s="8" t="n"/>
      <c r="H21" s="6" t="n"/>
      <c r="I21" s="28" t="n"/>
    </row>
    <row r="22">
      <c r="A22" s="12" t="inlineStr">
        <is>
          <t>Dread (DRE)</t>
        </is>
      </c>
      <c r="B22" s="27" t="n"/>
      <c r="C22" s="28" t="n"/>
      <c r="D22" s="8" t="inlineStr"/>
      <c r="E22" s="8" t="inlineStr"/>
      <c r="F22" s="8" t="inlineStr"/>
      <c r="G22" s="8" t="n"/>
      <c r="H22" s="6" t="n"/>
      <c r="I22" s="28" t="n"/>
    </row>
    <row r="23">
      <c r="A23" s="12" t="inlineStr">
        <is>
          <t>Occult (OCC)</t>
        </is>
      </c>
      <c r="B23" s="27" t="n"/>
      <c r="C23" s="28" t="n"/>
      <c r="D23" s="8" t="inlineStr"/>
      <c r="E23" s="8" t="inlineStr"/>
      <c r="F23" s="8" t="inlineStr"/>
      <c r="G23" s="8" t="n"/>
      <c r="H23" s="6" t="n"/>
      <c r="I23" s="28" t="n"/>
    </row>
    <row r="24">
      <c r="A24" s="12" t="inlineStr">
        <is>
          <t>Tracking (TRK)</t>
        </is>
      </c>
      <c r="B24" s="27" t="n"/>
      <c r="C24" s="28" t="n"/>
      <c r="D24" s="8" t="inlineStr"/>
      <c r="E24" s="8" t="inlineStr"/>
      <c r="F24" s="8" t="inlineStr"/>
      <c r="G24" s="8" t="n"/>
      <c r="H24" s="6" t="n"/>
      <c r="I24" s="28" t="n"/>
    </row>
    <row r="25">
      <c r="A25" s="12" t="inlineStr">
        <is>
          <t>Subdue (SUP)</t>
        </is>
      </c>
      <c r="B25" s="27" t="n"/>
      <c r="C25" s="28" t="n"/>
      <c r="D25" s="8" t="inlineStr"/>
      <c r="E25" s="8" t="inlineStr"/>
      <c r="F25" s="8" t="inlineStr"/>
      <c r="G25" s="8" t="n"/>
      <c r="H25" s="6" t="n"/>
      <c r="I25" s="28" t="n"/>
    </row>
    <row r="26">
      <c r="A26" s="12" t="inlineStr">
        <is>
          <t>Coerce (COE)</t>
        </is>
      </c>
      <c r="B26" s="27" t="n"/>
      <c r="C26" s="28" t="n"/>
      <c r="D26" s="8" t="inlineStr"/>
      <c r="E26" s="8" t="inlineStr"/>
      <c r="F26" s="8" t="inlineStr"/>
      <c r="G26" s="8" t="n"/>
      <c r="H26" s="6" t="n"/>
      <c r="I26" s="28" t="n"/>
    </row>
    <row r="27">
      <c r="A27" s="12" t="inlineStr">
        <is>
          <t>Ritual (RIT)</t>
        </is>
      </c>
      <c r="B27" s="27" t="n"/>
      <c r="C27" s="28" t="n"/>
      <c r="D27" s="8" t="inlineStr"/>
      <c r="E27" s="8" t="inlineStr"/>
      <c r="F27" s="8" t="inlineStr"/>
      <c r="G27" s="8" t="n"/>
      <c r="H27" s="6" t="n"/>
      <c r="I27" s="28" t="n"/>
    </row>
    <row r="28">
      <c r="A28" s="12" t="inlineStr">
        <is>
          <t>Challenge Rating (CR)</t>
        </is>
      </c>
      <c r="B28" s="27" t="n"/>
      <c r="C28" s="28" t="n"/>
      <c r="D28" s="8" t="inlineStr"/>
      <c r="E28" s="8" t="inlineStr"/>
      <c r="F28" s="8" t="inlineStr"/>
      <c r="G28" s="8" t="n"/>
      <c r="H28" s="6" t="n"/>
      <c r="I28" s="28" t="n"/>
    </row>
    <row r="29">
      <c r="A29" s="12" t="inlineStr">
        <is>
          <t>Base Attack Modifier</t>
        </is>
      </c>
      <c r="B29" s="27" t="n"/>
      <c r="C29" s="28" t="n"/>
      <c r="D29" s="8" t="inlineStr"/>
      <c r="E29" s="8" t="inlineStr"/>
      <c r="F29" s="8" t="inlineStr"/>
      <c r="G29" s="8" t="n"/>
      <c r="H29" s="6" t="n"/>
      <c r="I29" s="28" t="n"/>
    </row>
    <row r="30">
      <c r="A30" s="12" t="inlineStr">
        <is>
          <t>Power Check Modifier</t>
        </is>
      </c>
      <c r="B30" s="27" t="n"/>
      <c r="C30" s="28" t="n"/>
      <c r="D30" s="8" t="inlineStr"/>
      <c r="E30" s="8" t="inlineStr"/>
      <c r="F30" s="8" t="inlineStr"/>
      <c r="G30" s="8" t="n"/>
      <c r="H30" s="6" t="n"/>
      <c r="I30" s="28" t="n"/>
    </row>
    <row r="31">
      <c r="A31" s="16" t="inlineStr">
        <is>
          <t>Killer's five attributes use a 'level 1–5' scale; the level is the check bonus (no ÷ 2). Total points = 8 + INT(Prestige (PRS) ÷ 2). The 'Used This Trial' column is for the GM to interpolate per the actual Prestige (PRS) deployed.</t>
        </is>
      </c>
      <c r="B31" s="27" t="n"/>
      <c r="C31" s="27" t="n"/>
      <c r="D31" s="27" t="n"/>
      <c r="E31" s="27" t="n"/>
      <c r="F31" s="27" t="n"/>
      <c r="G31" s="27" t="n"/>
      <c r="H31" s="27" t="n"/>
      <c r="I31" s="28" t="n"/>
    </row>
    <row r="32" ht="20" customHeight="1">
      <c r="A32" s="9" t="inlineStr">
        <is>
          <t>III. Power Card: (fill in power name)</t>
        </is>
      </c>
      <c r="B32" s="27" t="n"/>
      <c r="C32" s="27" t="n"/>
      <c r="D32" s="27" t="n"/>
      <c r="E32" s="27" t="n"/>
      <c r="F32" s="27" t="n"/>
      <c r="G32" s="27" t="n"/>
      <c r="H32" s="27" t="n"/>
      <c r="I32" s="28" t="n"/>
    </row>
    <row r="33" ht="22" customHeight="1">
      <c r="A33" s="12" t="inlineStr">
        <is>
          <t>Power Type</t>
        </is>
      </c>
      <c r="B33" s="28" t="n"/>
      <c r="C33" s="18" t="n"/>
      <c r="D33" s="27" t="n"/>
      <c r="E33" s="27" t="n"/>
      <c r="F33" s="27" t="n"/>
      <c r="G33" s="27" t="n"/>
      <c r="H33" s="27" t="n"/>
      <c r="I33" s="28" t="n"/>
    </row>
    <row r="34" ht="22" customHeight="1">
      <c r="A34" s="12" t="inlineStr">
        <is>
          <t>Power Charge (PWC) Name</t>
        </is>
      </c>
      <c r="B34" s="28" t="n"/>
      <c r="C34" s="18" t="n"/>
      <c r="D34" s="27" t="n"/>
      <c r="E34" s="27" t="n"/>
      <c r="F34" s="27" t="n"/>
      <c r="G34" s="27" t="n"/>
      <c r="H34" s="27" t="n"/>
      <c r="I34" s="28" t="n"/>
    </row>
    <row r="35" ht="22" customHeight="1">
      <c r="A35" s="12" t="inlineStr">
        <is>
          <t>Charge Cap</t>
        </is>
      </c>
      <c r="B35" s="28" t="n"/>
      <c r="C35" s="18" t="n"/>
      <c r="D35" s="27" t="n"/>
      <c r="E35" s="27" t="n"/>
      <c r="F35" s="27" t="n"/>
      <c r="G35" s="27" t="n"/>
      <c r="H35" s="27" t="n"/>
      <c r="I35" s="28" t="n"/>
    </row>
    <row r="36" ht="22" customHeight="1">
      <c r="A36" s="12" t="inlineStr">
        <is>
          <t>Charge Recovery</t>
        </is>
      </c>
      <c r="B36" s="28" t="n"/>
      <c r="C36" s="18" t="n"/>
      <c r="D36" s="27" t="n"/>
      <c r="E36" s="27" t="n"/>
      <c r="F36" s="27" t="n"/>
      <c r="G36" s="27" t="n"/>
      <c r="H36" s="27" t="n"/>
      <c r="I36" s="28" t="n"/>
    </row>
    <row r="37" ht="22" customHeight="1">
      <c r="A37" s="12" t="inlineStr">
        <is>
          <t>Action Point (AP) Cost</t>
        </is>
      </c>
      <c r="B37" s="28" t="n"/>
      <c r="C37" s="18" t="n"/>
      <c r="D37" s="27" t="n"/>
      <c r="E37" s="27" t="n"/>
      <c r="F37" s="27" t="n"/>
      <c r="G37" s="27" t="n"/>
      <c r="H37" s="27" t="n"/>
      <c r="I37" s="28" t="n"/>
    </row>
    <row r="38" ht="22" customHeight="1">
      <c r="A38" s="12" t="inlineStr">
        <is>
          <t>Pressure Point (PRE) Cost</t>
        </is>
      </c>
      <c r="B38" s="28" t="n"/>
      <c r="C38" s="18" t="n"/>
      <c r="D38" s="27" t="n"/>
      <c r="E38" s="27" t="n"/>
      <c r="F38" s="27" t="n"/>
      <c r="G38" s="27" t="n"/>
      <c r="H38" s="27" t="n"/>
      <c r="I38" s="28" t="n"/>
    </row>
    <row r="39" ht="22" customHeight="1">
      <c r="A39" s="12" t="inlineStr">
        <is>
          <t>Resolution Formula</t>
        </is>
      </c>
      <c r="B39" s="28" t="n"/>
      <c r="C39" s="18" t="n"/>
      <c r="D39" s="27" t="n"/>
      <c r="E39" s="27" t="n"/>
      <c r="F39" s="27" t="n"/>
      <c r="G39" s="27" t="n"/>
      <c r="H39" s="27" t="n"/>
      <c r="I39" s="28" t="n"/>
    </row>
    <row r="40" ht="22" customHeight="1">
      <c r="A40" s="12" t="inlineStr">
        <is>
          <t>Hit Effect</t>
        </is>
      </c>
      <c r="B40" s="28" t="n"/>
      <c r="C40" s="18" t="n"/>
      <c r="D40" s="27" t="n"/>
      <c r="E40" s="27" t="n"/>
      <c r="F40" s="27" t="n"/>
      <c r="G40" s="27" t="n"/>
      <c r="H40" s="27" t="n"/>
      <c r="I40" s="28" t="n"/>
    </row>
    <row r="41" ht="22" customHeight="1">
      <c r="A41" s="12" t="inlineStr">
        <is>
          <t>Cooldown</t>
        </is>
      </c>
      <c r="B41" s="28" t="n"/>
      <c r="C41" s="18" t="n"/>
      <c r="D41" s="27" t="n"/>
      <c r="E41" s="27" t="n"/>
      <c r="F41" s="27" t="n"/>
      <c r="G41" s="27" t="n"/>
      <c r="H41" s="27" t="n"/>
      <c r="I41" s="28" t="n"/>
    </row>
    <row r="42" ht="22" customHeight="1">
      <c r="A42" s="12" t="inlineStr">
        <is>
          <t>Survivor Counter</t>
        </is>
      </c>
      <c r="B42" s="28" t="n"/>
      <c r="C42" s="18" t="n"/>
      <c r="D42" s="27" t="n"/>
      <c r="E42" s="27" t="n"/>
      <c r="F42" s="27" t="n"/>
      <c r="G42" s="27" t="n"/>
      <c r="H42" s="27" t="n"/>
      <c r="I42" s="28" t="n"/>
    </row>
    <row r="43" ht="22" customHeight="1">
      <c r="A43" s="12" t="inlineStr">
        <is>
          <t>Solo Config Adjustment</t>
        </is>
      </c>
      <c r="B43" s="28" t="n"/>
      <c r="C43" s="18" t="n"/>
      <c r="D43" s="27" t="n"/>
      <c r="E43" s="27" t="n"/>
      <c r="F43" s="27" t="n"/>
      <c r="G43" s="27" t="n"/>
      <c r="H43" s="27" t="n"/>
      <c r="I43" s="28" t="n"/>
    </row>
    <row r="44" ht="20" customHeight="1">
      <c r="A44" s="9" t="inlineStr">
        <is>
          <t>IV. Power Mastery</t>
        </is>
      </c>
      <c r="B44" s="27" t="n"/>
      <c r="C44" s="27" t="n"/>
      <c r="D44" s="27" t="n"/>
      <c r="E44" s="27" t="n"/>
      <c r="F44" s="27" t="n"/>
      <c r="G44" s="27" t="n"/>
      <c r="H44" s="27" t="n"/>
      <c r="I44" s="28" t="n"/>
    </row>
    <row r="45">
      <c r="A45" s="5" t="inlineStr">
        <is>
          <t>Tier</t>
        </is>
      </c>
      <c r="B45" s="28" t="n"/>
      <c r="C45" s="5" t="inlineStr">
        <is>
          <t>Effect</t>
        </is>
      </c>
      <c r="D45" s="27" t="n"/>
      <c r="E45" s="27" t="n"/>
      <c r="F45" s="27" t="n"/>
      <c r="G45" s="27" t="n"/>
      <c r="H45" s="27" t="n"/>
      <c r="I45" s="28" t="n"/>
    </row>
    <row r="46" ht="22" customHeight="1">
      <c r="A46" s="12" t="inlineStr">
        <is>
          <t>Tier 2 (Prestige 6)</t>
        </is>
      </c>
      <c r="B46" s="28" t="n"/>
      <c r="C46" s="18" t="inlineStr"/>
      <c r="D46" s="27" t="n"/>
      <c r="E46" s="27" t="n"/>
      <c r="F46" s="27" t="n"/>
      <c r="G46" s="27" t="n"/>
      <c r="H46" s="27" t="n"/>
      <c r="I46" s="28" t="n"/>
    </row>
    <row r="47" ht="22" customHeight="1">
      <c r="A47" s="12" t="inlineStr">
        <is>
          <t>Tier 3 (Prestige 11)</t>
        </is>
      </c>
      <c r="B47" s="28" t="n"/>
      <c r="C47" s="18" t="inlineStr"/>
      <c r="D47" s="27" t="n"/>
      <c r="E47" s="27" t="n"/>
      <c r="F47" s="27" t="n"/>
      <c r="G47" s="27" t="n"/>
      <c r="H47" s="27" t="n"/>
      <c r="I47" s="28" t="n"/>
    </row>
    <row r="48" ht="22" customHeight="1">
      <c r="A48" s="12" t="inlineStr">
        <is>
          <t>Tier 4 (Prestige 16)</t>
        </is>
      </c>
      <c r="B48" s="28" t="n"/>
      <c r="C48" s="18" t="inlineStr"/>
      <c r="D48" s="27" t="n"/>
      <c r="E48" s="27" t="n"/>
      <c r="F48" s="27" t="n"/>
      <c r="G48" s="27" t="n"/>
      <c r="H48" s="27" t="n"/>
      <c r="I48" s="28" t="n"/>
    </row>
    <row r="49" ht="20" customHeight="1">
      <c r="A49" s="9" t="inlineStr">
        <is>
          <t>V. Exclusive Perks (Perk)</t>
        </is>
      </c>
      <c r="B49" s="27" t="n"/>
      <c r="C49" s="27" t="n"/>
      <c r="D49" s="27" t="n"/>
      <c r="E49" s="27" t="n"/>
      <c r="F49" s="27" t="n"/>
      <c r="G49" s="27" t="n"/>
      <c r="H49" s="27" t="n"/>
      <c r="I49" s="28" t="n"/>
    </row>
    <row r="50">
      <c r="A50" s="5" t="inlineStr">
        <is>
          <t>No.</t>
        </is>
      </c>
      <c r="B50" s="28" t="n"/>
      <c r="C50" s="5" t="inlineStr">
        <is>
          <t>Name</t>
        </is>
      </c>
      <c r="D50" s="27" t="n"/>
      <c r="E50" s="27" t="n"/>
      <c r="F50" s="28" t="n"/>
      <c r="G50" s="5" t="inlineStr">
        <is>
          <t>Source</t>
        </is>
      </c>
      <c r="H50" s="27" t="n"/>
      <c r="I50" s="28" t="n"/>
    </row>
    <row r="51">
      <c r="A51" s="8" t="inlineStr"/>
      <c r="B51" s="28" t="n"/>
      <c r="C51" s="6" t="inlineStr"/>
      <c r="D51" s="27" t="n"/>
      <c r="E51" s="27" t="n"/>
      <c r="F51" s="28" t="n"/>
      <c r="G51" s="6" t="inlineStr"/>
      <c r="H51" s="27" t="n"/>
      <c r="I51" s="28" t="n"/>
    </row>
    <row r="52">
      <c r="A52" s="8" t="inlineStr"/>
      <c r="B52" s="28" t="n"/>
      <c r="C52" s="6" t="inlineStr"/>
      <c r="D52" s="27" t="n"/>
      <c r="E52" s="27" t="n"/>
      <c r="F52" s="28" t="n"/>
      <c r="G52" s="6" t="inlineStr"/>
      <c r="H52" s="27" t="n"/>
      <c r="I52" s="28" t="n"/>
    </row>
    <row r="53">
      <c r="A53" s="8" t="inlineStr"/>
      <c r="B53" s="28" t="n"/>
      <c r="C53" s="6" t="inlineStr"/>
      <c r="D53" s="27" t="n"/>
      <c r="E53" s="27" t="n"/>
      <c r="F53" s="28" t="n"/>
      <c r="G53" s="6" t="inlineStr"/>
      <c r="H53" s="27" t="n"/>
      <c r="I53" s="28" t="n"/>
    </row>
    <row r="54" ht="20" customHeight="1">
      <c r="A54" s="9" t="inlineStr">
        <is>
          <t>VI. Encounter Cost &amp; Deployment</t>
        </is>
      </c>
      <c r="B54" s="27" t="n"/>
      <c r="C54" s="27" t="n"/>
      <c r="D54" s="27" t="n"/>
      <c r="E54" s="27" t="n"/>
      <c r="F54" s="27" t="n"/>
      <c r="G54" s="27" t="n"/>
      <c r="H54" s="27" t="n"/>
      <c r="I54" s="28" t="n"/>
    </row>
    <row r="55">
      <c r="A55" s="12" t="inlineStr">
        <is>
          <t>As the Trial's main Killer</t>
        </is>
      </c>
      <c r="B55" s="27" t="n"/>
      <c r="C55" s="28" t="n"/>
      <c r="D55" s="6" t="inlineStr">
        <is>
          <t>takes 60% of Encounter Budget (EB)</t>
        </is>
      </c>
      <c r="E55" s="27" t="n"/>
      <c r="F55" s="27" t="n"/>
      <c r="G55" s="27" t="n"/>
      <c r="H55" s="27" t="n"/>
      <c r="I55" s="28" t="n"/>
    </row>
    <row r="56">
      <c r="A56" s="12" t="inlineStr">
        <is>
          <t>As a fixed threat in the scenario</t>
        </is>
      </c>
      <c r="B56" s="27" t="n"/>
      <c r="C56" s="28" t="n"/>
      <c r="D56" s="6" t="inlineStr">
        <is>
          <t>Challenge Rating (CR) × 2</t>
        </is>
      </c>
      <c r="E56" s="27" t="n"/>
      <c r="F56" s="27" t="n"/>
      <c r="G56" s="27" t="n"/>
      <c r="H56" s="27" t="n"/>
      <c r="I56" s="28" t="n"/>
    </row>
    <row r="57" ht="42" customHeight="1">
      <c r="A57" s="12" t="inlineStr">
        <is>
          <t>Solo config (N = 1) adjustment</t>
        </is>
      </c>
      <c r="B57" s="27" t="n"/>
      <c r="C57" s="28" t="n"/>
      <c r="D57" s="18" t="n"/>
      <c r="E57" s="27" t="n"/>
      <c r="F57" s="27" t="n"/>
      <c r="G57" s="27" t="n"/>
      <c r="H57" s="27" t="n"/>
      <c r="I57" s="28" t="n"/>
    </row>
    <row r="58" ht="20" customHeight="1">
      <c r="A58" s="9" t="inlineStr">
        <is>
          <t>VII. In-Trial Tracker</t>
        </is>
      </c>
      <c r="B58" s="27" t="n"/>
      <c r="C58" s="27" t="n"/>
      <c r="D58" s="27" t="n"/>
      <c r="E58" s="27" t="n"/>
      <c r="F58" s="27" t="n"/>
      <c r="G58" s="27" t="n"/>
      <c r="H58" s="27" t="n"/>
      <c r="I58" s="28" t="n"/>
    </row>
    <row r="59">
      <c r="A59" s="12" t="inlineStr">
        <is>
          <t>Current Pressure Point (PRE)</t>
        </is>
      </c>
      <c r="B59" s="28" t="n"/>
      <c r="C59" s="8" t="n"/>
      <c r="D59" s="28" t="n"/>
      <c r="E59" s="12" t="inlineStr">
        <is>
          <t>Pressure Ramp Phase</t>
        </is>
      </c>
      <c r="F59" s="28" t="n"/>
      <c r="G59" s="8" t="inlineStr">
        <is>
          <t>☐ I　☐ II　☐ III</t>
        </is>
      </c>
      <c r="H59" s="27" t="n"/>
      <c r="I59" s="28" t="n"/>
    </row>
    <row r="60">
      <c r="A60" s="12" t="inlineStr">
        <is>
          <t>Sacrificed Count</t>
        </is>
      </c>
      <c r="B60" s="28" t="n"/>
      <c r="C60" s="8" t="n"/>
      <c r="D60" s="28" t="n"/>
      <c r="E60" s="12" t="inlineStr">
        <is>
          <t>Hunt Lead</t>
        </is>
      </c>
      <c r="F60" s="28" t="n"/>
      <c r="G60" s="8" t="n"/>
      <c r="H60" s="27" t="n"/>
      <c r="I60" s="28" t="n"/>
    </row>
    <row r="61" ht="44" customHeight="1">
      <c r="A61" s="12" t="inlineStr">
        <is>
          <t>Notes</t>
        </is>
      </c>
      <c r="B61" s="28" t="n"/>
      <c r="C61" s="18" t="n"/>
      <c r="D61" s="27" t="n"/>
      <c r="E61" s="27" t="n"/>
      <c r="F61" s="27" t="n"/>
      <c r="G61" s="27" t="n"/>
      <c r="H61" s="27" t="n"/>
      <c r="I61" s="28" t="n"/>
    </row>
  </sheetData>
  <mergeCells count="125">
    <mergeCell ref="C36:I36"/>
    <mergeCell ref="C52:F52"/>
    <mergeCell ref="D57:I57"/>
    <mergeCell ref="A15:B15"/>
    <mergeCell ref="A51:B51"/>
    <mergeCell ref="A21:C21"/>
    <mergeCell ref="A26:C26"/>
    <mergeCell ref="A57:C57"/>
    <mergeCell ref="E4:I4"/>
    <mergeCell ref="A7:B7"/>
    <mergeCell ref="A23:C23"/>
    <mergeCell ref="A41:B41"/>
    <mergeCell ref="D13:E13"/>
    <mergeCell ref="A17:I17"/>
    <mergeCell ref="C45:I45"/>
    <mergeCell ref="D55:I55"/>
    <mergeCell ref="G50:I50"/>
    <mergeCell ref="D7:E7"/>
    <mergeCell ref="A33:B33"/>
    <mergeCell ref="A42:B42"/>
    <mergeCell ref="F15:I15"/>
    <mergeCell ref="C47:I47"/>
    <mergeCell ref="G52:I52"/>
    <mergeCell ref="C50:F50"/>
    <mergeCell ref="A53:B53"/>
    <mergeCell ref="A35:B35"/>
    <mergeCell ref="C40:I40"/>
    <mergeCell ref="H23:I23"/>
    <mergeCell ref="A2:C5"/>
    <mergeCell ref="A39:B39"/>
    <mergeCell ref="A48:B48"/>
    <mergeCell ref="F13:I13"/>
    <mergeCell ref="D10:E10"/>
    <mergeCell ref="A59:B59"/>
    <mergeCell ref="A45:B45"/>
    <mergeCell ref="E5:F5"/>
    <mergeCell ref="A55:C55"/>
    <mergeCell ref="A12:C12"/>
    <mergeCell ref="A61:B61"/>
    <mergeCell ref="H25:I25"/>
    <mergeCell ref="G7:H7"/>
    <mergeCell ref="D11:E11"/>
    <mergeCell ref="D56:I56"/>
    <mergeCell ref="C34:I34"/>
    <mergeCell ref="A37:B37"/>
    <mergeCell ref="A46:B46"/>
    <mergeCell ref="C42:I42"/>
    <mergeCell ref="A29:C29"/>
    <mergeCell ref="G51:I51"/>
    <mergeCell ref="A13:C13"/>
    <mergeCell ref="C60:D60"/>
    <mergeCell ref="H19:I19"/>
    <mergeCell ref="H28:I28"/>
    <mergeCell ref="D9:E9"/>
    <mergeCell ref="A24:C24"/>
    <mergeCell ref="A49:I49"/>
    <mergeCell ref="A52:B52"/>
    <mergeCell ref="A1:I1"/>
    <mergeCell ref="H5:I5"/>
    <mergeCell ref="C46:I46"/>
    <mergeCell ref="A34:B34"/>
    <mergeCell ref="A25:C25"/>
    <mergeCell ref="C61:I61"/>
    <mergeCell ref="F9:I9"/>
    <mergeCell ref="C48:I48"/>
    <mergeCell ref="G53:I53"/>
    <mergeCell ref="A18:C18"/>
    <mergeCell ref="A36:B36"/>
    <mergeCell ref="G3:I3"/>
    <mergeCell ref="C38:I38"/>
    <mergeCell ref="C53:F53"/>
    <mergeCell ref="H21:I21"/>
    <mergeCell ref="A32:I32"/>
    <mergeCell ref="A22:C22"/>
    <mergeCell ref="C33:I33"/>
    <mergeCell ref="F10:I10"/>
    <mergeCell ref="A20:C20"/>
    <mergeCell ref="C59:D59"/>
    <mergeCell ref="A28:C28"/>
    <mergeCell ref="E59:F59"/>
    <mergeCell ref="C35:I35"/>
    <mergeCell ref="E2:I2"/>
    <mergeCell ref="A14:B14"/>
    <mergeCell ref="A30:C30"/>
    <mergeCell ref="H22:I22"/>
    <mergeCell ref="D12:E12"/>
    <mergeCell ref="A38:B38"/>
    <mergeCell ref="A43:B43"/>
    <mergeCell ref="F8:I8"/>
    <mergeCell ref="A6:I6"/>
    <mergeCell ref="A40:B40"/>
    <mergeCell ref="C51:F51"/>
    <mergeCell ref="H30:I30"/>
    <mergeCell ref="A16:I16"/>
    <mergeCell ref="H20:I20"/>
    <mergeCell ref="A60:B60"/>
    <mergeCell ref="H29:I29"/>
    <mergeCell ref="C39:I39"/>
    <mergeCell ref="A56:C56"/>
    <mergeCell ref="A27:C27"/>
    <mergeCell ref="C37:I37"/>
    <mergeCell ref="F14:I14"/>
    <mergeCell ref="A8:C8"/>
    <mergeCell ref="F11:I11"/>
    <mergeCell ref="E60:F60"/>
    <mergeCell ref="A50:B50"/>
    <mergeCell ref="A10:C10"/>
    <mergeCell ref="A19:C19"/>
    <mergeCell ref="G60:I60"/>
    <mergeCell ref="A44:I44"/>
    <mergeCell ref="F12:I12"/>
    <mergeCell ref="A47:B47"/>
    <mergeCell ref="A9:C9"/>
    <mergeCell ref="A31:I31"/>
    <mergeCell ref="A58:I58"/>
    <mergeCell ref="G59:I59"/>
    <mergeCell ref="C41:I41"/>
    <mergeCell ref="H27:I27"/>
    <mergeCell ref="D8:E8"/>
    <mergeCell ref="A11:C11"/>
    <mergeCell ref="H24:I24"/>
    <mergeCell ref="H18:I18"/>
    <mergeCell ref="C43:I43"/>
    <mergeCell ref="A54:I54"/>
    <mergeCell ref="H26:I26"/>
  </mergeCells>
  <printOptions horizontalCentered="1"/>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I23"/>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9" t="inlineStr">
        <is>
          <t>Dead by Daylight TRPG　Enemy Character Sheet　·　Realm Creature</t>
        </is>
      </c>
      <c r="B1" s="23" t="n"/>
      <c r="C1" s="23" t="n"/>
      <c r="D1" s="23" t="n"/>
      <c r="E1" s="23" t="n"/>
      <c r="F1" s="23" t="n"/>
      <c r="G1" s="23" t="n"/>
      <c r="H1" s="23" t="n"/>
      <c r="I1" s="24" t="n"/>
    </row>
    <row r="2">
      <c r="A2" s="3" t="inlineStr">
        <is>
          <t>Character Art
(Paste character image here)</t>
        </is>
      </c>
      <c r="B2" s="25" t="n"/>
      <c r="C2" s="26" t="n"/>
      <c r="D2" s="5" t="inlineStr">
        <is>
          <t>No.</t>
        </is>
      </c>
      <c r="E2" s="8" t="n"/>
      <c r="F2" s="5" t="inlineStr">
        <is>
          <t>Name</t>
        </is>
      </c>
      <c r="G2" s="6" t="n"/>
      <c r="H2" s="27" t="n"/>
      <c r="I2" s="28" t="n"/>
    </row>
    <row r="3">
      <c r="A3" s="29" t="n"/>
      <c r="C3" s="30" t="n"/>
      <c r="D3" s="5" t="inlineStr">
        <is>
          <t>Affiliated Realm</t>
        </is>
      </c>
      <c r="E3" s="6" t="n"/>
      <c r="F3" s="27" t="n"/>
      <c r="G3" s="27" t="n"/>
      <c r="H3" s="27" t="n"/>
      <c r="I3" s="28" t="n"/>
    </row>
    <row r="4">
      <c r="A4" s="29" t="n"/>
      <c r="C4" s="30" t="n"/>
      <c r="D4" s="5" t="inlineStr">
        <is>
          <t>Type</t>
        </is>
      </c>
      <c r="E4" s="6" t="n"/>
      <c r="F4" s="27" t="n"/>
      <c r="G4" s="27" t="n"/>
      <c r="H4" s="27" t="n"/>
      <c r="I4" s="28" t="n"/>
    </row>
    <row r="5">
      <c r="A5" s="31" t="n"/>
      <c r="B5" s="32" t="n"/>
      <c r="C5" s="33" t="n"/>
      <c r="D5" s="5" t="inlineStr">
        <is>
          <t>Boss-level</t>
        </is>
      </c>
      <c r="E5" s="8" t="inlineStr">
        <is>
          <t>No</t>
        </is>
      </c>
      <c r="F5" s="5" t="inlineStr">
        <is>
          <t>Deals Health State (HS) loss</t>
        </is>
      </c>
      <c r="H5" s="8" t="n"/>
      <c r="I5" s="28" t="n"/>
    </row>
    <row r="6" ht="20" customHeight="1">
      <c r="A6" s="9" t="inlineStr">
        <is>
          <t>I. Data (enter Challenge Rating (CR); rest auto-calculated)</t>
        </is>
      </c>
      <c r="B6" s="27" t="n"/>
      <c r="C6" s="27" t="n"/>
      <c r="D6" s="27" t="n"/>
      <c r="E6" s="27" t="n"/>
      <c r="F6" s="27" t="n"/>
      <c r="G6" s="27" t="n"/>
      <c r="H6" s="27" t="n"/>
      <c r="I6" s="28" t="n"/>
    </row>
    <row r="7" ht="30" customHeight="1">
      <c r="A7" s="5" t="inlineStr">
        <is>
          <t>Challenge Rating (CR)</t>
        </is>
      </c>
      <c r="B7" s="28" t="n"/>
      <c r="C7" s="8" t="n"/>
      <c r="D7" s="5" t="inlineStr">
        <is>
          <t>Move</t>
        </is>
      </c>
      <c r="E7" s="28" t="n"/>
      <c r="F7" s="6" t="n"/>
      <c r="G7" s="27" t="n"/>
      <c r="H7" s="27" t="n"/>
      <c r="I7" s="28" t="n"/>
    </row>
    <row r="8">
      <c r="A8" s="21" t="inlineStr">
        <is>
          <t>HP (HP)</t>
        </is>
      </c>
      <c r="B8" s="28" t="n"/>
      <c r="C8" s="14">
        <f>IF($C$7="","",10+4*$C$7)</f>
        <v/>
      </c>
      <c r="D8" s="28" t="n"/>
      <c r="E8" s="6" t="inlineStr">
        <is>
          <t>10 + 4×Challenge Rating (CR)</t>
        </is>
      </c>
      <c r="F8" s="27" t="n"/>
      <c r="G8" s="27" t="n"/>
      <c r="H8" s="27" t="n"/>
      <c r="I8" s="28" t="n"/>
    </row>
    <row r="9">
      <c r="A9" s="21" t="inlineStr">
        <is>
          <t>Attack Modifier</t>
        </is>
      </c>
      <c r="B9" s="28" t="n"/>
      <c r="C9" s="14">
        <f>IF($C$7="","",INT($C$7/2)+2)</f>
        <v/>
      </c>
      <c r="D9" s="28" t="n"/>
      <c r="E9" s="6" t="inlineStr">
        <is>
          <t>INT(CR ÷ 2) ＋ 2</t>
        </is>
      </c>
      <c r="F9" s="27" t="n"/>
      <c r="G9" s="27" t="n"/>
      <c r="H9" s="27" t="n"/>
      <c r="I9" s="28" t="n"/>
    </row>
    <row r="10">
      <c r="A10" s="21" t="inlineStr">
        <is>
          <t>Defense Difficulty Class (DC)</t>
        </is>
      </c>
      <c r="B10" s="28" t="n"/>
      <c r="C10" s="14">
        <f>IF($C$7="","",10+INT($C$7/2))</f>
        <v/>
      </c>
      <c r="D10" s="28" t="n"/>
      <c r="E10" s="6" t="inlineStr">
        <is>
          <t>10 + INT(CR ÷ 2). Target value when a Survivor attacks or interferes with this creature</t>
        </is>
      </c>
      <c r="F10" s="27" t="n"/>
      <c r="G10" s="27" t="n"/>
      <c r="H10" s="27" t="n"/>
      <c r="I10" s="28" t="n"/>
    </row>
    <row r="11">
      <c r="A11" s="21" t="inlineStr">
        <is>
          <t>Action Point (AP) / round</t>
        </is>
      </c>
      <c r="B11" s="28" t="n"/>
      <c r="C11" s="14">
        <f>IF($C$7="","",IF($C$7&gt;=8,4,IF($C$7&gt;=5,3,2)))</f>
        <v/>
      </c>
      <c r="D11" s="28" t="n"/>
      <c r="E11" s="6" t="inlineStr">
        <is>
          <t>CR 1–4 → 2 / CR 5–7 → 3 / CR 8+ → 4</t>
        </is>
      </c>
      <c r="F11" s="27" t="n"/>
      <c r="G11" s="27" t="n"/>
      <c r="H11" s="27" t="n"/>
      <c r="I11" s="28" t="n"/>
    </row>
    <row r="12">
      <c r="A12" s="21" t="inlineStr">
        <is>
          <t>Resilience (RES)</t>
        </is>
      </c>
      <c r="B12" s="28" t="n"/>
      <c r="C12" s="14">
        <f>IF($C$7="","",INT($C$7/3))</f>
        <v/>
      </c>
      <c r="D12" s="28" t="n"/>
      <c r="E12" s="6" t="inlineStr">
        <is>
          <t>INT(CR ÷ 3). Added to checks against status effects and forced movement</t>
        </is>
      </c>
      <c r="F12" s="27" t="n"/>
      <c r="G12" s="27" t="n"/>
      <c r="H12" s="27" t="n"/>
      <c r="I12" s="28" t="n"/>
    </row>
    <row r="13">
      <c r="A13" s="21" t="inlineStr">
        <is>
          <t>Encounter Budget Cost (EBC)</t>
        </is>
      </c>
      <c r="B13" s="28" t="n"/>
      <c r="C13" s="14">
        <f>IF($C$7="","",$C$7*IF($E$5="Yes",3,2))</f>
        <v/>
      </c>
      <c r="D13" s="28" t="n"/>
      <c r="E13" s="6" t="inlineStr">
        <is>
          <t>CR × 2 (standard) / CR × 3 (Boss-level)</t>
        </is>
      </c>
      <c r="F13" s="27" t="n"/>
      <c r="G13" s="27" t="n"/>
      <c r="H13" s="27" t="n"/>
      <c r="I13" s="28"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7" t="n"/>
      <c r="C14" s="27" t="n"/>
      <c r="D14" s="27" t="n"/>
      <c r="E14" s="27" t="n"/>
      <c r="F14" s="27" t="n"/>
      <c r="G14" s="27" t="n"/>
      <c r="H14" s="27" t="n"/>
      <c r="I14" s="28" t="n"/>
    </row>
    <row r="15" ht="20" customHeight="1">
      <c r="A15" s="9" t="inlineStr">
        <is>
          <t>II. Behavior, Effect &amp; Dispel</t>
        </is>
      </c>
      <c r="B15" s="27" t="n"/>
      <c r="C15" s="27" t="n"/>
      <c r="D15" s="27" t="n"/>
      <c r="E15" s="27" t="n"/>
      <c r="F15" s="27" t="n"/>
      <c r="G15" s="27" t="n"/>
      <c r="H15" s="27" t="n"/>
      <c r="I15" s="28" t="n"/>
    </row>
    <row r="16" ht="22" customHeight="1">
      <c r="A16" s="21" t="inlineStr">
        <is>
          <t>Behavior</t>
        </is>
      </c>
      <c r="B16" s="28" t="n"/>
      <c r="C16" s="18" t="n"/>
      <c r="D16" s="27" t="n"/>
      <c r="E16" s="27" t="n"/>
      <c r="F16" s="27" t="n"/>
      <c r="G16" s="27" t="n"/>
      <c r="H16" s="27" t="n"/>
      <c r="I16" s="28" t="n"/>
    </row>
    <row r="17" ht="22" customHeight="1">
      <c r="A17" s="21" t="inlineStr">
        <is>
          <t>Effect</t>
        </is>
      </c>
      <c r="B17" s="28" t="n"/>
      <c r="C17" s="18" t="n"/>
      <c r="D17" s="27" t="n"/>
      <c r="E17" s="27" t="n"/>
      <c r="F17" s="27" t="n"/>
      <c r="G17" s="27" t="n"/>
      <c r="H17" s="27" t="n"/>
      <c r="I17" s="28" t="n"/>
    </row>
    <row r="18" ht="22" customHeight="1">
      <c r="A18" s="21" t="inlineStr">
        <is>
          <t>Dispel Weakness</t>
        </is>
      </c>
      <c r="B18" s="28" t="n"/>
      <c r="C18" s="18" t="n"/>
      <c r="D18" s="27" t="n"/>
      <c r="E18" s="27" t="n"/>
      <c r="F18" s="27" t="n"/>
      <c r="G18" s="27" t="n"/>
      <c r="H18" s="27" t="n"/>
      <c r="I18" s="28" t="n"/>
    </row>
    <row r="19" ht="22" customHeight="1">
      <c r="A19" s="21" t="inlineStr">
        <is>
          <t>Solo config (N = 1) adjustment</t>
        </is>
      </c>
      <c r="B19" s="28" t="n"/>
      <c r="C19" s="18" t="n"/>
      <c r="D19" s="27" t="n"/>
      <c r="E19" s="27" t="n"/>
      <c r="F19" s="27" t="n"/>
      <c r="G19" s="27" t="n"/>
      <c r="H19" s="27" t="n"/>
      <c r="I19" s="28" t="n"/>
    </row>
    <row r="20" ht="20" customHeight="1">
      <c r="A20" s="9" t="inlineStr">
        <is>
          <t>IV. Tracking Track (in Trial)</t>
        </is>
      </c>
      <c r="B20" s="27" t="n"/>
      <c r="C20" s="27" t="n"/>
      <c r="D20" s="27" t="n"/>
      <c r="E20" s="27" t="n"/>
      <c r="F20" s="27" t="n"/>
      <c r="G20" s="27" t="n"/>
      <c r="H20" s="27" t="n"/>
      <c r="I20" s="28" t="n"/>
    </row>
    <row r="21">
      <c r="A21" s="21" t="inlineStr">
        <is>
          <t>Current HP (HP)</t>
        </is>
      </c>
      <c r="B21" s="28" t="n"/>
      <c r="C21" s="8" t="n"/>
      <c r="D21" s="28" t="n"/>
      <c r="E21" s="21" t="inlineStr">
        <is>
          <t>Core Exposed / Tier Segment</t>
        </is>
      </c>
      <c r="F21" s="28" t="n"/>
      <c r="G21" s="6" t="n"/>
      <c r="H21" s="27" t="n"/>
      <c r="I21" s="28" t="n"/>
    </row>
    <row r="22">
      <c r="A22" s="21" t="inlineStr">
        <is>
          <t>Current Status Effect</t>
        </is>
      </c>
      <c r="B22" s="28" t="n"/>
      <c r="C22" s="6" t="n"/>
      <c r="D22" s="27" t="n"/>
      <c r="E22" s="27" t="n"/>
      <c r="F22" s="27" t="n"/>
      <c r="G22" s="27" t="n"/>
      <c r="H22" s="27" t="n"/>
      <c r="I22" s="28" t="n"/>
    </row>
    <row r="23" ht="44" customHeight="1">
      <c r="A23" s="21" t="inlineStr">
        <is>
          <t>Notes</t>
        </is>
      </c>
      <c r="B23" s="28" t="n"/>
      <c r="C23" s="18" t="n"/>
      <c r="D23" s="27" t="n"/>
      <c r="E23" s="27" t="n"/>
      <c r="F23" s="27" t="n"/>
      <c r="G23" s="27" t="n"/>
      <c r="H23" s="27" t="n"/>
      <c r="I23" s="28" t="n"/>
    </row>
  </sheetData>
  <mergeCells count="47">
    <mergeCell ref="E3:I3"/>
    <mergeCell ref="C23:I23"/>
    <mergeCell ref="E12:I12"/>
    <mergeCell ref="C17:I17"/>
    <mergeCell ref="A11:B11"/>
    <mergeCell ref="E8:I8"/>
    <mergeCell ref="C19:I19"/>
    <mergeCell ref="A16:B16"/>
    <mergeCell ref="E4:I4"/>
    <mergeCell ref="A7:B7"/>
    <mergeCell ref="C10:D10"/>
    <mergeCell ref="C18:I18"/>
    <mergeCell ref="E10:I10"/>
    <mergeCell ref="A14:I14"/>
    <mergeCell ref="E13:I13"/>
    <mergeCell ref="C9:D9"/>
    <mergeCell ref="A18:B18"/>
    <mergeCell ref="A20:I20"/>
    <mergeCell ref="E9:I9"/>
    <mergeCell ref="A12:B12"/>
    <mergeCell ref="C12:D12"/>
    <mergeCell ref="A21:B21"/>
    <mergeCell ref="D7:E7"/>
    <mergeCell ref="C21:D21"/>
    <mergeCell ref="F7:I7"/>
    <mergeCell ref="C11:D11"/>
    <mergeCell ref="E11:I11"/>
    <mergeCell ref="C16:I16"/>
    <mergeCell ref="A17:B17"/>
    <mergeCell ref="A23:B23"/>
    <mergeCell ref="A8:B8"/>
    <mergeCell ref="G21:I21"/>
    <mergeCell ref="C8:D8"/>
    <mergeCell ref="A22:B22"/>
    <mergeCell ref="A15:I15"/>
    <mergeCell ref="G2:I2"/>
    <mergeCell ref="C22:I22"/>
    <mergeCell ref="A19:B19"/>
    <mergeCell ref="A10:B10"/>
    <mergeCell ref="A1:I1"/>
    <mergeCell ref="A13:B13"/>
    <mergeCell ref="H5:I5"/>
    <mergeCell ref="C13:D13"/>
    <mergeCell ref="A6:I6"/>
    <mergeCell ref="A2:C5"/>
    <mergeCell ref="A9:B9"/>
    <mergeCell ref="E21:F21"/>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2026-08-01T19:34:46Z</dcterms:created>
  <dcterms:modified xsi:type="dcterms:W3CDTF">2026-08-07T16:01:32Z</dcterms:modified>
</cp:coreProperties>
</file>