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  <font>
      <name val="Microsoft JhengHe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E3A46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5A6B7C"/>
      </patternFill>
    </fill>
  </fills>
  <borders count="21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  <border>
      <left/>
      <right/>
      <top style="thin">
        <color rgb="00B7C0C8"/>
      </top>
      <bottom/>
      <diagonal/>
    </border>
    <border>
      <left/>
      <right style="thin">
        <color rgb="00B7C0C8"/>
      </right>
      <top style="thin">
        <color rgb="00B7C0C8"/>
      </top>
      <bottom/>
      <diagonal/>
    </border>
    <border>
      <left/>
      <right/>
      <top style="thin">
        <color rgb="00B7C0C8"/>
      </top>
      <bottom style="thin">
        <color rgb="00B7C0C8"/>
      </bottom>
      <diagonal/>
    </border>
    <border>
      <left/>
      <right style="thin">
        <color rgb="00B7C0C8"/>
      </right>
      <top style="thin">
        <color rgb="00B7C0C8"/>
      </top>
      <bottom style="thin">
        <color rgb="00B7C0C8"/>
      </bottom>
      <diagonal/>
    </border>
    <border>
      <left style="thin">
        <color rgb="00B7C0C8"/>
      </left>
      <right/>
      <top/>
      <bottom/>
      <diagonal/>
    </border>
    <border>
      <left/>
      <right style="thin">
        <color rgb="00B7C0C8"/>
      </right>
      <top/>
      <bottom/>
      <diagonal/>
    </border>
    <border>
      <left style="thin">
        <color rgb="00B7C0C8"/>
      </left>
      <right/>
      <top/>
      <bottom style="thin">
        <color rgb="00B7C0C8"/>
      </bottom>
      <diagonal/>
    </border>
    <border>
      <left/>
      <right/>
      <top/>
      <bottom style="thin">
        <color rgb="00B7C0C8"/>
      </bottom>
      <diagonal/>
    </border>
    <border>
      <left/>
      <right style="thin">
        <color rgb="00B7C0C8"/>
      </right>
      <top/>
      <bottom style="thin">
        <color rgb="00B7C0C8"/>
      </bottom>
      <diagonal/>
    </border>
    <border>
      <left/>
      <right/>
      <top style="medium">
        <color rgb="007C8A96"/>
      </top>
      <bottom/>
      <diagonal/>
    </border>
    <border>
      <left style="medium">
        <color rgb="007C8A96"/>
      </left>
      <right/>
      <top/>
      <bottom/>
      <diagonal/>
    </border>
    <border>
      <left/>
      <right style="medium">
        <color rgb="007C8A96"/>
      </right>
      <top style="medium">
        <color rgb="007C8A96"/>
      </top>
      <bottom/>
      <diagonal/>
    </border>
    <border>
      <left/>
      <right style="medium">
        <color rgb="007C8A96"/>
      </right>
      <top/>
      <bottom/>
      <diagonal/>
    </border>
    <border>
      <left style="medium">
        <color rgb="007C8A96"/>
      </left>
      <right/>
      <top/>
      <bottom style="medium">
        <color rgb="007C8A96"/>
      </bottom>
      <diagonal/>
    </border>
    <border>
      <left/>
      <right/>
      <top/>
      <bottom style="medium">
        <color rgb="007C8A96"/>
      </bottom>
      <diagonal/>
    </border>
    <border>
      <left/>
      <right style="medium">
        <color rgb="007C8A96"/>
      </right>
      <top/>
      <bottom style="medium">
        <color rgb="007C8A96"/>
      </bottom>
      <diagonal/>
    </border>
    <border>
      <left/>
      <right/>
      <top style="medium">
        <color rgb="007C8A96"/>
      </top>
      <bottom style="medium">
        <color rgb="007C8A96"/>
      </bottom>
      <diagonal/>
    </border>
    <border>
      <left/>
      <right style="medium">
        <color rgb="007C8A96"/>
      </right>
      <top style="medium">
        <color rgb="007C8A96"/>
      </top>
      <bottom style="medium">
        <color rgb="007C8A9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7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0" fillId="4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Dead by Daylight TRPG　Survivor Character Sheet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Character Art
(Paste character image here)</t>
        </is>
      </c>
      <c r="B2" s="22" t="n"/>
      <c r="C2" s="23" t="n"/>
      <c r="D2" s="5" t="inlineStr">
        <is>
          <t>Character Name</t>
        </is>
      </c>
      <c r="E2" s="6" t="n"/>
      <c r="F2" s="24" t="n"/>
      <c r="G2" s="25" t="n"/>
      <c r="H2" s="5" t="inlineStr">
        <is>
          <t>Player</t>
        </is>
      </c>
      <c r="I2" s="6" t="n"/>
      <c r="J2" s="24" t="n"/>
      <c r="K2" s="24" t="n"/>
      <c r="L2" s="25" t="n"/>
    </row>
    <row r="3">
      <c r="A3" s="26" t="n"/>
      <c r="C3" s="27" t="n"/>
      <c r="D3" s="5" t="inlineStr">
        <is>
          <t>Archetype</t>
        </is>
      </c>
      <c r="E3" s="6" t="n"/>
      <c r="F3" s="24" t="n"/>
      <c r="G3" s="25" t="n"/>
      <c r="H3" s="5" t="inlineStr">
        <is>
          <t>Survival Specialization</t>
        </is>
      </c>
      <c r="I3" s="6" t="n"/>
      <c r="J3" s="24" t="n"/>
      <c r="K3" s="24" t="n"/>
      <c r="L3" s="25" t="n"/>
    </row>
    <row r="4">
      <c r="A4" s="26" t="n"/>
      <c r="C4" s="27" t="n"/>
      <c r="D4" s="5" t="inlineStr">
        <is>
          <t>Prestige (PRS)</t>
        </is>
      </c>
      <c r="E4" s="6" t="n">
        <v>1</v>
      </c>
      <c r="F4" s="5" t="inlineStr">
        <is>
          <t>Player Count (N)</t>
        </is>
      </c>
      <c r="G4" s="6" t="n">
        <v>1</v>
      </c>
      <c r="H4" s="5" t="inlineStr">
        <is>
          <t>Current Bloodpoint (BP)</t>
        </is>
      </c>
      <c r="I4" s="6" t="n">
        <v>0</v>
      </c>
      <c r="J4" s="24" t="n"/>
      <c r="K4" s="24" t="n"/>
      <c r="L4" s="25" t="n"/>
    </row>
    <row r="5">
      <c r="A5" s="26" t="n"/>
      <c r="C5" s="27" t="n"/>
      <c r="D5" s="5" t="inlineStr">
        <is>
          <t>Attribute Point (ATP)</t>
        </is>
      </c>
      <c r="E5" s="8">
        <f>15+INT($E$4/2)</f>
        <v/>
      </c>
      <c r="F5" s="5" t="inlineStr">
        <is>
          <t>Skill Point (SKP)</t>
        </is>
      </c>
      <c r="G5" s="8">
        <f>2+$E$4</f>
        <v/>
      </c>
      <c r="H5" s="5" t="inlineStr">
        <is>
          <t>Bloodpoint Cap (BP_max)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Perk Slot Count (PERK)</t>
        </is>
      </c>
      <c r="E6" s="8">
        <f>1+($E$4&gt;=5)+($E$4&gt;=10)+($E$4&gt;=15)</f>
        <v/>
      </c>
      <c r="F6" s="5" t="inlineStr">
        <is>
          <t>Hope Point Cap</t>
        </is>
      </c>
      <c r="G6" s="8">
        <f>2+INT($E$4/5)</f>
        <v/>
      </c>
      <c r="H6" s="5" t="inlineStr">
        <is>
          <t>Current Hope Point (HOP)</t>
        </is>
      </c>
      <c r="I6" s="6" t="n">
        <v>0</v>
      </c>
      <c r="J6" s="24" t="n"/>
      <c r="K6" s="24" t="n"/>
      <c r="L6" s="25" t="n"/>
    </row>
    <row r="7">
      <c r="A7" s="11" t="inlineStr">
        <is>
          <t>Beige cells = auto-calculated by formula; do not type. White cells = player-filled.'Player Count (N)' counts only Survivors played by players; the Echo Companion is not counted.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I. Attributes (Attribute) — Attribute Value 1–10; Attribute Bonus (AB) = INT(Attribute Value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Attribute</t>
        </is>
      </c>
      <c r="B9" s="5" t="inlineStr">
        <is>
          <t>Abbrev.</t>
        </is>
      </c>
      <c r="C9" s="5" t="inlineStr">
        <is>
          <t>Base Value</t>
        </is>
      </c>
      <c r="D9" s="5" t="inlineStr">
        <is>
          <t>Archetype Adj.</t>
        </is>
      </c>
      <c r="E9" s="5" t="inlineStr">
        <is>
          <t>Attribute Value</t>
        </is>
      </c>
      <c r="F9" s="5" t="inlineStr">
        <is>
          <t>Attribute Bonus (AB)</t>
        </is>
      </c>
      <c r="G9" s="5" t="inlineStr">
        <is>
          <t>Use</t>
        </is>
      </c>
      <c r="H9" s="24" t="n"/>
      <c r="I9" s="24" t="n"/>
      <c r="J9" s="24" t="n"/>
      <c r="K9" s="24" t="n"/>
      <c r="L9" s="25" t="n"/>
    </row>
    <row r="10">
      <c r="A10" s="16" t="inlineStr">
        <is>
          <t>Agility</t>
        </is>
      </c>
      <c r="B10" s="16" t="inlineStr">
        <is>
          <t>AGI</t>
        </is>
      </c>
      <c r="C10" s="6" t="n"/>
      <c r="D10" s="6" t="n">
        <v>0</v>
      </c>
      <c r="E10" s="8">
        <f>C10+D10</f>
        <v/>
      </c>
      <c r="F10" s="8">
        <f>INT(E10/2)</f>
        <v/>
      </c>
      <c r="G10" s="17" t="inlineStr">
        <is>
          <t>Vault windows, drop pallets, dodge, wriggle. The core of chase survival.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Technique</t>
        </is>
      </c>
      <c r="B11" s="16" t="inlineStr">
        <is>
          <t>TEC</t>
        </is>
      </c>
      <c r="C11" s="6" t="n"/>
      <c r="D11" s="6" t="n">
        <v>0</v>
      </c>
      <c r="E11" s="8">
        <f>C11+D11</f>
        <v/>
      </c>
      <c r="F11" s="8">
        <f>INT(E11/2)</f>
        <v/>
      </c>
      <c r="G11" s="17" t="inlineStr">
        <is>
          <t>Generator repair, disarm traps, open chests. The core of the victory condition.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Stealth</t>
        </is>
      </c>
      <c r="B12" s="16" t="inlineStr">
        <is>
          <t>STL</t>
        </is>
      </c>
      <c r="C12" s="6" t="n"/>
      <c r="D12" s="6" t="n">
        <v>0</v>
      </c>
      <c r="E12" s="8">
        <f>C12+D12</f>
        <v/>
      </c>
      <c r="F12" s="8">
        <f>INT(E12/2)</f>
        <v/>
      </c>
      <c r="G12" s="17" t="inlineStr">
        <is>
          <t>Crouch, hide in lockers, erase scratch marks, counter killer tracking.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Focus</t>
        </is>
      </c>
      <c r="B13" s="16" t="inlineStr">
        <is>
          <t>FOC</t>
        </is>
      </c>
      <c r="C13" s="6" t="n"/>
      <c r="D13" s="6" t="n">
        <v>0</v>
      </c>
      <c r="E13" s="8">
        <f>C13+D13</f>
        <v/>
      </c>
      <c r="F13" s="8">
        <f>INT(E13/2)</f>
        <v/>
      </c>
      <c r="G13" s="17" t="inlineStr">
        <is>
          <t>Four-tier skill-check quality, rescue timing, anti-interference, self-unhook.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Will</t>
        </is>
      </c>
      <c r="B14" s="16" t="inlineStr">
        <is>
          <t>WIL</t>
        </is>
      </c>
      <c r="C14" s="6" t="n"/>
      <c r="D14" s="6" t="n">
        <v>0</v>
      </c>
      <c r="E14" s="8">
        <f>C14+D14</f>
        <v/>
      </c>
      <c r="F14" s="8">
        <f>INT(E14/2)</f>
        <v/>
      </c>
      <c r="G14" s="17" t="inlineStr">
        <is>
          <t>Max HP, fear resistance, hook-survival rounds, dying crawl.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Total</t>
        </is>
      </c>
      <c r="B15" s="25" t="n"/>
      <c r="C15" s="8">
        <f>SUM(C10:C14)</f>
        <v/>
      </c>
      <c r="D15" s="5" t="inlineStr">
        <is>
          <t>Unallocated</t>
        </is>
      </c>
      <c r="E15" s="8">
        <f>$E$5-SUM(C10:C14)</f>
        <v/>
      </c>
      <c r="F15" s="11" t="inlineStr">
        <is>
          <t>At creation each base value is 1–5; the total must equal Attribute Point (ATP). Archetype adjustment comes from the chosen archetype.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II. Skills (Skill) — Skill Level (SL) 0–5; at level 0 when a professional skill is required, the check takes an extra −2 (Untrained)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Skill</t>
        </is>
      </c>
      <c r="B17" s="5" t="inlineStr">
        <is>
          <t>Abbrev.</t>
        </is>
      </c>
      <c r="C17" s="5" t="inlineStr">
        <is>
          <t>Linked Attribute</t>
        </is>
      </c>
      <c r="D17" s="5" t="inlineStr">
        <is>
          <t>Skill Level (SL)</t>
        </is>
      </c>
      <c r="E17" s="5" t="inlineStr">
        <is>
          <t>Attribute Bonus (AB)</t>
        </is>
      </c>
      <c r="F17" s="5" t="inlineStr">
        <is>
          <t>Total Check Modifier</t>
        </is>
      </c>
      <c r="G17" s="5" t="inlineStr">
        <is>
          <t>Use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Mechanical Repair</t>
        </is>
      </c>
      <c r="B18" s="16" t="inlineStr">
        <is>
          <t>MEC</t>
        </is>
      </c>
      <c r="C18" s="6" t="inlineStr">
        <is>
          <t>Technique (TEC)</t>
        </is>
      </c>
      <c r="D18" s="6" t="n">
        <v>0</v>
      </c>
      <c r="E18" s="8">
        <f>F11</f>
        <v/>
      </c>
      <c r="F18" s="8">
        <f>D18+E18-IF(D18=0,2,0)</f>
        <v/>
      </c>
      <c r="G18" s="17" t="inlineStr">
        <is>
          <t>Generator repair, Exit Gate opening, Hook sabotage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First Aid</t>
        </is>
      </c>
      <c r="B19" s="16" t="inlineStr">
        <is>
          <t>MED</t>
        </is>
      </c>
      <c r="C19" s="6" t="inlineStr">
        <is>
          <t>Focus (FOC)</t>
        </is>
      </c>
      <c r="D19" s="6" t="n">
        <v>0</v>
      </c>
      <c r="E19" s="8">
        <f>F13</f>
        <v/>
      </c>
      <c r="F19" s="8">
        <f>D19+E19-IF(D19=0,2,0)</f>
        <v/>
      </c>
      <c r="G19" s="17" t="inlineStr">
        <is>
          <t>Heal others, self-heal, pick up the dying, stop bleeding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Sneak</t>
        </is>
      </c>
      <c r="B20" s="16" t="inlineStr">
        <is>
          <t>SNK</t>
        </is>
      </c>
      <c r="C20" s="6" t="inlineStr">
        <is>
          <t>Stealth (STL)</t>
        </is>
      </c>
      <c r="D20" s="6" t="n">
        <v>0</v>
      </c>
      <c r="E20" s="8">
        <f>F12</f>
        <v/>
      </c>
      <c r="F20" s="8">
        <f>D20+E20-IF(D20=0,2,0)</f>
        <v/>
      </c>
      <c r="G20" s="17" t="inlineStr">
        <is>
          <t>Crouch, hide in lockers, erase scratch marks, counter tracking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Parkour</t>
        </is>
      </c>
      <c r="B21" s="16" t="inlineStr">
        <is>
          <t>PRK</t>
        </is>
      </c>
      <c r="C21" s="6" t="inlineStr">
        <is>
          <t>Agility (AGI)</t>
        </is>
      </c>
      <c r="D21" s="6" t="n">
        <v>0</v>
      </c>
      <c r="E21" s="8">
        <f>F10</f>
        <v/>
      </c>
      <c r="F21" s="8">
        <f>D21+E21-IF(D21=0,2,0)</f>
        <v/>
      </c>
      <c r="G21" s="17" t="inlineStr">
        <is>
          <t>Vault windows, clear obstacles, drop down, loop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Escape</t>
        </is>
      </c>
      <c r="B22" s="16" t="inlineStr">
        <is>
          <t>ESQ</t>
        </is>
      </c>
      <c r="C22" s="6" t="inlineStr">
        <is>
          <t>Agility (AGI)</t>
        </is>
      </c>
      <c r="D22" s="6" t="n">
        <v>0</v>
      </c>
      <c r="E22" s="8">
        <f>F10</f>
        <v/>
      </c>
      <c r="F22" s="8">
        <f>D22+E22-IF(D22=0,2,0)</f>
        <v/>
      </c>
      <c r="G22" s="17" t="inlineStr">
        <is>
          <t>Wriggle, escape traps, break a grab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Search</t>
        </is>
      </c>
      <c r="B23" s="16" t="inlineStr">
        <is>
          <t>SRC</t>
        </is>
      </c>
      <c r="C23" s="6" t="inlineStr">
        <is>
          <t>Technique (TEC)</t>
        </is>
      </c>
      <c r="D23" s="6" t="n">
        <v>0</v>
      </c>
      <c r="E23" s="8">
        <f>F11</f>
        <v/>
      </c>
      <c r="F23" s="8">
        <f>D23+E23-IF(D23=0,2,0)</f>
        <v/>
      </c>
      <c r="G23" s="17" t="inlineStr">
        <is>
          <t>Open chests, find the Hatch, identify Totems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Endurance</t>
        </is>
      </c>
      <c r="B24" s="16" t="inlineStr">
        <is>
          <t>END</t>
        </is>
      </c>
      <c r="C24" s="6" t="inlineStr">
        <is>
          <t>Will (WIL)</t>
        </is>
      </c>
      <c r="D24" s="6" t="n">
        <v>0</v>
      </c>
      <c r="E24" s="8">
        <f>F14</f>
        <v/>
      </c>
      <c r="F24" s="8">
        <f>D24+E24-IF(D24=0,2,0)</f>
        <v/>
      </c>
      <c r="G24" s="17" t="inlineStr">
        <is>
          <t>Fear resistance, endure hooks, resist status effects, dying crawl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Insight</t>
        </is>
      </c>
      <c r="B25" s="16" t="inlineStr">
        <is>
          <t>INS</t>
        </is>
      </c>
      <c r="C25" s="6" t="inlineStr">
        <is>
          <t>Focus (FOC)</t>
        </is>
      </c>
      <c r="D25" s="6" t="n">
        <v>0</v>
      </c>
      <c r="E25" s="8">
        <f>F13</f>
        <v/>
      </c>
      <c r="F25" s="8">
        <f>D25+E25-IF(D25=0,2,0)</f>
        <v/>
      </c>
      <c r="G25" s="17" t="inlineStr">
        <is>
          <t>Read auras, predict killer movement, judge rescue timing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Total</t>
        </is>
      </c>
      <c r="B26" s="24" t="n"/>
      <c r="C26" s="25" t="n"/>
      <c r="D26" s="8">
        <f>SUM(D18:D25)</f>
        <v/>
      </c>
      <c r="E26" s="5" t="inlineStr">
        <is>
          <t>Unallocated</t>
        </is>
      </c>
      <c r="F26" s="8">
        <f>$G$5-SUM(D18:D25)</f>
        <v/>
      </c>
      <c r="G26" s="11" t="inlineStr">
        <is>
          <t>Total Check Modifier already includes the Untrained −2 penalty; Situational Modifier (SM) is counted separately.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III. Derived Values (Derived Value) — all auto-calculated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Max HP (HP_max)</t>
        </is>
      </c>
      <c r="B28" s="25" t="n"/>
      <c r="C28" s="8">
        <f>8+2*$E$14+$E$4</f>
        <v/>
      </c>
      <c r="D28" s="5" t="inlineStr">
        <is>
          <t>Health State Cap (HS_max)</t>
        </is>
      </c>
      <c r="E28" s="25" t="n"/>
      <c r="F28" s="8">
        <f>IF(L28="Yes",1,2)</f>
        <v/>
      </c>
      <c r="G28" s="5" t="inlineStr">
        <is>
          <t>Action Point Cap (AP_max)</t>
        </is>
      </c>
      <c r="H28" s="25" t="n"/>
      <c r="I28" s="8">
        <f>IF(L29="Yes",3,4)</f>
        <v/>
      </c>
      <c r="J28" s="5" t="inlineStr">
        <is>
          <t>Broken state?</t>
        </is>
      </c>
      <c r="K28" s="25" t="n"/>
      <c r="L28" s="6" t="inlineStr">
        <is>
          <t>No</t>
        </is>
      </c>
    </row>
    <row r="29">
      <c r="A29" s="5" t="inlineStr">
        <is>
          <t>Move (MOV)</t>
        </is>
      </c>
      <c r="B29" s="25" t="n"/>
      <c r="C29" s="8">
        <f>6+INT($F$10/2)</f>
        <v/>
      </c>
      <c r="D29" s="5" t="inlineStr">
        <is>
          <t>Sprint (SPR)</t>
        </is>
      </c>
      <c r="E29" s="25" t="n"/>
      <c r="F29" s="8">
        <f>(6+INT($F$10/2))*2</f>
        <v/>
      </c>
      <c r="G29" s="5" t="inlineStr">
        <is>
          <t>Repair Efficiency (REP)</t>
        </is>
      </c>
      <c r="H29" s="25" t="n"/>
      <c r="I29" s="8">
        <f>$F$11+$D$18</f>
        <v/>
      </c>
      <c r="J29" s="5" t="inlineStr">
        <is>
          <t>Currently in Chase?</t>
        </is>
      </c>
      <c r="K29" s="25" t="n"/>
      <c r="L29" s="6" t="inlineStr">
        <is>
          <t>No</t>
        </is>
      </c>
    </row>
    <row r="30">
      <c r="A30" s="5" t="inlineStr">
        <is>
          <t>Heal Efficiency (HEAL)</t>
        </is>
      </c>
      <c r="B30" s="25" t="n"/>
      <c r="C30" s="8">
        <f>$F$13+$D$19</f>
        <v/>
      </c>
      <c r="D30" s="5" t="inlineStr">
        <is>
          <t>Passive Stealth (PSTL)</t>
        </is>
      </c>
      <c r="E30" s="25" t="n"/>
      <c r="F30" s="8">
        <f>8+$F$12+$D$20</f>
        <v/>
      </c>
      <c r="G30" s="5" t="inlineStr">
        <is>
          <t>Passive Perception (PPER)</t>
        </is>
      </c>
      <c r="H30" s="25" t="n"/>
      <c r="I30" s="8">
        <f>8+$F$13+$D$25</f>
        <v/>
      </c>
    </row>
    <row r="31">
      <c r="A31" s="5" t="inlineStr">
        <is>
          <t>Fear Resistance (FRES)</t>
        </is>
      </c>
      <c r="B31" s="25" t="n"/>
      <c r="C31" s="8">
        <f>10+$F$14+$D$24</f>
        <v/>
      </c>
      <c r="D31" s="5" t="inlineStr">
        <is>
          <t>Chase Check Mod (CHS)</t>
        </is>
      </c>
      <c r="E31" s="25" t="n"/>
      <c r="F31" s="8">
        <f>$F$10+$D$21</f>
        <v/>
      </c>
      <c r="G31" s="5" t="inlineStr">
        <is>
          <t>Wiggle Check Mod (WIG)</t>
        </is>
      </c>
      <c r="H31" s="25" t="n"/>
      <c r="I31" s="8">
        <f>$F$10+$D$22</f>
        <v/>
      </c>
    </row>
    <row r="32">
      <c r="A32" s="5" t="inlineStr">
        <is>
          <t>Hook Survival Rounds (HKS)</t>
        </is>
      </c>
      <c r="B32" s="25" t="n"/>
      <c r="C32" s="8">
        <f>(8-$G$4)+INT($F$14/2)</f>
        <v/>
      </c>
      <c r="D32" s="5" t="inlineStr">
        <is>
          <t>Self-Unhook Difficulty Class (DC)</t>
        </is>
      </c>
      <c r="E32" s="25" t="n"/>
      <c r="F32" s="8">
        <f>20-(4-$G$4)</f>
        <v/>
      </c>
      <c r="G32" s="5" t="inlineStr">
        <is>
          <t>Load Cap (LOAD)</t>
        </is>
      </c>
      <c r="H32" s="25" t="n"/>
      <c r="I32" s="8">
        <f>2+IF($E$3="Artificer (ART)",1,0)</f>
        <v/>
      </c>
    </row>
    <row r="33">
      <c r="A33" s="11" t="inlineStr">
        <is>
          <t>Action Point (AP): 4 per round when not in chase, 3 in chase. Health State (HS): Healthy → Injured → Dying; when Broken, cannot be healed at all.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IV. Trial Tracker — cleared at the start of each Trial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Current Health State</t>
        </is>
      </c>
      <c r="B35" s="25" t="n"/>
      <c r="C35" s="6" t="n"/>
      <c r="D35" s="17" t="inlineStr">
        <is>
          <t>Healthy / Injured / Dying</t>
        </is>
      </c>
      <c r="E35" s="24" t="n"/>
      <c r="F35" s="25" t="n"/>
      <c r="G35" s="5" t="inlineStr">
        <is>
          <t>Current HP (HP)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Hook Count This Trial</t>
        </is>
      </c>
      <c r="B36" s="25" t="n"/>
      <c r="C36" s="6" t="n"/>
      <c r="D36" s="17" t="inlineStr">
        <is>
          <t>0 / 1 / 2 (third = Sacrifice)</t>
        </is>
      </c>
      <c r="E36" s="24" t="n"/>
      <c r="F36" s="25" t="n"/>
      <c r="G36" s="5" t="inlineStr">
        <is>
          <t>Hook Phase Timer</t>
        </is>
      </c>
      <c r="H36" s="25" t="n"/>
      <c r="I36" s="6" t="n"/>
      <c r="J36" s="17" t="inlineStr">
        <is>
          <t>round(s)</t>
        </is>
      </c>
      <c r="K36" s="24" t="n"/>
      <c r="L36" s="25" t="n"/>
    </row>
    <row r="37">
      <c r="A37" s="5" t="inlineStr">
        <is>
          <t>Current Distance Band (DB)</t>
        </is>
      </c>
      <c r="B37" s="25" t="n"/>
      <c r="C37" s="6" t="n"/>
      <c r="D37" s="17" t="inlineStr">
        <is>
          <t>Contact / Near / Mid / Far / Escaped</t>
        </is>
      </c>
      <c r="E37" s="24" t="n"/>
      <c r="F37" s="25" t="n"/>
      <c r="G37" s="5" t="inlineStr">
        <is>
          <t>Consecutive Chase Rounds</t>
        </is>
      </c>
      <c r="H37" s="25" t="n"/>
      <c r="I37" s="6" t="n"/>
      <c r="J37" s="17" t="inlineStr">
        <is>
          <t>for Bloodlust check</t>
        </is>
      </c>
      <c r="K37" s="24" t="n"/>
      <c r="L37" s="25" t="n"/>
    </row>
    <row r="38">
      <c r="A38" s="5" t="inlineStr">
        <is>
          <t>Remaining Action Point (AP)</t>
        </is>
      </c>
      <c r="B38" s="25" t="n"/>
      <c r="C38" s="6" t="n"/>
      <c r="D38" s="17" t="inlineStr"/>
      <c r="E38" s="24" t="n"/>
      <c r="F38" s="25" t="n"/>
      <c r="G38" s="5" t="inlineStr">
        <is>
          <t>Persistence Bonus (PB) rounds</t>
        </is>
      </c>
      <c r="H38" s="25" t="n"/>
      <c r="I38" s="6" t="n"/>
      <c r="J38" s="17" t="inlineStr">
        <is>
          <t>consecutive same-action rounds −1, cap +3</t>
        </is>
      </c>
      <c r="K38" s="24" t="n"/>
      <c r="L38" s="25" t="n"/>
    </row>
    <row r="39"/>
    <row r="40" ht="20" customHeight="1">
      <c r="A40" s="13" t="inlineStr">
        <is>
          <t>V. Perks (Perk) — slot count opens by Prestige (PRS): 1 at start, +1 each at Prestige 5 / 10 / 15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Slot</t>
        </is>
      </c>
      <c r="B41" s="5" t="inlineStr">
        <is>
          <t>Perk Name</t>
        </is>
      </c>
      <c r="C41" s="24" t="n"/>
      <c r="D41" s="25" t="n"/>
      <c r="E41" s="5" t="inlineStr">
        <is>
          <t>Tier</t>
        </is>
      </c>
      <c r="F41" s="5" t="inlineStr">
        <is>
          <t>Effect Summary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 | Initial</t>
        </is>
      </c>
      <c r="B42" s="17" t="inlineStr"/>
      <c r="C42" s="24" t="n"/>
      <c r="D42" s="25" t="n"/>
      <c r="E42" s="6" t="inlineStr"/>
      <c r="F42" s="17" t="inlineStr"/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 | Prestige 5</t>
        </is>
      </c>
      <c r="B43" s="17" t="inlineStr"/>
      <c r="C43" s="24" t="n"/>
      <c r="D43" s="25" t="n"/>
      <c r="E43" s="6" t="inlineStr"/>
      <c r="F43" s="17" t="inlineStr"/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 | Prestige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 | Prestige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Perks have three tiers: Tier 1 (Common) / Tier 2 (Uncommon) / Tier 3 (Very Rare). In the Tier column write Tier 1 / Tier 2 / Tier 3. See the Perk Codex. In a Solo Trial (Setup 1), perks that involve allies instead target the Echo Companion; if no Echo Companion is present, use the perk's solo-variant clause.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VI. Carried Items &amp; Add-ons (Item &amp; Add-on) — Load (LOAD) cap see Derived Values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Item Name</t>
        </is>
      </c>
      <c r="B48" s="24" t="n"/>
      <c r="C48" s="25" t="n"/>
      <c r="D48" s="5" t="inlineStr">
        <is>
          <t>Type</t>
        </is>
      </c>
      <c r="E48" s="25" t="n"/>
      <c r="F48" s="5" t="inlineStr">
        <is>
          <t>Rarity</t>
        </is>
      </c>
      <c r="G48" s="5" t="inlineStr">
        <is>
          <t>Charge (CHG)</t>
        </is>
      </c>
      <c r="H48" s="5" t="inlineStr">
        <is>
          <t>Add-on 1</t>
        </is>
      </c>
      <c r="I48" s="25" t="n"/>
      <c r="J48" s="5" t="inlineStr">
        <is>
          <t>Add-on 2</t>
        </is>
      </c>
      <c r="K48" s="24" t="n"/>
      <c r="L48" s="25" t="n"/>
    </row>
    <row r="49">
      <c r="A49" s="17" t="inlineStr"/>
      <c r="B49" s="24" t="n"/>
      <c r="C49" s="25" t="n"/>
      <c r="D49" s="6" t="inlineStr"/>
      <c r="E49" s="25" t="n"/>
      <c r="F49" s="6" t="inlineStr"/>
      <c r="G49" s="6" t="inlineStr"/>
      <c r="H49" s="17" t="inlineStr"/>
      <c r="I49" s="25" t="n"/>
      <c r="J49" s="17" t="inlineStr"/>
      <c r="K49" s="24" t="n"/>
      <c r="L49" s="25" t="n"/>
    </row>
    <row r="50">
      <c r="A50" s="17" t="inlineStr"/>
      <c r="B50" s="24" t="n"/>
      <c r="C50" s="25" t="n"/>
      <c r="D50" s="6" t="inlineStr"/>
      <c r="E50" s="25" t="n"/>
      <c r="F50" s="6" t="inlineStr"/>
      <c r="G50" s="6" t="inlineStr"/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VII. Status Effects (Status Effect) — check those currently active and record remaining rounds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Broken</t>
        </is>
      </c>
      <c r="B55" s="24" t="n"/>
      <c r="C55" s="25" t="n"/>
      <c r="D55" s="6" t="n"/>
      <c r="E55" s="5" t="inlineStr">
        <is>
          <t>Deep Wound</t>
        </is>
      </c>
      <c r="F55" s="24" t="n"/>
      <c r="G55" s="25" t="n"/>
      <c r="H55" s="6" t="n"/>
      <c r="I55" s="5" t="inlineStr">
        <is>
          <t>Exhausted</t>
        </is>
      </c>
      <c r="J55" s="24" t="n"/>
      <c r="K55" s="25" t="n"/>
      <c r="L55" s="6" t="n"/>
    </row>
    <row r="56">
      <c r="A56" s="5" t="inlineStr">
        <is>
          <t>Blindness</t>
        </is>
      </c>
      <c r="B56" s="24" t="n"/>
      <c r="C56" s="25" t="n"/>
      <c r="D56" s="6" t="n"/>
      <c r="E56" s="5" t="inlineStr">
        <is>
          <t>Haemorrhage</t>
        </is>
      </c>
      <c r="F56" s="24" t="n"/>
      <c r="G56" s="25" t="n"/>
      <c r="H56" s="6" t="n"/>
      <c r="I56" s="5" t="inlineStr">
        <is>
          <t>Endurance</t>
        </is>
      </c>
      <c r="J56" s="24" t="n"/>
      <c r="K56" s="25" t="n"/>
      <c r="L56" s="6" t="n"/>
    </row>
    <row r="57">
      <c r="A57" s="5" t="inlineStr">
        <is>
          <t>Haste</t>
        </is>
      </c>
      <c r="B57" s="24" t="n"/>
      <c r="C57" s="25" t="n"/>
      <c r="D57" s="6" t="n"/>
      <c r="E57" s="5" t="inlineStr">
        <is>
          <t>Hindered</t>
        </is>
      </c>
      <c r="F57" s="24" t="n"/>
      <c r="G57" s="25" t="n"/>
      <c r="H57" s="6" t="n"/>
      <c r="I57" s="5" t="inlineStr">
        <is>
          <t>Exposed</t>
        </is>
      </c>
      <c r="J57" s="24" t="n"/>
      <c r="K57" s="25" t="n"/>
      <c r="L57" s="6" t="n"/>
    </row>
    <row r="58">
      <c r="A58" s="5" t="inlineStr">
        <is>
          <t>Mangled</t>
        </is>
      </c>
      <c r="B58" s="24" t="n"/>
      <c r="C58" s="25" t="n"/>
      <c r="D58" s="6" t="n"/>
      <c r="E58" s="5" t="inlineStr">
        <is>
          <t>Madness</t>
        </is>
      </c>
      <c r="F58" s="24" t="n"/>
      <c r="G58" s="25" t="n"/>
      <c r="H58" s="6" t="n"/>
      <c r="I58" s="5" t="inlineStr">
        <is>
          <t>Trembling</t>
        </is>
      </c>
      <c r="J58" s="24" t="n"/>
      <c r="K58" s="25" t="n"/>
      <c r="L58" s="6" t="n"/>
    </row>
    <row r="59"/>
    <row r="60" ht="20" customHeight="1">
      <c r="A60" s="13" t="inlineStr">
        <is>
          <t>VIII. Background &amp; Notes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2026-08-01T19:18:29Z</dcterms:created>
  <dcterms:modified xsi:type="dcterms:W3CDTF">2026-08-07T16:01:32Z</dcterms:modified>
</cp:coreProperties>
</file>