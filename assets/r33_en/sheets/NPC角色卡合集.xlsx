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8-1 Elowyn Finch" sheetId="1" state="visible" r:id="rId1"/>
    <sheet name="8-2 Gilmar Sato" sheetId="2" state="visible" r:id="rId2"/>
    <sheet name="8-3 Sadie Nkosi" sheetId="3" state="visible" r:id="rId3"/>
    <sheet name="8-4 Hilda Rayne" sheetId="4" state="visible" r:id="rId4"/>
    <sheet name="8-5 Teo Blanca" sheetId="5" state="visible" r:id="rId5"/>
    <sheet name="8-6 Echo - Forty-Seven" sheetId="6" state="visible" r:id="rId6"/>
    <sheet name="8-7 Echo - The Holder" sheetId="7" state="visible" r:id="rId7"/>
    <sheet name="8-8 Echo - The Washer" sheetId="8" state="visible" r:id="rId8"/>
    <sheet name="8-9 Echo - Hilda" sheetId="9" state="visible" r:id="rId9"/>
    <sheet name="8-10 Well Chorus" sheetId="10" state="visible" r:id="rId10"/>
    <sheet name="8-11 Rust Choir" sheetId="11" state="visible" r:id="rId11"/>
    <sheet name="8-12 The Voice Beneath" sheetId="12" state="visible" r:id="rId12"/>
    <sheet name="8-13 Seventeen" sheetId="13" state="visible" r:id="rId13"/>
    <sheet name="8-14 Ali the Mirrorbearer" sheetId="14" state="visible" r:id="rId14"/>
    <sheet name="8-15 Fenn the Scavenger" sheetId="15" state="visible" r:id="rId15"/>
    <sheet name="8-16 無名" sheetId="16" state="visible" r:id="rId1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Microsoft JhengHei"/>
      <b val="1"/>
      <color rgb="00FFFFFF"/>
      <sz val="16"/>
    </font>
    <font>
      <name val="Microsoft JhengHei"/>
      <b val="1"/>
      <color rgb="007C8A96"/>
      <sz val="10"/>
    </font>
    <font>
      <name val="Microsoft JhengHei"/>
      <b val="1"/>
      <color rgb="002E3A46"/>
      <sz val="10"/>
    </font>
    <font>
      <name val="Microsoft JhengHei"/>
      <color rgb="002E3A46"/>
      <sz val="10"/>
    </font>
    <font>
      <name val="Microsoft JhengHei"/>
      <b val="1"/>
      <color rgb="00FFFFFF"/>
      <sz val="11"/>
    </font>
    <font>
      <name val="Microsoft JhengHei"/>
      <b val="1"/>
      <color rgb="008A5A00"/>
      <sz val="10"/>
    </font>
    <font>
      <name val="Microsoft JhengHei"/>
      <i val="1"/>
      <color rgb="006B7885"/>
      <sz val="9"/>
    </font>
  </fonts>
  <fills count="11">
    <fill>
      <patternFill/>
    </fill>
    <fill>
      <patternFill patternType="gray125"/>
    </fill>
    <fill>
      <patternFill patternType="solid">
        <fgColor rgb="002E4A38"/>
      </patternFill>
    </fill>
    <fill>
      <patternFill patternType="solid">
        <fgColor rgb="00F0F2F4"/>
      </patternFill>
    </fill>
    <fill>
      <patternFill patternType="solid">
        <fgColor rgb="00E8ECEF"/>
      </patternFill>
    </fill>
    <fill>
      <patternFill patternType="solid">
        <fgColor rgb="00FFFFFF"/>
      </patternFill>
    </fill>
    <fill>
      <patternFill patternType="solid">
        <fgColor rgb="005A6B7C"/>
      </patternFill>
    </fill>
    <fill>
      <patternFill patternType="solid">
        <fgColor rgb="00E8F5E9"/>
      </patternFill>
    </fill>
    <fill>
      <patternFill patternType="solid">
        <fgColor rgb="00FFF6E0"/>
      </patternFill>
    </fill>
    <fill>
      <patternFill patternType="solid">
        <fgColor rgb="00F5F7F8"/>
      </patternFill>
    </fill>
    <fill>
      <patternFill patternType="solid">
        <fgColor rgb="003A4A5E"/>
      </patternFill>
    </fill>
  </fills>
  <borders count="16">
    <border>
      <left/>
      <right/>
      <top/>
      <bottom/>
      <diagonal/>
    </border>
    <border>
      <left style="medium">
        <color rgb="007C8A96"/>
      </left>
      <right style="medium">
        <color rgb="007C8A96"/>
      </right>
      <top style="medium">
        <color rgb="007C8A96"/>
      </top>
      <bottom style="medium">
        <color rgb="007C8A96"/>
      </bottom>
    </border>
    <border>
      <left style="thin">
        <color rgb="00B7C0C8"/>
      </left>
      <right style="thin">
        <color rgb="00B7C0C8"/>
      </right>
      <top style="thin">
        <color rgb="00B7C0C8"/>
      </top>
      <bottom style="thin">
        <color rgb="00B7C0C8"/>
      </bottom>
    </border>
    <border>
      <left/>
      <right/>
      <top style="thin">
        <color rgb="00B7C0C8"/>
      </top>
      <bottom/>
      <diagonal/>
    </border>
    <border>
      <left/>
      <right style="thin">
        <color rgb="00B7C0C8"/>
      </right>
      <top style="thin">
        <color rgb="00B7C0C8"/>
      </top>
      <bottom/>
      <diagonal/>
    </border>
    <border>
      <left/>
      <right/>
      <top style="thin">
        <color rgb="00B7C0C8"/>
      </top>
      <bottom style="thin">
        <color rgb="00B7C0C8"/>
      </bottom>
      <diagonal/>
    </border>
    <border>
      <left/>
      <right style="thin">
        <color rgb="00B7C0C8"/>
      </right>
      <top style="thin">
        <color rgb="00B7C0C8"/>
      </top>
      <bottom style="thin">
        <color rgb="00B7C0C8"/>
      </bottom>
      <diagonal/>
    </border>
    <border>
      <left/>
      <right/>
      <top style="medium">
        <color rgb="007C8A96"/>
      </top>
      <bottom/>
      <diagonal/>
    </border>
    <border>
      <left style="medium">
        <color rgb="007C8A96"/>
      </left>
      <right/>
      <top/>
      <bottom/>
      <diagonal/>
    </border>
    <border>
      <left/>
      <right style="medium">
        <color rgb="007C8A96"/>
      </right>
      <top style="medium">
        <color rgb="007C8A96"/>
      </top>
      <bottom/>
      <diagonal/>
    </border>
    <border>
      <left/>
      <right style="medium">
        <color rgb="007C8A96"/>
      </right>
      <top/>
      <bottom/>
      <diagonal/>
    </border>
    <border>
      <left style="medium">
        <color rgb="007C8A96"/>
      </left>
      <right/>
      <top/>
      <bottom style="medium">
        <color rgb="007C8A96"/>
      </bottom>
      <diagonal/>
    </border>
    <border>
      <left/>
      <right/>
      <top/>
      <bottom style="medium">
        <color rgb="007C8A96"/>
      </bottom>
      <diagonal/>
    </border>
    <border>
      <left/>
      <right style="medium">
        <color rgb="007C8A96"/>
      </right>
      <top/>
      <bottom style="medium">
        <color rgb="007C8A96"/>
      </bottom>
      <diagonal/>
    </border>
    <border>
      <left/>
      <right/>
      <top style="medium">
        <color rgb="007C8A96"/>
      </top>
      <bottom style="medium">
        <color rgb="007C8A96"/>
      </bottom>
      <diagonal/>
    </border>
    <border>
      <left/>
      <right style="medium">
        <color rgb="007C8A96"/>
      </right>
      <top style="medium">
        <color rgb="007C8A96"/>
      </top>
      <bottom style="medium">
        <color rgb="007C8A96"/>
      </bottom>
      <diagonal/>
    </border>
  </borders>
  <cellStyleXfs count="1">
    <xf numFmtId="0" fontId="0" fillId="0" borderId="0"/>
  </cellStyleXfs>
  <cellXfs count="32">
    <xf numFmtId="0" fontId="0" fillId="0" borderId="0" pivotButton="0" quotePrefix="0" xfId="0"/>
    <xf numFmtId="0" fontId="1" fillId="2" borderId="1" applyAlignment="1" pivotButton="0" quotePrefix="0" xfId="0">
      <alignment horizontal="center" vertical="center" wrapText="1"/>
    </xf>
    <xf numFmtId="0" fontId="0" fillId="2" borderId="1" pivotButton="0" quotePrefix="0" xfId="0"/>
    <xf numFmtId="0" fontId="2" fillId="3" borderId="1" applyAlignment="1" pivotButton="0" quotePrefix="0" xfId="0">
      <alignment horizontal="center" vertical="center" wrapText="1"/>
    </xf>
    <xf numFmtId="0" fontId="0" fillId="3" borderId="1" pivotButton="0" quotePrefix="0" xfId="0"/>
    <xf numFmtId="0" fontId="3" fillId="4" borderId="2" applyAlignment="1" pivotButton="0" quotePrefix="0" xfId="0">
      <alignment horizontal="center" vertical="center" wrapText="1"/>
    </xf>
    <xf numFmtId="0" fontId="4" fillId="5" borderId="2" applyAlignment="1" pivotButton="0" quotePrefix="0" xfId="0">
      <alignment horizontal="left" vertical="center" wrapText="1"/>
    </xf>
    <xf numFmtId="0" fontId="0" fillId="5" borderId="2" pivotButton="0" quotePrefix="0" xfId="0"/>
    <xf numFmtId="0" fontId="4" fillId="5" borderId="2" applyAlignment="1" pivotButton="0" quotePrefix="0" xfId="0">
      <alignment horizontal="center" vertical="center" wrapText="1"/>
    </xf>
    <xf numFmtId="0" fontId="0" fillId="4" borderId="2" pivotButton="0" quotePrefix="0" xfId="0"/>
    <xf numFmtId="0" fontId="5" fillId="6" borderId="2" applyAlignment="1" pivotButton="0" quotePrefix="0" xfId="0">
      <alignment horizontal="left" vertical="center" wrapText="1"/>
    </xf>
    <xf numFmtId="0" fontId="0" fillId="6" borderId="2" pivotButton="0" quotePrefix="0" xfId="0"/>
    <xf numFmtId="0" fontId="3" fillId="7" borderId="2" applyAlignment="1" pivotButton="0" quotePrefix="0" xfId="0">
      <alignment horizontal="center" vertical="center" wrapText="1"/>
    </xf>
    <xf numFmtId="0" fontId="0" fillId="7" borderId="2" pivotButton="0" quotePrefix="0" xfId="0"/>
    <xf numFmtId="0" fontId="6" fillId="8" borderId="2" applyAlignment="1" pivotButton="0" quotePrefix="0" xfId="0">
      <alignment horizontal="center" vertical="center" wrapText="1"/>
    </xf>
    <xf numFmtId="0" fontId="7" fillId="9" borderId="2" applyAlignment="1" pivotButton="0" quotePrefix="0" xfId="0">
      <alignment horizontal="left" vertical="center" wrapText="1"/>
    </xf>
    <xf numFmtId="0" fontId="0" fillId="9" borderId="2" pivotButton="0" quotePrefix="0" xfId="0"/>
    <xf numFmtId="0" fontId="0" fillId="8" borderId="2" pivotButton="0" quotePrefix="0" xfId="0"/>
    <xf numFmtId="0" fontId="4" fillId="5" borderId="2" applyAlignment="1" pivotButton="0" quotePrefix="0" xfId="0">
      <alignment horizontal="left" vertical="top" wrapText="1"/>
    </xf>
    <xf numFmtId="0" fontId="1" fillId="10" borderId="1" applyAlignment="1" pivotButton="0" quotePrefix="0" xfId="0">
      <alignment horizontal="center" vertical="center" wrapText="1"/>
    </xf>
    <xf numFmtId="0" fontId="0" fillId="10" borderId="1" pivotButton="0" quotePrefix="0" xfId="0"/>
    <xf numFmtId="0" fontId="0" fillId="0" borderId="14" pivotButton="0" quotePrefix="0" xfId="0"/>
    <xf numFmtId="0" fontId="0" fillId="0" borderId="15" pivotButton="0" quotePrefix="0" xfId="0"/>
    <xf numFmtId="0" fontId="0" fillId="0" borderId="7" pivotButton="0" quotePrefix="0" xfId="0"/>
    <xf numFmtId="0" fontId="0" fillId="0" borderId="9" pivotButton="0" quotePrefix="0" xfId="0"/>
    <xf numFmtId="0" fontId="0" fillId="0" borderId="5" pivotButton="0" quotePrefix="0" xfId="0"/>
    <xf numFmtId="0" fontId="0" fillId="0" borderId="6" pivotButton="0" quotePrefix="0" xfId="0"/>
    <xf numFmtId="0" fontId="0" fillId="0" borderId="8"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44"/>
  <sheetViews>
    <sheetView workbookViewId="0">
      <pane ySplit="6" topLeftCell="A7" activePane="bottomLeft" state="frozen"/>
      <selection pane="bottomLeft" activeCell="A1" sqref="A1"/>
    </sheetView>
  </sheetViews>
  <sheetFormatPr baseColWidth="8" defaultRowHeight="15"/>
  <cols>
    <col width="11" customWidth="1" min="1" max="1"/>
    <col width="11" customWidth="1" min="2" max="2"/>
    <col width="11" customWidth="1" min="3" max="3"/>
    <col width="13" customWidth="1" min="4" max="4"/>
    <col width="13" customWidth="1" min="5" max="5"/>
    <col width="12" customWidth="1" min="6" max="6"/>
    <col width="12" customWidth="1" min="7" max="7"/>
    <col width="13" customWidth="1" min="8" max="8"/>
    <col width="13" customWidth="1" min="9" max="9"/>
  </cols>
  <sheetData>
    <row r="1" ht="28" customHeight="1">
      <c r="A1" s="1" t="inlineStr">
        <is>
          <t>Dead by Daylight TRPG　Non-Player Character (NPC) Card　·　Full Type</t>
        </is>
      </c>
      <c r="B1" s="21" t="n"/>
      <c r="C1" s="21" t="n"/>
      <c r="D1" s="21" t="n"/>
      <c r="E1" s="21" t="n"/>
      <c r="F1" s="21" t="n"/>
      <c r="G1" s="21" t="n"/>
      <c r="H1" s="21" t="n"/>
      <c r="I1" s="22" t="n"/>
    </row>
    <row r="2">
      <c r="A2" s="3" t="inlineStr">
        <is>
          <t>Character Art
(Paste character image here)</t>
        </is>
      </c>
      <c r="B2" s="23" t="n"/>
      <c r="C2" s="24" t="n"/>
      <c r="D2" s="5" t="inlineStr">
        <is>
          <t>Name</t>
        </is>
      </c>
      <c r="E2" s="6" t="inlineStr">
        <is>
          <t>Elowyn Finch</t>
        </is>
      </c>
      <c r="F2" s="25" t="n"/>
      <c r="G2" s="25" t="n"/>
      <c r="H2" s="25" t="n"/>
      <c r="I2" s="26" t="n"/>
    </row>
    <row r="3">
      <c r="A3" s="27" t="n"/>
      <c r="C3" s="28" t="n"/>
      <c r="D3" s="5" t="inlineStr">
        <is>
          <t>NPC Type</t>
        </is>
      </c>
      <c r="E3" s="8" t="inlineStr">
        <is>
          <t>Campfire Companion</t>
        </is>
      </c>
      <c r="F3" s="26" t="n"/>
      <c r="G3" s="5" t="inlineStr">
        <is>
          <t>Role</t>
        </is>
      </c>
      <c r="H3" s="6" t="inlineStr">
        <is>
          <t>Campfire Recorder</t>
        </is>
      </c>
      <c r="I3" s="26" t="n"/>
    </row>
    <row r="4">
      <c r="A4" s="27" t="n"/>
      <c r="C4" s="28" t="n"/>
      <c r="D4" s="5" t="inlineStr">
        <is>
          <t>Prestige (PRS)</t>
        </is>
      </c>
      <c r="E4" s="8" t="n">
        <v>5</v>
      </c>
      <c r="F4" s="26" t="n"/>
      <c r="G4" s="5" t="inlineStr">
        <is>
          <t>First Appearance</t>
        </is>
      </c>
      <c r="H4" s="8" t="inlineStr">
        <is>
          <t>S1</t>
        </is>
      </c>
      <c r="I4" s="26" t="n"/>
    </row>
    <row r="5">
      <c r="A5" s="29" t="n"/>
      <c r="B5" s="30" t="n"/>
      <c r="C5" s="31" t="n"/>
      <c r="D5" s="5" t="inlineStr">
        <is>
          <t>Affiliated Realm / Location</t>
        </is>
      </c>
      <c r="E5" s="6" t="inlineStr">
        <is>
          <t>Campfire</t>
        </is>
      </c>
      <c r="F5" s="25" t="n"/>
      <c r="G5" s="25" t="n"/>
      <c r="H5" s="25" t="n"/>
      <c r="I5" s="26" t="n"/>
    </row>
    <row r="6" ht="32" customHeight="1">
      <c r="A6" s="5" t="inlineStr">
        <is>
          <t>Appearance</t>
        </is>
      </c>
      <c r="B6" s="25" t="n"/>
      <c r="C6" s="26" t="n"/>
      <c r="D6" s="6" t="inlineStr">
        <is>
          <t>Thirties, short hair, both forearms covered with layered old scars carved by fingernails.</t>
        </is>
      </c>
      <c r="E6" s="25" t="n"/>
      <c r="F6" s="25" t="n"/>
      <c r="G6" s="25" t="n"/>
      <c r="H6" s="25" t="n"/>
      <c r="I6" s="26" t="n"/>
    </row>
    <row r="7" ht="20" customHeight="1">
      <c r="A7" s="10" t="inlineStr">
        <is>
          <t>I. Attributes (Five-Attribute Frame)</t>
        </is>
      </c>
      <c r="B7" s="25" t="n"/>
      <c r="C7" s="25" t="n"/>
      <c r="D7" s="25" t="n"/>
      <c r="E7" s="25" t="n"/>
      <c r="F7" s="25" t="n"/>
      <c r="G7" s="25" t="n"/>
      <c r="H7" s="25" t="n"/>
      <c r="I7" s="26" t="n"/>
    </row>
    <row r="8" ht="28" customHeight="1">
      <c r="A8" s="5" t="inlineStr">
        <is>
          <t>Attribute</t>
        </is>
      </c>
      <c r="B8" s="26" t="n"/>
      <c r="C8" s="5" t="inlineStr">
        <is>
          <t>Tendency</t>
        </is>
      </c>
      <c r="D8" s="5" t="inlineStr">
        <is>
          <t>Attribute Value
(1–10)</t>
        </is>
      </c>
      <c r="E8" s="5" t="inlineStr">
        <is>
          <t>Attribute Bonus (AB)</t>
        </is>
      </c>
      <c r="F8" s="5" t="inlineStr">
        <is>
          <t>Notes</t>
        </is>
      </c>
      <c r="G8" s="25" t="n"/>
      <c r="H8" s="25" t="n"/>
      <c r="I8" s="26" t="n"/>
    </row>
    <row r="9">
      <c r="A9" s="12" t="inlineStr">
        <is>
          <t>Agility (AGI)</t>
        </is>
      </c>
      <c r="B9" s="26" t="n"/>
      <c r="C9" s="8" t="inlineStr">
        <is>
          <t>Low</t>
        </is>
      </c>
      <c r="D9" s="8" t="n">
        <v>3</v>
      </c>
      <c r="E9" s="14">
        <f>IF(D9="","",INT(D9/2))</f>
        <v/>
      </c>
      <c r="F9" s="6" t="n"/>
      <c r="G9" s="25" t="n"/>
      <c r="H9" s="25" t="n"/>
      <c r="I9" s="26" t="n"/>
    </row>
    <row r="10">
      <c r="A10" s="12" t="inlineStr">
        <is>
          <t>Technique (TEC)</t>
        </is>
      </c>
      <c r="B10" s="26" t="n"/>
      <c r="C10" s="8" t="inlineStr">
        <is>
          <t>Medium</t>
        </is>
      </c>
      <c r="D10" s="8" t="n">
        <v>5</v>
      </c>
      <c r="E10" s="14">
        <f>IF(D10="","",INT(D10/2))</f>
        <v/>
      </c>
      <c r="F10" s="6" t="n"/>
      <c r="G10" s="25" t="n"/>
      <c r="H10" s="25" t="n"/>
      <c r="I10" s="26" t="n"/>
    </row>
    <row r="11">
      <c r="A11" s="12" t="inlineStr">
        <is>
          <t>Stealth (STL)</t>
        </is>
      </c>
      <c r="B11" s="26" t="n"/>
      <c r="C11" s="8" t="inlineStr">
        <is>
          <t>Medium</t>
        </is>
      </c>
      <c r="D11" s="8" t="n">
        <v>5</v>
      </c>
      <c r="E11" s="14">
        <f>IF(D11="","",INT(D11/2))</f>
        <v/>
      </c>
      <c r="F11" s="6" t="n"/>
      <c r="G11" s="25" t="n"/>
      <c r="H11" s="25" t="n"/>
      <c r="I11" s="26" t="n"/>
    </row>
    <row r="12">
      <c r="A12" s="12" t="inlineStr">
        <is>
          <t>Focus (FOC)</t>
        </is>
      </c>
      <c r="B12" s="26" t="n"/>
      <c r="C12" s="8" t="inlineStr">
        <is>
          <t>High</t>
        </is>
      </c>
      <c r="D12" s="8" t="n">
        <v>7</v>
      </c>
      <c r="E12" s="14">
        <f>IF(D12="","",INT(D12/2))</f>
        <v/>
      </c>
      <c r="F12" s="6" t="n"/>
      <c r="G12" s="25" t="n"/>
      <c r="H12" s="25" t="n"/>
      <c r="I12" s="26" t="n"/>
    </row>
    <row r="13">
      <c r="A13" s="12" t="inlineStr">
        <is>
          <t>Will (WIL)</t>
        </is>
      </c>
      <c r="B13" s="26" t="n"/>
      <c r="C13" s="8" t="inlineStr">
        <is>
          <t>Very High</t>
        </is>
      </c>
      <c r="D13" s="8" t="n">
        <v>9</v>
      </c>
      <c r="E13" s="14">
        <f>IF(D13="","",INT(D13/2))</f>
        <v/>
      </c>
      <c r="F13" s="6" t="n"/>
      <c r="G13" s="25" t="n"/>
      <c r="H13" s="25" t="n"/>
      <c r="I13" s="26" t="n"/>
    </row>
    <row r="14">
      <c r="A14" s="15" t="inlineStr">
        <is>
          <t>Attribute Bonus (AB) = INT(Attribute Value ÷ 2), auto-calculated. 'Tendency' is a narrative-scale relative description; 'Attribute Value' is filled by the GM per Prestige (PRS). For insubstantial NPCs (e.g. Whisperer), leave Attribute Value blank.</t>
        </is>
      </c>
      <c r="B14" s="25" t="n"/>
      <c r="C14" s="25" t="n"/>
      <c r="D14" s="25" t="n"/>
      <c r="E14" s="25" t="n"/>
      <c r="F14" s="25" t="n"/>
      <c r="G14" s="25" t="n"/>
      <c r="H14" s="25" t="n"/>
      <c r="I14" s="26" t="n"/>
    </row>
    <row r="15" ht="20" customHeight="1">
      <c r="A15" s="10" t="inlineStr">
        <is>
          <t>II. Derived Values (auto-calculated)</t>
        </is>
      </c>
      <c r="B15" s="25" t="n"/>
      <c r="C15" s="25" t="n"/>
      <c r="D15" s="25" t="n"/>
      <c r="E15" s="25" t="n"/>
      <c r="F15" s="25" t="n"/>
      <c r="G15" s="25" t="n"/>
      <c r="H15" s="25" t="n"/>
      <c r="I15" s="26" t="n"/>
    </row>
    <row r="16">
      <c r="A16" s="12" t="inlineStr">
        <is>
          <t>HP (HP) Cap</t>
        </is>
      </c>
      <c r="B16" s="25" t="n"/>
      <c r="C16" s="26" t="n"/>
      <c r="D16" s="14">
        <f>IF(D13="","—",8+2*D13+IF($E$4="",0,$E$4))</f>
        <v/>
      </c>
      <c r="E16" s="26" t="n"/>
      <c r="F16" s="6" t="inlineStr">
        <is>
          <t>8 + 2×Will (WIL) + Prestige (PRS)</t>
        </is>
      </c>
      <c r="G16" s="25" t="n"/>
      <c r="H16" s="25" t="n"/>
      <c r="I16" s="26" t="n"/>
    </row>
    <row r="17">
      <c r="A17" s="12" t="inlineStr">
        <is>
          <t>Health State (HS) Cap</t>
        </is>
      </c>
      <c r="B17" s="25" t="n"/>
      <c r="C17" s="26" t="n"/>
      <c r="D17" s="14">
        <f>IF($E$3="Echo Companion",3,IF($E$3="Whisperer","—",2))</f>
        <v/>
      </c>
      <c r="E17" s="26" t="n"/>
      <c r="F17" s="6" t="inlineStr">
        <is>
          <t>Healthy→Injured→Dying. Echo Companion uses three-stage tracking.</t>
        </is>
      </c>
      <c r="G17" s="25" t="n"/>
      <c r="H17" s="25" t="n"/>
      <c r="I17" s="26" t="n"/>
    </row>
    <row r="18">
      <c r="A18" s="12" t="inlineStr">
        <is>
          <t>Action Point (AP) / round</t>
        </is>
      </c>
      <c r="B18" s="25" t="n"/>
      <c r="C18" s="26" t="n"/>
      <c r="D18" s="14">
        <f>IF($E$3="Echo Companion",1,IF($E$3="Whisperer",0,4))</f>
        <v/>
      </c>
      <c r="E18" s="26" t="n"/>
      <c r="F18" s="6" t="inlineStr">
        <is>
          <t>Echo Companion fixed at 1; Whisperer takes no action.</t>
        </is>
      </c>
      <c r="G18" s="25" t="n"/>
      <c r="H18" s="25" t="n"/>
      <c r="I18" s="26" t="n"/>
    </row>
    <row r="19">
      <c r="A19" s="12" t="inlineStr">
        <is>
          <t>Move (MOV) / round</t>
        </is>
      </c>
      <c r="B19" s="25" t="n"/>
      <c r="C19" s="26" t="n"/>
      <c r="D19" s="14">
        <f>IF(D9="","—",6+INT(D9/2))</f>
        <v/>
      </c>
      <c r="E19" s="26" t="n"/>
      <c r="F19" s="6" t="inlineStr">
        <is>
          <t>6 + INT(Agility (AGI) ÷ 2). 1 cell = 2 meters</t>
        </is>
      </c>
      <c r="G19" s="25" t="n"/>
      <c r="H19" s="25" t="n"/>
      <c r="I19" s="26" t="n"/>
    </row>
    <row r="20">
      <c r="A20" s="12" t="inlineStr">
        <is>
          <t>Repair Progress (Progress Point / round)</t>
        </is>
      </c>
      <c r="B20" s="25" t="n"/>
      <c r="C20" s="26" t="n"/>
      <c r="D20" s="14">
        <f>IF($E$3="Echo Companion",1,IF(D10="","—",INT(D10/2)))</f>
        <v/>
      </c>
      <c r="E20" s="26" t="n"/>
      <c r="F20" s="6" t="inlineStr">
        <is>
          <t>Echo Companion fixed +1 progress point (50% efficiency)</t>
        </is>
      </c>
      <c r="G20" s="25" t="n"/>
      <c r="H20" s="25" t="n"/>
      <c r="I20" s="26" t="n"/>
    </row>
    <row r="21">
      <c r="A21" s="12" t="inlineStr">
        <is>
          <t>Heal Progress (per round)</t>
        </is>
      </c>
      <c r="B21" s="25" t="n"/>
      <c r="C21" s="26" t="n"/>
      <c r="D21" s="14">
        <f>IF($E$3="Echo Companion",2,IF(D12="","—",INT(D12/2)+2))</f>
        <v/>
      </c>
      <c r="E21" s="26" t="n"/>
      <c r="F21" s="6" t="inlineStr">
        <is>
          <t>Echo Companion fixed +2, and cannot heal itself</t>
        </is>
      </c>
      <c r="G21" s="25" t="n"/>
      <c r="H21" s="25" t="n"/>
      <c r="I21" s="26" t="n"/>
    </row>
    <row r="22">
      <c r="A22" s="12" t="inlineStr">
        <is>
          <t>Passive Awareness Difficulty Class (DC)</t>
        </is>
      </c>
      <c r="B22" s="25" t="n"/>
      <c r="C22" s="26" t="n"/>
      <c r="D22" s="14">
        <f>IF(D12="","—",8+INT(D12/2))</f>
        <v/>
      </c>
      <c r="E22" s="26" t="n"/>
      <c r="F22" s="6" t="inlineStr">
        <is>
          <t>The target value for the Killer or other characters to notice this NPC</t>
        </is>
      </c>
      <c r="G22" s="25" t="n"/>
      <c r="H22" s="25" t="n"/>
      <c r="I22" s="26" t="n"/>
    </row>
    <row r="23" ht="20" customHeight="1">
      <c r="A23" s="10" t="inlineStr">
        <is>
          <t>III. Echo Companion exclusive: three-line behavior table</t>
        </is>
      </c>
      <c r="B23" s="25" t="n"/>
      <c r="C23" s="25" t="n"/>
      <c r="D23" s="25" t="n"/>
      <c r="E23" s="25" t="n"/>
      <c r="F23" s="25" t="n"/>
      <c r="G23" s="25" t="n"/>
      <c r="H23" s="25" t="n"/>
      <c r="I23" s="26" t="n"/>
    </row>
    <row r="24">
      <c r="A24" s="15" t="inlineStr">
        <is>
          <t>Used only when 'NPC Type = Echo Companion'. The GM checks top-to-bottom each round; the first condition met is the Echo Companion's action that round. No roleplay, no voice; one line per round.</t>
        </is>
      </c>
      <c r="B24" s="25" t="n"/>
      <c r="C24" s="25" t="n"/>
      <c r="D24" s="25" t="n"/>
      <c r="E24" s="25" t="n"/>
      <c r="F24" s="25" t="n"/>
      <c r="G24" s="25" t="n"/>
      <c r="H24" s="25" t="n"/>
      <c r="I24" s="26" t="n"/>
    </row>
    <row r="25">
      <c r="A25" s="5" t="inlineStr">
        <is>
          <t>No.</t>
        </is>
      </c>
      <c r="B25" s="5" t="inlineStr">
        <is>
          <t>Condition</t>
        </is>
      </c>
      <c r="C25" s="25" t="n"/>
      <c r="D25" s="26" t="n"/>
      <c r="E25" s="5" t="inlineStr">
        <is>
          <t>Action</t>
        </is>
      </c>
      <c r="F25" s="25" t="n"/>
      <c r="G25" s="25" t="n"/>
      <c r="H25" s="25" t="n"/>
      <c r="I25" s="26" t="n"/>
    </row>
    <row r="26" ht="30" customHeight="1">
      <c r="A26" s="12" t="inlineStr">
        <is>
          <t>①</t>
        </is>
      </c>
      <c r="B26" s="6" t="inlineStr">
        <is>
          <t>A Survivor is Hooked and this NPC can arrive within 2 rounds</t>
        </is>
      </c>
      <c r="C26" s="25" t="n"/>
      <c r="D26" s="26" t="n"/>
      <c r="E26" s="6" t="inlineStr">
        <is>
          <t>Go to rescue. On arrival, spend 1 Action Point (AP) to unhook, 100% success (no check).</t>
        </is>
      </c>
      <c r="F26" s="25" t="n"/>
      <c r="G26" s="25" t="n"/>
      <c r="H26" s="25" t="n"/>
      <c r="I26" s="26" t="n"/>
    </row>
    <row r="27" ht="30" customHeight="1">
      <c r="A27" s="12" t="inlineStr">
        <is>
          <t>②</t>
        </is>
      </c>
      <c r="B27" s="6" t="inlineStr">
        <is>
          <t>Self is Injured or Dying, or Killer is within 4 cells</t>
        </is>
      </c>
      <c r="C27" s="25" t="n"/>
      <c r="D27" s="26" t="n"/>
      <c r="E27" s="6" t="inlineStr">
        <is>
          <t>Self-preserve. Move away from Killer, prefer entering a Locker or cover; when Dying, crawl in place.</t>
        </is>
      </c>
      <c r="F27" s="25" t="n"/>
      <c r="G27" s="25" t="n"/>
      <c r="H27" s="25" t="n"/>
      <c r="I27" s="26" t="n"/>
    </row>
    <row r="28" ht="30" customHeight="1">
      <c r="A28" s="12" t="inlineStr">
        <is>
          <t>③</t>
        </is>
      </c>
      <c r="B28" s="6" t="inlineStr">
        <is>
          <t>None of the above holds</t>
        </is>
      </c>
      <c r="C28" s="25" t="n"/>
      <c r="D28" s="26" t="n"/>
      <c r="E28" s="6" t="inlineStr">
        <is>
          <t>Go to the nearest unfinished Generator and repair; +1 progress point per round.</t>
        </is>
      </c>
      <c r="F28" s="25" t="n"/>
      <c r="G28" s="25" t="n"/>
      <c r="H28" s="25" t="n"/>
      <c r="I28" s="26" t="n"/>
    </row>
    <row r="29">
      <c r="A29" s="15" t="inlineStr">
        <is>
          <t>Echo Companion limits: cannot self-unhook, cannot heal itself, cannot use items, cannot trade with Whisperer. Once hooked, it stalls a fixed 3 rounds before advancing to the next hook phase (Echo Stall). Count = MAX(0, 3 − Survivor player count N).</t>
        </is>
      </c>
      <c r="B29" s="25" t="n"/>
      <c r="C29" s="25" t="n"/>
      <c r="D29" s="25" t="n"/>
      <c r="E29" s="25" t="n"/>
      <c r="F29" s="25" t="n"/>
      <c r="G29" s="25" t="n"/>
      <c r="H29" s="25" t="n"/>
      <c r="I29" s="26" t="n"/>
    </row>
    <row r="30" ht="20" customHeight="1">
      <c r="A30" s="10" t="inlineStr">
        <is>
          <t>IV. Narrative Data</t>
        </is>
      </c>
      <c r="B30" s="25" t="n"/>
      <c r="C30" s="25" t="n"/>
      <c r="D30" s="25" t="n"/>
      <c r="E30" s="25" t="n"/>
      <c r="F30" s="25" t="n"/>
      <c r="G30" s="25" t="n"/>
      <c r="H30" s="25" t="n"/>
      <c r="I30" s="26" t="n"/>
    </row>
    <row r="31" ht="30" customHeight="1">
      <c r="A31" s="12" t="inlineStr">
        <is>
          <t>Motivation</t>
        </is>
      </c>
      <c r="B31" s="26" t="n"/>
      <c r="C31" s="18" t="inlineStr">
        <is>
          <t>To remember. She does not expect to escape; she expects "this to be written down."</t>
        </is>
      </c>
      <c r="D31" s="25" t="n"/>
      <c r="E31" s="25" t="n"/>
      <c r="F31" s="25" t="n"/>
      <c r="G31" s="25" t="n"/>
      <c r="H31" s="25" t="n"/>
      <c r="I31" s="26" t="n"/>
    </row>
    <row r="32" ht="46" customHeight="1">
      <c r="A32" s="12" t="inlineStr">
        <is>
          <t>Background</t>
        </is>
      </c>
      <c r="B32" s="26" t="n"/>
      <c r="C32" s="18" t="inlineStr">
        <is>
          <t>Origin unknown. She stays by the Campfire longer than anyone. She carves words into sheet metal, stone slabs, and her own body. She was once taken into Treatment Room 13, but her Reforging Failed — her hatred was not enough.</t>
        </is>
      </c>
      <c r="D32" s="25" t="n"/>
      <c r="E32" s="25" t="n"/>
      <c r="F32" s="25" t="n"/>
      <c r="G32" s="25" t="n"/>
      <c r="H32" s="25" t="n"/>
      <c r="I32" s="26" t="n"/>
    </row>
    <row r="33" ht="40" customHeight="1">
      <c r="A33" s="12" t="inlineStr">
        <is>
          <t>Role in Main Plot</t>
        </is>
      </c>
      <c r="B33" s="26" t="n"/>
      <c r="C33" s="18" t="inlineStr">
        <is>
          <t>S1 Tutorial / S2 Reveal that the carvings are hers / S6 Reveal she entered Room 13 / S7 Deliver the key line / S8 Stay until the end.</t>
        </is>
      </c>
      <c r="D33" s="25" t="n"/>
      <c r="E33" s="25" t="n"/>
      <c r="F33" s="25" t="n"/>
      <c r="G33" s="25" t="n"/>
      <c r="H33" s="25" t="n"/>
      <c r="I33" s="26" t="n"/>
    </row>
    <row r="34" ht="34" customHeight="1">
      <c r="A34" s="12" t="inlineStr">
        <is>
          <t>Signature Line</t>
        </is>
      </c>
      <c r="B34" s="26" t="n"/>
      <c r="C34" s="18" t="inlineStr">
        <is>
          <t>"Every time I come back I forget. So I carve outside, and on my own body."</t>
        </is>
      </c>
      <c r="D34" s="25" t="n"/>
      <c r="E34" s="25" t="n"/>
      <c r="F34" s="25" t="n"/>
      <c r="G34" s="25" t="n"/>
      <c r="H34" s="25" t="n"/>
      <c r="I34" s="26" t="n"/>
    </row>
    <row r="35" ht="20" customHeight="1">
      <c r="A35" s="10" t="inlineStr">
        <is>
          <t>V. Special Interactions &amp; Rewards</t>
        </is>
      </c>
      <c r="B35" s="25" t="n"/>
      <c r="C35" s="25" t="n"/>
      <c r="D35" s="25" t="n"/>
      <c r="E35" s="25" t="n"/>
      <c r="F35" s="25" t="n"/>
      <c r="G35" s="25" t="n"/>
      <c r="H35" s="25" t="n"/>
      <c r="I35" s="26" t="n"/>
    </row>
    <row r="36" ht="46" customHeight="1">
      <c r="A36" s="12" t="inlineStr">
        <is>
          <t>Special Rule</t>
        </is>
      </c>
      <c r="B36" s="26" t="n"/>
      <c r="C36" s="18" t="inlineStr">
        <is>
          <t>In a Campfire scene, the Player may ask her about one carving from any explored Realm (once per scenario, free). The carvings on her arms are the campaign-wide "known-intel index," which the GM can use to hint at clues the Player missed.</t>
        </is>
      </c>
      <c r="D36" s="25" t="n"/>
      <c r="E36" s="25" t="n"/>
      <c r="F36" s="25" t="n"/>
      <c r="G36" s="25" t="n"/>
      <c r="H36" s="25" t="n"/>
      <c r="I36" s="26" t="n"/>
    </row>
    <row r="37" ht="30" customHeight="1">
      <c r="A37" s="12" t="inlineStr">
        <is>
          <t>Hope Point (HOP) / Campfire Ember reward</t>
        </is>
      </c>
      <c r="B37" s="25" t="n"/>
      <c r="C37" s="26" t="n"/>
      <c r="D37" s="6" t="inlineStr">
        <is>
          <t>If the Player voluntarily bandages her or carves for her: +1 Campfire Ember (once per scenario).</t>
        </is>
      </c>
      <c r="E37" s="25" t="n"/>
      <c r="F37" s="25" t="n"/>
      <c r="G37" s="25" t="n"/>
      <c r="H37" s="25" t="n"/>
      <c r="I37" s="26" t="n"/>
    </row>
    <row r="38" ht="20" customHeight="1">
      <c r="A38" s="10" t="inlineStr">
        <is>
          <t>VI. GM Running Notes</t>
        </is>
      </c>
      <c r="B38" s="25" t="n"/>
      <c r="C38" s="25" t="n"/>
      <c r="D38" s="25" t="n"/>
      <c r="E38" s="25" t="n"/>
      <c r="F38" s="25" t="n"/>
      <c r="G38" s="25" t="n"/>
      <c r="H38" s="25" t="n"/>
      <c r="I38" s="26" t="n"/>
    </row>
    <row r="39" ht="52" customHeight="1">
      <c r="A39" s="18" t="inlineStr">
        <is>
          <t>She is both an information anchor and an emotional anchor. When the Player loses direction, let her speak; when the Player is too successful, let her fall silent. The S7 key line must be delivered by her.</t>
        </is>
      </c>
      <c r="B39" s="25" t="n"/>
      <c r="C39" s="25" t="n"/>
      <c r="D39" s="25" t="n"/>
      <c r="E39" s="25" t="n"/>
      <c r="F39" s="25" t="n"/>
      <c r="G39" s="25" t="n"/>
      <c r="H39" s="25" t="n"/>
      <c r="I39" s="26" t="n"/>
    </row>
    <row r="40" ht="20" customHeight="1">
      <c r="A40" s="10" t="inlineStr">
        <is>
          <t>VII. In-Trial Tracker (reusable)</t>
        </is>
      </c>
      <c r="B40" s="25" t="n"/>
      <c r="C40" s="25" t="n"/>
      <c r="D40" s="25" t="n"/>
      <c r="E40" s="25" t="n"/>
      <c r="F40" s="25" t="n"/>
      <c r="G40" s="25" t="n"/>
      <c r="H40" s="25" t="n"/>
      <c r="I40" s="26" t="n"/>
    </row>
    <row r="41">
      <c r="A41" s="12" t="inlineStr">
        <is>
          <t>Health State (HS)</t>
        </is>
      </c>
      <c r="B41" s="26" t="n"/>
      <c r="C41" s="5" t="inlineStr">
        <is>
          <t>Healthy</t>
        </is>
      </c>
      <c r="D41" s="5" t="inlineStr">
        <is>
          <t>Injured</t>
        </is>
      </c>
      <c r="E41" s="5" t="inlineStr">
        <is>
          <t>Dying</t>
        </is>
      </c>
      <c r="F41" s="12" t="inlineStr">
        <is>
          <t>Hook Phase</t>
        </is>
      </c>
      <c r="G41" s="26" t="n"/>
      <c r="H41" s="5" t="inlineStr">
        <is>
          <t>I (Wiggle)</t>
        </is>
      </c>
      <c r="I41" s="5" t="inlineStr">
        <is>
          <t>II (Sacrifice)</t>
        </is>
      </c>
    </row>
    <row r="42">
      <c r="A42" s="5" t="inlineStr">
        <is>
          <t>Check current state</t>
        </is>
      </c>
      <c r="B42" s="26" t="n"/>
      <c r="C42" s="8" t="inlineStr">
        <is>
          <t>☐</t>
        </is>
      </c>
      <c r="D42" s="8" t="inlineStr">
        <is>
          <t>☐</t>
        </is>
      </c>
      <c r="E42" s="8" t="inlineStr">
        <is>
          <t>☐</t>
        </is>
      </c>
      <c r="F42" s="5" t="inlineStr">
        <is>
          <t>Check</t>
        </is>
      </c>
      <c r="G42" s="26" t="n"/>
      <c r="H42" s="8" t="inlineStr">
        <is>
          <t>☐</t>
        </is>
      </c>
      <c r="I42" s="8" t="inlineStr">
        <is>
          <t>☐</t>
        </is>
      </c>
    </row>
    <row r="43">
      <c r="A43" s="12" t="inlineStr">
        <is>
          <t>Current Status Effect</t>
        </is>
      </c>
      <c r="B43" s="26" t="n"/>
      <c r="C43" s="6" t="n"/>
      <c r="D43" s="25" t="n"/>
      <c r="E43" s="25" t="n"/>
      <c r="F43" s="25" t="n"/>
      <c r="G43" s="25" t="n"/>
      <c r="H43" s="25" t="n"/>
      <c r="I43" s="26" t="n"/>
    </row>
    <row r="44" ht="40" customHeight="1">
      <c r="A44" s="12" t="inlineStr">
        <is>
          <t>Notes</t>
        </is>
      </c>
      <c r="B44" s="26" t="n"/>
      <c r="C44" s="18" t="n"/>
      <c r="D44" s="25" t="n"/>
      <c r="E44" s="25" t="n"/>
      <c r="F44" s="25" t="n"/>
      <c r="G44" s="25" t="n"/>
      <c r="H44" s="25" t="n"/>
      <c r="I44" s="26" t="n"/>
    </row>
  </sheetData>
  <mergeCells count="82">
    <mergeCell ref="C36:I36"/>
    <mergeCell ref="A7:I7"/>
    <mergeCell ref="D20:E20"/>
    <mergeCell ref="A37:C37"/>
    <mergeCell ref="E5:I5"/>
    <mergeCell ref="A21:C21"/>
    <mergeCell ref="D22:E22"/>
    <mergeCell ref="B28:D28"/>
    <mergeCell ref="A41:B41"/>
    <mergeCell ref="F16:I16"/>
    <mergeCell ref="A35:I35"/>
    <mergeCell ref="A33:B33"/>
    <mergeCell ref="A42:B42"/>
    <mergeCell ref="A39:I39"/>
    <mergeCell ref="E26:I26"/>
    <mergeCell ref="A30:I30"/>
    <mergeCell ref="C31:I31"/>
    <mergeCell ref="A6:C6"/>
    <mergeCell ref="E25:I25"/>
    <mergeCell ref="A2:C5"/>
    <mergeCell ref="D6:I6"/>
    <mergeCell ref="A9:B9"/>
    <mergeCell ref="E3:F3"/>
    <mergeCell ref="F13:I13"/>
    <mergeCell ref="D19:E19"/>
    <mergeCell ref="A11:B11"/>
    <mergeCell ref="E4:F4"/>
    <mergeCell ref="E28:I28"/>
    <mergeCell ref="C34:I34"/>
    <mergeCell ref="F42:G42"/>
    <mergeCell ref="F19:I19"/>
    <mergeCell ref="F20:I20"/>
    <mergeCell ref="A8:B8"/>
    <mergeCell ref="H3:I3"/>
    <mergeCell ref="C44:I44"/>
    <mergeCell ref="F17:I17"/>
    <mergeCell ref="A10:B10"/>
    <mergeCell ref="A1:I1"/>
    <mergeCell ref="A16:C16"/>
    <mergeCell ref="A34:B34"/>
    <mergeCell ref="F9:I9"/>
    <mergeCell ref="A18:C18"/>
    <mergeCell ref="A36:B36"/>
    <mergeCell ref="C32:I32"/>
    <mergeCell ref="A14:I14"/>
    <mergeCell ref="A22:C22"/>
    <mergeCell ref="A23:I23"/>
    <mergeCell ref="C33:I33"/>
    <mergeCell ref="D17:E17"/>
    <mergeCell ref="F10:I10"/>
    <mergeCell ref="A20:C20"/>
    <mergeCell ref="A38:I38"/>
    <mergeCell ref="A12:B12"/>
    <mergeCell ref="E2:I2"/>
    <mergeCell ref="A32:B32"/>
    <mergeCell ref="A40:I40"/>
    <mergeCell ref="B25:D25"/>
    <mergeCell ref="A24:I24"/>
    <mergeCell ref="F18:I18"/>
    <mergeCell ref="A43:B43"/>
    <mergeCell ref="F8:I8"/>
    <mergeCell ref="F22:I22"/>
    <mergeCell ref="H4:I4"/>
    <mergeCell ref="D21:E21"/>
    <mergeCell ref="D37:I37"/>
    <mergeCell ref="F11:I11"/>
    <mergeCell ref="A17:C17"/>
    <mergeCell ref="F41:G41"/>
    <mergeCell ref="A29:I29"/>
    <mergeCell ref="D16:E16"/>
    <mergeCell ref="A19:C19"/>
    <mergeCell ref="F12:I12"/>
    <mergeCell ref="B26:D26"/>
    <mergeCell ref="F21:I21"/>
    <mergeCell ref="E27:I27"/>
    <mergeCell ref="D18:E18"/>
    <mergeCell ref="A15:I15"/>
    <mergeCell ref="C43:I43"/>
    <mergeCell ref="B27:D27"/>
    <mergeCell ref="A13:B13"/>
    <mergeCell ref="A44:B44"/>
    <mergeCell ref="A31:B31"/>
  </mergeCells>
  <dataValidations count="2">
    <dataValidation sqref="E3:F3" showDropDown="0" showInputMessage="0" showErrorMessage="0" allowBlank="1" type="list">
      <formula1>"營火同伴,回聲同伴,低語者,殘影,觀察者,特殊存在"</formula1>
    </dataValidation>
    <dataValidation sqref="C9:C13" showDropDown="0" showInputMessage="0" showErrorMessage="0" allowBlank="1" type="list">
      <formula1>"極高,高,中,低,極低,不適用"</formula1>
    </dataValidation>
  </dataValidations>
  <printOptions horizontalCentered="1"/>
  <pageMargins left="0.75" right="0.75" top="1" bottom="1" header="0.5" footer="0.5"/>
  <pageSetup orientation="portrait" fitToHeight="0" fitToWidth="1"/>
</worksheet>
</file>

<file path=xl/worksheets/sheet2.xml><?xml version="1.0" encoding="utf-8"?>
<worksheet xmlns="http://schemas.openxmlformats.org/spreadsheetml/2006/main">
  <sheetPr>
    <outlinePr summaryBelow="1" summaryRight="1"/>
    <pageSetUpPr fitToPage="1"/>
  </sheetPr>
  <dimension ref="A1:I44"/>
  <sheetViews>
    <sheetView workbookViewId="0">
      <pane ySplit="6" topLeftCell="A7" activePane="bottomLeft" state="frozen"/>
      <selection pane="bottomLeft" activeCell="A1" sqref="A1"/>
    </sheetView>
  </sheetViews>
  <sheetFormatPr baseColWidth="8" defaultRowHeight="15"/>
  <cols>
    <col width="11" customWidth="1" min="1" max="1"/>
    <col width="11" customWidth="1" min="2" max="2"/>
    <col width="11" customWidth="1" min="3" max="3"/>
    <col width="13" customWidth="1" min="4" max="4"/>
    <col width="13" customWidth="1" min="5" max="5"/>
    <col width="12" customWidth="1" min="6" max="6"/>
    <col width="12" customWidth="1" min="7" max="7"/>
    <col width="13" customWidth="1" min="8" max="8"/>
    <col width="13" customWidth="1" min="9" max="9"/>
  </cols>
  <sheetData>
    <row r="1" ht="28" customHeight="1">
      <c r="A1" s="1" t="inlineStr">
        <is>
          <t>Dead by Daylight TRPG　Non-Player Character (NPC) Card　·　Full Type</t>
        </is>
      </c>
      <c r="B1" s="21" t="n"/>
      <c r="C1" s="21" t="n"/>
      <c r="D1" s="21" t="n"/>
      <c r="E1" s="21" t="n"/>
      <c r="F1" s="21" t="n"/>
      <c r="G1" s="21" t="n"/>
      <c r="H1" s="21" t="n"/>
      <c r="I1" s="22" t="n"/>
    </row>
    <row r="2">
      <c r="A2" s="3" t="inlineStr">
        <is>
          <t>Character Art
(Paste character image here)</t>
        </is>
      </c>
      <c r="B2" s="23" t="n"/>
      <c r="C2" s="24" t="n"/>
      <c r="D2" s="5" t="inlineStr">
        <is>
          <t>Name</t>
        </is>
      </c>
      <c r="E2" s="6" t="inlineStr">
        <is>
          <t>Gilmar Sato</t>
        </is>
      </c>
      <c r="F2" s="25" t="n"/>
      <c r="G2" s="25" t="n"/>
      <c r="H2" s="25" t="n"/>
      <c r="I2" s="26" t="n"/>
    </row>
    <row r="3">
      <c r="A3" s="27" t="n"/>
      <c r="C3" s="28" t="n"/>
      <c r="D3" s="5" t="inlineStr">
        <is>
          <t>NPC Type</t>
        </is>
      </c>
      <c r="E3" s="8" t="inlineStr">
        <is>
          <t>Campfire Companion</t>
        </is>
      </c>
      <c r="F3" s="26" t="n"/>
      <c r="G3" s="5" t="inlineStr">
        <is>
          <t>Role</t>
        </is>
      </c>
      <c r="H3" s="6" t="inlineStr">
        <is>
          <t>Scavenger-type Survivor</t>
        </is>
      </c>
      <c r="I3" s="26" t="n"/>
    </row>
    <row r="4">
      <c r="A4" s="27" t="n"/>
      <c r="C4" s="28" t="n"/>
      <c r="D4" s="5" t="inlineStr">
        <is>
          <t>Prestige (PRS)</t>
        </is>
      </c>
      <c r="E4" s="8" t="n">
        <v>4</v>
      </c>
      <c r="F4" s="26" t="n"/>
      <c r="G4" s="5" t="inlineStr">
        <is>
          <t>First Appearance</t>
        </is>
      </c>
      <c r="H4" s="8" t="inlineStr">
        <is>
          <t>S1</t>
        </is>
      </c>
      <c r="I4" s="26" t="n"/>
    </row>
    <row r="5">
      <c r="A5" s="29" t="n"/>
      <c r="B5" s="30" t="n"/>
      <c r="C5" s="31" t="n"/>
      <c r="D5" s="5" t="inlineStr">
        <is>
          <t>Affiliated Realm / Location</t>
        </is>
      </c>
      <c r="E5" s="6" t="inlineStr">
        <is>
          <t>Campfire</t>
        </is>
      </c>
      <c r="F5" s="25" t="n"/>
      <c r="G5" s="25" t="n"/>
      <c r="H5" s="25" t="n"/>
      <c r="I5" s="26" t="n"/>
    </row>
    <row r="6" ht="32" customHeight="1">
      <c r="A6" s="5" t="inlineStr">
        <is>
          <t>Appearance</t>
        </is>
      </c>
      <c r="B6" s="25" t="n"/>
      <c r="C6" s="26" t="n"/>
      <c r="D6" s="6" t="inlineStr">
        <is>
          <t>Sixties, hunched back, pockets always bulging with useless things he picked up.</t>
        </is>
      </c>
      <c r="E6" s="25" t="n"/>
      <c r="F6" s="25" t="n"/>
      <c r="G6" s="25" t="n"/>
      <c r="H6" s="25" t="n"/>
      <c r="I6" s="26" t="n"/>
    </row>
    <row r="7" ht="20" customHeight="1">
      <c r="A7" s="10" t="inlineStr">
        <is>
          <t>I. Attributes (Five-Attribute Frame)</t>
        </is>
      </c>
      <c r="B7" s="25" t="n"/>
      <c r="C7" s="25" t="n"/>
      <c r="D7" s="25" t="n"/>
      <c r="E7" s="25" t="n"/>
      <c r="F7" s="25" t="n"/>
      <c r="G7" s="25" t="n"/>
      <c r="H7" s="25" t="n"/>
      <c r="I7" s="26" t="n"/>
    </row>
    <row r="8" ht="28" customHeight="1">
      <c r="A8" s="5" t="inlineStr">
        <is>
          <t>Attribute</t>
        </is>
      </c>
      <c r="B8" s="26" t="n"/>
      <c r="C8" s="5" t="inlineStr">
        <is>
          <t>Tendency</t>
        </is>
      </c>
      <c r="D8" s="5" t="inlineStr">
        <is>
          <t>Attribute Value
(1–10)</t>
        </is>
      </c>
      <c r="E8" s="5" t="inlineStr">
        <is>
          <t>Attribute Bonus (AB)</t>
        </is>
      </c>
      <c r="F8" s="5" t="inlineStr">
        <is>
          <t>Notes</t>
        </is>
      </c>
      <c r="G8" s="25" t="n"/>
      <c r="H8" s="25" t="n"/>
      <c r="I8" s="26" t="n"/>
    </row>
    <row r="9">
      <c r="A9" s="12" t="inlineStr">
        <is>
          <t>Agility (AGI)</t>
        </is>
      </c>
      <c r="B9" s="26" t="n"/>
      <c r="C9" s="8" t="inlineStr">
        <is>
          <t>Low</t>
        </is>
      </c>
      <c r="D9" s="8" t="n">
        <v>3</v>
      </c>
      <c r="E9" s="14">
        <f>IF(D9="","",INT(D9/2))</f>
        <v/>
      </c>
      <c r="F9" s="6" t="n"/>
      <c r="G9" s="25" t="n"/>
      <c r="H9" s="25" t="n"/>
      <c r="I9" s="26" t="n"/>
    </row>
    <row r="10">
      <c r="A10" s="12" t="inlineStr">
        <is>
          <t>Technique (TEC)</t>
        </is>
      </c>
      <c r="B10" s="26" t="n"/>
      <c r="C10" s="8" t="inlineStr">
        <is>
          <t>High</t>
        </is>
      </c>
      <c r="D10" s="8" t="n">
        <v>7</v>
      </c>
      <c r="E10" s="14">
        <f>IF(D10="","",INT(D10/2))</f>
        <v/>
      </c>
      <c r="F10" s="6" t="n"/>
      <c r="G10" s="25" t="n"/>
      <c r="H10" s="25" t="n"/>
      <c r="I10" s="26" t="n"/>
    </row>
    <row r="11">
      <c r="A11" s="12" t="inlineStr">
        <is>
          <t>Stealth (STL)</t>
        </is>
      </c>
      <c r="B11" s="26" t="n"/>
      <c r="C11" s="8" t="inlineStr">
        <is>
          <t>High</t>
        </is>
      </c>
      <c r="D11" s="8" t="n">
        <v>7</v>
      </c>
      <c r="E11" s="14">
        <f>IF(D11="","",INT(D11/2))</f>
        <v/>
      </c>
      <c r="F11" s="6" t="n"/>
      <c r="G11" s="25" t="n"/>
      <c r="H11" s="25" t="n"/>
      <c r="I11" s="26" t="n"/>
    </row>
    <row r="12">
      <c r="A12" s="12" t="inlineStr">
        <is>
          <t>Focus (FOC)</t>
        </is>
      </c>
      <c r="B12" s="26" t="n"/>
      <c r="C12" s="8" t="inlineStr">
        <is>
          <t>Medium</t>
        </is>
      </c>
      <c r="D12" s="8" t="n">
        <v>5</v>
      </c>
      <c r="E12" s="14">
        <f>IF(D12="","",INT(D12/2))</f>
        <v/>
      </c>
      <c r="F12" s="6" t="n"/>
      <c r="G12" s="25" t="n"/>
      <c r="H12" s="25" t="n"/>
      <c r="I12" s="26" t="n"/>
    </row>
    <row r="13">
      <c r="A13" s="12" t="inlineStr">
        <is>
          <t>Will (WIL)</t>
        </is>
      </c>
      <c r="B13" s="26" t="n"/>
      <c r="C13" s="8" t="inlineStr">
        <is>
          <t>Medium</t>
        </is>
      </c>
      <c r="D13" s="8" t="n">
        <v>5</v>
      </c>
      <c r="E13" s="14">
        <f>IF(D13="","",INT(D13/2))</f>
        <v/>
      </c>
      <c r="F13" s="6" t="n"/>
      <c r="G13" s="25" t="n"/>
      <c r="H13" s="25" t="n"/>
      <c r="I13" s="26" t="n"/>
    </row>
    <row r="14">
      <c r="A14" s="15" t="inlineStr">
        <is>
          <t>Attribute Bonus (AB) = INT(Attribute Value ÷ 2), auto-calculated. 'Tendency' is a narrative-scale relative description; 'Attribute Value' is filled by the GM per Prestige (PRS). For insubstantial NPCs (e.g. Whisperer), leave Attribute Value blank.</t>
        </is>
      </c>
      <c r="B14" s="25" t="n"/>
      <c r="C14" s="25" t="n"/>
      <c r="D14" s="25" t="n"/>
      <c r="E14" s="25" t="n"/>
      <c r="F14" s="25" t="n"/>
      <c r="G14" s="25" t="n"/>
      <c r="H14" s="25" t="n"/>
      <c r="I14" s="26" t="n"/>
    </row>
    <row r="15" ht="20" customHeight="1">
      <c r="A15" s="10" t="inlineStr">
        <is>
          <t>II. Derived Values (auto-calculated)</t>
        </is>
      </c>
      <c r="B15" s="25" t="n"/>
      <c r="C15" s="25" t="n"/>
      <c r="D15" s="25" t="n"/>
      <c r="E15" s="25" t="n"/>
      <c r="F15" s="25" t="n"/>
      <c r="G15" s="25" t="n"/>
      <c r="H15" s="25" t="n"/>
      <c r="I15" s="26" t="n"/>
    </row>
    <row r="16">
      <c r="A16" s="12" t="inlineStr">
        <is>
          <t>HP (HP) Cap</t>
        </is>
      </c>
      <c r="B16" s="25" t="n"/>
      <c r="C16" s="26" t="n"/>
      <c r="D16" s="14">
        <f>IF(D13="","—",8+2*D13+IF($E$4="",0,$E$4))</f>
        <v/>
      </c>
      <c r="E16" s="26" t="n"/>
      <c r="F16" s="6" t="inlineStr">
        <is>
          <t>8 + 2×Will (WIL) + Prestige (PRS)</t>
        </is>
      </c>
      <c r="G16" s="25" t="n"/>
      <c r="H16" s="25" t="n"/>
      <c r="I16" s="26" t="n"/>
    </row>
    <row r="17">
      <c r="A17" s="12" t="inlineStr">
        <is>
          <t>Health State (HS) Cap</t>
        </is>
      </c>
      <c r="B17" s="25" t="n"/>
      <c r="C17" s="26" t="n"/>
      <c r="D17" s="14">
        <f>IF($E$3="Echo Companion",3,IF($E$3="Whisperer","—",2))</f>
        <v/>
      </c>
      <c r="E17" s="26" t="n"/>
      <c r="F17" s="6" t="inlineStr">
        <is>
          <t>Healthy→Injured→Dying. Echo Companion uses three-stage tracking.</t>
        </is>
      </c>
      <c r="G17" s="25" t="n"/>
      <c r="H17" s="25" t="n"/>
      <c r="I17" s="26" t="n"/>
    </row>
    <row r="18">
      <c r="A18" s="12" t="inlineStr">
        <is>
          <t>Action Point (AP) / round</t>
        </is>
      </c>
      <c r="B18" s="25" t="n"/>
      <c r="C18" s="26" t="n"/>
      <c r="D18" s="14">
        <f>IF($E$3="Echo Companion",1,IF($E$3="Whisperer",0,4))</f>
        <v/>
      </c>
      <c r="E18" s="26" t="n"/>
      <c r="F18" s="6" t="inlineStr">
        <is>
          <t>Echo Companion fixed at 1; Whisperer takes no action.</t>
        </is>
      </c>
      <c r="G18" s="25" t="n"/>
      <c r="H18" s="25" t="n"/>
      <c r="I18" s="26" t="n"/>
    </row>
    <row r="19">
      <c r="A19" s="12" t="inlineStr">
        <is>
          <t>Move (MOV) / round</t>
        </is>
      </c>
      <c r="B19" s="25" t="n"/>
      <c r="C19" s="26" t="n"/>
      <c r="D19" s="14">
        <f>IF(D9="","—",6+INT(D9/2))</f>
        <v/>
      </c>
      <c r="E19" s="26" t="n"/>
      <c r="F19" s="6" t="inlineStr">
        <is>
          <t>6 + INT(Agility (AGI) ÷ 2). 1 cell = 2 meters</t>
        </is>
      </c>
      <c r="G19" s="25" t="n"/>
      <c r="H19" s="25" t="n"/>
      <c r="I19" s="26" t="n"/>
    </row>
    <row r="20">
      <c r="A20" s="12" t="inlineStr">
        <is>
          <t>Repair Progress (Progress Point / round)</t>
        </is>
      </c>
      <c r="B20" s="25" t="n"/>
      <c r="C20" s="26" t="n"/>
      <c r="D20" s="14">
        <f>IF($E$3="Echo Companion",1,IF(D10="","—",INT(D10/2)))</f>
        <v/>
      </c>
      <c r="E20" s="26" t="n"/>
      <c r="F20" s="6" t="inlineStr">
        <is>
          <t>Echo Companion fixed +1 progress point (50% efficiency)</t>
        </is>
      </c>
      <c r="G20" s="25" t="n"/>
      <c r="H20" s="25" t="n"/>
      <c r="I20" s="26" t="n"/>
    </row>
    <row r="21">
      <c r="A21" s="12" t="inlineStr">
        <is>
          <t>Heal Progress (per round)</t>
        </is>
      </c>
      <c r="B21" s="25" t="n"/>
      <c r="C21" s="26" t="n"/>
      <c r="D21" s="14">
        <f>IF($E$3="Echo Companion",2,IF(D12="","—",INT(D12/2)+2))</f>
        <v/>
      </c>
      <c r="E21" s="26" t="n"/>
      <c r="F21" s="6" t="inlineStr">
        <is>
          <t>Echo Companion fixed +2, and cannot heal itself</t>
        </is>
      </c>
      <c r="G21" s="25" t="n"/>
      <c r="H21" s="25" t="n"/>
      <c r="I21" s="26" t="n"/>
    </row>
    <row r="22">
      <c r="A22" s="12" t="inlineStr">
        <is>
          <t>Passive Awareness Difficulty Class (DC)</t>
        </is>
      </c>
      <c r="B22" s="25" t="n"/>
      <c r="C22" s="26" t="n"/>
      <c r="D22" s="14">
        <f>IF(D12="","—",8+INT(D12/2))</f>
        <v/>
      </c>
      <c r="E22" s="26" t="n"/>
      <c r="F22" s="6" t="inlineStr">
        <is>
          <t>The target value for the Killer or other characters to notice this NPC</t>
        </is>
      </c>
      <c r="G22" s="25" t="n"/>
      <c r="H22" s="25" t="n"/>
      <c r="I22" s="26" t="n"/>
    </row>
    <row r="23" ht="20" customHeight="1">
      <c r="A23" s="10" t="inlineStr">
        <is>
          <t>III. Echo Companion exclusive: three-line behavior table</t>
        </is>
      </c>
      <c r="B23" s="25" t="n"/>
      <c r="C23" s="25" t="n"/>
      <c r="D23" s="25" t="n"/>
      <c r="E23" s="25" t="n"/>
      <c r="F23" s="25" t="n"/>
      <c r="G23" s="25" t="n"/>
      <c r="H23" s="25" t="n"/>
      <c r="I23" s="26" t="n"/>
    </row>
    <row r="24">
      <c r="A24" s="15" t="inlineStr">
        <is>
          <t>Used only when 'NPC Type = Echo Companion'. The GM checks top-to-bottom each round; the first condition met is the Echo Companion's action that round. No roleplay, no voice; one line per round.</t>
        </is>
      </c>
      <c r="B24" s="25" t="n"/>
      <c r="C24" s="25" t="n"/>
      <c r="D24" s="25" t="n"/>
      <c r="E24" s="25" t="n"/>
      <c r="F24" s="25" t="n"/>
      <c r="G24" s="25" t="n"/>
      <c r="H24" s="25" t="n"/>
      <c r="I24" s="26" t="n"/>
    </row>
    <row r="25">
      <c r="A25" s="5" t="inlineStr">
        <is>
          <t>No.</t>
        </is>
      </c>
      <c r="B25" s="5" t="inlineStr">
        <is>
          <t>Condition</t>
        </is>
      </c>
      <c r="C25" s="25" t="n"/>
      <c r="D25" s="26" t="n"/>
      <c r="E25" s="5" t="inlineStr">
        <is>
          <t>Action</t>
        </is>
      </c>
      <c r="F25" s="25" t="n"/>
      <c r="G25" s="25" t="n"/>
      <c r="H25" s="25" t="n"/>
      <c r="I25" s="26" t="n"/>
    </row>
    <row r="26" ht="30" customHeight="1">
      <c r="A26" s="12" t="inlineStr">
        <is>
          <t>①</t>
        </is>
      </c>
      <c r="B26" s="6" t="inlineStr">
        <is>
          <t>A Survivor is Hooked and this NPC can arrive within 2 rounds</t>
        </is>
      </c>
      <c r="C26" s="25" t="n"/>
      <c r="D26" s="26" t="n"/>
      <c r="E26" s="6" t="inlineStr">
        <is>
          <t>Go to rescue. On arrival, spend 1 Action Point (AP) to unhook, 100% success (no check).</t>
        </is>
      </c>
      <c r="F26" s="25" t="n"/>
      <c r="G26" s="25" t="n"/>
      <c r="H26" s="25" t="n"/>
      <c r="I26" s="26" t="n"/>
    </row>
    <row r="27" ht="30" customHeight="1">
      <c r="A27" s="12" t="inlineStr">
        <is>
          <t>②</t>
        </is>
      </c>
      <c r="B27" s="6" t="inlineStr">
        <is>
          <t>Self is Injured or Dying, or Killer is within 4 cells</t>
        </is>
      </c>
      <c r="C27" s="25" t="n"/>
      <c r="D27" s="26" t="n"/>
      <c r="E27" s="6" t="inlineStr">
        <is>
          <t>Self-preserve. Move away from Killer, prefer entering a Locker or cover; when Dying, crawl in place.</t>
        </is>
      </c>
      <c r="F27" s="25" t="n"/>
      <c r="G27" s="25" t="n"/>
      <c r="H27" s="25" t="n"/>
      <c r="I27" s="26" t="n"/>
    </row>
    <row r="28" ht="30" customHeight="1">
      <c r="A28" s="12" t="inlineStr">
        <is>
          <t>③</t>
        </is>
      </c>
      <c r="B28" s="6" t="inlineStr">
        <is>
          <t>None of the above holds</t>
        </is>
      </c>
      <c r="C28" s="25" t="n"/>
      <c r="D28" s="26" t="n"/>
      <c r="E28" s="6" t="inlineStr">
        <is>
          <t>Go to the nearest unfinished Generator and repair; +1 progress point per round.</t>
        </is>
      </c>
      <c r="F28" s="25" t="n"/>
      <c r="G28" s="25" t="n"/>
      <c r="H28" s="25" t="n"/>
      <c r="I28" s="26" t="n"/>
    </row>
    <row r="29">
      <c r="A29" s="15" t="inlineStr">
        <is>
          <t>Echo Companion limits: cannot self-unhook, cannot heal itself, cannot use items, cannot trade with Whisperer. Once hooked, it stalls a fixed 3 rounds before advancing to the next hook phase (Echo Stall). Count = MAX(0, 3 − Survivor player count N).</t>
        </is>
      </c>
      <c r="B29" s="25" t="n"/>
      <c r="C29" s="25" t="n"/>
      <c r="D29" s="25" t="n"/>
      <c r="E29" s="25" t="n"/>
      <c r="F29" s="25" t="n"/>
      <c r="G29" s="25" t="n"/>
      <c r="H29" s="25" t="n"/>
      <c r="I29" s="26" t="n"/>
    </row>
    <row r="30" ht="20" customHeight="1">
      <c r="A30" s="10" t="inlineStr">
        <is>
          <t>IV. Narrative Data</t>
        </is>
      </c>
      <c r="B30" s="25" t="n"/>
      <c r="C30" s="25" t="n"/>
      <c r="D30" s="25" t="n"/>
      <c r="E30" s="25" t="n"/>
      <c r="F30" s="25" t="n"/>
      <c r="G30" s="25" t="n"/>
      <c r="H30" s="25" t="n"/>
      <c r="I30" s="26" t="n"/>
    </row>
    <row r="31" ht="30" customHeight="1">
      <c r="A31" s="12" t="inlineStr">
        <is>
          <t>Motivation</t>
        </is>
      </c>
      <c r="B31" s="26" t="n"/>
      <c r="C31" s="18" t="inlineStr">
        <is>
          <t>"Somebody has to keep the things." He does not know why, but he feels throwing things away is wrong.</t>
        </is>
      </c>
      <c r="D31" s="25" t="n"/>
      <c r="E31" s="25" t="n"/>
      <c r="F31" s="25" t="n"/>
      <c r="G31" s="25" t="n"/>
      <c r="H31" s="25" t="n"/>
      <c r="I31" s="26" t="n"/>
    </row>
    <row r="32" ht="46" customHeight="1">
      <c r="A32" s="12" t="inlineStr">
        <is>
          <t>Background</t>
        </is>
      </c>
      <c r="B32" s="26" t="n"/>
      <c r="C32" s="18" t="inlineStr">
        <is>
          <t>His habit of picking things up is the last personality that remains. He has been drained many times; his memory is almost empty. But he always remembers to pick things up.</t>
        </is>
      </c>
      <c r="D32" s="25" t="n"/>
      <c r="E32" s="25" t="n"/>
      <c r="F32" s="25" t="n"/>
      <c r="G32" s="25" t="n"/>
      <c r="H32" s="25" t="n"/>
      <c r="I32" s="26" t="n"/>
    </row>
    <row r="33" ht="40" customHeight="1">
      <c r="A33" s="12" t="inlineStr">
        <is>
          <t>Role in Main Plot</t>
        </is>
      </c>
      <c r="B33" s="26" t="n"/>
      <c r="C33" s="18" t="inlineStr">
        <is>
          <t>S2 Bring back the carved sheet metal / S4 Bring back the list / S5 Fall into the Void, can be rescued / S8 If rescued, he will remember the Player's Name.</t>
        </is>
      </c>
      <c r="D33" s="25" t="n"/>
      <c r="E33" s="25" t="n"/>
      <c r="F33" s="25" t="n"/>
      <c r="G33" s="25" t="n"/>
      <c r="H33" s="25" t="n"/>
      <c r="I33" s="26" t="n"/>
    </row>
    <row r="34" ht="34" customHeight="1">
      <c r="A34" s="12" t="inlineStr">
        <is>
          <t>Signature Line</t>
        </is>
      </c>
      <c r="B34" s="26" t="n"/>
      <c r="C34" s="18" t="inlineStr">
        <is>
          <t>"This? No idea what it is. But it used to belong to someone."</t>
        </is>
      </c>
      <c r="D34" s="25" t="n"/>
      <c r="E34" s="25" t="n"/>
      <c r="F34" s="25" t="n"/>
      <c r="G34" s="25" t="n"/>
      <c r="H34" s="25" t="n"/>
      <c r="I34" s="26" t="n"/>
    </row>
    <row r="35" ht="20" customHeight="1">
      <c r="A35" s="10" t="inlineStr">
        <is>
          <t>V. Special Interactions &amp; Rewards</t>
        </is>
      </c>
      <c r="B35" s="25" t="n"/>
      <c r="C35" s="25" t="n"/>
      <c r="D35" s="25" t="n"/>
      <c r="E35" s="25" t="n"/>
      <c r="F35" s="25" t="n"/>
      <c r="G35" s="25" t="n"/>
      <c r="H35" s="25" t="n"/>
      <c r="I35" s="26" t="n"/>
    </row>
    <row r="36" ht="46" customHeight="1">
      <c r="A36" s="12" t="inlineStr">
        <is>
          <t>Special Rule</t>
        </is>
      </c>
      <c r="B36" s="26" t="n"/>
      <c r="C36" s="18" t="inlineStr">
        <is>
          <t>At the start of each scenario, he gives the Player 1 random low-Tier Item (chosen by the GM from 22_Item_Entries.md). If not rescued in S5, this effect disappears permanently.</t>
        </is>
      </c>
      <c r="D36" s="25" t="n"/>
      <c r="E36" s="25" t="n"/>
      <c r="F36" s="25" t="n"/>
      <c r="G36" s="25" t="n"/>
      <c r="H36" s="25" t="n"/>
      <c r="I36" s="26" t="n"/>
    </row>
    <row r="37" ht="30" customHeight="1">
      <c r="A37" s="12" t="inlineStr">
        <is>
          <t>Hope Point (HOP) / Campfire Ember reward</t>
        </is>
      </c>
      <c r="B37" s="25" t="n"/>
      <c r="C37" s="26" t="n"/>
      <c r="D37" s="6" t="inlineStr">
        <is>
          <t>S5 Success rescuing Gilmar: +5 Campfire Embers, and in S8 he will call out the Player character's Name (triggering +1 Hope Point (HOP)).</t>
        </is>
      </c>
      <c r="E37" s="25" t="n"/>
      <c r="F37" s="25" t="n"/>
      <c r="G37" s="25" t="n"/>
      <c r="H37" s="25" t="n"/>
      <c r="I37" s="26" t="n"/>
    </row>
    <row r="38" ht="20" customHeight="1">
      <c r="A38" s="10" t="inlineStr">
        <is>
          <t>VI. GM Running Notes</t>
        </is>
      </c>
      <c r="B38" s="25" t="n"/>
      <c r="C38" s="25" t="n"/>
      <c r="D38" s="25" t="n"/>
      <c r="E38" s="25" t="n"/>
      <c r="F38" s="25" t="n"/>
      <c r="G38" s="25" t="n"/>
      <c r="H38" s="25" t="n"/>
      <c r="I38" s="26" t="n"/>
    </row>
    <row r="39" ht="52" customHeight="1">
      <c r="A39" s="18" t="inlineStr">
        <is>
          <t>His value lies in contrast: a man who remembers nothing still remembers to leave things for others. The S5 rescue choice must make the Player pay a real cost — not free.</t>
        </is>
      </c>
      <c r="B39" s="25" t="n"/>
      <c r="C39" s="25" t="n"/>
      <c r="D39" s="25" t="n"/>
      <c r="E39" s="25" t="n"/>
      <c r="F39" s="25" t="n"/>
      <c r="G39" s="25" t="n"/>
      <c r="H39" s="25" t="n"/>
      <c r="I39" s="26" t="n"/>
    </row>
    <row r="40" ht="20" customHeight="1">
      <c r="A40" s="10" t="inlineStr">
        <is>
          <t>VII. In-Trial Tracker (reusable)</t>
        </is>
      </c>
      <c r="B40" s="25" t="n"/>
      <c r="C40" s="25" t="n"/>
      <c r="D40" s="25" t="n"/>
      <c r="E40" s="25" t="n"/>
      <c r="F40" s="25" t="n"/>
      <c r="G40" s="25" t="n"/>
      <c r="H40" s="25" t="n"/>
      <c r="I40" s="26" t="n"/>
    </row>
    <row r="41">
      <c r="A41" s="12" t="inlineStr">
        <is>
          <t>Health State (HS)</t>
        </is>
      </c>
      <c r="B41" s="26" t="n"/>
      <c r="C41" s="5" t="inlineStr">
        <is>
          <t>Healthy</t>
        </is>
      </c>
      <c r="D41" s="5" t="inlineStr">
        <is>
          <t>Injured</t>
        </is>
      </c>
      <c r="E41" s="5" t="inlineStr">
        <is>
          <t>Dying</t>
        </is>
      </c>
      <c r="F41" s="12" t="inlineStr">
        <is>
          <t>Hook Phase</t>
        </is>
      </c>
      <c r="G41" s="26" t="n"/>
      <c r="H41" s="5" t="inlineStr">
        <is>
          <t>I (Wiggle)</t>
        </is>
      </c>
      <c r="I41" s="5" t="inlineStr">
        <is>
          <t>II (Sacrifice)</t>
        </is>
      </c>
    </row>
    <row r="42">
      <c r="A42" s="5" t="inlineStr">
        <is>
          <t>Check current state</t>
        </is>
      </c>
      <c r="B42" s="26" t="n"/>
      <c r="C42" s="8" t="inlineStr">
        <is>
          <t>☐</t>
        </is>
      </c>
      <c r="D42" s="8" t="inlineStr">
        <is>
          <t>☐</t>
        </is>
      </c>
      <c r="E42" s="8" t="inlineStr">
        <is>
          <t>☐</t>
        </is>
      </c>
      <c r="F42" s="5" t="inlineStr">
        <is>
          <t>Check</t>
        </is>
      </c>
      <c r="G42" s="26" t="n"/>
      <c r="H42" s="8" t="inlineStr">
        <is>
          <t>☐</t>
        </is>
      </c>
      <c r="I42" s="8" t="inlineStr">
        <is>
          <t>☐</t>
        </is>
      </c>
    </row>
    <row r="43">
      <c r="A43" s="12" t="inlineStr">
        <is>
          <t>Current Status Effect</t>
        </is>
      </c>
      <c r="B43" s="26" t="n"/>
      <c r="C43" s="6" t="n"/>
      <c r="D43" s="25" t="n"/>
      <c r="E43" s="25" t="n"/>
      <c r="F43" s="25" t="n"/>
      <c r="G43" s="25" t="n"/>
      <c r="H43" s="25" t="n"/>
      <c r="I43" s="26" t="n"/>
    </row>
    <row r="44" ht="40" customHeight="1">
      <c r="A44" s="12" t="inlineStr">
        <is>
          <t>Notes</t>
        </is>
      </c>
      <c r="B44" s="26" t="n"/>
      <c r="C44" s="18" t="n"/>
      <c r="D44" s="25" t="n"/>
      <c r="E44" s="25" t="n"/>
      <c r="F44" s="25" t="n"/>
      <c r="G44" s="25" t="n"/>
      <c r="H44" s="25" t="n"/>
      <c r="I44" s="26" t="n"/>
    </row>
  </sheetData>
  <mergeCells count="82">
    <mergeCell ref="C36:I36"/>
    <mergeCell ref="A7:I7"/>
    <mergeCell ref="D20:E20"/>
    <mergeCell ref="A37:C37"/>
    <mergeCell ref="E5:I5"/>
    <mergeCell ref="A21:C21"/>
    <mergeCell ref="D22:E22"/>
    <mergeCell ref="B28:D28"/>
    <mergeCell ref="A41:B41"/>
    <mergeCell ref="F16:I16"/>
    <mergeCell ref="A35:I35"/>
    <mergeCell ref="A33:B33"/>
    <mergeCell ref="A42:B42"/>
    <mergeCell ref="A39:I39"/>
    <mergeCell ref="E26:I26"/>
    <mergeCell ref="A30:I30"/>
    <mergeCell ref="C31:I31"/>
    <mergeCell ref="A6:C6"/>
    <mergeCell ref="E25:I25"/>
    <mergeCell ref="A2:C5"/>
    <mergeCell ref="D6:I6"/>
    <mergeCell ref="A9:B9"/>
    <mergeCell ref="E3:F3"/>
    <mergeCell ref="F13:I13"/>
    <mergeCell ref="D19:E19"/>
    <mergeCell ref="A11:B11"/>
    <mergeCell ref="E4:F4"/>
    <mergeCell ref="E28:I28"/>
    <mergeCell ref="C34:I34"/>
    <mergeCell ref="F42:G42"/>
    <mergeCell ref="F19:I19"/>
    <mergeCell ref="F20:I20"/>
    <mergeCell ref="A8:B8"/>
    <mergeCell ref="H3:I3"/>
    <mergeCell ref="C44:I44"/>
    <mergeCell ref="F17:I17"/>
    <mergeCell ref="A10:B10"/>
    <mergeCell ref="A1:I1"/>
    <mergeCell ref="A16:C16"/>
    <mergeCell ref="A34:B34"/>
    <mergeCell ref="F9:I9"/>
    <mergeCell ref="A18:C18"/>
    <mergeCell ref="A36:B36"/>
    <mergeCell ref="C32:I32"/>
    <mergeCell ref="A14:I14"/>
    <mergeCell ref="A22:C22"/>
    <mergeCell ref="A23:I23"/>
    <mergeCell ref="C33:I33"/>
    <mergeCell ref="D17:E17"/>
    <mergeCell ref="F10:I10"/>
    <mergeCell ref="A20:C20"/>
    <mergeCell ref="A38:I38"/>
    <mergeCell ref="A12:B12"/>
    <mergeCell ref="E2:I2"/>
    <mergeCell ref="A32:B32"/>
    <mergeCell ref="A40:I40"/>
    <mergeCell ref="B25:D25"/>
    <mergeCell ref="A24:I24"/>
    <mergeCell ref="F18:I18"/>
    <mergeCell ref="A43:B43"/>
    <mergeCell ref="F8:I8"/>
    <mergeCell ref="F22:I22"/>
    <mergeCell ref="H4:I4"/>
    <mergeCell ref="D21:E21"/>
    <mergeCell ref="D37:I37"/>
    <mergeCell ref="F11:I11"/>
    <mergeCell ref="A17:C17"/>
    <mergeCell ref="F41:G41"/>
    <mergeCell ref="A29:I29"/>
    <mergeCell ref="D16:E16"/>
    <mergeCell ref="A19:C19"/>
    <mergeCell ref="F12:I12"/>
    <mergeCell ref="B26:D26"/>
    <mergeCell ref="F21:I21"/>
    <mergeCell ref="E27:I27"/>
    <mergeCell ref="D18:E18"/>
    <mergeCell ref="A15:I15"/>
    <mergeCell ref="C43:I43"/>
    <mergeCell ref="B27:D27"/>
    <mergeCell ref="A13:B13"/>
    <mergeCell ref="A44:B44"/>
    <mergeCell ref="A31:B31"/>
  </mergeCells>
  <dataValidations count="2">
    <dataValidation sqref="E3:F3" showDropDown="0" showInputMessage="0" showErrorMessage="0" allowBlank="1" type="list">
      <formula1>"營火同伴,回聲同伴,低語者,殘影,觀察者,特殊存在"</formula1>
    </dataValidation>
    <dataValidation sqref="C9:C13" showDropDown="0" showInputMessage="0" showErrorMessage="0" allowBlank="1" type="list">
      <formula1>"極高,高,中,低,極低,不適用"</formula1>
    </dataValidation>
  </dataValidations>
  <printOptions horizontalCentered="1"/>
  <pageMargins left="0.75" right="0.75" top="1" bottom="1" header="0.5" footer="0.5"/>
  <pageSetup orientation="portrait" fitToHeight="0" fitToWidth="1"/>
</worksheet>
</file>

<file path=xl/worksheets/sheet3.xml><?xml version="1.0" encoding="utf-8"?>
<worksheet xmlns="http://schemas.openxmlformats.org/spreadsheetml/2006/main">
  <sheetPr>
    <outlinePr summaryBelow="1" summaryRight="1"/>
    <pageSetUpPr fitToPage="1"/>
  </sheetPr>
  <dimension ref="A1:I44"/>
  <sheetViews>
    <sheetView workbookViewId="0">
      <pane ySplit="6" topLeftCell="A7" activePane="bottomLeft" state="frozen"/>
      <selection pane="bottomLeft" activeCell="A1" sqref="A1"/>
    </sheetView>
  </sheetViews>
  <sheetFormatPr baseColWidth="8" defaultRowHeight="15"/>
  <cols>
    <col width="11" customWidth="1" min="1" max="1"/>
    <col width="11" customWidth="1" min="2" max="2"/>
    <col width="11" customWidth="1" min="3" max="3"/>
    <col width="13" customWidth="1" min="4" max="4"/>
    <col width="13" customWidth="1" min="5" max="5"/>
    <col width="12" customWidth="1" min="6" max="6"/>
    <col width="12" customWidth="1" min="7" max="7"/>
    <col width="13" customWidth="1" min="8" max="8"/>
    <col width="13" customWidth="1" min="9" max="9"/>
  </cols>
  <sheetData>
    <row r="1" ht="28" customHeight="1">
      <c r="A1" s="1" t="inlineStr">
        <is>
          <t>Dead by Daylight TRPG　Non-Player Character (NPC) Card　·　Full Type</t>
        </is>
      </c>
      <c r="B1" s="21" t="n"/>
      <c r="C1" s="21" t="n"/>
      <c r="D1" s="21" t="n"/>
      <c r="E1" s="21" t="n"/>
      <c r="F1" s="21" t="n"/>
      <c r="G1" s="21" t="n"/>
      <c r="H1" s="21" t="n"/>
      <c r="I1" s="22" t="n"/>
    </row>
    <row r="2">
      <c r="A2" s="3" t="inlineStr">
        <is>
          <t>Character Art
(Paste character image here)</t>
        </is>
      </c>
      <c r="B2" s="23" t="n"/>
      <c r="C2" s="24" t="n"/>
      <c r="D2" s="5" t="inlineStr">
        <is>
          <t>Name</t>
        </is>
      </c>
      <c r="E2" s="6" t="inlineStr">
        <is>
          <t>Sadie Nkosi</t>
        </is>
      </c>
      <c r="F2" s="25" t="n"/>
      <c r="G2" s="25" t="n"/>
      <c r="H2" s="25" t="n"/>
      <c r="I2" s="26" t="n"/>
    </row>
    <row r="3">
      <c r="A3" s="27" t="n"/>
      <c r="C3" s="28" t="n"/>
      <c r="D3" s="5" t="inlineStr">
        <is>
          <t>NPC Type</t>
        </is>
      </c>
      <c r="E3" s="8" t="inlineStr">
        <is>
          <t>Campfire Companion</t>
        </is>
      </c>
      <c r="F3" s="26" t="n"/>
      <c r="G3" s="5" t="inlineStr">
        <is>
          <t>Role</t>
        </is>
      </c>
      <c r="H3" s="6" t="inlineStr">
        <is>
          <t>Survivor with a Botany background · rationalist</t>
        </is>
      </c>
      <c r="I3" s="26" t="n"/>
    </row>
    <row r="4">
      <c r="A4" s="27" t="n"/>
      <c r="C4" s="28" t="n"/>
      <c r="D4" s="5" t="inlineStr">
        <is>
          <t>Prestige (PRS)</t>
        </is>
      </c>
      <c r="E4" s="8" t="n">
        <v>4</v>
      </c>
      <c r="F4" s="26" t="n"/>
      <c r="G4" s="5" t="inlineStr">
        <is>
          <t>First Appearance</t>
        </is>
      </c>
      <c r="H4" s="8" t="inlineStr">
        <is>
          <t>S1</t>
        </is>
      </c>
      <c r="I4" s="26" t="n"/>
    </row>
    <row r="5">
      <c r="A5" s="29" t="n"/>
      <c r="B5" s="30" t="n"/>
      <c r="C5" s="31" t="n"/>
      <c r="D5" s="5" t="inlineStr">
        <is>
          <t>Affiliated Realm / Location</t>
        </is>
      </c>
      <c r="E5" s="6" t="inlineStr">
        <is>
          <t>Campfire</t>
        </is>
      </c>
      <c r="F5" s="25" t="n"/>
      <c r="G5" s="25" t="n"/>
      <c r="H5" s="25" t="n"/>
      <c r="I5" s="26" t="n"/>
    </row>
    <row r="6" ht="32" customHeight="1">
      <c r="A6" s="5" t="inlineStr">
        <is>
          <t>Appearance</t>
        </is>
      </c>
      <c r="B6" s="25" t="n"/>
      <c r="C6" s="26" t="n"/>
      <c r="D6" s="6" t="inlineStr">
        <is>
          <t>Twenties, dirt forever under her fingernails, used to crouching to observe things.</t>
        </is>
      </c>
      <c r="E6" s="25" t="n"/>
      <c r="F6" s="25" t="n"/>
      <c r="G6" s="25" t="n"/>
      <c r="H6" s="25" t="n"/>
      <c r="I6" s="26" t="n"/>
    </row>
    <row r="7" ht="20" customHeight="1">
      <c r="A7" s="10" t="inlineStr">
        <is>
          <t>I. Attributes (Five-Attribute Frame)</t>
        </is>
      </c>
      <c r="B7" s="25" t="n"/>
      <c r="C7" s="25" t="n"/>
      <c r="D7" s="25" t="n"/>
      <c r="E7" s="25" t="n"/>
      <c r="F7" s="25" t="n"/>
      <c r="G7" s="25" t="n"/>
      <c r="H7" s="25" t="n"/>
      <c r="I7" s="26" t="n"/>
    </row>
    <row r="8" ht="28" customHeight="1">
      <c r="A8" s="5" t="inlineStr">
        <is>
          <t>Attribute</t>
        </is>
      </c>
      <c r="B8" s="26" t="n"/>
      <c r="C8" s="5" t="inlineStr">
        <is>
          <t>Tendency</t>
        </is>
      </c>
      <c r="D8" s="5" t="inlineStr">
        <is>
          <t>Attribute Value
(1–10)</t>
        </is>
      </c>
      <c r="E8" s="5" t="inlineStr">
        <is>
          <t>Attribute Bonus (AB)</t>
        </is>
      </c>
      <c r="F8" s="5" t="inlineStr">
        <is>
          <t>Notes</t>
        </is>
      </c>
      <c r="G8" s="25" t="n"/>
      <c r="H8" s="25" t="n"/>
      <c r="I8" s="26" t="n"/>
    </row>
    <row r="9">
      <c r="A9" s="12" t="inlineStr">
        <is>
          <t>Agility (AGI)</t>
        </is>
      </c>
      <c r="B9" s="26" t="n"/>
      <c r="C9" s="8" t="inlineStr">
        <is>
          <t>Medium</t>
        </is>
      </c>
      <c r="D9" s="8" t="n">
        <v>5</v>
      </c>
      <c r="E9" s="14">
        <f>IF(D9="","",INT(D9/2))</f>
        <v/>
      </c>
      <c r="F9" s="6" t="n"/>
      <c r="G9" s="25" t="n"/>
      <c r="H9" s="25" t="n"/>
      <c r="I9" s="26" t="n"/>
    </row>
    <row r="10">
      <c r="A10" s="12" t="inlineStr">
        <is>
          <t>Technique (TEC)</t>
        </is>
      </c>
      <c r="B10" s="26" t="n"/>
      <c r="C10" s="8" t="inlineStr">
        <is>
          <t>Medium</t>
        </is>
      </c>
      <c r="D10" s="8" t="n">
        <v>5</v>
      </c>
      <c r="E10" s="14">
        <f>IF(D10="","",INT(D10/2))</f>
        <v/>
      </c>
      <c r="F10" s="6" t="n"/>
      <c r="G10" s="25" t="n"/>
      <c r="H10" s="25" t="n"/>
      <c r="I10" s="26" t="n"/>
    </row>
    <row r="11">
      <c r="A11" s="12" t="inlineStr">
        <is>
          <t>Stealth (STL)</t>
        </is>
      </c>
      <c r="B11" s="26" t="n"/>
      <c r="C11" s="8" t="inlineStr">
        <is>
          <t>Medium</t>
        </is>
      </c>
      <c r="D11" s="8" t="n">
        <v>5</v>
      </c>
      <c r="E11" s="14">
        <f>IF(D11="","",INT(D11/2))</f>
        <v/>
      </c>
      <c r="F11" s="6" t="n"/>
      <c r="G11" s="25" t="n"/>
      <c r="H11" s="25" t="n"/>
      <c r="I11" s="26" t="n"/>
    </row>
    <row r="12">
      <c r="A12" s="12" t="inlineStr">
        <is>
          <t>Focus (FOC)</t>
        </is>
      </c>
      <c r="B12" s="26" t="n"/>
      <c r="C12" s="8" t="inlineStr">
        <is>
          <t>Very High</t>
        </is>
      </c>
      <c r="D12" s="8" t="n">
        <v>9</v>
      </c>
      <c r="E12" s="14">
        <f>IF(D12="","",INT(D12/2))</f>
        <v/>
      </c>
      <c r="F12" s="6" t="n"/>
      <c r="G12" s="25" t="n"/>
      <c r="H12" s="25" t="n"/>
      <c r="I12" s="26" t="n"/>
    </row>
    <row r="13">
      <c r="A13" s="12" t="inlineStr">
        <is>
          <t>Will (WIL)</t>
        </is>
      </c>
      <c r="B13" s="26" t="n"/>
      <c r="C13" s="8" t="inlineStr">
        <is>
          <t>Medium</t>
        </is>
      </c>
      <c r="D13" s="8" t="n">
        <v>5</v>
      </c>
      <c r="E13" s="14">
        <f>IF(D13="","",INT(D13/2))</f>
        <v/>
      </c>
      <c r="F13" s="6" t="n"/>
      <c r="G13" s="25" t="n"/>
      <c r="H13" s="25" t="n"/>
      <c r="I13" s="26" t="n"/>
    </row>
    <row r="14">
      <c r="A14" s="15" t="inlineStr">
        <is>
          <t>Attribute Bonus (AB) = INT(Attribute Value ÷ 2), auto-calculated. 'Tendency' is a narrative-scale relative description; 'Attribute Value' is filled by the GM per Prestige (PRS). For insubstantial NPCs (e.g. Whisperer), leave Attribute Value blank.</t>
        </is>
      </c>
      <c r="B14" s="25" t="n"/>
      <c r="C14" s="25" t="n"/>
      <c r="D14" s="25" t="n"/>
      <c r="E14" s="25" t="n"/>
      <c r="F14" s="25" t="n"/>
      <c r="G14" s="25" t="n"/>
      <c r="H14" s="25" t="n"/>
      <c r="I14" s="26" t="n"/>
    </row>
    <row r="15" ht="20" customHeight="1">
      <c r="A15" s="10" t="inlineStr">
        <is>
          <t>II. Derived Values (auto-calculated)</t>
        </is>
      </c>
      <c r="B15" s="25" t="n"/>
      <c r="C15" s="25" t="n"/>
      <c r="D15" s="25" t="n"/>
      <c r="E15" s="25" t="n"/>
      <c r="F15" s="25" t="n"/>
      <c r="G15" s="25" t="n"/>
      <c r="H15" s="25" t="n"/>
      <c r="I15" s="26" t="n"/>
    </row>
    <row r="16">
      <c r="A16" s="12" t="inlineStr">
        <is>
          <t>HP (HP) Cap</t>
        </is>
      </c>
      <c r="B16" s="25" t="n"/>
      <c r="C16" s="26" t="n"/>
      <c r="D16" s="14">
        <f>IF(D13="","—",8+2*D13+IF($E$4="",0,$E$4))</f>
        <v/>
      </c>
      <c r="E16" s="26" t="n"/>
      <c r="F16" s="6" t="inlineStr">
        <is>
          <t>8 + 2×Will (WIL) + Prestige (PRS)</t>
        </is>
      </c>
      <c r="G16" s="25" t="n"/>
      <c r="H16" s="25" t="n"/>
      <c r="I16" s="26" t="n"/>
    </row>
    <row r="17">
      <c r="A17" s="12" t="inlineStr">
        <is>
          <t>Health State (HS) Cap</t>
        </is>
      </c>
      <c r="B17" s="25" t="n"/>
      <c r="C17" s="26" t="n"/>
      <c r="D17" s="14">
        <f>IF($E$3="Echo Companion",3,IF($E$3="Whisperer","—",2))</f>
        <v/>
      </c>
      <c r="E17" s="26" t="n"/>
      <c r="F17" s="6" t="inlineStr">
        <is>
          <t>Healthy→Injured→Dying. Echo Companion uses three-stage tracking.</t>
        </is>
      </c>
      <c r="G17" s="25" t="n"/>
      <c r="H17" s="25" t="n"/>
      <c r="I17" s="26" t="n"/>
    </row>
    <row r="18">
      <c r="A18" s="12" t="inlineStr">
        <is>
          <t>Action Point (AP) / round</t>
        </is>
      </c>
      <c r="B18" s="25" t="n"/>
      <c r="C18" s="26" t="n"/>
      <c r="D18" s="14">
        <f>IF($E$3="Echo Companion",1,IF($E$3="Whisperer",0,4))</f>
        <v/>
      </c>
      <c r="E18" s="26" t="n"/>
      <c r="F18" s="6" t="inlineStr">
        <is>
          <t>Echo Companion fixed at 1; Whisperer takes no action.</t>
        </is>
      </c>
      <c r="G18" s="25" t="n"/>
      <c r="H18" s="25" t="n"/>
      <c r="I18" s="26" t="n"/>
    </row>
    <row r="19">
      <c r="A19" s="12" t="inlineStr">
        <is>
          <t>Move (MOV) / round</t>
        </is>
      </c>
      <c r="B19" s="25" t="n"/>
      <c r="C19" s="26" t="n"/>
      <c r="D19" s="14">
        <f>IF(D9="","—",6+INT(D9/2))</f>
        <v/>
      </c>
      <c r="E19" s="26" t="n"/>
      <c r="F19" s="6" t="inlineStr">
        <is>
          <t>6 + INT(Agility (AGI) ÷ 2). 1 cell = 2 meters</t>
        </is>
      </c>
      <c r="G19" s="25" t="n"/>
      <c r="H19" s="25" t="n"/>
      <c r="I19" s="26" t="n"/>
    </row>
    <row r="20">
      <c r="A20" s="12" t="inlineStr">
        <is>
          <t>Repair Progress (Progress Point / round)</t>
        </is>
      </c>
      <c r="B20" s="25" t="n"/>
      <c r="C20" s="26" t="n"/>
      <c r="D20" s="14">
        <f>IF($E$3="Echo Companion",1,IF(D10="","—",INT(D10/2)))</f>
        <v/>
      </c>
      <c r="E20" s="26" t="n"/>
      <c r="F20" s="6" t="inlineStr">
        <is>
          <t>Echo Companion fixed +1 progress point (50% efficiency)</t>
        </is>
      </c>
      <c r="G20" s="25" t="n"/>
      <c r="H20" s="25" t="n"/>
      <c r="I20" s="26" t="n"/>
    </row>
    <row r="21">
      <c r="A21" s="12" t="inlineStr">
        <is>
          <t>Heal Progress (per round)</t>
        </is>
      </c>
      <c r="B21" s="25" t="n"/>
      <c r="C21" s="26" t="n"/>
      <c r="D21" s="14">
        <f>IF($E$3="Echo Companion",2,IF(D12="","—",INT(D12/2)+2))</f>
        <v/>
      </c>
      <c r="E21" s="26" t="n"/>
      <c r="F21" s="6" t="inlineStr">
        <is>
          <t>Echo Companion fixed +2, and cannot heal itself</t>
        </is>
      </c>
      <c r="G21" s="25" t="n"/>
      <c r="H21" s="25" t="n"/>
      <c r="I21" s="26" t="n"/>
    </row>
    <row r="22">
      <c r="A22" s="12" t="inlineStr">
        <is>
          <t>Passive Awareness Difficulty Class (DC)</t>
        </is>
      </c>
      <c r="B22" s="25" t="n"/>
      <c r="C22" s="26" t="n"/>
      <c r="D22" s="14">
        <f>IF(D12="","—",8+INT(D12/2))</f>
        <v/>
      </c>
      <c r="E22" s="26" t="n"/>
      <c r="F22" s="6" t="inlineStr">
        <is>
          <t>The target value for the Killer or other characters to notice this NPC</t>
        </is>
      </c>
      <c r="G22" s="25" t="n"/>
      <c r="H22" s="25" t="n"/>
      <c r="I22" s="26" t="n"/>
    </row>
    <row r="23" ht="20" customHeight="1">
      <c r="A23" s="10" t="inlineStr">
        <is>
          <t>III. Echo Companion exclusive: three-line behavior table</t>
        </is>
      </c>
      <c r="B23" s="25" t="n"/>
      <c r="C23" s="25" t="n"/>
      <c r="D23" s="25" t="n"/>
      <c r="E23" s="25" t="n"/>
      <c r="F23" s="25" t="n"/>
      <c r="G23" s="25" t="n"/>
      <c r="H23" s="25" t="n"/>
      <c r="I23" s="26" t="n"/>
    </row>
    <row r="24">
      <c r="A24" s="15" t="inlineStr">
        <is>
          <t>Used only when 'NPC Type = Echo Companion'. The GM checks top-to-bottom each round; the first condition met is the Echo Companion's action that round. No roleplay, no voice; one line per round.</t>
        </is>
      </c>
      <c r="B24" s="25" t="n"/>
      <c r="C24" s="25" t="n"/>
      <c r="D24" s="25" t="n"/>
      <c r="E24" s="25" t="n"/>
      <c r="F24" s="25" t="n"/>
      <c r="G24" s="25" t="n"/>
      <c r="H24" s="25" t="n"/>
      <c r="I24" s="26" t="n"/>
    </row>
    <row r="25">
      <c r="A25" s="5" t="inlineStr">
        <is>
          <t>No.</t>
        </is>
      </c>
      <c r="B25" s="5" t="inlineStr">
        <is>
          <t>Condition</t>
        </is>
      </c>
      <c r="C25" s="25" t="n"/>
      <c r="D25" s="26" t="n"/>
      <c r="E25" s="5" t="inlineStr">
        <is>
          <t>Action</t>
        </is>
      </c>
      <c r="F25" s="25" t="n"/>
      <c r="G25" s="25" t="n"/>
      <c r="H25" s="25" t="n"/>
      <c r="I25" s="26" t="n"/>
    </row>
    <row r="26" ht="30" customHeight="1">
      <c r="A26" s="12" t="inlineStr">
        <is>
          <t>①</t>
        </is>
      </c>
      <c r="B26" s="6" t="inlineStr">
        <is>
          <t>A Survivor is Hooked and this NPC can arrive within 2 rounds</t>
        </is>
      </c>
      <c r="C26" s="25" t="n"/>
      <c r="D26" s="26" t="n"/>
      <c r="E26" s="6" t="inlineStr">
        <is>
          <t>Go to rescue. On arrival, spend 1 Action Point (AP) to unhook, 100% success (no check).</t>
        </is>
      </c>
      <c r="F26" s="25" t="n"/>
      <c r="G26" s="25" t="n"/>
      <c r="H26" s="25" t="n"/>
      <c r="I26" s="26" t="n"/>
    </row>
    <row r="27" ht="30" customHeight="1">
      <c r="A27" s="12" t="inlineStr">
        <is>
          <t>②</t>
        </is>
      </c>
      <c r="B27" s="6" t="inlineStr">
        <is>
          <t>Self is Injured or Dying, or Killer is within 4 cells</t>
        </is>
      </c>
      <c r="C27" s="25" t="n"/>
      <c r="D27" s="26" t="n"/>
      <c r="E27" s="6" t="inlineStr">
        <is>
          <t>Self-preserve. Move away from Killer, prefer entering a Locker or cover; when Dying, crawl in place.</t>
        </is>
      </c>
      <c r="F27" s="25" t="n"/>
      <c r="G27" s="25" t="n"/>
      <c r="H27" s="25" t="n"/>
      <c r="I27" s="26" t="n"/>
    </row>
    <row r="28" ht="30" customHeight="1">
      <c r="A28" s="12" t="inlineStr">
        <is>
          <t>③</t>
        </is>
      </c>
      <c r="B28" s="6" t="inlineStr">
        <is>
          <t>None of the above holds</t>
        </is>
      </c>
      <c r="C28" s="25" t="n"/>
      <c r="D28" s="26" t="n"/>
      <c r="E28" s="6" t="inlineStr">
        <is>
          <t>Go to the nearest unfinished Generator and repair; +1 progress point per round.</t>
        </is>
      </c>
      <c r="F28" s="25" t="n"/>
      <c r="G28" s="25" t="n"/>
      <c r="H28" s="25" t="n"/>
      <c r="I28" s="26" t="n"/>
    </row>
    <row r="29">
      <c r="A29" s="15" t="inlineStr">
        <is>
          <t>Echo Companion limits: cannot self-unhook, cannot heal itself, cannot use items, cannot trade with Whisperer. Once hooked, it stalls a fixed 3 rounds before advancing to the next hook phase (Echo Stall). Count = MAX(0, 3 − Survivor player count N).</t>
        </is>
      </c>
      <c r="B29" s="25" t="n"/>
      <c r="C29" s="25" t="n"/>
      <c r="D29" s="25" t="n"/>
      <c r="E29" s="25" t="n"/>
      <c r="F29" s="25" t="n"/>
      <c r="G29" s="25" t="n"/>
      <c r="H29" s="25" t="n"/>
      <c r="I29" s="26" t="n"/>
    </row>
    <row r="30" ht="20" customHeight="1">
      <c r="A30" s="10" t="inlineStr">
        <is>
          <t>IV. Narrative Data</t>
        </is>
      </c>
      <c r="B30" s="25" t="n"/>
      <c r="C30" s="25" t="n"/>
      <c r="D30" s="25" t="n"/>
      <c r="E30" s="25" t="n"/>
      <c r="F30" s="25" t="n"/>
      <c r="G30" s="25" t="n"/>
      <c r="H30" s="25" t="n"/>
      <c r="I30" s="26" t="n"/>
    </row>
    <row r="31" ht="30" customHeight="1">
      <c r="A31" s="12" t="inlineStr">
        <is>
          <t>Motivation</t>
        </is>
      </c>
      <c r="B31" s="26" t="n"/>
      <c r="C31" s="18" t="inlineStr">
        <is>
          <t>Figure it out. She does not think this place is supernatural; she thinks it is an ecosystem, and ecosystems have patterns.</t>
        </is>
      </c>
      <c r="D31" s="25" t="n"/>
      <c r="E31" s="25" t="n"/>
      <c r="F31" s="25" t="n"/>
      <c r="G31" s="25" t="n"/>
      <c r="H31" s="25" t="n"/>
      <c r="I31" s="26" t="n"/>
    </row>
    <row r="32" ht="46" customHeight="1">
      <c r="A32" s="12" t="inlineStr">
        <is>
          <t>Background</t>
        </is>
      </c>
      <c r="B32" s="26" t="n"/>
      <c r="C32" s="18" t="inlineStr">
        <is>
          <t>She keeps taking notes in symbols she invented herself. Her deductions are often right, but she jumps ahead too fast and easily overlooks people.</t>
        </is>
      </c>
      <c r="D32" s="25" t="n"/>
      <c r="E32" s="25" t="n"/>
      <c r="F32" s="25" t="n"/>
      <c r="G32" s="25" t="n"/>
      <c r="H32" s="25" t="n"/>
      <c r="I32" s="26" t="n"/>
    </row>
    <row r="33" ht="40" customHeight="1">
      <c r="A33" s="12" t="inlineStr">
        <is>
          <t>Role in Main Plot</t>
        </is>
      </c>
      <c r="B33" s="26" t="n"/>
      <c r="C33" s="18" t="inlineStr">
        <is>
          <t>S3 Provide root clues / S3 If accompanying, will pick the wrong husk, changing her personality thereafter (she occasionally speaks words not her own) / S6 Speak the Reforging Q&amp;A content.</t>
        </is>
      </c>
      <c r="D33" s="25" t="n"/>
      <c r="E33" s="25" t="n"/>
      <c r="F33" s="25" t="n"/>
      <c r="G33" s="25" t="n"/>
      <c r="H33" s="25" t="n"/>
      <c r="I33" s="26" t="n"/>
    </row>
    <row r="34" ht="34" customHeight="1">
      <c r="A34" s="12" t="inlineStr">
        <is>
          <t>Signature Line</t>
        </is>
      </c>
      <c r="B34" s="26" t="n"/>
      <c r="C34" s="18" t="inlineStr">
        <is>
          <t>"Roots don't eat soil. They eat something else. Just ask what it is eating, and all the answers come out."</t>
        </is>
      </c>
      <c r="D34" s="25" t="n"/>
      <c r="E34" s="25" t="n"/>
      <c r="F34" s="25" t="n"/>
      <c r="G34" s="25" t="n"/>
      <c r="H34" s="25" t="n"/>
      <c r="I34" s="26" t="n"/>
    </row>
    <row r="35" ht="20" customHeight="1">
      <c r="A35" s="10" t="inlineStr">
        <is>
          <t>V. Special Interactions &amp; Rewards</t>
        </is>
      </c>
      <c r="B35" s="25" t="n"/>
      <c r="C35" s="25" t="n"/>
      <c r="D35" s="25" t="n"/>
      <c r="E35" s="25" t="n"/>
      <c r="F35" s="25" t="n"/>
      <c r="G35" s="25" t="n"/>
      <c r="H35" s="25" t="n"/>
      <c r="I35" s="26" t="n"/>
    </row>
    <row r="36" ht="46" customHeight="1">
      <c r="A36" s="12" t="inlineStr">
        <is>
          <t>Special Rule</t>
        </is>
      </c>
      <c r="B36" s="26" t="n"/>
      <c r="C36" s="18" t="inlineStr">
        <is>
          <t>In a Campfire scene, the Player may ask her to analyze a brought-back Item or clue: Focus (FOC) check vs Difficulty Class (DC) 12; on Success the GM reveals one hidden property of the object.</t>
        </is>
      </c>
      <c r="D36" s="25" t="n"/>
      <c r="E36" s="25" t="n"/>
      <c r="F36" s="25" t="n"/>
      <c r="G36" s="25" t="n"/>
      <c r="H36" s="25" t="n"/>
      <c r="I36" s="26" t="n"/>
    </row>
    <row r="37" ht="30" customHeight="1">
      <c r="A37" s="12" t="inlineStr">
        <is>
          <t>Hope Point (HOP) / Campfire Ember reward</t>
        </is>
      </c>
      <c r="B37" s="25" t="n"/>
      <c r="C37" s="26" t="n"/>
      <c r="D37" s="6" t="inlineStr">
        <is>
          <t>If the Player stops her from picking the wrong husk in S3: +3 Campfire Embers, and her S6 intel is more precise (revealed one round(s) earlier).</t>
        </is>
      </c>
      <c r="E37" s="25" t="n"/>
      <c r="F37" s="25" t="n"/>
      <c r="G37" s="25" t="n"/>
      <c r="H37" s="25" t="n"/>
      <c r="I37" s="26" t="n"/>
    </row>
    <row r="38" ht="20" customHeight="1">
      <c r="A38" s="10" t="inlineStr">
        <is>
          <t>VI. GM Running Notes</t>
        </is>
      </c>
      <c r="B38" s="25" t="n"/>
      <c r="C38" s="25" t="n"/>
      <c r="D38" s="25" t="n"/>
      <c r="E38" s="25" t="n"/>
      <c r="F38" s="25" t="n"/>
      <c r="G38" s="25" t="n"/>
      <c r="H38" s="25" t="n"/>
      <c r="I38" s="26" t="n"/>
    </row>
    <row r="39" ht="52" customHeight="1">
      <c r="A39" s="18" t="inlineStr">
        <is>
          <t>She is the Player's "reasoning add-on," but let her deduce wrongly at least once, or the Player will stop thinking.</t>
        </is>
      </c>
      <c r="B39" s="25" t="n"/>
      <c r="C39" s="25" t="n"/>
      <c r="D39" s="25" t="n"/>
      <c r="E39" s="25" t="n"/>
      <c r="F39" s="25" t="n"/>
      <c r="G39" s="25" t="n"/>
      <c r="H39" s="25" t="n"/>
      <c r="I39" s="26" t="n"/>
    </row>
    <row r="40" ht="20" customHeight="1">
      <c r="A40" s="10" t="inlineStr">
        <is>
          <t>VII. In-Trial Tracker (reusable)</t>
        </is>
      </c>
      <c r="B40" s="25" t="n"/>
      <c r="C40" s="25" t="n"/>
      <c r="D40" s="25" t="n"/>
      <c r="E40" s="25" t="n"/>
      <c r="F40" s="25" t="n"/>
      <c r="G40" s="25" t="n"/>
      <c r="H40" s="25" t="n"/>
      <c r="I40" s="26" t="n"/>
    </row>
    <row r="41">
      <c r="A41" s="12" t="inlineStr">
        <is>
          <t>Health State (HS)</t>
        </is>
      </c>
      <c r="B41" s="26" t="n"/>
      <c r="C41" s="5" t="inlineStr">
        <is>
          <t>Healthy</t>
        </is>
      </c>
      <c r="D41" s="5" t="inlineStr">
        <is>
          <t>Injured</t>
        </is>
      </c>
      <c r="E41" s="5" t="inlineStr">
        <is>
          <t>Dying</t>
        </is>
      </c>
      <c r="F41" s="12" t="inlineStr">
        <is>
          <t>Hook Phase</t>
        </is>
      </c>
      <c r="G41" s="26" t="n"/>
      <c r="H41" s="5" t="inlineStr">
        <is>
          <t>I (Wiggle)</t>
        </is>
      </c>
      <c r="I41" s="5" t="inlineStr">
        <is>
          <t>II (Sacrifice)</t>
        </is>
      </c>
    </row>
    <row r="42">
      <c r="A42" s="5" t="inlineStr">
        <is>
          <t>Check current state</t>
        </is>
      </c>
      <c r="B42" s="26" t="n"/>
      <c r="C42" s="8" t="inlineStr">
        <is>
          <t>☐</t>
        </is>
      </c>
      <c r="D42" s="8" t="inlineStr">
        <is>
          <t>☐</t>
        </is>
      </c>
      <c r="E42" s="8" t="inlineStr">
        <is>
          <t>☐</t>
        </is>
      </c>
      <c r="F42" s="5" t="inlineStr">
        <is>
          <t>Check</t>
        </is>
      </c>
      <c r="G42" s="26" t="n"/>
      <c r="H42" s="8" t="inlineStr">
        <is>
          <t>☐</t>
        </is>
      </c>
      <c r="I42" s="8" t="inlineStr">
        <is>
          <t>☐</t>
        </is>
      </c>
    </row>
    <row r="43">
      <c r="A43" s="12" t="inlineStr">
        <is>
          <t>Current Status Effect</t>
        </is>
      </c>
      <c r="B43" s="26" t="n"/>
      <c r="C43" s="6" t="n"/>
      <c r="D43" s="25" t="n"/>
      <c r="E43" s="25" t="n"/>
      <c r="F43" s="25" t="n"/>
      <c r="G43" s="25" t="n"/>
      <c r="H43" s="25" t="n"/>
      <c r="I43" s="26" t="n"/>
    </row>
    <row r="44" ht="40" customHeight="1">
      <c r="A44" s="12" t="inlineStr">
        <is>
          <t>Notes</t>
        </is>
      </c>
      <c r="B44" s="26" t="n"/>
      <c r="C44" s="18" t="n"/>
      <c r="D44" s="25" t="n"/>
      <c r="E44" s="25" t="n"/>
      <c r="F44" s="25" t="n"/>
      <c r="G44" s="25" t="n"/>
      <c r="H44" s="25" t="n"/>
      <c r="I44" s="26" t="n"/>
    </row>
  </sheetData>
  <mergeCells count="82">
    <mergeCell ref="C36:I36"/>
    <mergeCell ref="A7:I7"/>
    <mergeCell ref="D20:E20"/>
    <mergeCell ref="A37:C37"/>
    <mergeCell ref="E5:I5"/>
    <mergeCell ref="A21:C21"/>
    <mergeCell ref="D22:E22"/>
    <mergeCell ref="B28:D28"/>
    <mergeCell ref="A41:B41"/>
    <mergeCell ref="F16:I16"/>
    <mergeCell ref="A35:I35"/>
    <mergeCell ref="A33:B33"/>
    <mergeCell ref="A42:B42"/>
    <mergeCell ref="A39:I39"/>
    <mergeCell ref="E26:I26"/>
    <mergeCell ref="A30:I30"/>
    <mergeCell ref="C31:I31"/>
    <mergeCell ref="A6:C6"/>
    <mergeCell ref="E25:I25"/>
    <mergeCell ref="A2:C5"/>
    <mergeCell ref="D6:I6"/>
    <mergeCell ref="A9:B9"/>
    <mergeCell ref="E3:F3"/>
    <mergeCell ref="F13:I13"/>
    <mergeCell ref="D19:E19"/>
    <mergeCell ref="A11:B11"/>
    <mergeCell ref="E4:F4"/>
    <mergeCell ref="E28:I28"/>
    <mergeCell ref="C34:I34"/>
    <mergeCell ref="F42:G42"/>
    <mergeCell ref="F19:I19"/>
    <mergeCell ref="F20:I20"/>
    <mergeCell ref="A8:B8"/>
    <mergeCell ref="H3:I3"/>
    <mergeCell ref="C44:I44"/>
    <mergeCell ref="F17:I17"/>
    <mergeCell ref="A10:B10"/>
    <mergeCell ref="A1:I1"/>
    <mergeCell ref="A16:C16"/>
    <mergeCell ref="A34:B34"/>
    <mergeCell ref="F9:I9"/>
    <mergeCell ref="A18:C18"/>
    <mergeCell ref="A36:B36"/>
    <mergeCell ref="C32:I32"/>
    <mergeCell ref="A14:I14"/>
    <mergeCell ref="A22:C22"/>
    <mergeCell ref="A23:I23"/>
    <mergeCell ref="C33:I33"/>
    <mergeCell ref="D17:E17"/>
    <mergeCell ref="F10:I10"/>
    <mergeCell ref="A20:C20"/>
    <mergeCell ref="A38:I38"/>
    <mergeCell ref="A12:B12"/>
    <mergeCell ref="E2:I2"/>
    <mergeCell ref="A32:B32"/>
    <mergeCell ref="A40:I40"/>
    <mergeCell ref="B25:D25"/>
    <mergeCell ref="A24:I24"/>
    <mergeCell ref="F18:I18"/>
    <mergeCell ref="A43:B43"/>
    <mergeCell ref="F8:I8"/>
    <mergeCell ref="F22:I22"/>
    <mergeCell ref="H4:I4"/>
    <mergeCell ref="D21:E21"/>
    <mergeCell ref="D37:I37"/>
    <mergeCell ref="F11:I11"/>
    <mergeCell ref="A17:C17"/>
    <mergeCell ref="F41:G41"/>
    <mergeCell ref="A29:I29"/>
    <mergeCell ref="D16:E16"/>
    <mergeCell ref="A19:C19"/>
    <mergeCell ref="F12:I12"/>
    <mergeCell ref="B26:D26"/>
    <mergeCell ref="F21:I21"/>
    <mergeCell ref="E27:I27"/>
    <mergeCell ref="D18:E18"/>
    <mergeCell ref="A15:I15"/>
    <mergeCell ref="C43:I43"/>
    <mergeCell ref="B27:D27"/>
    <mergeCell ref="A13:B13"/>
    <mergeCell ref="A44:B44"/>
    <mergeCell ref="A31:B31"/>
  </mergeCells>
  <dataValidations count="2">
    <dataValidation sqref="E3:F3" showDropDown="0" showInputMessage="0" showErrorMessage="0" allowBlank="1" type="list">
      <formula1>"營火同伴,回聲同伴,低語者,殘影,觀察者,特殊存在"</formula1>
    </dataValidation>
    <dataValidation sqref="C9:C13" showDropDown="0" showInputMessage="0" showErrorMessage="0" allowBlank="1" type="list">
      <formula1>"極高,高,中,低,極低,不適用"</formula1>
    </dataValidation>
  </dataValidations>
  <printOptions horizontalCentered="1"/>
  <pageMargins left="0.75" right="0.75" top="1" bottom="1" header="0.5" footer="0.5"/>
  <pageSetup orientation="portrait" fitToHeight="0" fitToWidth="1"/>
</worksheet>
</file>

<file path=xl/worksheets/sheet4.xml><?xml version="1.0" encoding="utf-8"?>
<worksheet xmlns="http://schemas.openxmlformats.org/spreadsheetml/2006/main">
  <sheetPr>
    <outlinePr summaryBelow="1" summaryRight="1"/>
    <pageSetUpPr fitToPage="1"/>
  </sheetPr>
  <dimension ref="A1:I44"/>
  <sheetViews>
    <sheetView workbookViewId="0">
      <pane ySplit="6" topLeftCell="A7" activePane="bottomLeft" state="frozen"/>
      <selection pane="bottomLeft" activeCell="A1" sqref="A1"/>
    </sheetView>
  </sheetViews>
  <sheetFormatPr baseColWidth="8" defaultRowHeight="15"/>
  <cols>
    <col width="11" customWidth="1" min="1" max="1"/>
    <col width="11" customWidth="1" min="2" max="2"/>
    <col width="11" customWidth="1" min="3" max="3"/>
    <col width="13" customWidth="1" min="4" max="4"/>
    <col width="13" customWidth="1" min="5" max="5"/>
    <col width="12" customWidth="1" min="6" max="6"/>
    <col width="12" customWidth="1" min="7" max="7"/>
    <col width="13" customWidth="1" min="8" max="8"/>
    <col width="13" customWidth="1" min="9" max="9"/>
  </cols>
  <sheetData>
    <row r="1" ht="28" customHeight="1">
      <c r="A1" s="1" t="inlineStr">
        <is>
          <t>Dead by Daylight TRPG　Non-Player Character (NPC) Card　·　Full Type</t>
        </is>
      </c>
      <c r="B1" s="21" t="n"/>
      <c r="C1" s="21" t="n"/>
      <c r="D1" s="21" t="n"/>
      <c r="E1" s="21" t="n"/>
      <c r="F1" s="21" t="n"/>
      <c r="G1" s="21" t="n"/>
      <c r="H1" s="21" t="n"/>
      <c r="I1" s="22" t="n"/>
    </row>
    <row r="2">
      <c r="A2" s="3" t="inlineStr">
        <is>
          <t>Character Art
(Paste character image here)</t>
        </is>
      </c>
      <c r="B2" s="23" t="n"/>
      <c r="C2" s="24" t="n"/>
      <c r="D2" s="5" t="inlineStr">
        <is>
          <t>Name</t>
        </is>
      </c>
      <c r="E2" s="6" t="inlineStr">
        <is>
          <t>Hilda Rayne</t>
        </is>
      </c>
      <c r="F2" s="25" t="n"/>
      <c r="G2" s="25" t="n"/>
      <c r="H2" s="25" t="n"/>
      <c r="I2" s="26" t="n"/>
    </row>
    <row r="3">
      <c r="A3" s="27" t="n"/>
      <c r="C3" s="28" t="n"/>
      <c r="D3" s="5" t="inlineStr">
        <is>
          <t>NPC Type</t>
        </is>
      </c>
      <c r="E3" s="8" t="inlineStr">
        <is>
          <t>Campfire Companion</t>
        </is>
      </c>
      <c r="F3" s="26" t="n"/>
      <c r="G3" s="5" t="inlineStr">
        <is>
          <t>Role</t>
        </is>
      </c>
      <c r="H3" s="6" t="inlineStr">
        <is>
          <t>Campfire Companion → The Silent One (SIL) (after S6)</t>
        </is>
      </c>
      <c r="I3" s="26" t="n"/>
    </row>
    <row r="4">
      <c r="A4" s="27" t="n"/>
      <c r="C4" s="28" t="n"/>
      <c r="D4" s="5" t="inlineStr">
        <is>
          <t>Prestige (PRS)</t>
        </is>
      </c>
      <c r="E4" s="8" t="n">
        <v>4</v>
      </c>
      <c r="F4" s="26" t="n"/>
      <c r="G4" s="5" t="inlineStr">
        <is>
          <t>First Appearance</t>
        </is>
      </c>
      <c r="H4" s="8" t="inlineStr">
        <is>
          <t>S1</t>
        </is>
      </c>
      <c r="I4" s="26" t="n"/>
    </row>
    <row r="5">
      <c r="A5" s="29" t="n"/>
      <c r="B5" s="30" t="n"/>
      <c r="C5" s="31" t="n"/>
      <c r="D5" s="5" t="inlineStr">
        <is>
          <t>Affiliated Realm / Location</t>
        </is>
      </c>
      <c r="E5" s="6" t="inlineStr">
        <is>
          <t>Campfire → R4 Crotus Prenn Asylum · Treatment Room 13</t>
        </is>
      </c>
      <c r="F5" s="25" t="n"/>
      <c r="G5" s="25" t="n"/>
      <c r="H5" s="25" t="n"/>
      <c r="I5" s="26" t="n"/>
    </row>
    <row r="6" ht="32" customHeight="1">
      <c r="A6" s="5" t="inlineStr">
        <is>
          <t>Appearance</t>
        </is>
      </c>
      <c r="B6" s="25" t="n"/>
      <c r="C6" s="26" t="n"/>
      <c r="D6" s="6" t="inlineStr">
        <is>
          <t>Forties, very quiet, always sitting at the outermost edge of the fire circle. After Reforging: patient gown, face wrapped in bandages.</t>
        </is>
      </c>
      <c r="E6" s="25" t="n"/>
      <c r="F6" s="25" t="n"/>
      <c r="G6" s="25" t="n"/>
      <c r="H6" s="25" t="n"/>
      <c r="I6" s="26" t="n"/>
    </row>
    <row r="7" ht="20" customHeight="1">
      <c r="A7" s="10" t="inlineStr">
        <is>
          <t>I. Attributes (Five-Attribute Frame)</t>
        </is>
      </c>
      <c r="B7" s="25" t="n"/>
      <c r="C7" s="25" t="n"/>
      <c r="D7" s="25" t="n"/>
      <c r="E7" s="25" t="n"/>
      <c r="F7" s="25" t="n"/>
      <c r="G7" s="25" t="n"/>
      <c r="H7" s="25" t="n"/>
      <c r="I7" s="26" t="n"/>
    </row>
    <row r="8" ht="28" customHeight="1">
      <c r="A8" s="5" t="inlineStr">
        <is>
          <t>Attribute</t>
        </is>
      </c>
      <c r="B8" s="26" t="n"/>
      <c r="C8" s="5" t="inlineStr">
        <is>
          <t>Tendency</t>
        </is>
      </c>
      <c r="D8" s="5" t="inlineStr">
        <is>
          <t>Attribute Value
(1–10)</t>
        </is>
      </c>
      <c r="E8" s="5" t="inlineStr">
        <is>
          <t>Attribute Bonus (AB)</t>
        </is>
      </c>
      <c r="F8" s="5" t="inlineStr">
        <is>
          <t>Notes</t>
        </is>
      </c>
      <c r="G8" s="25" t="n"/>
      <c r="H8" s="25" t="n"/>
      <c r="I8" s="26" t="n"/>
    </row>
    <row r="9">
      <c r="A9" s="12" t="inlineStr">
        <is>
          <t>Agility (AGI)</t>
        </is>
      </c>
      <c r="B9" s="26" t="n"/>
      <c r="C9" s="8" t="inlineStr">
        <is>
          <t>Medium</t>
        </is>
      </c>
      <c r="D9" s="8" t="n">
        <v>5</v>
      </c>
      <c r="E9" s="14">
        <f>IF(D9="","",INT(D9/2))</f>
        <v/>
      </c>
      <c r="F9" s="6" t="n"/>
      <c r="G9" s="25" t="n"/>
      <c r="H9" s="25" t="n"/>
      <c r="I9" s="26" t="n"/>
    </row>
    <row r="10">
      <c r="A10" s="12" t="inlineStr">
        <is>
          <t>Technique (TEC)</t>
        </is>
      </c>
      <c r="B10" s="26" t="n"/>
      <c r="C10" s="8" t="inlineStr">
        <is>
          <t>Medium</t>
        </is>
      </c>
      <c r="D10" s="8" t="n">
        <v>5</v>
      </c>
      <c r="E10" s="14">
        <f>IF(D10="","",INT(D10/2))</f>
        <v/>
      </c>
      <c r="F10" s="6" t="n"/>
      <c r="G10" s="25" t="n"/>
      <c r="H10" s="25" t="n"/>
      <c r="I10" s="26" t="n"/>
    </row>
    <row r="11">
      <c r="A11" s="12" t="inlineStr">
        <is>
          <t>Stealth (STL)</t>
        </is>
      </c>
      <c r="B11" s="26" t="n"/>
      <c r="C11" s="8" t="inlineStr">
        <is>
          <t>Very High</t>
        </is>
      </c>
      <c r="D11" s="8" t="n">
        <v>9</v>
      </c>
      <c r="E11" s="14">
        <f>IF(D11="","",INT(D11/2))</f>
        <v/>
      </c>
      <c r="F11" s="6" t="n"/>
      <c r="G11" s="25" t="n"/>
      <c r="H11" s="25" t="n"/>
      <c r="I11" s="26" t="n"/>
    </row>
    <row r="12">
      <c r="A12" s="12" t="inlineStr">
        <is>
          <t>Focus (FOC)</t>
        </is>
      </c>
      <c r="B12" s="26" t="n"/>
      <c r="C12" s="8" t="inlineStr">
        <is>
          <t>Medium</t>
        </is>
      </c>
      <c r="D12" s="8" t="n">
        <v>5</v>
      </c>
      <c r="E12" s="14">
        <f>IF(D12="","",INT(D12/2))</f>
        <v/>
      </c>
      <c r="F12" s="6" t="n"/>
      <c r="G12" s="25" t="n"/>
      <c r="H12" s="25" t="n"/>
      <c r="I12" s="26" t="n"/>
    </row>
    <row r="13">
      <c r="A13" s="12" t="inlineStr">
        <is>
          <t>Will (WIL)</t>
        </is>
      </c>
      <c r="B13" s="26" t="n"/>
      <c r="C13" s="8" t="inlineStr">
        <is>
          <t>Low</t>
        </is>
      </c>
      <c r="D13" s="8" t="n">
        <v>3</v>
      </c>
      <c r="E13" s="14">
        <f>IF(D13="","",INT(D13/2))</f>
        <v/>
      </c>
      <c r="F13" s="6" t="n"/>
      <c r="G13" s="25" t="n"/>
      <c r="H13" s="25" t="n"/>
      <c r="I13" s="26" t="n"/>
    </row>
    <row r="14">
      <c r="A14" s="15" t="inlineStr">
        <is>
          <t>Attribute Bonus (AB) = INT(Attribute Value ÷ 2), auto-calculated. 'Tendency' is a narrative-scale relative description; 'Attribute Value' is filled by the GM per Prestige (PRS). For insubstantial NPCs (e.g. Whisperer), leave Attribute Value blank.</t>
        </is>
      </c>
      <c r="B14" s="25" t="n"/>
      <c r="C14" s="25" t="n"/>
      <c r="D14" s="25" t="n"/>
      <c r="E14" s="25" t="n"/>
      <c r="F14" s="25" t="n"/>
      <c r="G14" s="25" t="n"/>
      <c r="H14" s="25" t="n"/>
      <c r="I14" s="26" t="n"/>
    </row>
    <row r="15" ht="20" customHeight="1">
      <c r="A15" s="10" t="inlineStr">
        <is>
          <t>II. Derived Values (auto-calculated)</t>
        </is>
      </c>
      <c r="B15" s="25" t="n"/>
      <c r="C15" s="25" t="n"/>
      <c r="D15" s="25" t="n"/>
      <c r="E15" s="25" t="n"/>
      <c r="F15" s="25" t="n"/>
      <c r="G15" s="25" t="n"/>
      <c r="H15" s="25" t="n"/>
      <c r="I15" s="26" t="n"/>
    </row>
    <row r="16">
      <c r="A16" s="12" t="inlineStr">
        <is>
          <t>HP (HP) Cap</t>
        </is>
      </c>
      <c r="B16" s="25" t="n"/>
      <c r="C16" s="26" t="n"/>
      <c r="D16" s="14">
        <f>IF(D13="","—",8+2*D13+IF($E$4="",0,$E$4))</f>
        <v/>
      </c>
      <c r="E16" s="26" t="n"/>
      <c r="F16" s="6" t="inlineStr">
        <is>
          <t>8 + 2×Will (WIL) + Prestige (PRS)</t>
        </is>
      </c>
      <c r="G16" s="25" t="n"/>
      <c r="H16" s="25" t="n"/>
      <c r="I16" s="26" t="n"/>
    </row>
    <row r="17">
      <c r="A17" s="12" t="inlineStr">
        <is>
          <t>Health State (HS) Cap</t>
        </is>
      </c>
      <c r="B17" s="25" t="n"/>
      <c r="C17" s="26" t="n"/>
      <c r="D17" s="14">
        <f>IF($E$3="Echo Companion",3,IF($E$3="Whisperer","—",2))</f>
        <v/>
      </c>
      <c r="E17" s="26" t="n"/>
      <c r="F17" s="6" t="inlineStr">
        <is>
          <t>Healthy→Injured→Dying. Echo Companion uses three-stage tracking.</t>
        </is>
      </c>
      <c r="G17" s="25" t="n"/>
      <c r="H17" s="25" t="n"/>
      <c r="I17" s="26" t="n"/>
    </row>
    <row r="18">
      <c r="A18" s="12" t="inlineStr">
        <is>
          <t>Action Point (AP) / round</t>
        </is>
      </c>
      <c r="B18" s="25" t="n"/>
      <c r="C18" s="26" t="n"/>
      <c r="D18" s="14">
        <f>IF($E$3="Echo Companion",1,IF($E$3="Whisperer",0,4))</f>
        <v/>
      </c>
      <c r="E18" s="26" t="n"/>
      <c r="F18" s="6" t="inlineStr">
        <is>
          <t>Echo Companion fixed at 1; Whisperer takes no action.</t>
        </is>
      </c>
      <c r="G18" s="25" t="n"/>
      <c r="H18" s="25" t="n"/>
      <c r="I18" s="26" t="n"/>
    </row>
    <row r="19">
      <c r="A19" s="12" t="inlineStr">
        <is>
          <t>Move (MOV) / round</t>
        </is>
      </c>
      <c r="B19" s="25" t="n"/>
      <c r="C19" s="26" t="n"/>
      <c r="D19" s="14">
        <f>IF(D9="","—",6+INT(D9/2))</f>
        <v/>
      </c>
      <c r="E19" s="26" t="n"/>
      <c r="F19" s="6" t="inlineStr">
        <is>
          <t>6 + INT(Agility (AGI) ÷ 2). 1 cell = 2 meters</t>
        </is>
      </c>
      <c r="G19" s="25" t="n"/>
      <c r="H19" s="25" t="n"/>
      <c r="I19" s="26" t="n"/>
    </row>
    <row r="20">
      <c r="A20" s="12" t="inlineStr">
        <is>
          <t>Repair Progress (Progress Point / round)</t>
        </is>
      </c>
      <c r="B20" s="25" t="n"/>
      <c r="C20" s="26" t="n"/>
      <c r="D20" s="14">
        <f>IF($E$3="Echo Companion",1,IF(D10="","—",INT(D10/2)))</f>
        <v/>
      </c>
      <c r="E20" s="26" t="n"/>
      <c r="F20" s="6" t="inlineStr">
        <is>
          <t>Echo Companion fixed +1 progress point (50% efficiency)</t>
        </is>
      </c>
      <c r="G20" s="25" t="n"/>
      <c r="H20" s="25" t="n"/>
      <c r="I20" s="26" t="n"/>
    </row>
    <row r="21">
      <c r="A21" s="12" t="inlineStr">
        <is>
          <t>Heal Progress (per round)</t>
        </is>
      </c>
      <c r="B21" s="25" t="n"/>
      <c r="C21" s="26" t="n"/>
      <c r="D21" s="14">
        <f>IF($E$3="Echo Companion",2,IF(D12="","—",INT(D12/2)+2))</f>
        <v/>
      </c>
      <c r="E21" s="26" t="n"/>
      <c r="F21" s="6" t="inlineStr">
        <is>
          <t>Echo Companion fixed +2, and cannot heal itself</t>
        </is>
      </c>
      <c r="G21" s="25" t="n"/>
      <c r="H21" s="25" t="n"/>
      <c r="I21" s="26" t="n"/>
    </row>
    <row r="22">
      <c r="A22" s="12" t="inlineStr">
        <is>
          <t>Passive Awareness Difficulty Class (DC)</t>
        </is>
      </c>
      <c r="B22" s="25" t="n"/>
      <c r="C22" s="26" t="n"/>
      <c r="D22" s="14">
        <f>IF(D12="","—",8+INT(D12/2))</f>
        <v/>
      </c>
      <c r="E22" s="26" t="n"/>
      <c r="F22" s="6" t="inlineStr">
        <is>
          <t>The target value for the Killer or other characters to notice this NPC</t>
        </is>
      </c>
      <c r="G22" s="25" t="n"/>
      <c r="H22" s="25" t="n"/>
      <c r="I22" s="26" t="n"/>
    </row>
    <row r="23" ht="20" customHeight="1">
      <c r="A23" s="10" t="inlineStr">
        <is>
          <t>III. Echo Companion exclusive: three-line behavior table</t>
        </is>
      </c>
      <c r="B23" s="25" t="n"/>
      <c r="C23" s="25" t="n"/>
      <c r="D23" s="25" t="n"/>
      <c r="E23" s="25" t="n"/>
      <c r="F23" s="25" t="n"/>
      <c r="G23" s="25" t="n"/>
      <c r="H23" s="25" t="n"/>
      <c r="I23" s="26" t="n"/>
    </row>
    <row r="24">
      <c r="A24" s="15" t="inlineStr">
        <is>
          <t>Used only when 'NPC Type = Echo Companion'. The GM checks top-to-bottom each round; the first condition met is the Echo Companion's action that round. No roleplay, no voice; one line per round.</t>
        </is>
      </c>
      <c r="B24" s="25" t="n"/>
      <c r="C24" s="25" t="n"/>
      <c r="D24" s="25" t="n"/>
      <c r="E24" s="25" t="n"/>
      <c r="F24" s="25" t="n"/>
      <c r="G24" s="25" t="n"/>
      <c r="H24" s="25" t="n"/>
      <c r="I24" s="26" t="n"/>
    </row>
    <row r="25">
      <c r="A25" s="5" t="inlineStr">
        <is>
          <t>No.</t>
        </is>
      </c>
      <c r="B25" s="5" t="inlineStr">
        <is>
          <t>Condition</t>
        </is>
      </c>
      <c r="C25" s="25" t="n"/>
      <c r="D25" s="26" t="n"/>
      <c r="E25" s="5" t="inlineStr">
        <is>
          <t>Action</t>
        </is>
      </c>
      <c r="F25" s="25" t="n"/>
      <c r="G25" s="25" t="n"/>
      <c r="H25" s="25" t="n"/>
      <c r="I25" s="26" t="n"/>
    </row>
    <row r="26" ht="30" customHeight="1">
      <c r="A26" s="12" t="inlineStr">
        <is>
          <t>①</t>
        </is>
      </c>
      <c r="B26" s="6" t="inlineStr">
        <is>
          <t>A Survivor is Hooked and this NPC can arrive within 2 rounds</t>
        </is>
      </c>
      <c r="C26" s="25" t="n"/>
      <c r="D26" s="26" t="n"/>
      <c r="E26" s="6" t="inlineStr">
        <is>
          <t>Go to rescue. On arrival, spend 1 Action Point (AP) to unhook, 100% success (no check).</t>
        </is>
      </c>
      <c r="F26" s="25" t="n"/>
      <c r="G26" s="25" t="n"/>
      <c r="H26" s="25" t="n"/>
      <c r="I26" s="26" t="n"/>
    </row>
    <row r="27" ht="30" customHeight="1">
      <c r="A27" s="12" t="inlineStr">
        <is>
          <t>②</t>
        </is>
      </c>
      <c r="B27" s="6" t="inlineStr">
        <is>
          <t>Self is Injured or Dying, or Killer is within 4 cells</t>
        </is>
      </c>
      <c r="C27" s="25" t="n"/>
      <c r="D27" s="26" t="n"/>
      <c r="E27" s="6" t="inlineStr">
        <is>
          <t>Self-preserve. Move away from Killer, prefer entering a Locker or cover; when Dying, crawl in place.</t>
        </is>
      </c>
      <c r="F27" s="25" t="n"/>
      <c r="G27" s="25" t="n"/>
      <c r="H27" s="25" t="n"/>
      <c r="I27" s="26" t="n"/>
    </row>
    <row r="28" ht="30" customHeight="1">
      <c r="A28" s="12" t="inlineStr">
        <is>
          <t>③</t>
        </is>
      </c>
      <c r="B28" s="6" t="inlineStr">
        <is>
          <t>None of the above holds</t>
        </is>
      </c>
      <c r="C28" s="25" t="n"/>
      <c r="D28" s="26" t="n"/>
      <c r="E28" s="6" t="inlineStr">
        <is>
          <t>Go to the nearest unfinished Generator and repair; +1 progress point per round.</t>
        </is>
      </c>
      <c r="F28" s="25" t="n"/>
      <c r="G28" s="25" t="n"/>
      <c r="H28" s="25" t="n"/>
      <c r="I28" s="26" t="n"/>
    </row>
    <row r="29">
      <c r="A29" s="15" t="inlineStr">
        <is>
          <t>Echo Companion limits: cannot self-unhook, cannot heal itself, cannot use items, cannot trade with Whisperer. Once hooked, it stalls a fixed 3 rounds before advancing to the next hook phase (Echo Stall). Count = MAX(0, 3 − Survivor player count N).</t>
        </is>
      </c>
      <c r="B29" s="25" t="n"/>
      <c r="C29" s="25" t="n"/>
      <c r="D29" s="25" t="n"/>
      <c r="E29" s="25" t="n"/>
      <c r="F29" s="25" t="n"/>
      <c r="G29" s="25" t="n"/>
      <c r="H29" s="25" t="n"/>
      <c r="I29" s="26" t="n"/>
    </row>
    <row r="30" ht="20" customHeight="1">
      <c r="A30" s="10" t="inlineStr">
        <is>
          <t>IV. Narrative Data</t>
        </is>
      </c>
      <c r="B30" s="25" t="n"/>
      <c r="C30" s="25" t="n"/>
      <c r="D30" s="25" t="n"/>
      <c r="E30" s="25" t="n"/>
      <c r="F30" s="25" t="n"/>
      <c r="G30" s="25" t="n"/>
      <c r="H30" s="25" t="n"/>
      <c r="I30" s="26" t="n"/>
    </row>
    <row r="31" ht="30" customHeight="1">
      <c r="A31" s="12" t="inlineStr">
        <is>
          <t>Motivation</t>
        </is>
      </c>
      <c r="B31" s="26" t="n"/>
      <c r="C31" s="18" t="inlineStr">
        <is>
          <t>At first: hold on. Later: let someone else taste this too. (She no longer remembers who that person was, but the hatred remains.)</t>
        </is>
      </c>
      <c r="D31" s="25" t="n"/>
      <c r="E31" s="25" t="n"/>
      <c r="F31" s="25" t="n"/>
      <c r="G31" s="25" t="n"/>
      <c r="H31" s="25" t="n"/>
      <c r="I31" s="26" t="n"/>
    </row>
    <row r="32" ht="46" customHeight="1">
      <c r="A32" s="12" t="inlineStr">
        <is>
          <t>Background</t>
        </is>
      </c>
      <c r="B32" s="26" t="n"/>
      <c r="C32" s="18" t="inlineStr">
        <is>
          <t>She stays by the Campfire second only to Elowyn. Her hope ran out between the fifth and sixth scenarios, but the hatred remains — so she will not enter the Void; she will enter Treatment Room 13.</t>
        </is>
      </c>
      <c r="D32" s="25" t="n"/>
      <c r="E32" s="25" t="n"/>
      <c r="F32" s="25" t="n"/>
      <c r="G32" s="25" t="n"/>
      <c r="H32" s="25" t="n"/>
      <c r="I32" s="26" t="n"/>
    </row>
    <row r="33" ht="40" customHeight="1">
      <c r="A33" s="12" t="inlineStr">
        <is>
          <t>Role in Main Plot</t>
        </is>
      </c>
      <c r="B33" s="26" t="n"/>
      <c r="C33" s="18" t="inlineStr">
        <is>
          <t>S1–S5 Background presence (the GM must let her appear often enough that the Player cares) / S6 Core / S7–S8 Friend or foe depending on the S6 choice.</t>
        </is>
      </c>
      <c r="D33" s="25" t="n"/>
      <c r="E33" s="25" t="n"/>
      <c r="F33" s="25" t="n"/>
      <c r="G33" s="25" t="n"/>
      <c r="H33" s="25" t="n"/>
      <c r="I33" s="26" t="n"/>
    </row>
    <row r="34" ht="34" customHeight="1">
      <c r="A34" s="12" t="inlineStr">
        <is>
          <t>Signature Line</t>
        </is>
      </c>
      <c r="B34" s="26" t="n"/>
      <c r="C34" s="18" t="inlineStr">
        <is>
          <t>(Before Reforging) "Does hatred count as a kind of hope?" / (After Reforging, if hesitation triggers) "You… don't… run…"</t>
        </is>
      </c>
      <c r="D34" s="25" t="n"/>
      <c r="E34" s="25" t="n"/>
      <c r="F34" s="25" t="n"/>
      <c r="G34" s="25" t="n"/>
      <c r="H34" s="25" t="n"/>
      <c r="I34" s="26" t="n"/>
    </row>
    <row r="35" ht="20" customHeight="1">
      <c r="A35" s="10" t="inlineStr">
        <is>
          <t>V. Special Interactions &amp; Rewards</t>
        </is>
      </c>
      <c r="B35" s="25" t="n"/>
      <c r="C35" s="25" t="n"/>
      <c r="D35" s="25" t="n"/>
      <c r="E35" s="25" t="n"/>
      <c r="F35" s="25" t="n"/>
      <c r="G35" s="25" t="n"/>
      <c r="H35" s="25" t="n"/>
      <c r="I35" s="26" t="n"/>
    </row>
    <row r="36" ht="46" customHeight="1">
      <c r="A36" s="12" t="inlineStr">
        <is>
          <t>Special Rule</t>
        </is>
      </c>
      <c r="B36" s="26" t="n"/>
      <c r="C36" s="18" t="inlineStr">
        <is>
          <t>After S6 she becomes the Killer avatar "The Silent One (SIL)" and uses the Enemy Character Sheet (see Enemy Character SheetCollection.xlsx). If the S6 Player chooses "shout her Name," she returns as an Echo Companion from S7 onward (see 8-9 Echo: Hilda).</t>
        </is>
      </c>
      <c r="D36" s="25" t="n"/>
      <c r="E36" s="25" t="n"/>
      <c r="F36" s="25" t="n"/>
      <c r="G36" s="25" t="n"/>
      <c r="H36" s="25" t="n"/>
      <c r="I36" s="26" t="n"/>
    </row>
    <row r="37" ht="30" customHeight="1">
      <c r="A37" s="12" t="inlineStr">
        <is>
          <t>Hope Point (HOP) / Campfire Ember reward</t>
        </is>
      </c>
      <c r="B37" s="25" t="n"/>
      <c r="C37" s="26" t="n"/>
      <c r="D37" s="6" t="inlineStr">
        <is>
          <t>S1–S5 each time the Player voluntarily interacts with her: accumulate 1 point of "Bond Count." Each point lowers the S6 name-shout check by −1 Difficulty Class (DC).</t>
        </is>
      </c>
      <c r="E37" s="25" t="n"/>
      <c r="F37" s="25" t="n"/>
      <c r="G37" s="25" t="n"/>
      <c r="H37" s="25" t="n"/>
      <c r="I37" s="26" t="n"/>
    </row>
    <row r="38" ht="20" customHeight="1">
      <c r="A38" s="10" t="inlineStr">
        <is>
          <t>VI. GM Running Notes</t>
        </is>
      </c>
      <c r="B38" s="25" t="n"/>
      <c r="C38" s="25" t="n"/>
      <c r="D38" s="25" t="n"/>
      <c r="E38" s="25" t="n"/>
      <c r="F38" s="25" t="n"/>
      <c r="G38" s="25" t="n"/>
      <c r="H38" s="25" t="n"/>
      <c r="I38" s="26" t="n"/>
    </row>
    <row r="39" ht="52" customHeight="1">
      <c r="A39" s="18" t="inlineStr">
        <is>
          <t>Hilda's effect depends entirely on the foreshadowing. From S1, give her one or two lines at every Campfire scene. Let her bandage the Player, let her say "next time will be fine" when the Player Fails. If the Player feels no heartache at S6, that is the GM's failure, not a design failure.</t>
        </is>
      </c>
      <c r="B39" s="25" t="n"/>
      <c r="C39" s="25" t="n"/>
      <c r="D39" s="25" t="n"/>
      <c r="E39" s="25" t="n"/>
      <c r="F39" s="25" t="n"/>
      <c r="G39" s="25" t="n"/>
      <c r="H39" s="25" t="n"/>
      <c r="I39" s="26" t="n"/>
    </row>
    <row r="40" ht="20" customHeight="1">
      <c r="A40" s="10" t="inlineStr">
        <is>
          <t>VII. In-Trial Tracker (reusable)</t>
        </is>
      </c>
      <c r="B40" s="25" t="n"/>
      <c r="C40" s="25" t="n"/>
      <c r="D40" s="25" t="n"/>
      <c r="E40" s="25" t="n"/>
      <c r="F40" s="25" t="n"/>
      <c r="G40" s="25" t="n"/>
      <c r="H40" s="25" t="n"/>
      <c r="I40" s="26" t="n"/>
    </row>
    <row r="41">
      <c r="A41" s="12" t="inlineStr">
        <is>
          <t>Health State (HS)</t>
        </is>
      </c>
      <c r="B41" s="26" t="n"/>
      <c r="C41" s="5" t="inlineStr">
        <is>
          <t>Healthy</t>
        </is>
      </c>
      <c r="D41" s="5" t="inlineStr">
        <is>
          <t>Injured</t>
        </is>
      </c>
      <c r="E41" s="5" t="inlineStr">
        <is>
          <t>Dying</t>
        </is>
      </c>
      <c r="F41" s="12" t="inlineStr">
        <is>
          <t>Hook Phase</t>
        </is>
      </c>
      <c r="G41" s="26" t="n"/>
      <c r="H41" s="5" t="inlineStr">
        <is>
          <t>I (Wiggle)</t>
        </is>
      </c>
      <c r="I41" s="5" t="inlineStr">
        <is>
          <t>II (Sacrifice)</t>
        </is>
      </c>
    </row>
    <row r="42">
      <c r="A42" s="5" t="inlineStr">
        <is>
          <t>Check current state</t>
        </is>
      </c>
      <c r="B42" s="26" t="n"/>
      <c r="C42" s="8" t="inlineStr">
        <is>
          <t>☐</t>
        </is>
      </c>
      <c r="D42" s="8" t="inlineStr">
        <is>
          <t>☐</t>
        </is>
      </c>
      <c r="E42" s="8" t="inlineStr">
        <is>
          <t>☐</t>
        </is>
      </c>
      <c r="F42" s="5" t="inlineStr">
        <is>
          <t>Check</t>
        </is>
      </c>
      <c r="G42" s="26" t="n"/>
      <c r="H42" s="8" t="inlineStr">
        <is>
          <t>☐</t>
        </is>
      </c>
      <c r="I42" s="8" t="inlineStr">
        <is>
          <t>☐</t>
        </is>
      </c>
    </row>
    <row r="43">
      <c r="A43" s="12" t="inlineStr">
        <is>
          <t>Current Status Effect</t>
        </is>
      </c>
      <c r="B43" s="26" t="n"/>
      <c r="C43" s="6" t="n"/>
      <c r="D43" s="25" t="n"/>
      <c r="E43" s="25" t="n"/>
      <c r="F43" s="25" t="n"/>
      <c r="G43" s="25" t="n"/>
      <c r="H43" s="25" t="n"/>
      <c r="I43" s="26" t="n"/>
    </row>
    <row r="44" ht="40" customHeight="1">
      <c r="A44" s="12" t="inlineStr">
        <is>
          <t>Notes</t>
        </is>
      </c>
      <c r="B44" s="26" t="n"/>
      <c r="C44" s="18" t="n"/>
      <c r="D44" s="25" t="n"/>
      <c r="E44" s="25" t="n"/>
      <c r="F44" s="25" t="n"/>
      <c r="G44" s="25" t="n"/>
      <c r="H44" s="25" t="n"/>
      <c r="I44" s="26" t="n"/>
    </row>
  </sheetData>
  <mergeCells count="82">
    <mergeCell ref="C36:I36"/>
    <mergeCell ref="A7:I7"/>
    <mergeCell ref="D20:E20"/>
    <mergeCell ref="A37:C37"/>
    <mergeCell ref="E5:I5"/>
    <mergeCell ref="A21:C21"/>
    <mergeCell ref="D22:E22"/>
    <mergeCell ref="B28:D28"/>
    <mergeCell ref="A41:B41"/>
    <mergeCell ref="F16:I16"/>
    <mergeCell ref="A35:I35"/>
    <mergeCell ref="A33:B33"/>
    <mergeCell ref="A42:B42"/>
    <mergeCell ref="A39:I39"/>
    <mergeCell ref="E26:I26"/>
    <mergeCell ref="A30:I30"/>
    <mergeCell ref="C31:I31"/>
    <mergeCell ref="A6:C6"/>
    <mergeCell ref="E25:I25"/>
    <mergeCell ref="A2:C5"/>
    <mergeCell ref="D6:I6"/>
    <mergeCell ref="A9:B9"/>
    <mergeCell ref="E3:F3"/>
    <mergeCell ref="F13:I13"/>
    <mergeCell ref="D19:E19"/>
    <mergeCell ref="A11:B11"/>
    <mergeCell ref="E4:F4"/>
    <mergeCell ref="E28:I28"/>
    <mergeCell ref="C34:I34"/>
    <mergeCell ref="F42:G42"/>
    <mergeCell ref="F19:I19"/>
    <mergeCell ref="F20:I20"/>
    <mergeCell ref="A8:B8"/>
    <mergeCell ref="H3:I3"/>
    <mergeCell ref="C44:I44"/>
    <mergeCell ref="F17:I17"/>
    <mergeCell ref="A10:B10"/>
    <mergeCell ref="A1:I1"/>
    <mergeCell ref="A16:C16"/>
    <mergeCell ref="A34:B34"/>
    <mergeCell ref="F9:I9"/>
    <mergeCell ref="A18:C18"/>
    <mergeCell ref="A36:B36"/>
    <mergeCell ref="C32:I32"/>
    <mergeCell ref="A14:I14"/>
    <mergeCell ref="A22:C22"/>
    <mergeCell ref="A23:I23"/>
    <mergeCell ref="C33:I33"/>
    <mergeCell ref="D17:E17"/>
    <mergeCell ref="F10:I10"/>
    <mergeCell ref="A20:C20"/>
    <mergeCell ref="A38:I38"/>
    <mergeCell ref="A12:B12"/>
    <mergeCell ref="E2:I2"/>
    <mergeCell ref="A32:B32"/>
    <mergeCell ref="A40:I40"/>
    <mergeCell ref="B25:D25"/>
    <mergeCell ref="A24:I24"/>
    <mergeCell ref="F18:I18"/>
    <mergeCell ref="A43:B43"/>
    <mergeCell ref="F8:I8"/>
    <mergeCell ref="F22:I22"/>
    <mergeCell ref="H4:I4"/>
    <mergeCell ref="D21:E21"/>
    <mergeCell ref="D37:I37"/>
    <mergeCell ref="F11:I11"/>
    <mergeCell ref="A17:C17"/>
    <mergeCell ref="F41:G41"/>
    <mergeCell ref="A29:I29"/>
    <mergeCell ref="D16:E16"/>
    <mergeCell ref="A19:C19"/>
    <mergeCell ref="F12:I12"/>
    <mergeCell ref="B26:D26"/>
    <mergeCell ref="F21:I21"/>
    <mergeCell ref="E27:I27"/>
    <mergeCell ref="D18:E18"/>
    <mergeCell ref="A15:I15"/>
    <mergeCell ref="C43:I43"/>
    <mergeCell ref="B27:D27"/>
    <mergeCell ref="A13:B13"/>
    <mergeCell ref="A44:B44"/>
    <mergeCell ref="A31:B31"/>
  </mergeCells>
  <dataValidations count="2">
    <dataValidation sqref="E3:F3" showDropDown="0" showInputMessage="0" showErrorMessage="0" allowBlank="1" type="list">
      <formula1>"營火同伴,回聲同伴,低語者,殘影,觀察者,特殊存在"</formula1>
    </dataValidation>
    <dataValidation sqref="C9:C13" showDropDown="0" showInputMessage="0" showErrorMessage="0" allowBlank="1" type="list">
      <formula1>"極高,高,中,低,極低,不適用"</formula1>
    </dataValidation>
  </dataValidations>
  <printOptions horizontalCentered="1"/>
  <pageMargins left="0.75" right="0.75" top="1" bottom="1" header="0.5" footer="0.5"/>
  <pageSetup orientation="portrait" fitToHeight="0" fitToWidth="1"/>
</worksheet>
</file>

<file path=xl/worksheets/sheet5.xml><?xml version="1.0" encoding="utf-8"?>
<worksheet xmlns="http://schemas.openxmlformats.org/spreadsheetml/2006/main">
  <sheetPr>
    <outlinePr summaryBelow="1" summaryRight="1"/>
    <pageSetUpPr fitToPage="1"/>
  </sheetPr>
  <dimension ref="A1:I44"/>
  <sheetViews>
    <sheetView workbookViewId="0">
      <pane ySplit="6" topLeftCell="A7" activePane="bottomLeft" state="frozen"/>
      <selection pane="bottomLeft" activeCell="A1" sqref="A1"/>
    </sheetView>
  </sheetViews>
  <sheetFormatPr baseColWidth="8" defaultRowHeight="15"/>
  <cols>
    <col width="11" customWidth="1" min="1" max="1"/>
    <col width="11" customWidth="1" min="2" max="2"/>
    <col width="11" customWidth="1" min="3" max="3"/>
    <col width="13" customWidth="1" min="4" max="4"/>
    <col width="13" customWidth="1" min="5" max="5"/>
    <col width="12" customWidth="1" min="6" max="6"/>
    <col width="12" customWidth="1" min="7" max="7"/>
    <col width="13" customWidth="1" min="8" max="8"/>
    <col width="13" customWidth="1" min="9" max="9"/>
  </cols>
  <sheetData>
    <row r="1" ht="28" customHeight="1">
      <c r="A1" s="1" t="inlineStr">
        <is>
          <t>Dead by Daylight TRPG　Non-Player Character (NPC) Card　·　Full Type</t>
        </is>
      </c>
      <c r="B1" s="21" t="n"/>
      <c r="C1" s="21" t="n"/>
      <c r="D1" s="21" t="n"/>
      <c r="E1" s="21" t="n"/>
      <c r="F1" s="21" t="n"/>
      <c r="G1" s="21" t="n"/>
      <c r="H1" s="21" t="n"/>
      <c r="I1" s="22" t="n"/>
    </row>
    <row r="2">
      <c r="A2" s="3" t="inlineStr">
        <is>
          <t>Character Art
(Paste character image here)</t>
        </is>
      </c>
      <c r="B2" s="23" t="n"/>
      <c r="C2" s="24" t="n"/>
      <c r="D2" s="5" t="inlineStr">
        <is>
          <t>Name</t>
        </is>
      </c>
      <c r="E2" s="6" t="inlineStr">
        <is>
          <t>Teo Blanca</t>
        </is>
      </c>
      <c r="F2" s="25" t="n"/>
      <c r="G2" s="25" t="n"/>
      <c r="H2" s="25" t="n"/>
      <c r="I2" s="26" t="n"/>
    </row>
    <row r="3">
      <c r="A3" s="27" t="n"/>
      <c r="C3" s="28" t="n"/>
      <c r="D3" s="5" t="inlineStr">
        <is>
          <t>NPC Type</t>
        </is>
      </c>
      <c r="E3" s="8" t="inlineStr">
        <is>
          <t>Campfire Companion</t>
        </is>
      </c>
      <c r="F3" s="26" t="n"/>
      <c r="G3" s="5" t="inlineStr">
        <is>
          <t>Role</t>
        </is>
      </c>
      <c r="H3" s="6" t="inlineStr">
        <is>
          <t>The newcomer. There is always a "newcomer."</t>
        </is>
      </c>
      <c r="I3" s="26" t="n"/>
    </row>
    <row r="4">
      <c r="A4" s="27" t="n"/>
      <c r="C4" s="28" t="n"/>
      <c r="D4" s="5" t="inlineStr">
        <is>
          <t>Prestige (PRS)</t>
        </is>
      </c>
      <c r="E4" s="8" t="n">
        <v>1</v>
      </c>
      <c r="F4" s="26" t="n"/>
      <c r="G4" s="5" t="inlineStr">
        <is>
          <t>First Appearance</t>
        </is>
      </c>
      <c r="H4" s="8" t="inlineStr">
        <is>
          <t>S1</t>
        </is>
      </c>
      <c r="I4" s="26" t="n"/>
    </row>
    <row r="5">
      <c r="A5" s="29" t="n"/>
      <c r="B5" s="30" t="n"/>
      <c r="C5" s="31" t="n"/>
      <c r="D5" s="5" t="inlineStr">
        <is>
          <t>Affiliated Realm / Location</t>
        </is>
      </c>
      <c r="E5" s="6" t="inlineStr">
        <is>
          <t>Campfire</t>
        </is>
      </c>
      <c r="F5" s="25" t="n"/>
      <c r="G5" s="25" t="n"/>
      <c r="H5" s="25" t="n"/>
      <c r="I5" s="26" t="n"/>
    </row>
    <row r="6" ht="32" customHeight="1">
      <c r="A6" s="5" t="inlineStr">
        <is>
          <t>Appearance</t>
        </is>
      </c>
      <c r="B6" s="25" t="n"/>
      <c r="C6" s="26" t="n"/>
      <c r="D6" s="6" t="inlineStr">
        <is>
          <t>A different person each scenario. The GM should describe a different newcomer every time.</t>
        </is>
      </c>
      <c r="E6" s="25" t="n"/>
      <c r="F6" s="25" t="n"/>
      <c r="G6" s="25" t="n"/>
      <c r="H6" s="25" t="n"/>
      <c r="I6" s="26" t="n"/>
    </row>
    <row r="7" ht="20" customHeight="1">
      <c r="A7" s="10" t="inlineStr">
        <is>
          <t>I. Attributes (Five-Attribute Frame)</t>
        </is>
      </c>
      <c r="B7" s="25" t="n"/>
      <c r="C7" s="25" t="n"/>
      <c r="D7" s="25" t="n"/>
      <c r="E7" s="25" t="n"/>
      <c r="F7" s="25" t="n"/>
      <c r="G7" s="25" t="n"/>
      <c r="H7" s="25" t="n"/>
      <c r="I7" s="26" t="n"/>
    </row>
    <row r="8" ht="28" customHeight="1">
      <c r="A8" s="5" t="inlineStr">
        <is>
          <t>Attribute</t>
        </is>
      </c>
      <c r="B8" s="26" t="n"/>
      <c r="C8" s="5" t="inlineStr">
        <is>
          <t>Tendency</t>
        </is>
      </c>
      <c r="D8" s="5" t="inlineStr">
        <is>
          <t>Attribute Value
(1–10)</t>
        </is>
      </c>
      <c r="E8" s="5" t="inlineStr">
        <is>
          <t>Attribute Bonus (AB)</t>
        </is>
      </c>
      <c r="F8" s="5" t="inlineStr">
        <is>
          <t>Notes</t>
        </is>
      </c>
      <c r="G8" s="25" t="n"/>
      <c r="H8" s="25" t="n"/>
      <c r="I8" s="26" t="n"/>
    </row>
    <row r="9">
      <c r="A9" s="12" t="inlineStr">
        <is>
          <t>Agility (AGI)</t>
        </is>
      </c>
      <c r="B9" s="26" t="n"/>
      <c r="C9" s="8" t="inlineStr">
        <is>
          <t>Low</t>
        </is>
      </c>
      <c r="D9" s="8" t="n">
        <v>3</v>
      </c>
      <c r="E9" s="14">
        <f>IF(D9="","",INT(D9/2))</f>
        <v/>
      </c>
      <c r="F9" s="6" t="n"/>
      <c r="G9" s="25" t="n"/>
      <c r="H9" s="25" t="n"/>
      <c r="I9" s="26" t="n"/>
    </row>
    <row r="10">
      <c r="A10" s="12" t="inlineStr">
        <is>
          <t>Technique (TEC)</t>
        </is>
      </c>
      <c r="B10" s="26" t="n"/>
      <c r="C10" s="8" t="inlineStr">
        <is>
          <t>Low</t>
        </is>
      </c>
      <c r="D10" s="8" t="n">
        <v>3</v>
      </c>
      <c r="E10" s="14">
        <f>IF(D10="","",INT(D10/2))</f>
        <v/>
      </c>
      <c r="F10" s="6" t="n"/>
      <c r="G10" s="25" t="n"/>
      <c r="H10" s="25" t="n"/>
      <c r="I10" s="26" t="n"/>
    </row>
    <row r="11">
      <c r="A11" s="12" t="inlineStr">
        <is>
          <t>Stealth (STL)</t>
        </is>
      </c>
      <c r="B11" s="26" t="n"/>
      <c r="C11" s="8" t="inlineStr">
        <is>
          <t>Low</t>
        </is>
      </c>
      <c r="D11" s="8" t="n">
        <v>3</v>
      </c>
      <c r="E11" s="14">
        <f>IF(D11="","",INT(D11/2))</f>
        <v/>
      </c>
      <c r="F11" s="6" t="n"/>
      <c r="G11" s="25" t="n"/>
      <c r="H11" s="25" t="n"/>
      <c r="I11" s="26" t="n"/>
    </row>
    <row r="12">
      <c r="A12" s="12" t="inlineStr">
        <is>
          <t>Focus (FOC)</t>
        </is>
      </c>
      <c r="B12" s="26" t="n"/>
      <c r="C12" s="8" t="inlineStr">
        <is>
          <t>Low</t>
        </is>
      </c>
      <c r="D12" s="8" t="n">
        <v>3</v>
      </c>
      <c r="E12" s="14">
        <f>IF(D12="","",INT(D12/2))</f>
        <v/>
      </c>
      <c r="F12" s="6" t="n"/>
      <c r="G12" s="25" t="n"/>
      <c r="H12" s="25" t="n"/>
      <c r="I12" s="26" t="n"/>
    </row>
    <row r="13">
      <c r="A13" s="12" t="inlineStr">
        <is>
          <t>Will (WIL)</t>
        </is>
      </c>
      <c r="B13" s="26" t="n"/>
      <c r="C13" s="8" t="inlineStr">
        <is>
          <t>Low</t>
        </is>
      </c>
      <c r="D13" s="8" t="n">
        <v>3</v>
      </c>
      <c r="E13" s="14">
        <f>IF(D13="","",INT(D13/2))</f>
        <v/>
      </c>
      <c r="F13" s="6" t="n"/>
      <c r="G13" s="25" t="n"/>
      <c r="H13" s="25" t="n"/>
      <c r="I13" s="26" t="n"/>
    </row>
    <row r="14">
      <c r="A14" s="15" t="inlineStr">
        <is>
          <t>Attribute Bonus (AB) = INT(Attribute Value ÷ 2), auto-calculated. 'Tendency' is a narrative-scale relative description; 'Attribute Value' is filled by the GM per Prestige (PRS). For insubstantial NPCs (e.g. Whisperer), leave Attribute Value blank.</t>
        </is>
      </c>
      <c r="B14" s="25" t="n"/>
      <c r="C14" s="25" t="n"/>
      <c r="D14" s="25" t="n"/>
      <c r="E14" s="25" t="n"/>
      <c r="F14" s="25" t="n"/>
      <c r="G14" s="25" t="n"/>
      <c r="H14" s="25" t="n"/>
      <c r="I14" s="26" t="n"/>
    </row>
    <row r="15" ht="20" customHeight="1">
      <c r="A15" s="10" t="inlineStr">
        <is>
          <t>II. Derived Values (auto-calculated)</t>
        </is>
      </c>
      <c r="B15" s="25" t="n"/>
      <c r="C15" s="25" t="n"/>
      <c r="D15" s="25" t="n"/>
      <c r="E15" s="25" t="n"/>
      <c r="F15" s="25" t="n"/>
      <c r="G15" s="25" t="n"/>
      <c r="H15" s="25" t="n"/>
      <c r="I15" s="26" t="n"/>
    </row>
    <row r="16">
      <c r="A16" s="12" t="inlineStr">
        <is>
          <t>HP (HP) Cap</t>
        </is>
      </c>
      <c r="B16" s="25" t="n"/>
      <c r="C16" s="26" t="n"/>
      <c r="D16" s="14">
        <f>IF(D13="","—",8+2*D13+IF($E$4="",0,$E$4))</f>
        <v/>
      </c>
      <c r="E16" s="26" t="n"/>
      <c r="F16" s="6" t="inlineStr">
        <is>
          <t>8 + 2×Will (WIL) + Prestige (PRS)</t>
        </is>
      </c>
      <c r="G16" s="25" t="n"/>
      <c r="H16" s="25" t="n"/>
      <c r="I16" s="26" t="n"/>
    </row>
    <row r="17">
      <c r="A17" s="12" t="inlineStr">
        <is>
          <t>Health State (HS) Cap</t>
        </is>
      </c>
      <c r="B17" s="25" t="n"/>
      <c r="C17" s="26" t="n"/>
      <c r="D17" s="14">
        <f>IF($E$3="Echo Companion",3,IF($E$3="Whisperer","—",2))</f>
        <v/>
      </c>
      <c r="E17" s="26" t="n"/>
      <c r="F17" s="6" t="inlineStr">
        <is>
          <t>Healthy→Injured→Dying. Echo Companion uses three-stage tracking.</t>
        </is>
      </c>
      <c r="G17" s="25" t="n"/>
      <c r="H17" s="25" t="n"/>
      <c r="I17" s="26" t="n"/>
    </row>
    <row r="18">
      <c r="A18" s="12" t="inlineStr">
        <is>
          <t>Action Point (AP) / round</t>
        </is>
      </c>
      <c r="B18" s="25" t="n"/>
      <c r="C18" s="26" t="n"/>
      <c r="D18" s="14">
        <f>IF($E$3="Echo Companion",1,IF($E$3="Whisperer",0,4))</f>
        <v/>
      </c>
      <c r="E18" s="26" t="n"/>
      <c r="F18" s="6" t="inlineStr">
        <is>
          <t>Echo Companion fixed at 1; Whisperer takes no action.</t>
        </is>
      </c>
      <c r="G18" s="25" t="n"/>
      <c r="H18" s="25" t="n"/>
      <c r="I18" s="26" t="n"/>
    </row>
    <row r="19">
      <c r="A19" s="12" t="inlineStr">
        <is>
          <t>Move (MOV) / round</t>
        </is>
      </c>
      <c r="B19" s="25" t="n"/>
      <c r="C19" s="26" t="n"/>
      <c r="D19" s="14">
        <f>IF(D9="","—",6+INT(D9/2))</f>
        <v/>
      </c>
      <c r="E19" s="26" t="n"/>
      <c r="F19" s="6" t="inlineStr">
        <is>
          <t>6 + INT(Agility (AGI) ÷ 2). 1 cell = 2 meters</t>
        </is>
      </c>
      <c r="G19" s="25" t="n"/>
      <c r="H19" s="25" t="n"/>
      <c r="I19" s="26" t="n"/>
    </row>
    <row r="20">
      <c r="A20" s="12" t="inlineStr">
        <is>
          <t>Repair Progress (Progress Point / round)</t>
        </is>
      </c>
      <c r="B20" s="25" t="n"/>
      <c r="C20" s="26" t="n"/>
      <c r="D20" s="14">
        <f>IF($E$3="Echo Companion",1,IF(D10="","—",INT(D10/2)))</f>
        <v/>
      </c>
      <c r="E20" s="26" t="n"/>
      <c r="F20" s="6" t="inlineStr">
        <is>
          <t>Echo Companion fixed +1 progress point (50% efficiency)</t>
        </is>
      </c>
      <c r="G20" s="25" t="n"/>
      <c r="H20" s="25" t="n"/>
      <c r="I20" s="26" t="n"/>
    </row>
    <row r="21">
      <c r="A21" s="12" t="inlineStr">
        <is>
          <t>Heal Progress (per round)</t>
        </is>
      </c>
      <c r="B21" s="25" t="n"/>
      <c r="C21" s="26" t="n"/>
      <c r="D21" s="14">
        <f>IF($E$3="Echo Companion",2,IF(D12="","—",INT(D12/2)+2))</f>
        <v/>
      </c>
      <c r="E21" s="26" t="n"/>
      <c r="F21" s="6" t="inlineStr">
        <is>
          <t>Echo Companion fixed +2, and cannot heal itself</t>
        </is>
      </c>
      <c r="G21" s="25" t="n"/>
      <c r="H21" s="25" t="n"/>
      <c r="I21" s="26" t="n"/>
    </row>
    <row r="22">
      <c r="A22" s="12" t="inlineStr">
        <is>
          <t>Passive Awareness Difficulty Class (DC)</t>
        </is>
      </c>
      <c r="B22" s="25" t="n"/>
      <c r="C22" s="26" t="n"/>
      <c r="D22" s="14">
        <f>IF(D12="","—",8+INT(D12/2))</f>
        <v/>
      </c>
      <c r="E22" s="26" t="n"/>
      <c r="F22" s="6" t="inlineStr">
        <is>
          <t>The target value for the Killer or other characters to notice this NPC</t>
        </is>
      </c>
      <c r="G22" s="25" t="n"/>
      <c r="H22" s="25" t="n"/>
      <c r="I22" s="26" t="n"/>
    </row>
    <row r="23" ht="20" customHeight="1">
      <c r="A23" s="10" t="inlineStr">
        <is>
          <t>III. Echo Companion exclusive: three-line behavior table</t>
        </is>
      </c>
      <c r="B23" s="25" t="n"/>
      <c r="C23" s="25" t="n"/>
      <c r="D23" s="25" t="n"/>
      <c r="E23" s="25" t="n"/>
      <c r="F23" s="25" t="n"/>
      <c r="G23" s="25" t="n"/>
      <c r="H23" s="25" t="n"/>
      <c r="I23" s="26" t="n"/>
    </row>
    <row r="24">
      <c r="A24" s="15" t="inlineStr">
        <is>
          <t>Used only when 'NPC Type = Echo Companion'. The GM checks top-to-bottom each round; the first condition met is the Echo Companion's action that round. No roleplay, no voice; one line per round.</t>
        </is>
      </c>
      <c r="B24" s="25" t="n"/>
      <c r="C24" s="25" t="n"/>
      <c r="D24" s="25" t="n"/>
      <c r="E24" s="25" t="n"/>
      <c r="F24" s="25" t="n"/>
      <c r="G24" s="25" t="n"/>
      <c r="H24" s="25" t="n"/>
      <c r="I24" s="26" t="n"/>
    </row>
    <row r="25">
      <c r="A25" s="5" t="inlineStr">
        <is>
          <t>No.</t>
        </is>
      </c>
      <c r="B25" s="5" t="inlineStr">
        <is>
          <t>Condition</t>
        </is>
      </c>
      <c r="C25" s="25" t="n"/>
      <c r="D25" s="26" t="n"/>
      <c r="E25" s="5" t="inlineStr">
        <is>
          <t>Action</t>
        </is>
      </c>
      <c r="F25" s="25" t="n"/>
      <c r="G25" s="25" t="n"/>
      <c r="H25" s="25" t="n"/>
      <c r="I25" s="26" t="n"/>
    </row>
    <row r="26" ht="30" customHeight="1">
      <c r="A26" s="12" t="inlineStr">
        <is>
          <t>①</t>
        </is>
      </c>
      <c r="B26" s="6" t="inlineStr">
        <is>
          <t>A Survivor is Hooked and this NPC can arrive within 2 rounds</t>
        </is>
      </c>
      <c r="C26" s="25" t="n"/>
      <c r="D26" s="26" t="n"/>
      <c r="E26" s="6" t="inlineStr">
        <is>
          <t>Go to rescue. On arrival, spend 1 Action Point (AP) to unhook, 100% success (no check).</t>
        </is>
      </c>
      <c r="F26" s="25" t="n"/>
      <c r="G26" s="25" t="n"/>
      <c r="H26" s="25" t="n"/>
      <c r="I26" s="26" t="n"/>
    </row>
    <row r="27" ht="30" customHeight="1">
      <c r="A27" s="12" t="inlineStr">
        <is>
          <t>②</t>
        </is>
      </c>
      <c r="B27" s="6" t="inlineStr">
        <is>
          <t>Self is Injured or Dying, or Killer is within 4 cells</t>
        </is>
      </c>
      <c r="C27" s="25" t="n"/>
      <c r="D27" s="26" t="n"/>
      <c r="E27" s="6" t="inlineStr">
        <is>
          <t>Self-preserve. Move away from Killer, prefer entering a Locker or cover; when Dying, crawl in place.</t>
        </is>
      </c>
      <c r="F27" s="25" t="n"/>
      <c r="G27" s="25" t="n"/>
      <c r="H27" s="25" t="n"/>
      <c r="I27" s="26" t="n"/>
    </row>
    <row r="28" ht="30" customHeight="1">
      <c r="A28" s="12" t="inlineStr">
        <is>
          <t>③</t>
        </is>
      </c>
      <c r="B28" s="6" t="inlineStr">
        <is>
          <t>None of the above holds</t>
        </is>
      </c>
      <c r="C28" s="25" t="n"/>
      <c r="D28" s="26" t="n"/>
      <c r="E28" s="6" t="inlineStr">
        <is>
          <t>Go to the nearest unfinished Generator and repair; +1 progress point per round.</t>
        </is>
      </c>
      <c r="F28" s="25" t="n"/>
      <c r="G28" s="25" t="n"/>
      <c r="H28" s="25" t="n"/>
      <c r="I28" s="26" t="n"/>
    </row>
    <row r="29">
      <c r="A29" s="15" t="inlineStr">
        <is>
          <t>Echo Companion limits: cannot self-unhook, cannot heal itself, cannot use items, cannot trade with Whisperer. Once hooked, it stalls a fixed 3 rounds before advancing to the next hook phase (Echo Stall). Count = MAX(0, 3 − Survivor player count N).</t>
        </is>
      </c>
      <c r="B29" s="25" t="n"/>
      <c r="C29" s="25" t="n"/>
      <c r="D29" s="25" t="n"/>
      <c r="E29" s="25" t="n"/>
      <c r="F29" s="25" t="n"/>
      <c r="G29" s="25" t="n"/>
      <c r="H29" s="25" t="n"/>
      <c r="I29" s="26" t="n"/>
    </row>
    <row r="30" ht="20" customHeight="1">
      <c r="A30" s="10" t="inlineStr">
        <is>
          <t>IV. Narrative Data</t>
        </is>
      </c>
      <c r="B30" s="25" t="n"/>
      <c r="C30" s="25" t="n"/>
      <c r="D30" s="25" t="n"/>
      <c r="E30" s="25" t="n"/>
      <c r="F30" s="25" t="n"/>
      <c r="G30" s="25" t="n"/>
      <c r="H30" s="25" t="n"/>
      <c r="I30" s="26" t="n"/>
    </row>
    <row r="31" ht="30" customHeight="1">
      <c r="A31" s="12" t="inlineStr">
        <is>
          <t>Motivation</t>
        </is>
      </c>
      <c r="B31" s="26" t="n"/>
      <c r="C31" s="18" t="inlineStr">
        <is>
          <t>Get out. He still believes he can get out.</t>
        </is>
      </c>
      <c r="D31" s="25" t="n"/>
      <c r="E31" s="25" t="n"/>
      <c r="F31" s="25" t="n"/>
      <c r="G31" s="25" t="n"/>
      <c r="H31" s="25" t="n"/>
      <c r="I31" s="26" t="n"/>
    </row>
    <row r="32" ht="46" customHeight="1">
      <c r="A32" s="12" t="inlineStr">
        <is>
          <t>Background</t>
        </is>
      </c>
      <c r="B32" s="26" t="n"/>
      <c r="C32" s="18" t="inlineStr">
        <is>
          <t>"Teo Blanca" is not a person; it is a position. Each time someone is Sacrificed, thrown into the Void, or Reforged, a new person wakes by the Campfire. The others subconsciously call him Teo, because they can no longer remember the new Name.</t>
        </is>
      </c>
      <c r="D32" s="25" t="n"/>
      <c r="E32" s="25" t="n"/>
      <c r="F32" s="25" t="n"/>
      <c r="G32" s="25" t="n"/>
      <c r="H32" s="25" t="n"/>
      <c r="I32" s="26" t="n"/>
    </row>
    <row r="33" ht="40" customHeight="1">
      <c r="A33" s="12" t="inlineStr">
        <is>
          <t>Role in Main Plot</t>
        </is>
      </c>
      <c r="B33" s="26" t="n"/>
      <c r="C33" s="18" t="inlineStr">
        <is>
          <t>An emotional thermometer. How the Player treats Teo reflects their own state. In the S8 "Dying Ember" finale, the last newcomer is Teo.</t>
        </is>
      </c>
      <c r="D33" s="25" t="n"/>
      <c r="E33" s="25" t="n"/>
      <c r="F33" s="25" t="n"/>
      <c r="G33" s="25" t="n"/>
      <c r="H33" s="25" t="n"/>
      <c r="I33" s="26" t="n"/>
    </row>
    <row r="34" ht="34" customHeight="1">
      <c r="A34" s="12" t="inlineStr">
        <is>
          <t>Signature Line</t>
        </is>
      </c>
      <c r="B34" s="26" t="n"/>
      <c r="C34" s="18" t="inlineStr">
        <is>
          <t>"How are we going to get out?"</t>
        </is>
      </c>
      <c r="D34" s="25" t="n"/>
      <c r="E34" s="25" t="n"/>
      <c r="F34" s="25" t="n"/>
      <c r="G34" s="25" t="n"/>
      <c r="H34" s="25" t="n"/>
      <c r="I34" s="26" t="n"/>
    </row>
    <row r="35" ht="20" customHeight="1">
      <c r="A35" s="10" t="inlineStr">
        <is>
          <t>V. Special Interactions &amp; Rewards</t>
        </is>
      </c>
      <c r="B35" s="25" t="n"/>
      <c r="C35" s="25" t="n"/>
      <c r="D35" s="25" t="n"/>
      <c r="E35" s="25" t="n"/>
      <c r="F35" s="25" t="n"/>
      <c r="G35" s="25" t="n"/>
      <c r="H35" s="25" t="n"/>
      <c r="I35" s="26" t="n"/>
    </row>
    <row r="36" ht="46" customHeight="1">
      <c r="A36" s="12" t="inlineStr">
        <is>
          <t>Special Rule</t>
        </is>
      </c>
      <c r="B36" s="26" t="n"/>
      <c r="C36" s="18" t="inlineStr">
        <is>
          <t>At the start of each scenario Teo is a different person. If the Player remembers and uses his "True Name" in that scenario, the whole team gains +1 Hope Point (HOP) cap for that scenario.</t>
        </is>
      </c>
      <c r="D36" s="25" t="n"/>
      <c r="E36" s="25" t="n"/>
      <c r="F36" s="25" t="n"/>
      <c r="G36" s="25" t="n"/>
      <c r="H36" s="25" t="n"/>
      <c r="I36" s="26" t="n"/>
    </row>
    <row r="37" ht="30" customHeight="1">
      <c r="A37" s="12" t="inlineStr">
        <is>
          <t>Hope Point (HOP) / Campfire Ember reward</t>
        </is>
      </c>
      <c r="B37" s="25" t="n"/>
      <c r="C37" s="26" t="n"/>
      <c r="D37" s="6" t="inlineStr">
        <is>
          <t>If the Player still remembers to ask Teo's Name after the fifth scenario: +3 Campfire Embers.</t>
        </is>
      </c>
      <c r="E37" s="25" t="n"/>
      <c r="F37" s="25" t="n"/>
      <c r="G37" s="25" t="n"/>
      <c r="H37" s="25" t="n"/>
      <c r="I37" s="26" t="n"/>
    </row>
    <row r="38" ht="20" customHeight="1">
      <c r="A38" s="10" t="inlineStr">
        <is>
          <t>VI. GM Running Notes</t>
        </is>
      </c>
      <c r="B38" s="25" t="n"/>
      <c r="C38" s="25" t="n"/>
      <c r="D38" s="25" t="n"/>
      <c r="E38" s="25" t="n"/>
      <c r="F38" s="25" t="n"/>
      <c r="G38" s="25" t="n"/>
      <c r="H38" s="25" t="n"/>
      <c r="I38" s="26" t="n"/>
    </row>
    <row r="39" ht="52" customHeight="1">
      <c r="A39" s="18" t="inlineStr">
        <is>
          <t>He gives the "cycle" a human face. When the Player starts getting lazy about remembering Teo's Name in the fifth scenario — they have become what they most feared becoming. The GM should gently point this out at some moment.</t>
        </is>
      </c>
      <c r="B39" s="25" t="n"/>
      <c r="C39" s="25" t="n"/>
      <c r="D39" s="25" t="n"/>
      <c r="E39" s="25" t="n"/>
      <c r="F39" s="25" t="n"/>
      <c r="G39" s="25" t="n"/>
      <c r="H39" s="25" t="n"/>
      <c r="I39" s="26" t="n"/>
    </row>
    <row r="40" ht="20" customHeight="1">
      <c r="A40" s="10" t="inlineStr">
        <is>
          <t>VII. In-Trial Tracker (reusable)</t>
        </is>
      </c>
      <c r="B40" s="25" t="n"/>
      <c r="C40" s="25" t="n"/>
      <c r="D40" s="25" t="n"/>
      <c r="E40" s="25" t="n"/>
      <c r="F40" s="25" t="n"/>
      <c r="G40" s="25" t="n"/>
      <c r="H40" s="25" t="n"/>
      <c r="I40" s="26" t="n"/>
    </row>
    <row r="41">
      <c r="A41" s="12" t="inlineStr">
        <is>
          <t>Health State (HS)</t>
        </is>
      </c>
      <c r="B41" s="26" t="n"/>
      <c r="C41" s="5" t="inlineStr">
        <is>
          <t>Healthy</t>
        </is>
      </c>
      <c r="D41" s="5" t="inlineStr">
        <is>
          <t>Injured</t>
        </is>
      </c>
      <c r="E41" s="5" t="inlineStr">
        <is>
          <t>Dying</t>
        </is>
      </c>
      <c r="F41" s="12" t="inlineStr">
        <is>
          <t>Hook Phase</t>
        </is>
      </c>
      <c r="G41" s="26" t="n"/>
      <c r="H41" s="5" t="inlineStr">
        <is>
          <t>I (Wiggle)</t>
        </is>
      </c>
      <c r="I41" s="5" t="inlineStr">
        <is>
          <t>II (Sacrifice)</t>
        </is>
      </c>
    </row>
    <row r="42">
      <c r="A42" s="5" t="inlineStr">
        <is>
          <t>Check current state</t>
        </is>
      </c>
      <c r="B42" s="26" t="n"/>
      <c r="C42" s="8" t="inlineStr">
        <is>
          <t>☐</t>
        </is>
      </c>
      <c r="D42" s="8" t="inlineStr">
        <is>
          <t>☐</t>
        </is>
      </c>
      <c r="E42" s="8" t="inlineStr">
        <is>
          <t>☐</t>
        </is>
      </c>
      <c r="F42" s="5" t="inlineStr">
        <is>
          <t>Check</t>
        </is>
      </c>
      <c r="G42" s="26" t="n"/>
      <c r="H42" s="8" t="inlineStr">
        <is>
          <t>☐</t>
        </is>
      </c>
      <c r="I42" s="8" t="inlineStr">
        <is>
          <t>☐</t>
        </is>
      </c>
    </row>
    <row r="43">
      <c r="A43" s="12" t="inlineStr">
        <is>
          <t>Current Status Effect</t>
        </is>
      </c>
      <c r="B43" s="26" t="n"/>
      <c r="C43" s="6" t="n"/>
      <c r="D43" s="25" t="n"/>
      <c r="E43" s="25" t="n"/>
      <c r="F43" s="25" t="n"/>
      <c r="G43" s="25" t="n"/>
      <c r="H43" s="25" t="n"/>
      <c r="I43" s="26" t="n"/>
    </row>
    <row r="44" ht="40" customHeight="1">
      <c r="A44" s="12" t="inlineStr">
        <is>
          <t>Notes</t>
        </is>
      </c>
      <c r="B44" s="26" t="n"/>
      <c r="C44" s="18" t="n"/>
      <c r="D44" s="25" t="n"/>
      <c r="E44" s="25" t="n"/>
      <c r="F44" s="25" t="n"/>
      <c r="G44" s="25" t="n"/>
      <c r="H44" s="25" t="n"/>
      <c r="I44" s="26" t="n"/>
    </row>
  </sheetData>
  <mergeCells count="82">
    <mergeCell ref="C36:I36"/>
    <mergeCell ref="A7:I7"/>
    <mergeCell ref="D20:E20"/>
    <mergeCell ref="A37:C37"/>
    <mergeCell ref="E5:I5"/>
    <mergeCell ref="A21:C21"/>
    <mergeCell ref="D22:E22"/>
    <mergeCell ref="B28:D28"/>
    <mergeCell ref="A41:B41"/>
    <mergeCell ref="F16:I16"/>
    <mergeCell ref="A35:I35"/>
    <mergeCell ref="A33:B33"/>
    <mergeCell ref="A42:B42"/>
    <mergeCell ref="A39:I39"/>
    <mergeCell ref="E26:I26"/>
    <mergeCell ref="A30:I30"/>
    <mergeCell ref="C31:I31"/>
    <mergeCell ref="A6:C6"/>
    <mergeCell ref="E25:I25"/>
    <mergeCell ref="A2:C5"/>
    <mergeCell ref="D6:I6"/>
    <mergeCell ref="A9:B9"/>
    <mergeCell ref="E3:F3"/>
    <mergeCell ref="F13:I13"/>
    <mergeCell ref="D19:E19"/>
    <mergeCell ref="A11:B11"/>
    <mergeCell ref="E4:F4"/>
    <mergeCell ref="E28:I28"/>
    <mergeCell ref="C34:I34"/>
    <mergeCell ref="F42:G42"/>
    <mergeCell ref="F19:I19"/>
    <mergeCell ref="F20:I20"/>
    <mergeCell ref="A8:B8"/>
    <mergeCell ref="H3:I3"/>
    <mergeCell ref="C44:I44"/>
    <mergeCell ref="F17:I17"/>
    <mergeCell ref="A10:B10"/>
    <mergeCell ref="A1:I1"/>
    <mergeCell ref="A16:C16"/>
    <mergeCell ref="A34:B34"/>
    <mergeCell ref="F9:I9"/>
    <mergeCell ref="A18:C18"/>
    <mergeCell ref="A36:B36"/>
    <mergeCell ref="C32:I32"/>
    <mergeCell ref="A14:I14"/>
    <mergeCell ref="A22:C22"/>
    <mergeCell ref="A23:I23"/>
    <mergeCell ref="C33:I33"/>
    <mergeCell ref="D17:E17"/>
    <mergeCell ref="F10:I10"/>
    <mergeCell ref="A20:C20"/>
    <mergeCell ref="A38:I38"/>
    <mergeCell ref="A12:B12"/>
    <mergeCell ref="E2:I2"/>
    <mergeCell ref="A32:B32"/>
    <mergeCell ref="A40:I40"/>
    <mergeCell ref="B25:D25"/>
    <mergeCell ref="A24:I24"/>
    <mergeCell ref="F18:I18"/>
    <mergeCell ref="A43:B43"/>
    <mergeCell ref="F8:I8"/>
    <mergeCell ref="F22:I22"/>
    <mergeCell ref="H4:I4"/>
    <mergeCell ref="D21:E21"/>
    <mergeCell ref="D37:I37"/>
    <mergeCell ref="F11:I11"/>
    <mergeCell ref="A17:C17"/>
    <mergeCell ref="F41:G41"/>
    <mergeCell ref="A29:I29"/>
    <mergeCell ref="D16:E16"/>
    <mergeCell ref="A19:C19"/>
    <mergeCell ref="F12:I12"/>
    <mergeCell ref="B26:D26"/>
    <mergeCell ref="F21:I21"/>
    <mergeCell ref="E27:I27"/>
    <mergeCell ref="D18:E18"/>
    <mergeCell ref="A15:I15"/>
    <mergeCell ref="C43:I43"/>
    <mergeCell ref="B27:D27"/>
    <mergeCell ref="A13:B13"/>
    <mergeCell ref="A44:B44"/>
    <mergeCell ref="A31:B31"/>
  </mergeCells>
  <dataValidations count="2">
    <dataValidation sqref="E3:F3" showDropDown="0" showInputMessage="0" showErrorMessage="0" allowBlank="1" type="list">
      <formula1>"營火同伴,回聲同伴,低語者,殘影,觀察者,特殊存在"</formula1>
    </dataValidation>
    <dataValidation sqref="C9:C13" showDropDown="0" showInputMessage="0" showErrorMessage="0" allowBlank="1" type="list">
      <formula1>"極高,高,中,低,極低,不適用"</formula1>
    </dataValidation>
  </dataValidations>
  <printOptions horizontalCentered="1"/>
  <pageMargins left="0.75" right="0.75" top="1" bottom="1" header="0.5" footer="0.5"/>
  <pageSetup orientation="portrait" fitToHeight="0" fitToWidth="1"/>
</worksheet>
</file>

<file path=xl/worksheets/sheet6.xml><?xml version="1.0" encoding="utf-8"?>
<worksheet xmlns="http://schemas.openxmlformats.org/spreadsheetml/2006/main">
  <sheetPr>
    <outlinePr summaryBelow="1" summaryRight="1"/>
    <pageSetUpPr fitToPage="1"/>
  </sheetPr>
  <dimension ref="A1:I44"/>
  <sheetViews>
    <sheetView workbookViewId="0">
      <pane ySplit="6" topLeftCell="A7" activePane="bottomLeft" state="frozen"/>
      <selection pane="bottomLeft" activeCell="A1" sqref="A1"/>
    </sheetView>
  </sheetViews>
  <sheetFormatPr baseColWidth="8" defaultRowHeight="15"/>
  <cols>
    <col width="11" customWidth="1" min="1" max="1"/>
    <col width="11" customWidth="1" min="2" max="2"/>
    <col width="11" customWidth="1" min="3" max="3"/>
    <col width="13" customWidth="1" min="4" max="4"/>
    <col width="13" customWidth="1" min="5" max="5"/>
    <col width="12" customWidth="1" min="6" max="6"/>
    <col width="12" customWidth="1" min="7" max="7"/>
    <col width="13" customWidth="1" min="8" max="8"/>
    <col width="13" customWidth="1" min="9" max="9"/>
  </cols>
  <sheetData>
    <row r="1" ht="28" customHeight="1">
      <c r="A1" s="1" t="inlineStr">
        <is>
          <t>Dead by Daylight TRPG　Non-Player Character (NPC) Card　·　Full Type</t>
        </is>
      </c>
      <c r="B1" s="21" t="n"/>
      <c r="C1" s="21" t="n"/>
      <c r="D1" s="21" t="n"/>
      <c r="E1" s="21" t="n"/>
      <c r="F1" s="21" t="n"/>
      <c r="G1" s="21" t="n"/>
      <c r="H1" s="21" t="n"/>
      <c r="I1" s="22" t="n"/>
    </row>
    <row r="2">
      <c r="A2" s="3" t="inlineStr">
        <is>
          <t>Character Art
(Paste character image here)</t>
        </is>
      </c>
      <c r="B2" s="23" t="n"/>
      <c r="C2" s="24" t="n"/>
      <c r="D2" s="5" t="inlineStr">
        <is>
          <t>Name</t>
        </is>
      </c>
      <c r="E2" s="6" t="inlineStr">
        <is>
          <t>Echo: Forty-Seven</t>
        </is>
      </c>
      <c r="F2" s="25" t="n"/>
      <c r="G2" s="25" t="n"/>
      <c r="H2" s="25" t="n"/>
      <c r="I2" s="26" t="n"/>
    </row>
    <row r="3">
      <c r="A3" s="27" t="n"/>
      <c r="C3" s="28" t="n"/>
      <c r="D3" s="5" t="inlineStr">
        <is>
          <t>NPC Type</t>
        </is>
      </c>
      <c r="E3" s="8" t="inlineStr">
        <is>
          <t>Echo Companion</t>
        </is>
      </c>
      <c r="F3" s="26" t="n"/>
      <c r="G3" s="5" t="inlineStr">
        <is>
          <t>Role</t>
        </is>
      </c>
      <c r="H3" s="6" t="inlineStr">
        <is>
          <t>Echo Companion (from S1)</t>
        </is>
      </c>
      <c r="I3" s="26" t="n"/>
    </row>
    <row r="4">
      <c r="A4" s="27" t="n"/>
      <c r="C4" s="28" t="n"/>
      <c r="D4" s="5" t="inlineStr">
        <is>
          <t>Prestige (PRS)</t>
        </is>
      </c>
      <c r="E4" s="8" t="n">
        <v>1</v>
      </c>
      <c r="F4" s="26" t="n"/>
      <c r="G4" s="5" t="inlineStr">
        <is>
          <t>First Appearance</t>
        </is>
      </c>
      <c r="H4" s="8" t="inlineStr">
        <is>
          <t>S1</t>
        </is>
      </c>
      <c r="I4" s="26" t="n"/>
    </row>
    <row r="5">
      <c r="A5" s="29" t="n"/>
      <c r="B5" s="30" t="n"/>
      <c r="C5" s="31" t="n"/>
      <c r="D5" s="5" t="inlineStr">
        <is>
          <t>Affiliated Realm / Location</t>
        </is>
      </c>
      <c r="E5" s="6" t="inlineStr">
        <is>
          <t>Fogcellar recall</t>
        </is>
      </c>
      <c r="F5" s="25" t="n"/>
      <c r="G5" s="25" t="n"/>
      <c r="H5" s="25" t="n"/>
      <c r="I5" s="26" t="n"/>
    </row>
    <row r="6" ht="32" customHeight="1">
      <c r="A6" s="5" t="inlineStr">
        <is>
          <t>Appearance</t>
        </is>
      </c>
      <c r="B6" s="25" t="n"/>
      <c r="C6" s="26" t="n"/>
      <c r="D6" s="6" t="inlineStr">
        <is>
          <t>A humanoid with an indistinct face, movements slightly delayed, as if separated by a layer of water.</t>
        </is>
      </c>
      <c r="E6" s="25" t="n"/>
      <c r="F6" s="25" t="n"/>
      <c r="G6" s="25" t="n"/>
      <c r="H6" s="25" t="n"/>
      <c r="I6" s="26" t="n"/>
    </row>
    <row r="7" ht="20" customHeight="1">
      <c r="A7" s="10" t="inlineStr">
        <is>
          <t>I. Attributes (Five-Attribute Frame)</t>
        </is>
      </c>
      <c r="B7" s="25" t="n"/>
      <c r="C7" s="25" t="n"/>
      <c r="D7" s="25" t="n"/>
      <c r="E7" s="25" t="n"/>
      <c r="F7" s="25" t="n"/>
      <c r="G7" s="25" t="n"/>
      <c r="H7" s="25" t="n"/>
      <c r="I7" s="26" t="n"/>
    </row>
    <row r="8" ht="28" customHeight="1">
      <c r="A8" s="5" t="inlineStr">
        <is>
          <t>Attribute</t>
        </is>
      </c>
      <c r="B8" s="26" t="n"/>
      <c r="C8" s="5" t="inlineStr">
        <is>
          <t>Tendency</t>
        </is>
      </c>
      <c r="D8" s="5" t="inlineStr">
        <is>
          <t>Attribute Value
(1–10)</t>
        </is>
      </c>
      <c r="E8" s="5" t="inlineStr">
        <is>
          <t>Attribute Bonus (AB)</t>
        </is>
      </c>
      <c r="F8" s="5" t="inlineStr">
        <is>
          <t>Notes</t>
        </is>
      </c>
      <c r="G8" s="25" t="n"/>
      <c r="H8" s="25" t="n"/>
      <c r="I8" s="26" t="n"/>
    </row>
    <row r="9">
      <c r="A9" s="12" t="inlineStr">
        <is>
          <t>Agility (AGI)</t>
        </is>
      </c>
      <c r="B9" s="26" t="n"/>
      <c r="C9" s="8" t="inlineStr">
        <is>
          <t>Medium</t>
        </is>
      </c>
      <c r="D9" s="8" t="n">
        <v>5</v>
      </c>
      <c r="E9" s="14">
        <f>IF(D9="","",INT(D9/2))</f>
        <v/>
      </c>
      <c r="F9" s="6" t="n"/>
      <c r="G9" s="25" t="n"/>
      <c r="H9" s="25" t="n"/>
      <c r="I9" s="26" t="n"/>
    </row>
    <row r="10">
      <c r="A10" s="12" t="inlineStr">
        <is>
          <t>Technique (TEC)</t>
        </is>
      </c>
      <c r="B10" s="26" t="n"/>
      <c r="C10" s="8" t="inlineStr">
        <is>
          <t>Low</t>
        </is>
      </c>
      <c r="D10" s="8" t="n">
        <v>3</v>
      </c>
      <c r="E10" s="14">
        <f>IF(D10="","",INT(D10/2))</f>
        <v/>
      </c>
      <c r="F10" s="6" t="n"/>
      <c r="G10" s="25" t="n"/>
      <c r="H10" s="25" t="n"/>
      <c r="I10" s="26" t="n"/>
    </row>
    <row r="11">
      <c r="A11" s="12" t="inlineStr">
        <is>
          <t>Stealth (STL)</t>
        </is>
      </c>
      <c r="B11" s="26" t="n"/>
      <c r="C11" s="8" t="inlineStr">
        <is>
          <t>Low</t>
        </is>
      </c>
      <c r="D11" s="8" t="n">
        <v>3</v>
      </c>
      <c r="E11" s="14">
        <f>IF(D11="","",INT(D11/2))</f>
        <v/>
      </c>
      <c r="F11" s="6" t="n"/>
      <c r="G11" s="25" t="n"/>
      <c r="H11" s="25" t="n"/>
      <c r="I11" s="26" t="n"/>
    </row>
    <row r="12">
      <c r="A12" s="12" t="inlineStr">
        <is>
          <t>Focus (FOC)</t>
        </is>
      </c>
      <c r="B12" s="26" t="n"/>
      <c r="C12" s="8" t="inlineStr">
        <is>
          <t>Low</t>
        </is>
      </c>
      <c r="D12" s="8" t="n">
        <v>3</v>
      </c>
      <c r="E12" s="14">
        <f>IF(D12="","",INT(D12/2))</f>
        <v/>
      </c>
      <c r="F12" s="6" t="n"/>
      <c r="G12" s="25" t="n"/>
      <c r="H12" s="25" t="n"/>
      <c r="I12" s="26" t="n"/>
    </row>
    <row r="13">
      <c r="A13" s="12" t="inlineStr">
        <is>
          <t>Will (WIL)</t>
        </is>
      </c>
      <c r="B13" s="26" t="n"/>
      <c r="C13" s="8" t="inlineStr">
        <is>
          <t>Low</t>
        </is>
      </c>
      <c r="D13" s="8" t="n">
        <v>3</v>
      </c>
      <c r="E13" s="14">
        <f>IF(D13="","",INT(D13/2))</f>
        <v/>
      </c>
      <c r="F13" s="6" t="n"/>
      <c r="G13" s="25" t="n"/>
      <c r="H13" s="25" t="n"/>
      <c r="I13" s="26" t="n"/>
    </row>
    <row r="14">
      <c r="A14" s="15" t="inlineStr">
        <is>
          <t>Attribute Bonus (AB) = INT(Attribute Value ÷ 2), auto-calculated. 'Tendency' is a narrative-scale relative description; 'Attribute Value' is filled by the GM per Prestige (PRS). For insubstantial NPCs (e.g. Whisperer), leave Attribute Value blank.</t>
        </is>
      </c>
      <c r="B14" s="25" t="n"/>
      <c r="C14" s="25" t="n"/>
      <c r="D14" s="25" t="n"/>
      <c r="E14" s="25" t="n"/>
      <c r="F14" s="25" t="n"/>
      <c r="G14" s="25" t="n"/>
      <c r="H14" s="25" t="n"/>
      <c r="I14" s="26" t="n"/>
    </row>
    <row r="15" ht="20" customHeight="1">
      <c r="A15" s="10" t="inlineStr">
        <is>
          <t>II. Derived Values (auto-calculated)</t>
        </is>
      </c>
      <c r="B15" s="25" t="n"/>
      <c r="C15" s="25" t="n"/>
      <c r="D15" s="25" t="n"/>
      <c r="E15" s="25" t="n"/>
      <c r="F15" s="25" t="n"/>
      <c r="G15" s="25" t="n"/>
      <c r="H15" s="25" t="n"/>
      <c r="I15" s="26" t="n"/>
    </row>
    <row r="16">
      <c r="A16" s="12" t="inlineStr">
        <is>
          <t>HP (HP) Cap</t>
        </is>
      </c>
      <c r="B16" s="25" t="n"/>
      <c r="C16" s="26" t="n"/>
      <c r="D16" s="14">
        <f>IF(D13="","—",8+2*D13+IF($E$4="",0,$E$4))</f>
        <v/>
      </c>
      <c r="E16" s="26" t="n"/>
      <c r="F16" s="6" t="inlineStr">
        <is>
          <t>8 + 2×Will (WIL) + Prestige (PRS)</t>
        </is>
      </c>
      <c r="G16" s="25" t="n"/>
      <c r="H16" s="25" t="n"/>
      <c r="I16" s="26" t="n"/>
    </row>
    <row r="17">
      <c r="A17" s="12" t="inlineStr">
        <is>
          <t>Health State (HS) Cap</t>
        </is>
      </c>
      <c r="B17" s="25" t="n"/>
      <c r="C17" s="26" t="n"/>
      <c r="D17" s="14">
        <f>IF($E$3="Echo Companion",3,IF($E$3="Whisperer","—",2))</f>
        <v/>
      </c>
      <c r="E17" s="26" t="n"/>
      <c r="F17" s="6" t="inlineStr">
        <is>
          <t>Healthy→Injured→Dying. Echo Companion uses three-stage tracking.</t>
        </is>
      </c>
      <c r="G17" s="25" t="n"/>
      <c r="H17" s="25" t="n"/>
      <c r="I17" s="26" t="n"/>
    </row>
    <row r="18">
      <c r="A18" s="12" t="inlineStr">
        <is>
          <t>Action Point (AP) / round</t>
        </is>
      </c>
      <c r="B18" s="25" t="n"/>
      <c r="C18" s="26" t="n"/>
      <c r="D18" s="14">
        <f>IF($E$3="Echo Companion",1,IF($E$3="Whisperer",0,4))</f>
        <v/>
      </c>
      <c r="E18" s="26" t="n"/>
      <c r="F18" s="6" t="inlineStr">
        <is>
          <t>Echo Companion fixed at 1; Whisperer takes no action.</t>
        </is>
      </c>
      <c r="G18" s="25" t="n"/>
      <c r="H18" s="25" t="n"/>
      <c r="I18" s="26" t="n"/>
    </row>
    <row r="19">
      <c r="A19" s="12" t="inlineStr">
        <is>
          <t>Move (MOV) / round</t>
        </is>
      </c>
      <c r="B19" s="25" t="n"/>
      <c r="C19" s="26" t="n"/>
      <c r="D19" s="14">
        <f>IF(D9="","—",6+INT(D9/2))</f>
        <v/>
      </c>
      <c r="E19" s="26" t="n"/>
      <c r="F19" s="6" t="inlineStr">
        <is>
          <t>6 + INT(Agility (AGI) ÷ 2). 1 cell = 2 meters</t>
        </is>
      </c>
      <c r="G19" s="25" t="n"/>
      <c r="H19" s="25" t="n"/>
      <c r="I19" s="26" t="n"/>
    </row>
    <row r="20">
      <c r="A20" s="12" t="inlineStr">
        <is>
          <t>Repair Progress (Progress Point / round)</t>
        </is>
      </c>
      <c r="B20" s="25" t="n"/>
      <c r="C20" s="26" t="n"/>
      <c r="D20" s="14">
        <f>IF($E$3="Echo Companion",1,IF(D10="","—",INT(D10/2)))</f>
        <v/>
      </c>
      <c r="E20" s="26" t="n"/>
      <c r="F20" s="6" t="inlineStr">
        <is>
          <t>Echo Companion fixed +1 progress point (50% efficiency)</t>
        </is>
      </c>
      <c r="G20" s="25" t="n"/>
      <c r="H20" s="25" t="n"/>
      <c r="I20" s="26" t="n"/>
    </row>
    <row r="21">
      <c r="A21" s="12" t="inlineStr">
        <is>
          <t>Heal Progress (per round)</t>
        </is>
      </c>
      <c r="B21" s="25" t="n"/>
      <c r="C21" s="26" t="n"/>
      <c r="D21" s="14">
        <f>IF($E$3="Echo Companion",2,IF(D12="","—",INT(D12/2)+2))</f>
        <v/>
      </c>
      <c r="E21" s="26" t="n"/>
      <c r="F21" s="6" t="inlineStr">
        <is>
          <t>Echo Companion fixed +2, and cannot heal itself</t>
        </is>
      </c>
      <c r="G21" s="25" t="n"/>
      <c r="H21" s="25" t="n"/>
      <c r="I21" s="26" t="n"/>
    </row>
    <row r="22">
      <c r="A22" s="12" t="inlineStr">
        <is>
          <t>Passive Awareness Difficulty Class (DC)</t>
        </is>
      </c>
      <c r="B22" s="25" t="n"/>
      <c r="C22" s="26" t="n"/>
      <c r="D22" s="14">
        <f>IF(D12="","—",8+INT(D12/2))</f>
        <v/>
      </c>
      <c r="E22" s="26" t="n"/>
      <c r="F22" s="6" t="inlineStr">
        <is>
          <t>The target value for the Killer or other characters to notice this NPC</t>
        </is>
      </c>
      <c r="G22" s="25" t="n"/>
      <c r="H22" s="25" t="n"/>
      <c r="I22" s="26" t="n"/>
    </row>
    <row r="23" ht="20" customHeight="1">
      <c r="A23" s="10" t="inlineStr">
        <is>
          <t>III. Echo Companion exclusive: three-line behavior table</t>
        </is>
      </c>
      <c r="B23" s="25" t="n"/>
      <c r="C23" s="25" t="n"/>
      <c r="D23" s="25" t="n"/>
      <c r="E23" s="25" t="n"/>
      <c r="F23" s="25" t="n"/>
      <c r="G23" s="25" t="n"/>
      <c r="H23" s="25" t="n"/>
      <c r="I23" s="26" t="n"/>
    </row>
    <row r="24">
      <c r="A24" s="15" t="inlineStr">
        <is>
          <t>Used only when 'NPC Type = Echo Companion'. The GM checks top-to-bottom each round; the first condition met is the Echo Companion's action that round. No roleplay, no voice; one line per round.</t>
        </is>
      </c>
      <c r="B24" s="25" t="n"/>
      <c r="C24" s="25" t="n"/>
      <c r="D24" s="25" t="n"/>
      <c r="E24" s="25" t="n"/>
      <c r="F24" s="25" t="n"/>
      <c r="G24" s="25" t="n"/>
      <c r="H24" s="25" t="n"/>
      <c r="I24" s="26" t="n"/>
    </row>
    <row r="25">
      <c r="A25" s="5" t="inlineStr">
        <is>
          <t>No.</t>
        </is>
      </c>
      <c r="B25" s="5" t="inlineStr">
        <is>
          <t>Condition</t>
        </is>
      </c>
      <c r="C25" s="25" t="n"/>
      <c r="D25" s="26" t="n"/>
      <c r="E25" s="5" t="inlineStr">
        <is>
          <t>Action</t>
        </is>
      </c>
      <c r="F25" s="25" t="n"/>
      <c r="G25" s="25" t="n"/>
      <c r="H25" s="25" t="n"/>
      <c r="I25" s="26" t="n"/>
    </row>
    <row r="26" ht="30" customHeight="1">
      <c r="A26" s="12" t="inlineStr">
        <is>
          <t>①</t>
        </is>
      </c>
      <c r="B26" s="6" t="inlineStr">
        <is>
          <t>A Survivor is Hooked and this NPC can arrive within 2 rounds</t>
        </is>
      </c>
      <c r="C26" s="25" t="n"/>
      <c r="D26" s="26" t="n"/>
      <c r="E26" s="6" t="inlineStr">
        <is>
          <t>Go to rescue. On arrival, spend 1 Action Point (AP) to unhook, 100% success (no check).</t>
        </is>
      </c>
      <c r="F26" s="25" t="n"/>
      <c r="G26" s="25" t="n"/>
      <c r="H26" s="25" t="n"/>
      <c r="I26" s="26" t="n"/>
    </row>
    <row r="27" ht="30" customHeight="1">
      <c r="A27" s="12" t="inlineStr">
        <is>
          <t>②</t>
        </is>
      </c>
      <c r="B27" s="6" t="inlineStr">
        <is>
          <t>Self is Injured or Dying, or Killer is within 4 cells</t>
        </is>
      </c>
      <c r="C27" s="25" t="n"/>
      <c r="D27" s="26" t="n"/>
      <c r="E27" s="6" t="inlineStr">
        <is>
          <t>Self-preserve. Move away from Killer, prefer entering a Locker or cover; when Dying, crawl in place.</t>
        </is>
      </c>
      <c r="F27" s="25" t="n"/>
      <c r="G27" s="25" t="n"/>
      <c r="H27" s="25" t="n"/>
      <c r="I27" s="26" t="n"/>
    </row>
    <row r="28" ht="30" customHeight="1">
      <c r="A28" s="12" t="inlineStr">
        <is>
          <t>③</t>
        </is>
      </c>
      <c r="B28" s="6" t="inlineStr">
        <is>
          <t>None of the above holds</t>
        </is>
      </c>
      <c r="C28" s="25" t="n"/>
      <c r="D28" s="26" t="n"/>
      <c r="E28" s="6" t="inlineStr">
        <is>
          <t>Go to the nearest unfinished Generator and repair; +1 progress point per round.</t>
        </is>
      </c>
      <c r="F28" s="25" t="n"/>
      <c r="G28" s="25" t="n"/>
      <c r="H28" s="25" t="n"/>
      <c r="I28" s="26" t="n"/>
    </row>
    <row r="29">
      <c r="A29" s="15" t="inlineStr">
        <is>
          <t>Echo Companion limits: cannot self-unhook, cannot heal itself, cannot use items, cannot trade with Whisperer. Once hooked, it stalls a fixed 3 rounds before advancing to the next hook phase (Echo Stall). Count = MAX(0, 3 − Survivor player count N).</t>
        </is>
      </c>
      <c r="B29" s="25" t="n"/>
      <c r="C29" s="25" t="n"/>
      <c r="D29" s="25" t="n"/>
      <c r="E29" s="25" t="n"/>
      <c r="F29" s="25" t="n"/>
      <c r="G29" s="25" t="n"/>
      <c r="H29" s="25" t="n"/>
      <c r="I29" s="26" t="n"/>
    </row>
    <row r="30" ht="20" customHeight="1">
      <c r="A30" s="10" t="inlineStr">
        <is>
          <t>IV. Narrative Data</t>
        </is>
      </c>
      <c r="B30" s="25" t="n"/>
      <c r="C30" s="25" t="n"/>
      <c r="D30" s="25" t="n"/>
      <c r="E30" s="25" t="n"/>
      <c r="F30" s="25" t="n"/>
      <c r="G30" s="25" t="n"/>
      <c r="H30" s="25" t="n"/>
      <c r="I30" s="26" t="n"/>
    </row>
    <row r="31" ht="30" customHeight="1">
      <c r="A31" s="12" t="inlineStr">
        <is>
          <t>Motivation</t>
        </is>
      </c>
      <c r="B31" s="26" t="n"/>
      <c r="C31" s="18" t="inlineStr">
        <is>
          <t>None (it has no Motivation. It only counts). Residual Behavior: counting, from 1 to 100, then from the start.</t>
        </is>
      </c>
      <c r="D31" s="25" t="n"/>
      <c r="E31" s="25" t="n"/>
      <c r="F31" s="25" t="n"/>
      <c r="G31" s="25" t="n"/>
      <c r="H31" s="25" t="n"/>
      <c r="I31" s="26" t="n"/>
    </row>
    <row r="32" ht="46" customHeight="1">
      <c r="A32" s="12" t="inlineStr">
        <is>
          <t>Background</t>
        </is>
      </c>
      <c r="B32" s="26" t="n"/>
      <c r="C32" s="18" t="inlineStr">
        <is>
          <t>An old Survivor afterimage recalled by the Fogcellar. It does not think; it only performs residual actions.</t>
        </is>
      </c>
      <c r="D32" s="25" t="n"/>
      <c r="E32" s="25" t="n"/>
      <c r="F32" s="25" t="n"/>
      <c r="G32" s="25" t="n"/>
      <c r="H32" s="25" t="n"/>
      <c r="I32" s="26" t="n"/>
    </row>
    <row r="33" ht="40" customHeight="1">
      <c r="A33" s="12" t="inlineStr">
        <is>
          <t>Role in Main Plot</t>
        </is>
      </c>
      <c r="B33" s="26" t="n"/>
      <c r="C33" s="18" t="inlineStr">
        <is>
          <t>Can be summoned as an Echo Companion from S1. Count = MAX(0, 3 − Survivor player count N).</t>
        </is>
      </c>
      <c r="D33" s="25" t="n"/>
      <c r="E33" s="25" t="n"/>
      <c r="F33" s="25" t="n"/>
      <c r="G33" s="25" t="n"/>
      <c r="H33" s="25" t="n"/>
      <c r="I33" s="26" t="n"/>
    </row>
    <row r="34" ht="34" customHeight="1">
      <c r="A34" s="12" t="inlineStr">
        <is>
          <t>Signature Line</t>
        </is>
      </c>
      <c r="B34" s="26" t="n"/>
      <c r="C34" s="18" t="inlineStr">
        <is>
          <t>"…forty-seven. Forty-eight."</t>
        </is>
      </c>
      <c r="D34" s="25" t="n"/>
      <c r="E34" s="25" t="n"/>
      <c r="F34" s="25" t="n"/>
      <c r="G34" s="25" t="n"/>
      <c r="H34" s="25" t="n"/>
      <c r="I34" s="26" t="n"/>
    </row>
    <row r="35" ht="20" customHeight="1">
      <c r="A35" s="10" t="inlineStr">
        <is>
          <t>V. Special Interactions &amp; Rewards</t>
        </is>
      </c>
      <c r="B35" s="25" t="n"/>
      <c r="C35" s="25" t="n"/>
      <c r="D35" s="25" t="n"/>
      <c r="E35" s="25" t="n"/>
      <c r="F35" s="25" t="n"/>
      <c r="G35" s="25" t="n"/>
      <c r="H35" s="25" t="n"/>
      <c r="I35" s="26" t="n"/>
    </row>
    <row r="36" ht="46" customHeight="1">
      <c r="A36" s="12" t="inlineStr">
        <is>
          <t>Special Rule</t>
        </is>
      </c>
      <c r="B36" s="26" t="n"/>
      <c r="C36" s="18" t="inlineStr">
        <is>
          <t>When it reaches 100 it stops and looks at you. If the Player looks back at that second, +1 Hope Point (HOP). (The GM schedules this once per Trial, timing at their discretion.)</t>
        </is>
      </c>
      <c r="D36" s="25" t="n"/>
      <c r="E36" s="25" t="n"/>
      <c r="F36" s="25" t="n"/>
      <c r="G36" s="25" t="n"/>
      <c r="H36" s="25" t="n"/>
      <c r="I36" s="26" t="n"/>
    </row>
    <row r="37" ht="30" customHeight="1">
      <c r="A37" s="12" t="inlineStr">
        <is>
          <t>Hope Point (HOP) / Campfire Ember reward</t>
        </is>
      </c>
      <c r="B37" s="25" t="n"/>
      <c r="C37" s="26" t="n"/>
      <c r="D37" s="6" t="inlineStr">
        <is>
          <t>Looking back: +1 Hope Point (HOP).</t>
        </is>
      </c>
      <c r="E37" s="25" t="n"/>
      <c r="F37" s="25" t="n"/>
      <c r="G37" s="25" t="n"/>
      <c r="H37" s="25" t="n"/>
      <c r="I37" s="26" t="n"/>
    </row>
    <row r="38" ht="20" customHeight="1">
      <c r="A38" s="10" t="inlineStr">
        <is>
          <t>VI. GM Running Notes</t>
        </is>
      </c>
      <c r="B38" s="25" t="n"/>
      <c r="C38" s="25" t="n"/>
      <c r="D38" s="25" t="n"/>
      <c r="E38" s="25" t="n"/>
      <c r="F38" s="25" t="n"/>
      <c r="G38" s="25" t="n"/>
      <c r="H38" s="25" t="n"/>
      <c r="I38" s="26" t="n"/>
    </row>
    <row r="39" ht="52" customHeight="1">
      <c r="A39" s="18" t="inlineStr">
        <is>
          <t>Do not roleplay, voice, or converse. One line per round(s) to gloss over. The counting sound is its only presence — when the Killer approaches, stop the counting sound; that works better than any description.</t>
        </is>
      </c>
      <c r="B39" s="25" t="n"/>
      <c r="C39" s="25" t="n"/>
      <c r="D39" s="25" t="n"/>
      <c r="E39" s="25" t="n"/>
      <c r="F39" s="25" t="n"/>
      <c r="G39" s="25" t="n"/>
      <c r="H39" s="25" t="n"/>
      <c r="I39" s="26" t="n"/>
    </row>
    <row r="40" ht="20" customHeight="1">
      <c r="A40" s="10" t="inlineStr">
        <is>
          <t>VII. In-Trial Tracker (reusable)</t>
        </is>
      </c>
      <c r="B40" s="25" t="n"/>
      <c r="C40" s="25" t="n"/>
      <c r="D40" s="25" t="n"/>
      <c r="E40" s="25" t="n"/>
      <c r="F40" s="25" t="n"/>
      <c r="G40" s="25" t="n"/>
      <c r="H40" s="25" t="n"/>
      <c r="I40" s="26" t="n"/>
    </row>
    <row r="41">
      <c r="A41" s="12" t="inlineStr">
        <is>
          <t>Health State (HS)</t>
        </is>
      </c>
      <c r="B41" s="26" t="n"/>
      <c r="C41" s="5" t="inlineStr">
        <is>
          <t>Healthy</t>
        </is>
      </c>
      <c r="D41" s="5" t="inlineStr">
        <is>
          <t>Injured</t>
        </is>
      </c>
      <c r="E41" s="5" t="inlineStr">
        <is>
          <t>Dying</t>
        </is>
      </c>
      <c r="F41" s="12" t="inlineStr">
        <is>
          <t>Hook Phase</t>
        </is>
      </c>
      <c r="G41" s="26" t="n"/>
      <c r="H41" s="5" t="inlineStr">
        <is>
          <t>I (Wiggle)</t>
        </is>
      </c>
      <c r="I41" s="5" t="inlineStr">
        <is>
          <t>II (Sacrifice)</t>
        </is>
      </c>
    </row>
    <row r="42">
      <c r="A42" s="5" t="inlineStr">
        <is>
          <t>Check current state</t>
        </is>
      </c>
      <c r="B42" s="26" t="n"/>
      <c r="C42" s="8" t="inlineStr">
        <is>
          <t>☐</t>
        </is>
      </c>
      <c r="D42" s="8" t="inlineStr">
        <is>
          <t>☐</t>
        </is>
      </c>
      <c r="E42" s="8" t="inlineStr">
        <is>
          <t>☐</t>
        </is>
      </c>
      <c r="F42" s="5" t="inlineStr">
        <is>
          <t>Check</t>
        </is>
      </c>
      <c r="G42" s="26" t="n"/>
      <c r="H42" s="8" t="inlineStr">
        <is>
          <t>☐</t>
        </is>
      </c>
      <c r="I42" s="8" t="inlineStr">
        <is>
          <t>☐</t>
        </is>
      </c>
    </row>
    <row r="43">
      <c r="A43" s="12" t="inlineStr">
        <is>
          <t>Current Status Effect</t>
        </is>
      </c>
      <c r="B43" s="26" t="n"/>
      <c r="C43" s="6" t="n"/>
      <c r="D43" s="25" t="n"/>
      <c r="E43" s="25" t="n"/>
      <c r="F43" s="25" t="n"/>
      <c r="G43" s="25" t="n"/>
      <c r="H43" s="25" t="n"/>
      <c r="I43" s="26" t="n"/>
    </row>
    <row r="44" ht="40" customHeight="1">
      <c r="A44" s="12" t="inlineStr">
        <is>
          <t>Notes</t>
        </is>
      </c>
      <c r="B44" s="26" t="n"/>
      <c r="C44" s="18" t="n"/>
      <c r="D44" s="25" t="n"/>
      <c r="E44" s="25" t="n"/>
      <c r="F44" s="25" t="n"/>
      <c r="G44" s="25" t="n"/>
      <c r="H44" s="25" t="n"/>
      <c r="I44" s="26" t="n"/>
    </row>
  </sheetData>
  <mergeCells count="82">
    <mergeCell ref="C36:I36"/>
    <mergeCell ref="A7:I7"/>
    <mergeCell ref="D20:E20"/>
    <mergeCell ref="A37:C37"/>
    <mergeCell ref="E5:I5"/>
    <mergeCell ref="A21:C21"/>
    <mergeCell ref="D22:E22"/>
    <mergeCell ref="B28:D28"/>
    <mergeCell ref="A41:B41"/>
    <mergeCell ref="F16:I16"/>
    <mergeCell ref="A35:I35"/>
    <mergeCell ref="A33:B33"/>
    <mergeCell ref="A42:B42"/>
    <mergeCell ref="A39:I39"/>
    <mergeCell ref="E26:I26"/>
    <mergeCell ref="A30:I30"/>
    <mergeCell ref="C31:I31"/>
    <mergeCell ref="A6:C6"/>
    <mergeCell ref="E25:I25"/>
    <mergeCell ref="A2:C5"/>
    <mergeCell ref="D6:I6"/>
    <mergeCell ref="A9:B9"/>
    <mergeCell ref="E3:F3"/>
    <mergeCell ref="F13:I13"/>
    <mergeCell ref="D19:E19"/>
    <mergeCell ref="A11:B11"/>
    <mergeCell ref="E4:F4"/>
    <mergeCell ref="E28:I28"/>
    <mergeCell ref="C34:I34"/>
    <mergeCell ref="F42:G42"/>
    <mergeCell ref="F19:I19"/>
    <mergeCell ref="F20:I20"/>
    <mergeCell ref="A8:B8"/>
    <mergeCell ref="H3:I3"/>
    <mergeCell ref="C44:I44"/>
    <mergeCell ref="F17:I17"/>
    <mergeCell ref="A10:B10"/>
    <mergeCell ref="A1:I1"/>
    <mergeCell ref="A16:C16"/>
    <mergeCell ref="A34:B34"/>
    <mergeCell ref="F9:I9"/>
    <mergeCell ref="A18:C18"/>
    <mergeCell ref="A36:B36"/>
    <mergeCell ref="C32:I32"/>
    <mergeCell ref="A14:I14"/>
    <mergeCell ref="A22:C22"/>
    <mergeCell ref="A23:I23"/>
    <mergeCell ref="C33:I33"/>
    <mergeCell ref="D17:E17"/>
    <mergeCell ref="F10:I10"/>
    <mergeCell ref="A20:C20"/>
    <mergeCell ref="A38:I38"/>
    <mergeCell ref="A12:B12"/>
    <mergeCell ref="E2:I2"/>
    <mergeCell ref="A32:B32"/>
    <mergeCell ref="A40:I40"/>
    <mergeCell ref="B25:D25"/>
    <mergeCell ref="A24:I24"/>
    <mergeCell ref="F18:I18"/>
    <mergeCell ref="A43:B43"/>
    <mergeCell ref="F8:I8"/>
    <mergeCell ref="F22:I22"/>
    <mergeCell ref="H4:I4"/>
    <mergeCell ref="D21:E21"/>
    <mergeCell ref="D37:I37"/>
    <mergeCell ref="F11:I11"/>
    <mergeCell ref="A17:C17"/>
    <mergeCell ref="F41:G41"/>
    <mergeCell ref="A29:I29"/>
    <mergeCell ref="D16:E16"/>
    <mergeCell ref="A19:C19"/>
    <mergeCell ref="F12:I12"/>
    <mergeCell ref="B26:D26"/>
    <mergeCell ref="F21:I21"/>
    <mergeCell ref="E27:I27"/>
    <mergeCell ref="D18:E18"/>
    <mergeCell ref="A15:I15"/>
    <mergeCell ref="C43:I43"/>
    <mergeCell ref="B27:D27"/>
    <mergeCell ref="A13:B13"/>
    <mergeCell ref="A44:B44"/>
    <mergeCell ref="A31:B31"/>
  </mergeCells>
  <dataValidations count="2">
    <dataValidation sqref="E3:F3" showDropDown="0" showInputMessage="0" showErrorMessage="0" allowBlank="1" type="list">
      <formula1>"營火同伴,回聲同伴,低語者,殘影,觀察者,特殊存在"</formula1>
    </dataValidation>
    <dataValidation sqref="C9:C13" showDropDown="0" showInputMessage="0" showErrorMessage="0" allowBlank="1" type="list">
      <formula1>"極高,高,中,低,極低,不適用"</formula1>
    </dataValidation>
  </dataValidations>
  <printOptions horizontalCentered="1"/>
  <pageMargins left="0.75" right="0.75" top="1" bottom="1" header="0.5" footer="0.5"/>
  <pageSetup orientation="portrait" fitToHeight="0" fitToWidth="1"/>
</worksheet>
</file>

<file path=xl/worksheets/sheet7.xml><?xml version="1.0" encoding="utf-8"?>
<worksheet xmlns="http://schemas.openxmlformats.org/spreadsheetml/2006/main">
  <sheetPr>
    <outlinePr summaryBelow="1" summaryRight="1"/>
    <pageSetUpPr fitToPage="1"/>
  </sheetPr>
  <dimension ref="A1:I44"/>
  <sheetViews>
    <sheetView workbookViewId="0">
      <pane ySplit="6" topLeftCell="A7" activePane="bottomLeft" state="frozen"/>
      <selection pane="bottomLeft" activeCell="A1" sqref="A1"/>
    </sheetView>
  </sheetViews>
  <sheetFormatPr baseColWidth="8" defaultRowHeight="15"/>
  <cols>
    <col width="11" customWidth="1" min="1" max="1"/>
    <col width="11" customWidth="1" min="2" max="2"/>
    <col width="11" customWidth="1" min="3" max="3"/>
    <col width="13" customWidth="1" min="4" max="4"/>
    <col width="13" customWidth="1" min="5" max="5"/>
    <col width="12" customWidth="1" min="6" max="6"/>
    <col width="12" customWidth="1" min="7" max="7"/>
    <col width="13" customWidth="1" min="8" max="8"/>
    <col width="13" customWidth="1" min="9" max="9"/>
  </cols>
  <sheetData>
    <row r="1" ht="28" customHeight="1">
      <c r="A1" s="1" t="inlineStr">
        <is>
          <t>Dead by Daylight TRPG　Non-Player Character (NPC) Card　·　Full Type</t>
        </is>
      </c>
      <c r="B1" s="21" t="n"/>
      <c r="C1" s="21" t="n"/>
      <c r="D1" s="21" t="n"/>
      <c r="E1" s="21" t="n"/>
      <c r="F1" s="21" t="n"/>
      <c r="G1" s="21" t="n"/>
      <c r="H1" s="21" t="n"/>
      <c r="I1" s="22" t="n"/>
    </row>
    <row r="2">
      <c r="A2" s="3" t="inlineStr">
        <is>
          <t>Character Art
(Paste character image here)</t>
        </is>
      </c>
      <c r="B2" s="23" t="n"/>
      <c r="C2" s="24" t="n"/>
      <c r="D2" s="5" t="inlineStr">
        <is>
          <t>Name</t>
        </is>
      </c>
      <c r="E2" s="6" t="inlineStr">
        <is>
          <t>Echo: The Holder</t>
        </is>
      </c>
      <c r="F2" s="25" t="n"/>
      <c r="G2" s="25" t="n"/>
      <c r="H2" s="25" t="n"/>
      <c r="I2" s="26" t="n"/>
    </row>
    <row r="3">
      <c r="A3" s="27" t="n"/>
      <c r="C3" s="28" t="n"/>
      <c r="D3" s="5" t="inlineStr">
        <is>
          <t>NPC Type</t>
        </is>
      </c>
      <c r="E3" s="8" t="inlineStr">
        <is>
          <t>Echo Companion</t>
        </is>
      </c>
      <c r="F3" s="26" t="n"/>
      <c r="G3" s="5" t="inlineStr">
        <is>
          <t>Role</t>
        </is>
      </c>
      <c r="H3" s="6" t="inlineStr">
        <is>
          <t>Echo Companion (from S2)</t>
        </is>
      </c>
      <c r="I3" s="26" t="n"/>
    </row>
    <row r="4">
      <c r="A4" s="27" t="n"/>
      <c r="C4" s="28" t="n"/>
      <c r="D4" s="5" t="inlineStr">
        <is>
          <t>Prestige (PRS)</t>
        </is>
      </c>
      <c r="E4" s="8" t="n">
        <v>1</v>
      </c>
      <c r="F4" s="26" t="n"/>
      <c r="G4" s="5" t="inlineStr">
        <is>
          <t>First Appearance</t>
        </is>
      </c>
      <c r="H4" s="8" t="inlineStr">
        <is>
          <t>S2</t>
        </is>
      </c>
      <c r="I4" s="26" t="n"/>
    </row>
    <row r="5">
      <c r="A5" s="29" t="n"/>
      <c r="B5" s="30" t="n"/>
      <c r="C5" s="31" t="n"/>
      <c r="D5" s="5" t="inlineStr">
        <is>
          <t>Affiliated Realm / Location</t>
        </is>
      </c>
      <c r="E5" s="6" t="inlineStr">
        <is>
          <t>Fogcellar recall</t>
        </is>
      </c>
      <c r="F5" s="25" t="n"/>
      <c r="G5" s="25" t="n"/>
      <c r="H5" s="25" t="n"/>
      <c r="I5" s="26" t="n"/>
    </row>
    <row r="6" ht="32" customHeight="1">
      <c r="A6" s="5" t="inlineStr">
        <is>
          <t>Appearance</t>
        </is>
      </c>
      <c r="B6" s="25" t="n"/>
      <c r="C6" s="26" t="n"/>
      <c r="D6" s="6" t="inlineStr">
        <is>
          <t>Both arms held in a posture of carrying something; the embrace is empty.</t>
        </is>
      </c>
      <c r="E6" s="25" t="n"/>
      <c r="F6" s="25" t="n"/>
      <c r="G6" s="25" t="n"/>
      <c r="H6" s="25" t="n"/>
      <c r="I6" s="26" t="n"/>
    </row>
    <row r="7" ht="20" customHeight="1">
      <c r="A7" s="10" t="inlineStr">
        <is>
          <t>I. Attributes (Five-Attribute Frame)</t>
        </is>
      </c>
      <c r="B7" s="25" t="n"/>
      <c r="C7" s="25" t="n"/>
      <c r="D7" s="25" t="n"/>
      <c r="E7" s="25" t="n"/>
      <c r="F7" s="25" t="n"/>
      <c r="G7" s="25" t="n"/>
      <c r="H7" s="25" t="n"/>
      <c r="I7" s="26" t="n"/>
    </row>
    <row r="8" ht="28" customHeight="1">
      <c r="A8" s="5" t="inlineStr">
        <is>
          <t>Attribute</t>
        </is>
      </c>
      <c r="B8" s="26" t="n"/>
      <c r="C8" s="5" t="inlineStr">
        <is>
          <t>Tendency</t>
        </is>
      </c>
      <c r="D8" s="5" t="inlineStr">
        <is>
          <t>Attribute Value
(1–10)</t>
        </is>
      </c>
      <c r="E8" s="5" t="inlineStr">
        <is>
          <t>Attribute Bonus (AB)</t>
        </is>
      </c>
      <c r="F8" s="5" t="inlineStr">
        <is>
          <t>Notes</t>
        </is>
      </c>
      <c r="G8" s="25" t="n"/>
      <c r="H8" s="25" t="n"/>
      <c r="I8" s="26" t="n"/>
    </row>
    <row r="9">
      <c r="A9" s="12" t="inlineStr">
        <is>
          <t>Agility (AGI)</t>
        </is>
      </c>
      <c r="B9" s="26" t="n"/>
      <c r="C9" s="8" t="inlineStr">
        <is>
          <t>Low</t>
        </is>
      </c>
      <c r="D9" s="8" t="n">
        <v>3</v>
      </c>
      <c r="E9" s="14">
        <f>IF(D9="","",INT(D9/2))</f>
        <v/>
      </c>
      <c r="F9" s="6" t="n"/>
      <c r="G9" s="25" t="n"/>
      <c r="H9" s="25" t="n"/>
      <c r="I9" s="26" t="n"/>
    </row>
    <row r="10">
      <c r="A10" s="12" t="inlineStr">
        <is>
          <t>Technique (TEC)</t>
        </is>
      </c>
      <c r="B10" s="26" t="n"/>
      <c r="C10" s="8" t="inlineStr">
        <is>
          <t>Low</t>
        </is>
      </c>
      <c r="D10" s="8" t="n">
        <v>3</v>
      </c>
      <c r="E10" s="14">
        <f>IF(D10="","",INT(D10/2))</f>
        <v/>
      </c>
      <c r="F10" s="6" t="n"/>
      <c r="G10" s="25" t="n"/>
      <c r="H10" s="25" t="n"/>
      <c r="I10" s="26" t="n"/>
    </row>
    <row r="11">
      <c r="A11" s="12" t="inlineStr">
        <is>
          <t>Stealth (STL)</t>
        </is>
      </c>
      <c r="B11" s="26" t="n"/>
      <c r="C11" s="8" t="inlineStr">
        <is>
          <t>Low</t>
        </is>
      </c>
      <c r="D11" s="8" t="n">
        <v>3</v>
      </c>
      <c r="E11" s="14">
        <f>IF(D11="","",INT(D11/2))</f>
        <v/>
      </c>
      <c r="F11" s="6" t="n"/>
      <c r="G11" s="25" t="n"/>
      <c r="H11" s="25" t="n"/>
      <c r="I11" s="26" t="n"/>
    </row>
    <row r="12">
      <c r="A12" s="12" t="inlineStr">
        <is>
          <t>Focus (FOC)</t>
        </is>
      </c>
      <c r="B12" s="26" t="n"/>
      <c r="C12" s="8" t="inlineStr">
        <is>
          <t>Low</t>
        </is>
      </c>
      <c r="D12" s="8" t="n">
        <v>3</v>
      </c>
      <c r="E12" s="14">
        <f>IF(D12="","",INT(D12/2))</f>
        <v/>
      </c>
      <c r="F12" s="6" t="n"/>
      <c r="G12" s="25" t="n"/>
      <c r="H12" s="25" t="n"/>
      <c r="I12" s="26" t="n"/>
    </row>
    <row r="13">
      <c r="A13" s="12" t="inlineStr">
        <is>
          <t>Will (WIL)</t>
        </is>
      </c>
      <c r="B13" s="26" t="n"/>
      <c r="C13" s="8" t="inlineStr">
        <is>
          <t>Medium</t>
        </is>
      </c>
      <c r="D13" s="8" t="n">
        <v>5</v>
      </c>
      <c r="E13" s="14">
        <f>IF(D13="","",INT(D13/2))</f>
        <v/>
      </c>
      <c r="F13" s="6" t="n"/>
      <c r="G13" s="25" t="n"/>
      <c r="H13" s="25" t="n"/>
      <c r="I13" s="26" t="n"/>
    </row>
    <row r="14">
      <c r="A14" s="15" t="inlineStr">
        <is>
          <t>Attribute Bonus (AB) = INT(Attribute Value ÷ 2), auto-calculated. 'Tendency' is a narrative-scale relative description; 'Attribute Value' is filled by the GM per Prestige (PRS). For insubstantial NPCs (e.g. Whisperer), leave Attribute Value blank.</t>
        </is>
      </c>
      <c r="B14" s="25" t="n"/>
      <c r="C14" s="25" t="n"/>
      <c r="D14" s="25" t="n"/>
      <c r="E14" s="25" t="n"/>
      <c r="F14" s="25" t="n"/>
      <c r="G14" s="25" t="n"/>
      <c r="H14" s="25" t="n"/>
      <c r="I14" s="26" t="n"/>
    </row>
    <row r="15" ht="20" customHeight="1">
      <c r="A15" s="10" t="inlineStr">
        <is>
          <t>II. Derived Values (auto-calculated)</t>
        </is>
      </c>
      <c r="B15" s="25" t="n"/>
      <c r="C15" s="25" t="n"/>
      <c r="D15" s="25" t="n"/>
      <c r="E15" s="25" t="n"/>
      <c r="F15" s="25" t="n"/>
      <c r="G15" s="25" t="n"/>
      <c r="H15" s="25" t="n"/>
      <c r="I15" s="26" t="n"/>
    </row>
    <row r="16">
      <c r="A16" s="12" t="inlineStr">
        <is>
          <t>HP (HP) Cap</t>
        </is>
      </c>
      <c r="B16" s="25" t="n"/>
      <c r="C16" s="26" t="n"/>
      <c r="D16" s="14">
        <f>IF(D13="","—",8+2*D13+IF($E$4="",0,$E$4))</f>
        <v/>
      </c>
      <c r="E16" s="26" t="n"/>
      <c r="F16" s="6" t="inlineStr">
        <is>
          <t>8 + 2×Will (WIL) + Prestige (PRS)</t>
        </is>
      </c>
      <c r="G16" s="25" t="n"/>
      <c r="H16" s="25" t="n"/>
      <c r="I16" s="26" t="n"/>
    </row>
    <row r="17">
      <c r="A17" s="12" t="inlineStr">
        <is>
          <t>Health State (HS) Cap</t>
        </is>
      </c>
      <c r="B17" s="25" t="n"/>
      <c r="C17" s="26" t="n"/>
      <c r="D17" s="14">
        <f>IF($E$3="Echo Companion",3,IF($E$3="Whisperer","—",2))</f>
        <v/>
      </c>
      <c r="E17" s="26" t="n"/>
      <c r="F17" s="6" t="inlineStr">
        <is>
          <t>Healthy→Injured→Dying. Echo Companion uses three-stage tracking.</t>
        </is>
      </c>
      <c r="G17" s="25" t="n"/>
      <c r="H17" s="25" t="n"/>
      <c r="I17" s="26" t="n"/>
    </row>
    <row r="18">
      <c r="A18" s="12" t="inlineStr">
        <is>
          <t>Action Point (AP) / round</t>
        </is>
      </c>
      <c r="B18" s="25" t="n"/>
      <c r="C18" s="26" t="n"/>
      <c r="D18" s="14">
        <f>IF($E$3="Echo Companion",1,IF($E$3="Whisperer",0,4))</f>
        <v/>
      </c>
      <c r="E18" s="26" t="n"/>
      <c r="F18" s="6" t="inlineStr">
        <is>
          <t>Echo Companion fixed at 1; Whisperer takes no action.</t>
        </is>
      </c>
      <c r="G18" s="25" t="n"/>
      <c r="H18" s="25" t="n"/>
      <c r="I18" s="26" t="n"/>
    </row>
    <row r="19">
      <c r="A19" s="12" t="inlineStr">
        <is>
          <t>Move (MOV) / round</t>
        </is>
      </c>
      <c r="B19" s="25" t="n"/>
      <c r="C19" s="26" t="n"/>
      <c r="D19" s="14">
        <f>IF(D9="","—",6+INT(D9/2))</f>
        <v/>
      </c>
      <c r="E19" s="26" t="n"/>
      <c r="F19" s="6" t="inlineStr">
        <is>
          <t>6 + INT(Agility (AGI) ÷ 2). 1 cell = 2 meters</t>
        </is>
      </c>
      <c r="G19" s="25" t="n"/>
      <c r="H19" s="25" t="n"/>
      <c r="I19" s="26" t="n"/>
    </row>
    <row r="20">
      <c r="A20" s="12" t="inlineStr">
        <is>
          <t>Repair Progress (Progress Point / round)</t>
        </is>
      </c>
      <c r="B20" s="25" t="n"/>
      <c r="C20" s="26" t="n"/>
      <c r="D20" s="14">
        <f>IF($E$3="Echo Companion",1,IF(D10="","—",INT(D10/2)))</f>
        <v/>
      </c>
      <c r="E20" s="26" t="n"/>
      <c r="F20" s="6" t="inlineStr">
        <is>
          <t>Echo Companion fixed +1 progress point (50% efficiency)</t>
        </is>
      </c>
      <c r="G20" s="25" t="n"/>
      <c r="H20" s="25" t="n"/>
      <c r="I20" s="26" t="n"/>
    </row>
    <row r="21">
      <c r="A21" s="12" t="inlineStr">
        <is>
          <t>Heal Progress (per round)</t>
        </is>
      </c>
      <c r="B21" s="25" t="n"/>
      <c r="C21" s="26" t="n"/>
      <c r="D21" s="14">
        <f>IF($E$3="Echo Companion",2,IF(D12="","—",INT(D12/2)+2))</f>
        <v/>
      </c>
      <c r="E21" s="26" t="n"/>
      <c r="F21" s="6" t="inlineStr">
        <is>
          <t>Echo Companion fixed +2, and cannot heal itself</t>
        </is>
      </c>
      <c r="G21" s="25" t="n"/>
      <c r="H21" s="25" t="n"/>
      <c r="I21" s="26" t="n"/>
    </row>
    <row r="22">
      <c r="A22" s="12" t="inlineStr">
        <is>
          <t>Passive Awareness Difficulty Class (DC)</t>
        </is>
      </c>
      <c r="B22" s="25" t="n"/>
      <c r="C22" s="26" t="n"/>
      <c r="D22" s="14">
        <f>IF(D12="","—",8+INT(D12/2))</f>
        <v/>
      </c>
      <c r="E22" s="26" t="n"/>
      <c r="F22" s="6" t="inlineStr">
        <is>
          <t>The target value for the Killer or other characters to notice this NPC</t>
        </is>
      </c>
      <c r="G22" s="25" t="n"/>
      <c r="H22" s="25" t="n"/>
      <c r="I22" s="26" t="n"/>
    </row>
    <row r="23" ht="20" customHeight="1">
      <c r="A23" s="10" t="inlineStr">
        <is>
          <t>III. Echo Companion exclusive: three-line behavior table</t>
        </is>
      </c>
      <c r="B23" s="25" t="n"/>
      <c r="C23" s="25" t="n"/>
      <c r="D23" s="25" t="n"/>
      <c r="E23" s="25" t="n"/>
      <c r="F23" s="25" t="n"/>
      <c r="G23" s="25" t="n"/>
      <c r="H23" s="25" t="n"/>
      <c r="I23" s="26" t="n"/>
    </row>
    <row r="24">
      <c r="A24" s="15" t="inlineStr">
        <is>
          <t>Used only when 'NPC Type = Echo Companion'. The GM checks top-to-bottom each round; the first condition met is the Echo Companion's action that round. No roleplay, no voice; one line per round.</t>
        </is>
      </c>
      <c r="B24" s="25" t="n"/>
      <c r="C24" s="25" t="n"/>
      <c r="D24" s="25" t="n"/>
      <c r="E24" s="25" t="n"/>
      <c r="F24" s="25" t="n"/>
      <c r="G24" s="25" t="n"/>
      <c r="H24" s="25" t="n"/>
      <c r="I24" s="26" t="n"/>
    </row>
    <row r="25">
      <c r="A25" s="5" t="inlineStr">
        <is>
          <t>No.</t>
        </is>
      </c>
      <c r="B25" s="5" t="inlineStr">
        <is>
          <t>Condition</t>
        </is>
      </c>
      <c r="C25" s="25" t="n"/>
      <c r="D25" s="26" t="n"/>
      <c r="E25" s="5" t="inlineStr">
        <is>
          <t>Action</t>
        </is>
      </c>
      <c r="F25" s="25" t="n"/>
      <c r="G25" s="25" t="n"/>
      <c r="H25" s="25" t="n"/>
      <c r="I25" s="26" t="n"/>
    </row>
    <row r="26" ht="30" customHeight="1">
      <c r="A26" s="12" t="inlineStr">
        <is>
          <t>①</t>
        </is>
      </c>
      <c r="B26" s="6" t="inlineStr">
        <is>
          <t>A Survivor is Hooked and this NPC can arrive within 2 rounds</t>
        </is>
      </c>
      <c r="C26" s="25" t="n"/>
      <c r="D26" s="26" t="n"/>
      <c r="E26" s="6" t="inlineStr">
        <is>
          <t>Go to rescue. On arrival, spend 1 Action Point (AP) to unhook, 100% success (no check).</t>
        </is>
      </c>
      <c r="F26" s="25" t="n"/>
      <c r="G26" s="25" t="n"/>
      <c r="H26" s="25" t="n"/>
      <c r="I26" s="26" t="n"/>
    </row>
    <row r="27" ht="30" customHeight="1">
      <c r="A27" s="12" t="inlineStr">
        <is>
          <t>②</t>
        </is>
      </c>
      <c r="B27" s="6" t="inlineStr">
        <is>
          <t>Self is Injured or Dying, or Killer is within 4 cells</t>
        </is>
      </c>
      <c r="C27" s="25" t="n"/>
      <c r="D27" s="26" t="n"/>
      <c r="E27" s="6" t="inlineStr">
        <is>
          <t>Self-preserve. Move away from Killer, prefer entering a Locker or cover; when Dying, crawl in place.</t>
        </is>
      </c>
      <c r="F27" s="25" t="n"/>
      <c r="G27" s="25" t="n"/>
      <c r="H27" s="25" t="n"/>
      <c r="I27" s="26" t="n"/>
    </row>
    <row r="28" ht="30" customHeight="1">
      <c r="A28" s="12" t="inlineStr">
        <is>
          <t>③</t>
        </is>
      </c>
      <c r="B28" s="6" t="inlineStr">
        <is>
          <t>None of the above holds</t>
        </is>
      </c>
      <c r="C28" s="25" t="n"/>
      <c r="D28" s="26" t="n"/>
      <c r="E28" s="6" t="inlineStr">
        <is>
          <t>Go to the nearest unfinished Generator and repair; +1 progress point per round.</t>
        </is>
      </c>
      <c r="F28" s="25" t="n"/>
      <c r="G28" s="25" t="n"/>
      <c r="H28" s="25" t="n"/>
      <c r="I28" s="26" t="n"/>
    </row>
    <row r="29">
      <c r="A29" s="15" t="inlineStr">
        <is>
          <t>Echo Companion limits: cannot self-unhook, cannot heal itself, cannot use items, cannot trade with Whisperer. Once hooked, it stalls a fixed 3 rounds before advancing to the next hook phase (Echo Stall). Count = MAX(0, 3 − Survivor player count N).</t>
        </is>
      </c>
      <c r="B29" s="25" t="n"/>
      <c r="C29" s="25" t="n"/>
      <c r="D29" s="25" t="n"/>
      <c r="E29" s="25" t="n"/>
      <c r="F29" s="25" t="n"/>
      <c r="G29" s="25" t="n"/>
      <c r="H29" s="25" t="n"/>
      <c r="I29" s="26" t="n"/>
    </row>
    <row r="30" ht="20" customHeight="1">
      <c r="A30" s="10" t="inlineStr">
        <is>
          <t>IV. Narrative Data</t>
        </is>
      </c>
      <c r="B30" s="25" t="n"/>
      <c r="C30" s="25" t="n"/>
      <c r="D30" s="25" t="n"/>
      <c r="E30" s="25" t="n"/>
      <c r="F30" s="25" t="n"/>
      <c r="G30" s="25" t="n"/>
      <c r="H30" s="25" t="n"/>
      <c r="I30" s="26" t="n"/>
    </row>
    <row r="31" ht="30" customHeight="1">
      <c r="A31" s="12" t="inlineStr">
        <is>
          <t>Motivation</t>
        </is>
      </c>
      <c r="B31" s="26" t="n"/>
      <c r="C31" s="18" t="inlineStr">
        <is>
          <t>None. Residual Behavior: holding. When it Moves it carefully avoids obstacles, as if afraid of bumping what it holds.</t>
        </is>
      </c>
      <c r="D31" s="25" t="n"/>
      <c r="E31" s="25" t="n"/>
      <c r="F31" s="25" t="n"/>
      <c r="G31" s="25" t="n"/>
      <c r="H31" s="25" t="n"/>
      <c r="I31" s="26" t="n"/>
    </row>
    <row r="32" ht="46" customHeight="1">
      <c r="A32" s="12" t="inlineStr">
        <is>
          <t>Background</t>
        </is>
      </c>
      <c r="B32" s="26" t="n"/>
      <c r="C32" s="18" t="inlineStr">
        <is>
          <t>An old Survivor afterimage recalled by the Fogcellar. It does not think; it only performs residual actions.</t>
        </is>
      </c>
      <c r="D32" s="25" t="n"/>
      <c r="E32" s="25" t="n"/>
      <c r="F32" s="25" t="n"/>
      <c r="G32" s="25" t="n"/>
      <c r="H32" s="25" t="n"/>
      <c r="I32" s="26" t="n"/>
    </row>
    <row r="33" ht="40" customHeight="1">
      <c r="A33" s="12" t="inlineStr">
        <is>
          <t>Role in Main Plot</t>
        </is>
      </c>
      <c r="B33" s="26" t="n"/>
      <c r="C33" s="18" t="inlineStr">
        <is>
          <t>Can be summoned as an Echo Companion from S2.</t>
        </is>
      </c>
      <c r="D33" s="25" t="n"/>
      <c r="E33" s="25" t="n"/>
      <c r="F33" s="25" t="n"/>
      <c r="G33" s="25" t="n"/>
      <c r="H33" s="25" t="n"/>
      <c r="I33" s="26" t="n"/>
    </row>
    <row r="34" ht="34" customHeight="1">
      <c r="A34" s="12" t="inlineStr">
        <is>
          <t>Signature Line</t>
        </is>
      </c>
      <c r="B34" s="26" t="n"/>
      <c r="C34" s="18" t="inlineStr">
        <is>
          <t>(No lines. It does not speak.)</t>
        </is>
      </c>
      <c r="D34" s="25" t="n"/>
      <c r="E34" s="25" t="n"/>
      <c r="F34" s="25" t="n"/>
      <c r="G34" s="25" t="n"/>
      <c r="H34" s="25" t="n"/>
      <c r="I34" s="26" t="n"/>
    </row>
    <row r="35" ht="20" customHeight="1">
      <c r="A35" s="10" t="inlineStr">
        <is>
          <t>V. Special Interactions &amp; Rewards</t>
        </is>
      </c>
      <c r="B35" s="25" t="n"/>
      <c r="C35" s="25" t="n"/>
      <c r="D35" s="25" t="n"/>
      <c r="E35" s="25" t="n"/>
      <c r="F35" s="25" t="n"/>
      <c r="G35" s="25" t="n"/>
      <c r="H35" s="25" t="n"/>
      <c r="I35" s="26" t="n"/>
    </row>
    <row r="36" ht="46" customHeight="1">
      <c r="A36" s="12" t="inlineStr">
        <is>
          <t>Special Rule</t>
        </is>
      </c>
      <c r="B36" s="26" t="n"/>
      <c r="C36" s="18" t="inlineStr">
        <is>
          <t>If the Player heals it to Healthy, it hands the Player "what it holds." It is empty. After handing it over, its arms drop, and then it starts following the Player (for the remaining round(s) of that Trial, line ① of its three-line Behavior table changes to "follow that Player and assist their current action").</t>
        </is>
      </c>
      <c r="D36" s="25" t="n"/>
      <c r="E36" s="25" t="n"/>
      <c r="F36" s="25" t="n"/>
      <c r="G36" s="25" t="n"/>
      <c r="H36" s="25" t="n"/>
      <c r="I36" s="26" t="n"/>
    </row>
    <row r="37" ht="30" customHeight="1">
      <c r="A37" s="12" t="inlineStr">
        <is>
          <t>Hope Point (HOP) / Campfire Ember reward</t>
        </is>
      </c>
      <c r="B37" s="25" t="n"/>
      <c r="C37" s="26" t="n"/>
      <c r="D37" s="6" t="inlineStr">
        <is>
          <t>Heal to Healthy: +1 Hope Point (HOP) + 1 Campfire Ember.</t>
        </is>
      </c>
      <c r="E37" s="25" t="n"/>
      <c r="F37" s="25" t="n"/>
      <c r="G37" s="25" t="n"/>
      <c r="H37" s="25" t="n"/>
      <c r="I37" s="26" t="n"/>
    </row>
    <row r="38" ht="20" customHeight="1">
      <c r="A38" s="10" t="inlineStr">
        <is>
          <t>VI. GM Running Notes</t>
        </is>
      </c>
      <c r="B38" s="25" t="n"/>
      <c r="C38" s="25" t="n"/>
      <c r="D38" s="25" t="n"/>
      <c r="E38" s="25" t="n"/>
      <c r="F38" s="25" t="n"/>
      <c r="G38" s="25" t="n"/>
      <c r="H38" s="25" t="n"/>
      <c r="I38" s="26" t="n"/>
    </row>
    <row r="39" ht="52" customHeight="1">
      <c r="A39" s="18" t="inlineStr">
        <is>
          <t>Describe its motion of avoiding obstacles. The Player will work out for themselves what the empty embrace means. Do not explain.</t>
        </is>
      </c>
      <c r="B39" s="25" t="n"/>
      <c r="C39" s="25" t="n"/>
      <c r="D39" s="25" t="n"/>
      <c r="E39" s="25" t="n"/>
      <c r="F39" s="25" t="n"/>
      <c r="G39" s="25" t="n"/>
      <c r="H39" s="25" t="n"/>
      <c r="I39" s="26" t="n"/>
    </row>
    <row r="40" ht="20" customHeight="1">
      <c r="A40" s="10" t="inlineStr">
        <is>
          <t>VII. In-Trial Tracker (reusable)</t>
        </is>
      </c>
      <c r="B40" s="25" t="n"/>
      <c r="C40" s="25" t="n"/>
      <c r="D40" s="25" t="n"/>
      <c r="E40" s="25" t="n"/>
      <c r="F40" s="25" t="n"/>
      <c r="G40" s="25" t="n"/>
      <c r="H40" s="25" t="n"/>
      <c r="I40" s="26" t="n"/>
    </row>
    <row r="41">
      <c r="A41" s="12" t="inlineStr">
        <is>
          <t>Health State (HS)</t>
        </is>
      </c>
      <c r="B41" s="26" t="n"/>
      <c r="C41" s="5" t="inlineStr">
        <is>
          <t>Healthy</t>
        </is>
      </c>
      <c r="D41" s="5" t="inlineStr">
        <is>
          <t>Injured</t>
        </is>
      </c>
      <c r="E41" s="5" t="inlineStr">
        <is>
          <t>Dying</t>
        </is>
      </c>
      <c r="F41" s="12" t="inlineStr">
        <is>
          <t>Hook Phase</t>
        </is>
      </c>
      <c r="G41" s="26" t="n"/>
      <c r="H41" s="5" t="inlineStr">
        <is>
          <t>I (Wiggle)</t>
        </is>
      </c>
      <c r="I41" s="5" t="inlineStr">
        <is>
          <t>II (Sacrifice)</t>
        </is>
      </c>
    </row>
    <row r="42">
      <c r="A42" s="5" t="inlineStr">
        <is>
          <t>Check current state</t>
        </is>
      </c>
      <c r="B42" s="26" t="n"/>
      <c r="C42" s="8" t="inlineStr">
        <is>
          <t>☐</t>
        </is>
      </c>
      <c r="D42" s="8" t="inlineStr">
        <is>
          <t>☐</t>
        </is>
      </c>
      <c r="E42" s="8" t="inlineStr">
        <is>
          <t>☐</t>
        </is>
      </c>
      <c r="F42" s="5" t="inlineStr">
        <is>
          <t>Check</t>
        </is>
      </c>
      <c r="G42" s="26" t="n"/>
      <c r="H42" s="8" t="inlineStr">
        <is>
          <t>☐</t>
        </is>
      </c>
      <c r="I42" s="8" t="inlineStr">
        <is>
          <t>☐</t>
        </is>
      </c>
    </row>
    <row r="43">
      <c r="A43" s="12" t="inlineStr">
        <is>
          <t>Current Status Effect</t>
        </is>
      </c>
      <c r="B43" s="26" t="n"/>
      <c r="C43" s="6" t="n"/>
      <c r="D43" s="25" t="n"/>
      <c r="E43" s="25" t="n"/>
      <c r="F43" s="25" t="n"/>
      <c r="G43" s="25" t="n"/>
      <c r="H43" s="25" t="n"/>
      <c r="I43" s="26" t="n"/>
    </row>
    <row r="44" ht="40" customHeight="1">
      <c r="A44" s="12" t="inlineStr">
        <is>
          <t>Notes</t>
        </is>
      </c>
      <c r="B44" s="26" t="n"/>
      <c r="C44" s="18" t="n"/>
      <c r="D44" s="25" t="n"/>
      <c r="E44" s="25" t="n"/>
      <c r="F44" s="25" t="n"/>
      <c r="G44" s="25" t="n"/>
      <c r="H44" s="25" t="n"/>
      <c r="I44" s="26" t="n"/>
    </row>
  </sheetData>
  <mergeCells count="82">
    <mergeCell ref="C36:I36"/>
    <mergeCell ref="A7:I7"/>
    <mergeCell ref="D20:E20"/>
    <mergeCell ref="A37:C37"/>
    <mergeCell ref="E5:I5"/>
    <mergeCell ref="A21:C21"/>
    <mergeCell ref="D22:E22"/>
    <mergeCell ref="B28:D28"/>
    <mergeCell ref="A41:B41"/>
    <mergeCell ref="F16:I16"/>
    <mergeCell ref="A35:I35"/>
    <mergeCell ref="A33:B33"/>
    <mergeCell ref="A42:B42"/>
    <mergeCell ref="A39:I39"/>
    <mergeCell ref="E26:I26"/>
    <mergeCell ref="A30:I30"/>
    <mergeCell ref="C31:I31"/>
    <mergeCell ref="A6:C6"/>
    <mergeCell ref="E25:I25"/>
    <mergeCell ref="A2:C5"/>
    <mergeCell ref="D6:I6"/>
    <mergeCell ref="A9:B9"/>
    <mergeCell ref="E3:F3"/>
    <mergeCell ref="F13:I13"/>
    <mergeCell ref="D19:E19"/>
    <mergeCell ref="A11:B11"/>
    <mergeCell ref="E4:F4"/>
    <mergeCell ref="E28:I28"/>
    <mergeCell ref="C34:I34"/>
    <mergeCell ref="F42:G42"/>
    <mergeCell ref="F19:I19"/>
    <mergeCell ref="F20:I20"/>
    <mergeCell ref="A8:B8"/>
    <mergeCell ref="H3:I3"/>
    <mergeCell ref="C44:I44"/>
    <mergeCell ref="F17:I17"/>
    <mergeCell ref="A10:B10"/>
    <mergeCell ref="A1:I1"/>
    <mergeCell ref="A16:C16"/>
    <mergeCell ref="A34:B34"/>
    <mergeCell ref="F9:I9"/>
    <mergeCell ref="A18:C18"/>
    <mergeCell ref="A36:B36"/>
    <mergeCell ref="C32:I32"/>
    <mergeCell ref="A14:I14"/>
    <mergeCell ref="A22:C22"/>
    <mergeCell ref="A23:I23"/>
    <mergeCell ref="C33:I33"/>
    <mergeCell ref="D17:E17"/>
    <mergeCell ref="F10:I10"/>
    <mergeCell ref="A20:C20"/>
    <mergeCell ref="A38:I38"/>
    <mergeCell ref="A12:B12"/>
    <mergeCell ref="E2:I2"/>
    <mergeCell ref="A32:B32"/>
    <mergeCell ref="A40:I40"/>
    <mergeCell ref="B25:D25"/>
    <mergeCell ref="A24:I24"/>
    <mergeCell ref="F18:I18"/>
    <mergeCell ref="A43:B43"/>
    <mergeCell ref="F8:I8"/>
    <mergeCell ref="F22:I22"/>
    <mergeCell ref="H4:I4"/>
    <mergeCell ref="D21:E21"/>
    <mergeCell ref="D37:I37"/>
    <mergeCell ref="F11:I11"/>
    <mergeCell ref="A17:C17"/>
    <mergeCell ref="F41:G41"/>
    <mergeCell ref="A29:I29"/>
    <mergeCell ref="D16:E16"/>
    <mergeCell ref="A19:C19"/>
    <mergeCell ref="F12:I12"/>
    <mergeCell ref="B26:D26"/>
    <mergeCell ref="F21:I21"/>
    <mergeCell ref="E27:I27"/>
    <mergeCell ref="D18:E18"/>
    <mergeCell ref="A15:I15"/>
    <mergeCell ref="C43:I43"/>
    <mergeCell ref="B27:D27"/>
    <mergeCell ref="A13:B13"/>
    <mergeCell ref="A44:B44"/>
    <mergeCell ref="A31:B31"/>
  </mergeCells>
  <dataValidations count="2">
    <dataValidation sqref="E3:F3" showDropDown="0" showInputMessage="0" showErrorMessage="0" allowBlank="1" type="list">
      <formula1>"營火同伴,回聲同伴,低語者,殘影,觀察者,特殊存在"</formula1>
    </dataValidation>
    <dataValidation sqref="C9:C13" showDropDown="0" showInputMessage="0" showErrorMessage="0" allowBlank="1" type="list">
      <formula1>"極高,高,中,低,極低,不適用"</formula1>
    </dataValidation>
  </dataValidations>
  <printOptions horizontalCentered="1"/>
  <pageMargins left="0.75" right="0.75" top="1" bottom="1" header="0.5" footer="0.5"/>
  <pageSetup orientation="portrait" fitToHeight="0" fitToWidth="1"/>
</worksheet>
</file>

<file path=xl/worksheets/sheet8.xml><?xml version="1.0" encoding="utf-8"?>
<worksheet xmlns="http://schemas.openxmlformats.org/spreadsheetml/2006/main">
  <sheetPr>
    <outlinePr summaryBelow="1" summaryRight="1"/>
    <pageSetUpPr fitToPage="1"/>
  </sheetPr>
  <dimension ref="A1:I44"/>
  <sheetViews>
    <sheetView workbookViewId="0">
      <pane ySplit="6" topLeftCell="A7" activePane="bottomLeft" state="frozen"/>
      <selection pane="bottomLeft" activeCell="A1" sqref="A1"/>
    </sheetView>
  </sheetViews>
  <sheetFormatPr baseColWidth="8" defaultRowHeight="15"/>
  <cols>
    <col width="11" customWidth="1" min="1" max="1"/>
    <col width="11" customWidth="1" min="2" max="2"/>
    <col width="11" customWidth="1" min="3" max="3"/>
    <col width="13" customWidth="1" min="4" max="4"/>
    <col width="13" customWidth="1" min="5" max="5"/>
    <col width="12" customWidth="1" min="6" max="6"/>
    <col width="12" customWidth="1" min="7" max="7"/>
    <col width="13" customWidth="1" min="8" max="8"/>
    <col width="13" customWidth="1" min="9" max="9"/>
  </cols>
  <sheetData>
    <row r="1" ht="28" customHeight="1">
      <c r="A1" s="1" t="inlineStr">
        <is>
          <t>Dead by Daylight TRPG　Non-Player Character (NPC) Card　·　Full Type</t>
        </is>
      </c>
      <c r="B1" s="21" t="n"/>
      <c r="C1" s="21" t="n"/>
      <c r="D1" s="21" t="n"/>
      <c r="E1" s="21" t="n"/>
      <c r="F1" s="21" t="n"/>
      <c r="G1" s="21" t="n"/>
      <c r="H1" s="21" t="n"/>
      <c r="I1" s="22" t="n"/>
    </row>
    <row r="2">
      <c r="A2" s="3" t="inlineStr">
        <is>
          <t>Character Art
(Paste character image here)</t>
        </is>
      </c>
      <c r="B2" s="23" t="n"/>
      <c r="C2" s="24" t="n"/>
      <c r="D2" s="5" t="inlineStr">
        <is>
          <t>Name</t>
        </is>
      </c>
      <c r="E2" s="6" t="inlineStr">
        <is>
          <t>Echo: The Washer</t>
        </is>
      </c>
      <c r="F2" s="25" t="n"/>
      <c r="G2" s="25" t="n"/>
      <c r="H2" s="25" t="n"/>
      <c r="I2" s="26" t="n"/>
    </row>
    <row r="3">
      <c r="A3" s="27" t="n"/>
      <c r="C3" s="28" t="n"/>
      <c r="D3" s="5" t="inlineStr">
        <is>
          <t>NPC Type</t>
        </is>
      </c>
      <c r="E3" s="8" t="inlineStr">
        <is>
          <t>Echo Companion</t>
        </is>
      </c>
      <c r="F3" s="26" t="n"/>
      <c r="G3" s="5" t="inlineStr">
        <is>
          <t>Role</t>
        </is>
      </c>
      <c r="H3" s="6" t="inlineStr">
        <is>
          <t>Echo Companion (from S3)</t>
        </is>
      </c>
      <c r="I3" s="26" t="n"/>
    </row>
    <row r="4">
      <c r="A4" s="27" t="n"/>
      <c r="C4" s="28" t="n"/>
      <c r="D4" s="5" t="inlineStr">
        <is>
          <t>Prestige (PRS)</t>
        </is>
      </c>
      <c r="E4" s="8" t="n">
        <v>1</v>
      </c>
      <c r="F4" s="26" t="n"/>
      <c r="G4" s="5" t="inlineStr">
        <is>
          <t>First Appearance</t>
        </is>
      </c>
      <c r="H4" s="8" t="inlineStr">
        <is>
          <t>S3</t>
        </is>
      </c>
      <c r="I4" s="26" t="n"/>
    </row>
    <row r="5">
      <c r="A5" s="29" t="n"/>
      <c r="B5" s="30" t="n"/>
      <c r="C5" s="31" t="n"/>
      <c r="D5" s="5" t="inlineStr">
        <is>
          <t>Affiliated Realm / Location</t>
        </is>
      </c>
      <c r="E5" s="6" t="inlineStr">
        <is>
          <t>Fogcellar recall</t>
        </is>
      </c>
      <c r="F5" s="25" t="n"/>
      <c r="G5" s="25" t="n"/>
      <c r="H5" s="25" t="n"/>
      <c r="I5" s="26" t="n"/>
    </row>
    <row r="6" ht="32" customHeight="1">
      <c r="A6" s="5" t="inlineStr">
        <is>
          <t>Appearance</t>
        </is>
      </c>
      <c r="B6" s="25" t="n"/>
      <c r="C6" s="26" t="n"/>
      <c r="D6" s="6" t="inlineStr">
        <is>
          <t>Constantly wiping its hands, on its sleeve, on the wall, on anything.</t>
        </is>
      </c>
      <c r="E6" s="25" t="n"/>
      <c r="F6" s="25" t="n"/>
      <c r="G6" s="25" t="n"/>
      <c r="H6" s="25" t="n"/>
      <c r="I6" s="26" t="n"/>
    </row>
    <row r="7" ht="20" customHeight="1">
      <c r="A7" s="10" t="inlineStr">
        <is>
          <t>I. Attributes (Five-Attribute Frame)</t>
        </is>
      </c>
      <c r="B7" s="25" t="n"/>
      <c r="C7" s="25" t="n"/>
      <c r="D7" s="25" t="n"/>
      <c r="E7" s="25" t="n"/>
      <c r="F7" s="25" t="n"/>
      <c r="G7" s="25" t="n"/>
      <c r="H7" s="25" t="n"/>
      <c r="I7" s="26" t="n"/>
    </row>
    <row r="8" ht="28" customHeight="1">
      <c r="A8" s="5" t="inlineStr">
        <is>
          <t>Attribute</t>
        </is>
      </c>
      <c r="B8" s="26" t="n"/>
      <c r="C8" s="5" t="inlineStr">
        <is>
          <t>Tendency</t>
        </is>
      </c>
      <c r="D8" s="5" t="inlineStr">
        <is>
          <t>Attribute Value
(1–10)</t>
        </is>
      </c>
      <c r="E8" s="5" t="inlineStr">
        <is>
          <t>Attribute Bonus (AB)</t>
        </is>
      </c>
      <c r="F8" s="5" t="inlineStr">
        <is>
          <t>Notes</t>
        </is>
      </c>
      <c r="G8" s="25" t="n"/>
      <c r="H8" s="25" t="n"/>
      <c r="I8" s="26" t="n"/>
    </row>
    <row r="9">
      <c r="A9" s="12" t="inlineStr">
        <is>
          <t>Agility (AGI)</t>
        </is>
      </c>
      <c r="B9" s="26" t="n"/>
      <c r="C9" s="8" t="inlineStr">
        <is>
          <t>Low</t>
        </is>
      </c>
      <c r="D9" s="8" t="n">
        <v>3</v>
      </c>
      <c r="E9" s="14">
        <f>IF(D9="","",INT(D9/2))</f>
        <v/>
      </c>
      <c r="F9" s="6" t="n"/>
      <c r="G9" s="25" t="n"/>
      <c r="H9" s="25" t="n"/>
      <c r="I9" s="26" t="n"/>
    </row>
    <row r="10">
      <c r="A10" s="12" t="inlineStr">
        <is>
          <t>Technique (TEC)</t>
        </is>
      </c>
      <c r="B10" s="26" t="n"/>
      <c r="C10" s="8" t="inlineStr">
        <is>
          <t>Low</t>
        </is>
      </c>
      <c r="D10" s="8" t="n">
        <v>3</v>
      </c>
      <c r="E10" s="14">
        <f>IF(D10="","",INT(D10/2))</f>
        <v/>
      </c>
      <c r="F10" s="6" t="n"/>
      <c r="G10" s="25" t="n"/>
      <c r="H10" s="25" t="n"/>
      <c r="I10" s="26" t="n"/>
    </row>
    <row r="11">
      <c r="A11" s="12" t="inlineStr">
        <is>
          <t>Stealth (STL)</t>
        </is>
      </c>
      <c r="B11" s="26" t="n"/>
      <c r="C11" s="8" t="inlineStr">
        <is>
          <t>Medium</t>
        </is>
      </c>
      <c r="D11" s="8" t="n">
        <v>5</v>
      </c>
      <c r="E11" s="14">
        <f>IF(D11="","",INT(D11/2))</f>
        <v/>
      </c>
      <c r="F11" s="6" t="n"/>
      <c r="G11" s="25" t="n"/>
      <c r="H11" s="25" t="n"/>
      <c r="I11" s="26" t="n"/>
    </row>
    <row r="12">
      <c r="A12" s="12" t="inlineStr">
        <is>
          <t>Focus (FOC)</t>
        </is>
      </c>
      <c r="B12" s="26" t="n"/>
      <c r="C12" s="8" t="inlineStr">
        <is>
          <t>Low</t>
        </is>
      </c>
      <c r="D12" s="8" t="n">
        <v>3</v>
      </c>
      <c r="E12" s="14">
        <f>IF(D12="","",INT(D12/2))</f>
        <v/>
      </c>
      <c r="F12" s="6" t="n"/>
      <c r="G12" s="25" t="n"/>
      <c r="H12" s="25" t="n"/>
      <c r="I12" s="26" t="n"/>
    </row>
    <row r="13">
      <c r="A13" s="12" t="inlineStr">
        <is>
          <t>Will (WIL)</t>
        </is>
      </c>
      <c r="B13" s="26" t="n"/>
      <c r="C13" s="8" t="inlineStr">
        <is>
          <t>Low</t>
        </is>
      </c>
      <c r="D13" s="8" t="n">
        <v>3</v>
      </c>
      <c r="E13" s="14">
        <f>IF(D13="","",INT(D13/2))</f>
        <v/>
      </c>
      <c r="F13" s="6" t="n"/>
      <c r="G13" s="25" t="n"/>
      <c r="H13" s="25" t="n"/>
      <c r="I13" s="26" t="n"/>
    </row>
    <row r="14">
      <c r="A14" s="15" t="inlineStr">
        <is>
          <t>Attribute Bonus (AB) = INT(Attribute Value ÷ 2), auto-calculated. 'Tendency' is a narrative-scale relative description; 'Attribute Value' is filled by the GM per Prestige (PRS). For insubstantial NPCs (e.g. Whisperer), leave Attribute Value blank.</t>
        </is>
      </c>
      <c r="B14" s="25" t="n"/>
      <c r="C14" s="25" t="n"/>
      <c r="D14" s="25" t="n"/>
      <c r="E14" s="25" t="n"/>
      <c r="F14" s="25" t="n"/>
      <c r="G14" s="25" t="n"/>
      <c r="H14" s="25" t="n"/>
      <c r="I14" s="26" t="n"/>
    </row>
    <row r="15" ht="20" customHeight="1">
      <c r="A15" s="10" t="inlineStr">
        <is>
          <t>II. Derived Values (auto-calculated)</t>
        </is>
      </c>
      <c r="B15" s="25" t="n"/>
      <c r="C15" s="25" t="n"/>
      <c r="D15" s="25" t="n"/>
      <c r="E15" s="25" t="n"/>
      <c r="F15" s="25" t="n"/>
      <c r="G15" s="25" t="n"/>
      <c r="H15" s="25" t="n"/>
      <c r="I15" s="26" t="n"/>
    </row>
    <row r="16">
      <c r="A16" s="12" t="inlineStr">
        <is>
          <t>HP (HP) Cap</t>
        </is>
      </c>
      <c r="B16" s="25" t="n"/>
      <c r="C16" s="26" t="n"/>
      <c r="D16" s="14">
        <f>IF(D13="","—",8+2*D13+IF($E$4="",0,$E$4))</f>
        <v/>
      </c>
      <c r="E16" s="26" t="n"/>
      <c r="F16" s="6" t="inlineStr">
        <is>
          <t>8 + 2×Will (WIL) + Prestige (PRS)</t>
        </is>
      </c>
      <c r="G16" s="25" t="n"/>
      <c r="H16" s="25" t="n"/>
      <c r="I16" s="26" t="n"/>
    </row>
    <row r="17">
      <c r="A17" s="12" t="inlineStr">
        <is>
          <t>Health State (HS) Cap</t>
        </is>
      </c>
      <c r="B17" s="25" t="n"/>
      <c r="C17" s="26" t="n"/>
      <c r="D17" s="14">
        <f>IF($E$3="Echo Companion",3,IF($E$3="Whisperer","—",2))</f>
        <v/>
      </c>
      <c r="E17" s="26" t="n"/>
      <c r="F17" s="6" t="inlineStr">
        <is>
          <t>Healthy→Injured→Dying. Echo Companion uses three-stage tracking.</t>
        </is>
      </c>
      <c r="G17" s="25" t="n"/>
      <c r="H17" s="25" t="n"/>
      <c r="I17" s="26" t="n"/>
    </row>
    <row r="18">
      <c r="A18" s="12" t="inlineStr">
        <is>
          <t>Action Point (AP) / round</t>
        </is>
      </c>
      <c r="B18" s="25" t="n"/>
      <c r="C18" s="26" t="n"/>
      <c r="D18" s="14">
        <f>IF($E$3="Echo Companion",1,IF($E$3="Whisperer",0,4))</f>
        <v/>
      </c>
      <c r="E18" s="26" t="n"/>
      <c r="F18" s="6" t="inlineStr">
        <is>
          <t>Echo Companion fixed at 1; Whisperer takes no action.</t>
        </is>
      </c>
      <c r="G18" s="25" t="n"/>
      <c r="H18" s="25" t="n"/>
      <c r="I18" s="26" t="n"/>
    </row>
    <row r="19">
      <c r="A19" s="12" t="inlineStr">
        <is>
          <t>Move (MOV) / round</t>
        </is>
      </c>
      <c r="B19" s="25" t="n"/>
      <c r="C19" s="26" t="n"/>
      <c r="D19" s="14">
        <f>IF(D9="","—",6+INT(D9/2))</f>
        <v/>
      </c>
      <c r="E19" s="26" t="n"/>
      <c r="F19" s="6" t="inlineStr">
        <is>
          <t>6 + INT(Agility (AGI) ÷ 2). 1 cell = 2 meters</t>
        </is>
      </c>
      <c r="G19" s="25" t="n"/>
      <c r="H19" s="25" t="n"/>
      <c r="I19" s="26" t="n"/>
    </row>
    <row r="20">
      <c r="A20" s="12" t="inlineStr">
        <is>
          <t>Repair Progress (Progress Point / round)</t>
        </is>
      </c>
      <c r="B20" s="25" t="n"/>
      <c r="C20" s="26" t="n"/>
      <c r="D20" s="14">
        <f>IF($E$3="Echo Companion",1,IF(D10="","—",INT(D10/2)))</f>
        <v/>
      </c>
      <c r="E20" s="26" t="n"/>
      <c r="F20" s="6" t="inlineStr">
        <is>
          <t>Echo Companion fixed +1 progress point (50% efficiency)</t>
        </is>
      </c>
      <c r="G20" s="25" t="n"/>
      <c r="H20" s="25" t="n"/>
      <c r="I20" s="26" t="n"/>
    </row>
    <row r="21">
      <c r="A21" s="12" t="inlineStr">
        <is>
          <t>Heal Progress (per round)</t>
        </is>
      </c>
      <c r="B21" s="25" t="n"/>
      <c r="C21" s="26" t="n"/>
      <c r="D21" s="14">
        <f>IF($E$3="Echo Companion",2,IF(D12="","—",INT(D12/2)+2))</f>
        <v/>
      </c>
      <c r="E21" s="26" t="n"/>
      <c r="F21" s="6" t="inlineStr">
        <is>
          <t>Echo Companion fixed +2, and cannot heal itself</t>
        </is>
      </c>
      <c r="G21" s="25" t="n"/>
      <c r="H21" s="25" t="n"/>
      <c r="I21" s="26" t="n"/>
    </row>
    <row r="22">
      <c r="A22" s="12" t="inlineStr">
        <is>
          <t>Passive Awareness Difficulty Class (DC)</t>
        </is>
      </c>
      <c r="B22" s="25" t="n"/>
      <c r="C22" s="26" t="n"/>
      <c r="D22" s="14">
        <f>IF(D12="","—",8+INT(D12/2))</f>
        <v/>
      </c>
      <c r="E22" s="26" t="n"/>
      <c r="F22" s="6" t="inlineStr">
        <is>
          <t>The target value for the Killer or other characters to notice this NPC</t>
        </is>
      </c>
      <c r="G22" s="25" t="n"/>
      <c r="H22" s="25" t="n"/>
      <c r="I22" s="26" t="n"/>
    </row>
    <row r="23" ht="20" customHeight="1">
      <c r="A23" s="10" t="inlineStr">
        <is>
          <t>III. Echo Companion exclusive: three-line behavior table</t>
        </is>
      </c>
      <c r="B23" s="25" t="n"/>
      <c r="C23" s="25" t="n"/>
      <c r="D23" s="25" t="n"/>
      <c r="E23" s="25" t="n"/>
      <c r="F23" s="25" t="n"/>
      <c r="G23" s="25" t="n"/>
      <c r="H23" s="25" t="n"/>
      <c r="I23" s="26" t="n"/>
    </row>
    <row r="24">
      <c r="A24" s="15" t="inlineStr">
        <is>
          <t>Used only when 'NPC Type = Echo Companion'. The GM checks top-to-bottom each round; the first condition met is the Echo Companion's action that round. No roleplay, no voice; one line per round.</t>
        </is>
      </c>
      <c r="B24" s="25" t="n"/>
      <c r="C24" s="25" t="n"/>
      <c r="D24" s="25" t="n"/>
      <c r="E24" s="25" t="n"/>
      <c r="F24" s="25" t="n"/>
      <c r="G24" s="25" t="n"/>
      <c r="H24" s="25" t="n"/>
      <c r="I24" s="26" t="n"/>
    </row>
    <row r="25">
      <c r="A25" s="5" t="inlineStr">
        <is>
          <t>No.</t>
        </is>
      </c>
      <c r="B25" s="5" t="inlineStr">
        <is>
          <t>Condition</t>
        </is>
      </c>
      <c r="C25" s="25" t="n"/>
      <c r="D25" s="26" t="n"/>
      <c r="E25" s="5" t="inlineStr">
        <is>
          <t>Action</t>
        </is>
      </c>
      <c r="F25" s="25" t="n"/>
      <c r="G25" s="25" t="n"/>
      <c r="H25" s="25" t="n"/>
      <c r="I25" s="26" t="n"/>
    </row>
    <row r="26" ht="30" customHeight="1">
      <c r="A26" s="12" t="inlineStr">
        <is>
          <t>①</t>
        </is>
      </c>
      <c r="B26" s="6" t="inlineStr">
        <is>
          <t>A Survivor is Hooked and this NPC can arrive within 2 rounds</t>
        </is>
      </c>
      <c r="C26" s="25" t="n"/>
      <c r="D26" s="26" t="n"/>
      <c r="E26" s="6" t="inlineStr">
        <is>
          <t>Go to rescue. On arrival, spend 1 Action Point (AP) to unhook, 100% success (no check).</t>
        </is>
      </c>
      <c r="F26" s="25" t="n"/>
      <c r="G26" s="25" t="n"/>
      <c r="H26" s="25" t="n"/>
      <c r="I26" s="26" t="n"/>
    </row>
    <row r="27" ht="30" customHeight="1">
      <c r="A27" s="12" t="inlineStr">
        <is>
          <t>②</t>
        </is>
      </c>
      <c r="B27" s="6" t="inlineStr">
        <is>
          <t>Self is Injured or Dying, or Killer is within 4 cells</t>
        </is>
      </c>
      <c r="C27" s="25" t="n"/>
      <c r="D27" s="26" t="n"/>
      <c r="E27" s="6" t="inlineStr">
        <is>
          <t>Self-preserve. Move away from Killer, prefer entering a Locker or cover; when Dying, crawl in place.</t>
        </is>
      </c>
      <c r="F27" s="25" t="n"/>
      <c r="G27" s="25" t="n"/>
      <c r="H27" s="25" t="n"/>
      <c r="I27" s="26" t="n"/>
    </row>
    <row r="28" ht="30" customHeight="1">
      <c r="A28" s="12" t="inlineStr">
        <is>
          <t>③</t>
        </is>
      </c>
      <c r="B28" s="6" t="inlineStr">
        <is>
          <t>None of the above holds</t>
        </is>
      </c>
      <c r="C28" s="25" t="n"/>
      <c r="D28" s="26" t="n"/>
      <c r="E28" s="6" t="inlineStr">
        <is>
          <t>Go to the nearest unfinished Generator and repair; +1 progress point per round.</t>
        </is>
      </c>
      <c r="F28" s="25" t="n"/>
      <c r="G28" s="25" t="n"/>
      <c r="H28" s="25" t="n"/>
      <c r="I28" s="26" t="n"/>
    </row>
    <row r="29">
      <c r="A29" s="15" t="inlineStr">
        <is>
          <t>Echo Companion limits: cannot self-unhook, cannot heal itself, cannot use items, cannot trade with Whisperer. Once hooked, it stalls a fixed 3 rounds before advancing to the next hook phase (Echo Stall). Count = MAX(0, 3 − Survivor player count N).</t>
        </is>
      </c>
      <c r="B29" s="25" t="n"/>
      <c r="C29" s="25" t="n"/>
      <c r="D29" s="25" t="n"/>
      <c r="E29" s="25" t="n"/>
      <c r="F29" s="25" t="n"/>
      <c r="G29" s="25" t="n"/>
      <c r="H29" s="25" t="n"/>
      <c r="I29" s="26" t="n"/>
    </row>
    <row r="30" ht="20" customHeight="1">
      <c r="A30" s="10" t="inlineStr">
        <is>
          <t>IV. Narrative Data</t>
        </is>
      </c>
      <c r="B30" s="25" t="n"/>
      <c r="C30" s="25" t="n"/>
      <c r="D30" s="25" t="n"/>
      <c r="E30" s="25" t="n"/>
      <c r="F30" s="25" t="n"/>
      <c r="G30" s="25" t="n"/>
      <c r="H30" s="25" t="n"/>
      <c r="I30" s="26" t="n"/>
    </row>
    <row r="31" ht="30" customHeight="1">
      <c r="A31" s="12" t="inlineStr">
        <is>
          <t>Motivation</t>
        </is>
      </c>
      <c r="B31" s="26" t="n"/>
      <c r="C31" s="18" t="inlineStr">
        <is>
          <t>None. Residual Behavior: wiping hands. They never come clean.</t>
        </is>
      </c>
      <c r="D31" s="25" t="n"/>
      <c r="E31" s="25" t="n"/>
      <c r="F31" s="25" t="n"/>
      <c r="G31" s="25" t="n"/>
      <c r="H31" s="25" t="n"/>
      <c r="I31" s="26" t="n"/>
    </row>
    <row r="32" ht="46" customHeight="1">
      <c r="A32" s="12" t="inlineStr">
        <is>
          <t>Background</t>
        </is>
      </c>
      <c r="B32" s="26" t="n"/>
      <c r="C32" s="18" t="inlineStr">
        <is>
          <t>An old Survivor afterimage recalled by the Fogcellar. Its memory husk is also in the Fogcellar (S3).</t>
        </is>
      </c>
      <c r="D32" s="25" t="n"/>
      <c r="E32" s="25" t="n"/>
      <c r="F32" s="25" t="n"/>
      <c r="G32" s="25" t="n"/>
      <c r="H32" s="25" t="n"/>
      <c r="I32" s="26" t="n"/>
    </row>
    <row r="33" ht="40" customHeight="1">
      <c r="A33" s="12" t="inlineStr">
        <is>
          <t>Role in Main Plot</t>
        </is>
      </c>
      <c r="B33" s="26" t="n"/>
      <c r="C33" s="18" t="inlineStr">
        <is>
          <t>Can be summoned as an Echo Companion from S3; in S3 the Player can pick its husk; in S5 it recognizes the Player in the Void.</t>
        </is>
      </c>
      <c r="D33" s="25" t="n"/>
      <c r="E33" s="25" t="n"/>
      <c r="F33" s="25" t="n"/>
      <c r="G33" s="25" t="n"/>
      <c r="H33" s="25" t="n"/>
      <c r="I33" s="26" t="n"/>
    </row>
    <row r="34" ht="34" customHeight="1">
      <c r="A34" s="12" t="inlineStr">
        <is>
          <t>Signature Line</t>
        </is>
      </c>
      <c r="B34" s="26" t="n"/>
      <c r="C34" s="18" t="inlineStr">
        <is>
          <t>(Sound of wiping hands.)</t>
        </is>
      </c>
      <c r="D34" s="25" t="n"/>
      <c r="E34" s="25" t="n"/>
      <c r="F34" s="25" t="n"/>
      <c r="G34" s="25" t="n"/>
      <c r="H34" s="25" t="n"/>
      <c r="I34" s="26" t="n"/>
    </row>
    <row r="35" ht="20" customHeight="1">
      <c r="A35" s="10" t="inlineStr">
        <is>
          <t>V. Special Interactions &amp; Rewards</t>
        </is>
      </c>
      <c r="B35" s="25" t="n"/>
      <c r="C35" s="25" t="n"/>
      <c r="D35" s="25" t="n"/>
      <c r="E35" s="25" t="n"/>
      <c r="F35" s="25" t="n"/>
      <c r="G35" s="25" t="n"/>
      <c r="H35" s="25" t="n"/>
      <c r="I35" s="26" t="n"/>
    </row>
    <row r="36" ht="46" customHeight="1">
      <c r="A36" s="12" t="inlineStr">
        <is>
          <t>Special Rule</t>
        </is>
      </c>
      <c r="B36" s="26" t="n"/>
      <c r="C36" s="18" t="inlineStr">
        <is>
          <t>The Player may spend their own husk-picking chance to pick its husk. If so: in S5 it recognizes the Player in the Void and walks over on its own — the only time in the whole campaign an Echo initiates contact with the Player.</t>
        </is>
      </c>
      <c r="D36" s="25" t="n"/>
      <c r="E36" s="25" t="n"/>
      <c r="F36" s="25" t="n"/>
      <c r="G36" s="25" t="n"/>
      <c r="H36" s="25" t="n"/>
      <c r="I36" s="26" t="n"/>
    </row>
    <row r="37" ht="30" customHeight="1">
      <c r="A37" s="12" t="inlineStr">
        <is>
          <t>Hope Point (HOP) / Campfire Ember reward</t>
        </is>
      </c>
      <c r="B37" s="25" t="n"/>
      <c r="C37" s="26" t="n"/>
      <c r="D37" s="6" t="inlineStr">
        <is>
          <t>Picking its husk: +3 Campfire Embers. S5 initiating contact: another +5 Campfire Embers.</t>
        </is>
      </c>
      <c r="E37" s="25" t="n"/>
      <c r="F37" s="25" t="n"/>
      <c r="G37" s="25" t="n"/>
      <c r="H37" s="25" t="n"/>
      <c r="I37" s="26" t="n"/>
    </row>
    <row r="38" ht="20" customHeight="1">
      <c r="A38" s="10" t="inlineStr">
        <is>
          <t>VI. GM Running Notes</t>
        </is>
      </c>
      <c r="B38" s="25" t="n"/>
      <c r="C38" s="25" t="n"/>
      <c r="D38" s="25" t="n"/>
      <c r="E38" s="25" t="n"/>
      <c r="F38" s="25" t="n"/>
      <c r="G38" s="25" t="n"/>
      <c r="H38" s="25" t="n"/>
      <c r="I38" s="26" t="n"/>
    </row>
    <row r="39" ht="52" customHeight="1">
      <c r="A39" s="18" t="inlineStr">
        <is>
          <t>The hand-wiping sound should appear in quiet moments. When the Player crouches holding their breath in a locker, someone is wiping hands in the distance — one of the most useful ambient sounds in this system.</t>
        </is>
      </c>
      <c r="B39" s="25" t="n"/>
      <c r="C39" s="25" t="n"/>
      <c r="D39" s="25" t="n"/>
      <c r="E39" s="25" t="n"/>
      <c r="F39" s="25" t="n"/>
      <c r="G39" s="25" t="n"/>
      <c r="H39" s="25" t="n"/>
      <c r="I39" s="26" t="n"/>
    </row>
    <row r="40" ht="20" customHeight="1">
      <c r="A40" s="10" t="inlineStr">
        <is>
          <t>VII. In-Trial Tracker (reusable)</t>
        </is>
      </c>
      <c r="B40" s="25" t="n"/>
      <c r="C40" s="25" t="n"/>
      <c r="D40" s="25" t="n"/>
      <c r="E40" s="25" t="n"/>
      <c r="F40" s="25" t="n"/>
      <c r="G40" s="25" t="n"/>
      <c r="H40" s="25" t="n"/>
      <c r="I40" s="26" t="n"/>
    </row>
    <row r="41">
      <c r="A41" s="12" t="inlineStr">
        <is>
          <t>Health State (HS)</t>
        </is>
      </c>
      <c r="B41" s="26" t="n"/>
      <c r="C41" s="5" t="inlineStr">
        <is>
          <t>Healthy</t>
        </is>
      </c>
      <c r="D41" s="5" t="inlineStr">
        <is>
          <t>Injured</t>
        </is>
      </c>
      <c r="E41" s="5" t="inlineStr">
        <is>
          <t>Dying</t>
        </is>
      </c>
      <c r="F41" s="12" t="inlineStr">
        <is>
          <t>Hook Phase</t>
        </is>
      </c>
      <c r="G41" s="26" t="n"/>
      <c r="H41" s="5" t="inlineStr">
        <is>
          <t>I (Wiggle)</t>
        </is>
      </c>
      <c r="I41" s="5" t="inlineStr">
        <is>
          <t>II (Sacrifice)</t>
        </is>
      </c>
    </row>
    <row r="42">
      <c r="A42" s="5" t="inlineStr">
        <is>
          <t>Check current state</t>
        </is>
      </c>
      <c r="B42" s="26" t="n"/>
      <c r="C42" s="8" t="inlineStr">
        <is>
          <t>☐</t>
        </is>
      </c>
      <c r="D42" s="8" t="inlineStr">
        <is>
          <t>☐</t>
        </is>
      </c>
      <c r="E42" s="8" t="inlineStr">
        <is>
          <t>☐</t>
        </is>
      </c>
      <c r="F42" s="5" t="inlineStr">
        <is>
          <t>Check</t>
        </is>
      </c>
      <c r="G42" s="26" t="n"/>
      <c r="H42" s="8" t="inlineStr">
        <is>
          <t>☐</t>
        </is>
      </c>
      <c r="I42" s="8" t="inlineStr">
        <is>
          <t>☐</t>
        </is>
      </c>
    </row>
    <row r="43">
      <c r="A43" s="12" t="inlineStr">
        <is>
          <t>Current Status Effect</t>
        </is>
      </c>
      <c r="B43" s="26" t="n"/>
      <c r="C43" s="6" t="n"/>
      <c r="D43" s="25" t="n"/>
      <c r="E43" s="25" t="n"/>
      <c r="F43" s="25" t="n"/>
      <c r="G43" s="25" t="n"/>
      <c r="H43" s="25" t="n"/>
      <c r="I43" s="26" t="n"/>
    </row>
    <row r="44" ht="40" customHeight="1">
      <c r="A44" s="12" t="inlineStr">
        <is>
          <t>Notes</t>
        </is>
      </c>
      <c r="B44" s="26" t="n"/>
      <c r="C44" s="18" t="n"/>
      <c r="D44" s="25" t="n"/>
      <c r="E44" s="25" t="n"/>
      <c r="F44" s="25" t="n"/>
      <c r="G44" s="25" t="n"/>
      <c r="H44" s="25" t="n"/>
      <c r="I44" s="26" t="n"/>
    </row>
  </sheetData>
  <mergeCells count="82">
    <mergeCell ref="C36:I36"/>
    <mergeCell ref="A7:I7"/>
    <mergeCell ref="D20:E20"/>
    <mergeCell ref="A37:C37"/>
    <mergeCell ref="E5:I5"/>
    <mergeCell ref="A21:C21"/>
    <mergeCell ref="D22:E22"/>
    <mergeCell ref="B28:D28"/>
    <mergeCell ref="A41:B41"/>
    <mergeCell ref="F16:I16"/>
    <mergeCell ref="A35:I35"/>
    <mergeCell ref="A33:B33"/>
    <mergeCell ref="A42:B42"/>
    <mergeCell ref="A39:I39"/>
    <mergeCell ref="E26:I26"/>
    <mergeCell ref="A30:I30"/>
    <mergeCell ref="C31:I31"/>
    <mergeCell ref="A6:C6"/>
    <mergeCell ref="E25:I25"/>
    <mergeCell ref="A2:C5"/>
    <mergeCell ref="D6:I6"/>
    <mergeCell ref="A9:B9"/>
    <mergeCell ref="E3:F3"/>
    <mergeCell ref="F13:I13"/>
    <mergeCell ref="D19:E19"/>
    <mergeCell ref="A11:B11"/>
    <mergeCell ref="E4:F4"/>
    <mergeCell ref="E28:I28"/>
    <mergeCell ref="C34:I34"/>
    <mergeCell ref="F42:G42"/>
    <mergeCell ref="F19:I19"/>
    <mergeCell ref="F20:I20"/>
    <mergeCell ref="A8:B8"/>
    <mergeCell ref="H3:I3"/>
    <mergeCell ref="C44:I44"/>
    <mergeCell ref="F17:I17"/>
    <mergeCell ref="A10:B10"/>
    <mergeCell ref="A1:I1"/>
    <mergeCell ref="A16:C16"/>
    <mergeCell ref="A34:B34"/>
    <mergeCell ref="F9:I9"/>
    <mergeCell ref="A18:C18"/>
    <mergeCell ref="A36:B36"/>
    <mergeCell ref="C32:I32"/>
    <mergeCell ref="A14:I14"/>
    <mergeCell ref="A22:C22"/>
    <mergeCell ref="A23:I23"/>
    <mergeCell ref="C33:I33"/>
    <mergeCell ref="D17:E17"/>
    <mergeCell ref="F10:I10"/>
    <mergeCell ref="A20:C20"/>
    <mergeCell ref="A38:I38"/>
    <mergeCell ref="A12:B12"/>
    <mergeCell ref="E2:I2"/>
    <mergeCell ref="A32:B32"/>
    <mergeCell ref="A40:I40"/>
    <mergeCell ref="B25:D25"/>
    <mergeCell ref="A24:I24"/>
    <mergeCell ref="F18:I18"/>
    <mergeCell ref="A43:B43"/>
    <mergeCell ref="F8:I8"/>
    <mergeCell ref="F22:I22"/>
    <mergeCell ref="H4:I4"/>
    <mergeCell ref="D21:E21"/>
    <mergeCell ref="D37:I37"/>
    <mergeCell ref="F11:I11"/>
    <mergeCell ref="A17:C17"/>
    <mergeCell ref="F41:G41"/>
    <mergeCell ref="A29:I29"/>
    <mergeCell ref="D16:E16"/>
    <mergeCell ref="A19:C19"/>
    <mergeCell ref="F12:I12"/>
    <mergeCell ref="B26:D26"/>
    <mergeCell ref="F21:I21"/>
    <mergeCell ref="E27:I27"/>
    <mergeCell ref="D18:E18"/>
    <mergeCell ref="A15:I15"/>
    <mergeCell ref="C43:I43"/>
    <mergeCell ref="B27:D27"/>
    <mergeCell ref="A13:B13"/>
    <mergeCell ref="A44:B44"/>
    <mergeCell ref="A31:B31"/>
  </mergeCells>
  <dataValidations count="2">
    <dataValidation sqref="E3:F3" showDropDown="0" showInputMessage="0" showErrorMessage="0" allowBlank="1" type="list">
      <formula1>"營火同伴,回聲同伴,低語者,殘影,觀察者,特殊存在"</formula1>
    </dataValidation>
    <dataValidation sqref="C9:C13" showDropDown="0" showInputMessage="0" showErrorMessage="0" allowBlank="1" type="list">
      <formula1>"極高,高,中,低,極低,不適用"</formula1>
    </dataValidation>
  </dataValidations>
  <printOptions horizontalCentered="1"/>
  <pageMargins left="0.75" right="0.75" top="1" bottom="1" header="0.5" footer="0.5"/>
  <pageSetup orientation="portrait" fitToHeight="0" fitToWidth="1"/>
</worksheet>
</file>

<file path=xl/worksheets/sheet9.xml><?xml version="1.0" encoding="utf-8"?>
<worksheet xmlns="http://schemas.openxmlformats.org/spreadsheetml/2006/main">
  <sheetPr>
    <outlinePr summaryBelow="1" summaryRight="1"/>
    <pageSetUpPr fitToPage="1"/>
  </sheetPr>
  <dimension ref="A1:I44"/>
  <sheetViews>
    <sheetView workbookViewId="0">
      <pane ySplit="6" topLeftCell="A7" activePane="bottomLeft" state="frozen"/>
      <selection pane="bottomLeft" activeCell="A1" sqref="A1"/>
    </sheetView>
  </sheetViews>
  <sheetFormatPr baseColWidth="8" defaultRowHeight="15"/>
  <cols>
    <col width="11" customWidth="1" min="1" max="1"/>
    <col width="11" customWidth="1" min="2" max="2"/>
    <col width="11" customWidth="1" min="3" max="3"/>
    <col width="13" customWidth="1" min="4" max="4"/>
    <col width="13" customWidth="1" min="5" max="5"/>
    <col width="12" customWidth="1" min="6" max="6"/>
    <col width="12" customWidth="1" min="7" max="7"/>
    <col width="13" customWidth="1" min="8" max="8"/>
    <col width="13" customWidth="1" min="9" max="9"/>
  </cols>
  <sheetData>
    <row r="1" ht="28" customHeight="1">
      <c r="A1" s="1" t="inlineStr">
        <is>
          <t>Dead by Daylight TRPG　Non-Player Character (NPC) Card　·　Full Type</t>
        </is>
      </c>
      <c r="B1" s="21" t="n"/>
      <c r="C1" s="21" t="n"/>
      <c r="D1" s="21" t="n"/>
      <c r="E1" s="21" t="n"/>
      <c r="F1" s="21" t="n"/>
      <c r="G1" s="21" t="n"/>
      <c r="H1" s="21" t="n"/>
      <c r="I1" s="22" t="n"/>
    </row>
    <row r="2">
      <c r="A2" s="3" t="inlineStr">
        <is>
          <t>Character Art
(Paste character image here)</t>
        </is>
      </c>
      <c r="B2" s="23" t="n"/>
      <c r="C2" s="24" t="n"/>
      <c r="D2" s="5" t="inlineStr">
        <is>
          <t>Name</t>
        </is>
      </c>
      <c r="E2" s="6" t="inlineStr">
        <is>
          <t>Echo: Hilda</t>
        </is>
      </c>
      <c r="F2" s="25" t="n"/>
      <c r="G2" s="25" t="n"/>
      <c r="H2" s="25" t="n"/>
      <c r="I2" s="26" t="n"/>
    </row>
    <row r="3">
      <c r="A3" s="27" t="n"/>
      <c r="C3" s="28" t="n"/>
      <c r="D3" s="5" t="inlineStr">
        <is>
          <t>NPC Type</t>
        </is>
      </c>
      <c r="E3" s="8" t="inlineStr">
        <is>
          <t>Echo Companion</t>
        </is>
      </c>
      <c r="F3" s="26" t="n"/>
      <c r="G3" s="5" t="inlineStr">
        <is>
          <t>Role</t>
        </is>
      </c>
      <c r="H3" s="6" t="inlineStr">
        <is>
          <t>Echo Companion (from S7, appears only if "shout her Name" was chosen in S6)</t>
        </is>
      </c>
      <c r="I3" s="26" t="n"/>
    </row>
    <row r="4">
      <c r="A4" s="27" t="n"/>
      <c r="C4" s="28" t="n"/>
      <c r="D4" s="5" t="inlineStr">
        <is>
          <t>Prestige (PRS)</t>
        </is>
      </c>
      <c r="E4" s="8" t="n">
        <v>1</v>
      </c>
      <c r="F4" s="26" t="n"/>
      <c r="G4" s="5" t="inlineStr">
        <is>
          <t>First Appearance</t>
        </is>
      </c>
      <c r="H4" s="8" t="inlineStr">
        <is>
          <t>S7</t>
        </is>
      </c>
      <c r="I4" s="26" t="n"/>
    </row>
    <row r="5">
      <c r="A5" s="29" t="n"/>
      <c r="B5" s="30" t="n"/>
      <c r="C5" s="31" t="n"/>
      <c r="D5" s="5" t="inlineStr">
        <is>
          <t>Affiliated Realm / Location</t>
        </is>
      </c>
      <c r="E5" s="6" t="inlineStr">
        <is>
          <t>Fogcellar recall</t>
        </is>
      </c>
      <c r="F5" s="25" t="n"/>
      <c r="G5" s="25" t="n"/>
      <c r="H5" s="25" t="n"/>
      <c r="I5" s="26" t="n"/>
    </row>
    <row r="6" ht="32" customHeight="1">
      <c r="A6" s="5" t="inlineStr">
        <is>
          <t>Appearance</t>
        </is>
      </c>
      <c r="B6" s="25" t="n"/>
      <c r="C6" s="26" t="n"/>
      <c r="D6" s="6" t="inlineStr">
        <is>
          <t>Hilda, but very faint. Her face is right, but she does not look at people.</t>
        </is>
      </c>
      <c r="E6" s="25" t="n"/>
      <c r="F6" s="25" t="n"/>
      <c r="G6" s="25" t="n"/>
      <c r="H6" s="25" t="n"/>
      <c r="I6" s="26" t="n"/>
    </row>
    <row r="7" ht="20" customHeight="1">
      <c r="A7" s="10" t="inlineStr">
        <is>
          <t>I. Attributes (Five-Attribute Frame)</t>
        </is>
      </c>
      <c r="B7" s="25" t="n"/>
      <c r="C7" s="25" t="n"/>
      <c r="D7" s="25" t="n"/>
      <c r="E7" s="25" t="n"/>
      <c r="F7" s="25" t="n"/>
      <c r="G7" s="25" t="n"/>
      <c r="H7" s="25" t="n"/>
      <c r="I7" s="26" t="n"/>
    </row>
    <row r="8" ht="28" customHeight="1">
      <c r="A8" s="5" t="inlineStr">
        <is>
          <t>Attribute</t>
        </is>
      </c>
      <c r="B8" s="26" t="n"/>
      <c r="C8" s="5" t="inlineStr">
        <is>
          <t>Tendency</t>
        </is>
      </c>
      <c r="D8" s="5" t="inlineStr">
        <is>
          <t>Attribute Value
(1–10)</t>
        </is>
      </c>
      <c r="E8" s="5" t="inlineStr">
        <is>
          <t>Attribute Bonus (AB)</t>
        </is>
      </c>
      <c r="F8" s="5" t="inlineStr">
        <is>
          <t>Notes</t>
        </is>
      </c>
      <c r="G8" s="25" t="n"/>
      <c r="H8" s="25" t="n"/>
      <c r="I8" s="26" t="n"/>
    </row>
    <row r="9">
      <c r="A9" s="12" t="inlineStr">
        <is>
          <t>Agility (AGI)</t>
        </is>
      </c>
      <c r="B9" s="26" t="n"/>
      <c r="C9" s="8" t="inlineStr">
        <is>
          <t>Low</t>
        </is>
      </c>
      <c r="D9" s="8" t="n">
        <v>3</v>
      </c>
      <c r="E9" s="14">
        <f>IF(D9="","",INT(D9/2))</f>
        <v/>
      </c>
      <c r="F9" s="6" t="n"/>
      <c r="G9" s="25" t="n"/>
      <c r="H9" s="25" t="n"/>
      <c r="I9" s="26" t="n"/>
    </row>
    <row r="10">
      <c r="A10" s="12" t="inlineStr">
        <is>
          <t>Technique (TEC)</t>
        </is>
      </c>
      <c r="B10" s="26" t="n"/>
      <c r="C10" s="8" t="inlineStr">
        <is>
          <t>Low</t>
        </is>
      </c>
      <c r="D10" s="8" t="n">
        <v>3</v>
      </c>
      <c r="E10" s="14">
        <f>IF(D10="","",INT(D10/2))</f>
        <v/>
      </c>
      <c r="F10" s="6" t="n"/>
      <c r="G10" s="25" t="n"/>
      <c r="H10" s="25" t="n"/>
      <c r="I10" s="26" t="n"/>
    </row>
    <row r="11">
      <c r="A11" s="12" t="inlineStr">
        <is>
          <t>Stealth (STL)</t>
        </is>
      </c>
      <c r="B11" s="26" t="n"/>
      <c r="C11" s="8" t="inlineStr">
        <is>
          <t>High</t>
        </is>
      </c>
      <c r="D11" s="8" t="n">
        <v>7</v>
      </c>
      <c r="E11" s="14">
        <f>IF(D11="","",INT(D11/2))</f>
        <v/>
      </c>
      <c r="F11" s="6" t="n"/>
      <c r="G11" s="25" t="n"/>
      <c r="H11" s="25" t="n"/>
      <c r="I11" s="26" t="n"/>
    </row>
    <row r="12">
      <c r="A12" s="12" t="inlineStr">
        <is>
          <t>Focus (FOC)</t>
        </is>
      </c>
      <c r="B12" s="26" t="n"/>
      <c r="C12" s="8" t="inlineStr">
        <is>
          <t>Low</t>
        </is>
      </c>
      <c r="D12" s="8" t="n">
        <v>3</v>
      </c>
      <c r="E12" s="14">
        <f>IF(D12="","",INT(D12/2))</f>
        <v/>
      </c>
      <c r="F12" s="6" t="n"/>
      <c r="G12" s="25" t="n"/>
      <c r="H12" s="25" t="n"/>
      <c r="I12" s="26" t="n"/>
    </row>
    <row r="13">
      <c r="A13" s="12" t="inlineStr">
        <is>
          <t>Will (WIL)</t>
        </is>
      </c>
      <c r="B13" s="26" t="n"/>
      <c r="C13" s="8" t="inlineStr">
        <is>
          <t>Low</t>
        </is>
      </c>
      <c r="D13" s="8" t="n">
        <v>3</v>
      </c>
      <c r="E13" s="14">
        <f>IF(D13="","",INT(D13/2))</f>
        <v/>
      </c>
      <c r="F13" s="6" t="n"/>
      <c r="G13" s="25" t="n"/>
      <c r="H13" s="25" t="n"/>
      <c r="I13" s="26" t="n"/>
    </row>
    <row r="14">
      <c r="A14" s="15" t="inlineStr">
        <is>
          <t>Attribute Bonus (AB) = INT(Attribute Value ÷ 2), auto-calculated. 'Tendency' is a narrative-scale relative description; 'Attribute Value' is filled by the GM per Prestige (PRS). For insubstantial NPCs (e.g. Whisperer), leave Attribute Value blank.</t>
        </is>
      </c>
      <c r="B14" s="25" t="n"/>
      <c r="C14" s="25" t="n"/>
      <c r="D14" s="25" t="n"/>
      <c r="E14" s="25" t="n"/>
      <c r="F14" s="25" t="n"/>
      <c r="G14" s="25" t="n"/>
      <c r="H14" s="25" t="n"/>
      <c r="I14" s="26" t="n"/>
    </row>
    <row r="15" ht="20" customHeight="1">
      <c r="A15" s="10" t="inlineStr">
        <is>
          <t>II. Derived Values (auto-calculated)</t>
        </is>
      </c>
      <c r="B15" s="25" t="n"/>
      <c r="C15" s="25" t="n"/>
      <c r="D15" s="25" t="n"/>
      <c r="E15" s="25" t="n"/>
      <c r="F15" s="25" t="n"/>
      <c r="G15" s="25" t="n"/>
      <c r="H15" s="25" t="n"/>
      <c r="I15" s="26" t="n"/>
    </row>
    <row r="16">
      <c r="A16" s="12" t="inlineStr">
        <is>
          <t>HP (HP) Cap</t>
        </is>
      </c>
      <c r="B16" s="25" t="n"/>
      <c r="C16" s="26" t="n"/>
      <c r="D16" s="14">
        <f>IF(D13="","—",8+2*D13+IF($E$4="",0,$E$4))</f>
        <v/>
      </c>
      <c r="E16" s="26" t="n"/>
      <c r="F16" s="6" t="inlineStr">
        <is>
          <t>8 + 2×Will (WIL) + Prestige (PRS)</t>
        </is>
      </c>
      <c r="G16" s="25" t="n"/>
      <c r="H16" s="25" t="n"/>
      <c r="I16" s="26" t="n"/>
    </row>
    <row r="17">
      <c r="A17" s="12" t="inlineStr">
        <is>
          <t>Health State (HS) Cap</t>
        </is>
      </c>
      <c r="B17" s="25" t="n"/>
      <c r="C17" s="26" t="n"/>
      <c r="D17" s="14">
        <f>IF($E$3="Echo Companion",3,IF($E$3="Whisperer","—",2))</f>
        <v/>
      </c>
      <c r="E17" s="26" t="n"/>
      <c r="F17" s="6" t="inlineStr">
        <is>
          <t>Healthy→Injured→Dying. Echo Companion uses three-stage tracking.</t>
        </is>
      </c>
      <c r="G17" s="25" t="n"/>
      <c r="H17" s="25" t="n"/>
      <c r="I17" s="26" t="n"/>
    </row>
    <row r="18">
      <c r="A18" s="12" t="inlineStr">
        <is>
          <t>Action Point (AP) / round</t>
        </is>
      </c>
      <c r="B18" s="25" t="n"/>
      <c r="C18" s="26" t="n"/>
      <c r="D18" s="14">
        <f>IF($E$3="Echo Companion",1,IF($E$3="Whisperer",0,4))</f>
        <v/>
      </c>
      <c r="E18" s="26" t="n"/>
      <c r="F18" s="6" t="inlineStr">
        <is>
          <t>Echo Companion fixed at 1; Whisperer takes no action.</t>
        </is>
      </c>
      <c r="G18" s="25" t="n"/>
      <c r="H18" s="25" t="n"/>
      <c r="I18" s="26" t="n"/>
    </row>
    <row r="19">
      <c r="A19" s="12" t="inlineStr">
        <is>
          <t>Move (MOV) / round</t>
        </is>
      </c>
      <c r="B19" s="25" t="n"/>
      <c r="C19" s="26" t="n"/>
      <c r="D19" s="14">
        <f>IF(D9="","—",6+INT(D9/2))</f>
        <v/>
      </c>
      <c r="E19" s="26" t="n"/>
      <c r="F19" s="6" t="inlineStr">
        <is>
          <t>6 + INT(Agility (AGI) ÷ 2). 1 cell = 2 meters</t>
        </is>
      </c>
      <c r="G19" s="25" t="n"/>
      <c r="H19" s="25" t="n"/>
      <c r="I19" s="26" t="n"/>
    </row>
    <row r="20">
      <c r="A20" s="12" t="inlineStr">
        <is>
          <t>Repair Progress (Progress Point / round)</t>
        </is>
      </c>
      <c r="B20" s="25" t="n"/>
      <c r="C20" s="26" t="n"/>
      <c r="D20" s="14">
        <f>IF($E$3="Echo Companion",1,IF(D10="","—",INT(D10/2)))</f>
        <v/>
      </c>
      <c r="E20" s="26" t="n"/>
      <c r="F20" s="6" t="inlineStr">
        <is>
          <t>Echo Companion fixed +1 progress point (50% efficiency)</t>
        </is>
      </c>
      <c r="G20" s="25" t="n"/>
      <c r="H20" s="25" t="n"/>
      <c r="I20" s="26" t="n"/>
    </row>
    <row r="21">
      <c r="A21" s="12" t="inlineStr">
        <is>
          <t>Heal Progress (per round)</t>
        </is>
      </c>
      <c r="B21" s="25" t="n"/>
      <c r="C21" s="26" t="n"/>
      <c r="D21" s="14">
        <f>IF($E$3="Echo Companion",2,IF(D12="","—",INT(D12/2)+2))</f>
        <v/>
      </c>
      <c r="E21" s="26" t="n"/>
      <c r="F21" s="6" t="inlineStr">
        <is>
          <t>Echo Companion fixed +2, and cannot heal itself</t>
        </is>
      </c>
      <c r="G21" s="25" t="n"/>
      <c r="H21" s="25" t="n"/>
      <c r="I21" s="26" t="n"/>
    </row>
    <row r="22">
      <c r="A22" s="12" t="inlineStr">
        <is>
          <t>Passive Awareness Difficulty Class (DC)</t>
        </is>
      </c>
      <c r="B22" s="25" t="n"/>
      <c r="C22" s="26" t="n"/>
      <c r="D22" s="14">
        <f>IF(D12="","—",8+INT(D12/2))</f>
        <v/>
      </c>
      <c r="E22" s="26" t="n"/>
      <c r="F22" s="6" t="inlineStr">
        <is>
          <t>The target value for the Killer or other characters to notice this NPC</t>
        </is>
      </c>
      <c r="G22" s="25" t="n"/>
      <c r="H22" s="25" t="n"/>
      <c r="I22" s="26" t="n"/>
    </row>
    <row r="23" ht="20" customHeight="1">
      <c r="A23" s="10" t="inlineStr">
        <is>
          <t>III. Echo Companion exclusive: three-line behavior table</t>
        </is>
      </c>
      <c r="B23" s="25" t="n"/>
      <c r="C23" s="25" t="n"/>
      <c r="D23" s="25" t="n"/>
      <c r="E23" s="25" t="n"/>
      <c r="F23" s="25" t="n"/>
      <c r="G23" s="25" t="n"/>
      <c r="H23" s="25" t="n"/>
      <c r="I23" s="26" t="n"/>
    </row>
    <row r="24">
      <c r="A24" s="15" t="inlineStr">
        <is>
          <t>Used only when 'NPC Type = Echo Companion'. The GM checks top-to-bottom each round; the first condition met is the Echo Companion's action that round. No roleplay, no voice; one line per round.</t>
        </is>
      </c>
      <c r="B24" s="25" t="n"/>
      <c r="C24" s="25" t="n"/>
      <c r="D24" s="25" t="n"/>
      <c r="E24" s="25" t="n"/>
      <c r="F24" s="25" t="n"/>
      <c r="G24" s="25" t="n"/>
      <c r="H24" s="25" t="n"/>
      <c r="I24" s="26" t="n"/>
    </row>
    <row r="25">
      <c r="A25" s="5" t="inlineStr">
        <is>
          <t>No.</t>
        </is>
      </c>
      <c r="B25" s="5" t="inlineStr">
        <is>
          <t>Condition</t>
        </is>
      </c>
      <c r="C25" s="25" t="n"/>
      <c r="D25" s="26" t="n"/>
      <c r="E25" s="5" t="inlineStr">
        <is>
          <t>Action</t>
        </is>
      </c>
      <c r="F25" s="25" t="n"/>
      <c r="G25" s="25" t="n"/>
      <c r="H25" s="25" t="n"/>
      <c r="I25" s="26" t="n"/>
    </row>
    <row r="26" ht="30" customHeight="1">
      <c r="A26" s="12" t="inlineStr">
        <is>
          <t>①</t>
        </is>
      </c>
      <c r="B26" s="6" t="inlineStr">
        <is>
          <t>A Survivor is Hooked and this NPC can arrive within 2 rounds</t>
        </is>
      </c>
      <c r="C26" s="25" t="n"/>
      <c r="D26" s="26" t="n"/>
      <c r="E26" s="6" t="inlineStr">
        <is>
          <t>Go to rescue. On arrival, spend 1 Action Point (AP) to unhook, 100% success (no check).</t>
        </is>
      </c>
      <c r="F26" s="25" t="n"/>
      <c r="G26" s="25" t="n"/>
      <c r="H26" s="25" t="n"/>
      <c r="I26" s="26" t="n"/>
    </row>
    <row r="27" ht="30" customHeight="1">
      <c r="A27" s="12" t="inlineStr">
        <is>
          <t>②</t>
        </is>
      </c>
      <c r="B27" s="6" t="inlineStr">
        <is>
          <t>Self is Injured or Dying, or Killer is within 4 cells</t>
        </is>
      </c>
      <c r="C27" s="25" t="n"/>
      <c r="D27" s="26" t="n"/>
      <c r="E27" s="6" t="inlineStr">
        <is>
          <t>Self-preserve. Move away from Killer, prefer entering a Locker or cover; when Dying, crawl in place.</t>
        </is>
      </c>
      <c r="F27" s="25" t="n"/>
      <c r="G27" s="25" t="n"/>
      <c r="H27" s="25" t="n"/>
      <c r="I27" s="26" t="n"/>
    </row>
    <row r="28" ht="30" customHeight="1">
      <c r="A28" s="12" t="inlineStr">
        <is>
          <t>③</t>
        </is>
      </c>
      <c r="B28" s="6" t="inlineStr">
        <is>
          <t>None of the above holds</t>
        </is>
      </c>
      <c r="C28" s="25" t="n"/>
      <c r="D28" s="26" t="n"/>
      <c r="E28" s="6" t="inlineStr">
        <is>
          <t>Go to the nearest unfinished Generator and repair; +1 progress point per round.</t>
        </is>
      </c>
      <c r="F28" s="25" t="n"/>
      <c r="G28" s="25" t="n"/>
      <c r="H28" s="25" t="n"/>
      <c r="I28" s="26" t="n"/>
    </row>
    <row r="29">
      <c r="A29" s="15" t="inlineStr">
        <is>
          <t>Echo Companion limits: cannot self-unhook, cannot heal itself, cannot use items, cannot trade with Whisperer. Once hooked, it stalls a fixed 3 rounds before advancing to the next hook phase (Echo Stall). Count = MAX(0, 3 − Survivor player count N).</t>
        </is>
      </c>
      <c r="B29" s="25" t="n"/>
      <c r="C29" s="25" t="n"/>
      <c r="D29" s="25" t="n"/>
      <c r="E29" s="25" t="n"/>
      <c r="F29" s="25" t="n"/>
      <c r="G29" s="25" t="n"/>
      <c r="H29" s="25" t="n"/>
      <c r="I29" s="26" t="n"/>
    </row>
    <row r="30" ht="20" customHeight="1">
      <c r="A30" s="10" t="inlineStr">
        <is>
          <t>IV. Narrative Data</t>
        </is>
      </c>
      <c r="B30" s="25" t="n"/>
      <c r="C30" s="25" t="n"/>
      <c r="D30" s="25" t="n"/>
      <c r="E30" s="25" t="n"/>
      <c r="F30" s="25" t="n"/>
      <c r="G30" s="25" t="n"/>
      <c r="H30" s="25" t="n"/>
      <c r="I30" s="26" t="n"/>
    </row>
    <row r="31" ht="30" customHeight="1">
      <c r="A31" s="12" t="inlineStr">
        <is>
          <t>Motivation</t>
        </is>
      </c>
      <c r="B31" s="26" t="n"/>
      <c r="C31" s="18" t="inlineStr">
        <is>
          <t>None. Residual Behavior: sitting at the outermost edge of the fire circle (even with no fire). When Moving, always walks at the very back of the group.</t>
        </is>
      </c>
      <c r="D31" s="25" t="n"/>
      <c r="E31" s="25" t="n"/>
      <c r="F31" s="25" t="n"/>
      <c r="G31" s="25" t="n"/>
      <c r="H31" s="25" t="n"/>
      <c r="I31" s="26" t="n"/>
    </row>
    <row r="32" ht="46" customHeight="1">
      <c r="A32" s="12" t="inlineStr">
        <is>
          <t>Background</t>
        </is>
      </c>
      <c r="B32" s="26" t="n"/>
      <c r="C32" s="18" t="inlineStr">
        <is>
          <t>After the S6 Player shouts the True Name, The Silent One (SIL)'s Reforging collapses and the remaining part returns to the Fogcellar.</t>
        </is>
      </c>
      <c r="D32" s="25" t="n"/>
      <c r="E32" s="25" t="n"/>
      <c r="F32" s="25" t="n"/>
      <c r="G32" s="25" t="n"/>
      <c r="H32" s="25" t="n"/>
      <c r="I32" s="26" t="n"/>
    </row>
    <row r="33" ht="40" customHeight="1">
      <c r="A33" s="12" t="inlineStr">
        <is>
          <t>Role in Main Plot</t>
        </is>
      </c>
      <c r="B33" s="26" t="n"/>
      <c r="C33" s="18" t="inlineStr">
        <is>
          <t>Appears in S7–S8. In the S8 "Raging Wildfire" finale, if chosen to be brought back, she wakes in the real world and remembers.</t>
        </is>
      </c>
      <c r="D33" s="25" t="n"/>
      <c r="E33" s="25" t="n"/>
      <c r="F33" s="25" t="n"/>
      <c r="G33" s="25" t="n"/>
      <c r="H33" s="25" t="n"/>
      <c r="I33" s="26" t="n"/>
    </row>
    <row r="34" ht="34" customHeight="1">
      <c r="A34" s="12" t="inlineStr">
        <is>
          <t>Signature Line</t>
        </is>
      </c>
      <c r="B34" s="26" t="n"/>
      <c r="C34" s="18" t="inlineStr">
        <is>
          <t>(Occasionally she whispers very softly: "…next time will be fine." — words she said to the Player in S1–S5.)</t>
        </is>
      </c>
      <c r="D34" s="25" t="n"/>
      <c r="E34" s="25" t="n"/>
      <c r="F34" s="25" t="n"/>
      <c r="G34" s="25" t="n"/>
      <c r="H34" s="25" t="n"/>
      <c r="I34" s="26" t="n"/>
    </row>
    <row r="35" ht="20" customHeight="1">
      <c r="A35" s="10" t="inlineStr">
        <is>
          <t>V. Special Interactions &amp; Rewards</t>
        </is>
      </c>
      <c r="B35" s="25" t="n"/>
      <c r="C35" s="25" t="n"/>
      <c r="D35" s="25" t="n"/>
      <c r="E35" s="25" t="n"/>
      <c r="F35" s="25" t="n"/>
      <c r="G35" s="25" t="n"/>
      <c r="H35" s="25" t="n"/>
      <c r="I35" s="26" t="n"/>
    </row>
    <row r="36" ht="46" customHeight="1">
      <c r="A36" s="12" t="inlineStr">
        <is>
          <t>Special Rule</t>
        </is>
      </c>
      <c r="B36" s="26" t="n"/>
      <c r="C36" s="18" t="inlineStr">
        <is>
          <t>If the Player performs any altruistic Behavior toward her in S7 or S8, the Campfire Ember reward is doubled.</t>
        </is>
      </c>
      <c r="D36" s="25" t="n"/>
      <c r="E36" s="25" t="n"/>
      <c r="F36" s="25" t="n"/>
      <c r="G36" s="25" t="n"/>
      <c r="H36" s="25" t="n"/>
      <c r="I36" s="26" t="n"/>
    </row>
    <row r="37" ht="30" customHeight="1">
      <c r="A37" s="12" t="inlineStr">
        <is>
          <t>Hope Point (HOP) / Campfire Ember reward</t>
        </is>
      </c>
      <c r="B37" s="25" t="n"/>
      <c r="C37" s="26" t="n"/>
      <c r="D37" s="6" t="inlineStr">
        <is>
          <t>Altruistic Behavior: Campfire Ember reward ×2. S8 Bring back: finale variant "She Remembers."</t>
        </is>
      </c>
      <c r="E37" s="25" t="n"/>
      <c r="F37" s="25" t="n"/>
      <c r="G37" s="25" t="n"/>
      <c r="H37" s="25" t="n"/>
      <c r="I37" s="26" t="n"/>
    </row>
    <row r="38" ht="20" customHeight="1">
      <c r="A38" s="10" t="inlineStr">
        <is>
          <t>VI. GM Running Notes</t>
        </is>
      </c>
      <c r="B38" s="25" t="n"/>
      <c r="C38" s="25" t="n"/>
      <c r="D38" s="25" t="n"/>
      <c r="E38" s="25" t="n"/>
      <c r="F38" s="25" t="n"/>
      <c r="G38" s="25" t="n"/>
      <c r="H38" s="25" t="n"/>
      <c r="I38" s="26" t="n"/>
    </row>
    <row r="39" ht="52" customHeight="1">
      <c r="A39" s="18" t="inlineStr">
        <is>
          <t>Mention that she walks at the back of the group once every round(s). The Player will start looking back to confirm she is still there. That looking-back is the theme of the campaign.</t>
        </is>
      </c>
      <c r="B39" s="25" t="n"/>
      <c r="C39" s="25" t="n"/>
      <c r="D39" s="25" t="n"/>
      <c r="E39" s="25" t="n"/>
      <c r="F39" s="25" t="n"/>
      <c r="G39" s="25" t="n"/>
      <c r="H39" s="25" t="n"/>
      <c r="I39" s="26" t="n"/>
    </row>
    <row r="40" ht="20" customHeight="1">
      <c r="A40" s="10" t="inlineStr">
        <is>
          <t>VII. In-Trial Tracker (reusable)</t>
        </is>
      </c>
      <c r="B40" s="25" t="n"/>
      <c r="C40" s="25" t="n"/>
      <c r="D40" s="25" t="n"/>
      <c r="E40" s="25" t="n"/>
      <c r="F40" s="25" t="n"/>
      <c r="G40" s="25" t="n"/>
      <c r="H40" s="25" t="n"/>
      <c r="I40" s="26" t="n"/>
    </row>
    <row r="41">
      <c r="A41" s="12" t="inlineStr">
        <is>
          <t>Health State (HS)</t>
        </is>
      </c>
      <c r="B41" s="26" t="n"/>
      <c r="C41" s="5" t="inlineStr">
        <is>
          <t>Healthy</t>
        </is>
      </c>
      <c r="D41" s="5" t="inlineStr">
        <is>
          <t>Injured</t>
        </is>
      </c>
      <c r="E41" s="5" t="inlineStr">
        <is>
          <t>Dying</t>
        </is>
      </c>
      <c r="F41" s="12" t="inlineStr">
        <is>
          <t>Hook Phase</t>
        </is>
      </c>
      <c r="G41" s="26" t="n"/>
      <c r="H41" s="5" t="inlineStr">
        <is>
          <t>I (Wiggle)</t>
        </is>
      </c>
      <c r="I41" s="5" t="inlineStr">
        <is>
          <t>II (Sacrifice)</t>
        </is>
      </c>
    </row>
    <row r="42">
      <c r="A42" s="5" t="inlineStr">
        <is>
          <t>Check current state</t>
        </is>
      </c>
      <c r="B42" s="26" t="n"/>
      <c r="C42" s="8" t="inlineStr">
        <is>
          <t>☐</t>
        </is>
      </c>
      <c r="D42" s="8" t="inlineStr">
        <is>
          <t>☐</t>
        </is>
      </c>
      <c r="E42" s="8" t="inlineStr">
        <is>
          <t>☐</t>
        </is>
      </c>
      <c r="F42" s="5" t="inlineStr">
        <is>
          <t>Check</t>
        </is>
      </c>
      <c r="G42" s="26" t="n"/>
      <c r="H42" s="8" t="inlineStr">
        <is>
          <t>☐</t>
        </is>
      </c>
      <c r="I42" s="8" t="inlineStr">
        <is>
          <t>☐</t>
        </is>
      </c>
    </row>
    <row r="43">
      <c r="A43" s="12" t="inlineStr">
        <is>
          <t>Current Status Effect</t>
        </is>
      </c>
      <c r="B43" s="26" t="n"/>
      <c r="C43" s="6" t="n"/>
      <c r="D43" s="25" t="n"/>
      <c r="E43" s="25" t="n"/>
      <c r="F43" s="25" t="n"/>
      <c r="G43" s="25" t="n"/>
      <c r="H43" s="25" t="n"/>
      <c r="I43" s="26" t="n"/>
    </row>
    <row r="44" ht="40" customHeight="1">
      <c r="A44" s="12" t="inlineStr">
        <is>
          <t>Notes</t>
        </is>
      </c>
      <c r="B44" s="26" t="n"/>
      <c r="C44" s="18" t="n"/>
      <c r="D44" s="25" t="n"/>
      <c r="E44" s="25" t="n"/>
      <c r="F44" s="25" t="n"/>
      <c r="G44" s="25" t="n"/>
      <c r="H44" s="25" t="n"/>
      <c r="I44" s="26" t="n"/>
    </row>
  </sheetData>
  <mergeCells count="82">
    <mergeCell ref="C36:I36"/>
    <mergeCell ref="A7:I7"/>
    <mergeCell ref="D20:E20"/>
    <mergeCell ref="A37:C37"/>
    <mergeCell ref="E5:I5"/>
    <mergeCell ref="A21:C21"/>
    <mergeCell ref="D22:E22"/>
    <mergeCell ref="B28:D28"/>
    <mergeCell ref="A41:B41"/>
    <mergeCell ref="F16:I16"/>
    <mergeCell ref="A35:I35"/>
    <mergeCell ref="A33:B33"/>
    <mergeCell ref="A42:B42"/>
    <mergeCell ref="A39:I39"/>
    <mergeCell ref="E26:I26"/>
    <mergeCell ref="A30:I30"/>
    <mergeCell ref="C31:I31"/>
    <mergeCell ref="A6:C6"/>
    <mergeCell ref="E25:I25"/>
    <mergeCell ref="A2:C5"/>
    <mergeCell ref="D6:I6"/>
    <mergeCell ref="A9:B9"/>
    <mergeCell ref="E3:F3"/>
    <mergeCell ref="F13:I13"/>
    <mergeCell ref="D19:E19"/>
    <mergeCell ref="A11:B11"/>
    <mergeCell ref="E4:F4"/>
    <mergeCell ref="E28:I28"/>
    <mergeCell ref="C34:I34"/>
    <mergeCell ref="F42:G42"/>
    <mergeCell ref="F19:I19"/>
    <mergeCell ref="F20:I20"/>
    <mergeCell ref="A8:B8"/>
    <mergeCell ref="H3:I3"/>
    <mergeCell ref="C44:I44"/>
    <mergeCell ref="F17:I17"/>
    <mergeCell ref="A10:B10"/>
    <mergeCell ref="A1:I1"/>
    <mergeCell ref="A16:C16"/>
    <mergeCell ref="A34:B34"/>
    <mergeCell ref="F9:I9"/>
    <mergeCell ref="A18:C18"/>
    <mergeCell ref="A36:B36"/>
    <mergeCell ref="C32:I32"/>
    <mergeCell ref="A14:I14"/>
    <mergeCell ref="A22:C22"/>
    <mergeCell ref="A23:I23"/>
    <mergeCell ref="C33:I33"/>
    <mergeCell ref="D17:E17"/>
    <mergeCell ref="F10:I10"/>
    <mergeCell ref="A20:C20"/>
    <mergeCell ref="A38:I38"/>
    <mergeCell ref="A12:B12"/>
    <mergeCell ref="E2:I2"/>
    <mergeCell ref="A32:B32"/>
    <mergeCell ref="A40:I40"/>
    <mergeCell ref="B25:D25"/>
    <mergeCell ref="A24:I24"/>
    <mergeCell ref="F18:I18"/>
    <mergeCell ref="A43:B43"/>
    <mergeCell ref="F8:I8"/>
    <mergeCell ref="F22:I22"/>
    <mergeCell ref="H4:I4"/>
    <mergeCell ref="D21:E21"/>
    <mergeCell ref="D37:I37"/>
    <mergeCell ref="F11:I11"/>
    <mergeCell ref="A17:C17"/>
    <mergeCell ref="F41:G41"/>
    <mergeCell ref="A29:I29"/>
    <mergeCell ref="D16:E16"/>
    <mergeCell ref="A19:C19"/>
    <mergeCell ref="F12:I12"/>
    <mergeCell ref="B26:D26"/>
    <mergeCell ref="F21:I21"/>
    <mergeCell ref="E27:I27"/>
    <mergeCell ref="D18:E18"/>
    <mergeCell ref="A15:I15"/>
    <mergeCell ref="C43:I43"/>
    <mergeCell ref="B27:D27"/>
    <mergeCell ref="A13:B13"/>
    <mergeCell ref="A44:B44"/>
    <mergeCell ref="A31:B31"/>
  </mergeCells>
  <dataValidations count="2">
    <dataValidation sqref="E3:F3" showDropDown="0" showInputMessage="0" showErrorMessage="0" allowBlank="1" type="list">
      <formula1>"營火同伴,回聲同伴,低語者,殘影,觀察者,特殊存在"</formula1>
    </dataValidation>
    <dataValidation sqref="C9:C13" showDropDown="0" showInputMessage="0" showErrorMessage="0" allowBlank="1" type="list">
      <formula1>"極高,高,中,低,極低,不適用"</formula1>
    </dataValidation>
  </dataValidations>
  <printOptions horizontalCentered="1"/>
  <pageMargins left="0.75" right="0.75" top="1" bottom="1" header="0.5" footer="0.5"/>
  <pageSetup orientation="portrait" fitToHeight="0" fitToWidth="1"/>
</worksheet>
</file>

<file path=xl/worksheets/sheet10.xml><?xml version="1.0" encoding="utf-8"?>
<worksheet xmlns="http://schemas.openxmlformats.org/spreadsheetml/2006/main">
  <sheetPr>
    <outlinePr summaryBelow="1" summaryRight="1"/>
    <pageSetUpPr fitToPage="1"/>
  </sheetPr>
  <dimension ref="A1:I20"/>
  <sheetViews>
    <sheetView workbookViewId="0">
      <pane ySplit="5" topLeftCell="A6" activePane="bottomLeft" state="frozen"/>
      <selection pane="bottomLeft" activeCell="A1" sqref="A1"/>
    </sheetView>
  </sheetViews>
  <sheetFormatPr baseColWidth="8" defaultRowHeight="15"/>
  <cols>
    <col width="11" customWidth="1" min="1" max="1"/>
    <col width="11" customWidth="1" min="2" max="2"/>
    <col width="11" customWidth="1" min="3" max="3"/>
    <col width="13" customWidth="1" min="4" max="4"/>
    <col width="13" customWidth="1" min="5" max="5"/>
    <col width="12" customWidth="1" min="6" max="6"/>
    <col width="12" customWidth="1" min="7" max="7"/>
    <col width="13" customWidth="1" min="8" max="8"/>
    <col width="13" customWidth="1" min="9" max="9"/>
  </cols>
  <sheetData>
    <row r="1" ht="28" customHeight="1">
      <c r="A1" s="19" t="inlineStr">
        <is>
          <t>Dead by Daylight TRPG　Non-Player Character (NPC) Card　·　Simple Type (Insubstantial / Narrative)</t>
        </is>
      </c>
      <c r="B1" s="21" t="n"/>
      <c r="C1" s="21" t="n"/>
      <c r="D1" s="21" t="n"/>
      <c r="E1" s="21" t="n"/>
      <c r="F1" s="21" t="n"/>
      <c r="G1" s="21" t="n"/>
      <c r="H1" s="21" t="n"/>
      <c r="I1" s="22" t="n"/>
    </row>
    <row r="2">
      <c r="A2" s="3" t="inlineStr">
        <is>
          <t>Character Art
(Paste character image here)</t>
        </is>
      </c>
      <c r="B2" s="23" t="n"/>
      <c r="C2" s="24" t="n"/>
      <c r="D2" s="5" t="inlineStr">
        <is>
          <t>Name</t>
        </is>
      </c>
      <c r="E2" s="6" t="inlineStr">
        <is>
          <t>Whisperer · Well Chorus (The Chorus in the Pit)</t>
        </is>
      </c>
      <c r="F2" s="25" t="n"/>
      <c r="G2" s="25" t="n"/>
      <c r="H2" s="25" t="n"/>
      <c r="I2" s="26" t="n"/>
    </row>
    <row r="3">
      <c r="A3" s="27" t="n"/>
      <c r="C3" s="28" t="n"/>
      <c r="D3" s="5" t="inlineStr">
        <is>
          <t>NPC Type</t>
        </is>
      </c>
      <c r="E3" s="8" t="inlineStr">
        <is>
          <t>Whisperer</t>
        </is>
      </c>
      <c r="F3" s="26" t="n"/>
      <c r="G3" s="5" t="inlineStr">
        <is>
          <t>First Appearance</t>
        </is>
      </c>
      <c r="H3" s="8" t="inlineStr">
        <is>
          <t>S1</t>
        </is>
      </c>
      <c r="I3" s="26" t="n"/>
    </row>
    <row r="4">
      <c r="A4" s="27" t="n"/>
      <c r="C4" s="28" t="n"/>
      <c r="D4" s="5" t="inlineStr">
        <is>
          <t>Affiliated Realm / Location</t>
        </is>
      </c>
      <c r="E4" s="6" t="inlineStr">
        <is>
          <t>R1 Macmillan Estate（Suffocation Pit）</t>
        </is>
      </c>
      <c r="F4" s="25" t="n"/>
      <c r="G4" s="25" t="n"/>
      <c r="H4" s="25" t="n"/>
      <c r="I4" s="26" t="n"/>
    </row>
    <row r="5">
      <c r="A5" s="29" t="n"/>
      <c r="B5" s="30" t="n"/>
      <c r="C5" s="31" t="n"/>
      <c r="D5" s="5" t="inlineStr">
        <is>
          <t>Role</t>
        </is>
      </c>
      <c r="E5" s="6" t="inlineStr">
        <is>
          <t>A sound-type afterimage bound to the Realm. Formless. Can trade intelligence.</t>
        </is>
      </c>
      <c r="F5" s="25" t="n"/>
      <c r="G5" s="25" t="n"/>
      <c r="H5" s="25" t="n"/>
      <c r="I5" s="26" t="n"/>
    </row>
    <row r="6" ht="36" customHeight="1">
      <c r="A6" s="12" t="inlineStr">
        <is>
          <t>Form / Appearance</t>
        </is>
      </c>
      <c r="B6" s="25" t="n"/>
      <c r="C6" s="26" t="n"/>
      <c r="D6" s="18" t="inlineStr">
        <is>
          <t>A chorus of humming, no lyrics, many voice parts. No The Entity.</t>
        </is>
      </c>
      <c r="E6" s="25" t="n"/>
      <c r="F6" s="25" t="n"/>
      <c r="G6" s="25" t="n"/>
      <c r="H6" s="25" t="n"/>
      <c r="I6" s="26" t="n"/>
    </row>
    <row r="7" ht="20" customHeight="1">
      <c r="A7" s="10" t="inlineStr">
        <is>
          <t>I. Interaction Rules</t>
        </is>
      </c>
      <c r="B7" s="25" t="n"/>
      <c r="C7" s="25" t="n"/>
      <c r="D7" s="25" t="n"/>
      <c r="E7" s="25" t="n"/>
      <c r="F7" s="25" t="n"/>
      <c r="G7" s="25" t="n"/>
      <c r="H7" s="25" t="n"/>
      <c r="I7" s="26" t="n"/>
    </row>
    <row r="8" ht="30" customHeight="1">
      <c r="A8" s="12" t="inlineStr">
        <is>
          <t>Motivation</t>
        </is>
      </c>
      <c r="B8" s="26" t="n"/>
      <c r="C8" s="18" t="inlineStr">
        <is>
          <t>Wants to be heard to the end. Their song never reaches its last line.</t>
        </is>
      </c>
      <c r="D8" s="25" t="n"/>
      <c r="E8" s="25" t="n"/>
      <c r="F8" s="25" t="n"/>
      <c r="G8" s="25" t="n"/>
      <c r="H8" s="25" t="n"/>
      <c r="I8" s="26" t="n"/>
    </row>
    <row r="9" ht="44" customHeight="1">
      <c r="A9" s="12" t="inlineStr">
        <is>
          <t>Trade / Interaction Price</t>
        </is>
      </c>
      <c r="B9" s="26" t="n"/>
      <c r="C9" s="18" t="inlineStr">
        <is>
          <t>1 Hope Point (HOP) = one piece of Trial intel. If the Player hums along a stretch (the Player must actually hum), one is given free.</t>
        </is>
      </c>
      <c r="D9" s="25" t="n"/>
      <c r="E9" s="25" t="n"/>
      <c r="F9" s="25" t="n"/>
      <c r="G9" s="25" t="n"/>
      <c r="H9" s="25" t="n"/>
      <c r="I9" s="26" t="n"/>
    </row>
    <row r="10" ht="40" customHeight="1">
      <c r="A10" s="12" t="inlineStr">
        <is>
          <t>Restrictions &amp; Prohibitions</t>
        </is>
      </c>
      <c r="B10" s="26" t="n"/>
      <c r="C10" s="18" t="inlineStr">
        <is>
          <t>Does not lie, but answers only the question literally asked. Each Survivor may listen at most 2 times per Trial; from the 3rd time on, automatic Critical Failure. Solo config (N = 1): listen cap raised to 4 times, Difficulty Class (DC) lowered to 12.</t>
        </is>
      </c>
      <c r="D10" s="25" t="n"/>
      <c r="E10" s="25" t="n"/>
      <c r="F10" s="25" t="n"/>
      <c r="G10" s="25" t="n"/>
      <c r="H10" s="25" t="n"/>
      <c r="I10" s="26" t="n"/>
    </row>
    <row r="11" ht="20" customHeight="1">
      <c r="A11" s="10" t="inlineStr">
        <is>
          <t>II. Data (if substantial)</t>
        </is>
      </c>
      <c r="B11" s="25" t="n"/>
      <c r="C11" s="25" t="n"/>
      <c r="D11" s="25" t="n"/>
      <c r="E11" s="25" t="n"/>
      <c r="F11" s="25" t="n"/>
      <c r="G11" s="25" t="n"/>
      <c r="H11" s="25" t="n"/>
      <c r="I11" s="26" t="n"/>
    </row>
    <row r="12">
      <c r="A12" s="12" t="inlineStr">
        <is>
          <t>Will (WIL)</t>
        </is>
      </c>
      <c r="B12" s="26" t="n"/>
      <c r="C12" s="8" t="n"/>
      <c r="D12" s="5" t="inlineStr">
        <is>
          <t>Attribute Bonus (AB)</t>
        </is>
      </c>
      <c r="E12" s="14">
        <f>IF(C12="","—",INT(C12/2))</f>
        <v/>
      </c>
      <c r="F12" s="5" t="inlineStr">
        <is>
          <t>Interfere / Dispel Difficulty Class (DC)</t>
        </is>
      </c>
      <c r="G12" s="26" t="n"/>
      <c r="H12" s="14">
        <f>IF(C12="","—",10+INT(C12/2))</f>
        <v/>
      </c>
      <c r="I12" s="26" t="n"/>
    </row>
    <row r="13">
      <c r="A13" s="15" t="inlineStr">
        <is>
          <t>Insubstantial Whisperer (Whisperer) cannot be attacked, cannot be dispelled, and does not take Encounter Budget (EB). A Haunt with substance should instead be built with a Realm Creature card.</t>
        </is>
      </c>
      <c r="B13" s="25" t="n"/>
      <c r="C13" s="25" t="n"/>
      <c r="D13" s="25" t="n"/>
      <c r="E13" s="25" t="n"/>
      <c r="F13" s="25" t="n"/>
      <c r="G13" s="25" t="n"/>
      <c r="H13" s="25" t="n"/>
      <c r="I13" s="26" t="n"/>
    </row>
    <row r="14" ht="20" customHeight="1">
      <c r="A14" s="10" t="inlineStr">
        <is>
          <t>III. Narrative Data</t>
        </is>
      </c>
      <c r="B14" s="25" t="n"/>
      <c r="C14" s="25" t="n"/>
      <c r="D14" s="25" t="n"/>
      <c r="E14" s="25" t="n"/>
      <c r="F14" s="25" t="n"/>
      <c r="G14" s="25" t="n"/>
      <c r="H14" s="25" t="n"/>
      <c r="I14" s="26" t="n"/>
    </row>
    <row r="15" ht="46" customHeight="1">
      <c r="A15" s="12" t="inlineStr">
        <is>
          <t>Background</t>
        </is>
      </c>
      <c r="B15" s="26" t="n"/>
      <c r="C15" s="18" t="inlineStr">
        <is>
          <t>The same existence as Realm creature RC-02 Well Chorus (The Choir in the Well) in two presentations: the Whisperer card is for intel trading, the Realm creature card is for encounter data.</t>
        </is>
      </c>
      <c r="D15" s="25" t="n"/>
      <c r="E15" s="25" t="n"/>
      <c r="F15" s="25" t="n"/>
      <c r="G15" s="25" t="n"/>
      <c r="H15" s="25" t="n"/>
      <c r="I15" s="26" t="n"/>
    </row>
    <row r="16" ht="40" customHeight="1">
      <c r="A16" s="12" t="inlineStr">
        <is>
          <t>Role in Main Plot</t>
        </is>
      </c>
      <c r="B16" s="26" t="n"/>
      <c r="C16" s="18" t="inlineStr">
        <is>
          <t>Tradable from S1. One of the most important intel sources for the solo config (Config I), compensating for no teammates calling out positions.</t>
        </is>
      </c>
      <c r="D16" s="25" t="n"/>
      <c r="E16" s="25" t="n"/>
      <c r="F16" s="25" t="n"/>
      <c r="G16" s="25" t="n"/>
      <c r="H16" s="25" t="n"/>
      <c r="I16" s="26" t="n"/>
    </row>
    <row r="17" ht="34" customHeight="1">
      <c r="A17" s="12" t="inlineStr">
        <is>
          <t>Signature Line</t>
        </is>
      </c>
      <c r="B17" s="26" t="n"/>
      <c r="C17" s="18" t="inlineStr">
        <is>
          <t>"…(humming with your Name mixed in)"</t>
        </is>
      </c>
      <c r="D17" s="25" t="n"/>
      <c r="E17" s="25" t="n"/>
      <c r="F17" s="25" t="n"/>
      <c r="G17" s="25" t="n"/>
      <c r="H17" s="25" t="n"/>
      <c r="I17" s="26" t="n"/>
    </row>
    <row r="18" ht="44" customHeight="1">
      <c r="A18" s="12" t="inlineStr">
        <is>
          <t>Special Rule</t>
        </is>
      </c>
      <c r="B18" s="26" t="n"/>
      <c r="C18" s="18" t="inlineStr">
        <is>
          <t>The Player must actually hum a stretch — enforce this rule literally. It will be awkward at the table; that awkwardness is part of the design.</t>
        </is>
      </c>
      <c r="D18" s="25" t="n"/>
      <c r="E18" s="25" t="n"/>
      <c r="F18" s="25" t="n"/>
      <c r="G18" s="25" t="n"/>
      <c r="H18" s="25" t="n"/>
      <c r="I18" s="26" t="n"/>
    </row>
    <row r="19" ht="20" customHeight="1">
      <c r="A19" s="10" t="inlineStr">
        <is>
          <t>IV. GM Running Notes</t>
        </is>
      </c>
      <c r="B19" s="25" t="n"/>
      <c r="C19" s="25" t="n"/>
      <c r="D19" s="25" t="n"/>
      <c r="E19" s="25" t="n"/>
      <c r="F19" s="25" t="n"/>
      <c r="G19" s="25" t="n"/>
      <c r="H19" s="25" t="n"/>
      <c r="I19" s="26" t="n"/>
    </row>
    <row r="20" ht="52" customHeight="1">
      <c r="A20" s="18" t="inlineStr">
        <is>
          <t>Do not voice it as a "terrifying chorus." It is just many people humming a song with no ending. The horror comes from "why are there so many people."</t>
        </is>
      </c>
      <c r="B20" s="25" t="n"/>
      <c r="C20" s="25" t="n"/>
      <c r="D20" s="25" t="n"/>
      <c r="E20" s="25" t="n"/>
      <c r="F20" s="25" t="n"/>
      <c r="G20" s="25" t="n"/>
      <c r="H20" s="25" t="n"/>
      <c r="I20" s="26" t="n"/>
    </row>
  </sheetData>
  <mergeCells count="32">
    <mergeCell ref="A7:I7"/>
    <mergeCell ref="A15:B15"/>
    <mergeCell ref="C17:I17"/>
    <mergeCell ref="C8:I8"/>
    <mergeCell ref="E5:I5"/>
    <mergeCell ref="A2:C5"/>
    <mergeCell ref="F12:G12"/>
    <mergeCell ref="A16:B16"/>
    <mergeCell ref="E4:I4"/>
    <mergeCell ref="C18:I18"/>
    <mergeCell ref="A14:I14"/>
    <mergeCell ref="C15:I15"/>
    <mergeCell ref="A18:B18"/>
    <mergeCell ref="A20:I20"/>
    <mergeCell ref="A12:B12"/>
    <mergeCell ref="A19:I19"/>
    <mergeCell ref="A13:I13"/>
    <mergeCell ref="E2:I2"/>
    <mergeCell ref="C10:I10"/>
    <mergeCell ref="C16:I16"/>
    <mergeCell ref="A17:B17"/>
    <mergeCell ref="A8:B8"/>
    <mergeCell ref="H3:I3"/>
    <mergeCell ref="H12:I12"/>
    <mergeCell ref="C9:I9"/>
    <mergeCell ref="A11:I11"/>
    <mergeCell ref="A6:C6"/>
    <mergeCell ref="A10:B10"/>
    <mergeCell ref="A1:I1"/>
    <mergeCell ref="D6:I6"/>
    <mergeCell ref="A9:B9"/>
    <mergeCell ref="E3:F3"/>
  </mergeCells>
  <dataValidations count="1">
    <dataValidation sqref="E3:F3" showDropDown="0" showInputMessage="0" showErrorMessage="0" allowBlank="1" type="list">
      <formula1>"營火同伴,回聲同伴,低語者,殘影,觀察者,特殊存在"</formula1>
    </dataValidation>
  </dataValidations>
  <printOptions horizontalCentered="1"/>
  <pageMargins left="0.75" right="0.75" top="1" bottom="1" header="0.5" footer="0.5"/>
  <pageSetup orientation="portrait" fitToHeight="0" fitToWidth="1"/>
</worksheet>
</file>

<file path=xl/worksheets/sheet11.xml><?xml version="1.0" encoding="utf-8"?>
<worksheet xmlns="http://schemas.openxmlformats.org/spreadsheetml/2006/main">
  <sheetPr>
    <outlinePr summaryBelow="1" summaryRight="1"/>
    <pageSetUpPr fitToPage="1"/>
  </sheetPr>
  <dimension ref="A1:I20"/>
  <sheetViews>
    <sheetView workbookViewId="0">
      <pane ySplit="5" topLeftCell="A6" activePane="bottomLeft" state="frozen"/>
      <selection pane="bottomLeft" activeCell="A1" sqref="A1"/>
    </sheetView>
  </sheetViews>
  <sheetFormatPr baseColWidth="8" defaultRowHeight="15"/>
  <cols>
    <col width="11" customWidth="1" min="1" max="1"/>
    <col width="11" customWidth="1" min="2" max="2"/>
    <col width="11" customWidth="1" min="3" max="3"/>
    <col width="13" customWidth="1" min="4" max="4"/>
    <col width="13" customWidth="1" min="5" max="5"/>
    <col width="12" customWidth="1" min="6" max="6"/>
    <col width="12" customWidth="1" min="7" max="7"/>
    <col width="13" customWidth="1" min="8" max="8"/>
    <col width="13" customWidth="1" min="9" max="9"/>
  </cols>
  <sheetData>
    <row r="1" ht="28" customHeight="1">
      <c r="A1" s="19" t="inlineStr">
        <is>
          <t>Dead by Daylight TRPG　Non-Player Character (NPC) Card　·　Simple Type (Insubstantial / Narrative)</t>
        </is>
      </c>
      <c r="B1" s="21" t="n"/>
      <c r="C1" s="21" t="n"/>
      <c r="D1" s="21" t="n"/>
      <c r="E1" s="21" t="n"/>
      <c r="F1" s="21" t="n"/>
      <c r="G1" s="21" t="n"/>
      <c r="H1" s="21" t="n"/>
      <c r="I1" s="22" t="n"/>
    </row>
    <row r="2">
      <c r="A2" s="3" t="inlineStr">
        <is>
          <t>Character Art
(Paste character image here)</t>
        </is>
      </c>
      <c r="B2" s="23" t="n"/>
      <c r="C2" s="24" t="n"/>
      <c r="D2" s="5" t="inlineStr">
        <is>
          <t>Name</t>
        </is>
      </c>
      <c r="E2" s="6" t="inlineStr">
        <is>
          <t>Whisperer · Rust Choir (The Rust Choir)</t>
        </is>
      </c>
      <c r="F2" s="25" t="n"/>
      <c r="G2" s="25" t="n"/>
      <c r="H2" s="25" t="n"/>
      <c r="I2" s="26" t="n"/>
    </row>
    <row r="3">
      <c r="A3" s="27" t="n"/>
      <c r="C3" s="28" t="n"/>
      <c r="D3" s="5" t="inlineStr">
        <is>
          <t>NPC Type</t>
        </is>
      </c>
      <c r="E3" s="8" t="inlineStr">
        <is>
          <t>Whisperer</t>
        </is>
      </c>
      <c r="F3" s="26" t="n"/>
      <c r="G3" s="5" t="inlineStr">
        <is>
          <t>First Appearance</t>
        </is>
      </c>
      <c r="H3" s="8" t="inlineStr">
        <is>
          <t>S2</t>
        </is>
      </c>
      <c r="I3" s="26" t="n"/>
    </row>
    <row r="4">
      <c r="A4" s="27" t="n"/>
      <c r="C4" s="28" t="n"/>
      <c r="D4" s="5" t="inlineStr">
        <is>
          <t>Affiliated Realm / Location</t>
        </is>
      </c>
      <c r="E4" s="6" t="inlineStr">
        <is>
          <t>R2 Autohaven Wreckers (also appears in R4 Crotus Prenn Asylum as the "Medical Record No." variant)</t>
        </is>
      </c>
      <c r="F4" s="25" t="n"/>
      <c r="G4" s="25" t="n"/>
      <c r="H4" s="25" t="n"/>
      <c r="I4" s="26" t="n"/>
    </row>
    <row r="5">
      <c r="A5" s="29" t="n"/>
      <c r="B5" s="30" t="n"/>
      <c r="C5" s="31" t="n"/>
      <c r="D5" s="5" t="inlineStr">
        <is>
          <t>Role</t>
        </is>
      </c>
      <c r="E5" s="6" t="inlineStr">
        <is>
          <t>A sound-type afterimage bound to the Realm. Formless. Can trade intelligence.</t>
        </is>
      </c>
      <c r="F5" s="25" t="n"/>
      <c r="G5" s="25" t="n"/>
      <c r="H5" s="25" t="n"/>
      <c r="I5" s="26" t="n"/>
    </row>
    <row r="6" ht="36" customHeight="1">
      <c r="A6" s="12" t="inlineStr">
        <is>
          <t>Form / Appearance</t>
        </is>
      </c>
      <c r="B6" s="25" t="n"/>
      <c r="C6" s="26" t="n"/>
      <c r="D6" s="18" t="inlineStr">
        <is>
          <t>The sound of metal expanding and contracting with heat; after a while it resembles someone scraping characters. No The Entity.</t>
        </is>
      </c>
      <c r="E6" s="25" t="n"/>
      <c r="F6" s="25" t="n"/>
      <c r="G6" s="25" t="n"/>
      <c r="H6" s="25" t="n"/>
      <c r="I6" s="26" t="n"/>
    </row>
    <row r="7" ht="20" customHeight="1">
      <c r="A7" s="10" t="inlineStr">
        <is>
          <t>I. Interaction Rules</t>
        </is>
      </c>
      <c r="B7" s="25" t="n"/>
      <c r="C7" s="25" t="n"/>
      <c r="D7" s="25" t="n"/>
      <c r="E7" s="25" t="n"/>
      <c r="F7" s="25" t="n"/>
      <c r="G7" s="25" t="n"/>
      <c r="H7" s="25" t="n"/>
      <c r="I7" s="26" t="n"/>
    </row>
    <row r="8" ht="30" customHeight="1">
      <c r="A8" s="12" t="inlineStr">
        <is>
          <t>Motivation</t>
        </is>
      </c>
      <c r="B8" s="26" t="n"/>
      <c r="C8" s="18" t="inlineStr">
        <is>
          <t>Wants to know what those carvings say. It can hear the sound of carving, but it cannot read.</t>
        </is>
      </c>
      <c r="D8" s="25" t="n"/>
      <c r="E8" s="25" t="n"/>
      <c r="F8" s="25" t="n"/>
      <c r="G8" s="25" t="n"/>
      <c r="H8" s="25" t="n"/>
      <c r="I8" s="26" t="n"/>
    </row>
    <row r="9" ht="44" customHeight="1">
      <c r="A9" s="12" t="inlineStr">
        <is>
          <t>Trade / Interaction Price</t>
        </is>
      </c>
      <c r="B9" s="26" t="n"/>
      <c r="C9" s="18" t="inlineStr">
        <is>
          <t>1 Hope Point (HOP) = the location of one carving. If the Player reads a carving's content aloud to it, the next location is given free.</t>
        </is>
      </c>
      <c r="D9" s="25" t="n"/>
      <c r="E9" s="25" t="n"/>
      <c r="F9" s="25" t="n"/>
      <c r="G9" s="25" t="n"/>
      <c r="H9" s="25" t="n"/>
      <c r="I9" s="26" t="n"/>
    </row>
    <row r="10" ht="40" customHeight="1">
      <c r="A10" s="12" t="inlineStr">
        <is>
          <t>Restrictions &amp; Prohibitions</t>
        </is>
      </c>
      <c r="B10" s="26" t="n"/>
      <c r="C10" s="18" t="inlineStr">
        <is>
          <t>Does not lie, but answers only the question literally asked. Can only answer questions about carvings (Carvings).</t>
        </is>
      </c>
      <c r="D10" s="25" t="n"/>
      <c r="E10" s="25" t="n"/>
      <c r="F10" s="25" t="n"/>
      <c r="G10" s="25" t="n"/>
      <c r="H10" s="25" t="n"/>
      <c r="I10" s="26" t="n"/>
    </row>
    <row r="11" ht="20" customHeight="1">
      <c r="A11" s="10" t="inlineStr">
        <is>
          <t>II. Data (if substantial)</t>
        </is>
      </c>
      <c r="B11" s="25" t="n"/>
      <c r="C11" s="25" t="n"/>
      <c r="D11" s="25" t="n"/>
      <c r="E11" s="25" t="n"/>
      <c r="F11" s="25" t="n"/>
      <c r="G11" s="25" t="n"/>
      <c r="H11" s="25" t="n"/>
      <c r="I11" s="26" t="n"/>
    </row>
    <row r="12">
      <c r="A12" s="12" t="inlineStr">
        <is>
          <t>Will (WIL)</t>
        </is>
      </c>
      <c r="B12" s="26" t="n"/>
      <c r="C12" s="8" t="n"/>
      <c r="D12" s="5" t="inlineStr">
        <is>
          <t>Attribute Bonus (AB)</t>
        </is>
      </c>
      <c r="E12" s="14">
        <f>IF(C12="","—",INT(C12/2))</f>
        <v/>
      </c>
      <c r="F12" s="5" t="inlineStr">
        <is>
          <t>Interfere / Dispel Difficulty Class (DC)</t>
        </is>
      </c>
      <c r="G12" s="26" t="n"/>
      <c r="H12" s="14">
        <f>IF(C12="","—",10+INT(C12/2))</f>
        <v/>
      </c>
      <c r="I12" s="26" t="n"/>
    </row>
    <row r="13">
      <c r="A13" s="15" t="inlineStr">
        <is>
          <t>Insubstantial Whisperer (Whisperer) cannot be attacked, cannot be dispelled, and does not take Encounter Budget (EB). A Haunt with substance should instead be built with a Realm Creature card.</t>
        </is>
      </c>
      <c r="B13" s="25" t="n"/>
      <c r="C13" s="25" t="n"/>
      <c r="D13" s="25" t="n"/>
      <c r="E13" s="25" t="n"/>
      <c r="F13" s="25" t="n"/>
      <c r="G13" s="25" t="n"/>
      <c r="H13" s="25" t="n"/>
      <c r="I13" s="26" t="n"/>
    </row>
    <row r="14" ht="20" customHeight="1">
      <c r="A14" s="10" t="inlineStr">
        <is>
          <t>III. Narrative Data</t>
        </is>
      </c>
      <c r="B14" s="25" t="n"/>
      <c r="C14" s="25" t="n"/>
      <c r="D14" s="25" t="n"/>
      <c r="E14" s="25" t="n"/>
      <c r="F14" s="25" t="n"/>
      <c r="G14" s="25" t="n"/>
      <c r="H14" s="25" t="n"/>
      <c r="I14" s="26" t="n"/>
    </row>
    <row r="15" ht="46" customHeight="1">
      <c r="A15" s="12" t="inlineStr">
        <is>
          <t>Background</t>
        </is>
      </c>
      <c r="B15" s="26" t="n"/>
      <c r="C15" s="18" t="inlineStr">
        <is>
          <t>The sheet metal of Autohaven Wreckers bears words Elowyn Finch (§8-1) carved over the years. The Rust Choir listened for many years yet never knew the content.</t>
        </is>
      </c>
      <c r="D15" s="25" t="n"/>
      <c r="E15" s="25" t="n"/>
      <c r="F15" s="25" t="n"/>
      <c r="G15" s="25" t="n"/>
      <c r="H15" s="25" t="n"/>
      <c r="I15" s="26" t="n"/>
    </row>
    <row r="16" ht="40" customHeight="1">
      <c r="A16" s="12" t="inlineStr">
        <is>
          <t>Role in Main Plot</t>
        </is>
      </c>
      <c r="B16" s="26" t="n"/>
      <c r="C16" s="18" t="inlineStr">
        <is>
          <t>Tradable from S2. The primary hint source for the carving clue chain.</t>
        </is>
      </c>
      <c r="D16" s="25" t="n"/>
      <c r="E16" s="25" t="n"/>
      <c r="F16" s="25" t="n"/>
      <c r="G16" s="25" t="n"/>
      <c r="H16" s="25" t="n"/>
      <c r="I16" s="26" t="n"/>
    </row>
    <row r="17" ht="34" customHeight="1">
      <c r="A17" s="12" t="inlineStr">
        <is>
          <t>Signature Line</t>
        </is>
      </c>
      <c r="B17" s="26" t="n"/>
      <c r="C17" s="18" t="inlineStr">
        <is>
          <t>"Read it to me. I only hear the scraping sound."</t>
        </is>
      </c>
      <c r="D17" s="25" t="n"/>
      <c r="E17" s="25" t="n"/>
      <c r="F17" s="25" t="n"/>
      <c r="G17" s="25" t="n"/>
      <c r="H17" s="25" t="n"/>
      <c r="I17" s="26" t="n"/>
    </row>
    <row r="18" ht="44" customHeight="1">
      <c r="A18" s="12" t="inlineStr">
        <is>
          <t>Special Rule</t>
        </is>
      </c>
      <c r="B18" s="26" t="n"/>
      <c r="C18" s="18" t="inlineStr">
        <is>
          <t>When the Player reads a carving's content, the GM should ask the Player to actually read that text aloud.</t>
        </is>
      </c>
      <c r="D18" s="25" t="n"/>
      <c r="E18" s="25" t="n"/>
      <c r="F18" s="25" t="n"/>
      <c r="G18" s="25" t="n"/>
      <c r="H18" s="25" t="n"/>
      <c r="I18" s="26" t="n"/>
    </row>
    <row r="19" ht="20" customHeight="1">
      <c r="A19" s="10" t="inlineStr">
        <is>
          <t>IV. GM Running Notes</t>
        </is>
      </c>
      <c r="B19" s="25" t="n"/>
      <c r="C19" s="25" t="n"/>
      <c r="D19" s="25" t="n"/>
      <c r="E19" s="25" t="n"/>
      <c r="F19" s="25" t="n"/>
      <c r="G19" s="25" t="n"/>
      <c r="H19" s="25" t="n"/>
      <c r="I19" s="26" t="n"/>
    </row>
    <row r="20" ht="52" customHeight="1">
      <c r="A20" s="18" t="inlineStr">
        <is>
          <t>This is the saddest trade in the whole campaign: a being that listened for decades yet can never read. When the Player reads to it for free the first time, let it stay silent for three seconds before speaking.</t>
        </is>
      </c>
      <c r="B20" s="25" t="n"/>
      <c r="C20" s="25" t="n"/>
      <c r="D20" s="25" t="n"/>
      <c r="E20" s="25" t="n"/>
      <c r="F20" s="25" t="n"/>
      <c r="G20" s="25" t="n"/>
      <c r="H20" s="25" t="n"/>
      <c r="I20" s="26" t="n"/>
    </row>
  </sheetData>
  <mergeCells count="32">
    <mergeCell ref="A7:I7"/>
    <mergeCell ref="A15:B15"/>
    <mergeCell ref="C17:I17"/>
    <mergeCell ref="C8:I8"/>
    <mergeCell ref="E5:I5"/>
    <mergeCell ref="A2:C5"/>
    <mergeCell ref="F12:G12"/>
    <mergeCell ref="A16:B16"/>
    <mergeCell ref="E4:I4"/>
    <mergeCell ref="C18:I18"/>
    <mergeCell ref="A14:I14"/>
    <mergeCell ref="C15:I15"/>
    <mergeCell ref="A18:B18"/>
    <mergeCell ref="A20:I20"/>
    <mergeCell ref="A12:B12"/>
    <mergeCell ref="A19:I19"/>
    <mergeCell ref="A13:I13"/>
    <mergeCell ref="E2:I2"/>
    <mergeCell ref="C10:I10"/>
    <mergeCell ref="C16:I16"/>
    <mergeCell ref="A17:B17"/>
    <mergeCell ref="A8:B8"/>
    <mergeCell ref="H3:I3"/>
    <mergeCell ref="H12:I12"/>
    <mergeCell ref="C9:I9"/>
    <mergeCell ref="A11:I11"/>
    <mergeCell ref="A6:C6"/>
    <mergeCell ref="A10:B10"/>
    <mergeCell ref="A1:I1"/>
    <mergeCell ref="D6:I6"/>
    <mergeCell ref="A9:B9"/>
    <mergeCell ref="E3:F3"/>
  </mergeCells>
  <dataValidations count="1">
    <dataValidation sqref="E3:F3" showDropDown="0" showInputMessage="0" showErrorMessage="0" allowBlank="1" type="list">
      <formula1>"營火同伴,回聲同伴,低語者,殘影,觀察者,特殊存在"</formula1>
    </dataValidation>
  </dataValidations>
  <printOptions horizontalCentered="1"/>
  <pageMargins left="0.75" right="0.75" top="1" bottom="1" header="0.5" footer="0.5"/>
  <pageSetup orientation="portrait" fitToHeight="0" fitToWidth="1"/>
</worksheet>
</file>

<file path=xl/worksheets/sheet12.xml><?xml version="1.0" encoding="utf-8"?>
<worksheet xmlns="http://schemas.openxmlformats.org/spreadsheetml/2006/main">
  <sheetPr>
    <outlinePr summaryBelow="1" summaryRight="1"/>
    <pageSetUpPr fitToPage="1"/>
  </sheetPr>
  <dimension ref="A1:I20"/>
  <sheetViews>
    <sheetView workbookViewId="0">
      <pane ySplit="5" topLeftCell="A6" activePane="bottomLeft" state="frozen"/>
      <selection pane="bottomLeft" activeCell="A1" sqref="A1"/>
    </sheetView>
  </sheetViews>
  <sheetFormatPr baseColWidth="8" defaultRowHeight="15"/>
  <cols>
    <col width="11" customWidth="1" min="1" max="1"/>
    <col width="11" customWidth="1" min="2" max="2"/>
    <col width="11" customWidth="1" min="3" max="3"/>
    <col width="13" customWidth="1" min="4" max="4"/>
    <col width="13" customWidth="1" min="5" max="5"/>
    <col width="12" customWidth="1" min="6" max="6"/>
    <col width="12" customWidth="1" min="7" max="7"/>
    <col width="13" customWidth="1" min="8" max="8"/>
    <col width="13" customWidth="1" min="9" max="9"/>
  </cols>
  <sheetData>
    <row r="1" ht="28" customHeight="1">
      <c r="A1" s="19" t="inlineStr">
        <is>
          <t>Dead by Daylight TRPG　Non-Player Character (NPC) Card　·　Simple Type (Insubstantial / Narrative)</t>
        </is>
      </c>
      <c r="B1" s="21" t="n"/>
      <c r="C1" s="21" t="n"/>
      <c r="D1" s="21" t="n"/>
      <c r="E1" s="21" t="n"/>
      <c r="F1" s="21" t="n"/>
      <c r="G1" s="21" t="n"/>
      <c r="H1" s="21" t="n"/>
      <c r="I1" s="22" t="n"/>
    </row>
    <row r="2">
      <c r="A2" s="3" t="inlineStr">
        <is>
          <t>Character Art
(Paste character image here)</t>
        </is>
      </c>
      <c r="B2" s="23" t="n"/>
      <c r="C2" s="24" t="n"/>
      <c r="D2" s="5" t="inlineStr">
        <is>
          <t>Name</t>
        </is>
      </c>
      <c r="E2" s="6" t="inlineStr">
        <is>
          <t>Whisperer · The Voice Beneath (The Voice Beneath)</t>
        </is>
      </c>
      <c r="F2" s="25" t="n"/>
      <c r="G2" s="25" t="n"/>
      <c r="H2" s="25" t="n"/>
      <c r="I2" s="26" t="n"/>
    </row>
    <row r="3">
      <c r="A3" s="27" t="n"/>
      <c r="C3" s="28" t="n"/>
      <c r="D3" s="5" t="inlineStr">
        <is>
          <t>NPC Type</t>
        </is>
      </c>
      <c r="E3" s="8" t="inlineStr">
        <is>
          <t>Whisperer</t>
        </is>
      </c>
      <c r="F3" s="26" t="n"/>
      <c r="G3" s="5" t="inlineStr">
        <is>
          <t>First Appearance</t>
        </is>
      </c>
      <c r="H3" s="8" t="inlineStr">
        <is>
          <t>S3</t>
        </is>
      </c>
      <c r="I3" s="26" t="n"/>
    </row>
    <row r="4">
      <c r="A4" s="27" t="n"/>
      <c r="C4" s="28" t="n"/>
      <c r="D4" s="5" t="inlineStr">
        <is>
          <t>Affiliated Realm / Location</t>
        </is>
      </c>
      <c r="E4" s="6" t="inlineStr">
        <is>
          <t>R5 Backwater Swamp (also appears in R3 Coldwind Farm as the "Female Voice Beneath the Roots" variant)</t>
        </is>
      </c>
      <c r="F4" s="25" t="n"/>
      <c r="G4" s="25" t="n"/>
      <c r="H4" s="25" t="n"/>
      <c r="I4" s="26" t="n"/>
    </row>
    <row r="5">
      <c r="A5" s="29" t="n"/>
      <c r="B5" s="30" t="n"/>
      <c r="C5" s="31" t="n"/>
      <c r="D5" s="5" t="inlineStr">
        <is>
          <t>Role</t>
        </is>
      </c>
      <c r="E5" s="6" t="inlineStr">
        <is>
          <t>A sound-type afterimage bound to the Realm. Formless. The only Whisperer that speaks on its own.</t>
        </is>
      </c>
      <c r="F5" s="25" t="n"/>
      <c r="G5" s="25" t="n"/>
      <c r="H5" s="25" t="n"/>
      <c r="I5" s="26" t="n"/>
    </row>
    <row r="6" ht="36" customHeight="1">
      <c r="A6" s="12" t="inlineStr">
        <is>
          <t>Form / Appearance</t>
        </is>
      </c>
      <c r="B6" s="25" t="n"/>
      <c r="C6" s="26" t="n"/>
      <c r="D6" s="18" t="inlineStr">
        <is>
          <t>Someone is speaking under the water, indistinct. Only audible up close to the surface. No The Entity.</t>
        </is>
      </c>
      <c r="E6" s="25" t="n"/>
      <c r="F6" s="25" t="n"/>
      <c r="G6" s="25" t="n"/>
      <c r="H6" s="25" t="n"/>
      <c r="I6" s="26" t="n"/>
    </row>
    <row r="7" ht="20" customHeight="1">
      <c r="A7" s="10" t="inlineStr">
        <is>
          <t>I. Interaction Rules</t>
        </is>
      </c>
      <c r="B7" s="25" t="n"/>
      <c r="C7" s="25" t="n"/>
      <c r="D7" s="25" t="n"/>
      <c r="E7" s="25" t="n"/>
      <c r="F7" s="25" t="n"/>
      <c r="G7" s="25" t="n"/>
      <c r="H7" s="25" t="n"/>
      <c r="I7" s="26" t="n"/>
    </row>
    <row r="8" ht="30" customHeight="1">
      <c r="A8" s="12" t="inlineStr">
        <is>
          <t>Motivation</t>
        </is>
      </c>
      <c r="B8" s="26" t="n"/>
      <c r="C8" s="18" t="inlineStr">
        <is>
          <t>Unknown. It is the only Whisperer among all that speaks on its own.</t>
        </is>
      </c>
      <c r="D8" s="25" t="n"/>
      <c r="E8" s="25" t="n"/>
      <c r="F8" s="25" t="n"/>
      <c r="G8" s="25" t="n"/>
      <c r="H8" s="25" t="n"/>
      <c r="I8" s="26" t="n"/>
    </row>
    <row r="9" ht="44" customHeight="1">
      <c r="A9" s="12" t="inlineStr">
        <is>
          <t>Trade / Interaction Price</t>
        </is>
      </c>
      <c r="B9" s="26" t="n"/>
      <c r="C9" s="18" t="inlineStr">
        <is>
          <t>2 pts Hope Point (HOP) = one main-story piece of intel. It is the only being that can answer "whose husk did you pick."</t>
        </is>
      </c>
      <c r="D9" s="25" t="n"/>
      <c r="E9" s="25" t="n"/>
      <c r="F9" s="25" t="n"/>
      <c r="G9" s="25" t="n"/>
      <c r="H9" s="25" t="n"/>
      <c r="I9" s="26" t="n"/>
    </row>
    <row r="10" ht="40" customHeight="1">
      <c r="A10" s="12" t="inlineStr">
        <is>
          <t>Restrictions &amp; Prohibitions</t>
        </is>
      </c>
      <c r="B10" s="26" t="n"/>
      <c r="C10" s="18" t="inlineStr">
        <is>
          <t>Does not lie, but answers only the question literally asked. Price is non-negotiable and no credit.</t>
        </is>
      </c>
      <c r="D10" s="25" t="n"/>
      <c r="E10" s="25" t="n"/>
      <c r="F10" s="25" t="n"/>
      <c r="G10" s="25" t="n"/>
      <c r="H10" s="25" t="n"/>
      <c r="I10" s="26" t="n"/>
    </row>
    <row r="11" ht="20" customHeight="1">
      <c r="A11" s="10" t="inlineStr">
        <is>
          <t>II. Data (if substantial)</t>
        </is>
      </c>
      <c r="B11" s="25" t="n"/>
      <c r="C11" s="25" t="n"/>
      <c r="D11" s="25" t="n"/>
      <c r="E11" s="25" t="n"/>
      <c r="F11" s="25" t="n"/>
      <c r="G11" s="25" t="n"/>
      <c r="H11" s="25" t="n"/>
      <c r="I11" s="26" t="n"/>
    </row>
    <row r="12">
      <c r="A12" s="12" t="inlineStr">
        <is>
          <t>Will (WIL)</t>
        </is>
      </c>
      <c r="B12" s="26" t="n"/>
      <c r="C12" s="8" t="n"/>
      <c r="D12" s="5" t="inlineStr">
        <is>
          <t>Attribute Bonus (AB)</t>
        </is>
      </c>
      <c r="E12" s="14">
        <f>IF(C12="","—",INT(C12/2))</f>
        <v/>
      </c>
      <c r="F12" s="5" t="inlineStr">
        <is>
          <t>Interfere / Dispel Difficulty Class (DC)</t>
        </is>
      </c>
      <c r="G12" s="26" t="n"/>
      <c r="H12" s="14">
        <f>IF(C12="","—",10+INT(C12/2))</f>
        <v/>
      </c>
      <c r="I12" s="26" t="n"/>
    </row>
    <row r="13">
      <c r="A13" s="15" t="inlineStr">
        <is>
          <t>Insubstantial Whisperer (Whisperer) cannot be attacked, cannot be dispelled, and does not take Encounter Budget (EB). A Haunt with substance should instead be built with a Realm Creature card.</t>
        </is>
      </c>
      <c r="B13" s="25" t="n"/>
      <c r="C13" s="25" t="n"/>
      <c r="D13" s="25" t="n"/>
      <c r="E13" s="25" t="n"/>
      <c r="F13" s="25" t="n"/>
      <c r="G13" s="25" t="n"/>
      <c r="H13" s="25" t="n"/>
      <c r="I13" s="26" t="n"/>
    </row>
    <row r="14" ht="20" customHeight="1">
      <c r="A14" s="10" t="inlineStr">
        <is>
          <t>III. Narrative Data</t>
        </is>
      </c>
      <c r="B14" s="25" t="n"/>
      <c r="C14" s="25" t="n"/>
      <c r="D14" s="25" t="n"/>
      <c r="E14" s="25" t="n"/>
      <c r="F14" s="25" t="n"/>
      <c r="G14" s="25" t="n"/>
      <c r="H14" s="25" t="n"/>
      <c r="I14" s="26" t="n"/>
    </row>
    <row r="15" ht="46" customHeight="1">
      <c r="A15" s="12" t="inlineStr">
        <is>
          <t>Background</t>
        </is>
      </c>
      <c r="B15" s="26" t="n"/>
      <c r="C15" s="18" t="inlineStr">
        <is>
          <t>It knows more than it should. No one knows who it is, not even Ali the Mirrorbearer (§8-14).</t>
        </is>
      </c>
      <c r="D15" s="25" t="n"/>
      <c r="E15" s="25" t="n"/>
      <c r="F15" s="25" t="n"/>
      <c r="G15" s="25" t="n"/>
      <c r="H15" s="25" t="n"/>
      <c r="I15" s="26" t="n"/>
    </row>
    <row r="16" ht="40" customHeight="1">
      <c r="A16" s="12" t="inlineStr">
        <is>
          <t>Role in Main Plot</t>
        </is>
      </c>
      <c r="B16" s="26" t="n"/>
      <c r="C16" s="18" t="inlineStr">
        <is>
          <t>S3 First Appearance / S5 Responds to "the price of the return trip" / S8 Can reveal the nature of "The Nameless" (if the Player asks the right question).</t>
        </is>
      </c>
      <c r="D16" s="25" t="n"/>
      <c r="E16" s="25" t="n"/>
      <c r="F16" s="25" t="n"/>
      <c r="G16" s="25" t="n"/>
      <c r="H16" s="25" t="n"/>
      <c r="I16" s="26" t="n"/>
    </row>
    <row r="17" ht="34" customHeight="1">
      <c r="A17" s="12" t="inlineStr">
        <is>
          <t>Signature Line</t>
        </is>
      </c>
      <c r="B17" s="26" t="n"/>
      <c r="C17" s="18" t="inlineStr">
        <is>
          <t>"The return trip costs more than the outbound."</t>
        </is>
      </c>
      <c r="D17" s="25" t="n"/>
      <c r="E17" s="25" t="n"/>
      <c r="F17" s="25" t="n"/>
      <c r="G17" s="25" t="n"/>
      <c r="H17" s="25" t="n"/>
      <c r="I17" s="26" t="n"/>
    </row>
    <row r="18" ht="44" customHeight="1">
      <c r="A18" s="12" t="inlineStr">
        <is>
          <t>Special Rule</t>
        </is>
      </c>
      <c r="B18" s="26" t="n"/>
      <c r="C18" s="18" t="inlineStr">
        <is>
          <t>It speaks on its own — unique among Whisperers. When the Player first approaches the water, do not wait for the Player to ask; let it speak first.</t>
        </is>
      </c>
      <c r="D18" s="25" t="n"/>
      <c r="E18" s="25" t="n"/>
      <c r="F18" s="25" t="n"/>
      <c r="G18" s="25" t="n"/>
      <c r="H18" s="25" t="n"/>
      <c r="I18" s="26" t="n"/>
    </row>
    <row r="19" ht="20" customHeight="1">
      <c r="A19" s="10" t="inlineStr">
        <is>
          <t>IV. GM Running Notes</t>
        </is>
      </c>
      <c r="B19" s="25" t="n"/>
      <c r="C19" s="25" t="n"/>
      <c r="D19" s="25" t="n"/>
      <c r="E19" s="25" t="n"/>
      <c r="F19" s="25" t="n"/>
      <c r="G19" s="25" t="n"/>
      <c r="H19" s="25" t="n"/>
      <c r="I19" s="26" t="n"/>
    </row>
    <row r="20" ht="52" customHeight="1">
      <c r="A20" s="18" t="inlineStr">
        <is>
          <t>Its lines must be short — three to seven characters. Long sentences ruin this character.</t>
        </is>
      </c>
      <c r="B20" s="25" t="n"/>
      <c r="C20" s="25" t="n"/>
      <c r="D20" s="25" t="n"/>
      <c r="E20" s="25" t="n"/>
      <c r="F20" s="25" t="n"/>
      <c r="G20" s="25" t="n"/>
      <c r="H20" s="25" t="n"/>
      <c r="I20" s="26" t="n"/>
    </row>
  </sheetData>
  <mergeCells count="32">
    <mergeCell ref="A7:I7"/>
    <mergeCell ref="A15:B15"/>
    <mergeCell ref="C17:I17"/>
    <mergeCell ref="C8:I8"/>
    <mergeCell ref="E5:I5"/>
    <mergeCell ref="A2:C5"/>
    <mergeCell ref="F12:G12"/>
    <mergeCell ref="A16:B16"/>
    <mergeCell ref="E4:I4"/>
    <mergeCell ref="C18:I18"/>
    <mergeCell ref="A14:I14"/>
    <mergeCell ref="C15:I15"/>
    <mergeCell ref="A18:B18"/>
    <mergeCell ref="A20:I20"/>
    <mergeCell ref="A12:B12"/>
    <mergeCell ref="A19:I19"/>
    <mergeCell ref="A13:I13"/>
    <mergeCell ref="E2:I2"/>
    <mergeCell ref="C10:I10"/>
    <mergeCell ref="C16:I16"/>
    <mergeCell ref="A17:B17"/>
    <mergeCell ref="A8:B8"/>
    <mergeCell ref="H3:I3"/>
    <mergeCell ref="H12:I12"/>
    <mergeCell ref="C9:I9"/>
    <mergeCell ref="A11:I11"/>
    <mergeCell ref="A6:C6"/>
    <mergeCell ref="A10:B10"/>
    <mergeCell ref="A1:I1"/>
    <mergeCell ref="D6:I6"/>
    <mergeCell ref="A9:B9"/>
    <mergeCell ref="E3:F3"/>
  </mergeCells>
  <dataValidations count="1">
    <dataValidation sqref="E3:F3" showDropDown="0" showInputMessage="0" showErrorMessage="0" allowBlank="1" type="list">
      <formula1>"營火同伴,回聲同伴,低語者,殘影,觀察者,特殊存在"</formula1>
    </dataValidation>
  </dataValidations>
  <printOptions horizontalCentered="1"/>
  <pageMargins left="0.75" right="0.75" top="1" bottom="1" header="0.5" footer="0.5"/>
  <pageSetup orientation="portrait" fitToHeight="0" fitToWidth="1"/>
</worksheet>
</file>

<file path=xl/worksheets/sheet13.xml><?xml version="1.0" encoding="utf-8"?>
<worksheet xmlns="http://schemas.openxmlformats.org/spreadsheetml/2006/main">
  <sheetPr>
    <outlinePr summaryBelow="1" summaryRight="1"/>
    <pageSetUpPr fitToPage="1"/>
  </sheetPr>
  <dimension ref="A1:I20"/>
  <sheetViews>
    <sheetView workbookViewId="0">
      <pane ySplit="5" topLeftCell="A6" activePane="bottomLeft" state="frozen"/>
      <selection pane="bottomLeft" activeCell="A1" sqref="A1"/>
    </sheetView>
  </sheetViews>
  <sheetFormatPr baseColWidth="8" defaultRowHeight="15"/>
  <cols>
    <col width="11" customWidth="1" min="1" max="1"/>
    <col width="11" customWidth="1" min="2" max="2"/>
    <col width="11" customWidth="1" min="3" max="3"/>
    <col width="13" customWidth="1" min="4" max="4"/>
    <col width="13" customWidth="1" min="5" max="5"/>
    <col width="12" customWidth="1" min="6" max="6"/>
    <col width="12" customWidth="1" min="7" max="7"/>
    <col width="13" customWidth="1" min="8" max="8"/>
    <col width="13" customWidth="1" min="9" max="9"/>
  </cols>
  <sheetData>
    <row r="1" ht="28" customHeight="1">
      <c r="A1" s="19" t="inlineStr">
        <is>
          <t>Dead by Daylight TRPG　Non-Player Character (NPC) Card　·　Simple Type (Insubstantial / Narrative)</t>
        </is>
      </c>
      <c r="B1" s="21" t="n"/>
      <c r="C1" s="21" t="n"/>
      <c r="D1" s="21" t="n"/>
      <c r="E1" s="21" t="n"/>
      <c r="F1" s="21" t="n"/>
      <c r="G1" s="21" t="n"/>
      <c r="H1" s="21" t="n"/>
      <c r="I1" s="22" t="n"/>
    </row>
    <row r="2">
      <c r="A2" s="3" t="inlineStr">
        <is>
          <t>Character Art
(Paste character image here)</t>
        </is>
      </c>
      <c r="B2" s="23" t="n"/>
      <c r="C2" s="24" t="n"/>
      <c r="D2" s="5" t="inlineStr">
        <is>
          <t>Name</t>
        </is>
      </c>
      <c r="E2" s="6" t="inlineStr">
        <is>
          <t>Seventeen</t>
        </is>
      </c>
      <c r="F2" s="25" t="n"/>
      <c r="G2" s="25" t="n"/>
      <c r="H2" s="25" t="n"/>
      <c r="I2" s="26" t="n"/>
    </row>
    <row r="3">
      <c r="A3" s="27" t="n"/>
      <c r="C3" s="28" t="n"/>
      <c r="D3" s="5" t="inlineStr">
        <is>
          <t>NPC Type</t>
        </is>
      </c>
      <c r="E3" s="8" t="inlineStr">
        <is>
          <t>Afterimage</t>
        </is>
      </c>
      <c r="F3" s="26" t="n"/>
      <c r="G3" s="5" t="inlineStr">
        <is>
          <t>First Appearance</t>
        </is>
      </c>
      <c r="H3" s="8" t="inlineStr">
        <is>
          <t>S4</t>
        </is>
      </c>
      <c r="I3" s="26" t="n"/>
    </row>
    <row r="4">
      <c r="A4" s="27" t="n"/>
      <c r="C4" s="28" t="n"/>
      <c r="D4" s="5" t="inlineStr">
        <is>
          <t>Affiliated Realm / Location</t>
        </is>
      </c>
      <c r="E4" s="6" t="inlineStr">
        <is>
          <t>R4 Crotus Prenn Asylum · Medical Records Room</t>
        </is>
      </c>
      <c r="F4" s="25" t="n"/>
      <c r="G4" s="25" t="n"/>
      <c r="H4" s="25" t="n"/>
      <c r="I4" s="26" t="n"/>
    </row>
    <row r="5">
      <c r="A5" s="29" t="n"/>
      <c r="B5" s="30" t="n"/>
      <c r="C5" s="31" t="n"/>
      <c r="D5" s="5" t="inlineStr">
        <is>
          <t>Role</t>
        </is>
      </c>
      <c r="E5" s="6" t="inlineStr">
        <is>
          <t>Afterimage (S4 Core)</t>
        </is>
      </c>
      <c r="F5" s="25" t="n"/>
      <c r="G5" s="25" t="n"/>
      <c r="H5" s="25" t="n"/>
      <c r="I5" s="26" t="n"/>
    </row>
    <row r="6" ht="36" customHeight="1">
      <c r="A6" s="12" t="inlineStr">
        <is>
          <t>Form / Appearance</t>
        </is>
      </c>
      <c r="B6" s="25" t="n"/>
      <c r="C6" s="26" t="n"/>
      <c r="D6" s="18" t="inlineStr">
        <is>
          <t>A woman standing still. She faces the door of the medical records room. Her face is clear — rare for an afterimage.</t>
        </is>
      </c>
      <c r="E6" s="25" t="n"/>
      <c r="F6" s="25" t="n"/>
      <c r="G6" s="25" t="n"/>
      <c r="H6" s="25" t="n"/>
      <c r="I6" s="26" t="n"/>
    </row>
    <row r="7" ht="20" customHeight="1">
      <c r="A7" s="10" t="inlineStr">
        <is>
          <t>I. Interaction Rules</t>
        </is>
      </c>
      <c r="B7" s="25" t="n"/>
      <c r="C7" s="25" t="n"/>
      <c r="D7" s="25" t="n"/>
      <c r="E7" s="25" t="n"/>
      <c r="F7" s="25" t="n"/>
      <c r="G7" s="25" t="n"/>
      <c r="H7" s="25" t="n"/>
      <c r="I7" s="26" t="n"/>
    </row>
    <row r="8" ht="30" customHeight="1">
      <c r="A8" s="12" t="inlineStr">
        <is>
          <t>Motivation</t>
        </is>
      </c>
      <c r="B8" s="26" t="n"/>
      <c r="C8" s="18" t="inlineStr">
        <is>
          <t>Wants to prove she is not ill. She is not a patient; she is a visitor who was wrongly admitted and locked up for three years.</t>
        </is>
      </c>
      <c r="D8" s="25" t="n"/>
      <c r="E8" s="25" t="n"/>
      <c r="F8" s="25" t="n"/>
      <c r="G8" s="25" t="n"/>
      <c r="H8" s="25" t="n"/>
      <c r="I8" s="26" t="n"/>
    </row>
    <row r="9" ht="44" customHeight="1">
      <c r="A9" s="12" t="inlineStr">
        <is>
          <t>Trade / Interaction Price</t>
        </is>
      </c>
      <c r="B9" s="26" t="n"/>
      <c r="C9" s="18" t="inlineStr">
        <is>
          <t>No trading. Accepts no help.</t>
        </is>
      </c>
      <c r="D9" s="25" t="n"/>
      <c r="E9" s="25" t="n"/>
      <c r="F9" s="25" t="n"/>
      <c r="G9" s="25" t="n"/>
      <c r="H9" s="25" t="n"/>
      <c r="I9" s="26" t="n"/>
    </row>
    <row r="10" ht="40" customHeight="1">
      <c r="A10" s="12" t="inlineStr">
        <is>
          <t>Restrictions &amp; Prohibitions</t>
        </is>
      </c>
      <c r="B10" s="26" t="n"/>
      <c r="C10" s="18" t="inlineStr">
        <is>
          <t>Accepts no help. Only when the Player reads her medical record aloud does she move. Any attack, dispel, or heal attempt automatically Fails and costs no Action Point (AP).</t>
        </is>
      </c>
      <c r="D10" s="25" t="n"/>
      <c r="E10" s="25" t="n"/>
      <c r="F10" s="25" t="n"/>
      <c r="G10" s="25" t="n"/>
      <c r="H10" s="25" t="n"/>
      <c r="I10" s="26" t="n"/>
    </row>
    <row r="11" ht="20" customHeight="1">
      <c r="A11" s="10" t="inlineStr">
        <is>
          <t>II. Data (if substantial)</t>
        </is>
      </c>
      <c r="B11" s="25" t="n"/>
      <c r="C11" s="25" t="n"/>
      <c r="D11" s="25" t="n"/>
      <c r="E11" s="25" t="n"/>
      <c r="F11" s="25" t="n"/>
      <c r="G11" s="25" t="n"/>
      <c r="H11" s="25" t="n"/>
      <c r="I11" s="26" t="n"/>
    </row>
    <row r="12">
      <c r="A12" s="12" t="inlineStr">
        <is>
          <t>Will (WIL)</t>
        </is>
      </c>
      <c r="B12" s="26" t="n"/>
      <c r="C12" s="8" t="n">
        <v>9</v>
      </c>
      <c r="D12" s="5" t="inlineStr">
        <is>
          <t>Attribute Bonus (AB)</t>
        </is>
      </c>
      <c r="E12" s="14">
        <f>IF(C12="","—",INT(C12/2))</f>
        <v/>
      </c>
      <c r="F12" s="5" t="inlineStr">
        <is>
          <t>Interfere / Dispel Difficulty Class (DC)</t>
        </is>
      </c>
      <c r="G12" s="26" t="n"/>
      <c r="H12" s="14">
        <f>IF(C12="","—",10+INT(C12/2))</f>
        <v/>
      </c>
      <c r="I12" s="26" t="n"/>
    </row>
    <row r="13">
      <c r="A13" s="15" t="inlineStr">
        <is>
          <t>Insubstantial Whisperer (Whisperer) cannot be attacked, cannot be dispelled, and does not take Encounter Budget (EB). A Haunt with substance should instead be built with a Realm Creature card.</t>
        </is>
      </c>
      <c r="B13" s="25" t="n"/>
      <c r="C13" s="25" t="n"/>
      <c r="D13" s="25" t="n"/>
      <c r="E13" s="25" t="n"/>
      <c r="F13" s="25" t="n"/>
      <c r="G13" s="25" t="n"/>
      <c r="H13" s="25" t="n"/>
      <c r="I13" s="26" t="n"/>
    </row>
    <row r="14" ht="20" customHeight="1">
      <c r="A14" s="10" t="inlineStr">
        <is>
          <t>III. Narrative Data</t>
        </is>
      </c>
      <c r="B14" s="25" t="n"/>
      <c r="C14" s="25" t="n"/>
      <c r="D14" s="25" t="n"/>
      <c r="E14" s="25" t="n"/>
      <c r="F14" s="25" t="n"/>
      <c r="G14" s="25" t="n"/>
      <c r="H14" s="25" t="n"/>
      <c r="I14" s="26" t="n"/>
    </row>
    <row r="15" ht="46" customHeight="1">
      <c r="A15" s="12" t="inlineStr">
        <is>
          <t>Background</t>
        </is>
      </c>
      <c r="B15" s="26" t="n"/>
      <c r="C15" s="18" t="inlineStr">
        <is>
          <t>Her medical record says "patient shows no abnormality" 340 times; the last line reads: "She came to visit her sister. She is not ill."</t>
        </is>
      </c>
      <c r="D15" s="25" t="n"/>
      <c r="E15" s="25" t="n"/>
      <c r="F15" s="25" t="n"/>
      <c r="G15" s="25" t="n"/>
      <c r="H15" s="25" t="n"/>
      <c r="I15" s="26" t="n"/>
    </row>
    <row r="16" ht="40" customHeight="1">
      <c r="A16" s="12" t="inlineStr">
        <is>
          <t>Role in Main Plot</t>
        </is>
      </c>
      <c r="B16" s="26" t="n"/>
      <c r="C16" s="18" t="inlineStr">
        <is>
          <t>S4 core puzzle target. Uses the same encounter rules as Realm creature RC-05 Ward Afterimage (Ward Haunt), but she is the named, solvable one.</t>
        </is>
      </c>
      <c r="D16" s="25" t="n"/>
      <c r="E16" s="25" t="n"/>
      <c r="F16" s="25" t="n"/>
      <c r="G16" s="25" t="n"/>
      <c r="H16" s="25" t="n"/>
      <c r="I16" s="26" t="n"/>
    </row>
    <row r="17" ht="34" customHeight="1">
      <c r="A17" s="12" t="inlineStr">
        <is>
          <t>Signature Line</t>
        </is>
      </c>
      <c r="B17" s="26" t="n"/>
      <c r="C17" s="18" t="inlineStr">
        <is>
          <t>(She does not speak.)</t>
        </is>
      </c>
      <c r="D17" s="25" t="n"/>
      <c r="E17" s="25" t="n"/>
      <c r="F17" s="25" t="n"/>
      <c r="G17" s="25" t="n"/>
      <c r="H17" s="25" t="n"/>
      <c r="I17" s="26" t="n"/>
    </row>
    <row r="18" ht="44" customHeight="1">
      <c r="A18" s="12" t="inlineStr">
        <is>
          <t>Special Rule</t>
        </is>
      </c>
      <c r="B18" s="26" t="n"/>
      <c r="C18" s="18" t="inlineStr">
        <is>
          <t>After the record is read, she pulls out her sister's record and hands it to the Player, then dissolves — and when she dissolves she becomes embers, not ash. Reward: +2 Hope Point (HOP) + 5 Campfire Embers + the sister's medical record (main-story item).</t>
        </is>
      </c>
      <c r="D18" s="25" t="n"/>
      <c r="E18" s="25" t="n"/>
      <c r="F18" s="25" t="n"/>
      <c r="G18" s="25" t="n"/>
      <c r="H18" s="25" t="n"/>
      <c r="I18" s="26" t="n"/>
    </row>
    <row r="19" ht="20" customHeight="1">
      <c r="A19" s="10" t="inlineStr">
        <is>
          <t>IV. GM Running Notes</t>
        </is>
      </c>
      <c r="B19" s="25" t="n"/>
      <c r="C19" s="25" t="n"/>
      <c r="D19" s="25" t="n"/>
      <c r="E19" s="25" t="n"/>
      <c r="F19" s="25" t="n"/>
      <c r="G19" s="25" t="n"/>
      <c r="H19" s="25" t="n"/>
      <c r="I19" s="26" t="n"/>
    </row>
    <row r="20" ht="52" customHeight="1">
      <c r="A20" s="18" t="inlineStr">
        <is>
          <t>Make the Player actually flip through "patient shows no abnormality" 340 times. Prepare a prop sheet filled with that same line on the front; only the last line on the back is the truth. This is the highest-ROI The Entity prop in the whole campaign.</t>
        </is>
      </c>
      <c r="B20" s="25" t="n"/>
      <c r="C20" s="25" t="n"/>
      <c r="D20" s="25" t="n"/>
      <c r="E20" s="25" t="n"/>
      <c r="F20" s="25" t="n"/>
      <c r="G20" s="25" t="n"/>
      <c r="H20" s="25" t="n"/>
      <c r="I20" s="26" t="n"/>
    </row>
  </sheetData>
  <mergeCells count="32">
    <mergeCell ref="A7:I7"/>
    <mergeCell ref="A15:B15"/>
    <mergeCell ref="C17:I17"/>
    <mergeCell ref="C8:I8"/>
    <mergeCell ref="E5:I5"/>
    <mergeCell ref="A2:C5"/>
    <mergeCell ref="F12:G12"/>
    <mergeCell ref="A16:B16"/>
    <mergeCell ref="E4:I4"/>
    <mergeCell ref="C18:I18"/>
    <mergeCell ref="A14:I14"/>
    <mergeCell ref="C15:I15"/>
    <mergeCell ref="A18:B18"/>
    <mergeCell ref="A20:I20"/>
    <mergeCell ref="A12:B12"/>
    <mergeCell ref="A19:I19"/>
    <mergeCell ref="A13:I13"/>
    <mergeCell ref="E2:I2"/>
    <mergeCell ref="C10:I10"/>
    <mergeCell ref="C16:I16"/>
    <mergeCell ref="A17:B17"/>
    <mergeCell ref="A8:B8"/>
    <mergeCell ref="H3:I3"/>
    <mergeCell ref="H12:I12"/>
    <mergeCell ref="C9:I9"/>
    <mergeCell ref="A11:I11"/>
    <mergeCell ref="A6:C6"/>
    <mergeCell ref="A10:B10"/>
    <mergeCell ref="A1:I1"/>
    <mergeCell ref="D6:I6"/>
    <mergeCell ref="A9:B9"/>
    <mergeCell ref="E3:F3"/>
  </mergeCells>
  <dataValidations count="1">
    <dataValidation sqref="E3:F3" showDropDown="0" showInputMessage="0" showErrorMessage="0" allowBlank="1" type="list">
      <formula1>"營火同伴,回聲同伴,低語者,殘影,觀察者,特殊存在"</formula1>
    </dataValidation>
  </dataValidations>
  <printOptions horizontalCentered="1"/>
  <pageMargins left="0.75" right="0.75" top="1" bottom="1" header="0.5" footer="0.5"/>
  <pageSetup orientation="portrait" fitToHeight="0" fitToWidth="1"/>
</worksheet>
</file>

<file path=xl/worksheets/sheet14.xml><?xml version="1.0" encoding="utf-8"?>
<worksheet xmlns="http://schemas.openxmlformats.org/spreadsheetml/2006/main">
  <sheetPr>
    <outlinePr summaryBelow="1" summaryRight="1"/>
    <pageSetUpPr fitToPage="1"/>
  </sheetPr>
  <dimension ref="A1:I44"/>
  <sheetViews>
    <sheetView workbookViewId="0">
      <pane ySplit="6" topLeftCell="A7" activePane="bottomLeft" state="frozen"/>
      <selection pane="bottomLeft" activeCell="A1" sqref="A1"/>
    </sheetView>
  </sheetViews>
  <sheetFormatPr baseColWidth="8" defaultRowHeight="15"/>
  <cols>
    <col width="11" customWidth="1" min="1" max="1"/>
    <col width="11" customWidth="1" min="2" max="2"/>
    <col width="11" customWidth="1" min="3" max="3"/>
    <col width="13" customWidth="1" min="4" max="4"/>
    <col width="13" customWidth="1" min="5" max="5"/>
    <col width="12" customWidth="1" min="6" max="6"/>
    <col width="12" customWidth="1" min="7" max="7"/>
    <col width="13" customWidth="1" min="8" max="8"/>
    <col width="13" customWidth="1" min="9" max="9"/>
  </cols>
  <sheetData>
    <row r="1" ht="28" customHeight="1">
      <c r="A1" s="1" t="inlineStr">
        <is>
          <t>Dead by Daylight TRPG　Non-Player Character (NPC) Card　·　Full Type</t>
        </is>
      </c>
      <c r="B1" s="21" t="n"/>
      <c r="C1" s="21" t="n"/>
      <c r="D1" s="21" t="n"/>
      <c r="E1" s="21" t="n"/>
      <c r="F1" s="21" t="n"/>
      <c r="G1" s="21" t="n"/>
      <c r="H1" s="21" t="n"/>
      <c r="I1" s="22" t="n"/>
    </row>
    <row r="2">
      <c r="A2" s="3" t="inlineStr">
        <is>
          <t>Character Art
(Paste character image here)</t>
        </is>
      </c>
      <c r="B2" s="23" t="n"/>
      <c r="C2" s="24" t="n"/>
      <c r="D2" s="5" t="inlineStr">
        <is>
          <t>Name</t>
        </is>
      </c>
      <c r="E2" s="6" t="inlineStr">
        <is>
          <t>Ali the Mirrorbearer</t>
        </is>
      </c>
      <c r="F2" s="25" t="n"/>
      <c r="G2" s="25" t="n"/>
      <c r="H2" s="25" t="n"/>
      <c r="I2" s="26" t="n"/>
    </row>
    <row r="3">
      <c r="A3" s="27" t="n"/>
      <c r="C3" s="28" t="n"/>
      <c r="D3" s="5" t="inlineStr">
        <is>
          <t>NPC Type</t>
        </is>
      </c>
      <c r="E3" s="8" t="inlineStr">
        <is>
          <t>The Observer</t>
        </is>
      </c>
      <c r="F3" s="26" t="n"/>
      <c r="G3" s="5" t="inlineStr">
        <is>
          <t>Role</t>
        </is>
      </c>
      <c r="H3" s="6" t="inlineStr">
        <is>
          <t>The Observer. Master of The Lone Tower. The knowledge source of the whole campaign.</t>
        </is>
      </c>
      <c r="I3" s="26" t="n"/>
    </row>
    <row r="4">
      <c r="A4" s="27" t="n"/>
      <c r="C4" s="28" t="n"/>
      <c r="D4" s="5" t="inlineStr">
        <is>
          <t>Prestige (PRS)</t>
        </is>
      </c>
      <c r="E4" s="8" t="n">
        <v>8</v>
      </c>
      <c r="F4" s="26" t="n"/>
      <c r="G4" s="5" t="inlineStr">
        <is>
          <t>First Appearance</t>
        </is>
      </c>
      <c r="H4" s="8" t="inlineStr">
        <is>
          <t>S7</t>
        </is>
      </c>
      <c r="I4" s="26" t="n"/>
    </row>
    <row r="5">
      <c r="A5" s="29" t="n"/>
      <c r="B5" s="30" t="n"/>
      <c r="C5" s="31" t="n"/>
      <c r="D5" s="5" t="inlineStr">
        <is>
          <t>Affiliated Realm / Location</t>
        </is>
      </c>
      <c r="E5" s="6" t="inlineStr">
        <is>
          <t>The Lone Tower（The Lone Tower）</t>
        </is>
      </c>
      <c r="F5" s="25" t="n"/>
      <c r="G5" s="25" t="n"/>
      <c r="H5" s="25" t="n"/>
      <c r="I5" s="26" t="n"/>
    </row>
    <row r="6" ht="32" customHeight="1">
      <c r="A6" s="5" t="inlineStr">
        <is>
          <t>Appearance</t>
        </is>
      </c>
      <c r="B6" s="25" t="n"/>
      <c r="C6" s="26" t="n"/>
      <c r="D6" s="6" t="inlineStr">
        <is>
          <t>Indeterminate age. Always holds a small, cloudy mirror (Memory Mirror).</t>
        </is>
      </c>
      <c r="E6" s="25" t="n"/>
      <c r="F6" s="25" t="n"/>
      <c r="G6" s="25" t="n"/>
      <c r="H6" s="25" t="n"/>
      <c r="I6" s="26" t="n"/>
    </row>
    <row r="7" ht="20" customHeight="1">
      <c r="A7" s="10" t="inlineStr">
        <is>
          <t>I. Attributes (Five-Attribute Frame)</t>
        </is>
      </c>
      <c r="B7" s="25" t="n"/>
      <c r="C7" s="25" t="n"/>
      <c r="D7" s="25" t="n"/>
      <c r="E7" s="25" t="n"/>
      <c r="F7" s="25" t="n"/>
      <c r="G7" s="25" t="n"/>
      <c r="H7" s="25" t="n"/>
      <c r="I7" s="26" t="n"/>
    </row>
    <row r="8" ht="28" customHeight="1">
      <c r="A8" s="5" t="inlineStr">
        <is>
          <t>Attribute</t>
        </is>
      </c>
      <c r="B8" s="26" t="n"/>
      <c r="C8" s="5" t="inlineStr">
        <is>
          <t>Tendency</t>
        </is>
      </c>
      <c r="D8" s="5" t="inlineStr">
        <is>
          <t>Attribute Value
(1–10)</t>
        </is>
      </c>
      <c r="E8" s="5" t="inlineStr">
        <is>
          <t>Attribute Bonus (AB)</t>
        </is>
      </c>
      <c r="F8" s="5" t="inlineStr">
        <is>
          <t>Notes</t>
        </is>
      </c>
      <c r="G8" s="25" t="n"/>
      <c r="H8" s="25" t="n"/>
      <c r="I8" s="26" t="n"/>
    </row>
    <row r="9">
      <c r="A9" s="12" t="inlineStr">
        <is>
          <t>Agility (AGI)</t>
        </is>
      </c>
      <c r="B9" s="26" t="n"/>
      <c r="C9" s="8" t="inlineStr">
        <is>
          <t>Low</t>
        </is>
      </c>
      <c r="D9" s="8" t="n">
        <v>3</v>
      </c>
      <c r="E9" s="14">
        <f>IF(D9="","",INT(D9/2))</f>
        <v/>
      </c>
      <c r="F9" s="6" t="n"/>
      <c r="G9" s="25" t="n"/>
      <c r="H9" s="25" t="n"/>
      <c r="I9" s="26" t="n"/>
    </row>
    <row r="10">
      <c r="A10" s="12" t="inlineStr">
        <is>
          <t>Technique (TEC)</t>
        </is>
      </c>
      <c r="B10" s="26" t="n"/>
      <c r="C10" s="8" t="inlineStr">
        <is>
          <t>Medium</t>
        </is>
      </c>
      <c r="D10" s="8" t="n">
        <v>5</v>
      </c>
      <c r="E10" s="14">
        <f>IF(D10="","",INT(D10/2))</f>
        <v/>
      </c>
      <c r="F10" s="6" t="n"/>
      <c r="G10" s="25" t="n"/>
      <c r="H10" s="25" t="n"/>
      <c r="I10" s="26" t="n"/>
    </row>
    <row r="11">
      <c r="A11" s="12" t="inlineStr">
        <is>
          <t>Stealth (STL)</t>
        </is>
      </c>
      <c r="B11" s="26" t="n"/>
      <c r="C11" s="8" t="inlineStr">
        <is>
          <t>Very High</t>
        </is>
      </c>
      <c r="D11" s="8" t="n">
        <v>9</v>
      </c>
      <c r="E11" s="14">
        <f>IF(D11="","",INT(D11/2))</f>
        <v/>
      </c>
      <c r="F11" s="6" t="n"/>
      <c r="G11" s="25" t="n"/>
      <c r="H11" s="25" t="n"/>
      <c r="I11" s="26" t="n"/>
    </row>
    <row r="12">
      <c r="A12" s="12" t="inlineStr">
        <is>
          <t>Focus (FOC)</t>
        </is>
      </c>
      <c r="B12" s="26" t="n"/>
      <c r="C12" s="8" t="inlineStr">
        <is>
          <t>Very High</t>
        </is>
      </c>
      <c r="D12" s="8" t="n">
        <v>9</v>
      </c>
      <c r="E12" s="14">
        <f>IF(D12="","",INT(D12/2))</f>
        <v/>
      </c>
      <c r="F12" s="6" t="n"/>
      <c r="G12" s="25" t="n"/>
      <c r="H12" s="25" t="n"/>
      <c r="I12" s="26" t="n"/>
    </row>
    <row r="13">
      <c r="A13" s="12" t="inlineStr">
        <is>
          <t>Will (WIL)</t>
        </is>
      </c>
      <c r="B13" s="26" t="n"/>
      <c r="C13" s="8" t="inlineStr">
        <is>
          <t>High</t>
        </is>
      </c>
      <c r="D13" s="8" t="n">
        <v>7</v>
      </c>
      <c r="E13" s="14">
        <f>IF(D13="","",INT(D13/2))</f>
        <v/>
      </c>
      <c r="F13" s="6" t="n"/>
      <c r="G13" s="25" t="n"/>
      <c r="H13" s="25" t="n"/>
      <c r="I13" s="26" t="n"/>
    </row>
    <row r="14">
      <c r="A14" s="15" t="inlineStr">
        <is>
          <t>Attribute Bonus (AB) = INT(Attribute Value ÷ 2), auto-calculated. 'Tendency' is a narrative-scale relative description; 'Attribute Value' is filled by the GM per Prestige (PRS). For insubstantial NPCs (e.g. Whisperer), leave Attribute Value blank.</t>
        </is>
      </c>
      <c r="B14" s="25" t="n"/>
      <c r="C14" s="25" t="n"/>
      <c r="D14" s="25" t="n"/>
      <c r="E14" s="25" t="n"/>
      <c r="F14" s="25" t="n"/>
      <c r="G14" s="25" t="n"/>
      <c r="H14" s="25" t="n"/>
      <c r="I14" s="26" t="n"/>
    </row>
    <row r="15" ht="20" customHeight="1">
      <c r="A15" s="10" t="inlineStr">
        <is>
          <t>II. Derived Values (auto-calculated)</t>
        </is>
      </c>
      <c r="B15" s="25" t="n"/>
      <c r="C15" s="25" t="n"/>
      <c r="D15" s="25" t="n"/>
      <c r="E15" s="25" t="n"/>
      <c r="F15" s="25" t="n"/>
      <c r="G15" s="25" t="n"/>
      <c r="H15" s="25" t="n"/>
      <c r="I15" s="26" t="n"/>
    </row>
    <row r="16">
      <c r="A16" s="12" t="inlineStr">
        <is>
          <t>HP (HP) Cap</t>
        </is>
      </c>
      <c r="B16" s="25" t="n"/>
      <c r="C16" s="26" t="n"/>
      <c r="D16" s="14">
        <f>IF(D13="","—",8+2*D13+IF($E$4="",0,$E$4))</f>
        <v/>
      </c>
      <c r="E16" s="26" t="n"/>
      <c r="F16" s="6" t="inlineStr">
        <is>
          <t>8 + 2×Will (WIL) + Prestige (PRS)</t>
        </is>
      </c>
      <c r="G16" s="25" t="n"/>
      <c r="H16" s="25" t="n"/>
      <c r="I16" s="26" t="n"/>
    </row>
    <row r="17">
      <c r="A17" s="12" t="inlineStr">
        <is>
          <t>Health State (HS) Cap</t>
        </is>
      </c>
      <c r="B17" s="25" t="n"/>
      <c r="C17" s="26" t="n"/>
      <c r="D17" s="14">
        <f>IF($E$3="Echo Companion",3,IF($E$3="Whisperer","—",2))</f>
        <v/>
      </c>
      <c r="E17" s="26" t="n"/>
      <c r="F17" s="6" t="inlineStr">
        <is>
          <t>Healthy→Injured→Dying. Echo Companion uses three-stage tracking.</t>
        </is>
      </c>
      <c r="G17" s="25" t="n"/>
      <c r="H17" s="25" t="n"/>
      <c r="I17" s="26" t="n"/>
    </row>
    <row r="18">
      <c r="A18" s="12" t="inlineStr">
        <is>
          <t>Action Point (AP) / round</t>
        </is>
      </c>
      <c r="B18" s="25" t="n"/>
      <c r="C18" s="26" t="n"/>
      <c r="D18" s="14">
        <f>IF($E$3="Echo Companion",1,IF($E$3="Whisperer",0,4))</f>
        <v/>
      </c>
      <c r="E18" s="26" t="n"/>
      <c r="F18" s="6" t="inlineStr">
        <is>
          <t>Echo Companion fixed at 1; Whisperer takes no action.</t>
        </is>
      </c>
      <c r="G18" s="25" t="n"/>
      <c r="H18" s="25" t="n"/>
      <c r="I18" s="26" t="n"/>
    </row>
    <row r="19">
      <c r="A19" s="12" t="inlineStr">
        <is>
          <t>Move (MOV) / round</t>
        </is>
      </c>
      <c r="B19" s="25" t="n"/>
      <c r="C19" s="26" t="n"/>
      <c r="D19" s="14">
        <f>IF(D9="","—",6+INT(D9/2))</f>
        <v/>
      </c>
      <c r="E19" s="26" t="n"/>
      <c r="F19" s="6" t="inlineStr">
        <is>
          <t>6 + INT(Agility (AGI) ÷ 2). 1 cell = 2 meters</t>
        </is>
      </c>
      <c r="G19" s="25" t="n"/>
      <c r="H19" s="25" t="n"/>
      <c r="I19" s="26" t="n"/>
    </row>
    <row r="20">
      <c r="A20" s="12" t="inlineStr">
        <is>
          <t>Repair Progress (Progress Point / round)</t>
        </is>
      </c>
      <c r="B20" s="25" t="n"/>
      <c r="C20" s="26" t="n"/>
      <c r="D20" s="14">
        <f>IF($E$3="Echo Companion",1,IF(D10="","—",INT(D10/2)))</f>
        <v/>
      </c>
      <c r="E20" s="26" t="n"/>
      <c r="F20" s="6" t="inlineStr">
        <is>
          <t>Echo Companion fixed +1 progress point (50% efficiency)</t>
        </is>
      </c>
      <c r="G20" s="25" t="n"/>
      <c r="H20" s="25" t="n"/>
      <c r="I20" s="26" t="n"/>
    </row>
    <row r="21">
      <c r="A21" s="12" t="inlineStr">
        <is>
          <t>Heal Progress (per round)</t>
        </is>
      </c>
      <c r="B21" s="25" t="n"/>
      <c r="C21" s="26" t="n"/>
      <c r="D21" s="14">
        <f>IF($E$3="Echo Companion",2,IF(D12="","—",INT(D12/2)+2))</f>
        <v/>
      </c>
      <c r="E21" s="26" t="n"/>
      <c r="F21" s="6" t="inlineStr">
        <is>
          <t>Echo Companion fixed +2, and cannot heal itself</t>
        </is>
      </c>
      <c r="G21" s="25" t="n"/>
      <c r="H21" s="25" t="n"/>
      <c r="I21" s="26" t="n"/>
    </row>
    <row r="22">
      <c r="A22" s="12" t="inlineStr">
        <is>
          <t>Passive Awareness Difficulty Class (DC)</t>
        </is>
      </c>
      <c r="B22" s="25" t="n"/>
      <c r="C22" s="26" t="n"/>
      <c r="D22" s="14">
        <f>IF(D12="","—",8+INT(D12/2))</f>
        <v/>
      </c>
      <c r="E22" s="26" t="n"/>
      <c r="F22" s="6" t="inlineStr">
        <is>
          <t>The target value for the Killer or other characters to notice this NPC</t>
        </is>
      </c>
      <c r="G22" s="25" t="n"/>
      <c r="H22" s="25" t="n"/>
      <c r="I22" s="26" t="n"/>
    </row>
    <row r="23" ht="20" customHeight="1">
      <c r="A23" s="10" t="inlineStr">
        <is>
          <t>III. Echo Companion exclusive: three-line behavior table</t>
        </is>
      </c>
      <c r="B23" s="25" t="n"/>
      <c r="C23" s="25" t="n"/>
      <c r="D23" s="25" t="n"/>
      <c r="E23" s="25" t="n"/>
      <c r="F23" s="25" t="n"/>
      <c r="G23" s="25" t="n"/>
      <c r="H23" s="25" t="n"/>
      <c r="I23" s="26" t="n"/>
    </row>
    <row r="24">
      <c r="A24" s="15" t="inlineStr">
        <is>
          <t>Used only when 'NPC Type = Echo Companion'. The GM checks top-to-bottom each round; the first condition met is the Echo Companion's action that round. No roleplay, no voice; one line per round.</t>
        </is>
      </c>
      <c r="B24" s="25" t="n"/>
      <c r="C24" s="25" t="n"/>
      <c r="D24" s="25" t="n"/>
      <c r="E24" s="25" t="n"/>
      <c r="F24" s="25" t="n"/>
      <c r="G24" s="25" t="n"/>
      <c r="H24" s="25" t="n"/>
      <c r="I24" s="26" t="n"/>
    </row>
    <row r="25">
      <c r="A25" s="5" t="inlineStr">
        <is>
          <t>No.</t>
        </is>
      </c>
      <c r="B25" s="5" t="inlineStr">
        <is>
          <t>Condition</t>
        </is>
      </c>
      <c r="C25" s="25" t="n"/>
      <c r="D25" s="26" t="n"/>
      <c r="E25" s="5" t="inlineStr">
        <is>
          <t>Action</t>
        </is>
      </c>
      <c r="F25" s="25" t="n"/>
      <c r="G25" s="25" t="n"/>
      <c r="H25" s="25" t="n"/>
      <c r="I25" s="26" t="n"/>
    </row>
    <row r="26" ht="30" customHeight="1">
      <c r="A26" s="12" t="inlineStr">
        <is>
          <t>①</t>
        </is>
      </c>
      <c r="B26" s="6" t="inlineStr">
        <is>
          <t>A Survivor is Hooked and this NPC can arrive within 2 rounds</t>
        </is>
      </c>
      <c r="C26" s="25" t="n"/>
      <c r="D26" s="26" t="n"/>
      <c r="E26" s="6" t="inlineStr">
        <is>
          <t>Go to rescue. On arrival, spend 1 Action Point (AP) to unhook, 100% success (no check).</t>
        </is>
      </c>
      <c r="F26" s="25" t="n"/>
      <c r="G26" s="25" t="n"/>
      <c r="H26" s="25" t="n"/>
      <c r="I26" s="26" t="n"/>
    </row>
    <row r="27" ht="30" customHeight="1">
      <c r="A27" s="12" t="inlineStr">
        <is>
          <t>②</t>
        </is>
      </c>
      <c r="B27" s="6" t="inlineStr">
        <is>
          <t>Self is Injured or Dying, or Killer is within 4 cells</t>
        </is>
      </c>
      <c r="C27" s="25" t="n"/>
      <c r="D27" s="26" t="n"/>
      <c r="E27" s="6" t="inlineStr">
        <is>
          <t>Self-preserve. Move away from Killer, prefer entering a Locker or cover; when Dying, crawl in place.</t>
        </is>
      </c>
      <c r="F27" s="25" t="n"/>
      <c r="G27" s="25" t="n"/>
      <c r="H27" s="25" t="n"/>
      <c r="I27" s="26" t="n"/>
    </row>
    <row r="28" ht="30" customHeight="1">
      <c r="A28" s="12" t="inlineStr">
        <is>
          <t>③</t>
        </is>
      </c>
      <c r="B28" s="6" t="inlineStr">
        <is>
          <t>None of the above holds</t>
        </is>
      </c>
      <c r="C28" s="25" t="n"/>
      <c r="D28" s="26" t="n"/>
      <c r="E28" s="6" t="inlineStr">
        <is>
          <t>Go to the nearest unfinished Generator and repair; +1 progress point per round.</t>
        </is>
      </c>
      <c r="F28" s="25" t="n"/>
      <c r="G28" s="25" t="n"/>
      <c r="H28" s="25" t="n"/>
      <c r="I28" s="26" t="n"/>
    </row>
    <row r="29">
      <c r="A29" s="15" t="inlineStr">
        <is>
          <t>Echo Companion limits: cannot self-unhook, cannot heal itself, cannot use items, cannot trade with Whisperer. Once hooked, it stalls a fixed 3 rounds before advancing to the next hook phase (Echo Stall). Count = MAX(0, 3 − Survivor player count N).</t>
        </is>
      </c>
      <c r="B29" s="25" t="n"/>
      <c r="C29" s="25" t="n"/>
      <c r="D29" s="25" t="n"/>
      <c r="E29" s="25" t="n"/>
      <c r="F29" s="25" t="n"/>
      <c r="G29" s="25" t="n"/>
      <c r="H29" s="25" t="n"/>
      <c r="I29" s="26" t="n"/>
    </row>
    <row r="30" ht="20" customHeight="1">
      <c r="A30" s="10" t="inlineStr">
        <is>
          <t>IV. Narrative Data</t>
        </is>
      </c>
      <c r="B30" s="25" t="n"/>
      <c r="C30" s="25" t="n"/>
      <c r="D30" s="25" t="n"/>
      <c r="E30" s="25" t="n"/>
      <c r="F30" s="25" t="n"/>
      <c r="G30" s="25" t="n"/>
      <c r="H30" s="25" t="n"/>
      <c r="I30" s="26" t="n"/>
    </row>
    <row r="31" ht="30" customHeight="1">
      <c r="A31" s="12" t="inlineStr">
        <is>
          <t>Motivation</t>
        </is>
      </c>
      <c r="B31" s="26" t="n"/>
      <c r="C31" s="18" t="inlineStr">
        <is>
          <t>To record. His world was eaten by The Entity (The Entity); he followed it here only to write down what it is.</t>
        </is>
      </c>
      <c r="D31" s="25" t="n"/>
      <c r="E31" s="25" t="n"/>
      <c r="F31" s="25" t="n"/>
      <c r="G31" s="25" t="n"/>
      <c r="H31" s="25" t="n"/>
      <c r="I31" s="26" t="n"/>
    </row>
    <row r="32" ht="46" customHeight="1">
      <c r="A32" s="12" t="inlineStr">
        <is>
          <t>Background</t>
        </is>
      </c>
      <c r="B32" s="26" t="n"/>
      <c r="C32" s="18" t="inlineStr">
        <is>
          <t>He comes from another world devoured by The Entity. He built a tower so tall The Entity cannot find it — because The Entity builds space from memory, and it has no memory of "that high."</t>
        </is>
      </c>
      <c r="D32" s="25" t="n"/>
      <c r="E32" s="25" t="n"/>
      <c r="F32" s="25" t="n"/>
      <c r="G32" s="25" t="n"/>
      <c r="H32" s="25" t="n"/>
      <c r="I32" s="26" t="n"/>
    </row>
    <row r="33" ht="40" customHeight="1">
      <c r="A33" s="12" t="inlineStr">
        <is>
          <t>Role in Main Plot</t>
        </is>
      </c>
      <c r="B33" s="26" t="n"/>
      <c r="C33" s="18" t="inlineStr">
        <is>
          <t>S7 First appearance / S8 Provides the path to The Lone Tower.</t>
        </is>
      </c>
      <c r="D33" s="25" t="n"/>
      <c r="E33" s="25" t="n"/>
      <c r="F33" s="25" t="n"/>
      <c r="G33" s="25" t="n"/>
      <c r="H33" s="25" t="n"/>
      <c r="I33" s="26" t="n"/>
    </row>
    <row r="34" ht="34" customHeight="1">
      <c r="A34" s="12" t="inlineStr">
        <is>
          <t>Signature Line</t>
        </is>
      </c>
      <c r="B34" s="26" t="n"/>
      <c r="C34" s="18" t="inlineStr">
        <is>
          <t>"I cannot turn back for you. Only the one still running can do that."</t>
        </is>
      </c>
      <c r="D34" s="25" t="n"/>
      <c r="E34" s="25" t="n"/>
      <c r="F34" s="25" t="n"/>
      <c r="G34" s="25" t="n"/>
      <c r="H34" s="25" t="n"/>
      <c r="I34" s="26" t="n"/>
    </row>
    <row r="35" ht="20" customHeight="1">
      <c r="A35" s="10" t="inlineStr">
        <is>
          <t>V. Special Interactions &amp; Rewards</t>
        </is>
      </c>
      <c r="B35" s="25" t="n"/>
      <c r="C35" s="25" t="n"/>
      <c r="D35" s="25" t="n"/>
      <c r="E35" s="25" t="n"/>
      <c r="F35" s="25" t="n"/>
      <c r="G35" s="25" t="n"/>
      <c r="H35" s="25" t="n"/>
      <c r="I35" s="26" t="n"/>
    </row>
    <row r="36" ht="46" customHeight="1">
      <c r="A36" s="12" t="inlineStr">
        <is>
          <t>Special Rule</t>
        </is>
      </c>
      <c r="B36" s="26" t="n"/>
      <c r="C36" s="18" t="inlineStr">
        <is>
          <t>He never lifts a hand to help. He only watches. Any request for him to intervene directly automatically Fails, no check needed. But he answers any question about "what The Entity is," and the answer is always true. Memory Mirror: the Player may spend 1 Hope Point (HOP) to view the true image of any past event (once per scenario).</t>
        </is>
      </c>
      <c r="D36" s="25" t="n"/>
      <c r="E36" s="25" t="n"/>
      <c r="F36" s="25" t="n"/>
      <c r="G36" s="25" t="n"/>
      <c r="H36" s="25" t="n"/>
      <c r="I36" s="26" t="n"/>
    </row>
    <row r="37" ht="30" customHeight="1">
      <c r="A37" s="12" t="inlineStr">
        <is>
          <t>Hope Point (HOP) / Campfire Ember reward</t>
        </is>
      </c>
      <c r="B37" s="25" t="n"/>
      <c r="C37" s="26" t="n"/>
      <c r="D37" s="6" t="inlineStr">
        <is>
          <t>Player challenges why he will not act (moral debate): +2 Campfire Embers. His answer: "I have seen three worlds eaten. I tried three times. After the third, I understood — it is not me who saves people."</t>
        </is>
      </c>
      <c r="E37" s="25" t="n"/>
      <c r="F37" s="25" t="n"/>
      <c r="G37" s="25" t="n"/>
      <c r="H37" s="25" t="n"/>
      <c r="I37" s="26" t="n"/>
    </row>
    <row r="38" ht="20" customHeight="1">
      <c r="A38" s="10" t="inlineStr">
        <is>
          <t>VI. GM Running Notes</t>
        </is>
      </c>
      <c r="B38" s="25" t="n"/>
      <c r="C38" s="25" t="n"/>
      <c r="D38" s="25" t="n"/>
      <c r="E38" s="25" t="n"/>
      <c r="F38" s="25" t="n"/>
      <c r="G38" s="25" t="n"/>
      <c r="H38" s="25" t="n"/>
      <c r="I38" s="26" t="n"/>
    </row>
    <row r="39" ht="52" customHeight="1">
      <c r="A39" s="18" t="inlineStr">
        <is>
          <t>He is neither villain nor mentor. He is a man who gave up, while the Player has not. Letting the Player be angry at him is the correct design outcome.</t>
        </is>
      </c>
      <c r="B39" s="25" t="n"/>
      <c r="C39" s="25" t="n"/>
      <c r="D39" s="25" t="n"/>
      <c r="E39" s="25" t="n"/>
      <c r="F39" s="25" t="n"/>
      <c r="G39" s="25" t="n"/>
      <c r="H39" s="25" t="n"/>
      <c r="I39" s="26" t="n"/>
    </row>
    <row r="40" ht="20" customHeight="1">
      <c r="A40" s="10" t="inlineStr">
        <is>
          <t>VII. In-Trial Tracker (reusable)</t>
        </is>
      </c>
      <c r="B40" s="25" t="n"/>
      <c r="C40" s="25" t="n"/>
      <c r="D40" s="25" t="n"/>
      <c r="E40" s="25" t="n"/>
      <c r="F40" s="25" t="n"/>
      <c r="G40" s="25" t="n"/>
      <c r="H40" s="25" t="n"/>
      <c r="I40" s="26" t="n"/>
    </row>
    <row r="41">
      <c r="A41" s="12" t="inlineStr">
        <is>
          <t>Health State (HS)</t>
        </is>
      </c>
      <c r="B41" s="26" t="n"/>
      <c r="C41" s="5" t="inlineStr">
        <is>
          <t>Healthy</t>
        </is>
      </c>
      <c r="D41" s="5" t="inlineStr">
        <is>
          <t>Injured</t>
        </is>
      </c>
      <c r="E41" s="5" t="inlineStr">
        <is>
          <t>Dying</t>
        </is>
      </c>
      <c r="F41" s="12" t="inlineStr">
        <is>
          <t>Hook Phase</t>
        </is>
      </c>
      <c r="G41" s="26" t="n"/>
      <c r="H41" s="5" t="inlineStr">
        <is>
          <t>I (Wiggle)</t>
        </is>
      </c>
      <c r="I41" s="5" t="inlineStr">
        <is>
          <t>II (Sacrifice)</t>
        </is>
      </c>
    </row>
    <row r="42">
      <c r="A42" s="5" t="inlineStr">
        <is>
          <t>Check current state</t>
        </is>
      </c>
      <c r="B42" s="26" t="n"/>
      <c r="C42" s="8" t="inlineStr">
        <is>
          <t>☐</t>
        </is>
      </c>
      <c r="D42" s="8" t="inlineStr">
        <is>
          <t>☐</t>
        </is>
      </c>
      <c r="E42" s="8" t="inlineStr">
        <is>
          <t>☐</t>
        </is>
      </c>
      <c r="F42" s="5" t="inlineStr">
        <is>
          <t>Check</t>
        </is>
      </c>
      <c r="G42" s="26" t="n"/>
      <c r="H42" s="8" t="inlineStr">
        <is>
          <t>☐</t>
        </is>
      </c>
      <c r="I42" s="8" t="inlineStr">
        <is>
          <t>☐</t>
        </is>
      </c>
    </row>
    <row r="43">
      <c r="A43" s="12" t="inlineStr">
        <is>
          <t>Current Status Effect</t>
        </is>
      </c>
      <c r="B43" s="26" t="n"/>
      <c r="C43" s="6" t="n"/>
      <c r="D43" s="25" t="n"/>
      <c r="E43" s="25" t="n"/>
      <c r="F43" s="25" t="n"/>
      <c r="G43" s="25" t="n"/>
      <c r="H43" s="25" t="n"/>
      <c r="I43" s="26" t="n"/>
    </row>
    <row r="44" ht="40" customHeight="1">
      <c r="A44" s="12" t="inlineStr">
        <is>
          <t>Notes</t>
        </is>
      </c>
      <c r="B44" s="26" t="n"/>
      <c r="C44" s="18" t="n"/>
      <c r="D44" s="25" t="n"/>
      <c r="E44" s="25" t="n"/>
      <c r="F44" s="25" t="n"/>
      <c r="G44" s="25" t="n"/>
      <c r="H44" s="25" t="n"/>
      <c r="I44" s="26" t="n"/>
    </row>
  </sheetData>
  <mergeCells count="82">
    <mergeCell ref="C36:I36"/>
    <mergeCell ref="A7:I7"/>
    <mergeCell ref="D20:E20"/>
    <mergeCell ref="A37:C37"/>
    <mergeCell ref="E5:I5"/>
    <mergeCell ref="A21:C21"/>
    <mergeCell ref="D22:E22"/>
    <mergeCell ref="B28:D28"/>
    <mergeCell ref="A41:B41"/>
    <mergeCell ref="F16:I16"/>
    <mergeCell ref="A35:I35"/>
    <mergeCell ref="A33:B33"/>
    <mergeCell ref="A42:B42"/>
    <mergeCell ref="A39:I39"/>
    <mergeCell ref="E26:I26"/>
    <mergeCell ref="A30:I30"/>
    <mergeCell ref="C31:I31"/>
    <mergeCell ref="A6:C6"/>
    <mergeCell ref="E25:I25"/>
    <mergeCell ref="A2:C5"/>
    <mergeCell ref="D6:I6"/>
    <mergeCell ref="A9:B9"/>
    <mergeCell ref="E3:F3"/>
    <mergeCell ref="F13:I13"/>
    <mergeCell ref="D19:E19"/>
    <mergeCell ref="A11:B11"/>
    <mergeCell ref="E4:F4"/>
    <mergeCell ref="E28:I28"/>
    <mergeCell ref="C34:I34"/>
    <mergeCell ref="F42:G42"/>
    <mergeCell ref="F19:I19"/>
    <mergeCell ref="F20:I20"/>
    <mergeCell ref="A8:B8"/>
    <mergeCell ref="H3:I3"/>
    <mergeCell ref="C44:I44"/>
    <mergeCell ref="F17:I17"/>
    <mergeCell ref="A10:B10"/>
    <mergeCell ref="A1:I1"/>
    <mergeCell ref="A16:C16"/>
    <mergeCell ref="A34:B34"/>
    <mergeCell ref="F9:I9"/>
    <mergeCell ref="A18:C18"/>
    <mergeCell ref="A36:B36"/>
    <mergeCell ref="C32:I32"/>
    <mergeCell ref="A14:I14"/>
    <mergeCell ref="A22:C22"/>
    <mergeCell ref="A23:I23"/>
    <mergeCell ref="C33:I33"/>
    <mergeCell ref="D17:E17"/>
    <mergeCell ref="F10:I10"/>
    <mergeCell ref="A20:C20"/>
    <mergeCell ref="A38:I38"/>
    <mergeCell ref="A12:B12"/>
    <mergeCell ref="E2:I2"/>
    <mergeCell ref="A32:B32"/>
    <mergeCell ref="A40:I40"/>
    <mergeCell ref="B25:D25"/>
    <mergeCell ref="A24:I24"/>
    <mergeCell ref="F18:I18"/>
    <mergeCell ref="A43:B43"/>
    <mergeCell ref="F8:I8"/>
    <mergeCell ref="F22:I22"/>
    <mergeCell ref="H4:I4"/>
    <mergeCell ref="D21:E21"/>
    <mergeCell ref="D37:I37"/>
    <mergeCell ref="F11:I11"/>
    <mergeCell ref="A17:C17"/>
    <mergeCell ref="F41:G41"/>
    <mergeCell ref="A29:I29"/>
    <mergeCell ref="D16:E16"/>
    <mergeCell ref="A19:C19"/>
    <mergeCell ref="F12:I12"/>
    <mergeCell ref="B26:D26"/>
    <mergeCell ref="F21:I21"/>
    <mergeCell ref="E27:I27"/>
    <mergeCell ref="D18:E18"/>
    <mergeCell ref="A15:I15"/>
    <mergeCell ref="C43:I43"/>
    <mergeCell ref="B27:D27"/>
    <mergeCell ref="A13:B13"/>
    <mergeCell ref="A44:B44"/>
    <mergeCell ref="A31:B31"/>
  </mergeCells>
  <dataValidations count="2">
    <dataValidation sqref="E3:F3" showDropDown="0" showInputMessage="0" showErrorMessage="0" allowBlank="1" type="list">
      <formula1>"營火同伴,回聲同伴,低語者,殘影,觀察者,特殊存在"</formula1>
    </dataValidation>
    <dataValidation sqref="C9:C13" showDropDown="0" showInputMessage="0" showErrorMessage="0" allowBlank="1" type="list">
      <formula1>"極高,高,中,低,極低,不適用"</formula1>
    </dataValidation>
  </dataValidations>
  <printOptions horizontalCentered="1"/>
  <pageMargins left="0.75" right="0.75" top="1" bottom="1" header="0.5" footer="0.5"/>
  <pageSetup orientation="portrait" fitToHeight="0" fitToWidth="1"/>
</worksheet>
</file>

<file path=xl/worksheets/sheet15.xml><?xml version="1.0" encoding="utf-8"?>
<worksheet xmlns="http://schemas.openxmlformats.org/spreadsheetml/2006/main">
  <sheetPr>
    <outlinePr summaryBelow="1" summaryRight="1"/>
    <pageSetUpPr fitToPage="1"/>
  </sheetPr>
  <dimension ref="A1:I44"/>
  <sheetViews>
    <sheetView workbookViewId="0">
      <pane ySplit="6" topLeftCell="A7" activePane="bottomLeft" state="frozen"/>
      <selection pane="bottomLeft" activeCell="A1" sqref="A1"/>
    </sheetView>
  </sheetViews>
  <sheetFormatPr baseColWidth="8" defaultRowHeight="15"/>
  <cols>
    <col width="11" customWidth="1" min="1" max="1"/>
    <col width="11" customWidth="1" min="2" max="2"/>
    <col width="11" customWidth="1" min="3" max="3"/>
    <col width="13" customWidth="1" min="4" max="4"/>
    <col width="13" customWidth="1" min="5" max="5"/>
    <col width="12" customWidth="1" min="6" max="6"/>
    <col width="12" customWidth="1" min="7" max="7"/>
    <col width="13" customWidth="1" min="8" max="8"/>
    <col width="13" customWidth="1" min="9" max="9"/>
  </cols>
  <sheetData>
    <row r="1" ht="28" customHeight="1">
      <c r="A1" s="1" t="inlineStr">
        <is>
          <t>Dead by Daylight TRPG　Non-Player Character (NPC) Card　·　Full Type</t>
        </is>
      </c>
      <c r="B1" s="21" t="n"/>
      <c r="C1" s="21" t="n"/>
      <c r="D1" s="21" t="n"/>
      <c r="E1" s="21" t="n"/>
      <c r="F1" s="21" t="n"/>
      <c r="G1" s="21" t="n"/>
      <c r="H1" s="21" t="n"/>
      <c r="I1" s="22" t="n"/>
    </row>
    <row r="2">
      <c r="A2" s="3" t="inlineStr">
        <is>
          <t>Character Art
(Paste character image here)</t>
        </is>
      </c>
      <c r="B2" s="23" t="n"/>
      <c r="C2" s="24" t="n"/>
      <c r="D2" s="5" t="inlineStr">
        <is>
          <t>Name</t>
        </is>
      </c>
      <c r="E2" s="6" t="inlineStr">
        <is>
          <t>Fenn the Scavenger</t>
        </is>
      </c>
      <c r="F2" s="25" t="n"/>
      <c r="G2" s="25" t="n"/>
      <c r="H2" s="25" t="n"/>
      <c r="I2" s="26" t="n"/>
    </row>
    <row r="3">
      <c r="A3" s="27" t="n"/>
      <c r="C3" s="28" t="n"/>
      <c r="D3" s="5" t="inlineStr">
        <is>
          <t>NPC Type</t>
        </is>
      </c>
      <c r="E3" s="8" t="inlineStr">
        <is>
          <t>Special Entity</t>
        </is>
      </c>
      <c r="F3" s="26" t="n"/>
      <c r="G3" s="5" t="inlineStr">
        <is>
          <t>Role</t>
        </is>
      </c>
      <c r="H3" s="6" t="inlineStr">
        <is>
          <t>Master of the Hidden Room. Inventor of the Hatch (Hatch). The only one who crawled back from the Void.</t>
        </is>
      </c>
      <c r="I3" s="26" t="n"/>
    </row>
    <row r="4">
      <c r="A4" s="27" t="n"/>
      <c r="C4" s="28" t="n"/>
      <c r="D4" s="5" t="inlineStr">
        <is>
          <t>Prestige (PRS)</t>
        </is>
      </c>
      <c r="E4" s="8" t="n">
        <v>8</v>
      </c>
      <c r="F4" s="26" t="n"/>
      <c r="G4" s="5" t="inlineStr">
        <is>
          <t>First Appearance</t>
        </is>
      </c>
      <c r="H4" s="8" t="inlineStr">
        <is>
          <t>S5</t>
        </is>
      </c>
      <c r="I4" s="26" t="n"/>
    </row>
    <row r="5">
      <c r="A5" s="29" t="n"/>
      <c r="B5" s="30" t="n"/>
      <c r="C5" s="31" t="n"/>
      <c r="D5" s="5" t="inlineStr">
        <is>
          <t>Affiliated Realm / Location</t>
        </is>
      </c>
      <c r="E5" s="6" t="inlineStr">
        <is>
          <t>The Hidden Room / The Void</t>
        </is>
      </c>
      <c r="F5" s="25" t="n"/>
      <c r="G5" s="25" t="n"/>
      <c r="H5" s="25" t="n"/>
      <c r="I5" s="26" t="n"/>
    </row>
    <row r="6" ht="32" customHeight="1">
      <c r="A6" s="5" t="inlineStr">
        <is>
          <t>Appearance</t>
        </is>
      </c>
      <c r="B6" s="25" t="n"/>
      <c r="C6" s="26" t="n"/>
      <c r="D6" s="6" t="inlineStr">
        <is>
          <t>Hands covered with chemical-burn scars. The eye color is wrong — as if stained by something.</t>
        </is>
      </c>
      <c r="E6" s="25" t="n"/>
      <c r="F6" s="25" t="n"/>
      <c r="G6" s="25" t="n"/>
      <c r="H6" s="25" t="n"/>
      <c r="I6" s="26" t="n"/>
    </row>
    <row r="7" ht="20" customHeight="1">
      <c r="A7" s="10" t="inlineStr">
        <is>
          <t>I. Attributes (Five-Attribute Frame)</t>
        </is>
      </c>
      <c r="B7" s="25" t="n"/>
      <c r="C7" s="25" t="n"/>
      <c r="D7" s="25" t="n"/>
      <c r="E7" s="25" t="n"/>
      <c r="F7" s="25" t="n"/>
      <c r="G7" s="25" t="n"/>
      <c r="H7" s="25" t="n"/>
      <c r="I7" s="26" t="n"/>
    </row>
    <row r="8" ht="28" customHeight="1">
      <c r="A8" s="5" t="inlineStr">
        <is>
          <t>Attribute</t>
        </is>
      </c>
      <c r="B8" s="26" t="n"/>
      <c r="C8" s="5" t="inlineStr">
        <is>
          <t>Tendency</t>
        </is>
      </c>
      <c r="D8" s="5" t="inlineStr">
        <is>
          <t>Attribute Value
(1–10)</t>
        </is>
      </c>
      <c r="E8" s="5" t="inlineStr">
        <is>
          <t>Attribute Bonus (AB)</t>
        </is>
      </c>
      <c r="F8" s="5" t="inlineStr">
        <is>
          <t>Notes</t>
        </is>
      </c>
      <c r="G8" s="25" t="n"/>
      <c r="H8" s="25" t="n"/>
      <c r="I8" s="26" t="n"/>
    </row>
    <row r="9">
      <c r="A9" s="12" t="inlineStr">
        <is>
          <t>Agility (AGI)</t>
        </is>
      </c>
      <c r="B9" s="26" t="n"/>
      <c r="C9" s="8" t="inlineStr">
        <is>
          <t>Medium</t>
        </is>
      </c>
      <c r="D9" s="8" t="n">
        <v>5</v>
      </c>
      <c r="E9" s="14">
        <f>IF(D9="","",INT(D9/2))</f>
        <v/>
      </c>
      <c r="F9" s="6" t="n"/>
      <c r="G9" s="25" t="n"/>
      <c r="H9" s="25" t="n"/>
      <c r="I9" s="26" t="n"/>
    </row>
    <row r="10">
      <c r="A10" s="12" t="inlineStr">
        <is>
          <t>Technique (TEC)</t>
        </is>
      </c>
      <c r="B10" s="26" t="n"/>
      <c r="C10" s="8" t="inlineStr">
        <is>
          <t>Very High</t>
        </is>
      </c>
      <c r="D10" s="8" t="n">
        <v>9</v>
      </c>
      <c r="E10" s="14">
        <f>IF(D10="","",INT(D10/2))</f>
        <v/>
      </c>
      <c r="F10" s="6" t="n"/>
      <c r="G10" s="25" t="n"/>
      <c r="H10" s="25" t="n"/>
      <c r="I10" s="26" t="n"/>
    </row>
    <row r="11">
      <c r="A11" s="12" t="inlineStr">
        <is>
          <t>Stealth (STL)</t>
        </is>
      </c>
      <c r="B11" s="26" t="n"/>
      <c r="C11" s="8" t="inlineStr">
        <is>
          <t>High</t>
        </is>
      </c>
      <c r="D11" s="8" t="n">
        <v>7</v>
      </c>
      <c r="E11" s="14">
        <f>IF(D11="","",INT(D11/2))</f>
        <v/>
      </c>
      <c r="F11" s="6" t="n"/>
      <c r="G11" s="25" t="n"/>
      <c r="H11" s="25" t="n"/>
      <c r="I11" s="26" t="n"/>
    </row>
    <row r="12">
      <c r="A12" s="12" t="inlineStr">
        <is>
          <t>Focus (FOC)</t>
        </is>
      </c>
      <c r="B12" s="26" t="n"/>
      <c r="C12" s="8" t="inlineStr">
        <is>
          <t>High</t>
        </is>
      </c>
      <c r="D12" s="8" t="n">
        <v>7</v>
      </c>
      <c r="E12" s="14">
        <f>IF(D12="","",INT(D12/2))</f>
        <v/>
      </c>
      <c r="F12" s="6" t="n"/>
      <c r="G12" s="25" t="n"/>
      <c r="H12" s="25" t="n"/>
      <c r="I12" s="26" t="n"/>
    </row>
    <row r="13">
      <c r="A13" s="12" t="inlineStr">
        <is>
          <t>Will (WIL)</t>
        </is>
      </c>
      <c r="B13" s="26" t="n"/>
      <c r="C13" s="8" t="inlineStr">
        <is>
          <t>Very High</t>
        </is>
      </c>
      <c r="D13" s="8" t="n">
        <v>9</v>
      </c>
      <c r="E13" s="14">
        <f>IF(D13="","",INT(D13/2))</f>
        <v/>
      </c>
      <c r="F13" s="6" t="n"/>
      <c r="G13" s="25" t="n"/>
      <c r="H13" s="25" t="n"/>
      <c r="I13" s="26" t="n"/>
    </row>
    <row r="14">
      <c r="A14" s="15" t="inlineStr">
        <is>
          <t>Attribute Bonus (AB) = INT(Attribute Value ÷ 2), auto-calculated. 'Tendency' is a narrative-scale relative description; 'Attribute Value' is filled by the GM per Prestige (PRS). For insubstantial NPCs (e.g. Whisperer), leave Attribute Value blank.</t>
        </is>
      </c>
      <c r="B14" s="25" t="n"/>
      <c r="C14" s="25" t="n"/>
      <c r="D14" s="25" t="n"/>
      <c r="E14" s="25" t="n"/>
      <c r="F14" s="25" t="n"/>
      <c r="G14" s="25" t="n"/>
      <c r="H14" s="25" t="n"/>
      <c r="I14" s="26" t="n"/>
    </row>
    <row r="15" ht="20" customHeight="1">
      <c r="A15" s="10" t="inlineStr">
        <is>
          <t>II. Derived Values (auto-calculated)</t>
        </is>
      </c>
      <c r="B15" s="25" t="n"/>
      <c r="C15" s="25" t="n"/>
      <c r="D15" s="25" t="n"/>
      <c r="E15" s="25" t="n"/>
      <c r="F15" s="25" t="n"/>
      <c r="G15" s="25" t="n"/>
      <c r="H15" s="25" t="n"/>
      <c r="I15" s="26" t="n"/>
    </row>
    <row r="16">
      <c r="A16" s="12" t="inlineStr">
        <is>
          <t>HP (HP) Cap</t>
        </is>
      </c>
      <c r="B16" s="25" t="n"/>
      <c r="C16" s="26" t="n"/>
      <c r="D16" s="14">
        <f>IF(D13="","—",8+2*D13+IF($E$4="",0,$E$4))</f>
        <v/>
      </c>
      <c r="E16" s="26" t="n"/>
      <c r="F16" s="6" t="inlineStr">
        <is>
          <t>8 + 2×Will (WIL) + Prestige (PRS)</t>
        </is>
      </c>
      <c r="G16" s="25" t="n"/>
      <c r="H16" s="25" t="n"/>
      <c r="I16" s="26" t="n"/>
    </row>
    <row r="17">
      <c r="A17" s="12" t="inlineStr">
        <is>
          <t>Health State (HS) Cap</t>
        </is>
      </c>
      <c r="B17" s="25" t="n"/>
      <c r="C17" s="26" t="n"/>
      <c r="D17" s="14">
        <f>IF($E$3="Echo Companion",3,IF($E$3="Whisperer","—",2))</f>
        <v/>
      </c>
      <c r="E17" s="26" t="n"/>
      <c r="F17" s="6" t="inlineStr">
        <is>
          <t>Healthy→Injured→Dying. Echo Companion uses three-stage tracking.</t>
        </is>
      </c>
      <c r="G17" s="25" t="n"/>
      <c r="H17" s="25" t="n"/>
      <c r="I17" s="26" t="n"/>
    </row>
    <row r="18">
      <c r="A18" s="12" t="inlineStr">
        <is>
          <t>Action Point (AP) / round</t>
        </is>
      </c>
      <c r="B18" s="25" t="n"/>
      <c r="C18" s="26" t="n"/>
      <c r="D18" s="14">
        <f>IF($E$3="Echo Companion",1,IF($E$3="Whisperer",0,4))</f>
        <v/>
      </c>
      <c r="E18" s="26" t="n"/>
      <c r="F18" s="6" t="inlineStr">
        <is>
          <t>Echo Companion fixed at 1; Whisperer takes no action.</t>
        </is>
      </c>
      <c r="G18" s="25" t="n"/>
      <c r="H18" s="25" t="n"/>
      <c r="I18" s="26" t="n"/>
    </row>
    <row r="19">
      <c r="A19" s="12" t="inlineStr">
        <is>
          <t>Move (MOV) / round</t>
        </is>
      </c>
      <c r="B19" s="25" t="n"/>
      <c r="C19" s="26" t="n"/>
      <c r="D19" s="14">
        <f>IF(D9="","—",6+INT(D9/2))</f>
        <v/>
      </c>
      <c r="E19" s="26" t="n"/>
      <c r="F19" s="6" t="inlineStr">
        <is>
          <t>6 + INT(Agility (AGI) ÷ 2). 1 cell = 2 meters</t>
        </is>
      </c>
      <c r="G19" s="25" t="n"/>
      <c r="H19" s="25" t="n"/>
      <c r="I19" s="26" t="n"/>
    </row>
    <row r="20">
      <c r="A20" s="12" t="inlineStr">
        <is>
          <t>Repair Progress (Progress Point / round)</t>
        </is>
      </c>
      <c r="B20" s="25" t="n"/>
      <c r="C20" s="26" t="n"/>
      <c r="D20" s="14">
        <f>IF($E$3="Echo Companion",1,IF(D10="","—",INT(D10/2)))</f>
        <v/>
      </c>
      <c r="E20" s="26" t="n"/>
      <c r="F20" s="6" t="inlineStr">
        <is>
          <t>Echo Companion fixed +1 progress point (50% efficiency)</t>
        </is>
      </c>
      <c r="G20" s="25" t="n"/>
      <c r="H20" s="25" t="n"/>
      <c r="I20" s="26" t="n"/>
    </row>
    <row r="21">
      <c r="A21" s="12" t="inlineStr">
        <is>
          <t>Heal Progress (per round)</t>
        </is>
      </c>
      <c r="B21" s="25" t="n"/>
      <c r="C21" s="26" t="n"/>
      <c r="D21" s="14">
        <f>IF($E$3="Echo Companion",2,IF(D12="","—",INT(D12/2)+2))</f>
        <v/>
      </c>
      <c r="E21" s="26" t="n"/>
      <c r="F21" s="6" t="inlineStr">
        <is>
          <t>Echo Companion fixed +2, and cannot heal itself</t>
        </is>
      </c>
      <c r="G21" s="25" t="n"/>
      <c r="H21" s="25" t="n"/>
      <c r="I21" s="26" t="n"/>
    </row>
    <row r="22">
      <c r="A22" s="12" t="inlineStr">
        <is>
          <t>Passive Awareness Difficulty Class (DC)</t>
        </is>
      </c>
      <c r="B22" s="25" t="n"/>
      <c r="C22" s="26" t="n"/>
      <c r="D22" s="14">
        <f>IF(D12="","—",8+INT(D12/2))</f>
        <v/>
      </c>
      <c r="E22" s="26" t="n"/>
      <c r="F22" s="6" t="inlineStr">
        <is>
          <t>The target value for the Killer or other characters to notice this NPC</t>
        </is>
      </c>
      <c r="G22" s="25" t="n"/>
      <c r="H22" s="25" t="n"/>
      <c r="I22" s="26" t="n"/>
    </row>
    <row r="23" ht="20" customHeight="1">
      <c r="A23" s="10" t="inlineStr">
        <is>
          <t>III. Echo Companion exclusive: three-line behavior table</t>
        </is>
      </c>
      <c r="B23" s="25" t="n"/>
      <c r="C23" s="25" t="n"/>
      <c r="D23" s="25" t="n"/>
      <c r="E23" s="25" t="n"/>
      <c r="F23" s="25" t="n"/>
      <c r="G23" s="25" t="n"/>
      <c r="H23" s="25" t="n"/>
      <c r="I23" s="26" t="n"/>
    </row>
    <row r="24">
      <c r="A24" s="15" t="inlineStr">
        <is>
          <t>Used only when 'NPC Type = Echo Companion'. The GM checks top-to-bottom each round; the first condition met is the Echo Companion's action that round. No roleplay, no voice; one line per round.</t>
        </is>
      </c>
      <c r="B24" s="25" t="n"/>
      <c r="C24" s="25" t="n"/>
      <c r="D24" s="25" t="n"/>
      <c r="E24" s="25" t="n"/>
      <c r="F24" s="25" t="n"/>
      <c r="G24" s="25" t="n"/>
      <c r="H24" s="25" t="n"/>
      <c r="I24" s="26" t="n"/>
    </row>
    <row r="25">
      <c r="A25" s="5" t="inlineStr">
        <is>
          <t>No.</t>
        </is>
      </c>
      <c r="B25" s="5" t="inlineStr">
        <is>
          <t>Condition</t>
        </is>
      </c>
      <c r="C25" s="25" t="n"/>
      <c r="D25" s="26" t="n"/>
      <c r="E25" s="5" t="inlineStr">
        <is>
          <t>Action</t>
        </is>
      </c>
      <c r="F25" s="25" t="n"/>
      <c r="G25" s="25" t="n"/>
      <c r="H25" s="25" t="n"/>
      <c r="I25" s="26" t="n"/>
    </row>
    <row r="26" ht="30" customHeight="1">
      <c r="A26" s="12" t="inlineStr">
        <is>
          <t>①</t>
        </is>
      </c>
      <c r="B26" s="6" t="inlineStr">
        <is>
          <t>A Survivor is Hooked and this NPC can arrive within 2 rounds</t>
        </is>
      </c>
      <c r="C26" s="25" t="n"/>
      <c r="D26" s="26" t="n"/>
      <c r="E26" s="6" t="inlineStr">
        <is>
          <t>Go to rescue. On arrival, spend 1 Action Point (AP) to unhook, 100% success (no check).</t>
        </is>
      </c>
      <c r="F26" s="25" t="n"/>
      <c r="G26" s="25" t="n"/>
      <c r="H26" s="25" t="n"/>
      <c r="I26" s="26" t="n"/>
    </row>
    <row r="27" ht="30" customHeight="1">
      <c r="A27" s="12" t="inlineStr">
        <is>
          <t>②</t>
        </is>
      </c>
      <c r="B27" s="6" t="inlineStr">
        <is>
          <t>Self is Injured or Dying, or Killer is within 4 cells</t>
        </is>
      </c>
      <c r="C27" s="25" t="n"/>
      <c r="D27" s="26" t="n"/>
      <c r="E27" s="6" t="inlineStr">
        <is>
          <t>Self-preserve. Move away from Killer, prefer entering a Locker or cover; when Dying, crawl in place.</t>
        </is>
      </c>
      <c r="F27" s="25" t="n"/>
      <c r="G27" s="25" t="n"/>
      <c r="H27" s="25" t="n"/>
      <c r="I27" s="26" t="n"/>
    </row>
    <row r="28" ht="30" customHeight="1">
      <c r="A28" s="12" t="inlineStr">
        <is>
          <t>③</t>
        </is>
      </c>
      <c r="B28" s="6" t="inlineStr">
        <is>
          <t>None of the above holds</t>
        </is>
      </c>
      <c r="C28" s="25" t="n"/>
      <c r="D28" s="26" t="n"/>
      <c r="E28" s="6" t="inlineStr">
        <is>
          <t>Go to the nearest unfinished Generator and repair; +1 progress point per round.</t>
        </is>
      </c>
      <c r="F28" s="25" t="n"/>
      <c r="G28" s="25" t="n"/>
      <c r="H28" s="25" t="n"/>
      <c r="I28" s="26" t="n"/>
    </row>
    <row r="29">
      <c r="A29" s="15" t="inlineStr">
        <is>
          <t>Echo Companion limits: cannot self-unhook, cannot heal itself, cannot use items, cannot trade with Whisperer. Once hooked, it stalls a fixed 3 rounds before advancing to the next hook phase (Echo Stall). Count = MAX(0, 3 − Survivor player count N).</t>
        </is>
      </c>
      <c r="B29" s="25" t="n"/>
      <c r="C29" s="25" t="n"/>
      <c r="D29" s="25" t="n"/>
      <c r="E29" s="25" t="n"/>
      <c r="F29" s="25" t="n"/>
      <c r="G29" s="25" t="n"/>
      <c r="H29" s="25" t="n"/>
      <c r="I29" s="26" t="n"/>
    </row>
    <row r="30" ht="20" customHeight="1">
      <c r="A30" s="10" t="inlineStr">
        <is>
          <t>IV. Narrative Data</t>
        </is>
      </c>
      <c r="B30" s="25" t="n"/>
      <c r="C30" s="25" t="n"/>
      <c r="D30" s="25" t="n"/>
      <c r="E30" s="25" t="n"/>
      <c r="F30" s="25" t="n"/>
      <c r="G30" s="25" t="n"/>
      <c r="H30" s="25" t="n"/>
      <c r="I30" s="26" t="n"/>
    </row>
    <row r="31" ht="30" customHeight="1">
      <c r="A31" s="12" t="inlineStr">
        <is>
          <t>Motivation</t>
        </is>
      </c>
      <c r="B31" s="26" t="n"/>
      <c r="C31" s="18" t="inlineStr">
        <is>
          <t>To find the loophole. He cares nothing for the hero narrative; he cares which line of this system was written wrong.</t>
        </is>
      </c>
      <c r="D31" s="25" t="n"/>
      <c r="E31" s="25" t="n"/>
      <c r="F31" s="25" t="n"/>
      <c r="G31" s="25" t="n"/>
      <c r="H31" s="25" t="n"/>
      <c r="I31" s="26" t="n"/>
    </row>
    <row r="32" ht="46" customHeight="1">
      <c r="A32" s="12" t="inlineStr">
        <is>
          <t>Background</t>
        </is>
      </c>
      <c r="B32" s="26" t="n"/>
      <c r="C32" s="18" t="inlineStr">
        <is>
          <t>He was in the Void. He escaped by feeling pity for a dead bug — that instant of emotion made the system reclassify him. He built the Hatch (Hatch); The Entity (The Entity) never agreed, it just could not be bothered to fill the gap.</t>
        </is>
      </c>
      <c r="D32" s="25" t="n"/>
      <c r="E32" s="25" t="n"/>
      <c r="F32" s="25" t="n"/>
      <c r="G32" s="25" t="n"/>
      <c r="H32" s="25" t="n"/>
      <c r="I32" s="26" t="n"/>
    </row>
    <row r="33" ht="40" customHeight="1">
      <c r="A33" s="12" t="inlineStr">
        <is>
          <t>Role in Main Plot</t>
        </is>
      </c>
      <c r="B33" s="26" t="n"/>
      <c r="C33" s="18" t="inlineStr">
        <is>
          <t>S5 First appearance / S7 Note wall / S8 Modifies the Hatch Archetype machine.</t>
        </is>
      </c>
      <c r="D33" s="25" t="n"/>
      <c r="E33" s="25" t="n"/>
      <c r="F33" s="25" t="n"/>
      <c r="G33" s="25" t="n"/>
      <c r="H33" s="25" t="n"/>
      <c r="I33" s="26" t="n"/>
    </row>
    <row r="34" ht="34" customHeight="1">
      <c r="A34" s="12" t="inlineStr">
        <is>
          <t>Signature Line</t>
        </is>
      </c>
      <c r="B34" s="26" t="n"/>
      <c r="C34" s="18" t="inlineStr">
        <is>
          <t>"It is not that it cannot be deceived. It is that it never discovers it has been deceived."</t>
        </is>
      </c>
      <c r="D34" s="25" t="n"/>
      <c r="E34" s="25" t="n"/>
      <c r="F34" s="25" t="n"/>
      <c r="G34" s="25" t="n"/>
      <c r="H34" s="25" t="n"/>
      <c r="I34" s="26" t="n"/>
    </row>
    <row r="35" ht="20" customHeight="1">
      <c r="A35" s="10" t="inlineStr">
        <is>
          <t>V. Special Interactions &amp; Rewards</t>
        </is>
      </c>
      <c r="B35" s="25" t="n"/>
      <c r="C35" s="25" t="n"/>
      <c r="D35" s="25" t="n"/>
      <c r="E35" s="25" t="n"/>
      <c r="F35" s="25" t="n"/>
      <c r="G35" s="25" t="n"/>
      <c r="H35" s="25" t="n"/>
      <c r="I35" s="26" t="n"/>
    </row>
    <row r="36" ht="46" customHeight="1">
      <c r="A36" s="12" t="inlineStr">
        <is>
          <t>Special Rule</t>
        </is>
      </c>
      <c r="B36" s="26" t="n"/>
      <c r="C36" s="18" t="inlineStr">
        <is>
          <t>Hidden Room trade: the Player may trade Campfire Embers to him for a one-time rules exception (e.g., the Hatch opens early this Trial, or a specified Item is certain to appear in a Chest). The GM sets the price at 3–10 Campfire Embers by exception strength.</t>
        </is>
      </c>
      <c r="D36" s="25" t="n"/>
      <c r="E36" s="25" t="n"/>
      <c r="F36" s="25" t="n"/>
      <c r="G36" s="25" t="n"/>
      <c r="H36" s="25" t="n"/>
      <c r="I36" s="26" t="n"/>
    </row>
    <row r="37" ht="30" customHeight="1">
      <c r="A37" s="12" t="inlineStr">
        <is>
          <t>Hope Point (HOP) / Campfire Ember reward</t>
        </is>
      </c>
      <c r="B37" s="25" t="n"/>
      <c r="C37" s="26" t="n"/>
      <c r="D37" s="6" t="inlineStr">
        <is>
          <t>S5 Player asks him how to escape the Void: unlocks the prerequisite Condition for the S8 Lone Tower path.</t>
        </is>
      </c>
      <c r="E37" s="25" t="n"/>
      <c r="F37" s="25" t="n"/>
      <c r="G37" s="25" t="n"/>
      <c r="H37" s="25" t="n"/>
      <c r="I37" s="26" t="n"/>
    </row>
    <row r="38" ht="20" customHeight="1">
      <c r="A38" s="10" t="inlineStr">
        <is>
          <t>VI. GM Running Notes</t>
        </is>
      </c>
      <c r="B38" s="25" t="n"/>
      <c r="C38" s="25" t="n"/>
      <c r="D38" s="25" t="n"/>
      <c r="E38" s="25" t="n"/>
      <c r="F38" s="25" t="n"/>
      <c r="G38" s="25" t="n"/>
      <c r="H38" s="25" t="n"/>
      <c r="I38" s="26" t="n"/>
    </row>
    <row r="39" ht="52" customHeight="1">
      <c r="A39" s="18" t="inlineStr">
        <is>
          <t>He speaks like an engineer, not a Survivor. He never uses emotional words. The only exception is when he mentions that bug — slow that line down.</t>
        </is>
      </c>
      <c r="B39" s="25" t="n"/>
      <c r="C39" s="25" t="n"/>
      <c r="D39" s="25" t="n"/>
      <c r="E39" s="25" t="n"/>
      <c r="F39" s="25" t="n"/>
      <c r="G39" s="25" t="n"/>
      <c r="H39" s="25" t="n"/>
      <c r="I39" s="26" t="n"/>
    </row>
    <row r="40" ht="20" customHeight="1">
      <c r="A40" s="10" t="inlineStr">
        <is>
          <t>VII. In-Trial Tracker (reusable)</t>
        </is>
      </c>
      <c r="B40" s="25" t="n"/>
      <c r="C40" s="25" t="n"/>
      <c r="D40" s="25" t="n"/>
      <c r="E40" s="25" t="n"/>
      <c r="F40" s="25" t="n"/>
      <c r="G40" s="25" t="n"/>
      <c r="H40" s="25" t="n"/>
      <c r="I40" s="26" t="n"/>
    </row>
    <row r="41">
      <c r="A41" s="12" t="inlineStr">
        <is>
          <t>Health State (HS)</t>
        </is>
      </c>
      <c r="B41" s="26" t="n"/>
      <c r="C41" s="5" t="inlineStr">
        <is>
          <t>Healthy</t>
        </is>
      </c>
      <c r="D41" s="5" t="inlineStr">
        <is>
          <t>Injured</t>
        </is>
      </c>
      <c r="E41" s="5" t="inlineStr">
        <is>
          <t>Dying</t>
        </is>
      </c>
      <c r="F41" s="12" t="inlineStr">
        <is>
          <t>Hook Phase</t>
        </is>
      </c>
      <c r="G41" s="26" t="n"/>
      <c r="H41" s="5" t="inlineStr">
        <is>
          <t>I (Wiggle)</t>
        </is>
      </c>
      <c r="I41" s="5" t="inlineStr">
        <is>
          <t>II (Sacrifice)</t>
        </is>
      </c>
    </row>
    <row r="42">
      <c r="A42" s="5" t="inlineStr">
        <is>
          <t>Check current state</t>
        </is>
      </c>
      <c r="B42" s="26" t="n"/>
      <c r="C42" s="8" t="inlineStr">
        <is>
          <t>☐</t>
        </is>
      </c>
      <c r="D42" s="8" t="inlineStr">
        <is>
          <t>☐</t>
        </is>
      </c>
      <c r="E42" s="8" t="inlineStr">
        <is>
          <t>☐</t>
        </is>
      </c>
      <c r="F42" s="5" t="inlineStr">
        <is>
          <t>Check</t>
        </is>
      </c>
      <c r="G42" s="26" t="n"/>
      <c r="H42" s="8" t="inlineStr">
        <is>
          <t>☐</t>
        </is>
      </c>
      <c r="I42" s="8" t="inlineStr">
        <is>
          <t>☐</t>
        </is>
      </c>
    </row>
    <row r="43">
      <c r="A43" s="12" t="inlineStr">
        <is>
          <t>Current Status Effect</t>
        </is>
      </c>
      <c r="B43" s="26" t="n"/>
      <c r="C43" s="6" t="n"/>
      <c r="D43" s="25" t="n"/>
      <c r="E43" s="25" t="n"/>
      <c r="F43" s="25" t="n"/>
      <c r="G43" s="25" t="n"/>
      <c r="H43" s="25" t="n"/>
      <c r="I43" s="26" t="n"/>
    </row>
    <row r="44" ht="40" customHeight="1">
      <c r="A44" s="12" t="inlineStr">
        <is>
          <t>Notes</t>
        </is>
      </c>
      <c r="B44" s="26" t="n"/>
      <c r="C44" s="18" t="n"/>
      <c r="D44" s="25" t="n"/>
      <c r="E44" s="25" t="n"/>
      <c r="F44" s="25" t="n"/>
      <c r="G44" s="25" t="n"/>
      <c r="H44" s="25" t="n"/>
      <c r="I44" s="26" t="n"/>
    </row>
  </sheetData>
  <mergeCells count="82">
    <mergeCell ref="C36:I36"/>
    <mergeCell ref="A7:I7"/>
    <mergeCell ref="D20:E20"/>
    <mergeCell ref="A37:C37"/>
    <mergeCell ref="E5:I5"/>
    <mergeCell ref="A21:C21"/>
    <mergeCell ref="D22:E22"/>
    <mergeCell ref="B28:D28"/>
    <mergeCell ref="A41:B41"/>
    <mergeCell ref="F16:I16"/>
    <mergeCell ref="A35:I35"/>
    <mergeCell ref="A33:B33"/>
    <mergeCell ref="A42:B42"/>
    <mergeCell ref="A39:I39"/>
    <mergeCell ref="E26:I26"/>
    <mergeCell ref="A30:I30"/>
    <mergeCell ref="C31:I31"/>
    <mergeCell ref="A6:C6"/>
    <mergeCell ref="E25:I25"/>
    <mergeCell ref="A2:C5"/>
    <mergeCell ref="D6:I6"/>
    <mergeCell ref="A9:B9"/>
    <mergeCell ref="E3:F3"/>
    <mergeCell ref="F13:I13"/>
    <mergeCell ref="D19:E19"/>
    <mergeCell ref="A11:B11"/>
    <mergeCell ref="E4:F4"/>
    <mergeCell ref="E28:I28"/>
    <mergeCell ref="C34:I34"/>
    <mergeCell ref="F42:G42"/>
    <mergeCell ref="F19:I19"/>
    <mergeCell ref="F20:I20"/>
    <mergeCell ref="A8:B8"/>
    <mergeCell ref="H3:I3"/>
    <mergeCell ref="C44:I44"/>
    <mergeCell ref="F17:I17"/>
    <mergeCell ref="A10:B10"/>
    <mergeCell ref="A1:I1"/>
    <mergeCell ref="A16:C16"/>
    <mergeCell ref="A34:B34"/>
    <mergeCell ref="F9:I9"/>
    <mergeCell ref="A18:C18"/>
    <mergeCell ref="A36:B36"/>
    <mergeCell ref="C32:I32"/>
    <mergeCell ref="A14:I14"/>
    <mergeCell ref="A22:C22"/>
    <mergeCell ref="A23:I23"/>
    <mergeCell ref="C33:I33"/>
    <mergeCell ref="D17:E17"/>
    <mergeCell ref="F10:I10"/>
    <mergeCell ref="A20:C20"/>
    <mergeCell ref="A38:I38"/>
    <mergeCell ref="A12:B12"/>
    <mergeCell ref="E2:I2"/>
    <mergeCell ref="A32:B32"/>
    <mergeCell ref="A40:I40"/>
    <mergeCell ref="B25:D25"/>
    <mergeCell ref="A24:I24"/>
    <mergeCell ref="F18:I18"/>
    <mergeCell ref="A43:B43"/>
    <mergeCell ref="F8:I8"/>
    <mergeCell ref="F22:I22"/>
    <mergeCell ref="H4:I4"/>
    <mergeCell ref="D21:E21"/>
    <mergeCell ref="D37:I37"/>
    <mergeCell ref="F11:I11"/>
    <mergeCell ref="A17:C17"/>
    <mergeCell ref="F41:G41"/>
    <mergeCell ref="A29:I29"/>
    <mergeCell ref="D16:E16"/>
    <mergeCell ref="A19:C19"/>
    <mergeCell ref="F12:I12"/>
    <mergeCell ref="B26:D26"/>
    <mergeCell ref="F21:I21"/>
    <mergeCell ref="E27:I27"/>
    <mergeCell ref="D18:E18"/>
    <mergeCell ref="A15:I15"/>
    <mergeCell ref="C43:I43"/>
    <mergeCell ref="B27:D27"/>
    <mergeCell ref="A13:B13"/>
    <mergeCell ref="A44:B44"/>
    <mergeCell ref="A31:B31"/>
  </mergeCells>
  <dataValidations count="2">
    <dataValidation sqref="E3:F3" showDropDown="0" showInputMessage="0" showErrorMessage="0" allowBlank="1" type="list">
      <formula1>"營火同伴,回聲同伴,低語者,殘影,觀察者,特殊存在"</formula1>
    </dataValidation>
    <dataValidation sqref="C9:C13" showDropDown="0" showInputMessage="0" showErrorMessage="0" allowBlank="1" type="list">
      <formula1>"極高,高,中,低,極低,不適用"</formula1>
    </dataValidation>
  </dataValidations>
  <printOptions horizontalCentered="1"/>
  <pageMargins left="0.75" right="0.75" top="1" bottom="1" header="0.5" footer="0.5"/>
  <pageSetup orientation="portrait" fitToHeight="0" fitToWidth="1"/>
</worksheet>
</file>

<file path=xl/worksheets/sheet16.xml><?xml version="1.0" encoding="utf-8"?>
<worksheet xmlns="http://schemas.openxmlformats.org/spreadsheetml/2006/main">
  <sheetPr>
    <outlinePr summaryBelow="1" summaryRight="1"/>
    <pageSetUpPr fitToPage="1"/>
  </sheetPr>
  <dimension ref="A1:I20"/>
  <sheetViews>
    <sheetView workbookViewId="0">
      <pane ySplit="5" topLeftCell="A6" activePane="bottomLeft" state="frozen"/>
      <selection pane="bottomLeft" activeCell="A1" sqref="A1"/>
    </sheetView>
  </sheetViews>
  <sheetFormatPr baseColWidth="8" defaultRowHeight="15"/>
  <cols>
    <col width="11" customWidth="1" min="1" max="1"/>
    <col width="11" customWidth="1" min="2" max="2"/>
    <col width="11" customWidth="1" min="3" max="3"/>
    <col width="13" customWidth="1" min="4" max="4"/>
    <col width="13" customWidth="1" min="5" max="5"/>
    <col width="12" customWidth="1" min="6" max="6"/>
    <col width="12" customWidth="1" min="7" max="7"/>
    <col width="13" customWidth="1" min="8" max="8"/>
    <col width="13" customWidth="1" min="9" max="9"/>
  </cols>
  <sheetData>
    <row r="1" ht="28" customHeight="1">
      <c r="A1" s="19" t="inlineStr">
        <is>
          <t>Dead by Daylight TRPG　Non-Player Character (NPC) Card　·　Simple Type (Insubstantial / Narrative)</t>
        </is>
      </c>
      <c r="B1" s="21" t="n"/>
      <c r="C1" s="21" t="n"/>
      <c r="D1" s="21" t="n"/>
      <c r="E1" s="21" t="n"/>
      <c r="F1" s="21" t="n"/>
      <c r="G1" s="21" t="n"/>
      <c r="H1" s="21" t="n"/>
      <c r="I1" s="22" t="n"/>
    </row>
    <row r="2">
      <c r="A2" s="3" t="inlineStr">
        <is>
          <t>Character Art
(Paste character image here)</t>
        </is>
      </c>
      <c r="B2" s="23" t="n"/>
      <c r="C2" s="24" t="n"/>
      <c r="D2" s="5" t="inlineStr">
        <is>
          <t>Name</t>
        </is>
      </c>
      <c r="E2" s="6" t="inlineStr">
        <is>
          <t>"The Nameless"</t>
        </is>
      </c>
      <c r="F2" s="25" t="n"/>
      <c r="G2" s="25" t="n"/>
      <c r="H2" s="25" t="n"/>
      <c r="I2" s="26" t="n"/>
    </row>
    <row r="3">
      <c r="A3" s="27" t="n"/>
      <c r="C3" s="28" t="n"/>
      <c r="D3" s="5" t="inlineStr">
        <is>
          <t>NPC Type</t>
        </is>
      </c>
      <c r="E3" s="8" t="inlineStr">
        <is>
          <t>Special Entity</t>
        </is>
      </c>
      <c r="F3" s="26" t="n"/>
      <c r="G3" s="5" t="inlineStr">
        <is>
          <t>First Appearance</t>
        </is>
      </c>
      <c r="H3" s="8" t="inlineStr">
        <is>
          <t>S7</t>
        </is>
      </c>
      <c r="I3" s="26" t="n"/>
    </row>
    <row r="4">
      <c r="A4" s="27" t="n"/>
      <c r="C4" s="28" t="n"/>
      <c r="D4" s="5" t="inlineStr">
        <is>
          <t>Affiliated Realm / Location</t>
        </is>
      </c>
      <c r="E4" s="6" t="inlineStr">
        <is>
          <t>R7 Red Forest · Ember Shrine</t>
        </is>
      </c>
      <c r="F4" s="25" t="n"/>
      <c r="G4" s="25" t="n"/>
      <c r="H4" s="25" t="n"/>
      <c r="I4" s="26" t="n"/>
    </row>
    <row r="5">
      <c r="A5" s="29" t="n"/>
      <c r="B5" s="30" t="n"/>
      <c r="C5" s="31" t="n"/>
      <c r="D5" s="5" t="inlineStr">
        <is>
          <t>Role</t>
        </is>
      </c>
      <c r="E5" s="6" t="inlineStr">
        <is>
          <t>The first Survivor. Source of the first ember. The thematic avatar of the whole campaign.</t>
        </is>
      </c>
      <c r="F5" s="25" t="n"/>
      <c r="G5" s="25" t="n"/>
      <c r="H5" s="25" t="n"/>
      <c r="I5" s="26" t="n"/>
    </row>
    <row r="6" ht="36" customHeight="1">
      <c r="A6" s="12" t="inlineStr">
        <is>
          <t>Form / Appearance</t>
        </is>
      </c>
      <c r="B6" s="25" t="n"/>
      <c r="C6" s="26" t="n"/>
      <c r="D6" s="18" t="inlineStr">
        <is>
          <t>A very faint humanoid, back turned to you. The posture is one of turning back. No one has ever seen his face.</t>
        </is>
      </c>
      <c r="E6" s="25" t="n"/>
      <c r="F6" s="25" t="n"/>
      <c r="G6" s="25" t="n"/>
      <c r="H6" s="25" t="n"/>
      <c r="I6" s="26" t="n"/>
    </row>
    <row r="7" ht="20" customHeight="1">
      <c r="A7" s="10" t="inlineStr">
        <is>
          <t>I. Interaction Rules</t>
        </is>
      </c>
      <c r="B7" s="25" t="n"/>
      <c r="C7" s="25" t="n"/>
      <c r="D7" s="25" t="n"/>
      <c r="E7" s="25" t="n"/>
      <c r="F7" s="25" t="n"/>
      <c r="G7" s="25" t="n"/>
      <c r="H7" s="25" t="n"/>
      <c r="I7" s="26" t="n"/>
    </row>
    <row r="8" ht="30" customHeight="1">
      <c r="A8" s="12" t="inlineStr">
        <is>
          <t>Motivation</t>
        </is>
      </c>
      <c r="B8" s="26" t="n"/>
      <c r="C8" s="18" t="inlineStr">
        <is>
          <t>Already finished. He did that thing.</t>
        </is>
      </c>
      <c r="D8" s="25" t="n"/>
      <c r="E8" s="25" t="n"/>
      <c r="F8" s="25" t="n"/>
      <c r="G8" s="25" t="n"/>
      <c r="H8" s="25" t="n"/>
      <c r="I8" s="26" t="n"/>
    </row>
    <row r="9" ht="44" customHeight="1">
      <c r="A9" s="12" t="inlineStr">
        <is>
          <t>Trade / Interaction Price</t>
        </is>
      </c>
      <c r="B9" s="26" t="n"/>
      <c r="C9" s="18" t="inlineStr">
        <is>
          <t>No trading. No interaction. Appears only once, at the S8 Ember Moment.</t>
        </is>
      </c>
      <c r="D9" s="25" t="n"/>
      <c r="E9" s="25" t="n"/>
      <c r="F9" s="25" t="n"/>
      <c r="G9" s="25" t="n"/>
      <c r="H9" s="25" t="n"/>
      <c r="I9" s="26" t="n"/>
    </row>
    <row r="10" ht="40" customHeight="1">
      <c r="A10" s="12" t="inlineStr">
        <is>
          <t>Restrictions &amp; Prohibitions</t>
        </is>
      </c>
      <c r="B10" s="26" t="n"/>
      <c r="C10" s="18" t="inlineStr">
        <is>
          <t>Cannot be touched, attacked, or spoken to. Any attempt reveals he is not really there.</t>
        </is>
      </c>
      <c r="D10" s="25" t="n"/>
      <c r="E10" s="25" t="n"/>
      <c r="F10" s="25" t="n"/>
      <c r="G10" s="25" t="n"/>
      <c r="H10" s="25" t="n"/>
      <c r="I10" s="26" t="n"/>
    </row>
    <row r="11" ht="20" customHeight="1">
      <c r="A11" s="10" t="inlineStr">
        <is>
          <t>II. Data (if substantial)</t>
        </is>
      </c>
      <c r="B11" s="25" t="n"/>
      <c r="C11" s="25" t="n"/>
      <c r="D11" s="25" t="n"/>
      <c r="E11" s="25" t="n"/>
      <c r="F11" s="25" t="n"/>
      <c r="G11" s="25" t="n"/>
      <c r="H11" s="25" t="n"/>
      <c r="I11" s="26" t="n"/>
    </row>
    <row r="12">
      <c r="A12" s="12" t="inlineStr">
        <is>
          <t>Will (WIL)</t>
        </is>
      </c>
      <c r="B12" s="26" t="n"/>
      <c r="C12" s="8" t="n"/>
      <c r="D12" s="5" t="inlineStr">
        <is>
          <t>Attribute Bonus (AB)</t>
        </is>
      </c>
      <c r="E12" s="14">
        <f>IF(C12="","—",INT(C12/2))</f>
        <v/>
      </c>
      <c r="F12" s="5" t="inlineStr">
        <is>
          <t>Interfere / Dispel Difficulty Class (DC)</t>
        </is>
      </c>
      <c r="G12" s="26" t="n"/>
      <c r="H12" s="14">
        <f>IF(C12="","—",10+INT(C12/2))</f>
        <v/>
      </c>
      <c r="I12" s="26" t="n"/>
    </row>
    <row r="13">
      <c r="A13" s="15" t="inlineStr">
        <is>
          <t>Insubstantial Whisperer (Whisperer) cannot be attacked, cannot be dispelled, and does not take Encounter Budget (EB). A Haunt with substance should instead be built with a Realm Creature card.</t>
        </is>
      </c>
      <c r="B13" s="25" t="n"/>
      <c r="C13" s="25" t="n"/>
      <c r="D13" s="25" t="n"/>
      <c r="E13" s="25" t="n"/>
      <c r="F13" s="25" t="n"/>
      <c r="G13" s="25" t="n"/>
      <c r="H13" s="25" t="n"/>
      <c r="I13" s="26" t="n"/>
    </row>
    <row r="14" ht="20" customHeight="1">
      <c r="A14" s="10" t="inlineStr">
        <is>
          <t>III. Narrative Data</t>
        </is>
      </c>
      <c r="B14" s="25" t="n"/>
      <c r="C14" s="25" t="n"/>
      <c r="D14" s="25" t="n"/>
      <c r="E14" s="25" t="n"/>
      <c r="F14" s="25" t="n"/>
      <c r="G14" s="25" t="n"/>
      <c r="H14" s="25" t="n"/>
      <c r="I14" s="26" t="n"/>
    </row>
    <row r="15" ht="46" customHeight="1">
      <c r="A15" s="12" t="inlineStr">
        <is>
          <t>Background</t>
        </is>
      </c>
      <c r="B15" s="26" t="n"/>
      <c r="C15" s="18" t="inlineStr">
        <is>
          <t>The first Trial of the Fourth Era. One foot already out the door, he heard someone call behind him and turned back. He did not know that person. He was lifted up, the first ember fell out of him, he picked it up, hid it in the Ember Shrine of Red Forest, and then there was no after.</t>
        </is>
      </c>
      <c r="D15" s="25" t="n"/>
      <c r="E15" s="25" t="n"/>
      <c r="F15" s="25" t="n"/>
      <c r="G15" s="25" t="n"/>
      <c r="H15" s="25" t="n"/>
      <c r="I15" s="26" t="n"/>
    </row>
    <row r="16" ht="40" customHeight="1">
      <c r="A16" s="12" t="inlineStr">
        <is>
          <t>Role in Main Plot</t>
        </is>
      </c>
      <c r="B16" s="26" t="n"/>
      <c r="C16" s="18" t="inlineStr">
        <is>
          <t>S7 Exists through the carving tablet / S8 Appears at the Ember Moment.</t>
        </is>
      </c>
      <c r="D16" s="25" t="n"/>
      <c r="E16" s="25" t="n"/>
      <c r="F16" s="25" t="n"/>
      <c r="G16" s="25" t="n"/>
      <c r="H16" s="25" t="n"/>
      <c r="I16" s="26" t="n"/>
    </row>
    <row r="17" ht="34" customHeight="1">
      <c r="A17" s="12" t="inlineStr">
        <is>
          <t>Signature Line</t>
        </is>
      </c>
      <c r="B17" s="26" t="n"/>
      <c r="C17" s="18" t="inlineStr">
        <is>
          <t>(Carving tablet) "When I turned back I was thinking nothing. I just felt that one person leaving seemed not quite right."</t>
        </is>
      </c>
      <c r="D17" s="25" t="n"/>
      <c r="E17" s="25" t="n"/>
      <c r="F17" s="25" t="n"/>
      <c r="G17" s="25" t="n"/>
      <c r="H17" s="25" t="n"/>
      <c r="I17" s="26" t="n"/>
    </row>
    <row r="18" ht="44" customHeight="1">
      <c r="A18" s="12" t="inlineStr">
        <is>
          <t>Special Rule</t>
        </is>
      </c>
      <c r="B18" s="26" t="n"/>
      <c r="C18" s="18" t="inlineStr">
        <is>
          <t>Truth (revealed in S8): he is not one person. "The Nameless" is the collective of all who turned back. Each time someone stops at a door, this form grows a little thicker. In S8, if the Player character ever turned back to save someone in any scenario, that Player may see "The Nameless" in profile at the Ember Moment — it is their own profile.</t>
        </is>
      </c>
      <c r="D18" s="25" t="n"/>
      <c r="E18" s="25" t="n"/>
      <c r="F18" s="25" t="n"/>
      <c r="G18" s="25" t="n"/>
      <c r="H18" s="25" t="n"/>
      <c r="I18" s="26" t="n"/>
    </row>
    <row r="19" ht="20" customHeight="1">
      <c r="A19" s="10" t="inlineStr">
        <is>
          <t>IV. GM Running Notes</t>
        </is>
      </c>
      <c r="B19" s="25" t="n"/>
      <c r="C19" s="25" t="n"/>
      <c r="D19" s="25" t="n"/>
      <c r="E19" s="25" t="n"/>
      <c r="F19" s="25" t="n"/>
      <c r="G19" s="25" t="n"/>
      <c r="H19" s="25" t="n"/>
      <c r="I19" s="26" t="n"/>
    </row>
    <row r="20" ht="52" customHeight="1">
      <c r="A20" s="18" t="inlineStr">
        <is>
          <t>This NPC appears only once, so that one time must be right. Do not describe his face. Describe the ongoing posture of "he is turning back" — he is frozen forever at the instant of turning.</t>
        </is>
      </c>
      <c r="B20" s="25" t="n"/>
      <c r="C20" s="25" t="n"/>
      <c r="D20" s="25" t="n"/>
      <c r="E20" s="25" t="n"/>
      <c r="F20" s="25" t="n"/>
      <c r="G20" s="25" t="n"/>
      <c r="H20" s="25" t="n"/>
      <c r="I20" s="26" t="n"/>
    </row>
  </sheetData>
  <mergeCells count="32">
    <mergeCell ref="A7:I7"/>
    <mergeCell ref="A15:B15"/>
    <mergeCell ref="C17:I17"/>
    <mergeCell ref="C8:I8"/>
    <mergeCell ref="E5:I5"/>
    <mergeCell ref="A2:C5"/>
    <mergeCell ref="F12:G12"/>
    <mergeCell ref="A16:B16"/>
    <mergeCell ref="E4:I4"/>
    <mergeCell ref="C18:I18"/>
    <mergeCell ref="A14:I14"/>
    <mergeCell ref="C15:I15"/>
    <mergeCell ref="A18:B18"/>
    <mergeCell ref="A20:I20"/>
    <mergeCell ref="A12:B12"/>
    <mergeCell ref="A19:I19"/>
    <mergeCell ref="A13:I13"/>
    <mergeCell ref="E2:I2"/>
    <mergeCell ref="C10:I10"/>
    <mergeCell ref="C16:I16"/>
    <mergeCell ref="A17:B17"/>
    <mergeCell ref="A8:B8"/>
    <mergeCell ref="H3:I3"/>
    <mergeCell ref="H12:I12"/>
    <mergeCell ref="C9:I9"/>
    <mergeCell ref="A11:I11"/>
    <mergeCell ref="A6:C6"/>
    <mergeCell ref="A10:B10"/>
    <mergeCell ref="A1:I1"/>
    <mergeCell ref="D6:I6"/>
    <mergeCell ref="A9:B9"/>
    <mergeCell ref="E3:F3"/>
  </mergeCells>
  <dataValidations count="1">
    <dataValidation sqref="E3:F3" showDropDown="0" showInputMessage="0" showErrorMessage="0" allowBlank="1" type="list">
      <formula1>"營火同伴,回聲同伴,低語者,殘影,觀察者,特殊存在"</formula1>
    </dataValidation>
  </dataValidations>
  <printOptions horizontalCentered="1"/>
  <pageMargins left="0.75" right="0.75" top="1" bottom="1" header="0.5" footer="0.5"/>
  <pageSetup orientation="portrait"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2026-08-01T19:32:04Z</dcterms:created>
  <dcterms:modified xsi:type="dcterms:W3CDTF">2026-08-07T16:03:40Z</dcterms:modified>
</cp:coreProperties>
</file>