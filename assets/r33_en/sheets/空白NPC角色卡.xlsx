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NPC (Blank)" sheetId="1" state="visible" r:id="rId1"/>
    <sheet name="Simple NPC (Blank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7C8A96"/>
      <sz val="10"/>
    </font>
    <font>
      <name val="Microsoft JhengHei"/>
      <b val="1"/>
      <color rgb="002E3A46"/>
      <sz val="10"/>
    </font>
    <font>
      <name val="Microsoft JhengHei"/>
      <color rgb="002E3A46"/>
      <sz val="10"/>
    </font>
    <font>
      <name val="Microsoft JhengHei"/>
      <b val="1"/>
      <color rgb="00FFFFFF"/>
      <sz val="11"/>
    </font>
    <font>
      <name val="Microsoft JhengHei"/>
      <b val="1"/>
      <color rgb="008A5A00"/>
      <sz val="10"/>
    </font>
    <font>
      <name val="Microsoft JhengHei"/>
      <i val="1"/>
      <color rgb="006B7885"/>
      <sz val="9"/>
    </font>
  </fonts>
  <fills count="11">
    <fill>
      <patternFill/>
    </fill>
    <fill>
      <patternFill patternType="gray125"/>
    </fill>
    <fill>
      <patternFill patternType="solid">
        <fgColor rgb="002E4A38"/>
      </patternFill>
    </fill>
    <fill>
      <patternFill patternType="solid">
        <fgColor rgb="00F0F2F4"/>
      </patternFill>
    </fill>
    <fill>
      <patternFill patternType="solid">
        <fgColor rgb="00E8ECEF"/>
      </patternFill>
    </fill>
    <fill>
      <patternFill patternType="solid">
        <fgColor rgb="00FFFFFF"/>
      </patternFill>
    </fill>
    <fill>
      <patternFill patternType="solid">
        <fgColor rgb="005A6B7C"/>
      </patternFill>
    </fill>
    <fill>
      <patternFill patternType="solid">
        <fgColor rgb="00E8F5E9"/>
      </patternFill>
    </fill>
    <fill>
      <patternFill patternType="solid">
        <fgColor rgb="00FFF6E0"/>
      </patternFill>
    </fill>
    <fill>
      <patternFill patternType="solid">
        <fgColor rgb="00F5F7F8"/>
      </patternFill>
    </fill>
    <fill>
      <patternFill patternType="solid">
        <fgColor rgb="003A4A5E"/>
      </patternFill>
    </fill>
  </fills>
  <borders count="16">
    <border>
      <left/>
      <right/>
      <top/>
      <bottom/>
      <diagonal/>
    </border>
    <border>
      <left style="medium">
        <color rgb="007C8A96"/>
      </left>
      <right style="medium">
        <color rgb="007C8A96"/>
      </right>
      <top style="medium">
        <color rgb="007C8A96"/>
      </top>
      <bottom style="medium">
        <color rgb="007C8A96"/>
      </bottom>
    </border>
    <border>
      <left style="thin">
        <color rgb="00B7C0C8"/>
      </left>
      <right style="thin">
        <color rgb="00B7C0C8"/>
      </right>
      <top style="thin">
        <color rgb="00B7C0C8"/>
      </top>
      <bottom style="thin">
        <color rgb="00B7C0C8"/>
      </bottom>
    </border>
    <border>
      <left/>
      <right/>
      <top style="thin">
        <color rgb="00B7C0C8"/>
      </top>
      <bottom/>
      <diagonal/>
    </border>
    <border>
      <left/>
      <right style="thin">
        <color rgb="00B7C0C8"/>
      </right>
      <top style="thin">
        <color rgb="00B7C0C8"/>
      </top>
      <bottom/>
      <diagonal/>
    </border>
    <border>
      <left/>
      <right/>
      <top style="thin">
        <color rgb="00B7C0C8"/>
      </top>
      <bottom style="thin">
        <color rgb="00B7C0C8"/>
      </bottom>
      <diagonal/>
    </border>
    <border>
      <left/>
      <right style="thin">
        <color rgb="00B7C0C8"/>
      </right>
      <top style="thin">
        <color rgb="00B7C0C8"/>
      </top>
      <bottom style="thin">
        <color rgb="00B7C0C8"/>
      </bottom>
      <diagonal/>
    </border>
    <border>
      <left/>
      <right/>
      <top style="medium">
        <color rgb="007C8A96"/>
      </top>
      <bottom/>
      <diagonal/>
    </border>
    <border>
      <left style="medium">
        <color rgb="007C8A96"/>
      </left>
      <right/>
      <top/>
      <bottom/>
      <diagonal/>
    </border>
    <border>
      <left/>
      <right style="medium">
        <color rgb="007C8A96"/>
      </right>
      <top style="medium">
        <color rgb="007C8A96"/>
      </top>
      <bottom/>
      <diagonal/>
    </border>
    <border>
      <left/>
      <right style="medium">
        <color rgb="007C8A96"/>
      </right>
      <top/>
      <bottom/>
      <diagonal/>
    </border>
    <border>
      <left style="medium">
        <color rgb="007C8A96"/>
      </left>
      <right/>
      <top/>
      <bottom style="medium">
        <color rgb="007C8A96"/>
      </bottom>
      <diagonal/>
    </border>
    <border>
      <left/>
      <right/>
      <top/>
      <bottom style="medium">
        <color rgb="007C8A96"/>
      </bottom>
      <diagonal/>
    </border>
    <border>
      <left/>
      <right style="medium">
        <color rgb="007C8A96"/>
      </right>
      <top/>
      <bottom style="medium">
        <color rgb="007C8A96"/>
      </bottom>
      <diagonal/>
    </border>
    <border>
      <left/>
      <right/>
      <top style="medium">
        <color rgb="007C8A96"/>
      </top>
      <bottom style="medium">
        <color rgb="007C8A96"/>
      </bottom>
      <diagonal/>
    </border>
    <border>
      <left/>
      <right style="medium">
        <color rgb="007C8A96"/>
      </right>
      <top style="medium">
        <color rgb="007C8A96"/>
      </top>
      <bottom style="medium">
        <color rgb="007C8A96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5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3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6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0" fillId="8" borderId="2" pivotButton="0" quotePrefix="0" xfId="0"/>
    <xf numFmtId="0" fontId="4" fillId="5" borderId="2" applyAlignment="1" pivotButton="0" quotePrefix="0" xfId="0">
      <alignment horizontal="left" vertical="top" wrapText="1"/>
    </xf>
    <xf numFmtId="0" fontId="1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Dead by Daylight TRPG　Non-Player Character (NPC) Card　·　Full Type</t>
        </is>
      </c>
      <c r="B1" s="21" t="n"/>
      <c r="C1" s="21" t="n"/>
      <c r="D1" s="21" t="n"/>
      <c r="E1" s="21" t="n"/>
      <c r="F1" s="21" t="n"/>
      <c r="G1" s="21" t="n"/>
      <c r="H1" s="21" t="n"/>
      <c r="I1" s="22" t="n"/>
    </row>
    <row r="2">
      <c r="A2" s="3" t="inlineStr">
        <is>
          <t>Character Art
(Paste character image here)</t>
        </is>
      </c>
      <c r="B2" s="23" t="n"/>
      <c r="C2" s="24" t="n"/>
      <c r="D2" s="5" t="inlineStr">
        <is>
          <t>Name</t>
        </is>
      </c>
      <c r="E2" s="6" t="n"/>
      <c r="F2" s="25" t="n"/>
      <c r="G2" s="25" t="n"/>
      <c r="H2" s="25" t="n"/>
      <c r="I2" s="26" t="n"/>
    </row>
    <row r="3">
      <c r="A3" s="27" t="n"/>
      <c r="C3" s="28" t="n"/>
      <c r="D3" s="5" t="inlineStr">
        <is>
          <t>NPC Type</t>
        </is>
      </c>
      <c r="E3" s="8" t="n"/>
      <c r="F3" s="26" t="n"/>
      <c r="G3" s="5" t="inlineStr">
        <is>
          <t>Role</t>
        </is>
      </c>
      <c r="H3" s="6" t="n"/>
      <c r="I3" s="26" t="n"/>
    </row>
    <row r="4">
      <c r="A4" s="27" t="n"/>
      <c r="C4" s="28" t="n"/>
      <c r="D4" s="5" t="inlineStr">
        <is>
          <t>Prestige (PRS)</t>
        </is>
      </c>
      <c r="E4" s="8" t="n"/>
      <c r="F4" s="26" t="n"/>
      <c r="G4" s="5" t="inlineStr">
        <is>
          <t>First Appearance</t>
        </is>
      </c>
      <c r="H4" s="8" t="n"/>
      <c r="I4" s="26" t="n"/>
    </row>
    <row r="5">
      <c r="A5" s="29" t="n"/>
      <c r="B5" s="30" t="n"/>
      <c r="C5" s="31" t="n"/>
      <c r="D5" s="5" t="inlineStr">
        <is>
          <t>Affiliated Realm / Location</t>
        </is>
      </c>
      <c r="E5" s="6" t="n"/>
      <c r="F5" s="25" t="n"/>
      <c r="G5" s="25" t="n"/>
      <c r="H5" s="25" t="n"/>
      <c r="I5" s="26" t="n"/>
    </row>
    <row r="6" ht="32" customHeight="1">
      <c r="A6" s="5" t="inlineStr">
        <is>
          <t>Appearance</t>
        </is>
      </c>
      <c r="B6" s="25" t="n"/>
      <c r="C6" s="26" t="n"/>
      <c r="D6" s="6" t="n"/>
      <c r="E6" s="25" t="n"/>
      <c r="F6" s="25" t="n"/>
      <c r="G6" s="25" t="n"/>
      <c r="H6" s="25" t="n"/>
      <c r="I6" s="26" t="n"/>
    </row>
    <row r="7" ht="20" customHeight="1">
      <c r="A7" s="10" t="inlineStr">
        <is>
          <t>I. Attributes (Five-Attribute Frame)</t>
        </is>
      </c>
      <c r="B7" s="25" t="n"/>
      <c r="C7" s="25" t="n"/>
      <c r="D7" s="25" t="n"/>
      <c r="E7" s="25" t="n"/>
      <c r="F7" s="25" t="n"/>
      <c r="G7" s="25" t="n"/>
      <c r="H7" s="25" t="n"/>
      <c r="I7" s="26" t="n"/>
    </row>
    <row r="8" ht="28" customHeight="1">
      <c r="A8" s="5" t="inlineStr">
        <is>
          <t>Attribute</t>
        </is>
      </c>
      <c r="B8" s="26" t="n"/>
      <c r="C8" s="5" t="inlineStr">
        <is>
          <t>Tendency</t>
        </is>
      </c>
      <c r="D8" s="5" t="inlineStr">
        <is>
          <t>Attribute Value
(1–10)</t>
        </is>
      </c>
      <c r="E8" s="5" t="inlineStr">
        <is>
          <t>Attribute Bonus (AB)</t>
        </is>
      </c>
      <c r="F8" s="5" t="inlineStr">
        <is>
          <t>Notes</t>
        </is>
      </c>
      <c r="G8" s="25" t="n"/>
      <c r="H8" s="25" t="n"/>
      <c r="I8" s="26" t="n"/>
    </row>
    <row r="9">
      <c r="A9" s="12" t="inlineStr">
        <is>
          <t>Agility (AGI)</t>
        </is>
      </c>
      <c r="B9" s="26" t="n"/>
      <c r="C9" s="8" t="n"/>
      <c r="D9" s="8" t="n"/>
      <c r="E9" s="14">
        <f>IF(D9="","",INT(D9/2))</f>
        <v/>
      </c>
      <c r="F9" s="6" t="n"/>
      <c r="G9" s="25" t="n"/>
      <c r="H9" s="25" t="n"/>
      <c r="I9" s="26" t="n"/>
    </row>
    <row r="10">
      <c r="A10" s="12" t="inlineStr">
        <is>
          <t>Technique (TEC)</t>
        </is>
      </c>
      <c r="B10" s="26" t="n"/>
      <c r="C10" s="8" t="n"/>
      <c r="D10" s="8" t="n"/>
      <c r="E10" s="14">
        <f>IF(D10="","",INT(D10/2))</f>
        <v/>
      </c>
      <c r="F10" s="6" t="n"/>
      <c r="G10" s="25" t="n"/>
      <c r="H10" s="25" t="n"/>
      <c r="I10" s="26" t="n"/>
    </row>
    <row r="11">
      <c r="A11" s="12" t="inlineStr">
        <is>
          <t>Stealth (STL)</t>
        </is>
      </c>
      <c r="B11" s="26" t="n"/>
      <c r="C11" s="8" t="n"/>
      <c r="D11" s="8" t="n"/>
      <c r="E11" s="14">
        <f>IF(D11="","",INT(D11/2))</f>
        <v/>
      </c>
      <c r="F11" s="6" t="n"/>
      <c r="G11" s="25" t="n"/>
      <c r="H11" s="25" t="n"/>
      <c r="I11" s="26" t="n"/>
    </row>
    <row r="12">
      <c r="A12" s="12" t="inlineStr">
        <is>
          <t>Focus (FOC)</t>
        </is>
      </c>
      <c r="B12" s="26" t="n"/>
      <c r="C12" s="8" t="n"/>
      <c r="D12" s="8" t="n"/>
      <c r="E12" s="14">
        <f>IF(D12="","",INT(D12/2))</f>
        <v/>
      </c>
      <c r="F12" s="6" t="n"/>
      <c r="G12" s="25" t="n"/>
      <c r="H12" s="25" t="n"/>
      <c r="I12" s="26" t="n"/>
    </row>
    <row r="13">
      <c r="A13" s="12" t="inlineStr">
        <is>
          <t>Will (WIL)</t>
        </is>
      </c>
      <c r="B13" s="26" t="n"/>
      <c r="C13" s="8" t="n"/>
      <c r="D13" s="8" t="n"/>
      <c r="E13" s="14">
        <f>IF(D13="","",INT(D13/2))</f>
        <v/>
      </c>
      <c r="F13" s="6" t="n"/>
      <c r="G13" s="25" t="n"/>
      <c r="H13" s="25" t="n"/>
      <c r="I13" s="26" t="n"/>
    </row>
    <row r="14">
      <c r="A14" s="15" t="inlineStr">
        <is>
          <t>Attribute Bonus (AB) = INT(Attribute Value ÷ 2), auto-calculated. 'Tendency' is a narrative-scale relative description; 'Attribute Value' is filled by the GM per Prestige (PRS). For insubstantial NPCs (e.g. Whisperer), leave Attribute Value blank.</t>
        </is>
      </c>
      <c r="B14" s="25" t="n"/>
      <c r="C14" s="25" t="n"/>
      <c r="D14" s="25" t="n"/>
      <c r="E14" s="25" t="n"/>
      <c r="F14" s="25" t="n"/>
      <c r="G14" s="25" t="n"/>
      <c r="H14" s="25" t="n"/>
      <c r="I14" s="26" t="n"/>
    </row>
    <row r="15" ht="20" customHeight="1">
      <c r="A15" s="10" t="inlineStr">
        <is>
          <t>II. Derived Values (auto-calculated)</t>
        </is>
      </c>
      <c r="B15" s="25" t="n"/>
      <c r="C15" s="25" t="n"/>
      <c r="D15" s="25" t="n"/>
      <c r="E15" s="25" t="n"/>
      <c r="F15" s="25" t="n"/>
      <c r="G15" s="25" t="n"/>
      <c r="H15" s="25" t="n"/>
      <c r="I15" s="26" t="n"/>
    </row>
    <row r="16">
      <c r="A16" s="12" t="inlineStr">
        <is>
          <t>HP (HP) Cap</t>
        </is>
      </c>
      <c r="B16" s="25" t="n"/>
      <c r="C16" s="26" t="n"/>
      <c r="D16" s="14">
        <f>IF(D13="","—",8+2*D13+IF($E$4="",0,$E$4))</f>
        <v/>
      </c>
      <c r="E16" s="26" t="n"/>
      <c r="F16" s="6" t="inlineStr">
        <is>
          <t>8 + 2×Will (WIL) + Prestige (PRS)</t>
        </is>
      </c>
      <c r="G16" s="25" t="n"/>
      <c r="H16" s="25" t="n"/>
      <c r="I16" s="26" t="n"/>
    </row>
    <row r="17">
      <c r="A17" s="12" t="inlineStr">
        <is>
          <t>Health State (HS) Cap</t>
        </is>
      </c>
      <c r="B17" s="25" t="n"/>
      <c r="C17" s="26" t="n"/>
      <c r="D17" s="14">
        <f>IF($E$3="Echo Companion",3,IF($E$3="Whisperer","—",2))</f>
        <v/>
      </c>
      <c r="E17" s="26" t="n"/>
      <c r="F17" s="6" t="inlineStr">
        <is>
          <t>Healthy→Injured→Dying. Echo Companion uses three-stage tracking.</t>
        </is>
      </c>
      <c r="G17" s="25" t="n"/>
      <c r="H17" s="25" t="n"/>
      <c r="I17" s="26" t="n"/>
    </row>
    <row r="18">
      <c r="A18" s="12" t="inlineStr">
        <is>
          <t>Action Point (AP) / round</t>
        </is>
      </c>
      <c r="B18" s="25" t="n"/>
      <c r="C18" s="26" t="n"/>
      <c r="D18" s="14">
        <f>IF($E$3="Echo Companion",1,IF($E$3="Whisperer",0,4))</f>
        <v/>
      </c>
      <c r="E18" s="26" t="n"/>
      <c r="F18" s="6" t="inlineStr">
        <is>
          <t>Echo Companion fixed at 1; Whisperer takes no action.</t>
        </is>
      </c>
      <c r="G18" s="25" t="n"/>
      <c r="H18" s="25" t="n"/>
      <c r="I18" s="26" t="n"/>
    </row>
    <row r="19">
      <c r="A19" s="12" t="inlineStr">
        <is>
          <t>Move (MOV) / round</t>
        </is>
      </c>
      <c r="B19" s="25" t="n"/>
      <c r="C19" s="26" t="n"/>
      <c r="D19" s="14">
        <f>IF(D9="","—",6+INT(D9/2))</f>
        <v/>
      </c>
      <c r="E19" s="26" t="n"/>
      <c r="F19" s="6" t="inlineStr">
        <is>
          <t>6 + INT(Agility (AGI) ÷ 2). 1 cell = 2 meters</t>
        </is>
      </c>
      <c r="G19" s="25" t="n"/>
      <c r="H19" s="25" t="n"/>
      <c r="I19" s="26" t="n"/>
    </row>
    <row r="20">
      <c r="A20" s="12" t="inlineStr">
        <is>
          <t>Repair Progress (Progress Point / round)</t>
        </is>
      </c>
      <c r="B20" s="25" t="n"/>
      <c r="C20" s="26" t="n"/>
      <c r="D20" s="14">
        <f>IF($E$3="Echo Companion",1,IF(D10="","—",INT(D10/2)))</f>
        <v/>
      </c>
      <c r="E20" s="26" t="n"/>
      <c r="F20" s="6" t="inlineStr">
        <is>
          <t>Echo Companion fixed +1 progress point (50% efficiency)</t>
        </is>
      </c>
      <c r="G20" s="25" t="n"/>
      <c r="H20" s="25" t="n"/>
      <c r="I20" s="26" t="n"/>
    </row>
    <row r="21">
      <c r="A21" s="12" t="inlineStr">
        <is>
          <t>Heal Progress (per round)</t>
        </is>
      </c>
      <c r="B21" s="25" t="n"/>
      <c r="C21" s="26" t="n"/>
      <c r="D21" s="14">
        <f>IF($E$3="Echo Companion",2,IF(D12="","—",INT(D12/2)+2))</f>
        <v/>
      </c>
      <c r="E21" s="26" t="n"/>
      <c r="F21" s="6" t="inlineStr">
        <is>
          <t>Echo Companion fixed +2, and cannot heal itself</t>
        </is>
      </c>
      <c r="G21" s="25" t="n"/>
      <c r="H21" s="25" t="n"/>
      <c r="I21" s="26" t="n"/>
    </row>
    <row r="22">
      <c r="A22" s="12" t="inlineStr">
        <is>
          <t>Passive Awareness Difficulty Class (DC)</t>
        </is>
      </c>
      <c r="B22" s="25" t="n"/>
      <c r="C22" s="26" t="n"/>
      <c r="D22" s="14">
        <f>IF(D12="","—",8+INT(D12/2))</f>
        <v/>
      </c>
      <c r="E22" s="26" t="n"/>
      <c r="F22" s="6" t="inlineStr">
        <is>
          <t>The target value for the Killer or other characters to notice this NPC</t>
        </is>
      </c>
      <c r="G22" s="25" t="n"/>
      <c r="H22" s="25" t="n"/>
      <c r="I22" s="26" t="n"/>
    </row>
    <row r="23" ht="20" customHeight="1">
      <c r="A23" s="10" t="inlineStr">
        <is>
          <t>III. Echo Companion exclusive: three-line behavior table</t>
        </is>
      </c>
      <c r="B23" s="25" t="n"/>
      <c r="C23" s="25" t="n"/>
      <c r="D23" s="25" t="n"/>
      <c r="E23" s="25" t="n"/>
      <c r="F23" s="25" t="n"/>
      <c r="G23" s="25" t="n"/>
      <c r="H23" s="25" t="n"/>
      <c r="I23" s="26" t="n"/>
    </row>
    <row r="24">
      <c r="A24" s="15" t="inlineStr">
        <is>
          <t>Used only when 'NPC Type = Echo Companion'. The GM checks top-to-bottom each round; the first condition met is the Echo Companion's action that round. No roleplay, no voice; one line per round.</t>
        </is>
      </c>
      <c r="B24" s="25" t="n"/>
      <c r="C24" s="25" t="n"/>
      <c r="D24" s="25" t="n"/>
      <c r="E24" s="25" t="n"/>
      <c r="F24" s="25" t="n"/>
      <c r="G24" s="25" t="n"/>
      <c r="H24" s="25" t="n"/>
      <c r="I24" s="26" t="n"/>
    </row>
    <row r="25">
      <c r="A25" s="5" t="inlineStr">
        <is>
          <t>No.</t>
        </is>
      </c>
      <c r="B25" s="5" t="inlineStr">
        <is>
          <t>Condition</t>
        </is>
      </c>
      <c r="C25" s="25" t="n"/>
      <c r="D25" s="26" t="n"/>
      <c r="E25" s="5" t="inlineStr">
        <is>
          <t>Action</t>
        </is>
      </c>
      <c r="F25" s="25" t="n"/>
      <c r="G25" s="25" t="n"/>
      <c r="H25" s="25" t="n"/>
      <c r="I25" s="26" t="n"/>
    </row>
    <row r="26" ht="30" customHeight="1">
      <c r="A26" s="12" t="inlineStr">
        <is>
          <t>①</t>
        </is>
      </c>
      <c r="B26" s="6" t="inlineStr">
        <is>
          <t>A Survivor is Hooked and this NPC can arrive within 2 rounds</t>
        </is>
      </c>
      <c r="C26" s="25" t="n"/>
      <c r="D26" s="26" t="n"/>
      <c r="E26" s="6" t="inlineStr">
        <is>
          <t>Go to rescue. On arrival, spend 1 Action Point (AP) to unhook, 100% success (no check).</t>
        </is>
      </c>
      <c r="F26" s="25" t="n"/>
      <c r="G26" s="25" t="n"/>
      <c r="H26" s="25" t="n"/>
      <c r="I26" s="26" t="n"/>
    </row>
    <row r="27" ht="30" customHeight="1">
      <c r="A27" s="12" t="inlineStr">
        <is>
          <t>②</t>
        </is>
      </c>
      <c r="B27" s="6" t="inlineStr">
        <is>
          <t>Self is Injured or Dying, or Killer is within 4 cells</t>
        </is>
      </c>
      <c r="C27" s="25" t="n"/>
      <c r="D27" s="26" t="n"/>
      <c r="E27" s="6" t="inlineStr">
        <is>
          <t>Self-preserve. Move away from Killer, prefer entering a Locker or cover; when Dying, crawl in place.</t>
        </is>
      </c>
      <c r="F27" s="25" t="n"/>
      <c r="G27" s="25" t="n"/>
      <c r="H27" s="25" t="n"/>
      <c r="I27" s="26" t="n"/>
    </row>
    <row r="28" ht="30" customHeight="1">
      <c r="A28" s="12" t="inlineStr">
        <is>
          <t>③</t>
        </is>
      </c>
      <c r="B28" s="6" t="inlineStr">
        <is>
          <t>None of the above holds</t>
        </is>
      </c>
      <c r="C28" s="25" t="n"/>
      <c r="D28" s="26" t="n"/>
      <c r="E28" s="6" t="inlineStr">
        <is>
          <t>Go to the nearest unfinished Generator and repair; +1 progress point per round.</t>
        </is>
      </c>
      <c r="F28" s="25" t="n"/>
      <c r="G28" s="25" t="n"/>
      <c r="H28" s="25" t="n"/>
      <c r="I28" s="26" t="n"/>
    </row>
    <row r="29">
      <c r="A29" s="15" t="inlineStr">
        <is>
          <t>Echo Companion limits: cannot self-unhook, cannot heal itself, cannot use items, cannot trade with Whisperer. Once hooked, it stalls a fixed 3 rounds before advancing to the next hook phase (Echo Stall). Count = MAX(0, 3 − Survivor player count N).</t>
        </is>
      </c>
      <c r="B29" s="25" t="n"/>
      <c r="C29" s="25" t="n"/>
      <c r="D29" s="25" t="n"/>
      <c r="E29" s="25" t="n"/>
      <c r="F29" s="25" t="n"/>
      <c r="G29" s="25" t="n"/>
      <c r="H29" s="25" t="n"/>
      <c r="I29" s="26" t="n"/>
    </row>
    <row r="30" ht="20" customHeight="1">
      <c r="A30" s="10" t="inlineStr">
        <is>
          <t>IV. Narrative Data</t>
        </is>
      </c>
      <c r="B30" s="25" t="n"/>
      <c r="C30" s="25" t="n"/>
      <c r="D30" s="25" t="n"/>
      <c r="E30" s="25" t="n"/>
      <c r="F30" s="25" t="n"/>
      <c r="G30" s="25" t="n"/>
      <c r="H30" s="25" t="n"/>
      <c r="I30" s="26" t="n"/>
    </row>
    <row r="31" ht="30" customHeight="1">
      <c r="A31" s="12" t="inlineStr">
        <is>
          <t>Motivation</t>
        </is>
      </c>
      <c r="B31" s="26" t="n"/>
      <c r="C31" s="18" t="n"/>
      <c r="D31" s="25" t="n"/>
      <c r="E31" s="25" t="n"/>
      <c r="F31" s="25" t="n"/>
      <c r="G31" s="25" t="n"/>
      <c r="H31" s="25" t="n"/>
      <c r="I31" s="26" t="n"/>
    </row>
    <row r="32" ht="46" customHeight="1">
      <c r="A32" s="12" t="inlineStr">
        <is>
          <t>Background</t>
        </is>
      </c>
      <c r="B32" s="26" t="n"/>
      <c r="C32" s="18" t="n"/>
      <c r="D32" s="25" t="n"/>
      <c r="E32" s="25" t="n"/>
      <c r="F32" s="25" t="n"/>
      <c r="G32" s="25" t="n"/>
      <c r="H32" s="25" t="n"/>
      <c r="I32" s="26" t="n"/>
    </row>
    <row r="33" ht="40" customHeight="1">
      <c r="A33" s="12" t="inlineStr">
        <is>
          <t>Role in Main Plot</t>
        </is>
      </c>
      <c r="B33" s="26" t="n"/>
      <c r="C33" s="18" t="n"/>
      <c r="D33" s="25" t="n"/>
      <c r="E33" s="25" t="n"/>
      <c r="F33" s="25" t="n"/>
      <c r="G33" s="25" t="n"/>
      <c r="H33" s="25" t="n"/>
      <c r="I33" s="26" t="n"/>
    </row>
    <row r="34" ht="34" customHeight="1">
      <c r="A34" s="12" t="inlineStr">
        <is>
          <t>Signature Line</t>
        </is>
      </c>
      <c r="B34" s="26" t="n"/>
      <c r="C34" s="18" t="n"/>
      <c r="D34" s="25" t="n"/>
      <c r="E34" s="25" t="n"/>
      <c r="F34" s="25" t="n"/>
      <c r="G34" s="25" t="n"/>
      <c r="H34" s="25" t="n"/>
      <c r="I34" s="26" t="n"/>
    </row>
    <row r="35" ht="20" customHeight="1">
      <c r="A35" s="10" t="inlineStr">
        <is>
          <t>V. Special Interactions &amp; Rewards</t>
        </is>
      </c>
      <c r="B35" s="25" t="n"/>
      <c r="C35" s="25" t="n"/>
      <c r="D35" s="25" t="n"/>
      <c r="E35" s="25" t="n"/>
      <c r="F35" s="25" t="n"/>
      <c r="G35" s="25" t="n"/>
      <c r="H35" s="25" t="n"/>
      <c r="I35" s="26" t="n"/>
    </row>
    <row r="36" ht="46" customHeight="1">
      <c r="A36" s="12" t="inlineStr">
        <is>
          <t>Special Rule</t>
        </is>
      </c>
      <c r="B36" s="26" t="n"/>
      <c r="C36" s="18" t="n"/>
      <c r="D36" s="25" t="n"/>
      <c r="E36" s="25" t="n"/>
      <c r="F36" s="25" t="n"/>
      <c r="G36" s="25" t="n"/>
      <c r="H36" s="25" t="n"/>
      <c r="I36" s="26" t="n"/>
    </row>
    <row r="37" ht="30" customHeight="1">
      <c r="A37" s="12" t="inlineStr">
        <is>
          <t>Hope Point (HOP) / Campfire Ember reward</t>
        </is>
      </c>
      <c r="B37" s="25" t="n"/>
      <c r="C37" s="26" t="n"/>
      <c r="D37" s="6" t="n"/>
      <c r="E37" s="25" t="n"/>
      <c r="F37" s="25" t="n"/>
      <c r="G37" s="25" t="n"/>
      <c r="H37" s="25" t="n"/>
      <c r="I37" s="26" t="n"/>
    </row>
    <row r="38" ht="20" customHeight="1">
      <c r="A38" s="10" t="inlineStr">
        <is>
          <t>VI. GM Running Notes</t>
        </is>
      </c>
      <c r="B38" s="25" t="n"/>
      <c r="C38" s="25" t="n"/>
      <c r="D38" s="25" t="n"/>
      <c r="E38" s="25" t="n"/>
      <c r="F38" s="25" t="n"/>
      <c r="G38" s="25" t="n"/>
      <c r="H38" s="25" t="n"/>
      <c r="I38" s="26" t="n"/>
    </row>
    <row r="39" ht="52" customHeight="1">
      <c r="A39" s="18" t="n"/>
      <c r="B39" s="25" t="n"/>
      <c r="C39" s="25" t="n"/>
      <c r="D39" s="25" t="n"/>
      <c r="E39" s="25" t="n"/>
      <c r="F39" s="25" t="n"/>
      <c r="G39" s="25" t="n"/>
      <c r="H39" s="25" t="n"/>
      <c r="I39" s="26" t="n"/>
    </row>
    <row r="40" ht="20" customHeight="1">
      <c r="A40" s="10" t="inlineStr">
        <is>
          <t>VII. In-Trial Tracker (reusable)</t>
        </is>
      </c>
      <c r="B40" s="25" t="n"/>
      <c r="C40" s="25" t="n"/>
      <c r="D40" s="25" t="n"/>
      <c r="E40" s="25" t="n"/>
      <c r="F40" s="25" t="n"/>
      <c r="G40" s="25" t="n"/>
      <c r="H40" s="25" t="n"/>
      <c r="I40" s="26" t="n"/>
    </row>
    <row r="41">
      <c r="A41" s="12" t="inlineStr">
        <is>
          <t>Health State (HS)</t>
        </is>
      </c>
      <c r="B41" s="26" t="n"/>
      <c r="C41" s="5" t="inlineStr">
        <is>
          <t>Healthy</t>
        </is>
      </c>
      <c r="D41" s="5" t="inlineStr">
        <is>
          <t>Injured</t>
        </is>
      </c>
      <c r="E41" s="5" t="inlineStr">
        <is>
          <t>Dying</t>
        </is>
      </c>
      <c r="F41" s="12" t="inlineStr">
        <is>
          <t>Hook Phase</t>
        </is>
      </c>
      <c r="G41" s="26" t="n"/>
      <c r="H41" s="5" t="inlineStr">
        <is>
          <t>I (Wiggle)</t>
        </is>
      </c>
      <c r="I41" s="5" t="inlineStr">
        <is>
          <t>II (Sacrifice)</t>
        </is>
      </c>
    </row>
    <row r="42">
      <c r="A42" s="5" t="inlineStr">
        <is>
          <t>Check current state</t>
        </is>
      </c>
      <c r="B42" s="26" t="n"/>
      <c r="C42" s="8" t="inlineStr">
        <is>
          <t>☐</t>
        </is>
      </c>
      <c r="D42" s="8" t="inlineStr">
        <is>
          <t>☐</t>
        </is>
      </c>
      <c r="E42" s="8" t="inlineStr">
        <is>
          <t>☐</t>
        </is>
      </c>
      <c r="F42" s="5" t="inlineStr">
        <is>
          <t>Check</t>
        </is>
      </c>
      <c r="G42" s="26" t="n"/>
      <c r="H42" s="8" t="inlineStr">
        <is>
          <t>☐</t>
        </is>
      </c>
      <c r="I42" s="8" t="inlineStr">
        <is>
          <t>☐</t>
        </is>
      </c>
    </row>
    <row r="43">
      <c r="A43" s="12" t="inlineStr">
        <is>
          <t>Current Status Effect</t>
        </is>
      </c>
      <c r="B43" s="26" t="n"/>
      <c r="C43" s="6" t="n"/>
      <c r="D43" s="25" t="n"/>
      <c r="E43" s="25" t="n"/>
      <c r="F43" s="25" t="n"/>
      <c r="G43" s="25" t="n"/>
      <c r="H43" s="25" t="n"/>
      <c r="I43" s="26" t="n"/>
    </row>
    <row r="44" ht="40" customHeight="1">
      <c r="A44" s="12" t="inlineStr">
        <is>
          <t>Notes</t>
        </is>
      </c>
      <c r="B44" s="26" t="n"/>
      <c r="C44" s="18" t="n"/>
      <c r="D44" s="25" t="n"/>
      <c r="E44" s="25" t="n"/>
      <c r="F44" s="25" t="n"/>
      <c r="G44" s="25" t="n"/>
      <c r="H44" s="25" t="n"/>
      <c r="I44" s="26" t="n"/>
    </row>
  </sheetData>
  <mergeCells count="82">
    <mergeCell ref="C36:I36"/>
    <mergeCell ref="A7:I7"/>
    <mergeCell ref="D20:E20"/>
    <mergeCell ref="A37:C37"/>
    <mergeCell ref="E5:I5"/>
    <mergeCell ref="A21:C21"/>
    <mergeCell ref="D22:E22"/>
    <mergeCell ref="B28:D28"/>
    <mergeCell ref="A41:B41"/>
    <mergeCell ref="F16:I16"/>
    <mergeCell ref="A35:I35"/>
    <mergeCell ref="A33:B33"/>
    <mergeCell ref="A42:B42"/>
    <mergeCell ref="A39:I39"/>
    <mergeCell ref="E26:I26"/>
    <mergeCell ref="A30:I30"/>
    <mergeCell ref="C31:I31"/>
    <mergeCell ref="A6:C6"/>
    <mergeCell ref="E25:I25"/>
    <mergeCell ref="A2:C5"/>
    <mergeCell ref="D6:I6"/>
    <mergeCell ref="A9:B9"/>
    <mergeCell ref="E3:F3"/>
    <mergeCell ref="F13:I13"/>
    <mergeCell ref="D19:E19"/>
    <mergeCell ref="A11:B11"/>
    <mergeCell ref="E4:F4"/>
    <mergeCell ref="E28:I28"/>
    <mergeCell ref="C34:I34"/>
    <mergeCell ref="F42:G42"/>
    <mergeCell ref="F19:I19"/>
    <mergeCell ref="F20:I20"/>
    <mergeCell ref="A8:B8"/>
    <mergeCell ref="H3:I3"/>
    <mergeCell ref="C44:I44"/>
    <mergeCell ref="F17:I17"/>
    <mergeCell ref="A10:B10"/>
    <mergeCell ref="A1:I1"/>
    <mergeCell ref="A16:C16"/>
    <mergeCell ref="A34:B34"/>
    <mergeCell ref="F9:I9"/>
    <mergeCell ref="A18:C18"/>
    <mergeCell ref="A36:B36"/>
    <mergeCell ref="C32:I32"/>
    <mergeCell ref="A14:I14"/>
    <mergeCell ref="A22:C22"/>
    <mergeCell ref="A23:I23"/>
    <mergeCell ref="C33:I33"/>
    <mergeCell ref="D17:E17"/>
    <mergeCell ref="F10:I10"/>
    <mergeCell ref="A20:C20"/>
    <mergeCell ref="A38:I38"/>
    <mergeCell ref="A12:B12"/>
    <mergeCell ref="E2:I2"/>
    <mergeCell ref="A32:B32"/>
    <mergeCell ref="A40:I40"/>
    <mergeCell ref="B25:D25"/>
    <mergeCell ref="A24:I24"/>
    <mergeCell ref="F18:I18"/>
    <mergeCell ref="A43:B43"/>
    <mergeCell ref="F8:I8"/>
    <mergeCell ref="F22:I22"/>
    <mergeCell ref="H4:I4"/>
    <mergeCell ref="D21:E21"/>
    <mergeCell ref="D37:I37"/>
    <mergeCell ref="F11:I11"/>
    <mergeCell ref="A17:C17"/>
    <mergeCell ref="F41:G41"/>
    <mergeCell ref="A29:I29"/>
    <mergeCell ref="D16:E16"/>
    <mergeCell ref="A19:C19"/>
    <mergeCell ref="F12:I12"/>
    <mergeCell ref="B26:D26"/>
    <mergeCell ref="F21:I21"/>
    <mergeCell ref="E27:I27"/>
    <mergeCell ref="D18:E18"/>
    <mergeCell ref="A15:I15"/>
    <mergeCell ref="C43:I43"/>
    <mergeCell ref="B27:D27"/>
    <mergeCell ref="A13:B13"/>
    <mergeCell ref="A44:B44"/>
    <mergeCell ref="A31:B31"/>
  </mergeCells>
  <dataValidations count="2">
    <dataValidation sqref="E3:F3" showDropDown="0" showInputMessage="0" showErrorMessage="0" allowBlank="1" type="list">
      <formula1>"營火同伴,回聲同伴,低語者,殘影,觀察者,特殊存在"</formula1>
    </dataValidation>
    <dataValidation sqref="C9:C13" showDropDown="0" showInputMessage="0" showErrorMessage="0" allowBlank="1" type="list">
      <formula1>"極高,高,中,低,極低,不適用"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9" t="inlineStr">
        <is>
          <t>Dead by Daylight TRPG　Non-Player Character (NPC) Card　·　Simple Type (Insubstantial / Narrative)</t>
        </is>
      </c>
      <c r="B1" s="21" t="n"/>
      <c r="C1" s="21" t="n"/>
      <c r="D1" s="21" t="n"/>
      <c r="E1" s="21" t="n"/>
      <c r="F1" s="21" t="n"/>
      <c r="G1" s="21" t="n"/>
      <c r="H1" s="21" t="n"/>
      <c r="I1" s="22" t="n"/>
    </row>
    <row r="2">
      <c r="A2" s="3" t="inlineStr">
        <is>
          <t>Character Art
(Paste character image here)</t>
        </is>
      </c>
      <c r="B2" s="23" t="n"/>
      <c r="C2" s="24" t="n"/>
      <c r="D2" s="5" t="inlineStr">
        <is>
          <t>Name</t>
        </is>
      </c>
      <c r="E2" s="6" t="n"/>
      <c r="F2" s="25" t="n"/>
      <c r="G2" s="25" t="n"/>
      <c r="H2" s="25" t="n"/>
      <c r="I2" s="26" t="n"/>
    </row>
    <row r="3">
      <c r="A3" s="27" t="n"/>
      <c r="C3" s="28" t="n"/>
      <c r="D3" s="5" t="inlineStr">
        <is>
          <t>NPC Type</t>
        </is>
      </c>
      <c r="E3" s="8" t="n"/>
      <c r="F3" s="26" t="n"/>
      <c r="G3" s="5" t="inlineStr">
        <is>
          <t>First Appearance</t>
        </is>
      </c>
      <c r="H3" s="8" t="n"/>
      <c r="I3" s="26" t="n"/>
    </row>
    <row r="4">
      <c r="A4" s="27" t="n"/>
      <c r="C4" s="28" t="n"/>
      <c r="D4" s="5" t="inlineStr">
        <is>
          <t>Affiliated Realm / Location</t>
        </is>
      </c>
      <c r="E4" s="6" t="n"/>
      <c r="F4" s="25" t="n"/>
      <c r="G4" s="25" t="n"/>
      <c r="H4" s="25" t="n"/>
      <c r="I4" s="26" t="n"/>
    </row>
    <row r="5">
      <c r="A5" s="29" t="n"/>
      <c r="B5" s="30" t="n"/>
      <c r="C5" s="31" t="n"/>
      <c r="D5" s="5" t="inlineStr">
        <is>
          <t>Role</t>
        </is>
      </c>
      <c r="E5" s="6" t="n"/>
      <c r="F5" s="25" t="n"/>
      <c r="G5" s="25" t="n"/>
      <c r="H5" s="25" t="n"/>
      <c r="I5" s="26" t="n"/>
    </row>
    <row r="6" ht="36" customHeight="1">
      <c r="A6" s="12" t="inlineStr">
        <is>
          <t>Form / Appearance</t>
        </is>
      </c>
      <c r="B6" s="25" t="n"/>
      <c r="C6" s="26" t="n"/>
      <c r="D6" s="18" t="n"/>
      <c r="E6" s="25" t="n"/>
      <c r="F6" s="25" t="n"/>
      <c r="G6" s="25" t="n"/>
      <c r="H6" s="25" t="n"/>
      <c r="I6" s="26" t="n"/>
    </row>
    <row r="7" ht="20" customHeight="1">
      <c r="A7" s="10" t="inlineStr">
        <is>
          <t>I. Interaction Rules</t>
        </is>
      </c>
      <c r="B7" s="25" t="n"/>
      <c r="C7" s="25" t="n"/>
      <c r="D7" s="25" t="n"/>
      <c r="E7" s="25" t="n"/>
      <c r="F7" s="25" t="n"/>
      <c r="G7" s="25" t="n"/>
      <c r="H7" s="25" t="n"/>
      <c r="I7" s="26" t="n"/>
    </row>
    <row r="8" ht="30" customHeight="1">
      <c r="A8" s="12" t="inlineStr">
        <is>
          <t>Motivation</t>
        </is>
      </c>
      <c r="B8" s="26" t="n"/>
      <c r="C8" s="18" t="n"/>
      <c r="D8" s="25" t="n"/>
      <c r="E8" s="25" t="n"/>
      <c r="F8" s="25" t="n"/>
      <c r="G8" s="25" t="n"/>
      <c r="H8" s="25" t="n"/>
      <c r="I8" s="26" t="n"/>
    </row>
    <row r="9" ht="44" customHeight="1">
      <c r="A9" s="12" t="inlineStr">
        <is>
          <t>Trade / Interaction Price</t>
        </is>
      </c>
      <c r="B9" s="26" t="n"/>
      <c r="C9" s="18" t="n"/>
      <c r="D9" s="25" t="n"/>
      <c r="E9" s="25" t="n"/>
      <c r="F9" s="25" t="n"/>
      <c r="G9" s="25" t="n"/>
      <c r="H9" s="25" t="n"/>
      <c r="I9" s="26" t="n"/>
    </row>
    <row r="10" ht="40" customHeight="1">
      <c r="A10" s="12" t="inlineStr">
        <is>
          <t>Restrictions &amp; Prohibitions</t>
        </is>
      </c>
      <c r="B10" s="26" t="n"/>
      <c r="C10" s="18" t="n"/>
      <c r="D10" s="25" t="n"/>
      <c r="E10" s="25" t="n"/>
      <c r="F10" s="25" t="n"/>
      <c r="G10" s="25" t="n"/>
      <c r="H10" s="25" t="n"/>
      <c r="I10" s="26" t="n"/>
    </row>
    <row r="11" ht="20" customHeight="1">
      <c r="A11" s="10" t="inlineStr">
        <is>
          <t>II. Data (if substantial)</t>
        </is>
      </c>
      <c r="B11" s="25" t="n"/>
      <c r="C11" s="25" t="n"/>
      <c r="D11" s="25" t="n"/>
      <c r="E11" s="25" t="n"/>
      <c r="F11" s="25" t="n"/>
      <c r="G11" s="25" t="n"/>
      <c r="H11" s="25" t="n"/>
      <c r="I11" s="26" t="n"/>
    </row>
    <row r="12">
      <c r="A12" s="12" t="inlineStr">
        <is>
          <t>Will (WIL)</t>
        </is>
      </c>
      <c r="B12" s="26" t="n"/>
      <c r="C12" s="8" t="n"/>
      <c r="D12" s="5" t="inlineStr">
        <is>
          <t>Attribute Bonus (AB)</t>
        </is>
      </c>
      <c r="E12" s="14">
        <f>IF(C12="","—",INT(C12/2))</f>
        <v/>
      </c>
      <c r="F12" s="5" t="inlineStr">
        <is>
          <t>Interfere / Dispel Difficulty Class (DC)</t>
        </is>
      </c>
      <c r="G12" s="26" t="n"/>
      <c r="H12" s="14">
        <f>IF(C12="","—",10+INT(C12/2))</f>
        <v/>
      </c>
      <c r="I12" s="26" t="n"/>
    </row>
    <row r="13">
      <c r="A13" s="15" t="inlineStr">
        <is>
          <t>Insubstantial Whisperer (Whisperer) cannot be attacked, cannot be dispelled, and does not take Encounter Budget (EB). A Haunt with substance should instead be built with a Realm Creature card.</t>
        </is>
      </c>
      <c r="B13" s="25" t="n"/>
      <c r="C13" s="25" t="n"/>
      <c r="D13" s="25" t="n"/>
      <c r="E13" s="25" t="n"/>
      <c r="F13" s="25" t="n"/>
      <c r="G13" s="25" t="n"/>
      <c r="H13" s="25" t="n"/>
      <c r="I13" s="26" t="n"/>
    </row>
    <row r="14" ht="20" customHeight="1">
      <c r="A14" s="10" t="inlineStr">
        <is>
          <t>III. Narrative Data</t>
        </is>
      </c>
      <c r="B14" s="25" t="n"/>
      <c r="C14" s="25" t="n"/>
      <c r="D14" s="25" t="n"/>
      <c r="E14" s="25" t="n"/>
      <c r="F14" s="25" t="n"/>
      <c r="G14" s="25" t="n"/>
      <c r="H14" s="25" t="n"/>
      <c r="I14" s="26" t="n"/>
    </row>
    <row r="15" ht="46" customHeight="1">
      <c r="A15" s="12" t="inlineStr">
        <is>
          <t>Background</t>
        </is>
      </c>
      <c r="B15" s="26" t="n"/>
      <c r="C15" s="18" t="n"/>
      <c r="D15" s="25" t="n"/>
      <c r="E15" s="25" t="n"/>
      <c r="F15" s="25" t="n"/>
      <c r="G15" s="25" t="n"/>
      <c r="H15" s="25" t="n"/>
      <c r="I15" s="26" t="n"/>
    </row>
    <row r="16" ht="40" customHeight="1">
      <c r="A16" s="12" t="inlineStr">
        <is>
          <t>Role in Main Plot</t>
        </is>
      </c>
      <c r="B16" s="26" t="n"/>
      <c r="C16" s="18" t="n"/>
      <c r="D16" s="25" t="n"/>
      <c r="E16" s="25" t="n"/>
      <c r="F16" s="25" t="n"/>
      <c r="G16" s="25" t="n"/>
      <c r="H16" s="25" t="n"/>
      <c r="I16" s="26" t="n"/>
    </row>
    <row r="17" ht="34" customHeight="1">
      <c r="A17" s="12" t="inlineStr">
        <is>
          <t>Signature Line</t>
        </is>
      </c>
      <c r="B17" s="26" t="n"/>
      <c r="C17" s="18" t="n"/>
      <c r="D17" s="25" t="n"/>
      <c r="E17" s="25" t="n"/>
      <c r="F17" s="25" t="n"/>
      <c r="G17" s="25" t="n"/>
      <c r="H17" s="25" t="n"/>
      <c r="I17" s="26" t="n"/>
    </row>
    <row r="18" ht="44" customHeight="1">
      <c r="A18" s="12" t="inlineStr">
        <is>
          <t>Special Rule</t>
        </is>
      </c>
      <c r="B18" s="26" t="n"/>
      <c r="C18" s="18" t="n"/>
      <c r="D18" s="25" t="n"/>
      <c r="E18" s="25" t="n"/>
      <c r="F18" s="25" t="n"/>
      <c r="G18" s="25" t="n"/>
      <c r="H18" s="25" t="n"/>
      <c r="I18" s="26" t="n"/>
    </row>
    <row r="19" ht="20" customHeight="1">
      <c r="A19" s="10" t="inlineStr">
        <is>
          <t>IV. GM Running Notes</t>
        </is>
      </c>
      <c r="B19" s="25" t="n"/>
      <c r="C19" s="25" t="n"/>
      <c r="D19" s="25" t="n"/>
      <c r="E19" s="25" t="n"/>
      <c r="F19" s="25" t="n"/>
      <c r="G19" s="25" t="n"/>
      <c r="H19" s="25" t="n"/>
      <c r="I19" s="26" t="n"/>
    </row>
    <row r="20" ht="52" customHeight="1">
      <c r="A20" s="18" t="n"/>
      <c r="B20" s="25" t="n"/>
      <c r="C20" s="25" t="n"/>
      <c r="D20" s="25" t="n"/>
      <c r="E20" s="25" t="n"/>
      <c r="F20" s="25" t="n"/>
      <c r="G20" s="25" t="n"/>
      <c r="H20" s="25" t="n"/>
      <c r="I20" s="26" t="n"/>
    </row>
  </sheetData>
  <mergeCells count="32">
    <mergeCell ref="A7:I7"/>
    <mergeCell ref="A15:B15"/>
    <mergeCell ref="C17:I17"/>
    <mergeCell ref="C8:I8"/>
    <mergeCell ref="E5:I5"/>
    <mergeCell ref="A2:C5"/>
    <mergeCell ref="F12:G12"/>
    <mergeCell ref="A16:B16"/>
    <mergeCell ref="E4:I4"/>
    <mergeCell ref="C18:I18"/>
    <mergeCell ref="A14:I14"/>
    <mergeCell ref="C15:I15"/>
    <mergeCell ref="A18:B18"/>
    <mergeCell ref="A20:I20"/>
    <mergeCell ref="A12:B12"/>
    <mergeCell ref="A19:I19"/>
    <mergeCell ref="A13:I13"/>
    <mergeCell ref="E2:I2"/>
    <mergeCell ref="C10:I10"/>
    <mergeCell ref="C16:I16"/>
    <mergeCell ref="A17:B17"/>
    <mergeCell ref="A8:B8"/>
    <mergeCell ref="H3:I3"/>
    <mergeCell ref="H12:I12"/>
    <mergeCell ref="C9:I9"/>
    <mergeCell ref="A11:I11"/>
    <mergeCell ref="A6:C6"/>
    <mergeCell ref="A10:B10"/>
    <mergeCell ref="A1:I1"/>
    <mergeCell ref="D6:I6"/>
    <mergeCell ref="A9:B9"/>
    <mergeCell ref="E3:F3"/>
  </mergeCells>
  <dataValidations count="1">
    <dataValidation sqref="E3:F3" showDropDown="0" showInputMessage="0" showErrorMessage="0" allowBlank="1" type="list">
      <formula1>"營火同伴,回聲同伴,低語者,殘影,觀察者,特殊存在"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2026-08-01T19:32:04Z</dcterms:created>
  <dcterms:modified xsi:type="dcterms:W3CDTF">2026-08-07T16:01:31Z</dcterms:modified>
</cp:coreProperties>
</file>