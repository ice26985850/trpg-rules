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範例1 Fan Xiupu" sheetId="1" state="visible" r:id="rId1"/>
    <sheet name="範例2 Huo Zhenshan" sheetId="2" state="visible" r:id="rId2"/>
    <sheet name="範例3 Wu Xiaotang" sheetId="3" state="visible" r:id="rId3"/>
    <sheet name="範例4 Mo Qinghe" sheetId="4" state="visible" r:id="rId4"/>
    <sheet name="範例5 Qi Weian" sheetId="5" state="visible" r:id="rId5"/>
    <sheet name="範例6 Cen Ye" sheetId="6" state="visible" r:id="rId6"/>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Microsoft JhengHei"/>
      <b val="1"/>
      <color rgb="00FFFFFF"/>
      <sz val="16"/>
    </font>
    <font>
      <name val="Microsoft JhengHei"/>
      <b val="1"/>
      <color rgb="007C8A96"/>
      <sz val="10"/>
    </font>
    <font>
      <name val="Microsoft JhengHei"/>
      <b val="1"/>
      <color rgb="002E3A46"/>
      <sz val="10"/>
    </font>
    <font>
      <name val="Microsoft JhengHei"/>
      <color rgb="002E3A46"/>
      <sz val="10"/>
    </font>
    <font>
      <name val="Microsoft JhengHei"/>
      <b val="1"/>
      <color rgb="008A5A00"/>
      <sz val="10"/>
    </font>
    <font>
      <name val="Microsoft JhengHei"/>
      <i val="1"/>
      <color rgb="006B7885"/>
      <sz val="9"/>
    </font>
    <font>
      <name val="Microsoft JhengHei"/>
      <b val="1"/>
      <color rgb="00FFFFFF"/>
      <sz val="11"/>
    </font>
  </fonts>
  <fills count="9">
    <fill>
      <patternFill/>
    </fill>
    <fill>
      <patternFill patternType="gray125"/>
    </fill>
    <fill>
      <patternFill patternType="solid">
        <fgColor rgb="002E3A46"/>
      </patternFill>
    </fill>
    <fill>
      <patternFill patternType="solid">
        <fgColor rgb="00F0F2F4"/>
      </patternFill>
    </fill>
    <fill>
      <patternFill patternType="solid">
        <fgColor rgb="00E8ECEF"/>
      </patternFill>
    </fill>
    <fill>
      <patternFill patternType="solid">
        <fgColor rgb="00FFFFFF"/>
      </patternFill>
    </fill>
    <fill>
      <patternFill patternType="solid">
        <fgColor rgb="00FFF6E0"/>
      </patternFill>
    </fill>
    <fill>
      <patternFill patternType="solid">
        <fgColor rgb="00F5F7F8"/>
      </patternFill>
    </fill>
    <fill>
      <patternFill patternType="solid">
        <fgColor rgb="005A6B7C"/>
      </patternFill>
    </fill>
  </fills>
  <borders count="21">
    <border>
      <left/>
      <right/>
      <top/>
      <bottom/>
      <diagonal/>
    </border>
    <border>
      <left style="medium">
        <color rgb="007C8A96"/>
      </left>
      <right style="medium">
        <color rgb="007C8A96"/>
      </right>
      <top style="medium">
        <color rgb="007C8A96"/>
      </top>
      <bottom style="medium">
        <color rgb="007C8A96"/>
      </bottom>
    </border>
    <border>
      <left style="thin">
        <color rgb="00B7C0C8"/>
      </left>
      <right style="thin">
        <color rgb="00B7C0C8"/>
      </right>
      <top style="thin">
        <color rgb="00B7C0C8"/>
      </top>
      <bottom style="thin">
        <color rgb="00B7C0C8"/>
      </bottom>
    </border>
    <border>
      <left/>
      <right/>
      <top style="thin">
        <color rgb="00B7C0C8"/>
      </top>
      <bottom/>
      <diagonal/>
    </border>
    <border>
      <left/>
      <right style="thin">
        <color rgb="00B7C0C8"/>
      </right>
      <top style="thin">
        <color rgb="00B7C0C8"/>
      </top>
      <bottom/>
      <diagonal/>
    </border>
    <border>
      <left/>
      <right/>
      <top style="thin">
        <color rgb="00B7C0C8"/>
      </top>
      <bottom style="thin">
        <color rgb="00B7C0C8"/>
      </bottom>
      <diagonal/>
    </border>
    <border>
      <left/>
      <right style="thin">
        <color rgb="00B7C0C8"/>
      </right>
      <top style="thin">
        <color rgb="00B7C0C8"/>
      </top>
      <bottom style="thin">
        <color rgb="00B7C0C8"/>
      </bottom>
      <diagonal/>
    </border>
    <border>
      <left style="thin">
        <color rgb="00B7C0C8"/>
      </left>
      <right/>
      <top/>
      <bottom/>
      <diagonal/>
    </border>
    <border>
      <left/>
      <right style="thin">
        <color rgb="00B7C0C8"/>
      </right>
      <top/>
      <bottom/>
      <diagonal/>
    </border>
    <border>
      <left style="thin">
        <color rgb="00B7C0C8"/>
      </left>
      <right/>
      <top/>
      <bottom style="thin">
        <color rgb="00B7C0C8"/>
      </bottom>
      <diagonal/>
    </border>
    <border>
      <left/>
      <right/>
      <top/>
      <bottom style="thin">
        <color rgb="00B7C0C8"/>
      </bottom>
      <diagonal/>
    </border>
    <border>
      <left/>
      <right style="thin">
        <color rgb="00B7C0C8"/>
      </right>
      <top/>
      <bottom style="thin">
        <color rgb="00B7C0C8"/>
      </bottom>
      <diagonal/>
    </border>
    <border>
      <left/>
      <right/>
      <top style="medium">
        <color rgb="007C8A96"/>
      </top>
      <bottom/>
      <diagonal/>
    </border>
    <border>
      <left style="medium">
        <color rgb="007C8A96"/>
      </left>
      <right/>
      <top/>
      <bottom/>
      <diagonal/>
    </border>
    <border>
      <left/>
      <right style="medium">
        <color rgb="007C8A96"/>
      </right>
      <top style="medium">
        <color rgb="007C8A96"/>
      </top>
      <bottom/>
      <diagonal/>
    </border>
    <border>
      <left/>
      <right style="medium">
        <color rgb="007C8A96"/>
      </right>
      <top/>
      <bottom/>
      <diagonal/>
    </border>
    <border>
      <left style="medium">
        <color rgb="007C8A96"/>
      </left>
      <right/>
      <top/>
      <bottom style="medium">
        <color rgb="007C8A96"/>
      </bottom>
      <diagonal/>
    </border>
    <border>
      <left/>
      <right/>
      <top/>
      <bottom style="medium">
        <color rgb="007C8A96"/>
      </bottom>
      <diagonal/>
    </border>
    <border>
      <left/>
      <right style="medium">
        <color rgb="007C8A96"/>
      </right>
      <top/>
      <bottom style="medium">
        <color rgb="007C8A96"/>
      </bottom>
      <diagonal/>
    </border>
    <border>
      <left/>
      <right/>
      <top style="medium">
        <color rgb="007C8A96"/>
      </top>
      <bottom style="medium">
        <color rgb="007C8A96"/>
      </bottom>
      <diagonal/>
    </border>
    <border>
      <left/>
      <right style="medium">
        <color rgb="007C8A96"/>
      </right>
      <top style="medium">
        <color rgb="007C8A96"/>
      </top>
      <bottom style="medium">
        <color rgb="007C8A96"/>
      </bottom>
      <diagonal/>
    </border>
  </borders>
  <cellStyleXfs count="1">
    <xf numFmtId="0" fontId="0" fillId="0" borderId="0"/>
  </cellStyleXfs>
  <cellXfs count="38">
    <xf numFmtId="0" fontId="0" fillId="0" borderId="0" pivotButton="0" quotePrefix="0" xfId="0"/>
    <xf numFmtId="0" fontId="1" fillId="2" borderId="1" applyAlignment="1" pivotButton="0" quotePrefix="0" xfId="0">
      <alignment horizontal="center" vertical="center" wrapText="1"/>
    </xf>
    <xf numFmtId="0" fontId="0" fillId="2" borderId="1" pivotButton="0" quotePrefix="0" xfId="0"/>
    <xf numFmtId="0" fontId="2" fillId="3" borderId="1" applyAlignment="1" pivotButton="0" quotePrefix="0" xfId="0">
      <alignment horizontal="center" vertical="center" wrapText="1"/>
    </xf>
    <xf numFmtId="0" fontId="0" fillId="3" borderId="1" pivotButton="0" quotePrefix="0" xfId="0"/>
    <xf numFmtId="0" fontId="3" fillId="4" borderId="2" applyAlignment="1" pivotButton="0" quotePrefix="0" xfId="0">
      <alignment horizontal="center" vertical="center" wrapText="1"/>
    </xf>
    <xf numFmtId="0" fontId="4" fillId="5" borderId="2" applyAlignment="1" pivotButton="0" quotePrefix="0" xfId="0">
      <alignment horizontal="center" vertical="center" wrapText="1"/>
    </xf>
    <xf numFmtId="0" fontId="0" fillId="5" borderId="2" pivotButton="0" quotePrefix="0" xfId="0"/>
    <xf numFmtId="0" fontId="5" fillId="6" borderId="2" applyAlignment="1" pivotButton="0" quotePrefix="0" xfId="0">
      <alignment horizontal="center" vertical="center" wrapText="1"/>
    </xf>
    <xf numFmtId="3" fontId="5" fillId="6" borderId="2" applyAlignment="1" pivotButton="0" quotePrefix="0" xfId="0">
      <alignment horizontal="center" vertical="center" wrapText="1"/>
    </xf>
    <xf numFmtId="0" fontId="0" fillId="6" borderId="2" pivotButton="0" quotePrefix="0" xfId="0"/>
    <xf numFmtId="0" fontId="6" fillId="7" borderId="2" applyAlignment="1" pivotButton="0" quotePrefix="0" xfId="0">
      <alignment horizontal="left" vertical="center" wrapText="1"/>
    </xf>
    <xf numFmtId="0" fontId="0" fillId="7" borderId="2" pivotButton="0" quotePrefix="0" xfId="0"/>
    <xf numFmtId="0" fontId="7" fillId="8" borderId="2" applyAlignment="1" pivotButton="0" quotePrefix="0" xfId="0">
      <alignment horizontal="left" vertical="center" wrapText="1"/>
    </xf>
    <xf numFmtId="0" fontId="0" fillId="8" borderId="2" pivotButton="0" quotePrefix="0" xfId="0"/>
    <xf numFmtId="0" fontId="0" fillId="4" borderId="2" pivotButton="0" quotePrefix="0" xfId="0"/>
    <xf numFmtId="0" fontId="3" fillId="5" borderId="2" applyAlignment="1" pivotButton="0" quotePrefix="0" xfId="0">
      <alignment horizontal="center" vertical="center" wrapText="1"/>
    </xf>
    <xf numFmtId="0" fontId="4" fillId="5" borderId="2" applyAlignment="1" pivotButton="0" quotePrefix="0" xfId="0">
      <alignment horizontal="left" vertical="center" wrapText="1"/>
    </xf>
    <xf numFmtId="0" fontId="4" fillId="0" borderId="2" applyAlignment="1" pivotButton="0" quotePrefix="0" xfId="0">
      <alignment horizontal="left" vertical="top" wrapText="1"/>
    </xf>
    <xf numFmtId="0" fontId="0" fillId="0" borderId="2" pivotButton="0" quotePrefix="0" xfId="0"/>
    <xf numFmtId="0" fontId="0" fillId="0" borderId="19" pivotButton="0" quotePrefix="0" xfId="0"/>
    <xf numFmtId="0" fontId="0" fillId="0" borderId="20" pivotButton="0" quotePrefix="0" xfId="0"/>
    <xf numFmtId="0" fontId="0" fillId="0" borderId="12" pivotButton="0" quotePrefix="0" xfId="0"/>
    <xf numFmtId="0" fontId="0" fillId="0" borderId="14" pivotButton="0" quotePrefix="0" xfId="0"/>
    <xf numFmtId="0" fontId="0" fillId="0" borderId="5" pivotButton="0" quotePrefix="0" xfId="0"/>
    <xf numFmtId="0" fontId="0" fillId="0" borderId="6" pivotButton="0" quotePrefix="0" xfId="0"/>
    <xf numFmtId="0" fontId="0" fillId="0" borderId="13" pivotButton="0" quotePrefix="0" xfId="0"/>
    <xf numFmtId="0" fontId="0" fillId="0" borderId="15" pivotButton="0" quotePrefix="0" xfId="0"/>
    <xf numFmtId="0" fontId="0" fillId="0" borderId="16" pivotButton="0" quotePrefix="0" xfId="0"/>
    <xf numFmtId="0" fontId="0" fillId="0" borderId="17" pivotButton="0" quotePrefix="0" xfId="0"/>
    <xf numFmtId="0" fontId="0" fillId="0" borderId="18" pivotButton="0" quotePrefix="0" xfId="0"/>
    <xf numFmtId="0" fontId="0" fillId="0" borderId="3" pivotButton="0" quotePrefix="0" xfId="0"/>
    <xf numFmtId="0" fontId="0" fillId="0" borderId="4"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L66"/>
  <sheetViews>
    <sheetView showGridLines="0" workbookViewId="0">
      <selection activeCell="A1" sqref="A1"/>
    </sheetView>
  </sheetViews>
  <sheetFormatPr baseColWidth="8" defaultRowHeight="15"/>
  <cols>
    <col width="13" customWidth="1" min="1" max="1"/>
    <col width="7" customWidth="1" min="2" max="2"/>
    <col width="8" customWidth="1" min="3" max="3"/>
    <col width="9" customWidth="1" min="4" max="4"/>
    <col width="9" customWidth="1" min="5" max="5"/>
    <col width="10" customWidth="1" min="6" max="6"/>
    <col width="9" customWidth="1" min="7" max="7"/>
    <col width="12" customWidth="1" min="8" max="8"/>
    <col width="11" customWidth="1" min="9" max="9"/>
    <col width="11" customWidth="1" min="10" max="10"/>
    <col width="11" customWidth="1" min="11" max="11"/>
    <col width="16" customWidth="1" min="12" max="12"/>
  </cols>
  <sheetData>
    <row r="1" ht="28" customHeight="1">
      <c r="A1" s="1" t="inlineStr">
        <is>
          <t>Dead by Daylight TRPG　Survivor Character Sheet</t>
        </is>
      </c>
      <c r="B1" s="20" t="n"/>
      <c r="C1" s="20" t="n"/>
      <c r="D1" s="20" t="n"/>
      <c r="E1" s="20" t="n"/>
      <c r="F1" s="20" t="n"/>
      <c r="G1" s="20" t="n"/>
      <c r="H1" s="20" t="n"/>
      <c r="I1" s="20" t="n"/>
      <c r="J1" s="20" t="n"/>
      <c r="K1" s="20" t="n"/>
      <c r="L1" s="21" t="n"/>
    </row>
    <row r="2">
      <c r="A2" s="3" t="inlineStr">
        <is>
          <t>Character Art
(Paste character image here)</t>
        </is>
      </c>
      <c r="B2" s="22" t="n"/>
      <c r="C2" s="23" t="n"/>
      <c r="D2" s="5" t="inlineStr">
        <is>
          <t>Character Name</t>
        </is>
      </c>
      <c r="E2" s="6" t="inlineStr">
        <is>
          <t>Fan Xiupu</t>
        </is>
      </c>
      <c r="F2" s="24" t="n"/>
      <c r="G2" s="25" t="n"/>
      <c r="H2" s="5" t="inlineStr">
        <is>
          <t>Player</t>
        </is>
      </c>
      <c r="I2" s="6" t="inlineStr">
        <is>
          <t>Example</t>
        </is>
      </c>
      <c r="J2" s="24" t="n"/>
      <c r="K2" s="24" t="n"/>
      <c r="L2" s="25" t="n"/>
    </row>
    <row r="3">
      <c r="A3" s="26" t="n"/>
      <c r="C3" s="27" t="n"/>
      <c r="D3" s="5" t="inlineStr">
        <is>
          <t>Archetype</t>
        </is>
      </c>
      <c r="E3" s="6" t="inlineStr">
        <is>
          <t>Artificer (ART)</t>
        </is>
      </c>
      <c r="F3" s="24" t="n"/>
      <c r="G3" s="25" t="n"/>
      <c r="H3" s="5" t="inlineStr">
        <is>
          <t>Survival Specialization</t>
        </is>
      </c>
      <c r="I3" s="6" t="inlineStr">
        <is>
          <t>Mechanic (REP)</t>
        </is>
      </c>
      <c r="J3" s="24" t="n"/>
      <c r="K3" s="24" t="n"/>
      <c r="L3" s="25" t="n"/>
    </row>
    <row r="4">
      <c r="A4" s="26" t="n"/>
      <c r="C4" s="27" t="n"/>
      <c r="D4" s="5" t="inlineStr">
        <is>
          <t>Prestige (PRS)</t>
        </is>
      </c>
      <c r="E4" s="6" t="n">
        <v>1</v>
      </c>
      <c r="F4" s="5" t="inlineStr">
        <is>
          <t>Player Count (N)</t>
        </is>
      </c>
      <c r="G4" s="6" t="n">
        <v>1</v>
      </c>
      <c r="H4" s="5" t="inlineStr">
        <is>
          <t>Current Bloodpoint (BP)</t>
        </is>
      </c>
      <c r="I4" s="6" t="n">
        <v>0</v>
      </c>
      <c r="J4" s="24" t="n"/>
      <c r="K4" s="24" t="n"/>
      <c r="L4" s="25" t="n"/>
    </row>
    <row r="5">
      <c r="A5" s="26" t="n"/>
      <c r="C5" s="27" t="n"/>
      <c r="D5" s="5" t="inlineStr">
        <is>
          <t>Attribute Point (ATP)</t>
        </is>
      </c>
      <c r="E5" s="8">
        <f>15+INT($E$4/2)</f>
        <v/>
      </c>
      <c r="F5" s="5" t="inlineStr">
        <is>
          <t>Skill Point (SKP)</t>
        </is>
      </c>
      <c r="G5" s="8">
        <f>2+$E$4</f>
        <v/>
      </c>
      <c r="H5" s="5" t="inlineStr">
        <is>
          <t>Bloodpoint Cap (BP_max)</t>
        </is>
      </c>
      <c r="I5" s="9">
        <f>20000+2000*($E$4-1)+200*($E$4-1)^2</f>
        <v/>
      </c>
      <c r="J5" s="24" t="n"/>
      <c r="K5" s="24" t="n"/>
      <c r="L5" s="25" t="n"/>
    </row>
    <row r="6">
      <c r="A6" s="28" t="n"/>
      <c r="B6" s="29" t="n"/>
      <c r="C6" s="30" t="n"/>
      <c r="D6" s="5" t="inlineStr">
        <is>
          <t>Perk Slot Count (PERK)</t>
        </is>
      </c>
      <c r="E6" s="8">
        <f>1+($E$4&gt;=5)+($E$4&gt;=10)+($E$4&gt;=15)</f>
        <v/>
      </c>
      <c r="F6" s="5" t="inlineStr">
        <is>
          <t>Hope Point Cap</t>
        </is>
      </c>
      <c r="G6" s="8">
        <f>2+INT($E$4/5)</f>
        <v/>
      </c>
      <c r="H6" s="5" t="inlineStr">
        <is>
          <t>Current Hope Point (HOP)</t>
        </is>
      </c>
      <c r="I6" s="6" t="n">
        <v>2</v>
      </c>
      <c r="J6" s="24" t="n"/>
      <c r="K6" s="24" t="n"/>
      <c r="L6" s="25" t="n"/>
    </row>
    <row r="7">
      <c r="A7" s="11" t="inlineStr">
        <is>
          <t>Beige cells = auto-calculated by formula; do not type. White cells = player-filled.'Player Count (N)' counts only Survivors played by players; the Echo Companion is not counted.</t>
        </is>
      </c>
      <c r="B7" s="24" t="n"/>
      <c r="C7" s="24" t="n"/>
      <c r="D7" s="24" t="n"/>
      <c r="E7" s="24" t="n"/>
      <c r="F7" s="24" t="n"/>
      <c r="G7" s="24" t="n"/>
      <c r="H7" s="24" t="n"/>
      <c r="I7" s="24" t="n"/>
      <c r="J7" s="24" t="n"/>
      <c r="K7" s="24" t="n"/>
      <c r="L7" s="25" t="n"/>
    </row>
    <row r="8" ht="20" customHeight="1">
      <c r="A8" s="13" t="inlineStr">
        <is>
          <t>I. Attributes (Attribute) — Attribute Value 1–10; Attribute Bonus (AB) = INT(Attribute Value ÷ 2)</t>
        </is>
      </c>
      <c r="B8" s="24" t="n"/>
      <c r="C8" s="24" t="n"/>
      <c r="D8" s="24" t="n"/>
      <c r="E8" s="24" t="n"/>
      <c r="F8" s="24" t="n"/>
      <c r="G8" s="24" t="n"/>
      <c r="H8" s="24" t="n"/>
      <c r="I8" s="24" t="n"/>
      <c r="J8" s="24" t="n"/>
      <c r="K8" s="24" t="n"/>
      <c r="L8" s="25" t="n"/>
    </row>
    <row r="9">
      <c r="A9" s="5" t="inlineStr">
        <is>
          <t>Attribute</t>
        </is>
      </c>
      <c r="B9" s="5" t="inlineStr">
        <is>
          <t>Abbrev.</t>
        </is>
      </c>
      <c r="C9" s="5" t="inlineStr">
        <is>
          <t>Base Value</t>
        </is>
      </c>
      <c r="D9" s="5" t="inlineStr">
        <is>
          <t>Archetype Adj.</t>
        </is>
      </c>
      <c r="E9" s="5" t="inlineStr">
        <is>
          <t>Attribute Value</t>
        </is>
      </c>
      <c r="F9" s="5" t="inlineStr">
        <is>
          <t>Attribute Bonus (AB)</t>
        </is>
      </c>
      <c r="G9" s="5" t="inlineStr">
        <is>
          <t>Use</t>
        </is>
      </c>
      <c r="H9" s="24" t="n"/>
      <c r="I9" s="24" t="n"/>
      <c r="J9" s="24" t="n"/>
      <c r="K9" s="24" t="n"/>
      <c r="L9" s="25" t="n"/>
    </row>
    <row r="10">
      <c r="A10" s="16" t="inlineStr">
        <is>
          <t>Agility</t>
        </is>
      </c>
      <c r="B10" s="16" t="inlineStr">
        <is>
          <t>AGI</t>
        </is>
      </c>
      <c r="C10" s="6" t="n">
        <v>3</v>
      </c>
      <c r="D10" s="6" t="n">
        <v>0</v>
      </c>
      <c r="E10" s="8">
        <f>C10+D10</f>
        <v/>
      </c>
      <c r="F10" s="8">
        <f>INT(E10/2)</f>
        <v/>
      </c>
      <c r="G10" s="17" t="inlineStr">
        <is>
          <t>Vault windows, drop pallets, dodge, wriggle. The core of chase survival.</t>
        </is>
      </c>
      <c r="H10" s="24" t="n"/>
      <c r="I10" s="24" t="n"/>
      <c r="J10" s="24" t="n"/>
      <c r="K10" s="24" t="n"/>
      <c r="L10" s="25" t="n"/>
    </row>
    <row r="11">
      <c r="A11" s="16" t="inlineStr">
        <is>
          <t>Technique</t>
        </is>
      </c>
      <c r="B11" s="16" t="inlineStr">
        <is>
          <t>TEC</t>
        </is>
      </c>
      <c r="C11" s="6" t="n">
        <v>4</v>
      </c>
      <c r="D11" s="6" t="n">
        <v>2</v>
      </c>
      <c r="E11" s="8">
        <f>C11+D11</f>
        <v/>
      </c>
      <c r="F11" s="8">
        <f>INT(E11/2)</f>
        <v/>
      </c>
      <c r="G11" s="17" t="inlineStr">
        <is>
          <t>Generator repair, disarm traps, open chests. The core of the victory condition.</t>
        </is>
      </c>
      <c r="H11" s="24" t="n"/>
      <c r="I11" s="24" t="n"/>
      <c r="J11" s="24" t="n"/>
      <c r="K11" s="24" t="n"/>
      <c r="L11" s="25" t="n"/>
    </row>
    <row r="12">
      <c r="A12" s="16" t="inlineStr">
        <is>
          <t>Stealth</t>
        </is>
      </c>
      <c r="B12" s="16" t="inlineStr">
        <is>
          <t>STL</t>
        </is>
      </c>
      <c r="C12" s="6" t="n">
        <v>2</v>
      </c>
      <c r="D12" s="6" t="n">
        <v>0</v>
      </c>
      <c r="E12" s="8">
        <f>C12+D12</f>
        <v/>
      </c>
      <c r="F12" s="8">
        <f>INT(E12/2)</f>
        <v/>
      </c>
      <c r="G12" s="17" t="inlineStr">
        <is>
          <t>Crouch, hide in lockers, erase scratch marks, counter killer tracking.</t>
        </is>
      </c>
      <c r="H12" s="24" t="n"/>
      <c r="I12" s="24" t="n"/>
      <c r="J12" s="24" t="n"/>
      <c r="K12" s="24" t="n"/>
      <c r="L12" s="25" t="n"/>
    </row>
    <row r="13">
      <c r="A13" s="16" t="inlineStr">
        <is>
          <t>Focus</t>
        </is>
      </c>
      <c r="B13" s="16" t="inlineStr">
        <is>
          <t>FOC</t>
        </is>
      </c>
      <c r="C13" s="6" t="n">
        <v>3</v>
      </c>
      <c r="D13" s="6" t="n">
        <v>0</v>
      </c>
      <c r="E13" s="8">
        <f>C13+D13</f>
        <v/>
      </c>
      <c r="F13" s="8">
        <f>INT(E13/2)</f>
        <v/>
      </c>
      <c r="G13" s="17" t="inlineStr">
        <is>
          <t>Four-tier skill-check quality, rescue timing, anti-interference, self-unhook.</t>
        </is>
      </c>
      <c r="H13" s="24" t="n"/>
      <c r="I13" s="24" t="n"/>
      <c r="J13" s="24" t="n"/>
      <c r="K13" s="24" t="n"/>
      <c r="L13" s="25" t="n"/>
    </row>
    <row r="14">
      <c r="A14" s="16" t="inlineStr">
        <is>
          <t>Will</t>
        </is>
      </c>
      <c r="B14" s="16" t="inlineStr">
        <is>
          <t>WIL</t>
        </is>
      </c>
      <c r="C14" s="6" t="n">
        <v>3</v>
      </c>
      <c r="D14" s="6" t="n">
        <v>1</v>
      </c>
      <c r="E14" s="8">
        <f>C14+D14</f>
        <v/>
      </c>
      <c r="F14" s="8">
        <f>INT(E14/2)</f>
        <v/>
      </c>
      <c r="G14" s="17" t="inlineStr">
        <is>
          <t>Max HP, fear resistance, hook-survival rounds, dying crawl.</t>
        </is>
      </c>
      <c r="H14" s="24" t="n"/>
      <c r="I14" s="24" t="n"/>
      <c r="J14" s="24" t="n"/>
      <c r="K14" s="24" t="n"/>
      <c r="L14" s="25" t="n"/>
    </row>
    <row r="15">
      <c r="A15" s="5" t="inlineStr">
        <is>
          <t>Total</t>
        </is>
      </c>
      <c r="B15" s="25" t="n"/>
      <c r="C15" s="8">
        <f>SUM(C10:C14)</f>
        <v/>
      </c>
      <c r="D15" s="5" t="inlineStr">
        <is>
          <t>Unallocated</t>
        </is>
      </c>
      <c r="E15" s="8">
        <f>$E$5-SUM(C10:C14)</f>
        <v/>
      </c>
      <c r="F15" s="11" t="inlineStr">
        <is>
          <t>At creation each base value is 1–5; the total must equal Attribute Point (ATP). Archetype adjustment comes from the chosen archetype.</t>
        </is>
      </c>
      <c r="G15" s="24" t="n"/>
      <c r="H15" s="24" t="n"/>
      <c r="I15" s="24" t="n"/>
      <c r="J15" s="24" t="n"/>
      <c r="K15" s="24" t="n"/>
      <c r="L15" s="25" t="n"/>
    </row>
    <row r="16" ht="20" customHeight="1">
      <c r="A16" s="13" t="inlineStr">
        <is>
          <t>II. Skills (Skill) — Skill Level (SL) 0–5; at level 0 when a professional skill is required, the check takes an extra −2 (Untrained)</t>
        </is>
      </c>
      <c r="B16" s="24" t="n"/>
      <c r="C16" s="24" t="n"/>
      <c r="D16" s="24" t="n"/>
      <c r="E16" s="24" t="n"/>
      <c r="F16" s="24" t="n"/>
      <c r="G16" s="24" t="n"/>
      <c r="H16" s="24" t="n"/>
      <c r="I16" s="24" t="n"/>
      <c r="J16" s="24" t="n"/>
      <c r="K16" s="24" t="n"/>
      <c r="L16" s="25" t="n"/>
    </row>
    <row r="17">
      <c r="A17" s="5" t="inlineStr">
        <is>
          <t>Skill</t>
        </is>
      </c>
      <c r="B17" s="5" t="inlineStr">
        <is>
          <t>Abbrev.</t>
        </is>
      </c>
      <c r="C17" s="5" t="inlineStr">
        <is>
          <t>Linked Attribute</t>
        </is>
      </c>
      <c r="D17" s="5" t="inlineStr">
        <is>
          <t>Skill Level (SL)</t>
        </is>
      </c>
      <c r="E17" s="5" t="inlineStr">
        <is>
          <t>Attribute Bonus (AB)</t>
        </is>
      </c>
      <c r="F17" s="5" t="inlineStr">
        <is>
          <t>Total Check Modifier</t>
        </is>
      </c>
      <c r="G17" s="5" t="inlineStr">
        <is>
          <t>Use</t>
        </is>
      </c>
      <c r="H17" s="24" t="n"/>
      <c r="I17" s="24" t="n"/>
      <c r="J17" s="24" t="n"/>
      <c r="K17" s="24" t="n"/>
      <c r="L17" s="25" t="n"/>
    </row>
    <row r="18">
      <c r="A18" s="16" t="inlineStr">
        <is>
          <t>Mechanical Repair</t>
        </is>
      </c>
      <c r="B18" s="16" t="inlineStr">
        <is>
          <t>MEC</t>
        </is>
      </c>
      <c r="C18" s="6" t="inlineStr">
        <is>
          <t>Technique (TEC)</t>
        </is>
      </c>
      <c r="D18" s="6" t="n">
        <v>2</v>
      </c>
      <c r="E18" s="8">
        <f>F11</f>
        <v/>
      </c>
      <c r="F18" s="8">
        <f>D18+E18-IF(D18=0,2,0)</f>
        <v/>
      </c>
      <c r="G18" s="17" t="inlineStr">
        <is>
          <t>Generator repair, Exit Gate opening, Hook sabotage</t>
        </is>
      </c>
      <c r="H18" s="24" t="n"/>
      <c r="I18" s="24" t="n"/>
      <c r="J18" s="24" t="n"/>
      <c r="K18" s="24" t="n"/>
      <c r="L18" s="25" t="n"/>
    </row>
    <row r="19">
      <c r="A19" s="16" t="inlineStr">
        <is>
          <t>First Aid</t>
        </is>
      </c>
      <c r="B19" s="16" t="inlineStr">
        <is>
          <t>MED</t>
        </is>
      </c>
      <c r="C19" s="6" t="inlineStr">
        <is>
          <t>Focus (FOC)</t>
        </is>
      </c>
      <c r="D19" s="6" t="n">
        <v>0</v>
      </c>
      <c r="E19" s="8">
        <f>F13</f>
        <v/>
      </c>
      <c r="F19" s="8">
        <f>D19+E19-IF(D19=0,2,0)</f>
        <v/>
      </c>
      <c r="G19" s="17" t="inlineStr">
        <is>
          <t>Heal others, self-heal, pick up the dying, stop bleeding</t>
        </is>
      </c>
      <c r="H19" s="24" t="n"/>
      <c r="I19" s="24" t="n"/>
      <c r="J19" s="24" t="n"/>
      <c r="K19" s="24" t="n"/>
      <c r="L19" s="25" t="n"/>
    </row>
    <row r="20">
      <c r="A20" s="16" t="inlineStr">
        <is>
          <t>Sneak</t>
        </is>
      </c>
      <c r="B20" s="16" t="inlineStr">
        <is>
          <t>SNK</t>
        </is>
      </c>
      <c r="C20" s="6" t="inlineStr">
        <is>
          <t>Stealth (STL)</t>
        </is>
      </c>
      <c r="D20" s="6" t="n">
        <v>0</v>
      </c>
      <c r="E20" s="8">
        <f>F12</f>
        <v/>
      </c>
      <c r="F20" s="8">
        <f>D20+E20-IF(D20=0,2,0)</f>
        <v/>
      </c>
      <c r="G20" s="17" t="inlineStr">
        <is>
          <t>Crouch, hide in lockers, erase scratch marks, counter tracking</t>
        </is>
      </c>
      <c r="H20" s="24" t="n"/>
      <c r="I20" s="24" t="n"/>
      <c r="J20" s="24" t="n"/>
      <c r="K20" s="24" t="n"/>
      <c r="L20" s="25" t="n"/>
    </row>
    <row r="21">
      <c r="A21" s="16" t="inlineStr">
        <is>
          <t>Parkour</t>
        </is>
      </c>
      <c r="B21" s="16" t="inlineStr">
        <is>
          <t>PRK</t>
        </is>
      </c>
      <c r="C21" s="6" t="inlineStr">
        <is>
          <t>Agility (AGI)</t>
        </is>
      </c>
      <c r="D21" s="6" t="n">
        <v>0</v>
      </c>
      <c r="E21" s="8">
        <f>F10</f>
        <v/>
      </c>
      <c r="F21" s="8">
        <f>D21+E21-IF(D21=0,2,0)</f>
        <v/>
      </c>
      <c r="G21" s="17" t="inlineStr">
        <is>
          <t>Vault windows, clear obstacles, drop down, loop</t>
        </is>
      </c>
      <c r="H21" s="24" t="n"/>
      <c r="I21" s="24" t="n"/>
      <c r="J21" s="24" t="n"/>
      <c r="K21" s="24" t="n"/>
      <c r="L21" s="25" t="n"/>
    </row>
    <row r="22">
      <c r="A22" s="16" t="inlineStr">
        <is>
          <t>Escape</t>
        </is>
      </c>
      <c r="B22" s="16" t="inlineStr">
        <is>
          <t>ESQ</t>
        </is>
      </c>
      <c r="C22" s="6" t="inlineStr">
        <is>
          <t>Agility (AGI)</t>
        </is>
      </c>
      <c r="D22" s="6" t="n">
        <v>0</v>
      </c>
      <c r="E22" s="8">
        <f>F10</f>
        <v/>
      </c>
      <c r="F22" s="8">
        <f>D22+E22-IF(D22=0,2,0)</f>
        <v/>
      </c>
      <c r="G22" s="17" t="inlineStr">
        <is>
          <t>Wriggle, escape traps, break a grab</t>
        </is>
      </c>
      <c r="H22" s="24" t="n"/>
      <c r="I22" s="24" t="n"/>
      <c r="J22" s="24" t="n"/>
      <c r="K22" s="24" t="n"/>
      <c r="L22" s="25" t="n"/>
    </row>
    <row r="23">
      <c r="A23" s="16" t="inlineStr">
        <is>
          <t>Search</t>
        </is>
      </c>
      <c r="B23" s="16" t="inlineStr">
        <is>
          <t>SRC</t>
        </is>
      </c>
      <c r="C23" s="6" t="inlineStr">
        <is>
          <t>Technique (TEC)</t>
        </is>
      </c>
      <c r="D23" s="6" t="n">
        <v>1</v>
      </c>
      <c r="E23" s="8">
        <f>F11</f>
        <v/>
      </c>
      <c r="F23" s="8">
        <f>D23+E23-IF(D23=0,2,0)</f>
        <v/>
      </c>
      <c r="G23" s="17" t="inlineStr">
        <is>
          <t>Open chests, find the Hatch, identify Totems</t>
        </is>
      </c>
      <c r="H23" s="24" t="n"/>
      <c r="I23" s="24" t="n"/>
      <c r="J23" s="24" t="n"/>
      <c r="K23" s="24" t="n"/>
      <c r="L23" s="25" t="n"/>
    </row>
    <row r="24">
      <c r="A24" s="16" t="inlineStr">
        <is>
          <t>Endurance</t>
        </is>
      </c>
      <c r="B24" s="16" t="inlineStr">
        <is>
          <t>END</t>
        </is>
      </c>
      <c r="C24" s="6" t="inlineStr">
        <is>
          <t>Will (WIL)</t>
        </is>
      </c>
      <c r="D24" s="6" t="n">
        <v>0</v>
      </c>
      <c r="E24" s="8">
        <f>F14</f>
        <v/>
      </c>
      <c r="F24" s="8">
        <f>D24+E24-IF(D24=0,2,0)</f>
        <v/>
      </c>
      <c r="G24" s="17" t="inlineStr">
        <is>
          <t>Fear resistance, endure hooks, resist status effects, dying crawl</t>
        </is>
      </c>
      <c r="H24" s="24" t="n"/>
      <c r="I24" s="24" t="n"/>
      <c r="J24" s="24" t="n"/>
      <c r="K24" s="24" t="n"/>
      <c r="L24" s="25" t="n"/>
    </row>
    <row r="25">
      <c r="A25" s="16" t="inlineStr">
        <is>
          <t>Insight</t>
        </is>
      </c>
      <c r="B25" s="16" t="inlineStr">
        <is>
          <t>INS</t>
        </is>
      </c>
      <c r="C25" s="6" t="inlineStr">
        <is>
          <t>Focus (FOC)</t>
        </is>
      </c>
      <c r="D25" s="6" t="n">
        <v>0</v>
      </c>
      <c r="E25" s="8">
        <f>F13</f>
        <v/>
      </c>
      <c r="F25" s="8">
        <f>D25+E25-IF(D25=0,2,0)</f>
        <v/>
      </c>
      <c r="G25" s="17" t="inlineStr">
        <is>
          <t>Read auras, predict killer movement, judge rescue timing</t>
        </is>
      </c>
      <c r="H25" s="24" t="n"/>
      <c r="I25" s="24" t="n"/>
      <c r="J25" s="24" t="n"/>
      <c r="K25" s="24" t="n"/>
      <c r="L25" s="25" t="n"/>
    </row>
    <row r="26">
      <c r="A26" s="5" t="inlineStr">
        <is>
          <t>Total</t>
        </is>
      </c>
      <c r="B26" s="24" t="n"/>
      <c r="C26" s="25" t="n"/>
      <c r="D26" s="8">
        <f>SUM(D18:D25)</f>
        <v/>
      </c>
      <c r="E26" s="5" t="inlineStr">
        <is>
          <t>Unallocated</t>
        </is>
      </c>
      <c r="F26" s="8">
        <f>$G$5-SUM(D18:D25)</f>
        <v/>
      </c>
      <c r="G26" s="11" t="inlineStr">
        <is>
          <t>Total Check Modifier already includes the Untrained −2 penalty; Situational Modifier (SM) is counted separately.</t>
        </is>
      </c>
      <c r="H26" s="24" t="n"/>
      <c r="I26" s="24" t="n"/>
      <c r="J26" s="24" t="n"/>
      <c r="K26" s="24" t="n"/>
      <c r="L26" s="25" t="n"/>
    </row>
    <row r="27" ht="20" customHeight="1">
      <c r="A27" s="13" t="inlineStr">
        <is>
          <t>III. Derived Values (Derived Value) — all auto-calculated</t>
        </is>
      </c>
      <c r="B27" s="24" t="n"/>
      <c r="C27" s="24" t="n"/>
      <c r="D27" s="24" t="n"/>
      <c r="E27" s="24" t="n"/>
      <c r="F27" s="24" t="n"/>
      <c r="G27" s="24" t="n"/>
      <c r="H27" s="24" t="n"/>
      <c r="I27" s="24" t="n"/>
      <c r="J27" s="24" t="n"/>
      <c r="K27" s="24" t="n"/>
      <c r="L27" s="25" t="n"/>
    </row>
    <row r="28">
      <c r="A28" s="5" t="inlineStr">
        <is>
          <t>Max HP (HP_max)</t>
        </is>
      </c>
      <c r="B28" s="25" t="n"/>
      <c r="C28" s="8">
        <f>8+2*$E$14+$E$4</f>
        <v/>
      </c>
      <c r="D28" s="5" t="inlineStr">
        <is>
          <t>Health State Cap (HS_max)</t>
        </is>
      </c>
      <c r="E28" s="25" t="n"/>
      <c r="F28" s="8">
        <f>IF(L28="Yes",1,2)</f>
        <v/>
      </c>
      <c r="G28" s="5" t="inlineStr">
        <is>
          <t>Action Point Cap (AP_max)</t>
        </is>
      </c>
      <c r="H28" s="25" t="n"/>
      <c r="I28" s="8">
        <f>IF(L29="Yes",3,4)</f>
        <v/>
      </c>
      <c r="J28" s="5" t="inlineStr">
        <is>
          <t>Broken state?</t>
        </is>
      </c>
      <c r="K28" s="25" t="n"/>
      <c r="L28" s="6" t="inlineStr">
        <is>
          <t>No</t>
        </is>
      </c>
    </row>
    <row r="29">
      <c r="A29" s="5" t="inlineStr">
        <is>
          <t>Move (MOV)</t>
        </is>
      </c>
      <c r="B29" s="25" t="n"/>
      <c r="C29" s="8">
        <f>6+INT($F$10/2)</f>
        <v/>
      </c>
      <c r="D29" s="5" t="inlineStr">
        <is>
          <t>Sprint (SPR)</t>
        </is>
      </c>
      <c r="E29" s="25" t="n"/>
      <c r="F29" s="8">
        <f>(6+INT($F$10/2))*2</f>
        <v/>
      </c>
      <c r="G29" s="5" t="inlineStr">
        <is>
          <t>Repair Efficiency (REP)</t>
        </is>
      </c>
      <c r="H29" s="25" t="n"/>
      <c r="I29" s="8">
        <f>$F$11+$D$18</f>
        <v/>
      </c>
      <c r="J29" s="5" t="inlineStr">
        <is>
          <t>Currently in Chase?</t>
        </is>
      </c>
      <c r="K29" s="25" t="n"/>
      <c r="L29" s="6" t="inlineStr">
        <is>
          <t>No</t>
        </is>
      </c>
    </row>
    <row r="30">
      <c r="A30" s="5" t="inlineStr">
        <is>
          <t>Heal Efficiency (HEAL)</t>
        </is>
      </c>
      <c r="B30" s="25" t="n"/>
      <c r="C30" s="8">
        <f>$F$13+$D$19</f>
        <v/>
      </c>
      <c r="D30" s="5" t="inlineStr">
        <is>
          <t>Passive Stealth (PSTL)</t>
        </is>
      </c>
      <c r="E30" s="25" t="n"/>
      <c r="F30" s="8">
        <f>8+$F$12+$D$20</f>
        <v/>
      </c>
      <c r="G30" s="5" t="inlineStr">
        <is>
          <t>Passive Perception (PPER)</t>
        </is>
      </c>
      <c r="H30" s="25" t="n"/>
      <c r="I30" s="8">
        <f>8+$F$13+$D$25</f>
        <v/>
      </c>
    </row>
    <row r="31">
      <c r="A31" s="5" t="inlineStr">
        <is>
          <t>Fear Resistance (FRES)</t>
        </is>
      </c>
      <c r="B31" s="25" t="n"/>
      <c r="C31" s="8">
        <f>10+$F$14+$D$24</f>
        <v/>
      </c>
      <c r="D31" s="5" t="inlineStr">
        <is>
          <t>Chase Check Mod (CHS)</t>
        </is>
      </c>
      <c r="E31" s="25" t="n"/>
      <c r="F31" s="8">
        <f>$F$10+$D$21</f>
        <v/>
      </c>
      <c r="G31" s="5" t="inlineStr">
        <is>
          <t>Wiggle Check Mod (WIG)</t>
        </is>
      </c>
      <c r="H31" s="25" t="n"/>
      <c r="I31" s="8">
        <f>$F$10+$D$22</f>
        <v/>
      </c>
    </row>
    <row r="32">
      <c r="A32" s="5" t="inlineStr">
        <is>
          <t>Hook Survival Rounds (HKS)</t>
        </is>
      </c>
      <c r="B32" s="25" t="n"/>
      <c r="C32" s="8">
        <f>(8-$G$4)+INT($F$14/2)</f>
        <v/>
      </c>
      <c r="D32" s="5" t="inlineStr">
        <is>
          <t>Self-Unhook Difficulty Class (DC)</t>
        </is>
      </c>
      <c r="E32" s="25" t="n"/>
      <c r="F32" s="8">
        <f>20-(4-$G$4)</f>
        <v/>
      </c>
      <c r="G32" s="5" t="inlineStr">
        <is>
          <t>Load Cap (LOAD)</t>
        </is>
      </c>
      <c r="H32" s="25" t="n"/>
      <c r="I32" s="8">
        <f>2+IF($E$3="Artificer (ART)",1,0)</f>
        <v/>
      </c>
    </row>
    <row r="33">
      <c r="A33" s="11" t="inlineStr">
        <is>
          <t>Action Point (AP): 4 per round when not in chase, 3 in chase. Health State (HS): Healthy → Injured → Dying; when Broken, cannot be healed at all.</t>
        </is>
      </c>
      <c r="B33" s="24" t="n"/>
      <c r="C33" s="24" t="n"/>
      <c r="D33" s="24" t="n"/>
      <c r="E33" s="24" t="n"/>
      <c r="F33" s="24" t="n"/>
      <c r="G33" s="24" t="n"/>
      <c r="H33" s="24" t="n"/>
      <c r="I33" s="24" t="n"/>
      <c r="J33" s="24" t="n"/>
      <c r="K33" s="24" t="n"/>
      <c r="L33" s="25" t="n"/>
    </row>
    <row r="34" ht="20" customHeight="1">
      <c r="A34" s="13" t="inlineStr">
        <is>
          <t>IV. Trial Tracker — cleared at the start of each Trial</t>
        </is>
      </c>
      <c r="B34" s="24" t="n"/>
      <c r="C34" s="24" t="n"/>
      <c r="D34" s="24" t="n"/>
      <c r="E34" s="24" t="n"/>
      <c r="F34" s="24" t="n"/>
      <c r="G34" s="24" t="n"/>
      <c r="H34" s="24" t="n"/>
      <c r="I34" s="24" t="n"/>
      <c r="J34" s="24" t="n"/>
      <c r="K34" s="24" t="n"/>
      <c r="L34" s="25" t="n"/>
    </row>
    <row r="35">
      <c r="A35" s="5" t="inlineStr">
        <is>
          <t>Current Health State</t>
        </is>
      </c>
      <c r="B35" s="25" t="n"/>
      <c r="C35" s="6" t="n"/>
      <c r="D35" s="17" t="inlineStr">
        <is>
          <t>Healthy / Injured / Dying</t>
        </is>
      </c>
      <c r="E35" s="24" t="n"/>
      <c r="F35" s="25" t="n"/>
      <c r="G35" s="5" t="inlineStr">
        <is>
          <t>Current HP (HP)</t>
        </is>
      </c>
      <c r="H35" s="25" t="n"/>
      <c r="I35" s="6" t="n"/>
      <c r="J35" s="17" t="inlineStr"/>
      <c r="K35" s="24" t="n"/>
      <c r="L35" s="25" t="n"/>
    </row>
    <row r="36">
      <c r="A36" s="5" t="inlineStr">
        <is>
          <t>Hook Count This Trial</t>
        </is>
      </c>
      <c r="B36" s="25" t="n"/>
      <c r="C36" s="6" t="n"/>
      <c r="D36" s="17" t="inlineStr">
        <is>
          <t>0 / 1 / 2 (third = Sacrifice)</t>
        </is>
      </c>
      <c r="E36" s="24" t="n"/>
      <c r="F36" s="25" t="n"/>
      <c r="G36" s="5" t="inlineStr">
        <is>
          <t>Hook Phase Timer</t>
        </is>
      </c>
      <c r="H36" s="25" t="n"/>
      <c r="I36" s="6" t="n"/>
      <c r="J36" s="17" t="inlineStr">
        <is>
          <t>round(s)</t>
        </is>
      </c>
      <c r="K36" s="24" t="n"/>
      <c r="L36" s="25" t="n"/>
    </row>
    <row r="37">
      <c r="A37" s="5" t="inlineStr">
        <is>
          <t>Current Distance Band (DB)</t>
        </is>
      </c>
      <c r="B37" s="25" t="n"/>
      <c r="C37" s="6" t="n"/>
      <c r="D37" s="17" t="inlineStr">
        <is>
          <t>Contact / Near / Mid / Far / Escaped</t>
        </is>
      </c>
      <c r="E37" s="24" t="n"/>
      <c r="F37" s="25" t="n"/>
      <c r="G37" s="5" t="inlineStr">
        <is>
          <t>Consecutive Chase Rounds</t>
        </is>
      </c>
      <c r="H37" s="25" t="n"/>
      <c r="I37" s="6" t="n"/>
      <c r="J37" s="17" t="inlineStr">
        <is>
          <t>for Bloodlust check</t>
        </is>
      </c>
      <c r="K37" s="24" t="n"/>
      <c r="L37" s="25" t="n"/>
    </row>
    <row r="38">
      <c r="A38" s="5" t="inlineStr">
        <is>
          <t>Remaining Action Point (AP)</t>
        </is>
      </c>
      <c r="B38" s="25" t="n"/>
      <c r="C38" s="6" t="n"/>
      <c r="D38" s="17" t="inlineStr"/>
      <c r="E38" s="24" t="n"/>
      <c r="F38" s="25" t="n"/>
      <c r="G38" s="5" t="inlineStr">
        <is>
          <t>Persistence Bonus (PB) rounds</t>
        </is>
      </c>
      <c r="H38" s="25" t="n"/>
      <c r="I38" s="6" t="n"/>
      <c r="J38" s="17" t="inlineStr">
        <is>
          <t>consecutive same-action rounds −1, cap +3</t>
        </is>
      </c>
      <c r="K38" s="24" t="n"/>
      <c r="L38" s="25" t="n"/>
    </row>
    <row r="39"/>
    <row r="40" ht="20" customHeight="1">
      <c r="A40" s="13" t="inlineStr">
        <is>
          <t>V. Perks (Perk) — slot count opens by Prestige (PRS): 1 at start, +1 each at Prestige 5 / 10 / 15</t>
        </is>
      </c>
      <c r="B40" s="24" t="n"/>
      <c r="C40" s="24" t="n"/>
      <c r="D40" s="24" t="n"/>
      <c r="E40" s="24" t="n"/>
      <c r="F40" s="24" t="n"/>
      <c r="G40" s="24" t="n"/>
      <c r="H40" s="24" t="n"/>
      <c r="I40" s="24" t="n"/>
      <c r="J40" s="24" t="n"/>
      <c r="K40" s="24" t="n"/>
      <c r="L40" s="25" t="n"/>
    </row>
    <row r="41">
      <c r="A41" s="5" t="inlineStr">
        <is>
          <t>Slot</t>
        </is>
      </c>
      <c r="B41" s="5" t="inlineStr">
        <is>
          <t>Perk Name</t>
        </is>
      </c>
      <c r="C41" s="24" t="n"/>
      <c r="D41" s="25" t="n"/>
      <c r="E41" s="5" t="inlineStr">
        <is>
          <t>Tier</t>
        </is>
      </c>
      <c r="F41" s="5" t="inlineStr">
        <is>
          <t>Effect Summary</t>
        </is>
      </c>
      <c r="G41" s="24" t="n"/>
      <c r="H41" s="24" t="n"/>
      <c r="I41" s="24" t="n"/>
      <c r="J41" s="24" t="n"/>
      <c r="K41" s="24" t="n"/>
      <c r="L41" s="25" t="n"/>
    </row>
    <row r="42">
      <c r="A42" s="5" t="inlineStr">
        <is>
          <t>1 | Initial</t>
        </is>
      </c>
      <c r="B42" s="17" t="inlineStr">
        <is>
          <t>Iron Silence (TALENT-S10)</t>
        </is>
      </c>
      <c r="C42" s="24" t="n"/>
      <c r="D42" s="25" t="n"/>
      <c r="E42" s="6" t="inlineStr">
        <is>
          <t>Tier 1</t>
        </is>
      </c>
      <c r="F42" s="17" t="inlineStr">
        <is>
          <t>While Injured, pain-moan volume lowers; the Killer can only hear it within the Contact (CON) Distance Band.</t>
        </is>
      </c>
      <c r="G42" s="24" t="n"/>
      <c r="H42" s="24" t="n"/>
      <c r="I42" s="24" t="n"/>
      <c r="J42" s="24" t="n"/>
      <c r="K42" s="24" t="n"/>
      <c r="L42" s="25" t="n"/>
    </row>
    <row r="43">
      <c r="A43" s="5" t="inlineStr">
        <is>
          <t>2 | Prestige 5</t>
        </is>
      </c>
      <c r="B43" s="17" t="inlineStr"/>
      <c r="C43" s="24" t="n"/>
      <c r="D43" s="25" t="n"/>
      <c r="E43" s="6" t="inlineStr"/>
      <c r="F43" s="17" t="inlineStr"/>
      <c r="G43" s="24" t="n"/>
      <c r="H43" s="24" t="n"/>
      <c r="I43" s="24" t="n"/>
      <c r="J43" s="24" t="n"/>
      <c r="K43" s="24" t="n"/>
      <c r="L43" s="25" t="n"/>
    </row>
    <row r="44">
      <c r="A44" s="5" t="inlineStr">
        <is>
          <t>3 | Prestige 10</t>
        </is>
      </c>
      <c r="B44" s="17" t="inlineStr"/>
      <c r="C44" s="24" t="n"/>
      <c r="D44" s="25" t="n"/>
      <c r="E44" s="6" t="inlineStr"/>
      <c r="F44" s="17" t="inlineStr"/>
      <c r="G44" s="24" t="n"/>
      <c r="H44" s="24" t="n"/>
      <c r="I44" s="24" t="n"/>
      <c r="J44" s="24" t="n"/>
      <c r="K44" s="24" t="n"/>
      <c r="L44" s="25" t="n"/>
    </row>
    <row r="45">
      <c r="A45" s="5" t="inlineStr">
        <is>
          <t>4 | Prestige 15</t>
        </is>
      </c>
      <c r="B45" s="17" t="inlineStr"/>
      <c r="C45" s="24" t="n"/>
      <c r="D45" s="25" t="n"/>
      <c r="E45" s="6" t="inlineStr"/>
      <c r="F45" s="17" t="inlineStr"/>
      <c r="G45" s="24" t="n"/>
      <c r="H45" s="24" t="n"/>
      <c r="I45" s="24" t="n"/>
      <c r="J45" s="24" t="n"/>
      <c r="K45" s="24" t="n"/>
      <c r="L45" s="25" t="n"/>
    </row>
    <row r="46">
      <c r="A46" s="11" t="inlineStr">
        <is>
          <t>Perks have three tiers: Tier 1 (Common) / Tier 2 (Uncommon) / Tier 3 (Very Rare). In the Tier column write Tier 1 / Tier 2 / Tier 3. See the Perk Codex. In a Solo Trial (Setup 1), perks that involve allies instead target the Echo Companion; if no Echo Companion is present, use the perk's solo-variant clause.</t>
        </is>
      </c>
      <c r="B46" s="24" t="n"/>
      <c r="C46" s="24" t="n"/>
      <c r="D46" s="24" t="n"/>
      <c r="E46" s="24" t="n"/>
      <c r="F46" s="24" t="n"/>
      <c r="G46" s="24" t="n"/>
      <c r="H46" s="24" t="n"/>
      <c r="I46" s="24" t="n"/>
      <c r="J46" s="24" t="n"/>
      <c r="K46" s="24" t="n"/>
      <c r="L46" s="25" t="n"/>
    </row>
    <row r="47" ht="20" customHeight="1">
      <c r="A47" s="13" t="inlineStr">
        <is>
          <t>VI. Carried Items &amp; Add-ons (Item &amp; Add-on) — Load (LOAD) cap see Derived Values</t>
        </is>
      </c>
      <c r="B47" s="24" t="n"/>
      <c r="C47" s="24" t="n"/>
      <c r="D47" s="24" t="n"/>
      <c r="E47" s="24" t="n"/>
      <c r="F47" s="24" t="n"/>
      <c r="G47" s="24" t="n"/>
      <c r="H47" s="24" t="n"/>
      <c r="I47" s="24" t="n"/>
      <c r="J47" s="24" t="n"/>
      <c r="K47" s="24" t="n"/>
      <c r="L47" s="25" t="n"/>
    </row>
    <row r="48">
      <c r="A48" s="5" t="inlineStr">
        <is>
          <t>Item Name</t>
        </is>
      </c>
      <c r="B48" s="24" t="n"/>
      <c r="C48" s="25" t="n"/>
      <c r="D48" s="5" t="inlineStr">
        <is>
          <t>Type</t>
        </is>
      </c>
      <c r="E48" s="25" t="n"/>
      <c r="F48" s="5" t="inlineStr">
        <is>
          <t>Rarity</t>
        </is>
      </c>
      <c r="G48" s="5" t="inlineStr">
        <is>
          <t>Charge (CHG)</t>
        </is>
      </c>
      <c r="H48" s="5" t="inlineStr">
        <is>
          <t>Add-on 1</t>
        </is>
      </c>
      <c r="I48" s="25" t="n"/>
      <c r="J48" s="5" t="inlineStr">
        <is>
          <t>Add-on 2</t>
        </is>
      </c>
      <c r="K48" s="24" t="n"/>
      <c r="L48" s="25" t="n"/>
    </row>
    <row r="49">
      <c r="A49" s="17" t="inlineStr">
        <is>
          <t>Toolbox (TBX)</t>
        </is>
      </c>
      <c r="B49" s="24" t="n"/>
      <c r="C49" s="25" t="n"/>
      <c r="D49" s="6" t="inlineStr">
        <is>
          <t>Repair</t>
        </is>
      </c>
      <c r="E49" s="25" t="n"/>
      <c r="F49" s="6" t="inlineStr">
        <is>
          <t>Common</t>
        </is>
      </c>
      <c r="G49" s="6" t="n">
        <v>8</v>
      </c>
      <c r="H49" s="17" t="inlineStr">
        <is>
          <t>Reinforced Spring</t>
        </is>
      </c>
      <c r="I49" s="25" t="n"/>
      <c r="J49" s="17" t="inlineStr"/>
      <c r="K49" s="24" t="n"/>
      <c r="L49" s="25" t="n"/>
    </row>
    <row r="50">
      <c r="A50" s="17" t="inlineStr">
        <is>
          <t>Med-Kit（MED）</t>
        </is>
      </c>
      <c r="B50" s="24" t="n"/>
      <c r="C50" s="25" t="n"/>
      <c r="D50" s="6" t="inlineStr">
        <is>
          <t>Healing</t>
        </is>
      </c>
      <c r="E50" s="25" t="n"/>
      <c r="F50" s="6" t="inlineStr">
        <is>
          <t>Common</t>
        </is>
      </c>
      <c r="G50" s="6" t="n">
        <v>6</v>
      </c>
      <c r="H50" s="17" t="inlineStr"/>
      <c r="I50" s="25" t="n"/>
      <c r="J50" s="17" t="inlineStr"/>
      <c r="K50" s="24" t="n"/>
      <c r="L50" s="25" t="n"/>
    </row>
    <row r="51">
      <c r="A51" s="17" t="inlineStr"/>
      <c r="B51" s="24" t="n"/>
      <c r="C51" s="25" t="n"/>
      <c r="D51" s="6" t="inlineStr"/>
      <c r="E51" s="25" t="n"/>
      <c r="F51" s="6" t="inlineStr"/>
      <c r="G51" s="6" t="inlineStr"/>
      <c r="H51" s="17" t="inlineStr"/>
      <c r="I51" s="25" t="n"/>
      <c r="J51" s="17" t="inlineStr"/>
      <c r="K51" s="24" t="n"/>
      <c r="L51" s="25" t="n"/>
    </row>
    <row r="52">
      <c r="A52" s="17" t="inlineStr"/>
      <c r="B52" s="24" t="n"/>
      <c r="C52" s="25" t="n"/>
      <c r="D52" s="6" t="inlineStr"/>
      <c r="E52" s="25" t="n"/>
      <c r="F52" s="6" t="inlineStr"/>
      <c r="G52" s="6" t="inlineStr"/>
      <c r="H52" s="17" t="inlineStr"/>
      <c r="I52" s="25" t="n"/>
      <c r="J52" s="17" t="inlineStr"/>
      <c r="K52" s="24" t="n"/>
      <c r="L52" s="25" t="n"/>
    </row>
    <row r="53"/>
    <row r="54" ht="20" customHeight="1">
      <c r="A54" s="13" t="inlineStr">
        <is>
          <t>VII. Status Effects (Status Effect) — check those currently active and record remaining rounds</t>
        </is>
      </c>
      <c r="B54" s="24" t="n"/>
      <c r="C54" s="24" t="n"/>
      <c r="D54" s="24" t="n"/>
      <c r="E54" s="24" t="n"/>
      <c r="F54" s="24" t="n"/>
      <c r="G54" s="24" t="n"/>
      <c r="H54" s="24" t="n"/>
      <c r="I54" s="24" t="n"/>
      <c r="J54" s="24" t="n"/>
      <c r="K54" s="24" t="n"/>
      <c r="L54" s="25" t="n"/>
    </row>
    <row r="55">
      <c r="A55" s="5" t="inlineStr">
        <is>
          <t>Broken</t>
        </is>
      </c>
      <c r="B55" s="24" t="n"/>
      <c r="C55" s="25" t="n"/>
      <c r="D55" s="6" t="n"/>
      <c r="E55" s="5" t="inlineStr">
        <is>
          <t>Deep Wound</t>
        </is>
      </c>
      <c r="F55" s="24" t="n"/>
      <c r="G55" s="25" t="n"/>
      <c r="H55" s="6" t="n"/>
      <c r="I55" s="5" t="inlineStr">
        <is>
          <t>Exhausted</t>
        </is>
      </c>
      <c r="J55" s="24" t="n"/>
      <c r="K55" s="25" t="n"/>
      <c r="L55" s="6" t="n"/>
    </row>
    <row r="56">
      <c r="A56" s="5" t="inlineStr">
        <is>
          <t>Blindness</t>
        </is>
      </c>
      <c r="B56" s="24" t="n"/>
      <c r="C56" s="25" t="n"/>
      <c r="D56" s="6" t="n"/>
      <c r="E56" s="5" t="inlineStr">
        <is>
          <t>Haemorrhage</t>
        </is>
      </c>
      <c r="F56" s="24" t="n"/>
      <c r="G56" s="25" t="n"/>
      <c r="H56" s="6" t="n"/>
      <c r="I56" s="5" t="inlineStr">
        <is>
          <t>Endurance</t>
        </is>
      </c>
      <c r="J56" s="24" t="n"/>
      <c r="K56" s="25" t="n"/>
      <c r="L56" s="6" t="n"/>
    </row>
    <row r="57">
      <c r="A57" s="5" t="inlineStr">
        <is>
          <t>Haste</t>
        </is>
      </c>
      <c r="B57" s="24" t="n"/>
      <c r="C57" s="25" t="n"/>
      <c r="D57" s="6" t="n"/>
      <c r="E57" s="5" t="inlineStr">
        <is>
          <t>Hindered</t>
        </is>
      </c>
      <c r="F57" s="24" t="n"/>
      <c r="G57" s="25" t="n"/>
      <c r="H57" s="6" t="n"/>
      <c r="I57" s="5" t="inlineStr">
        <is>
          <t>Exposed</t>
        </is>
      </c>
      <c r="J57" s="24" t="n"/>
      <c r="K57" s="25" t="n"/>
      <c r="L57" s="6" t="n"/>
    </row>
    <row r="58">
      <c r="A58" s="5" t="inlineStr">
        <is>
          <t>Mangled</t>
        </is>
      </c>
      <c r="B58" s="24" t="n"/>
      <c r="C58" s="25" t="n"/>
      <c r="D58" s="6" t="n"/>
      <c r="E58" s="5" t="inlineStr">
        <is>
          <t>Madness</t>
        </is>
      </c>
      <c r="F58" s="24" t="n"/>
      <c r="G58" s="25" t="n"/>
      <c r="H58" s="6" t="n"/>
      <c r="I58" s="5" t="inlineStr">
        <is>
          <t>Trembling</t>
        </is>
      </c>
      <c r="J58" s="24" t="n"/>
      <c r="K58" s="25" t="n"/>
      <c r="L58" s="6" t="n"/>
    </row>
    <row r="59"/>
    <row r="60" ht="20" customHeight="1">
      <c r="A60" s="13" t="inlineStr">
        <is>
          <t>VIII. Background &amp; Notes</t>
        </is>
      </c>
      <c r="B60" s="24" t="n"/>
      <c r="C60" s="24" t="n"/>
      <c r="D60" s="24" t="n"/>
      <c r="E60" s="24" t="n"/>
      <c r="F60" s="24" t="n"/>
      <c r="G60" s="24" t="n"/>
      <c r="H60" s="24" t="n"/>
      <c r="I60" s="24" t="n"/>
      <c r="J60" s="24" t="n"/>
      <c r="K60" s="24" t="n"/>
      <c r="L60" s="25" t="n"/>
    </row>
    <row r="61">
      <c r="A61" s="18" t="inlineStr">
        <is>
          <t>Fan Xiupu, 38, a mechanic from a three-generation family repair shop.
He believes anything broken can be fixed; that belief carried him through his father's funeral, the factory seizure, and the end of his marriage. On his first Trial he spent a whole round(s) studying the Generator's wiring — not any spec he knew, yet he fixed it. That made him more afraid.
[Solo Role] Artificer (ART) × Mechanic (REP) is the fastest clear combo for Config I (Solo Trial): Repair Efficiency (REP) starts at +5, and the Generator repair Difficulty Class (DC) is another −2. The cost is Chase Check Mod (CHS) of only +1; once caught there is almost no comeback, so you must strictly rely on Pallets and windows.</t>
        </is>
      </c>
      <c r="B61" s="31" t="n"/>
      <c r="C61" s="31" t="n"/>
      <c r="D61" s="31" t="n"/>
      <c r="E61" s="31" t="n"/>
      <c r="F61" s="31" t="n"/>
      <c r="G61" s="31" t="n"/>
      <c r="H61" s="31" t="n"/>
      <c r="I61" s="31" t="n"/>
      <c r="J61" s="31" t="n"/>
      <c r="K61" s="31" t="n"/>
      <c r="L61" s="32" t="n"/>
    </row>
    <row r="62">
      <c r="A62" s="33" t="n"/>
      <c r="L62" s="34" t="n"/>
    </row>
    <row r="63">
      <c r="A63" s="33" t="n"/>
      <c r="L63" s="34" t="n"/>
    </row>
    <row r="64">
      <c r="A64" s="33" t="n"/>
      <c r="L64" s="34" t="n"/>
    </row>
    <row r="65">
      <c r="A65" s="33" t="n"/>
      <c r="L65" s="34" t="n"/>
    </row>
    <row r="66">
      <c r="A66" s="35" t="n"/>
      <c r="B66" s="36" t="n"/>
      <c r="C66" s="36" t="n"/>
      <c r="D66" s="36" t="n"/>
      <c r="E66" s="36" t="n"/>
      <c r="F66" s="36" t="n"/>
      <c r="G66" s="36" t="n"/>
      <c r="H66" s="36" t="n"/>
      <c r="I66" s="36" t="n"/>
      <c r="J66" s="36" t="n"/>
      <c r="K66" s="36" t="n"/>
      <c r="L66" s="37" t="n"/>
    </row>
  </sheetData>
  <mergeCells count="115">
    <mergeCell ref="B42:D42"/>
    <mergeCell ref="A15:B15"/>
    <mergeCell ref="G19:L19"/>
    <mergeCell ref="A46:L46"/>
    <mergeCell ref="I4:L4"/>
    <mergeCell ref="F43:L43"/>
    <mergeCell ref="J35:L35"/>
    <mergeCell ref="B44:D44"/>
    <mergeCell ref="J28:K28"/>
    <mergeCell ref="I56:K56"/>
    <mergeCell ref="D31:E31"/>
    <mergeCell ref="A26:C26"/>
    <mergeCell ref="A57:C57"/>
    <mergeCell ref="D37:F37"/>
    <mergeCell ref="G14:L14"/>
    <mergeCell ref="E57:G57"/>
    <mergeCell ref="J50:L50"/>
    <mergeCell ref="D48:E48"/>
    <mergeCell ref="H52:I52"/>
    <mergeCell ref="A52:C52"/>
    <mergeCell ref="J52:L52"/>
    <mergeCell ref="A61:L66"/>
    <mergeCell ref="E58:G58"/>
    <mergeCell ref="J48:L48"/>
    <mergeCell ref="A34:L34"/>
    <mergeCell ref="A35:B35"/>
    <mergeCell ref="F45:L45"/>
    <mergeCell ref="J38:L38"/>
    <mergeCell ref="A49:C49"/>
    <mergeCell ref="D51:E51"/>
    <mergeCell ref="A28:B28"/>
    <mergeCell ref="B43:D43"/>
    <mergeCell ref="A30:B30"/>
    <mergeCell ref="G10:L10"/>
    <mergeCell ref="G18:L18"/>
    <mergeCell ref="H50:I50"/>
    <mergeCell ref="A55:C55"/>
    <mergeCell ref="G38:H38"/>
    <mergeCell ref="A37:B37"/>
    <mergeCell ref="I6:L6"/>
    <mergeCell ref="H49:I49"/>
    <mergeCell ref="A2:C6"/>
    <mergeCell ref="G20:L20"/>
    <mergeCell ref="B45:D45"/>
    <mergeCell ref="G22:L22"/>
    <mergeCell ref="A58:C58"/>
    <mergeCell ref="E56:G56"/>
    <mergeCell ref="A40:L40"/>
    <mergeCell ref="G12:L12"/>
    <mergeCell ref="G21:L21"/>
    <mergeCell ref="A51:C51"/>
    <mergeCell ref="G35:H35"/>
    <mergeCell ref="A60:L60"/>
    <mergeCell ref="H48:I48"/>
    <mergeCell ref="D29:E29"/>
    <mergeCell ref="J37:L37"/>
    <mergeCell ref="G23:L23"/>
    <mergeCell ref="A16:L16"/>
    <mergeCell ref="J29:K29"/>
    <mergeCell ref="A36:B36"/>
    <mergeCell ref="A50:C50"/>
    <mergeCell ref="E2:G2"/>
    <mergeCell ref="I55:K55"/>
    <mergeCell ref="D52:E52"/>
    <mergeCell ref="D49:E49"/>
    <mergeCell ref="A47:L47"/>
    <mergeCell ref="G37:H37"/>
    <mergeCell ref="I2:L2"/>
    <mergeCell ref="G25:L25"/>
    <mergeCell ref="B41:D41"/>
    <mergeCell ref="G9:L9"/>
    <mergeCell ref="D35:F35"/>
    <mergeCell ref="A32:B32"/>
    <mergeCell ref="D28:E28"/>
    <mergeCell ref="G11:L11"/>
    <mergeCell ref="A38:B38"/>
    <mergeCell ref="D30:E30"/>
    <mergeCell ref="F41:L41"/>
    <mergeCell ref="G32:H32"/>
    <mergeCell ref="D36:F36"/>
    <mergeCell ref="I57:K57"/>
    <mergeCell ref="A54:L54"/>
    <mergeCell ref="A7:L7"/>
    <mergeCell ref="J49:L49"/>
    <mergeCell ref="J36:L36"/>
    <mergeCell ref="G13:L13"/>
    <mergeCell ref="A56:C56"/>
    <mergeCell ref="G36:H36"/>
    <mergeCell ref="I58:K58"/>
    <mergeCell ref="A27:L27"/>
    <mergeCell ref="G24:L24"/>
    <mergeCell ref="A33:L33"/>
    <mergeCell ref="F44:L44"/>
    <mergeCell ref="H51:I51"/>
    <mergeCell ref="A8:L8"/>
    <mergeCell ref="D32:E32"/>
    <mergeCell ref="G28:H28"/>
    <mergeCell ref="G26:L26"/>
    <mergeCell ref="J51:L51"/>
    <mergeCell ref="D38:F38"/>
    <mergeCell ref="G30:H30"/>
    <mergeCell ref="E3:G3"/>
    <mergeCell ref="F15:L15"/>
    <mergeCell ref="A48:C48"/>
    <mergeCell ref="F42:L42"/>
    <mergeCell ref="G29:H29"/>
    <mergeCell ref="E55:G55"/>
    <mergeCell ref="A29:B29"/>
    <mergeCell ref="I3:L3"/>
    <mergeCell ref="A1:L1"/>
    <mergeCell ref="G17:L17"/>
    <mergeCell ref="G31:H31"/>
    <mergeCell ref="D50:E50"/>
    <mergeCell ref="A31:B31"/>
    <mergeCell ref="I5:L5"/>
  </mergeCells>
  <dataValidations count="16">
    <dataValidation sqref="E3:G3" showDropDown="0" showInputMessage="0" showErrorMessage="0" allowBlank="1" type="list">
      <formula1>"號令者（LEA）,疾行者（SPR）,草藥師（HRB）,匠人（ART）,拾荒客（SCV）,退役兵（VET）"</formula1>
    </dataValidation>
    <dataValidation sqref="I3:L3" showDropDown="0" showInputMessage="0" showErrorMessage="0" allowBlank="1" type="list">
      <formula1>"機械師（REP）,守護者（RES）,幽影（STE）,磐石（END）,破襲手（SAB）,探路者（SCT）"</formula1>
    </dataValidation>
    <dataValidation sqref="L28:L29" showDropDown="0" showInputMessage="0" showErrorMessage="0" allowBlank="1" type="list">
      <formula1>"是,否"</formula1>
    </dataValidation>
    <dataValidation sqref="C35" showDropDown="0" showInputMessage="0" showErrorMessage="0" allowBlank="1" type="list">
      <formula1>"健康,受傷,瀕死"</formula1>
    </dataValidation>
    <dataValidation sqref="D55" showDropDown="0" showInputMessage="0" showErrorMessage="0" allowBlank="1" type="list">
      <formula1>",生效,1,2,3,4,5"</formula1>
    </dataValidation>
    <dataValidation sqref="H55" showDropDown="0" showInputMessage="0" showErrorMessage="0" allowBlank="1" type="list">
      <formula1>",生效,1,2,3,4,5"</formula1>
    </dataValidation>
    <dataValidation sqref="L55" showDropDown="0" showInputMessage="0" showErrorMessage="0" allowBlank="1" type="list">
      <formula1>",生效,1,2,3,4,5"</formula1>
    </dataValidation>
    <dataValidation sqref="D56" showDropDown="0" showInputMessage="0" showErrorMessage="0" allowBlank="1" type="list">
      <formula1>",生效,1,2,3,4,5"</formula1>
    </dataValidation>
    <dataValidation sqref="H56" showDropDown="0" showInputMessage="0" showErrorMessage="0" allowBlank="1" type="list">
      <formula1>",生效,1,2,3,4,5"</formula1>
    </dataValidation>
    <dataValidation sqref="L56" showDropDown="0" showInputMessage="0" showErrorMessage="0" allowBlank="1" type="list">
      <formula1>",生效,1,2,3,4,5"</formula1>
    </dataValidation>
    <dataValidation sqref="D57" showDropDown="0" showInputMessage="0" showErrorMessage="0" allowBlank="1" type="list">
      <formula1>",生效,1,2,3,4,5"</formula1>
    </dataValidation>
    <dataValidation sqref="H57" showDropDown="0" showInputMessage="0" showErrorMessage="0" allowBlank="1" type="list">
      <formula1>",生效,1,2,3,4,5"</formula1>
    </dataValidation>
    <dataValidation sqref="L57" showDropDown="0" showInputMessage="0" showErrorMessage="0" allowBlank="1" type="list">
      <formula1>",生效,1,2,3,4,5"</formula1>
    </dataValidation>
    <dataValidation sqref="D58" showDropDown="0" showInputMessage="0" showErrorMessage="0" allowBlank="1" type="list">
      <formula1>",生效,1,2,3,4,5"</formula1>
    </dataValidation>
    <dataValidation sqref="H58" showDropDown="0" showInputMessage="0" showErrorMessage="0" allowBlank="1" type="list">
      <formula1>",生效,1,2,3,4,5"</formula1>
    </dataValidation>
    <dataValidation sqref="L58" showDropDown="0" showInputMessage="0" showErrorMessage="0" allowBlank="1" type="list">
      <formula1>",生效,1,2,3,4,5"</formula1>
    </dataValidation>
  </dataValidations>
  <printOptions horizontalCentered="1"/>
  <pageMargins left="0.75" right="0.75" top="1" bottom="1" header="0.5" footer="0.5"/>
  <pageSetup orientation="portrait" fitToHeight="0" fitToWidth="1"/>
</worksheet>
</file>

<file path=xl/worksheets/sheet2.xml><?xml version="1.0" encoding="utf-8"?>
<worksheet xmlns="http://schemas.openxmlformats.org/spreadsheetml/2006/main">
  <sheetPr>
    <outlinePr summaryBelow="1" summaryRight="1"/>
    <pageSetUpPr fitToPage="1"/>
  </sheetPr>
  <dimension ref="A1:L66"/>
  <sheetViews>
    <sheetView showGridLines="0" workbookViewId="0">
      <selection activeCell="A1" sqref="A1"/>
    </sheetView>
  </sheetViews>
  <sheetFormatPr baseColWidth="8" defaultRowHeight="15"/>
  <cols>
    <col width="13" customWidth="1" min="1" max="1"/>
    <col width="7" customWidth="1" min="2" max="2"/>
    <col width="8" customWidth="1" min="3" max="3"/>
    <col width="9" customWidth="1" min="4" max="4"/>
    <col width="9" customWidth="1" min="5" max="5"/>
    <col width="10" customWidth="1" min="6" max="6"/>
    <col width="9" customWidth="1" min="7" max="7"/>
    <col width="12" customWidth="1" min="8" max="8"/>
    <col width="11" customWidth="1" min="9" max="9"/>
    <col width="11" customWidth="1" min="10" max="10"/>
    <col width="11" customWidth="1" min="11" max="11"/>
    <col width="16" customWidth="1" min="12" max="12"/>
  </cols>
  <sheetData>
    <row r="1" ht="28" customHeight="1">
      <c r="A1" s="1" t="inlineStr">
        <is>
          <t>Dead by Daylight TRPG　Survivor Character Sheet</t>
        </is>
      </c>
      <c r="B1" s="20" t="n"/>
      <c r="C1" s="20" t="n"/>
      <c r="D1" s="20" t="n"/>
      <c r="E1" s="20" t="n"/>
      <c r="F1" s="20" t="n"/>
      <c r="G1" s="20" t="n"/>
      <c r="H1" s="20" t="n"/>
      <c r="I1" s="20" t="n"/>
      <c r="J1" s="20" t="n"/>
      <c r="K1" s="20" t="n"/>
      <c r="L1" s="21" t="n"/>
    </row>
    <row r="2">
      <c r="A2" s="3" t="inlineStr">
        <is>
          <t>Character Art
(Paste character image here)</t>
        </is>
      </c>
      <c r="B2" s="22" t="n"/>
      <c r="C2" s="23" t="n"/>
      <c r="D2" s="5" t="inlineStr">
        <is>
          <t>Character Name</t>
        </is>
      </c>
      <c r="E2" s="6" t="inlineStr">
        <is>
          <t>Huo Zhenshan</t>
        </is>
      </c>
      <c r="F2" s="24" t="n"/>
      <c r="G2" s="25" t="n"/>
      <c r="H2" s="5" t="inlineStr">
        <is>
          <t>Player</t>
        </is>
      </c>
      <c r="I2" s="6" t="inlineStr">
        <is>
          <t>Example</t>
        </is>
      </c>
      <c r="J2" s="24" t="n"/>
      <c r="K2" s="24" t="n"/>
      <c r="L2" s="25" t="n"/>
    </row>
    <row r="3">
      <c r="A3" s="26" t="n"/>
      <c r="C3" s="27" t="n"/>
      <c r="D3" s="5" t="inlineStr">
        <is>
          <t>Archetype</t>
        </is>
      </c>
      <c r="E3" s="6" t="inlineStr">
        <is>
          <t>Veteran (VET)</t>
        </is>
      </c>
      <c r="F3" s="24" t="n"/>
      <c r="G3" s="25" t="n"/>
      <c r="H3" s="5" t="inlineStr">
        <is>
          <t>Survival Specialization</t>
        </is>
      </c>
      <c r="I3" s="6" t="inlineStr">
        <is>
          <t>Bedrock（END）</t>
        </is>
      </c>
      <c r="J3" s="24" t="n"/>
      <c r="K3" s="24" t="n"/>
      <c r="L3" s="25" t="n"/>
    </row>
    <row r="4">
      <c r="A4" s="26" t="n"/>
      <c r="C4" s="27" t="n"/>
      <c r="D4" s="5" t="inlineStr">
        <is>
          <t>Prestige (PRS)</t>
        </is>
      </c>
      <c r="E4" s="6" t="n">
        <v>5</v>
      </c>
      <c r="F4" s="5" t="inlineStr">
        <is>
          <t>Player Count (N)</t>
        </is>
      </c>
      <c r="G4" s="6" t="n">
        <v>1</v>
      </c>
      <c r="H4" s="5" t="inlineStr">
        <is>
          <t>Current Bloodpoint (BP)</t>
        </is>
      </c>
      <c r="I4" s="6" t="n">
        <v>31200</v>
      </c>
      <c r="J4" s="24" t="n"/>
      <c r="K4" s="24" t="n"/>
      <c r="L4" s="25" t="n"/>
    </row>
    <row r="5">
      <c r="A5" s="26" t="n"/>
      <c r="C5" s="27" t="n"/>
      <c r="D5" s="5" t="inlineStr">
        <is>
          <t>Attribute Point (ATP)</t>
        </is>
      </c>
      <c r="E5" s="8">
        <f>15+INT($E$4/2)</f>
        <v/>
      </c>
      <c r="F5" s="5" t="inlineStr">
        <is>
          <t>Skill Point (SKP)</t>
        </is>
      </c>
      <c r="G5" s="8">
        <f>2+$E$4</f>
        <v/>
      </c>
      <c r="H5" s="5" t="inlineStr">
        <is>
          <t>Bloodpoint Cap (BP_max)</t>
        </is>
      </c>
      <c r="I5" s="9">
        <f>20000+2000*($E$4-1)+200*($E$4-1)^2</f>
        <v/>
      </c>
      <c r="J5" s="24" t="n"/>
      <c r="K5" s="24" t="n"/>
      <c r="L5" s="25" t="n"/>
    </row>
    <row r="6">
      <c r="A6" s="28" t="n"/>
      <c r="B6" s="29" t="n"/>
      <c r="C6" s="30" t="n"/>
      <c r="D6" s="5" t="inlineStr">
        <is>
          <t>Perk Slot Count (PERK)</t>
        </is>
      </c>
      <c r="E6" s="8">
        <f>1+($E$4&gt;=5)+($E$4&gt;=10)+($E$4&gt;=15)</f>
        <v/>
      </c>
      <c r="F6" s="5" t="inlineStr">
        <is>
          <t>Hope Point Cap</t>
        </is>
      </c>
      <c r="G6" s="8">
        <f>2+INT($E$4/5)</f>
        <v/>
      </c>
      <c r="H6" s="5" t="inlineStr">
        <is>
          <t>Current Hope Point (HOP)</t>
        </is>
      </c>
      <c r="I6" s="6" t="n">
        <v>3</v>
      </c>
      <c r="J6" s="24" t="n"/>
      <c r="K6" s="24" t="n"/>
      <c r="L6" s="25" t="n"/>
    </row>
    <row r="7">
      <c r="A7" s="11" t="inlineStr">
        <is>
          <t>Beige cells = auto-calculated by formula; do not type. White cells = player-filled.'Player Count (N)' counts only Survivors played by players; the Echo Companion is not counted.</t>
        </is>
      </c>
      <c r="B7" s="24" t="n"/>
      <c r="C7" s="24" t="n"/>
      <c r="D7" s="24" t="n"/>
      <c r="E7" s="24" t="n"/>
      <c r="F7" s="24" t="n"/>
      <c r="G7" s="24" t="n"/>
      <c r="H7" s="24" t="n"/>
      <c r="I7" s="24" t="n"/>
      <c r="J7" s="24" t="n"/>
      <c r="K7" s="24" t="n"/>
      <c r="L7" s="25" t="n"/>
    </row>
    <row r="8" ht="20" customHeight="1">
      <c r="A8" s="13" t="inlineStr">
        <is>
          <t>I. Attributes (Attribute) — Attribute Value 1–10; Attribute Bonus (AB) = INT(Attribute Value ÷ 2)</t>
        </is>
      </c>
      <c r="B8" s="24" t="n"/>
      <c r="C8" s="24" t="n"/>
      <c r="D8" s="24" t="n"/>
      <c r="E8" s="24" t="n"/>
      <c r="F8" s="24" t="n"/>
      <c r="G8" s="24" t="n"/>
      <c r="H8" s="24" t="n"/>
      <c r="I8" s="24" t="n"/>
      <c r="J8" s="24" t="n"/>
      <c r="K8" s="24" t="n"/>
      <c r="L8" s="25" t="n"/>
    </row>
    <row r="9">
      <c r="A9" s="5" t="inlineStr">
        <is>
          <t>Attribute</t>
        </is>
      </c>
      <c r="B9" s="5" t="inlineStr">
        <is>
          <t>Abbrev.</t>
        </is>
      </c>
      <c r="C9" s="5" t="inlineStr">
        <is>
          <t>Base Value</t>
        </is>
      </c>
      <c r="D9" s="5" t="inlineStr">
        <is>
          <t>Archetype Adj.</t>
        </is>
      </c>
      <c r="E9" s="5" t="inlineStr">
        <is>
          <t>Attribute Value</t>
        </is>
      </c>
      <c r="F9" s="5" t="inlineStr">
        <is>
          <t>Attribute Bonus (AB)</t>
        </is>
      </c>
      <c r="G9" s="5" t="inlineStr">
        <is>
          <t>Use</t>
        </is>
      </c>
      <c r="H9" s="24" t="n"/>
      <c r="I9" s="24" t="n"/>
      <c r="J9" s="24" t="n"/>
      <c r="K9" s="24" t="n"/>
      <c r="L9" s="25" t="n"/>
    </row>
    <row r="10">
      <c r="A10" s="16" t="inlineStr">
        <is>
          <t>Agility</t>
        </is>
      </c>
      <c r="B10" s="16" t="inlineStr">
        <is>
          <t>AGI</t>
        </is>
      </c>
      <c r="C10" s="6" t="n">
        <v>4</v>
      </c>
      <c r="D10" s="6" t="n">
        <v>1</v>
      </c>
      <c r="E10" s="8">
        <f>C10+D10</f>
        <v/>
      </c>
      <c r="F10" s="8">
        <f>INT(E10/2)</f>
        <v/>
      </c>
      <c r="G10" s="17" t="inlineStr">
        <is>
          <t>Vault windows, drop pallets, dodge, wriggle. The core of chase survival.</t>
        </is>
      </c>
      <c r="H10" s="24" t="n"/>
      <c r="I10" s="24" t="n"/>
      <c r="J10" s="24" t="n"/>
      <c r="K10" s="24" t="n"/>
      <c r="L10" s="25" t="n"/>
    </row>
    <row r="11">
      <c r="A11" s="16" t="inlineStr">
        <is>
          <t>Technique</t>
        </is>
      </c>
      <c r="B11" s="16" t="inlineStr">
        <is>
          <t>TEC</t>
        </is>
      </c>
      <c r="C11" s="6" t="n">
        <v>3</v>
      </c>
      <c r="D11" s="6" t="n">
        <v>0</v>
      </c>
      <c r="E11" s="8">
        <f>C11+D11</f>
        <v/>
      </c>
      <c r="F11" s="8">
        <f>INT(E11/2)</f>
        <v/>
      </c>
      <c r="G11" s="17" t="inlineStr">
        <is>
          <t>Generator repair, disarm traps, open chests. The core of the victory condition.</t>
        </is>
      </c>
      <c r="H11" s="24" t="n"/>
      <c r="I11" s="24" t="n"/>
      <c r="J11" s="24" t="n"/>
      <c r="K11" s="24" t="n"/>
      <c r="L11" s="25" t="n"/>
    </row>
    <row r="12">
      <c r="A12" s="16" t="inlineStr">
        <is>
          <t>Stealth</t>
        </is>
      </c>
      <c r="B12" s="16" t="inlineStr">
        <is>
          <t>STL</t>
        </is>
      </c>
      <c r="C12" s="6" t="n">
        <v>2</v>
      </c>
      <c r="D12" s="6" t="n">
        <v>0</v>
      </c>
      <c r="E12" s="8">
        <f>C12+D12</f>
        <v/>
      </c>
      <c r="F12" s="8">
        <f>INT(E12/2)</f>
        <v/>
      </c>
      <c r="G12" s="17" t="inlineStr">
        <is>
          <t>Crouch, hide in lockers, erase scratch marks, counter killer tracking.</t>
        </is>
      </c>
      <c r="H12" s="24" t="n"/>
      <c r="I12" s="24" t="n"/>
      <c r="J12" s="24" t="n"/>
      <c r="K12" s="24" t="n"/>
      <c r="L12" s="25" t="n"/>
    </row>
    <row r="13">
      <c r="A13" s="16" t="inlineStr">
        <is>
          <t>Focus</t>
        </is>
      </c>
      <c r="B13" s="16" t="inlineStr">
        <is>
          <t>FOC</t>
        </is>
      </c>
      <c r="C13" s="6" t="n">
        <v>3</v>
      </c>
      <c r="D13" s="6" t="n">
        <v>0</v>
      </c>
      <c r="E13" s="8">
        <f>C13+D13</f>
        <v/>
      </c>
      <c r="F13" s="8">
        <f>INT(E13/2)</f>
        <v/>
      </c>
      <c r="G13" s="17" t="inlineStr">
        <is>
          <t>Four-tier skill-check quality, rescue timing, anti-interference, self-unhook.</t>
        </is>
      </c>
      <c r="H13" s="24" t="n"/>
      <c r="I13" s="24" t="n"/>
      <c r="J13" s="24" t="n"/>
      <c r="K13" s="24" t="n"/>
      <c r="L13" s="25" t="n"/>
    </row>
    <row r="14">
      <c r="A14" s="16" t="inlineStr">
        <is>
          <t>Will</t>
        </is>
      </c>
      <c r="B14" s="16" t="inlineStr">
        <is>
          <t>WIL</t>
        </is>
      </c>
      <c r="C14" s="6" t="n">
        <v>5</v>
      </c>
      <c r="D14" s="6" t="n">
        <v>2</v>
      </c>
      <c r="E14" s="8">
        <f>C14+D14</f>
        <v/>
      </c>
      <c r="F14" s="8">
        <f>INT(E14/2)</f>
        <v/>
      </c>
      <c r="G14" s="17" t="inlineStr">
        <is>
          <t>Max HP, fear resistance, hook-survival rounds, dying crawl.</t>
        </is>
      </c>
      <c r="H14" s="24" t="n"/>
      <c r="I14" s="24" t="n"/>
      <c r="J14" s="24" t="n"/>
      <c r="K14" s="24" t="n"/>
      <c r="L14" s="25" t="n"/>
    </row>
    <row r="15">
      <c r="A15" s="5" t="inlineStr">
        <is>
          <t>Total</t>
        </is>
      </c>
      <c r="B15" s="25" t="n"/>
      <c r="C15" s="8">
        <f>SUM(C10:C14)</f>
        <v/>
      </c>
      <c r="D15" s="5" t="inlineStr">
        <is>
          <t>Unallocated</t>
        </is>
      </c>
      <c r="E15" s="8">
        <f>$E$5-SUM(C10:C14)</f>
        <v/>
      </c>
      <c r="F15" s="11" t="inlineStr">
        <is>
          <t>At creation each base value is 1–5; the total must equal Attribute Point (ATP). Archetype adjustment comes from the chosen archetype.</t>
        </is>
      </c>
      <c r="G15" s="24" t="n"/>
      <c r="H15" s="24" t="n"/>
      <c r="I15" s="24" t="n"/>
      <c r="J15" s="24" t="n"/>
      <c r="K15" s="24" t="n"/>
      <c r="L15" s="25" t="n"/>
    </row>
    <row r="16" ht="20" customHeight="1">
      <c r="A16" s="13" t="inlineStr">
        <is>
          <t>II. Skills (Skill) — Skill Level (SL) 0–5; at level 0 when a professional skill is required, the check takes an extra −2 (Untrained)</t>
        </is>
      </c>
      <c r="B16" s="24" t="n"/>
      <c r="C16" s="24" t="n"/>
      <c r="D16" s="24" t="n"/>
      <c r="E16" s="24" t="n"/>
      <c r="F16" s="24" t="n"/>
      <c r="G16" s="24" t="n"/>
      <c r="H16" s="24" t="n"/>
      <c r="I16" s="24" t="n"/>
      <c r="J16" s="24" t="n"/>
      <c r="K16" s="24" t="n"/>
      <c r="L16" s="25" t="n"/>
    </row>
    <row r="17">
      <c r="A17" s="5" t="inlineStr">
        <is>
          <t>Skill</t>
        </is>
      </c>
      <c r="B17" s="5" t="inlineStr">
        <is>
          <t>Abbrev.</t>
        </is>
      </c>
      <c r="C17" s="5" t="inlineStr">
        <is>
          <t>Linked Attribute</t>
        </is>
      </c>
      <c r="D17" s="5" t="inlineStr">
        <is>
          <t>Skill Level (SL)</t>
        </is>
      </c>
      <c r="E17" s="5" t="inlineStr">
        <is>
          <t>Attribute Bonus (AB)</t>
        </is>
      </c>
      <c r="F17" s="5" t="inlineStr">
        <is>
          <t>Total Check Modifier</t>
        </is>
      </c>
      <c r="G17" s="5" t="inlineStr">
        <is>
          <t>Use</t>
        </is>
      </c>
      <c r="H17" s="24" t="n"/>
      <c r="I17" s="24" t="n"/>
      <c r="J17" s="24" t="n"/>
      <c r="K17" s="24" t="n"/>
      <c r="L17" s="25" t="n"/>
    </row>
    <row r="18">
      <c r="A18" s="16" t="inlineStr">
        <is>
          <t>Mechanical Repair</t>
        </is>
      </c>
      <c r="B18" s="16" t="inlineStr">
        <is>
          <t>MEC</t>
        </is>
      </c>
      <c r="C18" s="6" t="inlineStr">
        <is>
          <t>Technique (TEC)</t>
        </is>
      </c>
      <c r="D18" s="6" t="n">
        <v>0</v>
      </c>
      <c r="E18" s="8">
        <f>F11</f>
        <v/>
      </c>
      <c r="F18" s="8">
        <f>D18+E18-IF(D18=0,2,0)</f>
        <v/>
      </c>
      <c r="G18" s="17" t="inlineStr">
        <is>
          <t>Generator repair, Exit Gate opening, Hook sabotage</t>
        </is>
      </c>
      <c r="H18" s="24" t="n"/>
      <c r="I18" s="24" t="n"/>
      <c r="J18" s="24" t="n"/>
      <c r="K18" s="24" t="n"/>
      <c r="L18" s="25" t="n"/>
    </row>
    <row r="19">
      <c r="A19" s="16" t="inlineStr">
        <is>
          <t>First Aid</t>
        </is>
      </c>
      <c r="B19" s="16" t="inlineStr">
        <is>
          <t>MED</t>
        </is>
      </c>
      <c r="C19" s="6" t="inlineStr">
        <is>
          <t>Focus (FOC)</t>
        </is>
      </c>
      <c r="D19" s="6" t="n">
        <v>1</v>
      </c>
      <c r="E19" s="8">
        <f>F13</f>
        <v/>
      </c>
      <c r="F19" s="8">
        <f>D19+E19-IF(D19=0,2,0)</f>
        <v/>
      </c>
      <c r="G19" s="17" t="inlineStr">
        <is>
          <t>Heal others, self-heal, pick up the dying, stop bleeding</t>
        </is>
      </c>
      <c r="H19" s="24" t="n"/>
      <c r="I19" s="24" t="n"/>
      <c r="J19" s="24" t="n"/>
      <c r="K19" s="24" t="n"/>
      <c r="L19" s="25" t="n"/>
    </row>
    <row r="20">
      <c r="A20" s="16" t="inlineStr">
        <is>
          <t>Sneak</t>
        </is>
      </c>
      <c r="B20" s="16" t="inlineStr">
        <is>
          <t>SNK</t>
        </is>
      </c>
      <c r="C20" s="6" t="inlineStr">
        <is>
          <t>Stealth (STL)</t>
        </is>
      </c>
      <c r="D20" s="6" t="n">
        <v>0</v>
      </c>
      <c r="E20" s="8">
        <f>F12</f>
        <v/>
      </c>
      <c r="F20" s="8">
        <f>D20+E20-IF(D20=0,2,0)</f>
        <v/>
      </c>
      <c r="G20" s="17" t="inlineStr">
        <is>
          <t>Crouch, hide in lockers, erase scratch marks, counter tracking</t>
        </is>
      </c>
      <c r="H20" s="24" t="n"/>
      <c r="I20" s="24" t="n"/>
      <c r="J20" s="24" t="n"/>
      <c r="K20" s="24" t="n"/>
      <c r="L20" s="25" t="n"/>
    </row>
    <row r="21">
      <c r="A21" s="16" t="inlineStr">
        <is>
          <t>Parkour</t>
        </is>
      </c>
      <c r="B21" s="16" t="inlineStr">
        <is>
          <t>PRK</t>
        </is>
      </c>
      <c r="C21" s="6" t="inlineStr">
        <is>
          <t>Agility (AGI)</t>
        </is>
      </c>
      <c r="D21" s="6" t="n">
        <v>2</v>
      </c>
      <c r="E21" s="8">
        <f>F10</f>
        <v/>
      </c>
      <c r="F21" s="8">
        <f>D21+E21-IF(D21=0,2,0)</f>
        <v/>
      </c>
      <c r="G21" s="17" t="inlineStr">
        <is>
          <t>Vault windows, clear obstacles, drop down, loop</t>
        </is>
      </c>
      <c r="H21" s="24" t="n"/>
      <c r="I21" s="24" t="n"/>
      <c r="J21" s="24" t="n"/>
      <c r="K21" s="24" t="n"/>
      <c r="L21" s="25" t="n"/>
    </row>
    <row r="22">
      <c r="A22" s="16" t="inlineStr">
        <is>
          <t>Escape</t>
        </is>
      </c>
      <c r="B22" s="16" t="inlineStr">
        <is>
          <t>ESQ</t>
        </is>
      </c>
      <c r="C22" s="6" t="inlineStr">
        <is>
          <t>Agility (AGI)</t>
        </is>
      </c>
      <c r="D22" s="6" t="n">
        <v>1</v>
      </c>
      <c r="E22" s="8">
        <f>F10</f>
        <v/>
      </c>
      <c r="F22" s="8">
        <f>D22+E22-IF(D22=0,2,0)</f>
        <v/>
      </c>
      <c r="G22" s="17" t="inlineStr">
        <is>
          <t>Wriggle, escape traps, break a grab</t>
        </is>
      </c>
      <c r="H22" s="24" t="n"/>
      <c r="I22" s="24" t="n"/>
      <c r="J22" s="24" t="n"/>
      <c r="K22" s="24" t="n"/>
      <c r="L22" s="25" t="n"/>
    </row>
    <row r="23">
      <c r="A23" s="16" t="inlineStr">
        <is>
          <t>Search</t>
        </is>
      </c>
      <c r="B23" s="16" t="inlineStr">
        <is>
          <t>SRC</t>
        </is>
      </c>
      <c r="C23" s="6" t="inlineStr">
        <is>
          <t>Technique (TEC)</t>
        </is>
      </c>
      <c r="D23" s="6" t="n">
        <v>0</v>
      </c>
      <c r="E23" s="8">
        <f>F11</f>
        <v/>
      </c>
      <c r="F23" s="8">
        <f>D23+E23-IF(D23=0,2,0)</f>
        <v/>
      </c>
      <c r="G23" s="17" t="inlineStr">
        <is>
          <t>Open chests, find the Hatch, identify Totems</t>
        </is>
      </c>
      <c r="H23" s="24" t="n"/>
      <c r="I23" s="24" t="n"/>
      <c r="J23" s="24" t="n"/>
      <c r="K23" s="24" t="n"/>
      <c r="L23" s="25" t="n"/>
    </row>
    <row r="24">
      <c r="A24" s="16" t="inlineStr">
        <is>
          <t>Endurance</t>
        </is>
      </c>
      <c r="B24" s="16" t="inlineStr">
        <is>
          <t>END</t>
        </is>
      </c>
      <c r="C24" s="6" t="inlineStr">
        <is>
          <t>Will (WIL)</t>
        </is>
      </c>
      <c r="D24" s="6" t="n">
        <v>3</v>
      </c>
      <c r="E24" s="8">
        <f>F14</f>
        <v/>
      </c>
      <c r="F24" s="8">
        <f>D24+E24-IF(D24=0,2,0)</f>
        <v/>
      </c>
      <c r="G24" s="17" t="inlineStr">
        <is>
          <t>Fear resistance, endure hooks, resist status effects, dying crawl</t>
        </is>
      </c>
      <c r="H24" s="24" t="n"/>
      <c r="I24" s="24" t="n"/>
      <c r="J24" s="24" t="n"/>
      <c r="K24" s="24" t="n"/>
      <c r="L24" s="25" t="n"/>
    </row>
    <row r="25">
      <c r="A25" s="16" t="inlineStr">
        <is>
          <t>Insight</t>
        </is>
      </c>
      <c r="B25" s="16" t="inlineStr">
        <is>
          <t>INS</t>
        </is>
      </c>
      <c r="C25" s="6" t="inlineStr">
        <is>
          <t>Focus (FOC)</t>
        </is>
      </c>
      <c r="D25" s="6" t="n">
        <v>0</v>
      </c>
      <c r="E25" s="8">
        <f>F13</f>
        <v/>
      </c>
      <c r="F25" s="8">
        <f>D25+E25-IF(D25=0,2,0)</f>
        <v/>
      </c>
      <c r="G25" s="17" t="inlineStr">
        <is>
          <t>Read auras, predict killer movement, judge rescue timing</t>
        </is>
      </c>
      <c r="H25" s="24" t="n"/>
      <c r="I25" s="24" t="n"/>
      <c r="J25" s="24" t="n"/>
      <c r="K25" s="24" t="n"/>
      <c r="L25" s="25" t="n"/>
    </row>
    <row r="26">
      <c r="A26" s="5" t="inlineStr">
        <is>
          <t>Total</t>
        </is>
      </c>
      <c r="B26" s="24" t="n"/>
      <c r="C26" s="25" t="n"/>
      <c r="D26" s="8">
        <f>SUM(D18:D25)</f>
        <v/>
      </c>
      <c r="E26" s="5" t="inlineStr">
        <is>
          <t>Unallocated</t>
        </is>
      </c>
      <c r="F26" s="8">
        <f>$G$5-SUM(D18:D25)</f>
        <v/>
      </c>
      <c r="G26" s="11" t="inlineStr">
        <is>
          <t>Total Check Modifier already includes the Untrained −2 penalty; Situational Modifier (SM) is counted separately.</t>
        </is>
      </c>
      <c r="H26" s="24" t="n"/>
      <c r="I26" s="24" t="n"/>
      <c r="J26" s="24" t="n"/>
      <c r="K26" s="24" t="n"/>
      <c r="L26" s="25" t="n"/>
    </row>
    <row r="27" ht="20" customHeight="1">
      <c r="A27" s="13" t="inlineStr">
        <is>
          <t>III. Derived Values (Derived Value) — all auto-calculated</t>
        </is>
      </c>
      <c r="B27" s="24" t="n"/>
      <c r="C27" s="24" t="n"/>
      <c r="D27" s="24" t="n"/>
      <c r="E27" s="24" t="n"/>
      <c r="F27" s="24" t="n"/>
      <c r="G27" s="24" t="n"/>
      <c r="H27" s="24" t="n"/>
      <c r="I27" s="24" t="n"/>
      <c r="J27" s="24" t="n"/>
      <c r="K27" s="24" t="n"/>
      <c r="L27" s="25" t="n"/>
    </row>
    <row r="28">
      <c r="A28" s="5" t="inlineStr">
        <is>
          <t>Max HP (HP_max)</t>
        </is>
      </c>
      <c r="B28" s="25" t="n"/>
      <c r="C28" s="8">
        <f>8+2*$E$14+$E$4</f>
        <v/>
      </c>
      <c r="D28" s="5" t="inlineStr">
        <is>
          <t>Health State Cap (HS_max)</t>
        </is>
      </c>
      <c r="E28" s="25" t="n"/>
      <c r="F28" s="8">
        <f>IF(L28="Yes",1,2)</f>
        <v/>
      </c>
      <c r="G28" s="5" t="inlineStr">
        <is>
          <t>Action Point Cap (AP_max)</t>
        </is>
      </c>
      <c r="H28" s="25" t="n"/>
      <c r="I28" s="8">
        <f>IF(L29="Yes",3,4)</f>
        <v/>
      </c>
      <c r="J28" s="5" t="inlineStr">
        <is>
          <t>Broken state?</t>
        </is>
      </c>
      <c r="K28" s="25" t="n"/>
      <c r="L28" s="6" t="inlineStr">
        <is>
          <t>No</t>
        </is>
      </c>
    </row>
    <row r="29">
      <c r="A29" s="5" t="inlineStr">
        <is>
          <t>Move (MOV)</t>
        </is>
      </c>
      <c r="B29" s="25" t="n"/>
      <c r="C29" s="8">
        <f>6+INT($F$10/2)</f>
        <v/>
      </c>
      <c r="D29" s="5" t="inlineStr">
        <is>
          <t>Sprint (SPR)</t>
        </is>
      </c>
      <c r="E29" s="25" t="n"/>
      <c r="F29" s="8">
        <f>(6+INT($F$10/2))*2</f>
        <v/>
      </c>
      <c r="G29" s="5" t="inlineStr">
        <is>
          <t>Repair Efficiency (REP)</t>
        </is>
      </c>
      <c r="H29" s="25" t="n"/>
      <c r="I29" s="8">
        <f>$F$11+$D$18</f>
        <v/>
      </c>
      <c r="J29" s="5" t="inlineStr">
        <is>
          <t>Currently in Chase?</t>
        </is>
      </c>
      <c r="K29" s="25" t="n"/>
      <c r="L29" s="6" t="inlineStr">
        <is>
          <t>No</t>
        </is>
      </c>
    </row>
    <row r="30">
      <c r="A30" s="5" t="inlineStr">
        <is>
          <t>Heal Efficiency (HEAL)</t>
        </is>
      </c>
      <c r="B30" s="25" t="n"/>
      <c r="C30" s="8">
        <f>$F$13+$D$19</f>
        <v/>
      </c>
      <c r="D30" s="5" t="inlineStr">
        <is>
          <t>Passive Stealth (PSTL)</t>
        </is>
      </c>
      <c r="E30" s="25" t="n"/>
      <c r="F30" s="8">
        <f>8+$F$12+$D$20</f>
        <v/>
      </c>
      <c r="G30" s="5" t="inlineStr">
        <is>
          <t>Passive Perception (PPER)</t>
        </is>
      </c>
      <c r="H30" s="25" t="n"/>
      <c r="I30" s="8">
        <f>8+$F$13+$D$25</f>
        <v/>
      </c>
    </row>
    <row r="31">
      <c r="A31" s="5" t="inlineStr">
        <is>
          <t>Fear Resistance (FRES)</t>
        </is>
      </c>
      <c r="B31" s="25" t="n"/>
      <c r="C31" s="8">
        <f>10+$F$14+$D$24</f>
        <v/>
      </c>
      <c r="D31" s="5" t="inlineStr">
        <is>
          <t>Chase Check Mod (CHS)</t>
        </is>
      </c>
      <c r="E31" s="25" t="n"/>
      <c r="F31" s="8">
        <f>$F$10+$D$21</f>
        <v/>
      </c>
      <c r="G31" s="5" t="inlineStr">
        <is>
          <t>Wiggle Check Mod (WIG)</t>
        </is>
      </c>
      <c r="H31" s="25" t="n"/>
      <c r="I31" s="8">
        <f>$F$10+$D$22</f>
        <v/>
      </c>
    </row>
    <row r="32">
      <c r="A32" s="5" t="inlineStr">
        <is>
          <t>Hook Survival Rounds (HKS)</t>
        </is>
      </c>
      <c r="B32" s="25" t="n"/>
      <c r="C32" s="8">
        <f>(8-$G$4)+INT($F$14/2)</f>
        <v/>
      </c>
      <c r="D32" s="5" t="inlineStr">
        <is>
          <t>Self-Unhook Difficulty Class (DC)</t>
        </is>
      </c>
      <c r="E32" s="25" t="n"/>
      <c r="F32" s="8">
        <f>20-(4-$G$4)</f>
        <v/>
      </c>
      <c r="G32" s="5" t="inlineStr">
        <is>
          <t>Load Cap (LOAD)</t>
        </is>
      </c>
      <c r="H32" s="25" t="n"/>
      <c r="I32" s="8">
        <f>2+IF($E$3="Artificer (ART)",1,0)</f>
        <v/>
      </c>
    </row>
    <row r="33">
      <c r="A33" s="11" t="inlineStr">
        <is>
          <t>Action Point (AP): 4 per round when not in chase, 3 in chase. Health State (HS): Healthy → Injured → Dying; when Broken, cannot be healed at all.</t>
        </is>
      </c>
      <c r="B33" s="24" t="n"/>
      <c r="C33" s="24" t="n"/>
      <c r="D33" s="24" t="n"/>
      <c r="E33" s="24" t="n"/>
      <c r="F33" s="24" t="n"/>
      <c r="G33" s="24" t="n"/>
      <c r="H33" s="24" t="n"/>
      <c r="I33" s="24" t="n"/>
      <c r="J33" s="24" t="n"/>
      <c r="K33" s="24" t="n"/>
      <c r="L33" s="25" t="n"/>
    </row>
    <row r="34" ht="20" customHeight="1">
      <c r="A34" s="13" t="inlineStr">
        <is>
          <t>IV. Trial Tracker — cleared at the start of each Trial</t>
        </is>
      </c>
      <c r="B34" s="24" t="n"/>
      <c r="C34" s="24" t="n"/>
      <c r="D34" s="24" t="n"/>
      <c r="E34" s="24" t="n"/>
      <c r="F34" s="24" t="n"/>
      <c r="G34" s="24" t="n"/>
      <c r="H34" s="24" t="n"/>
      <c r="I34" s="24" t="n"/>
      <c r="J34" s="24" t="n"/>
      <c r="K34" s="24" t="n"/>
      <c r="L34" s="25" t="n"/>
    </row>
    <row r="35">
      <c r="A35" s="5" t="inlineStr">
        <is>
          <t>Current Health State</t>
        </is>
      </c>
      <c r="B35" s="25" t="n"/>
      <c r="C35" s="6" t="n"/>
      <c r="D35" s="17" t="inlineStr">
        <is>
          <t>Healthy / Injured / Dying</t>
        </is>
      </c>
      <c r="E35" s="24" t="n"/>
      <c r="F35" s="25" t="n"/>
      <c r="G35" s="5" t="inlineStr">
        <is>
          <t>Current HP (HP)</t>
        </is>
      </c>
      <c r="H35" s="25" t="n"/>
      <c r="I35" s="6" t="n"/>
      <c r="J35" s="17" t="inlineStr"/>
      <c r="K35" s="24" t="n"/>
      <c r="L35" s="25" t="n"/>
    </row>
    <row r="36">
      <c r="A36" s="5" t="inlineStr">
        <is>
          <t>Hook Count This Trial</t>
        </is>
      </c>
      <c r="B36" s="25" t="n"/>
      <c r="C36" s="6" t="n"/>
      <c r="D36" s="17" t="inlineStr">
        <is>
          <t>0 / 1 / 2 (third = Sacrifice)</t>
        </is>
      </c>
      <c r="E36" s="24" t="n"/>
      <c r="F36" s="25" t="n"/>
      <c r="G36" s="5" t="inlineStr">
        <is>
          <t>Hook Phase Timer</t>
        </is>
      </c>
      <c r="H36" s="25" t="n"/>
      <c r="I36" s="6" t="n"/>
      <c r="J36" s="17" t="inlineStr">
        <is>
          <t>round(s)</t>
        </is>
      </c>
      <c r="K36" s="24" t="n"/>
      <c r="L36" s="25" t="n"/>
    </row>
    <row r="37">
      <c r="A37" s="5" t="inlineStr">
        <is>
          <t>Current Distance Band (DB)</t>
        </is>
      </c>
      <c r="B37" s="25" t="n"/>
      <c r="C37" s="6" t="n"/>
      <c r="D37" s="17" t="inlineStr">
        <is>
          <t>Contact / Near / Mid / Far / Escaped</t>
        </is>
      </c>
      <c r="E37" s="24" t="n"/>
      <c r="F37" s="25" t="n"/>
      <c r="G37" s="5" t="inlineStr">
        <is>
          <t>Consecutive Chase Rounds</t>
        </is>
      </c>
      <c r="H37" s="25" t="n"/>
      <c r="I37" s="6" t="n"/>
      <c r="J37" s="17" t="inlineStr">
        <is>
          <t>for Bloodlust check</t>
        </is>
      </c>
      <c r="K37" s="24" t="n"/>
      <c r="L37" s="25" t="n"/>
    </row>
    <row r="38">
      <c r="A38" s="5" t="inlineStr">
        <is>
          <t>Remaining Action Point (AP)</t>
        </is>
      </c>
      <c r="B38" s="25" t="n"/>
      <c r="C38" s="6" t="n"/>
      <c r="D38" s="17" t="inlineStr"/>
      <c r="E38" s="24" t="n"/>
      <c r="F38" s="25" t="n"/>
      <c r="G38" s="5" t="inlineStr">
        <is>
          <t>Persistence Bonus (PB) rounds</t>
        </is>
      </c>
      <c r="H38" s="25" t="n"/>
      <c r="I38" s="6" t="n"/>
      <c r="J38" s="17" t="inlineStr">
        <is>
          <t>consecutive same-action rounds −1, cap +3</t>
        </is>
      </c>
      <c r="K38" s="24" t="n"/>
      <c r="L38" s="25" t="n"/>
    </row>
    <row r="39"/>
    <row r="40" ht="20" customHeight="1">
      <c r="A40" s="13" t="inlineStr">
        <is>
          <t>V. Perks (Perk) — slot count opens by Prestige (PRS): 1 at start, +1 each at Prestige 5 / 10 / 15</t>
        </is>
      </c>
      <c r="B40" s="24" t="n"/>
      <c r="C40" s="24" t="n"/>
      <c r="D40" s="24" t="n"/>
      <c r="E40" s="24" t="n"/>
      <c r="F40" s="24" t="n"/>
      <c r="G40" s="24" t="n"/>
      <c r="H40" s="24" t="n"/>
      <c r="I40" s="24" t="n"/>
      <c r="J40" s="24" t="n"/>
      <c r="K40" s="24" t="n"/>
      <c r="L40" s="25" t="n"/>
    </row>
    <row r="41">
      <c r="A41" s="5" t="inlineStr">
        <is>
          <t>Slot</t>
        </is>
      </c>
      <c r="B41" s="5" t="inlineStr">
        <is>
          <t>Perk Name</t>
        </is>
      </c>
      <c r="C41" s="24" t="n"/>
      <c r="D41" s="25" t="n"/>
      <c r="E41" s="5" t="inlineStr">
        <is>
          <t>Tier</t>
        </is>
      </c>
      <c r="F41" s="5" t="inlineStr">
        <is>
          <t>Effect Summary</t>
        </is>
      </c>
      <c r="G41" s="24" t="n"/>
      <c r="H41" s="24" t="n"/>
      <c r="I41" s="24" t="n"/>
      <c r="J41" s="24" t="n"/>
      <c r="K41" s="24" t="n"/>
      <c r="L41" s="25" t="n"/>
    </row>
    <row r="42">
      <c r="A42" s="5" t="inlineStr">
        <is>
          <t>1 | Initial</t>
        </is>
      </c>
      <c r="B42" s="17" t="inlineStr">
        <is>
          <t>Unyielding Body (TALENT-S16)</t>
        </is>
      </c>
      <c r="C42" s="24" t="n"/>
      <c r="D42" s="25" t="n"/>
      <c r="E42" s="6" t="inlineStr">
        <is>
          <t>Tier 2</t>
        </is>
      </c>
      <c r="F42" s="17" t="inlineStr">
        <is>
          <t>From Dying, can free yourself back to Injured once per Trial.</t>
        </is>
      </c>
      <c r="G42" s="24" t="n"/>
      <c r="H42" s="24" t="n"/>
      <c r="I42" s="24" t="n"/>
      <c r="J42" s="24" t="n"/>
      <c r="K42" s="24" t="n"/>
      <c r="L42" s="25" t="n"/>
    </row>
    <row r="43">
      <c r="A43" s="5" t="inlineStr">
        <is>
          <t>2 | Prestige 5</t>
        </is>
      </c>
      <c r="B43" s="17" t="inlineStr">
        <is>
          <t>Tenacity (TALENT-G02)</t>
        </is>
      </c>
      <c r="C43" s="24" t="n"/>
      <c r="D43" s="25" t="n"/>
      <c r="E43" s="6" t="inlineStr">
        <is>
          <t>Tier 2</t>
        </is>
      </c>
      <c r="F43" s="17" t="inlineStr">
        <is>
          <t>While Injured, all non-combat action checks +2 (repair, heal, open doors, search chests, vault windows, push Pallets).</t>
        </is>
      </c>
      <c r="G43" s="24" t="n"/>
      <c r="H43" s="24" t="n"/>
      <c r="I43" s="24" t="n"/>
      <c r="J43" s="24" t="n"/>
      <c r="K43" s="24" t="n"/>
      <c r="L43" s="25" t="n"/>
    </row>
    <row r="44">
      <c r="A44" s="5" t="inlineStr">
        <is>
          <t>3 | Prestige 10</t>
        </is>
      </c>
      <c r="B44" s="17" t="inlineStr"/>
      <c r="C44" s="24" t="n"/>
      <c r="D44" s="25" t="n"/>
      <c r="E44" s="6" t="inlineStr"/>
      <c r="F44" s="17" t="inlineStr"/>
      <c r="G44" s="24" t="n"/>
      <c r="H44" s="24" t="n"/>
      <c r="I44" s="24" t="n"/>
      <c r="J44" s="24" t="n"/>
      <c r="K44" s="24" t="n"/>
      <c r="L44" s="25" t="n"/>
    </row>
    <row r="45">
      <c r="A45" s="5" t="inlineStr">
        <is>
          <t>4 | Prestige 15</t>
        </is>
      </c>
      <c r="B45" s="17" t="inlineStr"/>
      <c r="C45" s="24" t="n"/>
      <c r="D45" s="25" t="n"/>
      <c r="E45" s="6" t="inlineStr"/>
      <c r="F45" s="17" t="inlineStr"/>
      <c r="G45" s="24" t="n"/>
      <c r="H45" s="24" t="n"/>
      <c r="I45" s="24" t="n"/>
      <c r="J45" s="24" t="n"/>
      <c r="K45" s="24" t="n"/>
      <c r="L45" s="25" t="n"/>
    </row>
    <row r="46">
      <c r="A46" s="11" t="inlineStr">
        <is>
          <t>Perks have three tiers: Tier 1 (Common) / Tier 2 (Uncommon) / Tier 3 (Very Rare). In the Tier column write Tier 1 / Tier 2 / Tier 3. See the Perk Codex. In a Solo Trial (Setup 1), perks that involve allies instead target the Echo Companion; if no Echo Companion is present, use the perk's solo-variant clause.</t>
        </is>
      </c>
      <c r="B46" s="24" t="n"/>
      <c r="C46" s="24" t="n"/>
      <c r="D46" s="24" t="n"/>
      <c r="E46" s="24" t="n"/>
      <c r="F46" s="24" t="n"/>
      <c r="G46" s="24" t="n"/>
      <c r="H46" s="24" t="n"/>
      <c r="I46" s="24" t="n"/>
      <c r="J46" s="24" t="n"/>
      <c r="K46" s="24" t="n"/>
      <c r="L46" s="25" t="n"/>
    </row>
    <row r="47" ht="20" customHeight="1">
      <c r="A47" s="13" t="inlineStr">
        <is>
          <t>VI. Carried Items &amp; Add-ons (Item &amp; Add-on) — Load (LOAD) cap see Derived Values</t>
        </is>
      </c>
      <c r="B47" s="24" t="n"/>
      <c r="C47" s="24" t="n"/>
      <c r="D47" s="24" t="n"/>
      <c r="E47" s="24" t="n"/>
      <c r="F47" s="24" t="n"/>
      <c r="G47" s="24" t="n"/>
      <c r="H47" s="24" t="n"/>
      <c r="I47" s="24" t="n"/>
      <c r="J47" s="24" t="n"/>
      <c r="K47" s="24" t="n"/>
      <c r="L47" s="25" t="n"/>
    </row>
    <row r="48">
      <c r="A48" s="5" t="inlineStr">
        <is>
          <t>Item Name</t>
        </is>
      </c>
      <c r="B48" s="24" t="n"/>
      <c r="C48" s="25" t="n"/>
      <c r="D48" s="5" t="inlineStr">
        <is>
          <t>Type</t>
        </is>
      </c>
      <c r="E48" s="25" t="n"/>
      <c r="F48" s="5" t="inlineStr">
        <is>
          <t>Rarity</t>
        </is>
      </c>
      <c r="G48" s="5" t="inlineStr">
        <is>
          <t>Charge (CHG)</t>
        </is>
      </c>
      <c r="H48" s="5" t="inlineStr">
        <is>
          <t>Add-on 1</t>
        </is>
      </c>
      <c r="I48" s="25" t="n"/>
      <c r="J48" s="5" t="inlineStr">
        <is>
          <t>Add-on 2</t>
        </is>
      </c>
      <c r="K48" s="24" t="n"/>
      <c r="L48" s="25" t="n"/>
    </row>
    <row r="49">
      <c r="A49" s="17" t="inlineStr">
        <is>
          <t>First Aid Kit (FAK)</t>
        </is>
      </c>
      <c r="B49" s="24" t="n"/>
      <c r="C49" s="25" t="n"/>
      <c r="D49" s="6" t="inlineStr">
        <is>
          <t>Healing</t>
        </is>
      </c>
      <c r="E49" s="25" t="n"/>
      <c r="F49" s="6" t="inlineStr">
        <is>
          <t>Rare</t>
        </is>
      </c>
      <c r="G49" s="6" t="n">
        <v>10</v>
      </c>
      <c r="H49" s="17" t="inlineStr">
        <is>
          <t>Mend Needle</t>
        </is>
      </c>
      <c r="I49" s="25" t="n"/>
      <c r="J49" s="17" t="inlineStr">
        <is>
          <t>Painkiller</t>
        </is>
      </c>
      <c r="K49" s="24" t="n"/>
      <c r="L49" s="25" t="n"/>
    </row>
    <row r="50">
      <c r="A50" s="17" t="inlineStr">
        <is>
          <t>Crowbar (CRB)</t>
        </is>
      </c>
      <c r="B50" s="24" t="n"/>
      <c r="C50" s="25" t="n"/>
      <c r="D50" s="6" t="inlineStr">
        <is>
          <t>Tool</t>
        </is>
      </c>
      <c r="E50" s="25" t="n"/>
      <c r="F50" s="6" t="inlineStr">
        <is>
          <t>Common</t>
        </is>
      </c>
      <c r="G50" s="6" t="inlineStr">
        <is>
          <t>—</t>
        </is>
      </c>
      <c r="H50" s="17" t="inlineStr"/>
      <c r="I50" s="25" t="n"/>
      <c r="J50" s="17" t="inlineStr"/>
      <c r="K50" s="24" t="n"/>
      <c r="L50" s="25" t="n"/>
    </row>
    <row r="51">
      <c r="A51" s="17" t="inlineStr"/>
      <c r="B51" s="24" t="n"/>
      <c r="C51" s="25" t="n"/>
      <c r="D51" s="6" t="inlineStr"/>
      <c r="E51" s="25" t="n"/>
      <c r="F51" s="6" t="inlineStr"/>
      <c r="G51" s="6" t="inlineStr"/>
      <c r="H51" s="17" t="inlineStr"/>
      <c r="I51" s="25" t="n"/>
      <c r="J51" s="17" t="inlineStr"/>
      <c r="K51" s="24" t="n"/>
      <c r="L51" s="25" t="n"/>
    </row>
    <row r="52">
      <c r="A52" s="17" t="inlineStr"/>
      <c r="B52" s="24" t="n"/>
      <c r="C52" s="25" t="n"/>
      <c r="D52" s="6" t="inlineStr"/>
      <c r="E52" s="25" t="n"/>
      <c r="F52" s="6" t="inlineStr"/>
      <c r="G52" s="6" t="inlineStr"/>
      <c r="H52" s="17" t="inlineStr"/>
      <c r="I52" s="25" t="n"/>
      <c r="J52" s="17" t="inlineStr"/>
      <c r="K52" s="24" t="n"/>
      <c r="L52" s="25" t="n"/>
    </row>
    <row r="53"/>
    <row r="54" ht="20" customHeight="1">
      <c r="A54" s="13" t="inlineStr">
        <is>
          <t>VII. Status Effects (Status Effect) — check those currently active and record remaining rounds</t>
        </is>
      </c>
      <c r="B54" s="24" t="n"/>
      <c r="C54" s="24" t="n"/>
      <c r="D54" s="24" t="n"/>
      <c r="E54" s="24" t="n"/>
      <c r="F54" s="24" t="n"/>
      <c r="G54" s="24" t="n"/>
      <c r="H54" s="24" t="n"/>
      <c r="I54" s="24" t="n"/>
      <c r="J54" s="24" t="n"/>
      <c r="K54" s="24" t="n"/>
      <c r="L54" s="25" t="n"/>
    </row>
    <row r="55">
      <c r="A55" s="5" t="inlineStr">
        <is>
          <t>Broken</t>
        </is>
      </c>
      <c r="B55" s="24" t="n"/>
      <c r="C55" s="25" t="n"/>
      <c r="D55" s="6" t="n"/>
      <c r="E55" s="5" t="inlineStr">
        <is>
          <t>Deep Wound</t>
        </is>
      </c>
      <c r="F55" s="24" t="n"/>
      <c r="G55" s="25" t="n"/>
      <c r="H55" s="6" t="n"/>
      <c r="I55" s="5" t="inlineStr">
        <is>
          <t>Exhausted</t>
        </is>
      </c>
      <c r="J55" s="24" t="n"/>
      <c r="K55" s="25" t="n"/>
      <c r="L55" s="6" t="n"/>
    </row>
    <row r="56">
      <c r="A56" s="5" t="inlineStr">
        <is>
          <t>Blindness</t>
        </is>
      </c>
      <c r="B56" s="24" t="n"/>
      <c r="C56" s="25" t="n"/>
      <c r="D56" s="6" t="n"/>
      <c r="E56" s="5" t="inlineStr">
        <is>
          <t>Haemorrhage</t>
        </is>
      </c>
      <c r="F56" s="24" t="n"/>
      <c r="G56" s="25" t="n"/>
      <c r="H56" s="6" t="n"/>
      <c r="I56" s="5" t="inlineStr">
        <is>
          <t>Endurance</t>
        </is>
      </c>
      <c r="J56" s="24" t="n"/>
      <c r="K56" s="25" t="n"/>
      <c r="L56" s="6" t="n"/>
    </row>
    <row r="57">
      <c r="A57" s="5" t="inlineStr">
        <is>
          <t>Haste</t>
        </is>
      </c>
      <c r="B57" s="24" t="n"/>
      <c r="C57" s="25" t="n"/>
      <c r="D57" s="6" t="n"/>
      <c r="E57" s="5" t="inlineStr">
        <is>
          <t>Hindered</t>
        </is>
      </c>
      <c r="F57" s="24" t="n"/>
      <c r="G57" s="25" t="n"/>
      <c r="H57" s="6" t="n"/>
      <c r="I57" s="5" t="inlineStr">
        <is>
          <t>Exposed</t>
        </is>
      </c>
      <c r="J57" s="24" t="n"/>
      <c r="K57" s="25" t="n"/>
      <c r="L57" s="6" t="n"/>
    </row>
    <row r="58">
      <c r="A58" s="5" t="inlineStr">
        <is>
          <t>Mangled</t>
        </is>
      </c>
      <c r="B58" s="24" t="n"/>
      <c r="C58" s="25" t="n"/>
      <c r="D58" s="6" t="n"/>
      <c r="E58" s="5" t="inlineStr">
        <is>
          <t>Madness</t>
        </is>
      </c>
      <c r="F58" s="24" t="n"/>
      <c r="G58" s="25" t="n"/>
      <c r="H58" s="6" t="n"/>
      <c r="I58" s="5" t="inlineStr">
        <is>
          <t>Trembling</t>
        </is>
      </c>
      <c r="J58" s="24" t="n"/>
      <c r="K58" s="25" t="n"/>
      <c r="L58" s="6" t="n"/>
    </row>
    <row r="59"/>
    <row r="60" ht="20" customHeight="1">
      <c r="A60" s="13" t="inlineStr">
        <is>
          <t>VIII. Background &amp; Notes</t>
        </is>
      </c>
      <c r="B60" s="24" t="n"/>
      <c r="C60" s="24" t="n"/>
      <c r="D60" s="24" t="n"/>
      <c r="E60" s="24" t="n"/>
      <c r="F60" s="24" t="n"/>
      <c r="G60" s="24" t="n"/>
      <c r="H60" s="24" t="n"/>
      <c r="I60" s="24" t="n"/>
      <c r="J60" s="24" t="n"/>
      <c r="K60" s="24" t="n"/>
      <c r="L60" s="25" t="n"/>
    </row>
    <row r="61">
      <c r="A61" s="18" t="inlineStr">
        <is>
          <t>Huo Zhenshan, 47, a retired combat-engineer sergeant major of eleven years.
He defused over three hundred mines; none ever blew. The 307th blew — not in his hands, but his apprentice's. He carried the man four kilometers; by the medical station he was already cold. The fog came three years later, when he was burning that unwashed uniform in the backyard.
[Solo Role] The strongest Archetype for Solo Trial. Max HP (HP_max) reaches 27, Fear Resistance (FRES) +16, and "Unyielding Body" lets the Player self-free from Dying with no teammates to raise — the survival baseline of Config I.</t>
        </is>
      </c>
      <c r="B61" s="31" t="n"/>
      <c r="C61" s="31" t="n"/>
      <c r="D61" s="31" t="n"/>
      <c r="E61" s="31" t="n"/>
      <c r="F61" s="31" t="n"/>
      <c r="G61" s="31" t="n"/>
      <c r="H61" s="31" t="n"/>
      <c r="I61" s="31" t="n"/>
      <c r="J61" s="31" t="n"/>
      <c r="K61" s="31" t="n"/>
      <c r="L61" s="32" t="n"/>
    </row>
    <row r="62">
      <c r="A62" s="33" t="n"/>
      <c r="L62" s="34" t="n"/>
    </row>
    <row r="63">
      <c r="A63" s="33" t="n"/>
      <c r="L63" s="34" t="n"/>
    </row>
    <row r="64">
      <c r="A64" s="33" t="n"/>
      <c r="L64" s="34" t="n"/>
    </row>
    <row r="65">
      <c r="A65" s="33" t="n"/>
      <c r="L65" s="34" t="n"/>
    </row>
    <row r="66">
      <c r="A66" s="35" t="n"/>
      <c r="B66" s="36" t="n"/>
      <c r="C66" s="36" t="n"/>
      <c r="D66" s="36" t="n"/>
      <c r="E66" s="36" t="n"/>
      <c r="F66" s="36" t="n"/>
      <c r="G66" s="36" t="n"/>
      <c r="H66" s="36" t="n"/>
      <c r="I66" s="36" t="n"/>
      <c r="J66" s="36" t="n"/>
      <c r="K66" s="36" t="n"/>
      <c r="L66" s="37" t="n"/>
    </row>
  </sheetData>
  <mergeCells count="115">
    <mergeCell ref="B42:D42"/>
    <mergeCell ref="A15:B15"/>
    <mergeCell ref="G19:L19"/>
    <mergeCell ref="A46:L46"/>
    <mergeCell ref="I4:L4"/>
    <mergeCell ref="F43:L43"/>
    <mergeCell ref="J35:L35"/>
    <mergeCell ref="B44:D44"/>
    <mergeCell ref="J28:K28"/>
    <mergeCell ref="I56:K56"/>
    <mergeCell ref="D31:E31"/>
    <mergeCell ref="A26:C26"/>
    <mergeCell ref="A57:C57"/>
    <mergeCell ref="D37:F37"/>
    <mergeCell ref="G14:L14"/>
    <mergeCell ref="E57:G57"/>
    <mergeCell ref="J50:L50"/>
    <mergeCell ref="D48:E48"/>
    <mergeCell ref="H52:I52"/>
    <mergeCell ref="A52:C52"/>
    <mergeCell ref="J52:L52"/>
    <mergeCell ref="A61:L66"/>
    <mergeCell ref="E58:G58"/>
    <mergeCell ref="J48:L48"/>
    <mergeCell ref="A34:L34"/>
    <mergeCell ref="A35:B35"/>
    <mergeCell ref="F45:L45"/>
    <mergeCell ref="J38:L38"/>
    <mergeCell ref="A49:C49"/>
    <mergeCell ref="D51:E51"/>
    <mergeCell ref="A28:B28"/>
    <mergeCell ref="B43:D43"/>
    <mergeCell ref="A30:B30"/>
    <mergeCell ref="G10:L10"/>
    <mergeCell ref="G18:L18"/>
    <mergeCell ref="H50:I50"/>
    <mergeCell ref="A55:C55"/>
    <mergeCell ref="G38:H38"/>
    <mergeCell ref="A37:B37"/>
    <mergeCell ref="I6:L6"/>
    <mergeCell ref="H49:I49"/>
    <mergeCell ref="A2:C6"/>
    <mergeCell ref="G20:L20"/>
    <mergeCell ref="B45:D45"/>
    <mergeCell ref="G22:L22"/>
    <mergeCell ref="A58:C58"/>
    <mergeCell ref="E56:G56"/>
    <mergeCell ref="A40:L40"/>
    <mergeCell ref="G12:L12"/>
    <mergeCell ref="G21:L21"/>
    <mergeCell ref="A51:C51"/>
    <mergeCell ref="G35:H35"/>
    <mergeCell ref="A60:L60"/>
    <mergeCell ref="H48:I48"/>
    <mergeCell ref="D29:E29"/>
    <mergeCell ref="J37:L37"/>
    <mergeCell ref="G23:L23"/>
    <mergeCell ref="A16:L16"/>
    <mergeCell ref="J29:K29"/>
    <mergeCell ref="A36:B36"/>
    <mergeCell ref="A50:C50"/>
    <mergeCell ref="E2:G2"/>
    <mergeCell ref="I55:K55"/>
    <mergeCell ref="D52:E52"/>
    <mergeCell ref="D49:E49"/>
    <mergeCell ref="A47:L47"/>
    <mergeCell ref="G37:H37"/>
    <mergeCell ref="I2:L2"/>
    <mergeCell ref="G25:L25"/>
    <mergeCell ref="B41:D41"/>
    <mergeCell ref="G9:L9"/>
    <mergeCell ref="D35:F35"/>
    <mergeCell ref="A32:B32"/>
    <mergeCell ref="D28:E28"/>
    <mergeCell ref="G11:L11"/>
    <mergeCell ref="A38:B38"/>
    <mergeCell ref="D30:E30"/>
    <mergeCell ref="F41:L41"/>
    <mergeCell ref="G32:H32"/>
    <mergeCell ref="D36:F36"/>
    <mergeCell ref="I57:K57"/>
    <mergeCell ref="A54:L54"/>
    <mergeCell ref="A7:L7"/>
    <mergeCell ref="J49:L49"/>
    <mergeCell ref="J36:L36"/>
    <mergeCell ref="G13:L13"/>
    <mergeCell ref="A56:C56"/>
    <mergeCell ref="G36:H36"/>
    <mergeCell ref="I58:K58"/>
    <mergeCell ref="A27:L27"/>
    <mergeCell ref="G24:L24"/>
    <mergeCell ref="A33:L33"/>
    <mergeCell ref="F44:L44"/>
    <mergeCell ref="H51:I51"/>
    <mergeCell ref="A8:L8"/>
    <mergeCell ref="D32:E32"/>
    <mergeCell ref="G28:H28"/>
    <mergeCell ref="G26:L26"/>
    <mergeCell ref="J51:L51"/>
    <mergeCell ref="D38:F38"/>
    <mergeCell ref="G30:H30"/>
    <mergeCell ref="E3:G3"/>
    <mergeCell ref="F15:L15"/>
    <mergeCell ref="A48:C48"/>
    <mergeCell ref="F42:L42"/>
    <mergeCell ref="G29:H29"/>
    <mergeCell ref="E55:G55"/>
    <mergeCell ref="A29:B29"/>
    <mergeCell ref="I3:L3"/>
    <mergeCell ref="A1:L1"/>
    <mergeCell ref="G17:L17"/>
    <mergeCell ref="G31:H31"/>
    <mergeCell ref="D50:E50"/>
    <mergeCell ref="A31:B31"/>
    <mergeCell ref="I5:L5"/>
  </mergeCells>
  <dataValidations count="16">
    <dataValidation sqref="E3:G3" showDropDown="0" showInputMessage="0" showErrorMessage="0" allowBlank="1" type="list">
      <formula1>"號令者（LEA）,疾行者（SPR）,草藥師（HRB）,匠人（ART）,拾荒客（SCV）,退役兵（VET）"</formula1>
    </dataValidation>
    <dataValidation sqref="I3:L3" showDropDown="0" showInputMessage="0" showErrorMessage="0" allowBlank="1" type="list">
      <formula1>"機械師（REP）,守護者（RES）,幽影（STE）,磐石（END）,破襲手（SAB）,探路者（SCT）"</formula1>
    </dataValidation>
    <dataValidation sqref="L28:L29" showDropDown="0" showInputMessage="0" showErrorMessage="0" allowBlank="1" type="list">
      <formula1>"是,否"</formula1>
    </dataValidation>
    <dataValidation sqref="C35" showDropDown="0" showInputMessage="0" showErrorMessage="0" allowBlank="1" type="list">
      <formula1>"健康,受傷,瀕死"</formula1>
    </dataValidation>
    <dataValidation sqref="D55" showDropDown="0" showInputMessage="0" showErrorMessage="0" allowBlank="1" type="list">
      <formula1>",生效,1,2,3,4,5"</formula1>
    </dataValidation>
    <dataValidation sqref="H55" showDropDown="0" showInputMessage="0" showErrorMessage="0" allowBlank="1" type="list">
      <formula1>",生效,1,2,3,4,5"</formula1>
    </dataValidation>
    <dataValidation sqref="L55" showDropDown="0" showInputMessage="0" showErrorMessage="0" allowBlank="1" type="list">
      <formula1>",生效,1,2,3,4,5"</formula1>
    </dataValidation>
    <dataValidation sqref="D56" showDropDown="0" showInputMessage="0" showErrorMessage="0" allowBlank="1" type="list">
      <formula1>",生效,1,2,3,4,5"</formula1>
    </dataValidation>
    <dataValidation sqref="H56" showDropDown="0" showInputMessage="0" showErrorMessage="0" allowBlank="1" type="list">
      <formula1>",生效,1,2,3,4,5"</formula1>
    </dataValidation>
    <dataValidation sqref="L56" showDropDown="0" showInputMessage="0" showErrorMessage="0" allowBlank="1" type="list">
      <formula1>",生效,1,2,3,4,5"</formula1>
    </dataValidation>
    <dataValidation sqref="D57" showDropDown="0" showInputMessage="0" showErrorMessage="0" allowBlank="1" type="list">
      <formula1>",生效,1,2,3,4,5"</formula1>
    </dataValidation>
    <dataValidation sqref="H57" showDropDown="0" showInputMessage="0" showErrorMessage="0" allowBlank="1" type="list">
      <formula1>",生效,1,2,3,4,5"</formula1>
    </dataValidation>
    <dataValidation sqref="L57" showDropDown="0" showInputMessage="0" showErrorMessage="0" allowBlank="1" type="list">
      <formula1>",生效,1,2,3,4,5"</formula1>
    </dataValidation>
    <dataValidation sqref="D58" showDropDown="0" showInputMessage="0" showErrorMessage="0" allowBlank="1" type="list">
      <formula1>",生效,1,2,3,4,5"</formula1>
    </dataValidation>
    <dataValidation sqref="H58" showDropDown="0" showInputMessage="0" showErrorMessage="0" allowBlank="1" type="list">
      <formula1>",生效,1,2,3,4,5"</formula1>
    </dataValidation>
    <dataValidation sqref="L58" showDropDown="0" showInputMessage="0" showErrorMessage="0" allowBlank="1" type="list">
      <formula1>",生效,1,2,3,4,5"</formula1>
    </dataValidation>
  </dataValidations>
  <printOptions horizontalCentered="1"/>
  <pageMargins left="0.75" right="0.75" top="1" bottom="1" header="0.5" footer="0.5"/>
  <pageSetup orientation="portrait" fitToHeight="0" fitToWidth="1"/>
</worksheet>
</file>

<file path=xl/worksheets/sheet3.xml><?xml version="1.0" encoding="utf-8"?>
<worksheet xmlns="http://schemas.openxmlformats.org/spreadsheetml/2006/main">
  <sheetPr>
    <outlinePr summaryBelow="1" summaryRight="1"/>
    <pageSetUpPr fitToPage="1"/>
  </sheetPr>
  <dimension ref="A1:L66"/>
  <sheetViews>
    <sheetView showGridLines="0" workbookViewId="0">
      <selection activeCell="A1" sqref="A1"/>
    </sheetView>
  </sheetViews>
  <sheetFormatPr baseColWidth="8" defaultRowHeight="15"/>
  <cols>
    <col width="13" customWidth="1" min="1" max="1"/>
    <col width="7" customWidth="1" min="2" max="2"/>
    <col width="8" customWidth="1" min="3" max="3"/>
    <col width="9" customWidth="1" min="4" max="4"/>
    <col width="9" customWidth="1" min="5" max="5"/>
    <col width="10" customWidth="1" min="6" max="6"/>
    <col width="9" customWidth="1" min="7" max="7"/>
    <col width="12" customWidth="1" min="8" max="8"/>
    <col width="11" customWidth="1" min="9" max="9"/>
    <col width="11" customWidth="1" min="10" max="10"/>
    <col width="11" customWidth="1" min="11" max="11"/>
    <col width="16" customWidth="1" min="12" max="12"/>
  </cols>
  <sheetData>
    <row r="1" ht="28" customHeight="1">
      <c r="A1" s="1" t="inlineStr">
        <is>
          <t>Dead by Daylight TRPG　Survivor Character Sheet</t>
        </is>
      </c>
      <c r="B1" s="20" t="n"/>
      <c r="C1" s="20" t="n"/>
      <c r="D1" s="20" t="n"/>
      <c r="E1" s="20" t="n"/>
      <c r="F1" s="20" t="n"/>
      <c r="G1" s="20" t="n"/>
      <c r="H1" s="20" t="n"/>
      <c r="I1" s="20" t="n"/>
      <c r="J1" s="20" t="n"/>
      <c r="K1" s="20" t="n"/>
      <c r="L1" s="21" t="n"/>
    </row>
    <row r="2">
      <c r="A2" s="3" t="inlineStr">
        <is>
          <t>Character Art
(Paste character image here)</t>
        </is>
      </c>
      <c r="B2" s="22" t="n"/>
      <c r="C2" s="23" t="n"/>
      <c r="D2" s="5" t="inlineStr">
        <is>
          <t>Character Name</t>
        </is>
      </c>
      <c r="E2" s="6" t="inlineStr">
        <is>
          <t>Wu Xiaotang</t>
        </is>
      </c>
      <c r="F2" s="24" t="n"/>
      <c r="G2" s="25" t="n"/>
      <c r="H2" s="5" t="inlineStr">
        <is>
          <t>Player</t>
        </is>
      </c>
      <c r="I2" s="6" t="inlineStr">
        <is>
          <t>Example</t>
        </is>
      </c>
      <c r="J2" s="24" t="n"/>
      <c r="K2" s="24" t="n"/>
      <c r="L2" s="25" t="n"/>
    </row>
    <row r="3">
      <c r="A3" s="26" t="n"/>
      <c r="C3" s="27" t="n"/>
      <c r="D3" s="5" t="inlineStr">
        <is>
          <t>Archetype</t>
        </is>
      </c>
      <c r="E3" s="6" t="inlineStr">
        <is>
          <t>Sprinter (SPR)</t>
        </is>
      </c>
      <c r="F3" s="24" t="n"/>
      <c r="G3" s="25" t="n"/>
      <c r="H3" s="5" t="inlineStr">
        <is>
          <t>Survival Specialization</t>
        </is>
      </c>
      <c r="I3" s="6" t="inlineStr">
        <is>
          <t>Shade (STE)</t>
        </is>
      </c>
      <c r="J3" s="24" t="n"/>
      <c r="K3" s="24" t="n"/>
      <c r="L3" s="25" t="n"/>
    </row>
    <row r="4">
      <c r="A4" s="26" t="n"/>
      <c r="C4" s="27" t="n"/>
      <c r="D4" s="5" t="inlineStr">
        <is>
          <t>Prestige (PRS)</t>
        </is>
      </c>
      <c r="E4" s="6" t="n">
        <v>3</v>
      </c>
      <c r="F4" s="5" t="inlineStr">
        <is>
          <t>Player Count (N)</t>
        </is>
      </c>
      <c r="G4" s="6" t="n">
        <v>2</v>
      </c>
      <c r="H4" s="5" t="inlineStr">
        <is>
          <t>Current Bloodpoint (BP)</t>
        </is>
      </c>
      <c r="I4" s="6" t="n">
        <v>24800</v>
      </c>
      <c r="J4" s="24" t="n"/>
      <c r="K4" s="24" t="n"/>
      <c r="L4" s="25" t="n"/>
    </row>
    <row r="5">
      <c r="A5" s="26" t="n"/>
      <c r="C5" s="27" t="n"/>
      <c r="D5" s="5" t="inlineStr">
        <is>
          <t>Attribute Point (ATP)</t>
        </is>
      </c>
      <c r="E5" s="8">
        <f>15+INT($E$4/2)</f>
        <v/>
      </c>
      <c r="F5" s="5" t="inlineStr">
        <is>
          <t>Skill Point (SKP)</t>
        </is>
      </c>
      <c r="G5" s="8">
        <f>2+$E$4</f>
        <v/>
      </c>
      <c r="H5" s="5" t="inlineStr">
        <is>
          <t>Bloodpoint Cap (BP_max)</t>
        </is>
      </c>
      <c r="I5" s="9">
        <f>20000+2000*($E$4-1)+200*($E$4-1)^2</f>
        <v/>
      </c>
      <c r="J5" s="24" t="n"/>
      <c r="K5" s="24" t="n"/>
      <c r="L5" s="25" t="n"/>
    </row>
    <row r="6">
      <c r="A6" s="28" t="n"/>
      <c r="B6" s="29" t="n"/>
      <c r="C6" s="30" t="n"/>
      <c r="D6" s="5" t="inlineStr">
        <is>
          <t>Perk Slot Count (PERK)</t>
        </is>
      </c>
      <c r="E6" s="8">
        <f>1+($E$4&gt;=5)+($E$4&gt;=10)+($E$4&gt;=15)</f>
        <v/>
      </c>
      <c r="F6" s="5" t="inlineStr">
        <is>
          <t>Hope Point Cap</t>
        </is>
      </c>
      <c r="G6" s="8">
        <f>2+INT($E$4/5)</f>
        <v/>
      </c>
      <c r="H6" s="5" t="inlineStr">
        <is>
          <t>Current Hope Point (HOP)</t>
        </is>
      </c>
      <c r="I6" s="6" t="n">
        <v>2</v>
      </c>
      <c r="J6" s="24" t="n"/>
      <c r="K6" s="24" t="n"/>
      <c r="L6" s="25" t="n"/>
    </row>
    <row r="7">
      <c r="A7" s="11" t="inlineStr">
        <is>
          <t>Beige cells = auto-calculated by formula; do not type. White cells = player-filled.'Player Count (N)' counts only Survivors played by players; the Echo Companion is not counted.</t>
        </is>
      </c>
      <c r="B7" s="24" t="n"/>
      <c r="C7" s="24" t="n"/>
      <c r="D7" s="24" t="n"/>
      <c r="E7" s="24" t="n"/>
      <c r="F7" s="24" t="n"/>
      <c r="G7" s="24" t="n"/>
      <c r="H7" s="24" t="n"/>
      <c r="I7" s="24" t="n"/>
      <c r="J7" s="24" t="n"/>
      <c r="K7" s="24" t="n"/>
      <c r="L7" s="25" t="n"/>
    </row>
    <row r="8" ht="20" customHeight="1">
      <c r="A8" s="13" t="inlineStr">
        <is>
          <t>I. Attributes (Attribute) — Attribute Value 1–10; Attribute Bonus (AB) = INT(Attribute Value ÷ 2)</t>
        </is>
      </c>
      <c r="B8" s="24" t="n"/>
      <c r="C8" s="24" t="n"/>
      <c r="D8" s="24" t="n"/>
      <c r="E8" s="24" t="n"/>
      <c r="F8" s="24" t="n"/>
      <c r="G8" s="24" t="n"/>
      <c r="H8" s="24" t="n"/>
      <c r="I8" s="24" t="n"/>
      <c r="J8" s="24" t="n"/>
      <c r="K8" s="24" t="n"/>
      <c r="L8" s="25" t="n"/>
    </row>
    <row r="9">
      <c r="A9" s="5" t="inlineStr">
        <is>
          <t>Attribute</t>
        </is>
      </c>
      <c r="B9" s="5" t="inlineStr">
        <is>
          <t>Abbrev.</t>
        </is>
      </c>
      <c r="C9" s="5" t="inlineStr">
        <is>
          <t>Base Value</t>
        </is>
      </c>
      <c r="D9" s="5" t="inlineStr">
        <is>
          <t>Archetype Adj.</t>
        </is>
      </c>
      <c r="E9" s="5" t="inlineStr">
        <is>
          <t>Attribute Value</t>
        </is>
      </c>
      <c r="F9" s="5" t="inlineStr">
        <is>
          <t>Attribute Bonus (AB)</t>
        </is>
      </c>
      <c r="G9" s="5" t="inlineStr">
        <is>
          <t>Use</t>
        </is>
      </c>
      <c r="H9" s="24" t="n"/>
      <c r="I9" s="24" t="n"/>
      <c r="J9" s="24" t="n"/>
      <c r="K9" s="24" t="n"/>
      <c r="L9" s="25" t="n"/>
    </row>
    <row r="10">
      <c r="A10" s="16" t="inlineStr">
        <is>
          <t>Agility</t>
        </is>
      </c>
      <c r="B10" s="16" t="inlineStr">
        <is>
          <t>AGI</t>
        </is>
      </c>
      <c r="C10" s="6" t="n">
        <v>5</v>
      </c>
      <c r="D10" s="6" t="n">
        <v>2</v>
      </c>
      <c r="E10" s="8">
        <f>C10+D10</f>
        <v/>
      </c>
      <c r="F10" s="8">
        <f>INT(E10/2)</f>
        <v/>
      </c>
      <c r="G10" s="17" t="inlineStr">
        <is>
          <t>Vault windows, drop pallets, dodge, wriggle. The core of chase survival.</t>
        </is>
      </c>
      <c r="H10" s="24" t="n"/>
      <c r="I10" s="24" t="n"/>
      <c r="J10" s="24" t="n"/>
      <c r="K10" s="24" t="n"/>
      <c r="L10" s="25" t="n"/>
    </row>
    <row r="11">
      <c r="A11" s="16" t="inlineStr">
        <is>
          <t>Technique</t>
        </is>
      </c>
      <c r="B11" s="16" t="inlineStr">
        <is>
          <t>TEC</t>
        </is>
      </c>
      <c r="C11" s="6" t="n">
        <v>3</v>
      </c>
      <c r="D11" s="6" t="n">
        <v>0</v>
      </c>
      <c r="E11" s="8">
        <f>C11+D11</f>
        <v/>
      </c>
      <c r="F11" s="8">
        <f>INT(E11/2)</f>
        <v/>
      </c>
      <c r="G11" s="17" t="inlineStr">
        <is>
          <t>Generator repair, disarm traps, open chests. The core of the victory condition.</t>
        </is>
      </c>
      <c r="H11" s="24" t="n"/>
      <c r="I11" s="24" t="n"/>
      <c r="J11" s="24" t="n"/>
      <c r="K11" s="24" t="n"/>
      <c r="L11" s="25" t="n"/>
    </row>
    <row r="12">
      <c r="A12" s="16" t="inlineStr">
        <is>
          <t>Stealth</t>
        </is>
      </c>
      <c r="B12" s="16" t="inlineStr">
        <is>
          <t>STL</t>
        </is>
      </c>
      <c r="C12" s="6" t="n">
        <v>3</v>
      </c>
      <c r="D12" s="6" t="n">
        <v>0</v>
      </c>
      <c r="E12" s="8">
        <f>C12+D12</f>
        <v/>
      </c>
      <c r="F12" s="8">
        <f>INT(E12/2)</f>
        <v/>
      </c>
      <c r="G12" s="17" t="inlineStr">
        <is>
          <t>Crouch, hide in lockers, erase scratch marks, counter killer tracking.</t>
        </is>
      </c>
      <c r="H12" s="24" t="n"/>
      <c r="I12" s="24" t="n"/>
      <c r="J12" s="24" t="n"/>
      <c r="K12" s="24" t="n"/>
      <c r="L12" s="25" t="n"/>
    </row>
    <row r="13">
      <c r="A13" s="16" t="inlineStr">
        <is>
          <t>Focus</t>
        </is>
      </c>
      <c r="B13" s="16" t="inlineStr">
        <is>
          <t>FOC</t>
        </is>
      </c>
      <c r="C13" s="6" t="n">
        <v>3</v>
      </c>
      <c r="D13" s="6" t="n">
        <v>0</v>
      </c>
      <c r="E13" s="8">
        <f>C13+D13</f>
        <v/>
      </c>
      <c r="F13" s="8">
        <f>INT(E13/2)</f>
        <v/>
      </c>
      <c r="G13" s="17" t="inlineStr">
        <is>
          <t>Four-tier skill-check quality, rescue timing, anti-interference, self-unhook.</t>
        </is>
      </c>
      <c r="H13" s="24" t="n"/>
      <c r="I13" s="24" t="n"/>
      <c r="J13" s="24" t="n"/>
      <c r="K13" s="24" t="n"/>
      <c r="L13" s="25" t="n"/>
    </row>
    <row r="14">
      <c r="A14" s="16" t="inlineStr">
        <is>
          <t>Will</t>
        </is>
      </c>
      <c r="B14" s="16" t="inlineStr">
        <is>
          <t>WIL</t>
        </is>
      </c>
      <c r="C14" s="6" t="n">
        <v>2</v>
      </c>
      <c r="D14" s="6" t="n">
        <v>1</v>
      </c>
      <c r="E14" s="8">
        <f>C14+D14</f>
        <v/>
      </c>
      <c r="F14" s="8">
        <f>INT(E14/2)</f>
        <v/>
      </c>
      <c r="G14" s="17" t="inlineStr">
        <is>
          <t>Max HP, fear resistance, hook-survival rounds, dying crawl.</t>
        </is>
      </c>
      <c r="H14" s="24" t="n"/>
      <c r="I14" s="24" t="n"/>
      <c r="J14" s="24" t="n"/>
      <c r="K14" s="24" t="n"/>
      <c r="L14" s="25" t="n"/>
    </row>
    <row r="15">
      <c r="A15" s="5" t="inlineStr">
        <is>
          <t>Total</t>
        </is>
      </c>
      <c r="B15" s="25" t="n"/>
      <c r="C15" s="8">
        <f>SUM(C10:C14)</f>
        <v/>
      </c>
      <c r="D15" s="5" t="inlineStr">
        <is>
          <t>Unallocated</t>
        </is>
      </c>
      <c r="E15" s="8">
        <f>$E$5-SUM(C10:C14)</f>
        <v/>
      </c>
      <c r="F15" s="11" t="inlineStr">
        <is>
          <t>At creation each base value is 1–5; the total must equal Attribute Point (ATP). Archetype adjustment comes from the chosen archetype.</t>
        </is>
      </c>
      <c r="G15" s="24" t="n"/>
      <c r="H15" s="24" t="n"/>
      <c r="I15" s="24" t="n"/>
      <c r="J15" s="24" t="n"/>
      <c r="K15" s="24" t="n"/>
      <c r="L15" s="25" t="n"/>
    </row>
    <row r="16" ht="20" customHeight="1">
      <c r="A16" s="13" t="inlineStr">
        <is>
          <t>II. Skills (Skill) — Skill Level (SL) 0–5; at level 0 when a professional skill is required, the check takes an extra −2 (Untrained)</t>
        </is>
      </c>
      <c r="B16" s="24" t="n"/>
      <c r="C16" s="24" t="n"/>
      <c r="D16" s="24" t="n"/>
      <c r="E16" s="24" t="n"/>
      <c r="F16" s="24" t="n"/>
      <c r="G16" s="24" t="n"/>
      <c r="H16" s="24" t="n"/>
      <c r="I16" s="24" t="n"/>
      <c r="J16" s="24" t="n"/>
      <c r="K16" s="24" t="n"/>
      <c r="L16" s="25" t="n"/>
    </row>
    <row r="17">
      <c r="A17" s="5" t="inlineStr">
        <is>
          <t>Skill</t>
        </is>
      </c>
      <c r="B17" s="5" t="inlineStr">
        <is>
          <t>Abbrev.</t>
        </is>
      </c>
      <c r="C17" s="5" t="inlineStr">
        <is>
          <t>Linked Attribute</t>
        </is>
      </c>
      <c r="D17" s="5" t="inlineStr">
        <is>
          <t>Skill Level (SL)</t>
        </is>
      </c>
      <c r="E17" s="5" t="inlineStr">
        <is>
          <t>Attribute Bonus (AB)</t>
        </is>
      </c>
      <c r="F17" s="5" t="inlineStr">
        <is>
          <t>Total Check Modifier</t>
        </is>
      </c>
      <c r="G17" s="5" t="inlineStr">
        <is>
          <t>Use</t>
        </is>
      </c>
      <c r="H17" s="24" t="n"/>
      <c r="I17" s="24" t="n"/>
      <c r="J17" s="24" t="n"/>
      <c r="K17" s="24" t="n"/>
      <c r="L17" s="25" t="n"/>
    </row>
    <row r="18">
      <c r="A18" s="16" t="inlineStr">
        <is>
          <t>Mechanical Repair</t>
        </is>
      </c>
      <c r="B18" s="16" t="inlineStr">
        <is>
          <t>MEC</t>
        </is>
      </c>
      <c r="C18" s="6" t="inlineStr">
        <is>
          <t>Technique (TEC)</t>
        </is>
      </c>
      <c r="D18" s="6" t="n">
        <v>0</v>
      </c>
      <c r="E18" s="8">
        <f>F11</f>
        <v/>
      </c>
      <c r="F18" s="8">
        <f>D18+E18-IF(D18=0,2,0)</f>
        <v/>
      </c>
      <c r="G18" s="17" t="inlineStr">
        <is>
          <t>Generator repair, Exit Gate opening, Hook sabotage</t>
        </is>
      </c>
      <c r="H18" s="24" t="n"/>
      <c r="I18" s="24" t="n"/>
      <c r="J18" s="24" t="n"/>
      <c r="K18" s="24" t="n"/>
      <c r="L18" s="25" t="n"/>
    </row>
    <row r="19">
      <c r="A19" s="16" t="inlineStr">
        <is>
          <t>First Aid</t>
        </is>
      </c>
      <c r="B19" s="16" t="inlineStr">
        <is>
          <t>MED</t>
        </is>
      </c>
      <c r="C19" s="6" t="inlineStr">
        <is>
          <t>Focus (FOC)</t>
        </is>
      </c>
      <c r="D19" s="6" t="n">
        <v>0</v>
      </c>
      <c r="E19" s="8">
        <f>F13</f>
        <v/>
      </c>
      <c r="F19" s="8">
        <f>D19+E19-IF(D19=0,2,0)</f>
        <v/>
      </c>
      <c r="G19" s="17" t="inlineStr">
        <is>
          <t>Heal others, self-heal, pick up the dying, stop bleeding</t>
        </is>
      </c>
      <c r="H19" s="24" t="n"/>
      <c r="I19" s="24" t="n"/>
      <c r="J19" s="24" t="n"/>
      <c r="K19" s="24" t="n"/>
      <c r="L19" s="25" t="n"/>
    </row>
    <row r="20">
      <c r="A20" s="16" t="inlineStr">
        <is>
          <t>Sneak</t>
        </is>
      </c>
      <c r="B20" s="16" t="inlineStr">
        <is>
          <t>SNK</t>
        </is>
      </c>
      <c r="C20" s="6" t="inlineStr">
        <is>
          <t>Stealth (STL)</t>
        </is>
      </c>
      <c r="D20" s="6" t="n">
        <v>2</v>
      </c>
      <c r="E20" s="8">
        <f>F12</f>
        <v/>
      </c>
      <c r="F20" s="8">
        <f>D20+E20-IF(D20=0,2,0)</f>
        <v/>
      </c>
      <c r="G20" s="17" t="inlineStr">
        <is>
          <t>Crouch, hide in lockers, erase scratch marks, counter tracking</t>
        </is>
      </c>
      <c r="H20" s="24" t="n"/>
      <c r="I20" s="24" t="n"/>
      <c r="J20" s="24" t="n"/>
      <c r="K20" s="24" t="n"/>
      <c r="L20" s="25" t="n"/>
    </row>
    <row r="21">
      <c r="A21" s="16" t="inlineStr">
        <is>
          <t>Parkour</t>
        </is>
      </c>
      <c r="B21" s="16" t="inlineStr">
        <is>
          <t>PRK</t>
        </is>
      </c>
      <c r="C21" s="6" t="inlineStr">
        <is>
          <t>Agility (AGI)</t>
        </is>
      </c>
      <c r="D21" s="6" t="n">
        <v>2</v>
      </c>
      <c r="E21" s="8">
        <f>F10</f>
        <v/>
      </c>
      <c r="F21" s="8">
        <f>D21+E21-IF(D21=0,2,0)</f>
        <v/>
      </c>
      <c r="G21" s="17" t="inlineStr">
        <is>
          <t>Vault windows, clear obstacles, drop down, loop</t>
        </is>
      </c>
      <c r="H21" s="24" t="n"/>
      <c r="I21" s="24" t="n"/>
      <c r="J21" s="24" t="n"/>
      <c r="K21" s="24" t="n"/>
      <c r="L21" s="25" t="n"/>
    </row>
    <row r="22">
      <c r="A22" s="16" t="inlineStr">
        <is>
          <t>Escape</t>
        </is>
      </c>
      <c r="B22" s="16" t="inlineStr">
        <is>
          <t>ESQ</t>
        </is>
      </c>
      <c r="C22" s="6" t="inlineStr">
        <is>
          <t>Agility (AGI)</t>
        </is>
      </c>
      <c r="D22" s="6" t="n">
        <v>1</v>
      </c>
      <c r="E22" s="8">
        <f>F10</f>
        <v/>
      </c>
      <c r="F22" s="8">
        <f>D22+E22-IF(D22=0,2,0)</f>
        <v/>
      </c>
      <c r="G22" s="17" t="inlineStr">
        <is>
          <t>Wriggle, escape traps, break a grab</t>
        </is>
      </c>
      <c r="H22" s="24" t="n"/>
      <c r="I22" s="24" t="n"/>
      <c r="J22" s="24" t="n"/>
      <c r="K22" s="24" t="n"/>
      <c r="L22" s="25" t="n"/>
    </row>
    <row r="23">
      <c r="A23" s="16" t="inlineStr">
        <is>
          <t>Search</t>
        </is>
      </c>
      <c r="B23" s="16" t="inlineStr">
        <is>
          <t>SRC</t>
        </is>
      </c>
      <c r="C23" s="6" t="inlineStr">
        <is>
          <t>Technique (TEC)</t>
        </is>
      </c>
      <c r="D23" s="6" t="n">
        <v>0</v>
      </c>
      <c r="E23" s="8">
        <f>F11</f>
        <v/>
      </c>
      <c r="F23" s="8">
        <f>D23+E23-IF(D23=0,2,0)</f>
        <v/>
      </c>
      <c r="G23" s="17" t="inlineStr">
        <is>
          <t>Open chests, find the Hatch, identify Totems</t>
        </is>
      </c>
      <c r="H23" s="24" t="n"/>
      <c r="I23" s="24" t="n"/>
      <c r="J23" s="24" t="n"/>
      <c r="K23" s="24" t="n"/>
      <c r="L23" s="25" t="n"/>
    </row>
    <row r="24">
      <c r="A24" s="16" t="inlineStr">
        <is>
          <t>Endurance</t>
        </is>
      </c>
      <c r="B24" s="16" t="inlineStr">
        <is>
          <t>END</t>
        </is>
      </c>
      <c r="C24" s="6" t="inlineStr">
        <is>
          <t>Will (WIL)</t>
        </is>
      </c>
      <c r="D24" s="6" t="n">
        <v>0</v>
      </c>
      <c r="E24" s="8">
        <f>F14</f>
        <v/>
      </c>
      <c r="F24" s="8">
        <f>D24+E24-IF(D24=0,2,0)</f>
        <v/>
      </c>
      <c r="G24" s="17" t="inlineStr">
        <is>
          <t>Fear resistance, endure hooks, resist status effects, dying crawl</t>
        </is>
      </c>
      <c r="H24" s="24" t="n"/>
      <c r="I24" s="24" t="n"/>
      <c r="J24" s="24" t="n"/>
      <c r="K24" s="24" t="n"/>
      <c r="L24" s="25" t="n"/>
    </row>
    <row r="25">
      <c r="A25" s="16" t="inlineStr">
        <is>
          <t>Insight</t>
        </is>
      </c>
      <c r="B25" s="16" t="inlineStr">
        <is>
          <t>INS</t>
        </is>
      </c>
      <c r="C25" s="6" t="inlineStr">
        <is>
          <t>Focus (FOC)</t>
        </is>
      </c>
      <c r="D25" s="6" t="n">
        <v>0</v>
      </c>
      <c r="E25" s="8">
        <f>F13</f>
        <v/>
      </c>
      <c r="F25" s="8">
        <f>D25+E25-IF(D25=0,2,0)</f>
        <v/>
      </c>
      <c r="G25" s="17" t="inlineStr">
        <is>
          <t>Read auras, predict killer movement, judge rescue timing</t>
        </is>
      </c>
      <c r="H25" s="24" t="n"/>
      <c r="I25" s="24" t="n"/>
      <c r="J25" s="24" t="n"/>
      <c r="K25" s="24" t="n"/>
      <c r="L25" s="25" t="n"/>
    </row>
    <row r="26">
      <c r="A26" s="5" t="inlineStr">
        <is>
          <t>Total</t>
        </is>
      </c>
      <c r="B26" s="24" t="n"/>
      <c r="C26" s="25" t="n"/>
      <c r="D26" s="8">
        <f>SUM(D18:D25)</f>
        <v/>
      </c>
      <c r="E26" s="5" t="inlineStr">
        <is>
          <t>Unallocated</t>
        </is>
      </c>
      <c r="F26" s="8">
        <f>$G$5-SUM(D18:D25)</f>
        <v/>
      </c>
      <c r="G26" s="11" t="inlineStr">
        <is>
          <t>Total Check Modifier already includes the Untrained −2 penalty; Situational Modifier (SM) is counted separately.</t>
        </is>
      </c>
      <c r="H26" s="24" t="n"/>
      <c r="I26" s="24" t="n"/>
      <c r="J26" s="24" t="n"/>
      <c r="K26" s="24" t="n"/>
      <c r="L26" s="25" t="n"/>
    </row>
    <row r="27" ht="20" customHeight="1">
      <c r="A27" s="13" t="inlineStr">
        <is>
          <t>III. Derived Values (Derived Value) — all auto-calculated</t>
        </is>
      </c>
      <c r="B27" s="24" t="n"/>
      <c r="C27" s="24" t="n"/>
      <c r="D27" s="24" t="n"/>
      <c r="E27" s="24" t="n"/>
      <c r="F27" s="24" t="n"/>
      <c r="G27" s="24" t="n"/>
      <c r="H27" s="24" t="n"/>
      <c r="I27" s="24" t="n"/>
      <c r="J27" s="24" t="n"/>
      <c r="K27" s="24" t="n"/>
      <c r="L27" s="25" t="n"/>
    </row>
    <row r="28">
      <c r="A28" s="5" t="inlineStr">
        <is>
          <t>Max HP (HP_max)</t>
        </is>
      </c>
      <c r="B28" s="25" t="n"/>
      <c r="C28" s="8">
        <f>8+2*$E$14+$E$4</f>
        <v/>
      </c>
      <c r="D28" s="5" t="inlineStr">
        <is>
          <t>Health State Cap (HS_max)</t>
        </is>
      </c>
      <c r="E28" s="25" t="n"/>
      <c r="F28" s="8">
        <f>IF(L28="Yes",1,2)</f>
        <v/>
      </c>
      <c r="G28" s="5" t="inlineStr">
        <is>
          <t>Action Point Cap (AP_max)</t>
        </is>
      </c>
      <c r="H28" s="25" t="n"/>
      <c r="I28" s="8">
        <f>IF(L29="Yes",3,4)</f>
        <v/>
      </c>
      <c r="J28" s="5" t="inlineStr">
        <is>
          <t>Broken state?</t>
        </is>
      </c>
      <c r="K28" s="25" t="n"/>
      <c r="L28" s="6" t="inlineStr">
        <is>
          <t>No</t>
        </is>
      </c>
    </row>
    <row r="29">
      <c r="A29" s="5" t="inlineStr">
        <is>
          <t>Move (MOV)</t>
        </is>
      </c>
      <c r="B29" s="25" t="n"/>
      <c r="C29" s="8">
        <f>6+INT($F$10/2)</f>
        <v/>
      </c>
      <c r="D29" s="5" t="inlineStr">
        <is>
          <t>Sprint (SPR)</t>
        </is>
      </c>
      <c r="E29" s="25" t="n"/>
      <c r="F29" s="8">
        <f>(6+INT($F$10/2))*2</f>
        <v/>
      </c>
      <c r="G29" s="5" t="inlineStr">
        <is>
          <t>Repair Efficiency (REP)</t>
        </is>
      </c>
      <c r="H29" s="25" t="n"/>
      <c r="I29" s="8">
        <f>$F$11+$D$18</f>
        <v/>
      </c>
      <c r="J29" s="5" t="inlineStr">
        <is>
          <t>Currently in Chase?</t>
        </is>
      </c>
      <c r="K29" s="25" t="n"/>
      <c r="L29" s="6" t="inlineStr">
        <is>
          <t>No</t>
        </is>
      </c>
    </row>
    <row r="30">
      <c r="A30" s="5" t="inlineStr">
        <is>
          <t>Heal Efficiency (HEAL)</t>
        </is>
      </c>
      <c r="B30" s="25" t="n"/>
      <c r="C30" s="8">
        <f>$F$13+$D$19</f>
        <v/>
      </c>
      <c r="D30" s="5" t="inlineStr">
        <is>
          <t>Passive Stealth (PSTL)</t>
        </is>
      </c>
      <c r="E30" s="25" t="n"/>
      <c r="F30" s="8">
        <f>8+$F$12+$D$20</f>
        <v/>
      </c>
      <c r="G30" s="5" t="inlineStr">
        <is>
          <t>Passive Perception (PPER)</t>
        </is>
      </c>
      <c r="H30" s="25" t="n"/>
      <c r="I30" s="8">
        <f>8+$F$13+$D$25</f>
        <v/>
      </c>
    </row>
    <row r="31">
      <c r="A31" s="5" t="inlineStr">
        <is>
          <t>Fear Resistance (FRES)</t>
        </is>
      </c>
      <c r="B31" s="25" t="n"/>
      <c r="C31" s="8">
        <f>10+$F$14+$D$24</f>
        <v/>
      </c>
      <c r="D31" s="5" t="inlineStr">
        <is>
          <t>Chase Check Mod (CHS)</t>
        </is>
      </c>
      <c r="E31" s="25" t="n"/>
      <c r="F31" s="8">
        <f>$F$10+$D$21</f>
        <v/>
      </c>
      <c r="G31" s="5" t="inlineStr">
        <is>
          <t>Wiggle Check Mod (WIG)</t>
        </is>
      </c>
      <c r="H31" s="25" t="n"/>
      <c r="I31" s="8">
        <f>$F$10+$D$22</f>
        <v/>
      </c>
    </row>
    <row r="32">
      <c r="A32" s="5" t="inlineStr">
        <is>
          <t>Hook Survival Rounds (HKS)</t>
        </is>
      </c>
      <c r="B32" s="25" t="n"/>
      <c r="C32" s="8">
        <f>(8-$G$4)+INT($F$14/2)</f>
        <v/>
      </c>
      <c r="D32" s="5" t="inlineStr">
        <is>
          <t>Self-Unhook Difficulty Class (DC)</t>
        </is>
      </c>
      <c r="E32" s="25" t="n"/>
      <c r="F32" s="8">
        <f>20-(4-$G$4)</f>
        <v/>
      </c>
      <c r="G32" s="5" t="inlineStr">
        <is>
          <t>Load Cap (LOAD)</t>
        </is>
      </c>
      <c r="H32" s="25" t="n"/>
      <c r="I32" s="8">
        <f>2+IF($E$3="Artificer (ART)",1,0)</f>
        <v/>
      </c>
    </row>
    <row r="33">
      <c r="A33" s="11" t="inlineStr">
        <is>
          <t>Action Point (AP): 4 per round when not in chase, 3 in chase. Health State (HS): Healthy → Injured → Dying; when Broken, cannot be healed at all.</t>
        </is>
      </c>
      <c r="B33" s="24" t="n"/>
      <c r="C33" s="24" t="n"/>
      <c r="D33" s="24" t="n"/>
      <c r="E33" s="24" t="n"/>
      <c r="F33" s="24" t="n"/>
      <c r="G33" s="24" t="n"/>
      <c r="H33" s="24" t="n"/>
      <c r="I33" s="24" t="n"/>
      <c r="J33" s="24" t="n"/>
      <c r="K33" s="24" t="n"/>
      <c r="L33" s="25" t="n"/>
    </row>
    <row r="34" ht="20" customHeight="1">
      <c r="A34" s="13" t="inlineStr">
        <is>
          <t>IV. Trial Tracker — cleared at the start of each Trial</t>
        </is>
      </c>
      <c r="B34" s="24" t="n"/>
      <c r="C34" s="24" t="n"/>
      <c r="D34" s="24" t="n"/>
      <c r="E34" s="24" t="n"/>
      <c r="F34" s="24" t="n"/>
      <c r="G34" s="24" t="n"/>
      <c r="H34" s="24" t="n"/>
      <c r="I34" s="24" t="n"/>
      <c r="J34" s="24" t="n"/>
      <c r="K34" s="24" t="n"/>
      <c r="L34" s="25" t="n"/>
    </row>
    <row r="35">
      <c r="A35" s="5" t="inlineStr">
        <is>
          <t>Current Health State</t>
        </is>
      </c>
      <c r="B35" s="25" t="n"/>
      <c r="C35" s="6" t="n"/>
      <c r="D35" s="17" t="inlineStr">
        <is>
          <t>Healthy / Injured / Dying</t>
        </is>
      </c>
      <c r="E35" s="24" t="n"/>
      <c r="F35" s="25" t="n"/>
      <c r="G35" s="5" t="inlineStr">
        <is>
          <t>Current HP (HP)</t>
        </is>
      </c>
      <c r="H35" s="25" t="n"/>
      <c r="I35" s="6" t="n"/>
      <c r="J35" s="17" t="inlineStr"/>
      <c r="K35" s="24" t="n"/>
      <c r="L35" s="25" t="n"/>
    </row>
    <row r="36">
      <c r="A36" s="5" t="inlineStr">
        <is>
          <t>Hook Count This Trial</t>
        </is>
      </c>
      <c r="B36" s="25" t="n"/>
      <c r="C36" s="6" t="n"/>
      <c r="D36" s="17" t="inlineStr">
        <is>
          <t>0 / 1 / 2 (third = Sacrifice)</t>
        </is>
      </c>
      <c r="E36" s="24" t="n"/>
      <c r="F36" s="25" t="n"/>
      <c r="G36" s="5" t="inlineStr">
        <is>
          <t>Hook Phase Timer</t>
        </is>
      </c>
      <c r="H36" s="25" t="n"/>
      <c r="I36" s="6" t="n"/>
      <c r="J36" s="17" t="inlineStr">
        <is>
          <t>round(s)</t>
        </is>
      </c>
      <c r="K36" s="24" t="n"/>
      <c r="L36" s="25" t="n"/>
    </row>
    <row r="37">
      <c r="A37" s="5" t="inlineStr">
        <is>
          <t>Current Distance Band (DB)</t>
        </is>
      </c>
      <c r="B37" s="25" t="n"/>
      <c r="C37" s="6" t="n"/>
      <c r="D37" s="17" t="inlineStr">
        <is>
          <t>Contact / Near / Mid / Far / Escaped</t>
        </is>
      </c>
      <c r="E37" s="24" t="n"/>
      <c r="F37" s="25" t="n"/>
      <c r="G37" s="5" t="inlineStr">
        <is>
          <t>Consecutive Chase Rounds</t>
        </is>
      </c>
      <c r="H37" s="25" t="n"/>
      <c r="I37" s="6" t="n"/>
      <c r="J37" s="17" t="inlineStr">
        <is>
          <t>for Bloodlust check</t>
        </is>
      </c>
      <c r="K37" s="24" t="n"/>
      <c r="L37" s="25" t="n"/>
    </row>
    <row r="38">
      <c r="A38" s="5" t="inlineStr">
        <is>
          <t>Remaining Action Point (AP)</t>
        </is>
      </c>
      <c r="B38" s="25" t="n"/>
      <c r="C38" s="6" t="n"/>
      <c r="D38" s="17" t="inlineStr"/>
      <c r="E38" s="24" t="n"/>
      <c r="F38" s="25" t="n"/>
      <c r="G38" s="5" t="inlineStr">
        <is>
          <t>Persistence Bonus (PB) rounds</t>
        </is>
      </c>
      <c r="H38" s="25" t="n"/>
      <c r="I38" s="6" t="n"/>
      <c r="J38" s="17" t="inlineStr">
        <is>
          <t>consecutive same-action rounds −1, cap +3</t>
        </is>
      </c>
      <c r="K38" s="24" t="n"/>
      <c r="L38" s="25" t="n"/>
    </row>
    <row r="39"/>
    <row r="40" ht="20" customHeight="1">
      <c r="A40" s="13" t="inlineStr">
        <is>
          <t>V. Perks (Perk) — slot count opens by Prestige (PRS): 1 at start, +1 each at Prestige 5 / 10 / 15</t>
        </is>
      </c>
      <c r="B40" s="24" t="n"/>
      <c r="C40" s="24" t="n"/>
      <c r="D40" s="24" t="n"/>
      <c r="E40" s="24" t="n"/>
      <c r="F40" s="24" t="n"/>
      <c r="G40" s="24" t="n"/>
      <c r="H40" s="24" t="n"/>
      <c r="I40" s="24" t="n"/>
      <c r="J40" s="24" t="n"/>
      <c r="K40" s="24" t="n"/>
      <c r="L40" s="25" t="n"/>
    </row>
    <row r="41">
      <c r="A41" s="5" t="inlineStr">
        <is>
          <t>Slot</t>
        </is>
      </c>
      <c r="B41" s="5" t="inlineStr">
        <is>
          <t>Perk Name</t>
        </is>
      </c>
      <c r="C41" s="24" t="n"/>
      <c r="D41" s="25" t="n"/>
      <c r="E41" s="5" t="inlineStr">
        <is>
          <t>Tier</t>
        </is>
      </c>
      <c r="F41" s="5" t="inlineStr">
        <is>
          <t>Effect Summary</t>
        </is>
      </c>
      <c r="G41" s="24" t="n"/>
      <c r="H41" s="24" t="n"/>
      <c r="I41" s="24" t="n"/>
      <c r="J41" s="24" t="n"/>
      <c r="K41" s="24" t="n"/>
      <c r="L41" s="25" t="n"/>
    </row>
    <row r="42">
      <c r="A42" s="5" t="inlineStr">
        <is>
          <t>1 | Initial</t>
        </is>
      </c>
      <c r="B42" s="17" t="inlineStr">
        <is>
          <t>Burst Sprint (TALENT-S04)</t>
        </is>
      </c>
      <c r="C42" s="24" t="n"/>
      <c r="D42" s="25" t="n"/>
      <c r="E42" s="6" t="inlineStr">
        <is>
          <t>Tier 1</t>
        </is>
      </c>
      <c r="F42" s="17" t="inlineStr">
        <is>
          <t>After a successful escape-chase check, immediately and freely Move a distance equal to Sprint (SPR); then gain Exhausted.</t>
        </is>
      </c>
      <c r="G42" s="24" t="n"/>
      <c r="H42" s="24" t="n"/>
      <c r="I42" s="24" t="n"/>
      <c r="J42" s="24" t="n"/>
      <c r="K42" s="24" t="n"/>
      <c r="L42" s="25" t="n"/>
    </row>
    <row r="43">
      <c r="A43" s="5" t="inlineStr">
        <is>
          <t>2 | Prestige 5</t>
        </is>
      </c>
      <c r="B43" s="17" t="inlineStr"/>
      <c r="C43" s="24" t="n"/>
      <c r="D43" s="25" t="n"/>
      <c r="E43" s="6" t="inlineStr"/>
      <c r="F43" s="17" t="inlineStr"/>
      <c r="G43" s="24" t="n"/>
      <c r="H43" s="24" t="n"/>
      <c r="I43" s="24" t="n"/>
      <c r="J43" s="24" t="n"/>
      <c r="K43" s="24" t="n"/>
      <c r="L43" s="25" t="n"/>
    </row>
    <row r="44">
      <c r="A44" s="5" t="inlineStr">
        <is>
          <t>3 | Prestige 10</t>
        </is>
      </c>
      <c r="B44" s="17" t="inlineStr"/>
      <c r="C44" s="24" t="n"/>
      <c r="D44" s="25" t="n"/>
      <c r="E44" s="6" t="inlineStr"/>
      <c r="F44" s="17" t="inlineStr"/>
      <c r="G44" s="24" t="n"/>
      <c r="H44" s="24" t="n"/>
      <c r="I44" s="24" t="n"/>
      <c r="J44" s="24" t="n"/>
      <c r="K44" s="24" t="n"/>
      <c r="L44" s="25" t="n"/>
    </row>
    <row r="45">
      <c r="A45" s="5" t="inlineStr">
        <is>
          <t>4 | Prestige 15</t>
        </is>
      </c>
      <c r="B45" s="17" t="inlineStr"/>
      <c r="C45" s="24" t="n"/>
      <c r="D45" s="25" t="n"/>
      <c r="E45" s="6" t="inlineStr"/>
      <c r="F45" s="17" t="inlineStr"/>
      <c r="G45" s="24" t="n"/>
      <c r="H45" s="24" t="n"/>
      <c r="I45" s="24" t="n"/>
      <c r="J45" s="24" t="n"/>
      <c r="K45" s="24" t="n"/>
      <c r="L45" s="25" t="n"/>
    </row>
    <row r="46">
      <c r="A46" s="11" t="inlineStr">
        <is>
          <t>Perks have three tiers: Tier 1 (Common) / Tier 2 (Uncommon) / Tier 3 (Very Rare). In the Tier column write Tier 1 / Tier 2 / Tier 3. See the Perk Codex. In a Solo Trial (Setup 1), perks that involve allies instead target the Echo Companion; if no Echo Companion is present, use the perk's solo-variant clause.</t>
        </is>
      </c>
      <c r="B46" s="24" t="n"/>
      <c r="C46" s="24" t="n"/>
      <c r="D46" s="24" t="n"/>
      <c r="E46" s="24" t="n"/>
      <c r="F46" s="24" t="n"/>
      <c r="G46" s="24" t="n"/>
      <c r="H46" s="24" t="n"/>
      <c r="I46" s="24" t="n"/>
      <c r="J46" s="24" t="n"/>
      <c r="K46" s="24" t="n"/>
      <c r="L46" s="25" t="n"/>
    </row>
    <row r="47" ht="20" customHeight="1">
      <c r="A47" s="13" t="inlineStr">
        <is>
          <t>VI. Carried Items &amp; Add-ons (Item &amp; Add-on) — Load (LOAD) cap see Derived Values</t>
        </is>
      </c>
      <c r="B47" s="24" t="n"/>
      <c r="C47" s="24" t="n"/>
      <c r="D47" s="24" t="n"/>
      <c r="E47" s="24" t="n"/>
      <c r="F47" s="24" t="n"/>
      <c r="G47" s="24" t="n"/>
      <c r="H47" s="24" t="n"/>
      <c r="I47" s="24" t="n"/>
      <c r="J47" s="24" t="n"/>
      <c r="K47" s="24" t="n"/>
      <c r="L47" s="25" t="n"/>
    </row>
    <row r="48">
      <c r="A48" s="5" t="inlineStr">
        <is>
          <t>Item Name</t>
        </is>
      </c>
      <c r="B48" s="24" t="n"/>
      <c r="C48" s="25" t="n"/>
      <c r="D48" s="5" t="inlineStr">
        <is>
          <t>Type</t>
        </is>
      </c>
      <c r="E48" s="25" t="n"/>
      <c r="F48" s="5" t="inlineStr">
        <is>
          <t>Rarity</t>
        </is>
      </c>
      <c r="G48" s="5" t="inlineStr">
        <is>
          <t>Charge (CHG)</t>
        </is>
      </c>
      <c r="H48" s="5" t="inlineStr">
        <is>
          <t>Add-on 1</t>
        </is>
      </c>
      <c r="I48" s="25" t="n"/>
      <c r="J48" s="5" t="inlineStr">
        <is>
          <t>Add-on 2</t>
        </is>
      </c>
      <c r="K48" s="24" t="n"/>
      <c r="L48" s="25" t="n"/>
    </row>
    <row r="49">
      <c r="A49" s="17" t="inlineStr">
        <is>
          <t>Flashlight (FLT)</t>
        </is>
      </c>
      <c r="B49" s="24" t="n"/>
      <c r="C49" s="25" t="n"/>
      <c r="D49" s="6" t="inlineStr">
        <is>
          <t>Tool</t>
        </is>
      </c>
      <c r="E49" s="25" t="n"/>
      <c r="F49" s="6" t="inlineStr">
        <is>
          <t>Common</t>
        </is>
      </c>
      <c r="G49" s="6" t="n">
        <v>6</v>
      </c>
      <c r="H49" s="17" t="inlineStr">
        <is>
          <t>Bright Light Bulb</t>
        </is>
      </c>
      <c r="I49" s="25" t="n"/>
      <c r="J49" s="17" t="inlineStr"/>
      <c r="K49" s="24" t="n"/>
      <c r="L49" s="25" t="n"/>
    </row>
    <row r="50">
      <c r="A50" s="17" t="inlineStr"/>
      <c r="B50" s="24" t="n"/>
      <c r="C50" s="25" t="n"/>
      <c r="D50" s="6" t="inlineStr"/>
      <c r="E50" s="25" t="n"/>
      <c r="F50" s="6" t="inlineStr"/>
      <c r="G50" s="6" t="inlineStr"/>
      <c r="H50" s="17" t="inlineStr"/>
      <c r="I50" s="25" t="n"/>
      <c r="J50" s="17" t="inlineStr"/>
      <c r="K50" s="24" t="n"/>
      <c r="L50" s="25" t="n"/>
    </row>
    <row r="51">
      <c r="A51" s="17" t="inlineStr"/>
      <c r="B51" s="24" t="n"/>
      <c r="C51" s="25" t="n"/>
      <c r="D51" s="6" t="inlineStr"/>
      <c r="E51" s="25" t="n"/>
      <c r="F51" s="6" t="inlineStr"/>
      <c r="G51" s="6" t="inlineStr"/>
      <c r="H51" s="17" t="inlineStr"/>
      <c r="I51" s="25" t="n"/>
      <c r="J51" s="17" t="inlineStr"/>
      <c r="K51" s="24" t="n"/>
      <c r="L51" s="25" t="n"/>
    </row>
    <row r="52">
      <c r="A52" s="17" t="inlineStr"/>
      <c r="B52" s="24" t="n"/>
      <c r="C52" s="25" t="n"/>
      <c r="D52" s="6" t="inlineStr"/>
      <c r="E52" s="25" t="n"/>
      <c r="F52" s="6" t="inlineStr"/>
      <c r="G52" s="6" t="inlineStr"/>
      <c r="H52" s="17" t="inlineStr"/>
      <c r="I52" s="25" t="n"/>
      <c r="J52" s="17" t="inlineStr"/>
      <c r="K52" s="24" t="n"/>
      <c r="L52" s="25" t="n"/>
    </row>
    <row r="53"/>
    <row r="54" ht="20" customHeight="1">
      <c r="A54" s="13" t="inlineStr">
        <is>
          <t>VII. Status Effects (Status Effect) — check those currently active and record remaining rounds</t>
        </is>
      </c>
      <c r="B54" s="24" t="n"/>
      <c r="C54" s="24" t="n"/>
      <c r="D54" s="24" t="n"/>
      <c r="E54" s="24" t="n"/>
      <c r="F54" s="24" t="n"/>
      <c r="G54" s="24" t="n"/>
      <c r="H54" s="24" t="n"/>
      <c r="I54" s="24" t="n"/>
      <c r="J54" s="24" t="n"/>
      <c r="K54" s="24" t="n"/>
      <c r="L54" s="25" t="n"/>
    </row>
    <row r="55">
      <c r="A55" s="5" t="inlineStr">
        <is>
          <t>Broken</t>
        </is>
      </c>
      <c r="B55" s="24" t="n"/>
      <c r="C55" s="25" t="n"/>
      <c r="D55" s="6" t="n"/>
      <c r="E55" s="5" t="inlineStr">
        <is>
          <t>Deep Wound</t>
        </is>
      </c>
      <c r="F55" s="24" t="n"/>
      <c r="G55" s="25" t="n"/>
      <c r="H55" s="6" t="n"/>
      <c r="I55" s="5" t="inlineStr">
        <is>
          <t>Exhausted</t>
        </is>
      </c>
      <c r="J55" s="24" t="n"/>
      <c r="K55" s="25" t="n"/>
      <c r="L55" s="6" t="n"/>
    </row>
    <row r="56">
      <c r="A56" s="5" t="inlineStr">
        <is>
          <t>Blindness</t>
        </is>
      </c>
      <c r="B56" s="24" t="n"/>
      <c r="C56" s="25" t="n"/>
      <c r="D56" s="6" t="n"/>
      <c r="E56" s="5" t="inlineStr">
        <is>
          <t>Haemorrhage</t>
        </is>
      </c>
      <c r="F56" s="24" t="n"/>
      <c r="G56" s="25" t="n"/>
      <c r="H56" s="6" t="n"/>
      <c r="I56" s="5" t="inlineStr">
        <is>
          <t>Endurance</t>
        </is>
      </c>
      <c r="J56" s="24" t="n"/>
      <c r="K56" s="25" t="n"/>
      <c r="L56" s="6" t="n"/>
    </row>
    <row r="57">
      <c r="A57" s="5" t="inlineStr">
        <is>
          <t>Haste</t>
        </is>
      </c>
      <c r="B57" s="24" t="n"/>
      <c r="C57" s="25" t="n"/>
      <c r="D57" s="6" t="n"/>
      <c r="E57" s="5" t="inlineStr">
        <is>
          <t>Hindered</t>
        </is>
      </c>
      <c r="F57" s="24" t="n"/>
      <c r="G57" s="25" t="n"/>
      <c r="H57" s="6" t="n"/>
      <c r="I57" s="5" t="inlineStr">
        <is>
          <t>Exposed</t>
        </is>
      </c>
      <c r="J57" s="24" t="n"/>
      <c r="K57" s="25" t="n"/>
      <c r="L57" s="6" t="n"/>
    </row>
    <row r="58">
      <c r="A58" s="5" t="inlineStr">
        <is>
          <t>Mangled</t>
        </is>
      </c>
      <c r="B58" s="24" t="n"/>
      <c r="C58" s="25" t="n"/>
      <c r="D58" s="6" t="n"/>
      <c r="E58" s="5" t="inlineStr">
        <is>
          <t>Madness</t>
        </is>
      </c>
      <c r="F58" s="24" t="n"/>
      <c r="G58" s="25" t="n"/>
      <c r="H58" s="6" t="n"/>
      <c r="I58" s="5" t="inlineStr">
        <is>
          <t>Trembling</t>
        </is>
      </c>
      <c r="J58" s="24" t="n"/>
      <c r="K58" s="25" t="n"/>
      <c r="L58" s="6" t="n"/>
    </row>
    <row r="59"/>
    <row r="60" ht="20" customHeight="1">
      <c r="A60" s="13" t="inlineStr">
        <is>
          <t>VIII. Background &amp; Notes</t>
        </is>
      </c>
      <c r="B60" s="24" t="n"/>
      <c r="C60" s="24" t="n"/>
      <c r="D60" s="24" t="n"/>
      <c r="E60" s="24" t="n"/>
      <c r="F60" s="24" t="n"/>
      <c r="G60" s="24" t="n"/>
      <c r="H60" s="24" t="n"/>
      <c r="I60" s="24" t="n"/>
      <c r="J60" s="24" t="n"/>
      <c r="K60" s="24" t="n"/>
      <c r="L60" s="25" t="n"/>
    </row>
    <row r="61">
      <c r="A61" s="18" t="inlineStr">
        <is>
          <t>Wu Xiaotang, 22, a university track team 400m hurdler.
She outran everyone except the thing waiting behind the finish line. She remembers the last lap timer stopping at 49.8 seconds — her personal best. She does not remember what happened after, only that since then, every start has a heartbeat behind her.
[Solo Role] Chase Check Mod (CHS) +5 is the highest at the same Prestige, but Max HP (HP_max) is only 17. The role is "buy time for Generator progress"; in Config I it needs an Echo Companion repairing to advance the victory Condition.</t>
        </is>
      </c>
      <c r="B61" s="31" t="n"/>
      <c r="C61" s="31" t="n"/>
      <c r="D61" s="31" t="n"/>
      <c r="E61" s="31" t="n"/>
      <c r="F61" s="31" t="n"/>
      <c r="G61" s="31" t="n"/>
      <c r="H61" s="31" t="n"/>
      <c r="I61" s="31" t="n"/>
      <c r="J61" s="31" t="n"/>
      <c r="K61" s="31" t="n"/>
      <c r="L61" s="32" t="n"/>
    </row>
    <row r="62">
      <c r="A62" s="33" t="n"/>
      <c r="L62" s="34" t="n"/>
    </row>
    <row r="63">
      <c r="A63" s="33" t="n"/>
      <c r="L63" s="34" t="n"/>
    </row>
    <row r="64">
      <c r="A64" s="33" t="n"/>
      <c r="L64" s="34" t="n"/>
    </row>
    <row r="65">
      <c r="A65" s="33" t="n"/>
      <c r="L65" s="34" t="n"/>
    </row>
    <row r="66">
      <c r="A66" s="35" t="n"/>
      <c r="B66" s="36" t="n"/>
      <c r="C66" s="36" t="n"/>
      <c r="D66" s="36" t="n"/>
      <c r="E66" s="36" t="n"/>
      <c r="F66" s="36" t="n"/>
      <c r="G66" s="36" t="n"/>
      <c r="H66" s="36" t="n"/>
      <c r="I66" s="36" t="n"/>
      <c r="J66" s="36" t="n"/>
      <c r="K66" s="36" t="n"/>
      <c r="L66" s="37" t="n"/>
    </row>
  </sheetData>
  <mergeCells count="115">
    <mergeCell ref="B42:D42"/>
    <mergeCell ref="A15:B15"/>
    <mergeCell ref="G19:L19"/>
    <mergeCell ref="A46:L46"/>
    <mergeCell ref="I4:L4"/>
    <mergeCell ref="F43:L43"/>
    <mergeCell ref="J35:L35"/>
    <mergeCell ref="B44:D44"/>
    <mergeCell ref="J28:K28"/>
    <mergeCell ref="I56:K56"/>
    <mergeCell ref="D31:E31"/>
    <mergeCell ref="A26:C26"/>
    <mergeCell ref="A57:C57"/>
    <mergeCell ref="D37:F37"/>
    <mergeCell ref="G14:L14"/>
    <mergeCell ref="E57:G57"/>
    <mergeCell ref="J50:L50"/>
    <mergeCell ref="D48:E48"/>
    <mergeCell ref="H52:I52"/>
    <mergeCell ref="A52:C52"/>
    <mergeCell ref="J52:L52"/>
    <mergeCell ref="A61:L66"/>
    <mergeCell ref="E58:G58"/>
    <mergeCell ref="J48:L48"/>
    <mergeCell ref="A34:L34"/>
    <mergeCell ref="A35:B35"/>
    <mergeCell ref="F45:L45"/>
    <mergeCell ref="J38:L38"/>
    <mergeCell ref="A49:C49"/>
    <mergeCell ref="D51:E51"/>
    <mergeCell ref="A28:B28"/>
    <mergeCell ref="B43:D43"/>
    <mergeCell ref="A30:B30"/>
    <mergeCell ref="G10:L10"/>
    <mergeCell ref="G18:L18"/>
    <mergeCell ref="H50:I50"/>
    <mergeCell ref="A55:C55"/>
    <mergeCell ref="G38:H38"/>
    <mergeCell ref="A37:B37"/>
    <mergeCell ref="I6:L6"/>
    <mergeCell ref="H49:I49"/>
    <mergeCell ref="A2:C6"/>
    <mergeCell ref="G20:L20"/>
    <mergeCell ref="B45:D45"/>
    <mergeCell ref="G22:L22"/>
    <mergeCell ref="A58:C58"/>
    <mergeCell ref="E56:G56"/>
    <mergeCell ref="A40:L40"/>
    <mergeCell ref="G12:L12"/>
    <mergeCell ref="G21:L21"/>
    <mergeCell ref="A51:C51"/>
    <mergeCell ref="G35:H35"/>
    <mergeCell ref="A60:L60"/>
    <mergeCell ref="H48:I48"/>
    <mergeCell ref="D29:E29"/>
    <mergeCell ref="J37:L37"/>
    <mergeCell ref="G23:L23"/>
    <mergeCell ref="A16:L16"/>
    <mergeCell ref="J29:K29"/>
    <mergeCell ref="A36:B36"/>
    <mergeCell ref="A50:C50"/>
    <mergeCell ref="E2:G2"/>
    <mergeCell ref="I55:K55"/>
    <mergeCell ref="D52:E52"/>
    <mergeCell ref="D49:E49"/>
    <mergeCell ref="A47:L47"/>
    <mergeCell ref="G37:H37"/>
    <mergeCell ref="I2:L2"/>
    <mergeCell ref="G25:L25"/>
    <mergeCell ref="B41:D41"/>
    <mergeCell ref="G9:L9"/>
    <mergeCell ref="D35:F35"/>
    <mergeCell ref="A32:B32"/>
    <mergeCell ref="D28:E28"/>
    <mergeCell ref="G11:L11"/>
    <mergeCell ref="A38:B38"/>
    <mergeCell ref="D30:E30"/>
    <mergeCell ref="F41:L41"/>
    <mergeCell ref="G32:H32"/>
    <mergeCell ref="D36:F36"/>
    <mergeCell ref="I57:K57"/>
    <mergeCell ref="A54:L54"/>
    <mergeCell ref="A7:L7"/>
    <mergeCell ref="J49:L49"/>
    <mergeCell ref="J36:L36"/>
    <mergeCell ref="G13:L13"/>
    <mergeCell ref="A56:C56"/>
    <mergeCell ref="G36:H36"/>
    <mergeCell ref="I58:K58"/>
    <mergeCell ref="A27:L27"/>
    <mergeCell ref="G24:L24"/>
    <mergeCell ref="A33:L33"/>
    <mergeCell ref="F44:L44"/>
    <mergeCell ref="H51:I51"/>
    <mergeCell ref="A8:L8"/>
    <mergeCell ref="D32:E32"/>
    <mergeCell ref="G28:H28"/>
    <mergeCell ref="G26:L26"/>
    <mergeCell ref="J51:L51"/>
    <mergeCell ref="D38:F38"/>
    <mergeCell ref="G30:H30"/>
    <mergeCell ref="E3:G3"/>
    <mergeCell ref="F15:L15"/>
    <mergeCell ref="A48:C48"/>
    <mergeCell ref="F42:L42"/>
    <mergeCell ref="G29:H29"/>
    <mergeCell ref="E55:G55"/>
    <mergeCell ref="A29:B29"/>
    <mergeCell ref="I3:L3"/>
    <mergeCell ref="A1:L1"/>
    <mergeCell ref="G17:L17"/>
    <mergeCell ref="G31:H31"/>
    <mergeCell ref="D50:E50"/>
    <mergeCell ref="A31:B31"/>
    <mergeCell ref="I5:L5"/>
  </mergeCells>
  <dataValidations count="16">
    <dataValidation sqref="E3:G3" showDropDown="0" showInputMessage="0" showErrorMessage="0" allowBlank="1" type="list">
      <formula1>"號令者（LEA）,疾行者（SPR）,草藥師（HRB）,匠人（ART）,拾荒客（SCV）,退役兵（VET）"</formula1>
    </dataValidation>
    <dataValidation sqref="I3:L3" showDropDown="0" showInputMessage="0" showErrorMessage="0" allowBlank="1" type="list">
      <formula1>"機械師（REP）,守護者（RES）,幽影（STE）,磐石（END）,破襲手（SAB）,探路者（SCT）"</formula1>
    </dataValidation>
    <dataValidation sqref="L28:L29" showDropDown="0" showInputMessage="0" showErrorMessage="0" allowBlank="1" type="list">
      <formula1>"是,否"</formula1>
    </dataValidation>
    <dataValidation sqref="C35" showDropDown="0" showInputMessage="0" showErrorMessage="0" allowBlank="1" type="list">
      <formula1>"健康,受傷,瀕死"</formula1>
    </dataValidation>
    <dataValidation sqref="D55" showDropDown="0" showInputMessage="0" showErrorMessage="0" allowBlank="1" type="list">
      <formula1>",生效,1,2,3,4,5"</formula1>
    </dataValidation>
    <dataValidation sqref="H55" showDropDown="0" showInputMessage="0" showErrorMessage="0" allowBlank="1" type="list">
      <formula1>",生效,1,2,3,4,5"</formula1>
    </dataValidation>
    <dataValidation sqref="L55" showDropDown="0" showInputMessage="0" showErrorMessage="0" allowBlank="1" type="list">
      <formula1>",生效,1,2,3,4,5"</formula1>
    </dataValidation>
    <dataValidation sqref="D56" showDropDown="0" showInputMessage="0" showErrorMessage="0" allowBlank="1" type="list">
      <formula1>",生效,1,2,3,4,5"</formula1>
    </dataValidation>
    <dataValidation sqref="H56" showDropDown="0" showInputMessage="0" showErrorMessage="0" allowBlank="1" type="list">
      <formula1>",生效,1,2,3,4,5"</formula1>
    </dataValidation>
    <dataValidation sqref="L56" showDropDown="0" showInputMessage="0" showErrorMessage="0" allowBlank="1" type="list">
      <formula1>",生效,1,2,3,4,5"</formula1>
    </dataValidation>
    <dataValidation sqref="D57" showDropDown="0" showInputMessage="0" showErrorMessage="0" allowBlank="1" type="list">
      <formula1>",生效,1,2,3,4,5"</formula1>
    </dataValidation>
    <dataValidation sqref="H57" showDropDown="0" showInputMessage="0" showErrorMessage="0" allowBlank="1" type="list">
      <formula1>",生效,1,2,3,4,5"</formula1>
    </dataValidation>
    <dataValidation sqref="L57" showDropDown="0" showInputMessage="0" showErrorMessage="0" allowBlank="1" type="list">
      <formula1>",生效,1,2,3,4,5"</formula1>
    </dataValidation>
    <dataValidation sqref="D58" showDropDown="0" showInputMessage="0" showErrorMessage="0" allowBlank="1" type="list">
      <formula1>",生效,1,2,3,4,5"</formula1>
    </dataValidation>
    <dataValidation sqref="H58" showDropDown="0" showInputMessage="0" showErrorMessage="0" allowBlank="1" type="list">
      <formula1>",生效,1,2,3,4,5"</formula1>
    </dataValidation>
    <dataValidation sqref="L58" showDropDown="0" showInputMessage="0" showErrorMessage="0" allowBlank="1" type="list">
      <formula1>",生效,1,2,3,4,5"</formula1>
    </dataValidation>
  </dataValidations>
  <printOptions horizontalCentered="1"/>
  <pageMargins left="0.75" right="0.75" top="1" bottom="1" header="0.5" footer="0.5"/>
  <pageSetup orientation="portrait" fitToHeight="0" fitToWidth="1"/>
</worksheet>
</file>

<file path=xl/worksheets/sheet4.xml><?xml version="1.0" encoding="utf-8"?>
<worksheet xmlns="http://schemas.openxmlformats.org/spreadsheetml/2006/main">
  <sheetPr>
    <outlinePr summaryBelow="1" summaryRight="1"/>
    <pageSetUpPr fitToPage="1"/>
  </sheetPr>
  <dimension ref="A1:L66"/>
  <sheetViews>
    <sheetView showGridLines="0" workbookViewId="0">
      <selection activeCell="A1" sqref="A1"/>
    </sheetView>
  </sheetViews>
  <sheetFormatPr baseColWidth="8" defaultRowHeight="15"/>
  <cols>
    <col width="13" customWidth="1" min="1" max="1"/>
    <col width="7" customWidth="1" min="2" max="2"/>
    <col width="8" customWidth="1" min="3" max="3"/>
    <col width="9" customWidth="1" min="4" max="4"/>
    <col width="9" customWidth="1" min="5" max="5"/>
    <col width="10" customWidth="1" min="6" max="6"/>
    <col width="9" customWidth="1" min="7" max="7"/>
    <col width="12" customWidth="1" min="8" max="8"/>
    <col width="11" customWidth="1" min="9" max="9"/>
    <col width="11" customWidth="1" min="10" max="10"/>
    <col width="11" customWidth="1" min="11" max="11"/>
    <col width="16" customWidth="1" min="12" max="12"/>
  </cols>
  <sheetData>
    <row r="1" ht="28" customHeight="1">
      <c r="A1" s="1" t="inlineStr">
        <is>
          <t>Dead by Daylight TRPG　Survivor Character Sheet</t>
        </is>
      </c>
      <c r="B1" s="20" t="n"/>
      <c r="C1" s="20" t="n"/>
      <c r="D1" s="20" t="n"/>
      <c r="E1" s="20" t="n"/>
      <c r="F1" s="20" t="n"/>
      <c r="G1" s="20" t="n"/>
      <c r="H1" s="20" t="n"/>
      <c r="I1" s="20" t="n"/>
      <c r="J1" s="20" t="n"/>
      <c r="K1" s="20" t="n"/>
      <c r="L1" s="21" t="n"/>
    </row>
    <row r="2">
      <c r="A2" s="3" t="inlineStr">
        <is>
          <t>Character Art
(Paste character image here)</t>
        </is>
      </c>
      <c r="B2" s="22" t="n"/>
      <c r="C2" s="23" t="n"/>
      <c r="D2" s="5" t="inlineStr">
        <is>
          <t>Character Name</t>
        </is>
      </c>
      <c r="E2" s="6" t="inlineStr">
        <is>
          <t>Mo Qinghe</t>
        </is>
      </c>
      <c r="F2" s="24" t="n"/>
      <c r="G2" s="25" t="n"/>
      <c r="H2" s="5" t="inlineStr">
        <is>
          <t>Player</t>
        </is>
      </c>
      <c r="I2" s="6" t="inlineStr">
        <is>
          <t>Example</t>
        </is>
      </c>
      <c r="J2" s="24" t="n"/>
      <c r="K2" s="24" t="n"/>
      <c r="L2" s="25" t="n"/>
    </row>
    <row r="3">
      <c r="A3" s="26" t="n"/>
      <c r="C3" s="27" t="n"/>
      <c r="D3" s="5" t="inlineStr">
        <is>
          <t>Archetype</t>
        </is>
      </c>
      <c r="E3" s="6" t="inlineStr">
        <is>
          <t>Herbalist (HRB)</t>
        </is>
      </c>
      <c r="F3" s="24" t="n"/>
      <c r="G3" s="25" t="n"/>
      <c r="H3" s="5" t="inlineStr">
        <is>
          <t>Survival Specialization</t>
        </is>
      </c>
      <c r="I3" s="6" t="inlineStr">
        <is>
          <t>Guardian (RSC)</t>
        </is>
      </c>
      <c r="J3" s="24" t="n"/>
      <c r="K3" s="24" t="n"/>
      <c r="L3" s="25" t="n"/>
    </row>
    <row r="4">
      <c r="A4" s="26" t="n"/>
      <c r="C4" s="27" t="n"/>
      <c r="D4" s="5" t="inlineStr">
        <is>
          <t>Prestige (PRS)</t>
        </is>
      </c>
      <c r="E4" s="6" t="n">
        <v>8</v>
      </c>
      <c r="F4" s="5" t="inlineStr">
        <is>
          <t>Player Count (N)</t>
        </is>
      </c>
      <c r="G4" s="6" t="n">
        <v>2</v>
      </c>
      <c r="H4" s="5" t="inlineStr">
        <is>
          <t>Current Bloodpoint (BP)</t>
        </is>
      </c>
      <c r="I4" s="6" t="n">
        <v>43800</v>
      </c>
      <c r="J4" s="24" t="n"/>
      <c r="K4" s="24" t="n"/>
      <c r="L4" s="25" t="n"/>
    </row>
    <row r="5">
      <c r="A5" s="26" t="n"/>
      <c r="C5" s="27" t="n"/>
      <c r="D5" s="5" t="inlineStr">
        <is>
          <t>Attribute Point (ATP)</t>
        </is>
      </c>
      <c r="E5" s="8">
        <f>15+INT($E$4/2)</f>
        <v/>
      </c>
      <c r="F5" s="5" t="inlineStr">
        <is>
          <t>Skill Point (SKP)</t>
        </is>
      </c>
      <c r="G5" s="8">
        <f>2+$E$4</f>
        <v/>
      </c>
      <c r="H5" s="5" t="inlineStr">
        <is>
          <t>Bloodpoint Cap (BP_max)</t>
        </is>
      </c>
      <c r="I5" s="9">
        <f>20000+2000*($E$4-1)+200*($E$4-1)^2</f>
        <v/>
      </c>
      <c r="J5" s="24" t="n"/>
      <c r="K5" s="24" t="n"/>
      <c r="L5" s="25" t="n"/>
    </row>
    <row r="6">
      <c r="A6" s="28" t="n"/>
      <c r="B6" s="29" t="n"/>
      <c r="C6" s="30" t="n"/>
      <c r="D6" s="5" t="inlineStr">
        <is>
          <t>Perk Slot Count (PERK)</t>
        </is>
      </c>
      <c r="E6" s="8">
        <f>1+($E$4&gt;=5)+($E$4&gt;=10)+($E$4&gt;=15)</f>
        <v/>
      </c>
      <c r="F6" s="5" t="inlineStr">
        <is>
          <t>Hope Point Cap</t>
        </is>
      </c>
      <c r="G6" s="8">
        <f>2+INT($E$4/5)</f>
        <v/>
      </c>
      <c r="H6" s="5" t="inlineStr">
        <is>
          <t>Current Hope Point (HOP)</t>
        </is>
      </c>
      <c r="I6" s="6" t="n">
        <v>3</v>
      </c>
      <c r="J6" s="24" t="n"/>
      <c r="K6" s="24" t="n"/>
      <c r="L6" s="25" t="n"/>
    </row>
    <row r="7">
      <c r="A7" s="11" t="inlineStr">
        <is>
          <t>Beige cells = auto-calculated by formula; do not type. White cells = player-filled.'Player Count (N)' counts only Survivors played by players; the Echo Companion is not counted.</t>
        </is>
      </c>
      <c r="B7" s="24" t="n"/>
      <c r="C7" s="24" t="n"/>
      <c r="D7" s="24" t="n"/>
      <c r="E7" s="24" t="n"/>
      <c r="F7" s="24" t="n"/>
      <c r="G7" s="24" t="n"/>
      <c r="H7" s="24" t="n"/>
      <c r="I7" s="24" t="n"/>
      <c r="J7" s="24" t="n"/>
      <c r="K7" s="24" t="n"/>
      <c r="L7" s="25" t="n"/>
    </row>
    <row r="8" ht="20" customHeight="1">
      <c r="A8" s="13" t="inlineStr">
        <is>
          <t>I. Attributes (Attribute) — Attribute Value 1–10; Attribute Bonus (AB) = INT(Attribute Value ÷ 2)</t>
        </is>
      </c>
      <c r="B8" s="24" t="n"/>
      <c r="C8" s="24" t="n"/>
      <c r="D8" s="24" t="n"/>
      <c r="E8" s="24" t="n"/>
      <c r="F8" s="24" t="n"/>
      <c r="G8" s="24" t="n"/>
      <c r="H8" s="24" t="n"/>
      <c r="I8" s="24" t="n"/>
      <c r="J8" s="24" t="n"/>
      <c r="K8" s="24" t="n"/>
      <c r="L8" s="25" t="n"/>
    </row>
    <row r="9">
      <c r="A9" s="5" t="inlineStr">
        <is>
          <t>Attribute</t>
        </is>
      </c>
      <c r="B9" s="5" t="inlineStr">
        <is>
          <t>Abbrev.</t>
        </is>
      </c>
      <c r="C9" s="5" t="inlineStr">
        <is>
          <t>Base Value</t>
        </is>
      </c>
      <c r="D9" s="5" t="inlineStr">
        <is>
          <t>Archetype Adj.</t>
        </is>
      </c>
      <c r="E9" s="5" t="inlineStr">
        <is>
          <t>Attribute Value</t>
        </is>
      </c>
      <c r="F9" s="5" t="inlineStr">
        <is>
          <t>Attribute Bonus (AB)</t>
        </is>
      </c>
      <c r="G9" s="5" t="inlineStr">
        <is>
          <t>Use</t>
        </is>
      </c>
      <c r="H9" s="24" t="n"/>
      <c r="I9" s="24" t="n"/>
      <c r="J9" s="24" t="n"/>
      <c r="K9" s="24" t="n"/>
      <c r="L9" s="25" t="n"/>
    </row>
    <row r="10">
      <c r="A10" s="16" t="inlineStr">
        <is>
          <t>Agility</t>
        </is>
      </c>
      <c r="B10" s="16" t="inlineStr">
        <is>
          <t>AGI</t>
        </is>
      </c>
      <c r="C10" s="6" t="n">
        <v>3</v>
      </c>
      <c r="D10" s="6" t="n">
        <v>0</v>
      </c>
      <c r="E10" s="8">
        <f>C10+D10</f>
        <v/>
      </c>
      <c r="F10" s="8">
        <f>INT(E10/2)</f>
        <v/>
      </c>
      <c r="G10" s="17" t="inlineStr">
        <is>
          <t>Vault windows, drop pallets, dodge, wriggle. The core of chase survival.</t>
        </is>
      </c>
      <c r="H10" s="24" t="n"/>
      <c r="I10" s="24" t="n"/>
      <c r="J10" s="24" t="n"/>
      <c r="K10" s="24" t="n"/>
      <c r="L10" s="25" t="n"/>
    </row>
    <row r="11">
      <c r="A11" s="16" t="inlineStr">
        <is>
          <t>Technique</t>
        </is>
      </c>
      <c r="B11" s="16" t="inlineStr">
        <is>
          <t>TEC</t>
        </is>
      </c>
      <c r="C11" s="6" t="n">
        <v>3</v>
      </c>
      <c r="D11" s="6" t="n">
        <v>0</v>
      </c>
      <c r="E11" s="8">
        <f>C11+D11</f>
        <v/>
      </c>
      <c r="F11" s="8">
        <f>INT(E11/2)</f>
        <v/>
      </c>
      <c r="G11" s="17" t="inlineStr">
        <is>
          <t>Generator repair, disarm traps, open chests. The core of the victory condition.</t>
        </is>
      </c>
      <c r="H11" s="24" t="n"/>
      <c r="I11" s="24" t="n"/>
      <c r="J11" s="24" t="n"/>
      <c r="K11" s="24" t="n"/>
      <c r="L11" s="25" t="n"/>
    </row>
    <row r="12">
      <c r="A12" s="16" t="inlineStr">
        <is>
          <t>Stealth</t>
        </is>
      </c>
      <c r="B12" s="16" t="inlineStr">
        <is>
          <t>STL</t>
        </is>
      </c>
      <c r="C12" s="6" t="n">
        <v>4</v>
      </c>
      <c r="D12" s="6" t="n">
        <v>1</v>
      </c>
      <c r="E12" s="8">
        <f>C12+D12</f>
        <v/>
      </c>
      <c r="F12" s="8">
        <f>INT(E12/2)</f>
        <v/>
      </c>
      <c r="G12" s="17" t="inlineStr">
        <is>
          <t>Crouch, hide in lockers, erase scratch marks, counter killer tracking.</t>
        </is>
      </c>
      <c r="H12" s="24" t="n"/>
      <c r="I12" s="24" t="n"/>
      <c r="J12" s="24" t="n"/>
      <c r="K12" s="24" t="n"/>
      <c r="L12" s="25" t="n"/>
    </row>
    <row r="13">
      <c r="A13" s="16" t="inlineStr">
        <is>
          <t>Focus</t>
        </is>
      </c>
      <c r="B13" s="16" t="inlineStr">
        <is>
          <t>FOC</t>
        </is>
      </c>
      <c r="C13" s="6" t="n">
        <v>5</v>
      </c>
      <c r="D13" s="6" t="n">
        <v>2</v>
      </c>
      <c r="E13" s="8">
        <f>C13+D13</f>
        <v/>
      </c>
      <c r="F13" s="8">
        <f>INT(E13/2)</f>
        <v/>
      </c>
      <c r="G13" s="17" t="inlineStr">
        <is>
          <t>Four-tier skill-check quality, rescue timing, anti-interference, self-unhook.</t>
        </is>
      </c>
      <c r="H13" s="24" t="n"/>
      <c r="I13" s="24" t="n"/>
      <c r="J13" s="24" t="n"/>
      <c r="K13" s="24" t="n"/>
      <c r="L13" s="25" t="n"/>
    </row>
    <row r="14">
      <c r="A14" s="16" t="inlineStr">
        <is>
          <t>Will</t>
        </is>
      </c>
      <c r="B14" s="16" t="inlineStr">
        <is>
          <t>WIL</t>
        </is>
      </c>
      <c r="C14" s="6" t="n">
        <v>4</v>
      </c>
      <c r="D14" s="6" t="n">
        <v>0</v>
      </c>
      <c r="E14" s="8">
        <f>C14+D14</f>
        <v/>
      </c>
      <c r="F14" s="8">
        <f>INT(E14/2)</f>
        <v/>
      </c>
      <c r="G14" s="17" t="inlineStr">
        <is>
          <t>Max HP, fear resistance, hook-survival rounds, dying crawl.</t>
        </is>
      </c>
      <c r="H14" s="24" t="n"/>
      <c r="I14" s="24" t="n"/>
      <c r="J14" s="24" t="n"/>
      <c r="K14" s="24" t="n"/>
      <c r="L14" s="25" t="n"/>
    </row>
    <row r="15">
      <c r="A15" s="5" t="inlineStr">
        <is>
          <t>Total</t>
        </is>
      </c>
      <c r="B15" s="25" t="n"/>
      <c r="C15" s="8">
        <f>SUM(C10:C14)</f>
        <v/>
      </c>
      <c r="D15" s="5" t="inlineStr">
        <is>
          <t>Unallocated</t>
        </is>
      </c>
      <c r="E15" s="8">
        <f>$E$5-SUM(C10:C14)</f>
        <v/>
      </c>
      <c r="F15" s="11" t="inlineStr">
        <is>
          <t>At creation each base value is 1–5; the total must equal Attribute Point (ATP). Archetype adjustment comes from the chosen archetype.</t>
        </is>
      </c>
      <c r="G15" s="24" t="n"/>
      <c r="H15" s="24" t="n"/>
      <c r="I15" s="24" t="n"/>
      <c r="J15" s="24" t="n"/>
      <c r="K15" s="24" t="n"/>
      <c r="L15" s="25" t="n"/>
    </row>
    <row r="16" ht="20" customHeight="1">
      <c r="A16" s="13" t="inlineStr">
        <is>
          <t>II. Skills (Skill) — Skill Level (SL) 0–5; at level 0 when a professional skill is required, the check takes an extra −2 (Untrained)</t>
        </is>
      </c>
      <c r="B16" s="24" t="n"/>
      <c r="C16" s="24" t="n"/>
      <c r="D16" s="24" t="n"/>
      <c r="E16" s="24" t="n"/>
      <c r="F16" s="24" t="n"/>
      <c r="G16" s="24" t="n"/>
      <c r="H16" s="24" t="n"/>
      <c r="I16" s="24" t="n"/>
      <c r="J16" s="24" t="n"/>
      <c r="K16" s="24" t="n"/>
      <c r="L16" s="25" t="n"/>
    </row>
    <row r="17">
      <c r="A17" s="5" t="inlineStr">
        <is>
          <t>Skill</t>
        </is>
      </c>
      <c r="B17" s="5" t="inlineStr">
        <is>
          <t>Abbrev.</t>
        </is>
      </c>
      <c r="C17" s="5" t="inlineStr">
        <is>
          <t>Linked Attribute</t>
        </is>
      </c>
      <c r="D17" s="5" t="inlineStr">
        <is>
          <t>Skill Level (SL)</t>
        </is>
      </c>
      <c r="E17" s="5" t="inlineStr">
        <is>
          <t>Attribute Bonus (AB)</t>
        </is>
      </c>
      <c r="F17" s="5" t="inlineStr">
        <is>
          <t>Total Check Modifier</t>
        </is>
      </c>
      <c r="G17" s="5" t="inlineStr">
        <is>
          <t>Use</t>
        </is>
      </c>
      <c r="H17" s="24" t="n"/>
      <c r="I17" s="24" t="n"/>
      <c r="J17" s="24" t="n"/>
      <c r="K17" s="24" t="n"/>
      <c r="L17" s="25" t="n"/>
    </row>
    <row r="18">
      <c r="A18" s="16" t="inlineStr">
        <is>
          <t>Mechanical Repair</t>
        </is>
      </c>
      <c r="B18" s="16" t="inlineStr">
        <is>
          <t>MEC</t>
        </is>
      </c>
      <c r="C18" s="6" t="inlineStr">
        <is>
          <t>Technique (TEC)</t>
        </is>
      </c>
      <c r="D18" s="6" t="n">
        <v>0</v>
      </c>
      <c r="E18" s="8">
        <f>F11</f>
        <v/>
      </c>
      <c r="F18" s="8">
        <f>D18+E18-IF(D18=0,2,0)</f>
        <v/>
      </c>
      <c r="G18" s="17" t="inlineStr">
        <is>
          <t>Generator repair, Exit Gate opening, Hook sabotage</t>
        </is>
      </c>
      <c r="H18" s="24" t="n"/>
      <c r="I18" s="24" t="n"/>
      <c r="J18" s="24" t="n"/>
      <c r="K18" s="24" t="n"/>
      <c r="L18" s="25" t="n"/>
    </row>
    <row r="19">
      <c r="A19" s="16" t="inlineStr">
        <is>
          <t>First Aid</t>
        </is>
      </c>
      <c r="B19" s="16" t="inlineStr">
        <is>
          <t>MED</t>
        </is>
      </c>
      <c r="C19" s="6" t="inlineStr">
        <is>
          <t>Focus (FOC)</t>
        </is>
      </c>
      <c r="D19" s="6" t="n">
        <v>4</v>
      </c>
      <c r="E19" s="8">
        <f>F13</f>
        <v/>
      </c>
      <c r="F19" s="8">
        <f>D19+E19-IF(D19=0,2,0)</f>
        <v/>
      </c>
      <c r="G19" s="17" t="inlineStr">
        <is>
          <t>Heal others, self-heal, pick up the dying, stop bleeding</t>
        </is>
      </c>
      <c r="H19" s="24" t="n"/>
      <c r="I19" s="24" t="n"/>
      <c r="J19" s="24" t="n"/>
      <c r="K19" s="24" t="n"/>
      <c r="L19" s="25" t="n"/>
    </row>
    <row r="20">
      <c r="A20" s="16" t="inlineStr">
        <is>
          <t>Sneak</t>
        </is>
      </c>
      <c r="B20" s="16" t="inlineStr">
        <is>
          <t>SNK</t>
        </is>
      </c>
      <c r="C20" s="6" t="inlineStr">
        <is>
          <t>Stealth (STL)</t>
        </is>
      </c>
      <c r="D20" s="6" t="n">
        <v>2</v>
      </c>
      <c r="E20" s="8">
        <f>F12</f>
        <v/>
      </c>
      <c r="F20" s="8">
        <f>D20+E20-IF(D20=0,2,0)</f>
        <v/>
      </c>
      <c r="G20" s="17" t="inlineStr">
        <is>
          <t>Crouch, hide in lockers, erase scratch marks, counter tracking</t>
        </is>
      </c>
      <c r="H20" s="24" t="n"/>
      <c r="I20" s="24" t="n"/>
      <c r="J20" s="24" t="n"/>
      <c r="K20" s="24" t="n"/>
      <c r="L20" s="25" t="n"/>
    </row>
    <row r="21">
      <c r="A21" s="16" t="inlineStr">
        <is>
          <t>Parkour</t>
        </is>
      </c>
      <c r="B21" s="16" t="inlineStr">
        <is>
          <t>PRK</t>
        </is>
      </c>
      <c r="C21" s="6" t="inlineStr">
        <is>
          <t>Agility (AGI)</t>
        </is>
      </c>
      <c r="D21" s="6" t="n">
        <v>1</v>
      </c>
      <c r="E21" s="8">
        <f>F10</f>
        <v/>
      </c>
      <c r="F21" s="8">
        <f>D21+E21-IF(D21=0,2,0)</f>
        <v/>
      </c>
      <c r="G21" s="17" t="inlineStr">
        <is>
          <t>Vault windows, clear obstacles, drop down, loop</t>
        </is>
      </c>
      <c r="H21" s="24" t="n"/>
      <c r="I21" s="24" t="n"/>
      <c r="J21" s="24" t="n"/>
      <c r="K21" s="24" t="n"/>
      <c r="L21" s="25" t="n"/>
    </row>
    <row r="22">
      <c r="A22" s="16" t="inlineStr">
        <is>
          <t>Escape</t>
        </is>
      </c>
      <c r="B22" s="16" t="inlineStr">
        <is>
          <t>ESQ</t>
        </is>
      </c>
      <c r="C22" s="6" t="inlineStr">
        <is>
          <t>Agility (AGI)</t>
        </is>
      </c>
      <c r="D22" s="6" t="n">
        <v>0</v>
      </c>
      <c r="E22" s="8">
        <f>F10</f>
        <v/>
      </c>
      <c r="F22" s="8">
        <f>D22+E22-IF(D22=0,2,0)</f>
        <v/>
      </c>
      <c r="G22" s="17" t="inlineStr">
        <is>
          <t>Wriggle, escape traps, break a grab</t>
        </is>
      </c>
      <c r="H22" s="24" t="n"/>
      <c r="I22" s="24" t="n"/>
      <c r="J22" s="24" t="n"/>
      <c r="K22" s="24" t="n"/>
      <c r="L22" s="25" t="n"/>
    </row>
    <row r="23">
      <c r="A23" s="16" t="inlineStr">
        <is>
          <t>Search</t>
        </is>
      </c>
      <c r="B23" s="16" t="inlineStr">
        <is>
          <t>SRC</t>
        </is>
      </c>
      <c r="C23" s="6" t="inlineStr">
        <is>
          <t>Technique (TEC)</t>
        </is>
      </c>
      <c r="D23" s="6" t="n">
        <v>0</v>
      </c>
      <c r="E23" s="8">
        <f>F11</f>
        <v/>
      </c>
      <c r="F23" s="8">
        <f>D23+E23-IF(D23=0,2,0)</f>
        <v/>
      </c>
      <c r="G23" s="17" t="inlineStr">
        <is>
          <t>Open chests, find the Hatch, identify Totems</t>
        </is>
      </c>
      <c r="H23" s="24" t="n"/>
      <c r="I23" s="24" t="n"/>
      <c r="J23" s="24" t="n"/>
      <c r="K23" s="24" t="n"/>
      <c r="L23" s="25" t="n"/>
    </row>
    <row r="24">
      <c r="A24" s="16" t="inlineStr">
        <is>
          <t>Endurance</t>
        </is>
      </c>
      <c r="B24" s="16" t="inlineStr">
        <is>
          <t>END</t>
        </is>
      </c>
      <c r="C24" s="6" t="inlineStr">
        <is>
          <t>Will (WIL)</t>
        </is>
      </c>
      <c r="D24" s="6" t="n">
        <v>1</v>
      </c>
      <c r="E24" s="8">
        <f>F14</f>
        <v/>
      </c>
      <c r="F24" s="8">
        <f>D24+E24-IF(D24=0,2,0)</f>
        <v/>
      </c>
      <c r="G24" s="17" t="inlineStr">
        <is>
          <t>Fear resistance, endure hooks, resist status effects, dying crawl</t>
        </is>
      </c>
      <c r="H24" s="24" t="n"/>
      <c r="I24" s="24" t="n"/>
      <c r="J24" s="24" t="n"/>
      <c r="K24" s="24" t="n"/>
      <c r="L24" s="25" t="n"/>
    </row>
    <row r="25">
      <c r="A25" s="16" t="inlineStr">
        <is>
          <t>Insight</t>
        </is>
      </c>
      <c r="B25" s="16" t="inlineStr">
        <is>
          <t>INS</t>
        </is>
      </c>
      <c r="C25" s="6" t="inlineStr">
        <is>
          <t>Focus (FOC)</t>
        </is>
      </c>
      <c r="D25" s="6" t="n">
        <v>2</v>
      </c>
      <c r="E25" s="8">
        <f>F13</f>
        <v/>
      </c>
      <c r="F25" s="8">
        <f>D25+E25-IF(D25=0,2,0)</f>
        <v/>
      </c>
      <c r="G25" s="17" t="inlineStr">
        <is>
          <t>Read auras, predict killer movement, judge rescue timing</t>
        </is>
      </c>
      <c r="H25" s="24" t="n"/>
      <c r="I25" s="24" t="n"/>
      <c r="J25" s="24" t="n"/>
      <c r="K25" s="24" t="n"/>
      <c r="L25" s="25" t="n"/>
    </row>
    <row r="26">
      <c r="A26" s="5" t="inlineStr">
        <is>
          <t>Total</t>
        </is>
      </c>
      <c r="B26" s="24" t="n"/>
      <c r="C26" s="25" t="n"/>
      <c r="D26" s="8">
        <f>SUM(D18:D25)</f>
        <v/>
      </c>
      <c r="E26" s="5" t="inlineStr">
        <is>
          <t>Unallocated</t>
        </is>
      </c>
      <c r="F26" s="8">
        <f>$G$5-SUM(D18:D25)</f>
        <v/>
      </c>
      <c r="G26" s="11" t="inlineStr">
        <is>
          <t>Total Check Modifier already includes the Untrained −2 penalty; Situational Modifier (SM) is counted separately.</t>
        </is>
      </c>
      <c r="H26" s="24" t="n"/>
      <c r="I26" s="24" t="n"/>
      <c r="J26" s="24" t="n"/>
      <c r="K26" s="24" t="n"/>
      <c r="L26" s="25" t="n"/>
    </row>
    <row r="27" ht="20" customHeight="1">
      <c r="A27" s="13" t="inlineStr">
        <is>
          <t>III. Derived Values (Derived Value) — all auto-calculated</t>
        </is>
      </c>
      <c r="B27" s="24" t="n"/>
      <c r="C27" s="24" t="n"/>
      <c r="D27" s="24" t="n"/>
      <c r="E27" s="24" t="n"/>
      <c r="F27" s="24" t="n"/>
      <c r="G27" s="24" t="n"/>
      <c r="H27" s="24" t="n"/>
      <c r="I27" s="24" t="n"/>
      <c r="J27" s="24" t="n"/>
      <c r="K27" s="24" t="n"/>
      <c r="L27" s="25" t="n"/>
    </row>
    <row r="28">
      <c r="A28" s="5" t="inlineStr">
        <is>
          <t>Max HP (HP_max)</t>
        </is>
      </c>
      <c r="B28" s="25" t="n"/>
      <c r="C28" s="8">
        <f>8+2*$E$14+$E$4</f>
        <v/>
      </c>
      <c r="D28" s="5" t="inlineStr">
        <is>
          <t>Health State Cap (HS_max)</t>
        </is>
      </c>
      <c r="E28" s="25" t="n"/>
      <c r="F28" s="8">
        <f>IF(L28="Yes",1,2)</f>
        <v/>
      </c>
      <c r="G28" s="5" t="inlineStr">
        <is>
          <t>Action Point Cap (AP_max)</t>
        </is>
      </c>
      <c r="H28" s="25" t="n"/>
      <c r="I28" s="8">
        <f>IF(L29="Yes",3,4)</f>
        <v/>
      </c>
      <c r="J28" s="5" t="inlineStr">
        <is>
          <t>Broken state?</t>
        </is>
      </c>
      <c r="K28" s="25" t="n"/>
      <c r="L28" s="6" t="inlineStr">
        <is>
          <t>No</t>
        </is>
      </c>
    </row>
    <row r="29">
      <c r="A29" s="5" t="inlineStr">
        <is>
          <t>Move (MOV)</t>
        </is>
      </c>
      <c r="B29" s="25" t="n"/>
      <c r="C29" s="8">
        <f>6+INT($F$10/2)</f>
        <v/>
      </c>
      <c r="D29" s="5" t="inlineStr">
        <is>
          <t>Sprint (SPR)</t>
        </is>
      </c>
      <c r="E29" s="25" t="n"/>
      <c r="F29" s="8">
        <f>(6+INT($F$10/2))*2</f>
        <v/>
      </c>
      <c r="G29" s="5" t="inlineStr">
        <is>
          <t>Repair Efficiency (REP)</t>
        </is>
      </c>
      <c r="H29" s="25" t="n"/>
      <c r="I29" s="8">
        <f>$F$11+$D$18</f>
        <v/>
      </c>
      <c r="J29" s="5" t="inlineStr">
        <is>
          <t>Currently in Chase?</t>
        </is>
      </c>
      <c r="K29" s="25" t="n"/>
      <c r="L29" s="6" t="inlineStr">
        <is>
          <t>No</t>
        </is>
      </c>
    </row>
    <row r="30">
      <c r="A30" s="5" t="inlineStr">
        <is>
          <t>Heal Efficiency (HEAL)</t>
        </is>
      </c>
      <c r="B30" s="25" t="n"/>
      <c r="C30" s="8">
        <f>$F$13+$D$19</f>
        <v/>
      </c>
      <c r="D30" s="5" t="inlineStr">
        <is>
          <t>Passive Stealth (PSTL)</t>
        </is>
      </c>
      <c r="E30" s="25" t="n"/>
      <c r="F30" s="8">
        <f>8+$F$12+$D$20</f>
        <v/>
      </c>
      <c r="G30" s="5" t="inlineStr">
        <is>
          <t>Passive Perception (PPER)</t>
        </is>
      </c>
      <c r="H30" s="25" t="n"/>
      <c r="I30" s="8">
        <f>8+$F$13+$D$25</f>
        <v/>
      </c>
    </row>
    <row r="31">
      <c r="A31" s="5" t="inlineStr">
        <is>
          <t>Fear Resistance (FRES)</t>
        </is>
      </c>
      <c r="B31" s="25" t="n"/>
      <c r="C31" s="8">
        <f>10+$F$14+$D$24</f>
        <v/>
      </c>
      <c r="D31" s="5" t="inlineStr">
        <is>
          <t>Chase Check Mod (CHS)</t>
        </is>
      </c>
      <c r="E31" s="25" t="n"/>
      <c r="F31" s="8">
        <f>$F$10+$D$21</f>
        <v/>
      </c>
      <c r="G31" s="5" t="inlineStr">
        <is>
          <t>Wiggle Check Mod (WIG)</t>
        </is>
      </c>
      <c r="H31" s="25" t="n"/>
      <c r="I31" s="8">
        <f>$F$10+$D$22</f>
        <v/>
      </c>
    </row>
    <row r="32">
      <c r="A32" s="5" t="inlineStr">
        <is>
          <t>Hook Survival Rounds (HKS)</t>
        </is>
      </c>
      <c r="B32" s="25" t="n"/>
      <c r="C32" s="8">
        <f>(8-$G$4)+INT($F$14/2)</f>
        <v/>
      </c>
      <c r="D32" s="5" t="inlineStr">
        <is>
          <t>Self-Unhook Difficulty Class (DC)</t>
        </is>
      </c>
      <c r="E32" s="25" t="n"/>
      <c r="F32" s="8">
        <f>20-(4-$G$4)</f>
        <v/>
      </c>
      <c r="G32" s="5" t="inlineStr">
        <is>
          <t>Load Cap (LOAD)</t>
        </is>
      </c>
      <c r="H32" s="25" t="n"/>
      <c r="I32" s="8">
        <f>2+IF($E$3="Artificer (ART)",1,0)</f>
        <v/>
      </c>
    </row>
    <row r="33">
      <c r="A33" s="11" t="inlineStr">
        <is>
          <t>Action Point (AP): 4 per round when not in chase, 3 in chase. Health State (HS): Healthy → Injured → Dying; when Broken, cannot be healed at all.</t>
        </is>
      </c>
      <c r="B33" s="24" t="n"/>
      <c r="C33" s="24" t="n"/>
      <c r="D33" s="24" t="n"/>
      <c r="E33" s="24" t="n"/>
      <c r="F33" s="24" t="n"/>
      <c r="G33" s="24" t="n"/>
      <c r="H33" s="24" t="n"/>
      <c r="I33" s="24" t="n"/>
      <c r="J33" s="24" t="n"/>
      <c r="K33" s="24" t="n"/>
      <c r="L33" s="25" t="n"/>
    </row>
    <row r="34" ht="20" customHeight="1">
      <c r="A34" s="13" t="inlineStr">
        <is>
          <t>IV. Trial Tracker — cleared at the start of each Trial</t>
        </is>
      </c>
      <c r="B34" s="24" t="n"/>
      <c r="C34" s="24" t="n"/>
      <c r="D34" s="24" t="n"/>
      <c r="E34" s="24" t="n"/>
      <c r="F34" s="24" t="n"/>
      <c r="G34" s="24" t="n"/>
      <c r="H34" s="24" t="n"/>
      <c r="I34" s="24" t="n"/>
      <c r="J34" s="24" t="n"/>
      <c r="K34" s="24" t="n"/>
      <c r="L34" s="25" t="n"/>
    </row>
    <row r="35">
      <c r="A35" s="5" t="inlineStr">
        <is>
          <t>Current Health State</t>
        </is>
      </c>
      <c r="B35" s="25" t="n"/>
      <c r="C35" s="6" t="n"/>
      <c r="D35" s="17" t="inlineStr">
        <is>
          <t>Healthy / Injured / Dying</t>
        </is>
      </c>
      <c r="E35" s="24" t="n"/>
      <c r="F35" s="25" t="n"/>
      <c r="G35" s="5" t="inlineStr">
        <is>
          <t>Current HP (HP)</t>
        </is>
      </c>
      <c r="H35" s="25" t="n"/>
      <c r="I35" s="6" t="n"/>
      <c r="J35" s="17" t="inlineStr"/>
      <c r="K35" s="24" t="n"/>
      <c r="L35" s="25" t="n"/>
    </row>
    <row r="36">
      <c r="A36" s="5" t="inlineStr">
        <is>
          <t>Hook Count This Trial</t>
        </is>
      </c>
      <c r="B36" s="25" t="n"/>
      <c r="C36" s="6" t="n"/>
      <c r="D36" s="17" t="inlineStr">
        <is>
          <t>0 / 1 / 2 (third = Sacrifice)</t>
        </is>
      </c>
      <c r="E36" s="24" t="n"/>
      <c r="F36" s="25" t="n"/>
      <c r="G36" s="5" t="inlineStr">
        <is>
          <t>Hook Phase Timer</t>
        </is>
      </c>
      <c r="H36" s="25" t="n"/>
      <c r="I36" s="6" t="n"/>
      <c r="J36" s="17" t="inlineStr">
        <is>
          <t>round(s)</t>
        </is>
      </c>
      <c r="K36" s="24" t="n"/>
      <c r="L36" s="25" t="n"/>
    </row>
    <row r="37">
      <c r="A37" s="5" t="inlineStr">
        <is>
          <t>Current Distance Band (DB)</t>
        </is>
      </c>
      <c r="B37" s="25" t="n"/>
      <c r="C37" s="6" t="n"/>
      <c r="D37" s="17" t="inlineStr">
        <is>
          <t>Contact / Near / Mid / Far / Escaped</t>
        </is>
      </c>
      <c r="E37" s="24" t="n"/>
      <c r="F37" s="25" t="n"/>
      <c r="G37" s="5" t="inlineStr">
        <is>
          <t>Consecutive Chase Rounds</t>
        </is>
      </c>
      <c r="H37" s="25" t="n"/>
      <c r="I37" s="6" t="n"/>
      <c r="J37" s="17" t="inlineStr">
        <is>
          <t>for Bloodlust check</t>
        </is>
      </c>
      <c r="K37" s="24" t="n"/>
      <c r="L37" s="25" t="n"/>
    </row>
    <row r="38">
      <c r="A38" s="5" t="inlineStr">
        <is>
          <t>Remaining Action Point (AP)</t>
        </is>
      </c>
      <c r="B38" s="25" t="n"/>
      <c r="C38" s="6" t="n"/>
      <c r="D38" s="17" t="inlineStr"/>
      <c r="E38" s="24" t="n"/>
      <c r="F38" s="25" t="n"/>
      <c r="G38" s="5" t="inlineStr">
        <is>
          <t>Persistence Bonus (PB) rounds</t>
        </is>
      </c>
      <c r="H38" s="25" t="n"/>
      <c r="I38" s="6" t="n"/>
      <c r="J38" s="17" t="inlineStr">
        <is>
          <t>consecutive same-action rounds −1, cap +3</t>
        </is>
      </c>
      <c r="K38" s="24" t="n"/>
      <c r="L38" s="25" t="n"/>
    </row>
    <row r="39"/>
    <row r="40" ht="20" customHeight="1">
      <c r="A40" s="13" t="inlineStr">
        <is>
          <t>V. Perks (Perk) — slot count opens by Prestige (PRS): 1 at start, +1 each at Prestige 5 / 10 / 15</t>
        </is>
      </c>
      <c r="B40" s="24" t="n"/>
      <c r="C40" s="24" t="n"/>
      <c r="D40" s="24" t="n"/>
      <c r="E40" s="24" t="n"/>
      <c r="F40" s="24" t="n"/>
      <c r="G40" s="24" t="n"/>
      <c r="H40" s="24" t="n"/>
      <c r="I40" s="24" t="n"/>
      <c r="J40" s="24" t="n"/>
      <c r="K40" s="24" t="n"/>
      <c r="L40" s="25" t="n"/>
    </row>
    <row r="41">
      <c r="A41" s="5" t="inlineStr">
        <is>
          <t>Slot</t>
        </is>
      </c>
      <c r="B41" s="5" t="inlineStr">
        <is>
          <t>Perk Name</t>
        </is>
      </c>
      <c r="C41" s="24" t="n"/>
      <c r="D41" s="25" t="n"/>
      <c r="E41" s="5" t="inlineStr">
        <is>
          <t>Tier</t>
        </is>
      </c>
      <c r="F41" s="5" t="inlineStr">
        <is>
          <t>Effect Summary</t>
        </is>
      </c>
      <c r="G41" s="24" t="n"/>
      <c r="H41" s="24" t="n"/>
      <c r="I41" s="24" t="n"/>
      <c r="J41" s="24" t="n"/>
      <c r="K41" s="24" t="n"/>
      <c r="L41" s="25" t="n"/>
    </row>
    <row r="42">
      <c r="A42" s="5" t="inlineStr">
        <is>
          <t>1 | Initial</t>
        </is>
      </c>
      <c r="B42" s="17" t="inlineStr">
        <is>
          <t>Self-Care Technique (TALENT-S07)</t>
        </is>
      </c>
      <c r="C42" s="24" t="n"/>
      <c r="D42" s="25" t="n"/>
      <c r="E42" s="6" t="inlineStr">
        <is>
          <t>Tier 3</t>
        </is>
      </c>
      <c r="F42" s="17" t="inlineStr">
        <is>
          <t>Can self-heal without a medical-type Item; self-heal Action Point (AP) Cost reduced from 4 to 3 points.</t>
        </is>
      </c>
      <c r="G42" s="24" t="n"/>
      <c r="H42" s="24" t="n"/>
      <c r="I42" s="24" t="n"/>
      <c r="J42" s="24" t="n"/>
      <c r="K42" s="24" t="n"/>
      <c r="L42" s="25" t="n"/>
    </row>
    <row r="43">
      <c r="A43" s="5" t="inlineStr">
        <is>
          <t>2 | Prestige 5</t>
        </is>
      </c>
      <c r="B43" s="17" t="inlineStr">
        <is>
          <t>Shared Pain (TALENT-S09)</t>
        </is>
      </c>
      <c r="C43" s="24" t="n"/>
      <c r="D43" s="25" t="n"/>
      <c r="E43" s="6" t="inlineStr">
        <is>
          <t>Tier 2</t>
        </is>
      </c>
      <c r="F43" s="17" t="inlineStr">
        <is>
          <t>When a teammate or Echo Companion enters Dying, you automatically learn their position and gain 1 Hope Point (HOP).</t>
        </is>
      </c>
      <c r="G43" s="24" t="n"/>
      <c r="H43" s="24" t="n"/>
      <c r="I43" s="24" t="n"/>
      <c r="J43" s="24" t="n"/>
      <c r="K43" s="24" t="n"/>
      <c r="L43" s="25" t="n"/>
    </row>
    <row r="44">
      <c r="A44" s="5" t="inlineStr">
        <is>
          <t>3 | Prestige 10</t>
        </is>
      </c>
      <c r="B44" s="17" t="inlineStr"/>
      <c r="C44" s="24" t="n"/>
      <c r="D44" s="25" t="n"/>
      <c r="E44" s="6" t="inlineStr"/>
      <c r="F44" s="17" t="inlineStr"/>
      <c r="G44" s="24" t="n"/>
      <c r="H44" s="24" t="n"/>
      <c r="I44" s="24" t="n"/>
      <c r="J44" s="24" t="n"/>
      <c r="K44" s="24" t="n"/>
      <c r="L44" s="25" t="n"/>
    </row>
    <row r="45">
      <c r="A45" s="5" t="inlineStr">
        <is>
          <t>4 | Prestige 15</t>
        </is>
      </c>
      <c r="B45" s="17" t="inlineStr"/>
      <c r="C45" s="24" t="n"/>
      <c r="D45" s="25" t="n"/>
      <c r="E45" s="6" t="inlineStr"/>
      <c r="F45" s="17" t="inlineStr"/>
      <c r="G45" s="24" t="n"/>
      <c r="H45" s="24" t="n"/>
      <c r="I45" s="24" t="n"/>
      <c r="J45" s="24" t="n"/>
      <c r="K45" s="24" t="n"/>
      <c r="L45" s="25" t="n"/>
    </row>
    <row r="46">
      <c r="A46" s="11" t="inlineStr">
        <is>
          <t>Perks have three tiers: Tier 1 (Common) / Tier 2 (Uncommon) / Tier 3 (Very Rare). In the Tier column write Tier 1 / Tier 2 / Tier 3. See the Perk Codex. In a Solo Trial (Setup 1), perks that involve allies instead target the Echo Companion; if no Echo Companion is present, use the perk's solo-variant clause.</t>
        </is>
      </c>
      <c r="B46" s="24" t="n"/>
      <c r="C46" s="24" t="n"/>
      <c r="D46" s="24" t="n"/>
      <c r="E46" s="24" t="n"/>
      <c r="F46" s="24" t="n"/>
      <c r="G46" s="24" t="n"/>
      <c r="H46" s="24" t="n"/>
      <c r="I46" s="24" t="n"/>
      <c r="J46" s="24" t="n"/>
      <c r="K46" s="24" t="n"/>
      <c r="L46" s="25" t="n"/>
    </row>
    <row r="47" ht="20" customHeight="1">
      <c r="A47" s="13" t="inlineStr">
        <is>
          <t>VI. Carried Items &amp; Add-ons (Item &amp; Add-on) — Load (LOAD) cap see Derived Values</t>
        </is>
      </c>
      <c r="B47" s="24" t="n"/>
      <c r="C47" s="24" t="n"/>
      <c r="D47" s="24" t="n"/>
      <c r="E47" s="24" t="n"/>
      <c r="F47" s="24" t="n"/>
      <c r="G47" s="24" t="n"/>
      <c r="H47" s="24" t="n"/>
      <c r="I47" s="24" t="n"/>
      <c r="J47" s="24" t="n"/>
      <c r="K47" s="24" t="n"/>
      <c r="L47" s="25" t="n"/>
    </row>
    <row r="48">
      <c r="A48" s="5" t="inlineStr">
        <is>
          <t>Item Name</t>
        </is>
      </c>
      <c r="B48" s="24" t="n"/>
      <c r="C48" s="25" t="n"/>
      <c r="D48" s="5" t="inlineStr">
        <is>
          <t>Type</t>
        </is>
      </c>
      <c r="E48" s="25" t="n"/>
      <c r="F48" s="5" t="inlineStr">
        <is>
          <t>Rarity</t>
        </is>
      </c>
      <c r="G48" s="5" t="inlineStr">
        <is>
          <t>Charge (CHG)</t>
        </is>
      </c>
      <c r="H48" s="5" t="inlineStr">
        <is>
          <t>Add-on 1</t>
        </is>
      </c>
      <c r="I48" s="25" t="n"/>
      <c r="J48" s="5" t="inlineStr">
        <is>
          <t>Add-on 2</t>
        </is>
      </c>
      <c r="K48" s="24" t="n"/>
      <c r="L48" s="25" t="n"/>
    </row>
    <row r="49">
      <c r="A49" s="17" t="inlineStr">
        <is>
          <t>First Aid Kit (FAK)</t>
        </is>
      </c>
      <c r="B49" s="24" t="n"/>
      <c r="C49" s="25" t="n"/>
      <c r="D49" s="6" t="inlineStr">
        <is>
          <t>Healing</t>
        </is>
      </c>
      <c r="E49" s="25" t="n"/>
      <c r="F49" s="6" t="inlineStr">
        <is>
          <t>Very Rare</t>
        </is>
      </c>
      <c r="G49" s="6" t="n">
        <v>12</v>
      </c>
      <c r="H49" s="17" t="inlineStr">
        <is>
          <t>Serum</t>
        </is>
      </c>
      <c r="I49" s="25" t="n"/>
      <c r="J49" s="17" t="inlineStr">
        <is>
          <t>Antibacterial Bandage</t>
        </is>
      </c>
      <c r="K49" s="24" t="n"/>
      <c r="L49" s="25" t="n"/>
    </row>
    <row r="50">
      <c r="A50" s="17" t="inlineStr">
        <is>
          <t>Herb Bundle (HRB)</t>
        </is>
      </c>
      <c r="B50" s="24" t="n"/>
      <c r="C50" s="25" t="n"/>
      <c r="D50" s="6" t="inlineStr">
        <is>
          <t>Healing</t>
        </is>
      </c>
      <c r="E50" s="25" t="n"/>
      <c r="F50" s="6" t="inlineStr">
        <is>
          <t>Rare</t>
        </is>
      </c>
      <c r="G50" s="6" t="n">
        <v>4</v>
      </c>
      <c r="H50" s="17" t="inlineStr"/>
      <c r="I50" s="25" t="n"/>
      <c r="J50" s="17" t="inlineStr"/>
      <c r="K50" s="24" t="n"/>
      <c r="L50" s="25" t="n"/>
    </row>
    <row r="51">
      <c r="A51" s="17" t="inlineStr"/>
      <c r="B51" s="24" t="n"/>
      <c r="C51" s="25" t="n"/>
      <c r="D51" s="6" t="inlineStr"/>
      <c r="E51" s="25" t="n"/>
      <c r="F51" s="6" t="inlineStr"/>
      <c r="G51" s="6" t="inlineStr"/>
      <c r="H51" s="17" t="inlineStr"/>
      <c r="I51" s="25" t="n"/>
      <c r="J51" s="17" t="inlineStr"/>
      <c r="K51" s="24" t="n"/>
      <c r="L51" s="25" t="n"/>
    </row>
    <row r="52">
      <c r="A52" s="17" t="inlineStr"/>
      <c r="B52" s="24" t="n"/>
      <c r="C52" s="25" t="n"/>
      <c r="D52" s="6" t="inlineStr"/>
      <c r="E52" s="25" t="n"/>
      <c r="F52" s="6" t="inlineStr"/>
      <c r="G52" s="6" t="inlineStr"/>
      <c r="H52" s="17" t="inlineStr"/>
      <c r="I52" s="25" t="n"/>
      <c r="J52" s="17" t="inlineStr"/>
      <c r="K52" s="24" t="n"/>
      <c r="L52" s="25" t="n"/>
    </row>
    <row r="53"/>
    <row r="54" ht="20" customHeight="1">
      <c r="A54" s="13" t="inlineStr">
        <is>
          <t>VII. Status Effects (Status Effect) — check those currently active and record remaining rounds</t>
        </is>
      </c>
      <c r="B54" s="24" t="n"/>
      <c r="C54" s="24" t="n"/>
      <c r="D54" s="24" t="n"/>
      <c r="E54" s="24" t="n"/>
      <c r="F54" s="24" t="n"/>
      <c r="G54" s="24" t="n"/>
      <c r="H54" s="24" t="n"/>
      <c r="I54" s="24" t="n"/>
      <c r="J54" s="24" t="n"/>
      <c r="K54" s="24" t="n"/>
      <c r="L54" s="25" t="n"/>
    </row>
    <row r="55">
      <c r="A55" s="5" t="inlineStr">
        <is>
          <t>Broken</t>
        </is>
      </c>
      <c r="B55" s="24" t="n"/>
      <c r="C55" s="25" t="n"/>
      <c r="D55" s="6" t="n"/>
      <c r="E55" s="5" t="inlineStr">
        <is>
          <t>Deep Wound</t>
        </is>
      </c>
      <c r="F55" s="24" t="n"/>
      <c r="G55" s="25" t="n"/>
      <c r="H55" s="6" t="n"/>
      <c r="I55" s="5" t="inlineStr">
        <is>
          <t>Exhausted</t>
        </is>
      </c>
      <c r="J55" s="24" t="n"/>
      <c r="K55" s="25" t="n"/>
      <c r="L55" s="6" t="n"/>
    </row>
    <row r="56">
      <c r="A56" s="5" t="inlineStr">
        <is>
          <t>Blindness</t>
        </is>
      </c>
      <c r="B56" s="24" t="n"/>
      <c r="C56" s="25" t="n"/>
      <c r="D56" s="6" t="n"/>
      <c r="E56" s="5" t="inlineStr">
        <is>
          <t>Haemorrhage</t>
        </is>
      </c>
      <c r="F56" s="24" t="n"/>
      <c r="G56" s="25" t="n"/>
      <c r="H56" s="6" t="n"/>
      <c r="I56" s="5" t="inlineStr">
        <is>
          <t>Endurance</t>
        </is>
      </c>
      <c r="J56" s="24" t="n"/>
      <c r="K56" s="25" t="n"/>
      <c r="L56" s="6" t="n"/>
    </row>
    <row r="57">
      <c r="A57" s="5" t="inlineStr">
        <is>
          <t>Haste</t>
        </is>
      </c>
      <c r="B57" s="24" t="n"/>
      <c r="C57" s="25" t="n"/>
      <c r="D57" s="6" t="n"/>
      <c r="E57" s="5" t="inlineStr">
        <is>
          <t>Hindered</t>
        </is>
      </c>
      <c r="F57" s="24" t="n"/>
      <c r="G57" s="25" t="n"/>
      <c r="H57" s="6" t="n"/>
      <c r="I57" s="5" t="inlineStr">
        <is>
          <t>Exposed</t>
        </is>
      </c>
      <c r="J57" s="24" t="n"/>
      <c r="K57" s="25" t="n"/>
      <c r="L57" s="6" t="n"/>
    </row>
    <row r="58">
      <c r="A58" s="5" t="inlineStr">
        <is>
          <t>Mangled</t>
        </is>
      </c>
      <c r="B58" s="24" t="n"/>
      <c r="C58" s="25" t="n"/>
      <c r="D58" s="6" t="n"/>
      <c r="E58" s="5" t="inlineStr">
        <is>
          <t>Madness</t>
        </is>
      </c>
      <c r="F58" s="24" t="n"/>
      <c r="G58" s="25" t="n"/>
      <c r="H58" s="6" t="n"/>
      <c r="I58" s="5" t="inlineStr">
        <is>
          <t>Trembling</t>
        </is>
      </c>
      <c r="J58" s="24" t="n"/>
      <c r="K58" s="25" t="n"/>
      <c r="L58" s="6" t="n"/>
    </row>
    <row r="59"/>
    <row r="60" ht="20" customHeight="1">
      <c r="A60" s="13" t="inlineStr">
        <is>
          <t>VIII. Background &amp; Notes</t>
        </is>
      </c>
      <c r="B60" s="24" t="n"/>
      <c r="C60" s="24" t="n"/>
      <c r="D60" s="24" t="n"/>
      <c r="E60" s="24" t="n"/>
      <c r="F60" s="24" t="n"/>
      <c r="G60" s="24" t="n"/>
      <c r="H60" s="24" t="n"/>
      <c r="I60" s="24" t="n"/>
      <c r="J60" s="24" t="n"/>
      <c r="K60" s="24" t="n"/>
      <c r="L60" s="25" t="n"/>
    </row>
    <row r="61">
      <c r="A61" s="18" t="inlineStr">
        <is>
          <t>Mo Qinghe, 29, a field botanist at a mountain conservation station.
She can name the Latin binomial of every plant in these woods, including the ones that should not exist. On the ninth day the survey team lost contact, she survived by identifying edible berries; on the tenth, the fog came, and she found things growing in the fog, and their leaves were watching her.
[Solo Role] "Self-Care Technique" is the most important solo-support Perk in the whole system — Solo Trial has no teammate healing, so self-care directly decides endurance. Heal Efficiency (HEAL) +7 lets her repeatedly return from Injured to Healthy.</t>
        </is>
      </c>
      <c r="B61" s="31" t="n"/>
      <c r="C61" s="31" t="n"/>
      <c r="D61" s="31" t="n"/>
      <c r="E61" s="31" t="n"/>
      <c r="F61" s="31" t="n"/>
      <c r="G61" s="31" t="n"/>
      <c r="H61" s="31" t="n"/>
      <c r="I61" s="31" t="n"/>
      <c r="J61" s="31" t="n"/>
      <c r="K61" s="31" t="n"/>
      <c r="L61" s="32" t="n"/>
    </row>
    <row r="62">
      <c r="A62" s="33" t="n"/>
      <c r="L62" s="34" t="n"/>
    </row>
    <row r="63">
      <c r="A63" s="33" t="n"/>
      <c r="L63" s="34" t="n"/>
    </row>
    <row r="64">
      <c r="A64" s="33" t="n"/>
      <c r="L64" s="34" t="n"/>
    </row>
    <row r="65">
      <c r="A65" s="33" t="n"/>
      <c r="L65" s="34" t="n"/>
    </row>
    <row r="66">
      <c r="A66" s="35" t="n"/>
      <c r="B66" s="36" t="n"/>
      <c r="C66" s="36" t="n"/>
      <c r="D66" s="36" t="n"/>
      <c r="E66" s="36" t="n"/>
      <c r="F66" s="36" t="n"/>
      <c r="G66" s="36" t="n"/>
      <c r="H66" s="36" t="n"/>
      <c r="I66" s="36" t="n"/>
      <c r="J66" s="36" t="n"/>
      <c r="K66" s="36" t="n"/>
      <c r="L66" s="37" t="n"/>
    </row>
  </sheetData>
  <mergeCells count="115">
    <mergeCell ref="B42:D42"/>
    <mergeCell ref="A15:B15"/>
    <mergeCell ref="G19:L19"/>
    <mergeCell ref="A46:L46"/>
    <mergeCell ref="I4:L4"/>
    <mergeCell ref="F43:L43"/>
    <mergeCell ref="J35:L35"/>
    <mergeCell ref="B44:D44"/>
    <mergeCell ref="J28:K28"/>
    <mergeCell ref="I56:K56"/>
    <mergeCell ref="D31:E31"/>
    <mergeCell ref="A26:C26"/>
    <mergeCell ref="A57:C57"/>
    <mergeCell ref="D37:F37"/>
    <mergeCell ref="G14:L14"/>
    <mergeCell ref="E57:G57"/>
    <mergeCell ref="J50:L50"/>
    <mergeCell ref="D48:E48"/>
    <mergeCell ref="H52:I52"/>
    <mergeCell ref="A52:C52"/>
    <mergeCell ref="J52:L52"/>
    <mergeCell ref="A61:L66"/>
    <mergeCell ref="E58:G58"/>
    <mergeCell ref="J48:L48"/>
    <mergeCell ref="A34:L34"/>
    <mergeCell ref="A35:B35"/>
    <mergeCell ref="F45:L45"/>
    <mergeCell ref="J38:L38"/>
    <mergeCell ref="A49:C49"/>
    <mergeCell ref="D51:E51"/>
    <mergeCell ref="A28:B28"/>
    <mergeCell ref="B43:D43"/>
    <mergeCell ref="A30:B30"/>
    <mergeCell ref="G10:L10"/>
    <mergeCell ref="G18:L18"/>
    <mergeCell ref="H50:I50"/>
    <mergeCell ref="A55:C55"/>
    <mergeCell ref="G38:H38"/>
    <mergeCell ref="A37:B37"/>
    <mergeCell ref="I6:L6"/>
    <mergeCell ref="H49:I49"/>
    <mergeCell ref="A2:C6"/>
    <mergeCell ref="G20:L20"/>
    <mergeCell ref="B45:D45"/>
    <mergeCell ref="G22:L22"/>
    <mergeCell ref="A58:C58"/>
    <mergeCell ref="E56:G56"/>
    <mergeCell ref="A40:L40"/>
    <mergeCell ref="G12:L12"/>
    <mergeCell ref="G21:L21"/>
    <mergeCell ref="A51:C51"/>
    <mergeCell ref="G35:H35"/>
    <mergeCell ref="A60:L60"/>
    <mergeCell ref="H48:I48"/>
    <mergeCell ref="D29:E29"/>
    <mergeCell ref="J37:L37"/>
    <mergeCell ref="G23:L23"/>
    <mergeCell ref="A16:L16"/>
    <mergeCell ref="J29:K29"/>
    <mergeCell ref="A36:B36"/>
    <mergeCell ref="A50:C50"/>
    <mergeCell ref="E2:G2"/>
    <mergeCell ref="I55:K55"/>
    <mergeCell ref="D52:E52"/>
    <mergeCell ref="D49:E49"/>
    <mergeCell ref="A47:L47"/>
    <mergeCell ref="G37:H37"/>
    <mergeCell ref="I2:L2"/>
    <mergeCell ref="G25:L25"/>
    <mergeCell ref="B41:D41"/>
    <mergeCell ref="G9:L9"/>
    <mergeCell ref="D35:F35"/>
    <mergeCell ref="A32:B32"/>
    <mergeCell ref="D28:E28"/>
    <mergeCell ref="G11:L11"/>
    <mergeCell ref="A38:B38"/>
    <mergeCell ref="D30:E30"/>
    <mergeCell ref="F41:L41"/>
    <mergeCell ref="G32:H32"/>
    <mergeCell ref="D36:F36"/>
    <mergeCell ref="I57:K57"/>
    <mergeCell ref="A54:L54"/>
    <mergeCell ref="A7:L7"/>
    <mergeCell ref="J49:L49"/>
    <mergeCell ref="J36:L36"/>
    <mergeCell ref="G13:L13"/>
    <mergeCell ref="A56:C56"/>
    <mergeCell ref="G36:H36"/>
    <mergeCell ref="I58:K58"/>
    <mergeCell ref="A27:L27"/>
    <mergeCell ref="G24:L24"/>
    <mergeCell ref="A33:L33"/>
    <mergeCell ref="F44:L44"/>
    <mergeCell ref="H51:I51"/>
    <mergeCell ref="A8:L8"/>
    <mergeCell ref="D32:E32"/>
    <mergeCell ref="G28:H28"/>
    <mergeCell ref="G26:L26"/>
    <mergeCell ref="J51:L51"/>
    <mergeCell ref="D38:F38"/>
    <mergeCell ref="G30:H30"/>
    <mergeCell ref="E3:G3"/>
    <mergeCell ref="F15:L15"/>
    <mergeCell ref="A48:C48"/>
    <mergeCell ref="F42:L42"/>
    <mergeCell ref="G29:H29"/>
    <mergeCell ref="E55:G55"/>
    <mergeCell ref="A29:B29"/>
    <mergeCell ref="I3:L3"/>
    <mergeCell ref="A1:L1"/>
    <mergeCell ref="G17:L17"/>
    <mergeCell ref="G31:H31"/>
    <mergeCell ref="D50:E50"/>
    <mergeCell ref="A31:B31"/>
    <mergeCell ref="I5:L5"/>
  </mergeCells>
  <dataValidations count="16">
    <dataValidation sqref="E3:G3" showDropDown="0" showInputMessage="0" showErrorMessage="0" allowBlank="1" type="list">
      <formula1>"號令者（LEA）,疾行者（SPR）,草藥師（HRB）,匠人（ART）,拾荒客（SCV）,退役兵（VET）"</formula1>
    </dataValidation>
    <dataValidation sqref="I3:L3" showDropDown="0" showInputMessage="0" showErrorMessage="0" allowBlank="1" type="list">
      <formula1>"機械師（REP）,守護者（RES）,幽影（STE）,磐石（END）,破襲手（SAB）,探路者（SCT）"</formula1>
    </dataValidation>
    <dataValidation sqref="L28:L29" showDropDown="0" showInputMessage="0" showErrorMessage="0" allowBlank="1" type="list">
      <formula1>"是,否"</formula1>
    </dataValidation>
    <dataValidation sqref="C35" showDropDown="0" showInputMessage="0" showErrorMessage="0" allowBlank="1" type="list">
      <formula1>"健康,受傷,瀕死"</formula1>
    </dataValidation>
    <dataValidation sqref="D55" showDropDown="0" showInputMessage="0" showErrorMessage="0" allowBlank="1" type="list">
      <formula1>",生效,1,2,3,4,5"</formula1>
    </dataValidation>
    <dataValidation sqref="H55" showDropDown="0" showInputMessage="0" showErrorMessage="0" allowBlank="1" type="list">
      <formula1>",生效,1,2,3,4,5"</formula1>
    </dataValidation>
    <dataValidation sqref="L55" showDropDown="0" showInputMessage="0" showErrorMessage="0" allowBlank="1" type="list">
      <formula1>",生效,1,2,3,4,5"</formula1>
    </dataValidation>
    <dataValidation sqref="D56" showDropDown="0" showInputMessage="0" showErrorMessage="0" allowBlank="1" type="list">
      <formula1>",生效,1,2,3,4,5"</formula1>
    </dataValidation>
    <dataValidation sqref="H56" showDropDown="0" showInputMessage="0" showErrorMessage="0" allowBlank="1" type="list">
      <formula1>",生效,1,2,3,4,5"</formula1>
    </dataValidation>
    <dataValidation sqref="L56" showDropDown="0" showInputMessage="0" showErrorMessage="0" allowBlank="1" type="list">
      <formula1>",生效,1,2,3,4,5"</formula1>
    </dataValidation>
    <dataValidation sqref="D57" showDropDown="0" showInputMessage="0" showErrorMessage="0" allowBlank="1" type="list">
      <formula1>",生效,1,2,3,4,5"</formula1>
    </dataValidation>
    <dataValidation sqref="H57" showDropDown="0" showInputMessage="0" showErrorMessage="0" allowBlank="1" type="list">
      <formula1>",生效,1,2,3,4,5"</formula1>
    </dataValidation>
    <dataValidation sqref="L57" showDropDown="0" showInputMessage="0" showErrorMessage="0" allowBlank="1" type="list">
      <formula1>",生效,1,2,3,4,5"</formula1>
    </dataValidation>
    <dataValidation sqref="D58" showDropDown="0" showInputMessage="0" showErrorMessage="0" allowBlank="1" type="list">
      <formula1>",生效,1,2,3,4,5"</formula1>
    </dataValidation>
    <dataValidation sqref="H58" showDropDown="0" showInputMessage="0" showErrorMessage="0" allowBlank="1" type="list">
      <formula1>",生效,1,2,3,4,5"</formula1>
    </dataValidation>
    <dataValidation sqref="L58" showDropDown="0" showInputMessage="0" showErrorMessage="0" allowBlank="1" type="list">
      <formula1>",生效,1,2,3,4,5"</formula1>
    </dataValidation>
  </dataValidations>
  <printOptions horizontalCentered="1"/>
  <pageMargins left="0.75" right="0.75" top="1" bottom="1" header="0.5" footer="0.5"/>
  <pageSetup orientation="portrait" fitToHeight="0" fitToWidth="1"/>
</worksheet>
</file>

<file path=xl/worksheets/sheet5.xml><?xml version="1.0" encoding="utf-8"?>
<worksheet xmlns="http://schemas.openxmlformats.org/spreadsheetml/2006/main">
  <sheetPr>
    <outlinePr summaryBelow="1" summaryRight="1"/>
    <pageSetUpPr fitToPage="1"/>
  </sheetPr>
  <dimension ref="A1:L66"/>
  <sheetViews>
    <sheetView showGridLines="0" workbookViewId="0">
      <selection activeCell="A1" sqref="A1"/>
    </sheetView>
  </sheetViews>
  <sheetFormatPr baseColWidth="8" defaultRowHeight="15"/>
  <cols>
    <col width="13" customWidth="1" min="1" max="1"/>
    <col width="7" customWidth="1" min="2" max="2"/>
    <col width="8" customWidth="1" min="3" max="3"/>
    <col width="9" customWidth="1" min="4" max="4"/>
    <col width="9" customWidth="1" min="5" max="5"/>
    <col width="10" customWidth="1" min="6" max="6"/>
    <col width="9" customWidth="1" min="7" max="7"/>
    <col width="12" customWidth="1" min="8" max="8"/>
    <col width="11" customWidth="1" min="9" max="9"/>
    <col width="11" customWidth="1" min="10" max="10"/>
    <col width="11" customWidth="1" min="11" max="11"/>
    <col width="16" customWidth="1" min="12" max="12"/>
  </cols>
  <sheetData>
    <row r="1" ht="28" customHeight="1">
      <c r="A1" s="1" t="inlineStr">
        <is>
          <t>Dead by Daylight TRPG　Survivor Character Sheet</t>
        </is>
      </c>
      <c r="B1" s="20" t="n"/>
      <c r="C1" s="20" t="n"/>
      <c r="D1" s="20" t="n"/>
      <c r="E1" s="20" t="n"/>
      <c r="F1" s="20" t="n"/>
      <c r="G1" s="20" t="n"/>
      <c r="H1" s="20" t="n"/>
      <c r="I1" s="20" t="n"/>
      <c r="J1" s="20" t="n"/>
      <c r="K1" s="20" t="n"/>
      <c r="L1" s="21" t="n"/>
    </row>
    <row r="2">
      <c r="A2" s="3" t="inlineStr">
        <is>
          <t>Character Art
(Paste character image here)</t>
        </is>
      </c>
      <c r="B2" s="22" t="n"/>
      <c r="C2" s="23" t="n"/>
      <c r="D2" s="5" t="inlineStr">
        <is>
          <t>Character Name</t>
        </is>
      </c>
      <c r="E2" s="6" t="inlineStr">
        <is>
          <t>Qi Weian</t>
        </is>
      </c>
      <c r="F2" s="24" t="n"/>
      <c r="G2" s="25" t="n"/>
      <c r="H2" s="5" t="inlineStr">
        <is>
          <t>Player</t>
        </is>
      </c>
      <c r="I2" s="6" t="inlineStr">
        <is>
          <t>Example</t>
        </is>
      </c>
      <c r="J2" s="24" t="n"/>
      <c r="K2" s="24" t="n"/>
      <c r="L2" s="25" t="n"/>
    </row>
    <row r="3">
      <c r="A3" s="26" t="n"/>
      <c r="C3" s="27" t="n"/>
      <c r="D3" s="5" t="inlineStr">
        <is>
          <t>Archetype</t>
        </is>
      </c>
      <c r="E3" s="6" t="inlineStr">
        <is>
          <t>Leader (LEA)</t>
        </is>
      </c>
      <c r="F3" s="24" t="n"/>
      <c r="G3" s="25" t="n"/>
      <c r="H3" s="5" t="inlineStr">
        <is>
          <t>Survival Specialization</t>
        </is>
      </c>
      <c r="I3" s="6" t="inlineStr">
        <is>
          <t>Pathfinder (SCT)</t>
        </is>
      </c>
      <c r="J3" s="24" t="n"/>
      <c r="K3" s="24" t="n"/>
      <c r="L3" s="25" t="n"/>
    </row>
    <row r="4">
      <c r="A4" s="26" t="n"/>
      <c r="C4" s="27" t="n"/>
      <c r="D4" s="5" t="inlineStr">
        <is>
          <t>Prestige (PRS)</t>
        </is>
      </c>
      <c r="E4" s="6" t="n">
        <v>10</v>
      </c>
      <c r="F4" s="5" t="inlineStr">
        <is>
          <t>Player Count (N)</t>
        </is>
      </c>
      <c r="G4" s="6" t="n">
        <v>3</v>
      </c>
      <c r="H4" s="5" t="inlineStr">
        <is>
          <t>Current Bloodpoint (BP)</t>
        </is>
      </c>
      <c r="I4" s="6" t="n">
        <v>54200</v>
      </c>
      <c r="J4" s="24" t="n"/>
      <c r="K4" s="24" t="n"/>
      <c r="L4" s="25" t="n"/>
    </row>
    <row r="5">
      <c r="A5" s="26" t="n"/>
      <c r="C5" s="27" t="n"/>
      <c r="D5" s="5" t="inlineStr">
        <is>
          <t>Attribute Point (ATP)</t>
        </is>
      </c>
      <c r="E5" s="8">
        <f>15+INT($E$4/2)</f>
        <v/>
      </c>
      <c r="F5" s="5" t="inlineStr">
        <is>
          <t>Skill Point (SKP)</t>
        </is>
      </c>
      <c r="G5" s="8">
        <f>2+$E$4</f>
        <v/>
      </c>
      <c r="H5" s="5" t="inlineStr">
        <is>
          <t>Bloodpoint Cap (BP_max)</t>
        </is>
      </c>
      <c r="I5" s="9">
        <f>20000+2000*($E$4-1)+200*($E$4-1)^2</f>
        <v/>
      </c>
      <c r="J5" s="24" t="n"/>
      <c r="K5" s="24" t="n"/>
      <c r="L5" s="25" t="n"/>
    </row>
    <row r="6">
      <c r="A6" s="28" t="n"/>
      <c r="B6" s="29" t="n"/>
      <c r="C6" s="30" t="n"/>
      <c r="D6" s="5" t="inlineStr">
        <is>
          <t>Perk Slot Count (PERK)</t>
        </is>
      </c>
      <c r="E6" s="8">
        <f>1+($E$4&gt;=5)+($E$4&gt;=10)+($E$4&gt;=15)</f>
        <v/>
      </c>
      <c r="F6" s="5" t="inlineStr">
        <is>
          <t>Hope Point Cap</t>
        </is>
      </c>
      <c r="G6" s="8">
        <f>2+INT($E$4/5)</f>
        <v/>
      </c>
      <c r="H6" s="5" t="inlineStr">
        <is>
          <t>Current Hope Point (HOP)</t>
        </is>
      </c>
      <c r="I6" s="6" t="n">
        <v>4</v>
      </c>
      <c r="J6" s="24" t="n"/>
      <c r="K6" s="24" t="n"/>
      <c r="L6" s="25" t="n"/>
    </row>
    <row r="7">
      <c r="A7" s="11" t="inlineStr">
        <is>
          <t>Beige cells = auto-calculated by formula; do not type. White cells = player-filled.'Player Count (N)' counts only Survivors played by players; the Echo Companion is not counted.</t>
        </is>
      </c>
      <c r="B7" s="24" t="n"/>
      <c r="C7" s="24" t="n"/>
      <c r="D7" s="24" t="n"/>
      <c r="E7" s="24" t="n"/>
      <c r="F7" s="24" t="n"/>
      <c r="G7" s="24" t="n"/>
      <c r="H7" s="24" t="n"/>
      <c r="I7" s="24" t="n"/>
      <c r="J7" s="24" t="n"/>
      <c r="K7" s="24" t="n"/>
      <c r="L7" s="25" t="n"/>
    </row>
    <row r="8" ht="20" customHeight="1">
      <c r="A8" s="13" t="inlineStr">
        <is>
          <t>I. Attributes (Attribute) — Attribute Value 1–10; Attribute Bonus (AB) = INT(Attribute Value ÷ 2)</t>
        </is>
      </c>
      <c r="B8" s="24" t="n"/>
      <c r="C8" s="24" t="n"/>
      <c r="D8" s="24" t="n"/>
      <c r="E8" s="24" t="n"/>
      <c r="F8" s="24" t="n"/>
      <c r="G8" s="24" t="n"/>
      <c r="H8" s="24" t="n"/>
      <c r="I8" s="24" t="n"/>
      <c r="J8" s="24" t="n"/>
      <c r="K8" s="24" t="n"/>
      <c r="L8" s="25" t="n"/>
    </row>
    <row r="9">
      <c r="A9" s="5" t="inlineStr">
        <is>
          <t>Attribute</t>
        </is>
      </c>
      <c r="B9" s="5" t="inlineStr">
        <is>
          <t>Abbrev.</t>
        </is>
      </c>
      <c r="C9" s="5" t="inlineStr">
        <is>
          <t>Base Value</t>
        </is>
      </c>
      <c r="D9" s="5" t="inlineStr">
        <is>
          <t>Archetype Adj.</t>
        </is>
      </c>
      <c r="E9" s="5" t="inlineStr">
        <is>
          <t>Attribute Value</t>
        </is>
      </c>
      <c r="F9" s="5" t="inlineStr">
        <is>
          <t>Attribute Bonus (AB)</t>
        </is>
      </c>
      <c r="G9" s="5" t="inlineStr">
        <is>
          <t>Use</t>
        </is>
      </c>
      <c r="H9" s="24" t="n"/>
      <c r="I9" s="24" t="n"/>
      <c r="J9" s="24" t="n"/>
      <c r="K9" s="24" t="n"/>
      <c r="L9" s="25" t="n"/>
    </row>
    <row r="10">
      <c r="A10" s="16" t="inlineStr">
        <is>
          <t>Agility</t>
        </is>
      </c>
      <c r="B10" s="16" t="inlineStr">
        <is>
          <t>AGI</t>
        </is>
      </c>
      <c r="C10" s="6" t="n">
        <v>3</v>
      </c>
      <c r="D10" s="6" t="n">
        <v>0</v>
      </c>
      <c r="E10" s="8">
        <f>C10+D10</f>
        <v/>
      </c>
      <c r="F10" s="8">
        <f>INT(E10/2)</f>
        <v/>
      </c>
      <c r="G10" s="17" t="inlineStr">
        <is>
          <t>Vault windows, drop pallets, dodge, wriggle. The core of chase survival.</t>
        </is>
      </c>
      <c r="H10" s="24" t="n"/>
      <c r="I10" s="24" t="n"/>
      <c r="J10" s="24" t="n"/>
      <c r="K10" s="24" t="n"/>
      <c r="L10" s="25" t="n"/>
    </row>
    <row r="11">
      <c r="A11" s="16" t="inlineStr">
        <is>
          <t>Technique</t>
        </is>
      </c>
      <c r="B11" s="16" t="inlineStr">
        <is>
          <t>TEC</t>
        </is>
      </c>
      <c r="C11" s="6" t="n">
        <v>4</v>
      </c>
      <c r="D11" s="6" t="n">
        <v>0</v>
      </c>
      <c r="E11" s="8">
        <f>C11+D11</f>
        <v/>
      </c>
      <c r="F11" s="8">
        <f>INT(E11/2)</f>
        <v/>
      </c>
      <c r="G11" s="17" t="inlineStr">
        <is>
          <t>Generator repair, disarm traps, open chests. The core of the victory condition.</t>
        </is>
      </c>
      <c r="H11" s="24" t="n"/>
      <c r="I11" s="24" t="n"/>
      <c r="J11" s="24" t="n"/>
      <c r="K11" s="24" t="n"/>
      <c r="L11" s="25" t="n"/>
    </row>
    <row r="12">
      <c r="A12" s="16" t="inlineStr">
        <is>
          <t>Stealth</t>
        </is>
      </c>
      <c r="B12" s="16" t="inlineStr">
        <is>
          <t>STL</t>
        </is>
      </c>
      <c r="C12" s="6" t="n">
        <v>4</v>
      </c>
      <c r="D12" s="6" t="n">
        <v>0</v>
      </c>
      <c r="E12" s="8">
        <f>C12+D12</f>
        <v/>
      </c>
      <c r="F12" s="8">
        <f>INT(E12/2)</f>
        <v/>
      </c>
      <c r="G12" s="17" t="inlineStr">
        <is>
          <t>Crouch, hide in lockers, erase scratch marks, counter killer tracking.</t>
        </is>
      </c>
      <c r="H12" s="24" t="n"/>
      <c r="I12" s="24" t="n"/>
      <c r="J12" s="24" t="n"/>
      <c r="K12" s="24" t="n"/>
      <c r="L12" s="25" t="n"/>
    </row>
    <row r="13">
      <c r="A13" s="16" t="inlineStr">
        <is>
          <t>Focus</t>
        </is>
      </c>
      <c r="B13" s="16" t="inlineStr">
        <is>
          <t>FOC</t>
        </is>
      </c>
      <c r="C13" s="6" t="n">
        <v>5</v>
      </c>
      <c r="D13" s="6" t="n">
        <v>2</v>
      </c>
      <c r="E13" s="8">
        <f>C13+D13</f>
        <v/>
      </c>
      <c r="F13" s="8">
        <f>INT(E13/2)</f>
        <v/>
      </c>
      <c r="G13" s="17" t="inlineStr">
        <is>
          <t>Four-tier skill-check quality, rescue timing, anti-interference, self-unhook.</t>
        </is>
      </c>
      <c r="H13" s="24" t="n"/>
      <c r="I13" s="24" t="n"/>
      <c r="J13" s="24" t="n"/>
      <c r="K13" s="24" t="n"/>
      <c r="L13" s="25" t="n"/>
    </row>
    <row r="14">
      <c r="A14" s="16" t="inlineStr">
        <is>
          <t>Will</t>
        </is>
      </c>
      <c r="B14" s="16" t="inlineStr">
        <is>
          <t>WIL</t>
        </is>
      </c>
      <c r="C14" s="6" t="n">
        <v>4</v>
      </c>
      <c r="D14" s="6" t="n">
        <v>1</v>
      </c>
      <c r="E14" s="8">
        <f>C14+D14</f>
        <v/>
      </c>
      <c r="F14" s="8">
        <f>INT(E14/2)</f>
        <v/>
      </c>
      <c r="G14" s="17" t="inlineStr">
        <is>
          <t>Max HP, fear resistance, hook-survival rounds, dying crawl.</t>
        </is>
      </c>
      <c r="H14" s="24" t="n"/>
      <c r="I14" s="24" t="n"/>
      <c r="J14" s="24" t="n"/>
      <c r="K14" s="24" t="n"/>
      <c r="L14" s="25" t="n"/>
    </row>
    <row r="15">
      <c r="A15" s="5" t="inlineStr">
        <is>
          <t>Total</t>
        </is>
      </c>
      <c r="B15" s="25" t="n"/>
      <c r="C15" s="8">
        <f>SUM(C10:C14)</f>
        <v/>
      </c>
      <c r="D15" s="5" t="inlineStr">
        <is>
          <t>Unallocated</t>
        </is>
      </c>
      <c r="E15" s="8">
        <f>$E$5-SUM(C10:C14)</f>
        <v/>
      </c>
      <c r="F15" s="11" t="inlineStr">
        <is>
          <t>At creation each base value is 1–5; the total must equal Attribute Point (ATP). Archetype adjustment comes from the chosen archetype.</t>
        </is>
      </c>
      <c r="G15" s="24" t="n"/>
      <c r="H15" s="24" t="n"/>
      <c r="I15" s="24" t="n"/>
      <c r="J15" s="24" t="n"/>
      <c r="K15" s="24" t="n"/>
      <c r="L15" s="25" t="n"/>
    </row>
    <row r="16" ht="20" customHeight="1">
      <c r="A16" s="13" t="inlineStr">
        <is>
          <t>II. Skills (Skill) — Skill Level (SL) 0–5; at level 0 when a professional skill is required, the check takes an extra −2 (Untrained)</t>
        </is>
      </c>
      <c r="B16" s="24" t="n"/>
      <c r="C16" s="24" t="n"/>
      <c r="D16" s="24" t="n"/>
      <c r="E16" s="24" t="n"/>
      <c r="F16" s="24" t="n"/>
      <c r="G16" s="24" t="n"/>
      <c r="H16" s="24" t="n"/>
      <c r="I16" s="24" t="n"/>
      <c r="J16" s="24" t="n"/>
      <c r="K16" s="24" t="n"/>
      <c r="L16" s="25" t="n"/>
    </row>
    <row r="17">
      <c r="A17" s="5" t="inlineStr">
        <is>
          <t>Skill</t>
        </is>
      </c>
      <c r="B17" s="5" t="inlineStr">
        <is>
          <t>Abbrev.</t>
        </is>
      </c>
      <c r="C17" s="5" t="inlineStr">
        <is>
          <t>Linked Attribute</t>
        </is>
      </c>
      <c r="D17" s="5" t="inlineStr">
        <is>
          <t>Skill Level (SL)</t>
        </is>
      </c>
      <c r="E17" s="5" t="inlineStr">
        <is>
          <t>Attribute Bonus (AB)</t>
        </is>
      </c>
      <c r="F17" s="5" t="inlineStr">
        <is>
          <t>Total Check Modifier</t>
        </is>
      </c>
      <c r="G17" s="5" t="inlineStr">
        <is>
          <t>Use</t>
        </is>
      </c>
      <c r="H17" s="24" t="n"/>
      <c r="I17" s="24" t="n"/>
      <c r="J17" s="24" t="n"/>
      <c r="K17" s="24" t="n"/>
      <c r="L17" s="25" t="n"/>
    </row>
    <row r="18">
      <c r="A18" s="16" t="inlineStr">
        <is>
          <t>Mechanical Repair</t>
        </is>
      </c>
      <c r="B18" s="16" t="inlineStr">
        <is>
          <t>MEC</t>
        </is>
      </c>
      <c r="C18" s="6" t="inlineStr">
        <is>
          <t>Technique (TEC)</t>
        </is>
      </c>
      <c r="D18" s="6" t="n">
        <v>2</v>
      </c>
      <c r="E18" s="8">
        <f>F11</f>
        <v/>
      </c>
      <c r="F18" s="8">
        <f>D18+E18-IF(D18=0,2,0)</f>
        <v/>
      </c>
      <c r="G18" s="17" t="inlineStr">
        <is>
          <t>Generator repair, Exit Gate opening, Hook sabotage</t>
        </is>
      </c>
      <c r="H18" s="24" t="n"/>
      <c r="I18" s="24" t="n"/>
      <c r="J18" s="24" t="n"/>
      <c r="K18" s="24" t="n"/>
      <c r="L18" s="25" t="n"/>
    </row>
    <row r="19">
      <c r="A19" s="16" t="inlineStr">
        <is>
          <t>First Aid</t>
        </is>
      </c>
      <c r="B19" s="16" t="inlineStr">
        <is>
          <t>MED</t>
        </is>
      </c>
      <c r="C19" s="6" t="inlineStr">
        <is>
          <t>Focus (FOC)</t>
        </is>
      </c>
      <c r="D19" s="6" t="n">
        <v>0</v>
      </c>
      <c r="E19" s="8">
        <f>F13</f>
        <v/>
      </c>
      <c r="F19" s="8">
        <f>D19+E19-IF(D19=0,2,0)</f>
        <v/>
      </c>
      <c r="G19" s="17" t="inlineStr">
        <is>
          <t>Heal others, self-heal, pick up the dying, stop bleeding</t>
        </is>
      </c>
      <c r="H19" s="24" t="n"/>
      <c r="I19" s="24" t="n"/>
      <c r="J19" s="24" t="n"/>
      <c r="K19" s="24" t="n"/>
      <c r="L19" s="25" t="n"/>
    </row>
    <row r="20">
      <c r="A20" s="16" t="inlineStr">
        <is>
          <t>Sneak</t>
        </is>
      </c>
      <c r="B20" s="16" t="inlineStr">
        <is>
          <t>SNK</t>
        </is>
      </c>
      <c r="C20" s="6" t="inlineStr">
        <is>
          <t>Stealth (STL)</t>
        </is>
      </c>
      <c r="D20" s="6" t="n">
        <v>2</v>
      </c>
      <c r="E20" s="8">
        <f>F12</f>
        <v/>
      </c>
      <c r="F20" s="8">
        <f>D20+E20-IF(D20=0,2,0)</f>
        <v/>
      </c>
      <c r="G20" s="17" t="inlineStr">
        <is>
          <t>Crouch, hide in lockers, erase scratch marks, counter tracking</t>
        </is>
      </c>
      <c r="H20" s="24" t="n"/>
      <c r="I20" s="24" t="n"/>
      <c r="J20" s="24" t="n"/>
      <c r="K20" s="24" t="n"/>
      <c r="L20" s="25" t="n"/>
    </row>
    <row r="21">
      <c r="A21" s="16" t="inlineStr">
        <is>
          <t>Parkour</t>
        </is>
      </c>
      <c r="B21" s="16" t="inlineStr">
        <is>
          <t>PRK</t>
        </is>
      </c>
      <c r="C21" s="6" t="inlineStr">
        <is>
          <t>Agility (AGI)</t>
        </is>
      </c>
      <c r="D21" s="6" t="n">
        <v>0</v>
      </c>
      <c r="E21" s="8">
        <f>F10</f>
        <v/>
      </c>
      <c r="F21" s="8">
        <f>D21+E21-IF(D21=0,2,0)</f>
        <v/>
      </c>
      <c r="G21" s="17" t="inlineStr">
        <is>
          <t>Vault windows, clear obstacles, drop down, loop</t>
        </is>
      </c>
      <c r="H21" s="24" t="n"/>
      <c r="I21" s="24" t="n"/>
      <c r="J21" s="24" t="n"/>
      <c r="K21" s="24" t="n"/>
      <c r="L21" s="25" t="n"/>
    </row>
    <row r="22">
      <c r="A22" s="16" t="inlineStr">
        <is>
          <t>Escape</t>
        </is>
      </c>
      <c r="B22" s="16" t="inlineStr">
        <is>
          <t>ESQ</t>
        </is>
      </c>
      <c r="C22" s="6" t="inlineStr">
        <is>
          <t>Agility (AGI)</t>
        </is>
      </c>
      <c r="D22" s="6" t="n">
        <v>0</v>
      </c>
      <c r="E22" s="8">
        <f>F10</f>
        <v/>
      </c>
      <c r="F22" s="8">
        <f>D22+E22-IF(D22=0,2,0)</f>
        <v/>
      </c>
      <c r="G22" s="17" t="inlineStr">
        <is>
          <t>Wriggle, escape traps, break a grab</t>
        </is>
      </c>
      <c r="H22" s="24" t="n"/>
      <c r="I22" s="24" t="n"/>
      <c r="J22" s="24" t="n"/>
      <c r="K22" s="24" t="n"/>
      <c r="L22" s="25" t="n"/>
    </row>
    <row r="23">
      <c r="A23" s="16" t="inlineStr">
        <is>
          <t>Search</t>
        </is>
      </c>
      <c r="B23" s="16" t="inlineStr">
        <is>
          <t>SRC</t>
        </is>
      </c>
      <c r="C23" s="6" t="inlineStr">
        <is>
          <t>Technique (TEC)</t>
        </is>
      </c>
      <c r="D23" s="6" t="n">
        <v>3</v>
      </c>
      <c r="E23" s="8">
        <f>F11</f>
        <v/>
      </c>
      <c r="F23" s="8">
        <f>D23+E23-IF(D23=0,2,0)</f>
        <v/>
      </c>
      <c r="G23" s="17" t="inlineStr">
        <is>
          <t>Open chests, find the Hatch, identify Totems</t>
        </is>
      </c>
      <c r="H23" s="24" t="n"/>
      <c r="I23" s="24" t="n"/>
      <c r="J23" s="24" t="n"/>
      <c r="K23" s="24" t="n"/>
      <c r="L23" s="25" t="n"/>
    </row>
    <row r="24">
      <c r="A24" s="16" t="inlineStr">
        <is>
          <t>Endurance</t>
        </is>
      </c>
      <c r="B24" s="16" t="inlineStr">
        <is>
          <t>END</t>
        </is>
      </c>
      <c r="C24" s="6" t="inlineStr">
        <is>
          <t>Will (WIL)</t>
        </is>
      </c>
      <c r="D24" s="6" t="n">
        <v>1</v>
      </c>
      <c r="E24" s="8">
        <f>F14</f>
        <v/>
      </c>
      <c r="F24" s="8">
        <f>D24+E24-IF(D24=0,2,0)</f>
        <v/>
      </c>
      <c r="G24" s="17" t="inlineStr">
        <is>
          <t>Fear resistance, endure hooks, resist status effects, dying crawl</t>
        </is>
      </c>
      <c r="H24" s="24" t="n"/>
      <c r="I24" s="24" t="n"/>
      <c r="J24" s="24" t="n"/>
      <c r="K24" s="24" t="n"/>
      <c r="L24" s="25" t="n"/>
    </row>
    <row r="25">
      <c r="A25" s="16" t="inlineStr">
        <is>
          <t>Insight</t>
        </is>
      </c>
      <c r="B25" s="16" t="inlineStr">
        <is>
          <t>INS</t>
        </is>
      </c>
      <c r="C25" s="6" t="inlineStr">
        <is>
          <t>Focus (FOC)</t>
        </is>
      </c>
      <c r="D25" s="6" t="n">
        <v>4</v>
      </c>
      <c r="E25" s="8">
        <f>F13</f>
        <v/>
      </c>
      <c r="F25" s="8">
        <f>D25+E25-IF(D25=0,2,0)</f>
        <v/>
      </c>
      <c r="G25" s="17" t="inlineStr">
        <is>
          <t>Read auras, predict killer movement, judge rescue timing</t>
        </is>
      </c>
      <c r="H25" s="24" t="n"/>
      <c r="I25" s="24" t="n"/>
      <c r="J25" s="24" t="n"/>
      <c r="K25" s="24" t="n"/>
      <c r="L25" s="25" t="n"/>
    </row>
    <row r="26">
      <c r="A26" s="5" t="inlineStr">
        <is>
          <t>Total</t>
        </is>
      </c>
      <c r="B26" s="24" t="n"/>
      <c r="C26" s="25" t="n"/>
      <c r="D26" s="8">
        <f>SUM(D18:D25)</f>
        <v/>
      </c>
      <c r="E26" s="5" t="inlineStr">
        <is>
          <t>Unallocated</t>
        </is>
      </c>
      <c r="F26" s="8">
        <f>$G$5-SUM(D18:D25)</f>
        <v/>
      </c>
      <c r="G26" s="11" t="inlineStr">
        <is>
          <t>Total Check Modifier already includes the Untrained −2 penalty; Situational Modifier (SM) is counted separately.</t>
        </is>
      </c>
      <c r="H26" s="24" t="n"/>
      <c r="I26" s="24" t="n"/>
      <c r="J26" s="24" t="n"/>
      <c r="K26" s="24" t="n"/>
      <c r="L26" s="25" t="n"/>
    </row>
    <row r="27" ht="20" customHeight="1">
      <c r="A27" s="13" t="inlineStr">
        <is>
          <t>III. Derived Values (Derived Value) — all auto-calculated</t>
        </is>
      </c>
      <c r="B27" s="24" t="n"/>
      <c r="C27" s="24" t="n"/>
      <c r="D27" s="24" t="n"/>
      <c r="E27" s="24" t="n"/>
      <c r="F27" s="24" t="n"/>
      <c r="G27" s="24" t="n"/>
      <c r="H27" s="24" t="n"/>
      <c r="I27" s="24" t="n"/>
      <c r="J27" s="24" t="n"/>
      <c r="K27" s="24" t="n"/>
      <c r="L27" s="25" t="n"/>
    </row>
    <row r="28">
      <c r="A28" s="5" t="inlineStr">
        <is>
          <t>Max HP (HP_max)</t>
        </is>
      </c>
      <c r="B28" s="25" t="n"/>
      <c r="C28" s="8">
        <f>8+2*$E$14+$E$4</f>
        <v/>
      </c>
      <c r="D28" s="5" t="inlineStr">
        <is>
          <t>Health State Cap (HS_max)</t>
        </is>
      </c>
      <c r="E28" s="25" t="n"/>
      <c r="F28" s="8">
        <f>IF(L28="Yes",1,2)</f>
        <v/>
      </c>
      <c r="G28" s="5" t="inlineStr">
        <is>
          <t>Action Point Cap (AP_max)</t>
        </is>
      </c>
      <c r="H28" s="25" t="n"/>
      <c r="I28" s="8">
        <f>IF(L29="Yes",3,4)</f>
        <v/>
      </c>
      <c r="J28" s="5" t="inlineStr">
        <is>
          <t>Broken state?</t>
        </is>
      </c>
      <c r="K28" s="25" t="n"/>
      <c r="L28" s="6" t="inlineStr">
        <is>
          <t>No</t>
        </is>
      </c>
    </row>
    <row r="29">
      <c r="A29" s="5" t="inlineStr">
        <is>
          <t>Move (MOV)</t>
        </is>
      </c>
      <c r="B29" s="25" t="n"/>
      <c r="C29" s="8">
        <f>6+INT($F$10/2)</f>
        <v/>
      </c>
      <c r="D29" s="5" t="inlineStr">
        <is>
          <t>Sprint (SPR)</t>
        </is>
      </c>
      <c r="E29" s="25" t="n"/>
      <c r="F29" s="8">
        <f>(6+INT($F$10/2))*2</f>
        <v/>
      </c>
      <c r="G29" s="5" t="inlineStr">
        <is>
          <t>Repair Efficiency (REP)</t>
        </is>
      </c>
      <c r="H29" s="25" t="n"/>
      <c r="I29" s="8">
        <f>$F$11+$D$18</f>
        <v/>
      </c>
      <c r="J29" s="5" t="inlineStr">
        <is>
          <t>Currently in Chase?</t>
        </is>
      </c>
      <c r="K29" s="25" t="n"/>
      <c r="L29" s="6" t="inlineStr">
        <is>
          <t>No</t>
        </is>
      </c>
    </row>
    <row r="30">
      <c r="A30" s="5" t="inlineStr">
        <is>
          <t>Heal Efficiency (HEAL)</t>
        </is>
      </c>
      <c r="B30" s="25" t="n"/>
      <c r="C30" s="8">
        <f>$F$13+$D$19</f>
        <v/>
      </c>
      <c r="D30" s="5" t="inlineStr">
        <is>
          <t>Passive Stealth (PSTL)</t>
        </is>
      </c>
      <c r="E30" s="25" t="n"/>
      <c r="F30" s="8">
        <f>8+$F$12+$D$20</f>
        <v/>
      </c>
      <c r="G30" s="5" t="inlineStr">
        <is>
          <t>Passive Perception (PPER)</t>
        </is>
      </c>
      <c r="H30" s="25" t="n"/>
      <c r="I30" s="8">
        <f>8+$F$13+$D$25</f>
        <v/>
      </c>
    </row>
    <row r="31">
      <c r="A31" s="5" t="inlineStr">
        <is>
          <t>Fear Resistance (FRES)</t>
        </is>
      </c>
      <c r="B31" s="25" t="n"/>
      <c r="C31" s="8">
        <f>10+$F$14+$D$24</f>
        <v/>
      </c>
      <c r="D31" s="5" t="inlineStr">
        <is>
          <t>Chase Check Mod (CHS)</t>
        </is>
      </c>
      <c r="E31" s="25" t="n"/>
      <c r="F31" s="8">
        <f>$F$10+$D$21</f>
        <v/>
      </c>
      <c r="G31" s="5" t="inlineStr">
        <is>
          <t>Wiggle Check Mod (WIG)</t>
        </is>
      </c>
      <c r="H31" s="25" t="n"/>
      <c r="I31" s="8">
        <f>$F$10+$D$22</f>
        <v/>
      </c>
    </row>
    <row r="32">
      <c r="A32" s="5" t="inlineStr">
        <is>
          <t>Hook Survival Rounds (HKS)</t>
        </is>
      </c>
      <c r="B32" s="25" t="n"/>
      <c r="C32" s="8">
        <f>(8-$G$4)+INT($F$14/2)</f>
        <v/>
      </c>
      <c r="D32" s="5" t="inlineStr">
        <is>
          <t>Self-Unhook Difficulty Class (DC)</t>
        </is>
      </c>
      <c r="E32" s="25" t="n"/>
      <c r="F32" s="8">
        <f>20-(4-$G$4)</f>
        <v/>
      </c>
      <c r="G32" s="5" t="inlineStr">
        <is>
          <t>Load Cap (LOAD)</t>
        </is>
      </c>
      <c r="H32" s="25" t="n"/>
      <c r="I32" s="8">
        <f>2+IF($E$3="Artificer (ART)",1,0)</f>
        <v/>
      </c>
    </row>
    <row r="33">
      <c r="A33" s="11" t="inlineStr">
        <is>
          <t>Action Point (AP): 4 per round when not in chase, 3 in chase. Health State (HS): Healthy → Injured → Dying; when Broken, cannot be healed at all.</t>
        </is>
      </c>
      <c r="B33" s="24" t="n"/>
      <c r="C33" s="24" t="n"/>
      <c r="D33" s="24" t="n"/>
      <c r="E33" s="24" t="n"/>
      <c r="F33" s="24" t="n"/>
      <c r="G33" s="24" t="n"/>
      <c r="H33" s="24" t="n"/>
      <c r="I33" s="24" t="n"/>
      <c r="J33" s="24" t="n"/>
      <c r="K33" s="24" t="n"/>
      <c r="L33" s="25" t="n"/>
    </row>
    <row r="34" ht="20" customHeight="1">
      <c r="A34" s="13" t="inlineStr">
        <is>
          <t>IV. Trial Tracker — cleared at the start of each Trial</t>
        </is>
      </c>
      <c r="B34" s="24" t="n"/>
      <c r="C34" s="24" t="n"/>
      <c r="D34" s="24" t="n"/>
      <c r="E34" s="24" t="n"/>
      <c r="F34" s="24" t="n"/>
      <c r="G34" s="24" t="n"/>
      <c r="H34" s="24" t="n"/>
      <c r="I34" s="24" t="n"/>
      <c r="J34" s="24" t="n"/>
      <c r="K34" s="24" t="n"/>
      <c r="L34" s="25" t="n"/>
    </row>
    <row r="35">
      <c r="A35" s="5" t="inlineStr">
        <is>
          <t>Current Health State</t>
        </is>
      </c>
      <c r="B35" s="25" t="n"/>
      <c r="C35" s="6" t="n"/>
      <c r="D35" s="17" t="inlineStr">
        <is>
          <t>Healthy / Injured / Dying</t>
        </is>
      </c>
      <c r="E35" s="24" t="n"/>
      <c r="F35" s="25" t="n"/>
      <c r="G35" s="5" t="inlineStr">
        <is>
          <t>Current HP (HP)</t>
        </is>
      </c>
      <c r="H35" s="25" t="n"/>
      <c r="I35" s="6" t="n"/>
      <c r="J35" s="17" t="inlineStr"/>
      <c r="K35" s="24" t="n"/>
      <c r="L35" s="25" t="n"/>
    </row>
    <row r="36">
      <c r="A36" s="5" t="inlineStr">
        <is>
          <t>Hook Count This Trial</t>
        </is>
      </c>
      <c r="B36" s="25" t="n"/>
      <c r="C36" s="6" t="n"/>
      <c r="D36" s="17" t="inlineStr">
        <is>
          <t>0 / 1 / 2 (third = Sacrifice)</t>
        </is>
      </c>
      <c r="E36" s="24" t="n"/>
      <c r="F36" s="25" t="n"/>
      <c r="G36" s="5" t="inlineStr">
        <is>
          <t>Hook Phase Timer</t>
        </is>
      </c>
      <c r="H36" s="25" t="n"/>
      <c r="I36" s="6" t="n"/>
      <c r="J36" s="17" t="inlineStr">
        <is>
          <t>round(s)</t>
        </is>
      </c>
      <c r="K36" s="24" t="n"/>
      <c r="L36" s="25" t="n"/>
    </row>
    <row r="37">
      <c r="A37" s="5" t="inlineStr">
        <is>
          <t>Current Distance Band (DB)</t>
        </is>
      </c>
      <c r="B37" s="25" t="n"/>
      <c r="C37" s="6" t="n"/>
      <c r="D37" s="17" t="inlineStr">
        <is>
          <t>Contact / Near / Mid / Far / Escaped</t>
        </is>
      </c>
      <c r="E37" s="24" t="n"/>
      <c r="F37" s="25" t="n"/>
      <c r="G37" s="5" t="inlineStr">
        <is>
          <t>Consecutive Chase Rounds</t>
        </is>
      </c>
      <c r="H37" s="25" t="n"/>
      <c r="I37" s="6" t="n"/>
      <c r="J37" s="17" t="inlineStr">
        <is>
          <t>for Bloodlust check</t>
        </is>
      </c>
      <c r="K37" s="24" t="n"/>
      <c r="L37" s="25" t="n"/>
    </row>
    <row r="38">
      <c r="A38" s="5" t="inlineStr">
        <is>
          <t>Remaining Action Point (AP)</t>
        </is>
      </c>
      <c r="B38" s="25" t="n"/>
      <c r="C38" s="6" t="n"/>
      <c r="D38" s="17" t="inlineStr"/>
      <c r="E38" s="24" t="n"/>
      <c r="F38" s="25" t="n"/>
      <c r="G38" s="5" t="inlineStr">
        <is>
          <t>Persistence Bonus (PB) rounds</t>
        </is>
      </c>
      <c r="H38" s="25" t="n"/>
      <c r="I38" s="6" t="n"/>
      <c r="J38" s="17" t="inlineStr">
        <is>
          <t>consecutive same-action rounds −1, cap +3</t>
        </is>
      </c>
      <c r="K38" s="24" t="n"/>
      <c r="L38" s="25" t="n"/>
    </row>
    <row r="39"/>
    <row r="40" ht="20" customHeight="1">
      <c r="A40" s="13" t="inlineStr">
        <is>
          <t>V. Perks (Perk) — slot count opens by Prestige (PRS): 1 at start, +1 each at Prestige 5 / 10 / 15</t>
        </is>
      </c>
      <c r="B40" s="24" t="n"/>
      <c r="C40" s="24" t="n"/>
      <c r="D40" s="24" t="n"/>
      <c r="E40" s="24" t="n"/>
      <c r="F40" s="24" t="n"/>
      <c r="G40" s="24" t="n"/>
      <c r="H40" s="24" t="n"/>
      <c r="I40" s="24" t="n"/>
      <c r="J40" s="24" t="n"/>
      <c r="K40" s="24" t="n"/>
      <c r="L40" s="25" t="n"/>
    </row>
    <row r="41">
      <c r="A41" s="5" t="inlineStr">
        <is>
          <t>Slot</t>
        </is>
      </c>
      <c r="B41" s="5" t="inlineStr">
        <is>
          <t>Perk Name</t>
        </is>
      </c>
      <c r="C41" s="24" t="n"/>
      <c r="D41" s="25" t="n"/>
      <c r="E41" s="5" t="inlineStr">
        <is>
          <t>Tier</t>
        </is>
      </c>
      <c r="F41" s="5" t="inlineStr">
        <is>
          <t>Effect Summary</t>
        </is>
      </c>
      <c r="G41" s="24" t="n"/>
      <c r="H41" s="24" t="n"/>
      <c r="I41" s="24" t="n"/>
      <c r="J41" s="24" t="n"/>
      <c r="K41" s="24" t="n"/>
      <c r="L41" s="25" t="n"/>
    </row>
    <row r="42">
      <c r="A42" s="5" t="inlineStr">
        <is>
          <t>1 | Initial</t>
        </is>
      </c>
      <c r="B42" s="17" t="inlineStr">
        <is>
          <t>Fogbreak Guide (TALENT-S02)</t>
        </is>
      </c>
      <c r="C42" s="24" t="n"/>
      <c r="D42" s="25" t="n"/>
      <c r="E42" s="6" t="inlineStr">
        <is>
          <t>Tier 3</t>
        </is>
      </c>
      <c r="F42" s="17" t="inlineStr">
        <is>
          <t>At the start of each round(s), reveal the Killer's current Distance Band (DB) and direction.</t>
        </is>
      </c>
      <c r="G42" s="24" t="n"/>
      <c r="H42" s="24" t="n"/>
      <c r="I42" s="24" t="n"/>
      <c r="J42" s="24" t="n"/>
      <c r="K42" s="24" t="n"/>
      <c r="L42" s="25" t="n"/>
    </row>
    <row r="43">
      <c r="A43" s="5" t="inlineStr">
        <is>
          <t>2 | Prestige 5</t>
        </is>
      </c>
      <c r="B43" s="17" t="inlineStr">
        <is>
          <t>Bond Knot (TALENT-S01)</t>
        </is>
      </c>
      <c r="C43" s="24" t="n"/>
      <c r="D43" s="25" t="n"/>
      <c r="E43" s="6" t="inlineStr">
        <is>
          <t>Tier 2</t>
        </is>
      </c>
      <c r="F43" s="17" t="inlineStr">
        <is>
          <t>A teammate or Echo Companion in your zone gains +1 Repair Progress Point (PP).</t>
        </is>
      </c>
      <c r="G43" s="24" t="n"/>
      <c r="H43" s="24" t="n"/>
      <c r="I43" s="24" t="n"/>
      <c r="J43" s="24" t="n"/>
      <c r="K43" s="24" t="n"/>
      <c r="L43" s="25" t="n"/>
    </row>
    <row r="44">
      <c r="A44" s="5" t="inlineStr">
        <is>
          <t>3 | Prestige 10</t>
        </is>
      </c>
      <c r="B44" s="17" t="inlineStr">
        <is>
          <t>Window of Opportunity (TALENT-G01)</t>
        </is>
      </c>
      <c r="C44" s="24" t="n"/>
      <c r="D44" s="25" t="n"/>
      <c r="E44" s="6" t="inlineStr">
        <is>
          <t>Tier 2</t>
        </is>
      </c>
      <c r="F44" s="17" t="inlineStr">
        <is>
          <t>Automatically learn the position and state of all Pallets (Pallet), Windows (Window), and breakable walls within 2 Distance Bands.</t>
        </is>
      </c>
      <c r="G44" s="24" t="n"/>
      <c r="H44" s="24" t="n"/>
      <c r="I44" s="24" t="n"/>
      <c r="J44" s="24" t="n"/>
      <c r="K44" s="24" t="n"/>
      <c r="L44" s="25" t="n"/>
    </row>
    <row r="45">
      <c r="A45" s="5" t="inlineStr">
        <is>
          <t>4 | Prestige 15</t>
        </is>
      </c>
      <c r="B45" s="17" t="inlineStr"/>
      <c r="C45" s="24" t="n"/>
      <c r="D45" s="25" t="n"/>
      <c r="E45" s="6" t="inlineStr"/>
      <c r="F45" s="17" t="inlineStr"/>
      <c r="G45" s="24" t="n"/>
      <c r="H45" s="24" t="n"/>
      <c r="I45" s="24" t="n"/>
      <c r="J45" s="24" t="n"/>
      <c r="K45" s="24" t="n"/>
      <c r="L45" s="25" t="n"/>
    </row>
    <row r="46">
      <c r="A46" s="11" t="inlineStr">
        <is>
          <t>Perks have three tiers: Tier 1 (Common) / Tier 2 (Uncommon) / Tier 3 (Very Rare). In the Tier column write Tier 1 / Tier 2 / Tier 3. See the Perk Codex. In a Solo Trial (Setup 1), perks that involve allies instead target the Echo Companion; if no Echo Companion is present, use the perk's solo-variant clause.</t>
        </is>
      </c>
      <c r="B46" s="24" t="n"/>
      <c r="C46" s="24" t="n"/>
      <c r="D46" s="24" t="n"/>
      <c r="E46" s="24" t="n"/>
      <c r="F46" s="24" t="n"/>
      <c r="G46" s="24" t="n"/>
      <c r="H46" s="24" t="n"/>
      <c r="I46" s="24" t="n"/>
      <c r="J46" s="24" t="n"/>
      <c r="K46" s="24" t="n"/>
      <c r="L46" s="25" t="n"/>
    </row>
    <row r="47" ht="20" customHeight="1">
      <c r="A47" s="13" t="inlineStr">
        <is>
          <t>VI. Carried Items &amp; Add-ons (Item &amp; Add-on) — Load (LOAD) cap see Derived Values</t>
        </is>
      </c>
      <c r="B47" s="24" t="n"/>
      <c r="C47" s="24" t="n"/>
      <c r="D47" s="24" t="n"/>
      <c r="E47" s="24" t="n"/>
      <c r="F47" s="24" t="n"/>
      <c r="G47" s="24" t="n"/>
      <c r="H47" s="24" t="n"/>
      <c r="I47" s="24" t="n"/>
      <c r="J47" s="24" t="n"/>
      <c r="K47" s="24" t="n"/>
      <c r="L47" s="25" t="n"/>
    </row>
    <row r="48">
      <c r="A48" s="5" t="inlineStr">
        <is>
          <t>Item Name</t>
        </is>
      </c>
      <c r="B48" s="24" t="n"/>
      <c r="C48" s="25" t="n"/>
      <c r="D48" s="5" t="inlineStr">
        <is>
          <t>Type</t>
        </is>
      </c>
      <c r="E48" s="25" t="n"/>
      <c r="F48" s="5" t="inlineStr">
        <is>
          <t>Rarity</t>
        </is>
      </c>
      <c r="G48" s="5" t="inlineStr">
        <is>
          <t>Charge (CHG)</t>
        </is>
      </c>
      <c r="H48" s="5" t="inlineStr">
        <is>
          <t>Add-on 1</t>
        </is>
      </c>
      <c r="I48" s="25" t="n"/>
      <c r="J48" s="5" t="inlineStr">
        <is>
          <t>Add-on 2</t>
        </is>
      </c>
      <c r="K48" s="24" t="n"/>
      <c r="L48" s="25" t="n"/>
    </row>
    <row r="49">
      <c r="A49" s="17" t="inlineStr">
        <is>
          <t>Map Fragment (MAP)</t>
        </is>
      </c>
      <c r="B49" s="24" t="n"/>
      <c r="C49" s="25" t="n"/>
      <c r="D49" s="6" t="inlineStr">
        <is>
          <t>Information</t>
        </is>
      </c>
      <c r="E49" s="25" t="n"/>
      <c r="F49" s="6" t="inlineStr">
        <is>
          <t>Rare</t>
        </is>
      </c>
      <c r="G49" s="6" t="n">
        <v>3</v>
      </c>
      <c r="H49" s="17" t="inlineStr">
        <is>
          <t>Compass Fragment</t>
        </is>
      </c>
      <c r="I49" s="25" t="n"/>
      <c r="J49" s="17" t="inlineStr"/>
      <c r="K49" s="24" t="n"/>
      <c r="L49" s="25" t="n"/>
    </row>
    <row r="50">
      <c r="A50" s="17" t="inlineStr">
        <is>
          <t>Key (KEY)</t>
        </is>
      </c>
      <c r="B50" s="24" t="n"/>
      <c r="C50" s="25" t="n"/>
      <c r="D50" s="6" t="inlineStr">
        <is>
          <t>Special</t>
        </is>
      </c>
      <c r="E50" s="25" t="n"/>
      <c r="F50" s="6" t="inlineStr">
        <is>
          <t>Very Rare</t>
        </is>
      </c>
      <c r="G50" s="6" t="n">
        <v>2</v>
      </c>
      <c r="H50" s="17" t="inlineStr">
        <is>
          <t>Bloodstained Ring</t>
        </is>
      </c>
      <c r="I50" s="25" t="n"/>
      <c r="J50" s="17" t="inlineStr"/>
      <c r="K50" s="24" t="n"/>
      <c r="L50" s="25" t="n"/>
    </row>
    <row r="51">
      <c r="A51" s="17" t="inlineStr"/>
      <c r="B51" s="24" t="n"/>
      <c r="C51" s="25" t="n"/>
      <c r="D51" s="6" t="inlineStr"/>
      <c r="E51" s="25" t="n"/>
      <c r="F51" s="6" t="inlineStr"/>
      <c r="G51" s="6" t="inlineStr"/>
      <c r="H51" s="17" t="inlineStr"/>
      <c r="I51" s="25" t="n"/>
      <c r="J51" s="17" t="inlineStr"/>
      <c r="K51" s="24" t="n"/>
      <c r="L51" s="25" t="n"/>
    </row>
    <row r="52">
      <c r="A52" s="17" t="inlineStr"/>
      <c r="B52" s="24" t="n"/>
      <c r="C52" s="25" t="n"/>
      <c r="D52" s="6" t="inlineStr"/>
      <c r="E52" s="25" t="n"/>
      <c r="F52" s="6" t="inlineStr"/>
      <c r="G52" s="6" t="inlineStr"/>
      <c r="H52" s="17" t="inlineStr"/>
      <c r="I52" s="25" t="n"/>
      <c r="J52" s="17" t="inlineStr"/>
      <c r="K52" s="24" t="n"/>
      <c r="L52" s="25" t="n"/>
    </row>
    <row r="53"/>
    <row r="54" ht="20" customHeight="1">
      <c r="A54" s="13" t="inlineStr">
        <is>
          <t>VII. Status Effects (Status Effect) — check those currently active and record remaining rounds</t>
        </is>
      </c>
      <c r="B54" s="24" t="n"/>
      <c r="C54" s="24" t="n"/>
      <c r="D54" s="24" t="n"/>
      <c r="E54" s="24" t="n"/>
      <c r="F54" s="24" t="n"/>
      <c r="G54" s="24" t="n"/>
      <c r="H54" s="24" t="n"/>
      <c r="I54" s="24" t="n"/>
      <c r="J54" s="24" t="n"/>
      <c r="K54" s="24" t="n"/>
      <c r="L54" s="25" t="n"/>
    </row>
    <row r="55">
      <c r="A55" s="5" t="inlineStr">
        <is>
          <t>Broken</t>
        </is>
      </c>
      <c r="B55" s="24" t="n"/>
      <c r="C55" s="25" t="n"/>
      <c r="D55" s="6" t="n"/>
      <c r="E55" s="5" t="inlineStr">
        <is>
          <t>Deep Wound</t>
        </is>
      </c>
      <c r="F55" s="24" t="n"/>
      <c r="G55" s="25" t="n"/>
      <c r="H55" s="6" t="n"/>
      <c r="I55" s="5" t="inlineStr">
        <is>
          <t>Exhausted</t>
        </is>
      </c>
      <c r="J55" s="24" t="n"/>
      <c r="K55" s="25" t="n"/>
      <c r="L55" s="6" t="n"/>
    </row>
    <row r="56">
      <c r="A56" s="5" t="inlineStr">
        <is>
          <t>Blindness</t>
        </is>
      </c>
      <c r="B56" s="24" t="n"/>
      <c r="C56" s="25" t="n"/>
      <c r="D56" s="6" t="n"/>
      <c r="E56" s="5" t="inlineStr">
        <is>
          <t>Haemorrhage</t>
        </is>
      </c>
      <c r="F56" s="24" t="n"/>
      <c r="G56" s="25" t="n"/>
      <c r="H56" s="6" t="n"/>
      <c r="I56" s="5" t="inlineStr">
        <is>
          <t>Endurance</t>
        </is>
      </c>
      <c r="J56" s="24" t="n"/>
      <c r="K56" s="25" t="n"/>
      <c r="L56" s="6" t="n"/>
    </row>
    <row r="57">
      <c r="A57" s="5" t="inlineStr">
        <is>
          <t>Haste</t>
        </is>
      </c>
      <c r="B57" s="24" t="n"/>
      <c r="C57" s="25" t="n"/>
      <c r="D57" s="6" t="n"/>
      <c r="E57" s="5" t="inlineStr">
        <is>
          <t>Hindered</t>
        </is>
      </c>
      <c r="F57" s="24" t="n"/>
      <c r="G57" s="25" t="n"/>
      <c r="H57" s="6" t="n"/>
      <c r="I57" s="5" t="inlineStr">
        <is>
          <t>Exposed</t>
        </is>
      </c>
      <c r="J57" s="24" t="n"/>
      <c r="K57" s="25" t="n"/>
      <c r="L57" s="6" t="n"/>
    </row>
    <row r="58">
      <c r="A58" s="5" t="inlineStr">
        <is>
          <t>Mangled</t>
        </is>
      </c>
      <c r="B58" s="24" t="n"/>
      <c r="C58" s="25" t="n"/>
      <c r="D58" s="6" t="n"/>
      <c r="E58" s="5" t="inlineStr">
        <is>
          <t>Madness</t>
        </is>
      </c>
      <c r="F58" s="24" t="n"/>
      <c r="G58" s="25" t="n"/>
      <c r="H58" s="6" t="n"/>
      <c r="I58" s="5" t="inlineStr">
        <is>
          <t>Trembling</t>
        </is>
      </c>
      <c r="J58" s="24" t="n"/>
      <c r="K58" s="25" t="n"/>
      <c r="L58" s="6" t="n"/>
    </row>
    <row r="59"/>
    <row r="60" ht="20" customHeight="1">
      <c r="A60" s="13" t="inlineStr">
        <is>
          <t>VIII. Background &amp; Notes</t>
        </is>
      </c>
      <c r="B60" s="24" t="n"/>
      <c r="C60" s="24" t="n"/>
      <c r="D60" s="24" t="n"/>
      <c r="E60" s="24" t="n"/>
      <c r="F60" s="24" t="n"/>
      <c r="G60" s="24" t="n"/>
      <c r="H60" s="24" t="n"/>
      <c r="I60" s="24" t="n"/>
      <c r="J60" s="24" t="n"/>
      <c r="K60" s="24" t="n"/>
      <c r="L60" s="25" t="n"/>
    </row>
    <row r="61">
      <c r="A61" s="18" t="inlineStr">
        <is>
          <t>Qi Weian, 34, a night-shift dispatch supervisor at a mid-size logistics company.
His life's work was lining chaotic things into order. The night the warehouse burned, he counted heads one last time — seventeen people, all out, except himself. The thick smoke pushed him into the fog. He is still counting heads, only the names on the list keep changing.
[Solo Role] Two of the Leader's three exclusive Perks involve teammates. In Solo Trial, "Bond Knot" and "Take the Blame" shift their target to an Echo Companion; if none is present, both become solo-variant clauses. The Archetype trait "Unified Vision" additionally reveals the Hatch direction when solo.</t>
        </is>
      </c>
      <c r="B61" s="31" t="n"/>
      <c r="C61" s="31" t="n"/>
      <c r="D61" s="31" t="n"/>
      <c r="E61" s="31" t="n"/>
      <c r="F61" s="31" t="n"/>
      <c r="G61" s="31" t="n"/>
      <c r="H61" s="31" t="n"/>
      <c r="I61" s="31" t="n"/>
      <c r="J61" s="31" t="n"/>
      <c r="K61" s="31" t="n"/>
      <c r="L61" s="32" t="n"/>
    </row>
    <row r="62">
      <c r="A62" s="33" t="n"/>
      <c r="L62" s="34" t="n"/>
    </row>
    <row r="63">
      <c r="A63" s="33" t="n"/>
      <c r="L63" s="34" t="n"/>
    </row>
    <row r="64">
      <c r="A64" s="33" t="n"/>
      <c r="L64" s="34" t="n"/>
    </row>
    <row r="65">
      <c r="A65" s="33" t="n"/>
      <c r="L65" s="34" t="n"/>
    </row>
    <row r="66">
      <c r="A66" s="35" t="n"/>
      <c r="B66" s="36" t="n"/>
      <c r="C66" s="36" t="n"/>
      <c r="D66" s="36" t="n"/>
      <c r="E66" s="36" t="n"/>
      <c r="F66" s="36" t="n"/>
      <c r="G66" s="36" t="n"/>
      <c r="H66" s="36" t="n"/>
      <c r="I66" s="36" t="n"/>
      <c r="J66" s="36" t="n"/>
      <c r="K66" s="36" t="n"/>
      <c r="L66" s="37" t="n"/>
    </row>
  </sheetData>
  <mergeCells count="115">
    <mergeCell ref="B42:D42"/>
    <mergeCell ref="A15:B15"/>
    <mergeCell ref="G19:L19"/>
    <mergeCell ref="A46:L46"/>
    <mergeCell ref="I4:L4"/>
    <mergeCell ref="F43:L43"/>
    <mergeCell ref="J35:L35"/>
    <mergeCell ref="B44:D44"/>
    <mergeCell ref="J28:K28"/>
    <mergeCell ref="I56:K56"/>
    <mergeCell ref="D31:E31"/>
    <mergeCell ref="A26:C26"/>
    <mergeCell ref="A57:C57"/>
    <mergeCell ref="D37:F37"/>
    <mergeCell ref="G14:L14"/>
    <mergeCell ref="E57:G57"/>
    <mergeCell ref="J50:L50"/>
    <mergeCell ref="D48:E48"/>
    <mergeCell ref="H52:I52"/>
    <mergeCell ref="A52:C52"/>
    <mergeCell ref="J52:L52"/>
    <mergeCell ref="A61:L66"/>
    <mergeCell ref="E58:G58"/>
    <mergeCell ref="J48:L48"/>
    <mergeCell ref="A34:L34"/>
    <mergeCell ref="A35:B35"/>
    <mergeCell ref="F45:L45"/>
    <mergeCell ref="J38:L38"/>
    <mergeCell ref="A49:C49"/>
    <mergeCell ref="D51:E51"/>
    <mergeCell ref="A28:B28"/>
    <mergeCell ref="B43:D43"/>
    <mergeCell ref="A30:B30"/>
    <mergeCell ref="G10:L10"/>
    <mergeCell ref="G18:L18"/>
    <mergeCell ref="H50:I50"/>
    <mergeCell ref="A55:C55"/>
    <mergeCell ref="G38:H38"/>
    <mergeCell ref="A37:B37"/>
    <mergeCell ref="I6:L6"/>
    <mergeCell ref="H49:I49"/>
    <mergeCell ref="A2:C6"/>
    <mergeCell ref="G20:L20"/>
    <mergeCell ref="B45:D45"/>
    <mergeCell ref="G22:L22"/>
    <mergeCell ref="A58:C58"/>
    <mergeCell ref="E56:G56"/>
    <mergeCell ref="A40:L40"/>
    <mergeCell ref="G12:L12"/>
    <mergeCell ref="G21:L21"/>
    <mergeCell ref="A51:C51"/>
    <mergeCell ref="G35:H35"/>
    <mergeCell ref="A60:L60"/>
    <mergeCell ref="H48:I48"/>
    <mergeCell ref="D29:E29"/>
    <mergeCell ref="J37:L37"/>
    <mergeCell ref="G23:L23"/>
    <mergeCell ref="A16:L16"/>
    <mergeCell ref="J29:K29"/>
    <mergeCell ref="A36:B36"/>
    <mergeCell ref="A50:C50"/>
    <mergeCell ref="E2:G2"/>
    <mergeCell ref="I55:K55"/>
    <mergeCell ref="D52:E52"/>
    <mergeCell ref="D49:E49"/>
    <mergeCell ref="A47:L47"/>
    <mergeCell ref="G37:H37"/>
    <mergeCell ref="I2:L2"/>
    <mergeCell ref="G25:L25"/>
    <mergeCell ref="B41:D41"/>
    <mergeCell ref="G9:L9"/>
    <mergeCell ref="D35:F35"/>
    <mergeCell ref="A32:B32"/>
    <mergeCell ref="D28:E28"/>
    <mergeCell ref="G11:L11"/>
    <mergeCell ref="A38:B38"/>
    <mergeCell ref="D30:E30"/>
    <mergeCell ref="F41:L41"/>
    <mergeCell ref="G32:H32"/>
    <mergeCell ref="D36:F36"/>
    <mergeCell ref="I57:K57"/>
    <mergeCell ref="A54:L54"/>
    <mergeCell ref="A7:L7"/>
    <mergeCell ref="J49:L49"/>
    <mergeCell ref="J36:L36"/>
    <mergeCell ref="G13:L13"/>
    <mergeCell ref="A56:C56"/>
    <mergeCell ref="G36:H36"/>
    <mergeCell ref="I58:K58"/>
    <mergeCell ref="A27:L27"/>
    <mergeCell ref="G24:L24"/>
    <mergeCell ref="A33:L33"/>
    <mergeCell ref="F44:L44"/>
    <mergeCell ref="H51:I51"/>
    <mergeCell ref="A8:L8"/>
    <mergeCell ref="D32:E32"/>
    <mergeCell ref="G28:H28"/>
    <mergeCell ref="G26:L26"/>
    <mergeCell ref="J51:L51"/>
    <mergeCell ref="D38:F38"/>
    <mergeCell ref="G30:H30"/>
    <mergeCell ref="E3:G3"/>
    <mergeCell ref="F15:L15"/>
    <mergeCell ref="A48:C48"/>
    <mergeCell ref="F42:L42"/>
    <mergeCell ref="G29:H29"/>
    <mergeCell ref="E55:G55"/>
    <mergeCell ref="A29:B29"/>
    <mergeCell ref="I3:L3"/>
    <mergeCell ref="A1:L1"/>
    <mergeCell ref="G17:L17"/>
    <mergeCell ref="G31:H31"/>
    <mergeCell ref="D50:E50"/>
    <mergeCell ref="A31:B31"/>
    <mergeCell ref="I5:L5"/>
  </mergeCells>
  <dataValidations count="16">
    <dataValidation sqref="E3:G3" showDropDown="0" showInputMessage="0" showErrorMessage="0" allowBlank="1" type="list">
      <formula1>"號令者（LEA）,疾行者（SPR）,草藥師（HRB）,匠人（ART）,拾荒客（SCV）,退役兵（VET）"</formula1>
    </dataValidation>
    <dataValidation sqref="I3:L3" showDropDown="0" showInputMessage="0" showErrorMessage="0" allowBlank="1" type="list">
      <formula1>"機械師（REP）,守護者（RES）,幽影（STE）,磐石（END）,破襲手（SAB）,探路者（SCT）"</formula1>
    </dataValidation>
    <dataValidation sqref="L28:L29" showDropDown="0" showInputMessage="0" showErrorMessage="0" allowBlank="1" type="list">
      <formula1>"是,否"</formula1>
    </dataValidation>
    <dataValidation sqref="C35" showDropDown="0" showInputMessage="0" showErrorMessage="0" allowBlank="1" type="list">
      <formula1>"健康,受傷,瀕死"</formula1>
    </dataValidation>
    <dataValidation sqref="D55" showDropDown="0" showInputMessage="0" showErrorMessage="0" allowBlank="1" type="list">
      <formula1>",生效,1,2,3,4,5"</formula1>
    </dataValidation>
    <dataValidation sqref="H55" showDropDown="0" showInputMessage="0" showErrorMessage="0" allowBlank="1" type="list">
      <formula1>",生效,1,2,3,4,5"</formula1>
    </dataValidation>
    <dataValidation sqref="L55" showDropDown="0" showInputMessage="0" showErrorMessage="0" allowBlank="1" type="list">
      <formula1>",生效,1,2,3,4,5"</formula1>
    </dataValidation>
    <dataValidation sqref="D56" showDropDown="0" showInputMessage="0" showErrorMessage="0" allowBlank="1" type="list">
      <formula1>",生效,1,2,3,4,5"</formula1>
    </dataValidation>
    <dataValidation sqref="H56" showDropDown="0" showInputMessage="0" showErrorMessage="0" allowBlank="1" type="list">
      <formula1>",生效,1,2,3,4,5"</formula1>
    </dataValidation>
    <dataValidation sqref="L56" showDropDown="0" showInputMessage="0" showErrorMessage="0" allowBlank="1" type="list">
      <formula1>",生效,1,2,3,4,5"</formula1>
    </dataValidation>
    <dataValidation sqref="D57" showDropDown="0" showInputMessage="0" showErrorMessage="0" allowBlank="1" type="list">
      <formula1>",生效,1,2,3,4,5"</formula1>
    </dataValidation>
    <dataValidation sqref="H57" showDropDown="0" showInputMessage="0" showErrorMessage="0" allowBlank="1" type="list">
      <formula1>",生效,1,2,3,4,5"</formula1>
    </dataValidation>
    <dataValidation sqref="L57" showDropDown="0" showInputMessage="0" showErrorMessage="0" allowBlank="1" type="list">
      <formula1>",生效,1,2,3,4,5"</formula1>
    </dataValidation>
    <dataValidation sqref="D58" showDropDown="0" showInputMessage="0" showErrorMessage="0" allowBlank="1" type="list">
      <formula1>",生效,1,2,3,4,5"</formula1>
    </dataValidation>
    <dataValidation sqref="H58" showDropDown="0" showInputMessage="0" showErrorMessage="0" allowBlank="1" type="list">
      <formula1>",生效,1,2,3,4,5"</formula1>
    </dataValidation>
    <dataValidation sqref="L58" showDropDown="0" showInputMessage="0" showErrorMessage="0" allowBlank="1" type="list">
      <formula1>",生效,1,2,3,4,5"</formula1>
    </dataValidation>
  </dataValidations>
  <printOptions horizontalCentered="1"/>
  <pageMargins left="0.75" right="0.75" top="1" bottom="1" header="0.5" footer="0.5"/>
  <pageSetup orientation="portrait" fitToHeight="0" fitToWidth="1"/>
</worksheet>
</file>

<file path=xl/worksheets/sheet6.xml><?xml version="1.0" encoding="utf-8"?>
<worksheet xmlns="http://schemas.openxmlformats.org/spreadsheetml/2006/main">
  <sheetPr>
    <outlinePr summaryBelow="1" summaryRight="1"/>
    <pageSetUpPr fitToPage="1"/>
  </sheetPr>
  <dimension ref="A1:L66"/>
  <sheetViews>
    <sheetView showGridLines="0" workbookViewId="0">
      <selection activeCell="A1" sqref="A1"/>
    </sheetView>
  </sheetViews>
  <sheetFormatPr baseColWidth="8" defaultRowHeight="15"/>
  <cols>
    <col width="13" customWidth="1" min="1" max="1"/>
    <col width="7" customWidth="1" min="2" max="2"/>
    <col width="8" customWidth="1" min="3" max="3"/>
    <col width="9" customWidth="1" min="4" max="4"/>
    <col width="9" customWidth="1" min="5" max="5"/>
    <col width="10" customWidth="1" min="6" max="6"/>
    <col width="9" customWidth="1" min="7" max="7"/>
    <col width="12" customWidth="1" min="8" max="8"/>
    <col width="11" customWidth="1" min="9" max="9"/>
    <col width="11" customWidth="1" min="10" max="10"/>
    <col width="11" customWidth="1" min="11" max="11"/>
    <col width="16" customWidth="1" min="12" max="12"/>
  </cols>
  <sheetData>
    <row r="1" ht="28" customHeight="1">
      <c r="A1" s="1" t="inlineStr">
        <is>
          <t>Dead by Daylight TRPG　Survivor Character Sheet</t>
        </is>
      </c>
      <c r="B1" s="20" t="n"/>
      <c r="C1" s="20" t="n"/>
      <c r="D1" s="20" t="n"/>
      <c r="E1" s="20" t="n"/>
      <c r="F1" s="20" t="n"/>
      <c r="G1" s="20" t="n"/>
      <c r="H1" s="20" t="n"/>
      <c r="I1" s="20" t="n"/>
      <c r="J1" s="20" t="n"/>
      <c r="K1" s="20" t="n"/>
      <c r="L1" s="21" t="n"/>
    </row>
    <row r="2">
      <c r="A2" s="3" t="inlineStr">
        <is>
          <t>Character Art
(Paste character image here)</t>
        </is>
      </c>
      <c r="B2" s="22" t="n"/>
      <c r="C2" s="23" t="n"/>
      <c r="D2" s="5" t="inlineStr">
        <is>
          <t>Character Name</t>
        </is>
      </c>
      <c r="E2" s="6" t="inlineStr">
        <is>
          <t>Cen Ye</t>
        </is>
      </c>
      <c r="F2" s="24" t="n"/>
      <c r="G2" s="25" t="n"/>
      <c r="H2" s="5" t="inlineStr">
        <is>
          <t>Player</t>
        </is>
      </c>
      <c r="I2" s="6" t="inlineStr">
        <is>
          <t>Example</t>
        </is>
      </c>
      <c r="J2" s="24" t="n"/>
      <c r="K2" s="24" t="n"/>
      <c r="L2" s="25" t="n"/>
    </row>
    <row r="3">
      <c r="A3" s="26" t="n"/>
      <c r="C3" s="27" t="n"/>
      <c r="D3" s="5" t="inlineStr">
        <is>
          <t>Archetype</t>
        </is>
      </c>
      <c r="E3" s="6" t="inlineStr">
        <is>
          <t>Scavenger (SCV)</t>
        </is>
      </c>
      <c r="F3" s="24" t="n"/>
      <c r="G3" s="25" t="n"/>
      <c r="H3" s="5" t="inlineStr">
        <is>
          <t>Survival Specialization</t>
        </is>
      </c>
      <c r="I3" s="6" t="inlineStr">
        <is>
          <t>Saboteur (SAB)</t>
        </is>
      </c>
      <c r="J3" s="24" t="n"/>
      <c r="K3" s="24" t="n"/>
      <c r="L3" s="25" t="n"/>
    </row>
    <row r="4">
      <c r="A4" s="26" t="n"/>
      <c r="C4" s="27" t="n"/>
      <c r="D4" s="5" t="inlineStr">
        <is>
          <t>Prestige (PRS)</t>
        </is>
      </c>
      <c r="E4" s="6" t="n">
        <v>6</v>
      </c>
      <c r="F4" s="5" t="inlineStr">
        <is>
          <t>Player Count (N)</t>
        </is>
      </c>
      <c r="G4" s="6" t="n">
        <v>4</v>
      </c>
      <c r="H4" s="5" t="inlineStr">
        <is>
          <t>Current Bloodpoint (BP)</t>
        </is>
      </c>
      <c r="I4" s="6" t="n">
        <v>35000</v>
      </c>
      <c r="J4" s="24" t="n"/>
      <c r="K4" s="24" t="n"/>
      <c r="L4" s="25" t="n"/>
    </row>
    <row r="5">
      <c r="A5" s="26" t="n"/>
      <c r="C5" s="27" t="n"/>
      <c r="D5" s="5" t="inlineStr">
        <is>
          <t>Attribute Point (ATP)</t>
        </is>
      </c>
      <c r="E5" s="8">
        <f>15+INT($E$4/2)</f>
        <v/>
      </c>
      <c r="F5" s="5" t="inlineStr">
        <is>
          <t>Skill Point (SKP)</t>
        </is>
      </c>
      <c r="G5" s="8">
        <f>2+$E$4</f>
        <v/>
      </c>
      <c r="H5" s="5" t="inlineStr">
        <is>
          <t>Bloodpoint Cap (BP_max)</t>
        </is>
      </c>
      <c r="I5" s="9">
        <f>20000+2000*($E$4-1)+200*($E$4-1)^2</f>
        <v/>
      </c>
      <c r="J5" s="24" t="n"/>
      <c r="K5" s="24" t="n"/>
      <c r="L5" s="25" t="n"/>
    </row>
    <row r="6">
      <c r="A6" s="28" t="n"/>
      <c r="B6" s="29" t="n"/>
      <c r="C6" s="30" t="n"/>
      <c r="D6" s="5" t="inlineStr">
        <is>
          <t>Perk Slot Count (PERK)</t>
        </is>
      </c>
      <c r="E6" s="8">
        <f>1+($E$4&gt;=5)+($E$4&gt;=10)+($E$4&gt;=15)</f>
        <v/>
      </c>
      <c r="F6" s="5" t="inlineStr">
        <is>
          <t>Hope Point Cap</t>
        </is>
      </c>
      <c r="G6" s="8">
        <f>2+INT($E$4/5)</f>
        <v/>
      </c>
      <c r="H6" s="5" t="inlineStr">
        <is>
          <t>Current Hope Point (HOP)</t>
        </is>
      </c>
      <c r="I6" s="6" t="n">
        <v>3</v>
      </c>
      <c r="J6" s="24" t="n"/>
      <c r="K6" s="24" t="n"/>
      <c r="L6" s="25" t="n"/>
    </row>
    <row r="7">
      <c r="A7" s="11" t="inlineStr">
        <is>
          <t>Beige cells = auto-calculated by formula; do not type. White cells = player-filled.'Player Count (N)' counts only Survivors played by players; the Echo Companion is not counted.</t>
        </is>
      </c>
      <c r="B7" s="24" t="n"/>
      <c r="C7" s="24" t="n"/>
      <c r="D7" s="24" t="n"/>
      <c r="E7" s="24" t="n"/>
      <c r="F7" s="24" t="n"/>
      <c r="G7" s="24" t="n"/>
      <c r="H7" s="24" t="n"/>
      <c r="I7" s="24" t="n"/>
      <c r="J7" s="24" t="n"/>
      <c r="K7" s="24" t="n"/>
      <c r="L7" s="25" t="n"/>
    </row>
    <row r="8" ht="20" customHeight="1">
      <c r="A8" s="13" t="inlineStr">
        <is>
          <t>I. Attributes (Attribute) — Attribute Value 1–10; Attribute Bonus (AB) = INT(Attribute Value ÷ 2)</t>
        </is>
      </c>
      <c r="B8" s="24" t="n"/>
      <c r="C8" s="24" t="n"/>
      <c r="D8" s="24" t="n"/>
      <c r="E8" s="24" t="n"/>
      <c r="F8" s="24" t="n"/>
      <c r="G8" s="24" t="n"/>
      <c r="H8" s="24" t="n"/>
      <c r="I8" s="24" t="n"/>
      <c r="J8" s="24" t="n"/>
      <c r="K8" s="24" t="n"/>
      <c r="L8" s="25" t="n"/>
    </row>
    <row r="9">
      <c r="A9" s="5" t="inlineStr">
        <is>
          <t>Attribute</t>
        </is>
      </c>
      <c r="B9" s="5" t="inlineStr">
        <is>
          <t>Abbrev.</t>
        </is>
      </c>
      <c r="C9" s="5" t="inlineStr">
        <is>
          <t>Base Value</t>
        </is>
      </c>
      <c r="D9" s="5" t="inlineStr">
        <is>
          <t>Archetype Adj.</t>
        </is>
      </c>
      <c r="E9" s="5" t="inlineStr">
        <is>
          <t>Attribute Value</t>
        </is>
      </c>
      <c r="F9" s="5" t="inlineStr">
        <is>
          <t>Attribute Bonus (AB)</t>
        </is>
      </c>
      <c r="G9" s="5" t="inlineStr">
        <is>
          <t>Use</t>
        </is>
      </c>
      <c r="H9" s="24" t="n"/>
      <c r="I9" s="24" t="n"/>
      <c r="J9" s="24" t="n"/>
      <c r="K9" s="24" t="n"/>
      <c r="L9" s="25" t="n"/>
    </row>
    <row r="10">
      <c r="A10" s="16" t="inlineStr">
        <is>
          <t>Agility</t>
        </is>
      </c>
      <c r="B10" s="16" t="inlineStr">
        <is>
          <t>AGI</t>
        </is>
      </c>
      <c r="C10" s="6" t="n">
        <v>4</v>
      </c>
      <c r="D10" s="6" t="n">
        <v>1</v>
      </c>
      <c r="E10" s="8">
        <f>C10+D10</f>
        <v/>
      </c>
      <c r="F10" s="8">
        <f>INT(E10/2)</f>
        <v/>
      </c>
      <c r="G10" s="17" t="inlineStr">
        <is>
          <t>Vault windows, drop pallets, dodge, wriggle. The core of chase survival.</t>
        </is>
      </c>
      <c r="H10" s="24" t="n"/>
      <c r="I10" s="24" t="n"/>
      <c r="J10" s="24" t="n"/>
      <c r="K10" s="24" t="n"/>
      <c r="L10" s="25" t="n"/>
    </row>
    <row r="11">
      <c r="A11" s="16" t="inlineStr">
        <is>
          <t>Technique</t>
        </is>
      </c>
      <c r="B11" s="16" t="inlineStr">
        <is>
          <t>TEC</t>
        </is>
      </c>
      <c r="C11" s="6" t="n">
        <v>4</v>
      </c>
      <c r="D11" s="6" t="n">
        <v>0</v>
      </c>
      <c r="E11" s="8">
        <f>C11+D11</f>
        <v/>
      </c>
      <c r="F11" s="8">
        <f>INT(E11/2)</f>
        <v/>
      </c>
      <c r="G11" s="17" t="inlineStr">
        <is>
          <t>Generator repair, disarm traps, open chests. The core of the victory condition.</t>
        </is>
      </c>
      <c r="H11" s="24" t="n"/>
      <c r="I11" s="24" t="n"/>
      <c r="J11" s="24" t="n"/>
      <c r="K11" s="24" t="n"/>
      <c r="L11" s="25" t="n"/>
    </row>
    <row r="12">
      <c r="A12" s="16" t="inlineStr">
        <is>
          <t>Stealth</t>
        </is>
      </c>
      <c r="B12" s="16" t="inlineStr">
        <is>
          <t>STL</t>
        </is>
      </c>
      <c r="C12" s="6" t="n">
        <v>4</v>
      </c>
      <c r="D12" s="6" t="n">
        <v>2</v>
      </c>
      <c r="E12" s="8">
        <f>C12+D12</f>
        <v/>
      </c>
      <c r="F12" s="8">
        <f>INT(E12/2)</f>
        <v/>
      </c>
      <c r="G12" s="17" t="inlineStr">
        <is>
          <t>Crouch, hide in lockers, erase scratch marks, counter killer tracking.</t>
        </is>
      </c>
      <c r="H12" s="24" t="n"/>
      <c r="I12" s="24" t="n"/>
      <c r="J12" s="24" t="n"/>
      <c r="K12" s="24" t="n"/>
      <c r="L12" s="25" t="n"/>
    </row>
    <row r="13">
      <c r="A13" s="16" t="inlineStr">
        <is>
          <t>Focus</t>
        </is>
      </c>
      <c r="B13" s="16" t="inlineStr">
        <is>
          <t>FOC</t>
        </is>
      </c>
      <c r="C13" s="6" t="n">
        <v>3</v>
      </c>
      <c r="D13" s="6" t="n">
        <v>0</v>
      </c>
      <c r="E13" s="8">
        <f>C13+D13</f>
        <v/>
      </c>
      <c r="F13" s="8">
        <f>INT(E13/2)</f>
        <v/>
      </c>
      <c r="G13" s="17" t="inlineStr">
        <is>
          <t>Four-tier skill-check quality, rescue timing, anti-interference, self-unhook.</t>
        </is>
      </c>
      <c r="H13" s="24" t="n"/>
      <c r="I13" s="24" t="n"/>
      <c r="J13" s="24" t="n"/>
      <c r="K13" s="24" t="n"/>
      <c r="L13" s="25" t="n"/>
    </row>
    <row r="14">
      <c r="A14" s="16" t="inlineStr">
        <is>
          <t>Will</t>
        </is>
      </c>
      <c r="B14" s="16" t="inlineStr">
        <is>
          <t>WIL</t>
        </is>
      </c>
      <c r="C14" s="6" t="n">
        <v>3</v>
      </c>
      <c r="D14" s="6" t="n">
        <v>0</v>
      </c>
      <c r="E14" s="8">
        <f>C14+D14</f>
        <v/>
      </c>
      <c r="F14" s="8">
        <f>INT(E14/2)</f>
        <v/>
      </c>
      <c r="G14" s="17" t="inlineStr">
        <is>
          <t>Max HP, fear resistance, hook-survival rounds, dying crawl.</t>
        </is>
      </c>
      <c r="H14" s="24" t="n"/>
      <c r="I14" s="24" t="n"/>
      <c r="J14" s="24" t="n"/>
      <c r="K14" s="24" t="n"/>
      <c r="L14" s="25" t="n"/>
    </row>
    <row r="15">
      <c r="A15" s="5" t="inlineStr">
        <is>
          <t>Total</t>
        </is>
      </c>
      <c r="B15" s="25" t="n"/>
      <c r="C15" s="8">
        <f>SUM(C10:C14)</f>
        <v/>
      </c>
      <c r="D15" s="5" t="inlineStr">
        <is>
          <t>Unallocated</t>
        </is>
      </c>
      <c r="E15" s="8">
        <f>$E$5-SUM(C10:C14)</f>
        <v/>
      </c>
      <c r="F15" s="11" t="inlineStr">
        <is>
          <t>At creation each base value is 1–5; the total must equal Attribute Point (ATP). Archetype adjustment comes from the chosen archetype.</t>
        </is>
      </c>
      <c r="G15" s="24" t="n"/>
      <c r="H15" s="24" t="n"/>
      <c r="I15" s="24" t="n"/>
      <c r="J15" s="24" t="n"/>
      <c r="K15" s="24" t="n"/>
      <c r="L15" s="25" t="n"/>
    </row>
    <row r="16" ht="20" customHeight="1">
      <c r="A16" s="13" t="inlineStr">
        <is>
          <t>II. Skills (Skill) — Skill Level (SL) 0–5; at level 0 when a professional skill is required, the check takes an extra −2 (Untrained)</t>
        </is>
      </c>
      <c r="B16" s="24" t="n"/>
      <c r="C16" s="24" t="n"/>
      <c r="D16" s="24" t="n"/>
      <c r="E16" s="24" t="n"/>
      <c r="F16" s="24" t="n"/>
      <c r="G16" s="24" t="n"/>
      <c r="H16" s="24" t="n"/>
      <c r="I16" s="24" t="n"/>
      <c r="J16" s="24" t="n"/>
      <c r="K16" s="24" t="n"/>
      <c r="L16" s="25" t="n"/>
    </row>
    <row r="17">
      <c r="A17" s="5" t="inlineStr">
        <is>
          <t>Skill</t>
        </is>
      </c>
      <c r="B17" s="5" t="inlineStr">
        <is>
          <t>Abbrev.</t>
        </is>
      </c>
      <c r="C17" s="5" t="inlineStr">
        <is>
          <t>Linked Attribute</t>
        </is>
      </c>
      <c r="D17" s="5" t="inlineStr">
        <is>
          <t>Skill Level (SL)</t>
        </is>
      </c>
      <c r="E17" s="5" t="inlineStr">
        <is>
          <t>Attribute Bonus (AB)</t>
        </is>
      </c>
      <c r="F17" s="5" t="inlineStr">
        <is>
          <t>Total Check Modifier</t>
        </is>
      </c>
      <c r="G17" s="5" t="inlineStr">
        <is>
          <t>Use</t>
        </is>
      </c>
      <c r="H17" s="24" t="n"/>
      <c r="I17" s="24" t="n"/>
      <c r="J17" s="24" t="n"/>
      <c r="K17" s="24" t="n"/>
      <c r="L17" s="25" t="n"/>
    </row>
    <row r="18">
      <c r="A18" s="16" t="inlineStr">
        <is>
          <t>Mechanical Repair</t>
        </is>
      </c>
      <c r="B18" s="16" t="inlineStr">
        <is>
          <t>MEC</t>
        </is>
      </c>
      <c r="C18" s="6" t="inlineStr">
        <is>
          <t>Technique (TEC)</t>
        </is>
      </c>
      <c r="D18" s="6" t="n">
        <v>2</v>
      </c>
      <c r="E18" s="8">
        <f>F11</f>
        <v/>
      </c>
      <c r="F18" s="8">
        <f>D18+E18-IF(D18=0,2,0)</f>
        <v/>
      </c>
      <c r="G18" s="17" t="inlineStr">
        <is>
          <t>Generator repair, Exit Gate opening, Hook sabotage</t>
        </is>
      </c>
      <c r="H18" s="24" t="n"/>
      <c r="I18" s="24" t="n"/>
      <c r="J18" s="24" t="n"/>
      <c r="K18" s="24" t="n"/>
      <c r="L18" s="25" t="n"/>
    </row>
    <row r="19">
      <c r="A19" s="16" t="inlineStr">
        <is>
          <t>First Aid</t>
        </is>
      </c>
      <c r="B19" s="16" t="inlineStr">
        <is>
          <t>MED</t>
        </is>
      </c>
      <c r="C19" s="6" t="inlineStr">
        <is>
          <t>Focus (FOC)</t>
        </is>
      </c>
      <c r="D19" s="6" t="n">
        <v>0</v>
      </c>
      <c r="E19" s="8">
        <f>F13</f>
        <v/>
      </c>
      <c r="F19" s="8">
        <f>D19+E19-IF(D19=0,2,0)</f>
        <v/>
      </c>
      <c r="G19" s="17" t="inlineStr">
        <is>
          <t>Heal others, self-heal, pick up the dying, stop bleeding</t>
        </is>
      </c>
      <c r="H19" s="24" t="n"/>
      <c r="I19" s="24" t="n"/>
      <c r="J19" s="24" t="n"/>
      <c r="K19" s="24" t="n"/>
      <c r="L19" s="25" t="n"/>
    </row>
    <row r="20">
      <c r="A20" s="16" t="inlineStr">
        <is>
          <t>Sneak</t>
        </is>
      </c>
      <c r="B20" s="16" t="inlineStr">
        <is>
          <t>SNK</t>
        </is>
      </c>
      <c r="C20" s="6" t="inlineStr">
        <is>
          <t>Stealth (STL)</t>
        </is>
      </c>
      <c r="D20" s="6" t="n">
        <v>3</v>
      </c>
      <c r="E20" s="8">
        <f>F12</f>
        <v/>
      </c>
      <c r="F20" s="8">
        <f>D20+E20-IF(D20=0,2,0)</f>
        <v/>
      </c>
      <c r="G20" s="17" t="inlineStr">
        <is>
          <t>Crouch, hide in lockers, erase scratch marks, counter tracking</t>
        </is>
      </c>
      <c r="H20" s="24" t="n"/>
      <c r="I20" s="24" t="n"/>
      <c r="J20" s="24" t="n"/>
      <c r="K20" s="24" t="n"/>
      <c r="L20" s="25" t="n"/>
    </row>
    <row r="21">
      <c r="A21" s="16" t="inlineStr">
        <is>
          <t>Parkour</t>
        </is>
      </c>
      <c r="B21" s="16" t="inlineStr">
        <is>
          <t>PRK</t>
        </is>
      </c>
      <c r="C21" s="6" t="inlineStr">
        <is>
          <t>Agility (AGI)</t>
        </is>
      </c>
      <c r="D21" s="6" t="n">
        <v>1</v>
      </c>
      <c r="E21" s="8">
        <f>F10</f>
        <v/>
      </c>
      <c r="F21" s="8">
        <f>D21+E21-IF(D21=0,2,0)</f>
        <v/>
      </c>
      <c r="G21" s="17" t="inlineStr">
        <is>
          <t>Vault windows, clear obstacles, drop down, loop</t>
        </is>
      </c>
      <c r="H21" s="24" t="n"/>
      <c r="I21" s="24" t="n"/>
      <c r="J21" s="24" t="n"/>
      <c r="K21" s="24" t="n"/>
      <c r="L21" s="25" t="n"/>
    </row>
    <row r="22">
      <c r="A22" s="16" t="inlineStr">
        <is>
          <t>Escape</t>
        </is>
      </c>
      <c r="B22" s="16" t="inlineStr">
        <is>
          <t>ESQ</t>
        </is>
      </c>
      <c r="C22" s="6" t="inlineStr">
        <is>
          <t>Agility (AGI)</t>
        </is>
      </c>
      <c r="D22" s="6" t="n">
        <v>0</v>
      </c>
      <c r="E22" s="8">
        <f>F10</f>
        <v/>
      </c>
      <c r="F22" s="8">
        <f>D22+E22-IF(D22=0,2,0)</f>
        <v/>
      </c>
      <c r="G22" s="17" t="inlineStr">
        <is>
          <t>Wriggle, escape traps, break a grab</t>
        </is>
      </c>
      <c r="H22" s="24" t="n"/>
      <c r="I22" s="24" t="n"/>
      <c r="J22" s="24" t="n"/>
      <c r="K22" s="24" t="n"/>
      <c r="L22" s="25" t="n"/>
    </row>
    <row r="23">
      <c r="A23" s="16" t="inlineStr">
        <is>
          <t>Search</t>
        </is>
      </c>
      <c r="B23" s="16" t="inlineStr">
        <is>
          <t>SRC</t>
        </is>
      </c>
      <c r="C23" s="6" t="inlineStr">
        <is>
          <t>Technique (TEC)</t>
        </is>
      </c>
      <c r="D23" s="6" t="n">
        <v>2</v>
      </c>
      <c r="E23" s="8">
        <f>F11</f>
        <v/>
      </c>
      <c r="F23" s="8">
        <f>D23+E23-IF(D23=0,2,0)</f>
        <v/>
      </c>
      <c r="G23" s="17" t="inlineStr">
        <is>
          <t>Open chests, find the Hatch, identify Totems</t>
        </is>
      </c>
      <c r="H23" s="24" t="n"/>
      <c r="I23" s="24" t="n"/>
      <c r="J23" s="24" t="n"/>
      <c r="K23" s="24" t="n"/>
      <c r="L23" s="25" t="n"/>
    </row>
    <row r="24">
      <c r="A24" s="16" t="inlineStr">
        <is>
          <t>Endurance</t>
        </is>
      </c>
      <c r="B24" s="16" t="inlineStr">
        <is>
          <t>END</t>
        </is>
      </c>
      <c r="C24" s="6" t="inlineStr">
        <is>
          <t>Will (WIL)</t>
        </is>
      </c>
      <c r="D24" s="6" t="n">
        <v>0</v>
      </c>
      <c r="E24" s="8">
        <f>F14</f>
        <v/>
      </c>
      <c r="F24" s="8">
        <f>D24+E24-IF(D24=0,2,0)</f>
        <v/>
      </c>
      <c r="G24" s="17" t="inlineStr">
        <is>
          <t>Fear resistance, endure hooks, resist status effects, dying crawl</t>
        </is>
      </c>
      <c r="H24" s="24" t="n"/>
      <c r="I24" s="24" t="n"/>
      <c r="J24" s="24" t="n"/>
      <c r="K24" s="24" t="n"/>
      <c r="L24" s="25" t="n"/>
    </row>
    <row r="25">
      <c r="A25" s="16" t="inlineStr">
        <is>
          <t>Insight</t>
        </is>
      </c>
      <c r="B25" s="16" t="inlineStr">
        <is>
          <t>INS</t>
        </is>
      </c>
      <c r="C25" s="6" t="inlineStr">
        <is>
          <t>Focus (FOC)</t>
        </is>
      </c>
      <c r="D25" s="6" t="n">
        <v>0</v>
      </c>
      <c r="E25" s="8">
        <f>F13</f>
        <v/>
      </c>
      <c r="F25" s="8">
        <f>D25+E25-IF(D25=0,2,0)</f>
        <v/>
      </c>
      <c r="G25" s="17" t="inlineStr">
        <is>
          <t>Read auras, predict killer movement, judge rescue timing</t>
        </is>
      </c>
      <c r="H25" s="24" t="n"/>
      <c r="I25" s="24" t="n"/>
      <c r="J25" s="24" t="n"/>
      <c r="K25" s="24" t="n"/>
      <c r="L25" s="25" t="n"/>
    </row>
    <row r="26">
      <c r="A26" s="5" t="inlineStr">
        <is>
          <t>Total</t>
        </is>
      </c>
      <c r="B26" s="24" t="n"/>
      <c r="C26" s="25" t="n"/>
      <c r="D26" s="8">
        <f>SUM(D18:D25)</f>
        <v/>
      </c>
      <c r="E26" s="5" t="inlineStr">
        <is>
          <t>Unallocated</t>
        </is>
      </c>
      <c r="F26" s="8">
        <f>$G$5-SUM(D18:D25)</f>
        <v/>
      </c>
      <c r="G26" s="11" t="inlineStr">
        <is>
          <t>Total Check Modifier already includes the Untrained −2 penalty; Situational Modifier (SM) is counted separately.</t>
        </is>
      </c>
      <c r="H26" s="24" t="n"/>
      <c r="I26" s="24" t="n"/>
      <c r="J26" s="24" t="n"/>
      <c r="K26" s="24" t="n"/>
      <c r="L26" s="25" t="n"/>
    </row>
    <row r="27" ht="20" customHeight="1">
      <c r="A27" s="13" t="inlineStr">
        <is>
          <t>III. Derived Values (Derived Value) — all auto-calculated</t>
        </is>
      </c>
      <c r="B27" s="24" t="n"/>
      <c r="C27" s="24" t="n"/>
      <c r="D27" s="24" t="n"/>
      <c r="E27" s="24" t="n"/>
      <c r="F27" s="24" t="n"/>
      <c r="G27" s="24" t="n"/>
      <c r="H27" s="24" t="n"/>
      <c r="I27" s="24" t="n"/>
      <c r="J27" s="24" t="n"/>
      <c r="K27" s="24" t="n"/>
      <c r="L27" s="25" t="n"/>
    </row>
    <row r="28">
      <c r="A28" s="5" t="inlineStr">
        <is>
          <t>Max HP (HP_max)</t>
        </is>
      </c>
      <c r="B28" s="25" t="n"/>
      <c r="C28" s="8">
        <f>8+2*$E$14+$E$4</f>
        <v/>
      </c>
      <c r="D28" s="5" t="inlineStr">
        <is>
          <t>Health State Cap (HS_max)</t>
        </is>
      </c>
      <c r="E28" s="25" t="n"/>
      <c r="F28" s="8">
        <f>IF(L28="Yes",1,2)</f>
        <v/>
      </c>
      <c r="G28" s="5" t="inlineStr">
        <is>
          <t>Action Point Cap (AP_max)</t>
        </is>
      </c>
      <c r="H28" s="25" t="n"/>
      <c r="I28" s="8">
        <f>IF(L29="Yes",3,4)</f>
        <v/>
      </c>
      <c r="J28" s="5" t="inlineStr">
        <is>
          <t>Broken state?</t>
        </is>
      </c>
      <c r="K28" s="25" t="n"/>
      <c r="L28" s="6" t="inlineStr">
        <is>
          <t>No</t>
        </is>
      </c>
    </row>
    <row r="29">
      <c r="A29" s="5" t="inlineStr">
        <is>
          <t>Move (MOV)</t>
        </is>
      </c>
      <c r="B29" s="25" t="n"/>
      <c r="C29" s="8">
        <f>6+INT($F$10/2)</f>
        <v/>
      </c>
      <c r="D29" s="5" t="inlineStr">
        <is>
          <t>Sprint (SPR)</t>
        </is>
      </c>
      <c r="E29" s="25" t="n"/>
      <c r="F29" s="8">
        <f>(6+INT($F$10/2))*2</f>
        <v/>
      </c>
      <c r="G29" s="5" t="inlineStr">
        <is>
          <t>Repair Efficiency (REP)</t>
        </is>
      </c>
      <c r="H29" s="25" t="n"/>
      <c r="I29" s="8">
        <f>$F$11+$D$18</f>
        <v/>
      </c>
      <c r="J29" s="5" t="inlineStr">
        <is>
          <t>Currently in Chase?</t>
        </is>
      </c>
      <c r="K29" s="25" t="n"/>
      <c r="L29" s="6" t="inlineStr">
        <is>
          <t>No</t>
        </is>
      </c>
    </row>
    <row r="30">
      <c r="A30" s="5" t="inlineStr">
        <is>
          <t>Heal Efficiency (HEAL)</t>
        </is>
      </c>
      <c r="B30" s="25" t="n"/>
      <c r="C30" s="8">
        <f>$F$13+$D$19</f>
        <v/>
      </c>
      <c r="D30" s="5" t="inlineStr">
        <is>
          <t>Passive Stealth (PSTL)</t>
        </is>
      </c>
      <c r="E30" s="25" t="n"/>
      <c r="F30" s="8">
        <f>8+$F$12+$D$20</f>
        <v/>
      </c>
      <c r="G30" s="5" t="inlineStr">
        <is>
          <t>Passive Perception (PPER)</t>
        </is>
      </c>
      <c r="H30" s="25" t="n"/>
      <c r="I30" s="8">
        <f>8+$F$13+$D$25</f>
        <v/>
      </c>
    </row>
    <row r="31">
      <c r="A31" s="5" t="inlineStr">
        <is>
          <t>Fear Resistance (FRES)</t>
        </is>
      </c>
      <c r="B31" s="25" t="n"/>
      <c r="C31" s="8">
        <f>10+$F$14+$D$24</f>
        <v/>
      </c>
      <c r="D31" s="5" t="inlineStr">
        <is>
          <t>Chase Check Mod (CHS)</t>
        </is>
      </c>
      <c r="E31" s="25" t="n"/>
      <c r="F31" s="8">
        <f>$F$10+$D$21</f>
        <v/>
      </c>
      <c r="G31" s="5" t="inlineStr">
        <is>
          <t>Wiggle Check Mod (WIG)</t>
        </is>
      </c>
      <c r="H31" s="25" t="n"/>
      <c r="I31" s="8">
        <f>$F$10+$D$22</f>
        <v/>
      </c>
    </row>
    <row r="32">
      <c r="A32" s="5" t="inlineStr">
        <is>
          <t>Hook Survival Rounds (HKS)</t>
        </is>
      </c>
      <c r="B32" s="25" t="n"/>
      <c r="C32" s="8">
        <f>(8-$G$4)+INT($F$14/2)</f>
        <v/>
      </c>
      <c r="D32" s="5" t="inlineStr">
        <is>
          <t>Self-Unhook Difficulty Class (DC)</t>
        </is>
      </c>
      <c r="E32" s="25" t="n"/>
      <c r="F32" s="8">
        <f>20-(4-$G$4)</f>
        <v/>
      </c>
      <c r="G32" s="5" t="inlineStr">
        <is>
          <t>Load Cap (LOAD)</t>
        </is>
      </c>
      <c r="H32" s="25" t="n"/>
      <c r="I32" s="8">
        <f>2+IF($E$3="Artificer (ART)",1,0)</f>
        <v/>
      </c>
    </row>
    <row r="33">
      <c r="A33" s="11" t="inlineStr">
        <is>
          <t>Action Point (AP): 4 per round when not in chase, 3 in chase. Health State (HS): Healthy → Injured → Dying; when Broken, cannot be healed at all.</t>
        </is>
      </c>
      <c r="B33" s="24" t="n"/>
      <c r="C33" s="24" t="n"/>
      <c r="D33" s="24" t="n"/>
      <c r="E33" s="24" t="n"/>
      <c r="F33" s="24" t="n"/>
      <c r="G33" s="24" t="n"/>
      <c r="H33" s="24" t="n"/>
      <c r="I33" s="24" t="n"/>
      <c r="J33" s="24" t="n"/>
      <c r="K33" s="24" t="n"/>
      <c r="L33" s="25" t="n"/>
    </row>
    <row r="34" ht="20" customHeight="1">
      <c r="A34" s="13" t="inlineStr">
        <is>
          <t>IV. Trial Tracker — cleared at the start of each Trial</t>
        </is>
      </c>
      <c r="B34" s="24" t="n"/>
      <c r="C34" s="24" t="n"/>
      <c r="D34" s="24" t="n"/>
      <c r="E34" s="24" t="n"/>
      <c r="F34" s="24" t="n"/>
      <c r="G34" s="24" t="n"/>
      <c r="H34" s="24" t="n"/>
      <c r="I34" s="24" t="n"/>
      <c r="J34" s="24" t="n"/>
      <c r="K34" s="24" t="n"/>
      <c r="L34" s="25" t="n"/>
    </row>
    <row r="35">
      <c r="A35" s="5" t="inlineStr">
        <is>
          <t>Current Health State</t>
        </is>
      </c>
      <c r="B35" s="25" t="n"/>
      <c r="C35" s="6" t="n"/>
      <c r="D35" s="17" t="inlineStr">
        <is>
          <t>Healthy / Injured / Dying</t>
        </is>
      </c>
      <c r="E35" s="24" t="n"/>
      <c r="F35" s="25" t="n"/>
      <c r="G35" s="5" t="inlineStr">
        <is>
          <t>Current HP (HP)</t>
        </is>
      </c>
      <c r="H35" s="25" t="n"/>
      <c r="I35" s="6" t="n"/>
      <c r="J35" s="17" t="inlineStr"/>
      <c r="K35" s="24" t="n"/>
      <c r="L35" s="25" t="n"/>
    </row>
    <row r="36">
      <c r="A36" s="5" t="inlineStr">
        <is>
          <t>Hook Count This Trial</t>
        </is>
      </c>
      <c r="B36" s="25" t="n"/>
      <c r="C36" s="6" t="n"/>
      <c r="D36" s="17" t="inlineStr">
        <is>
          <t>0 / 1 / 2 (third = Sacrifice)</t>
        </is>
      </c>
      <c r="E36" s="24" t="n"/>
      <c r="F36" s="25" t="n"/>
      <c r="G36" s="5" t="inlineStr">
        <is>
          <t>Hook Phase Timer</t>
        </is>
      </c>
      <c r="H36" s="25" t="n"/>
      <c r="I36" s="6" t="n"/>
      <c r="J36" s="17" t="inlineStr">
        <is>
          <t>round(s)</t>
        </is>
      </c>
      <c r="K36" s="24" t="n"/>
      <c r="L36" s="25" t="n"/>
    </row>
    <row r="37">
      <c r="A37" s="5" t="inlineStr">
        <is>
          <t>Current Distance Band (DB)</t>
        </is>
      </c>
      <c r="B37" s="25" t="n"/>
      <c r="C37" s="6" t="n"/>
      <c r="D37" s="17" t="inlineStr">
        <is>
          <t>Contact / Near / Mid / Far / Escaped</t>
        </is>
      </c>
      <c r="E37" s="24" t="n"/>
      <c r="F37" s="25" t="n"/>
      <c r="G37" s="5" t="inlineStr">
        <is>
          <t>Consecutive Chase Rounds</t>
        </is>
      </c>
      <c r="H37" s="25" t="n"/>
      <c r="I37" s="6" t="n"/>
      <c r="J37" s="17" t="inlineStr">
        <is>
          <t>for Bloodlust check</t>
        </is>
      </c>
      <c r="K37" s="24" t="n"/>
      <c r="L37" s="25" t="n"/>
    </row>
    <row r="38">
      <c r="A38" s="5" t="inlineStr">
        <is>
          <t>Remaining Action Point (AP)</t>
        </is>
      </c>
      <c r="B38" s="25" t="n"/>
      <c r="C38" s="6" t="n"/>
      <c r="D38" s="17" t="inlineStr"/>
      <c r="E38" s="24" t="n"/>
      <c r="F38" s="25" t="n"/>
      <c r="G38" s="5" t="inlineStr">
        <is>
          <t>Persistence Bonus (PB) rounds</t>
        </is>
      </c>
      <c r="H38" s="25" t="n"/>
      <c r="I38" s="6" t="n"/>
      <c r="J38" s="17" t="inlineStr">
        <is>
          <t>consecutive same-action rounds −1, cap +3</t>
        </is>
      </c>
      <c r="K38" s="24" t="n"/>
      <c r="L38" s="25" t="n"/>
    </row>
    <row r="39"/>
    <row r="40" ht="20" customHeight="1">
      <c r="A40" s="13" t="inlineStr">
        <is>
          <t>V. Perks (Perk) — slot count opens by Prestige (PRS): 1 at start, +1 each at Prestige 5 / 10 / 15</t>
        </is>
      </c>
      <c r="B40" s="24" t="n"/>
      <c r="C40" s="24" t="n"/>
      <c r="D40" s="24" t="n"/>
      <c r="E40" s="24" t="n"/>
      <c r="F40" s="24" t="n"/>
      <c r="G40" s="24" t="n"/>
      <c r="H40" s="24" t="n"/>
      <c r="I40" s="24" t="n"/>
      <c r="J40" s="24" t="n"/>
      <c r="K40" s="24" t="n"/>
      <c r="L40" s="25" t="n"/>
    </row>
    <row r="41">
      <c r="A41" s="5" t="inlineStr">
        <is>
          <t>Slot</t>
        </is>
      </c>
      <c r="B41" s="5" t="inlineStr">
        <is>
          <t>Perk Name</t>
        </is>
      </c>
      <c r="C41" s="24" t="n"/>
      <c r="D41" s="25" t="n"/>
      <c r="E41" s="5" t="inlineStr">
        <is>
          <t>Tier</t>
        </is>
      </c>
      <c r="F41" s="5" t="inlineStr">
        <is>
          <t>Effect Summary</t>
        </is>
      </c>
      <c r="G41" s="24" t="n"/>
      <c r="H41" s="24" t="n"/>
      <c r="I41" s="24" t="n"/>
      <c r="J41" s="24" t="n"/>
      <c r="K41" s="24" t="n"/>
      <c r="L41" s="25" t="n"/>
    </row>
    <row r="42">
      <c r="A42" s="5" t="inlineStr">
        <is>
          <t>1 | Initial</t>
        </is>
      </c>
      <c r="B42" s="17" t="inlineStr">
        <is>
          <t>Sneak the Take (TALENT-S15)</t>
        </is>
      </c>
      <c r="C42" s="24" t="n"/>
      <c r="D42" s="25" t="n"/>
      <c r="E42" s="6" t="inlineStr">
        <is>
          <t>Tier 2</t>
        </is>
      </c>
      <c r="F42" s="17" t="inlineStr">
        <is>
          <t>When searching a Chest (Chest), Rarity roll result +1 Tier; automatically learn the position of all Chests and ground Items within 4 Distance Bands.</t>
        </is>
      </c>
      <c r="G42" s="24" t="n"/>
      <c r="H42" s="24" t="n"/>
      <c r="I42" s="24" t="n"/>
      <c r="J42" s="24" t="n"/>
      <c r="K42" s="24" t="n"/>
      <c r="L42" s="25" t="n"/>
    </row>
    <row r="43">
      <c r="A43" s="5" t="inlineStr">
        <is>
          <t>2 | Prestige 5</t>
        </is>
      </c>
      <c r="B43" s="17" t="inlineStr">
        <is>
          <t>Alley Guerrilla (TALENT-S13)</t>
        </is>
      </c>
      <c r="C43" s="24" t="n"/>
      <c r="D43" s="25" t="n"/>
      <c r="E43" s="6" t="inlineStr">
        <is>
          <t>Tier 1</t>
        </is>
      </c>
      <c r="F43" s="17" t="inlineStr">
        <is>
          <t>While Moving inside buildings or narrow terrain, leaves no Scratch Marks (Scratch Mark).</t>
        </is>
      </c>
      <c r="G43" s="24" t="n"/>
      <c r="H43" s="24" t="n"/>
      <c r="I43" s="24" t="n"/>
      <c r="J43" s="24" t="n"/>
      <c r="K43" s="24" t="n"/>
      <c r="L43" s="25" t="n"/>
    </row>
    <row r="44">
      <c r="A44" s="5" t="inlineStr">
        <is>
          <t>3 | Prestige 10</t>
        </is>
      </c>
      <c r="B44" s="17" t="inlineStr"/>
      <c r="C44" s="24" t="n"/>
      <c r="D44" s="25" t="n"/>
      <c r="E44" s="6" t="inlineStr"/>
      <c r="F44" s="17" t="inlineStr"/>
      <c r="G44" s="24" t="n"/>
      <c r="H44" s="24" t="n"/>
      <c r="I44" s="24" t="n"/>
      <c r="J44" s="24" t="n"/>
      <c r="K44" s="24" t="n"/>
      <c r="L44" s="25" t="n"/>
    </row>
    <row r="45">
      <c r="A45" s="5" t="inlineStr">
        <is>
          <t>4 | Prestige 15</t>
        </is>
      </c>
      <c r="B45" s="17" t="inlineStr"/>
      <c r="C45" s="24" t="n"/>
      <c r="D45" s="25" t="n"/>
      <c r="E45" s="6" t="inlineStr"/>
      <c r="F45" s="17" t="inlineStr"/>
      <c r="G45" s="24" t="n"/>
      <c r="H45" s="24" t="n"/>
      <c r="I45" s="24" t="n"/>
      <c r="J45" s="24" t="n"/>
      <c r="K45" s="24" t="n"/>
      <c r="L45" s="25" t="n"/>
    </row>
    <row r="46">
      <c r="A46" s="11" t="inlineStr">
        <is>
          <t>Perks have three tiers: Tier 1 (Common) / Tier 2 (Uncommon) / Tier 3 (Very Rare). In the Tier column write Tier 1 / Tier 2 / Tier 3. See the Perk Codex. In a Solo Trial (Setup 1), perks that involve allies instead target the Echo Companion; if no Echo Companion is present, use the perk's solo-variant clause.</t>
        </is>
      </c>
      <c r="B46" s="24" t="n"/>
      <c r="C46" s="24" t="n"/>
      <c r="D46" s="24" t="n"/>
      <c r="E46" s="24" t="n"/>
      <c r="F46" s="24" t="n"/>
      <c r="G46" s="24" t="n"/>
      <c r="H46" s="24" t="n"/>
      <c r="I46" s="24" t="n"/>
      <c r="J46" s="24" t="n"/>
      <c r="K46" s="24" t="n"/>
      <c r="L46" s="25" t="n"/>
    </row>
    <row r="47" ht="20" customHeight="1">
      <c r="A47" s="13" t="inlineStr">
        <is>
          <t>VI. Carried Items &amp; Add-ons (Item &amp; Add-on) — Load (LOAD) cap see Derived Values</t>
        </is>
      </c>
      <c r="B47" s="24" t="n"/>
      <c r="C47" s="24" t="n"/>
      <c r="D47" s="24" t="n"/>
      <c r="E47" s="24" t="n"/>
      <c r="F47" s="24" t="n"/>
      <c r="G47" s="24" t="n"/>
      <c r="H47" s="24" t="n"/>
      <c r="I47" s="24" t="n"/>
      <c r="J47" s="24" t="n"/>
      <c r="K47" s="24" t="n"/>
      <c r="L47" s="25" t="n"/>
    </row>
    <row r="48">
      <c r="A48" s="5" t="inlineStr">
        <is>
          <t>Item Name</t>
        </is>
      </c>
      <c r="B48" s="24" t="n"/>
      <c r="C48" s="25" t="n"/>
      <c r="D48" s="5" t="inlineStr">
        <is>
          <t>Type</t>
        </is>
      </c>
      <c r="E48" s="25" t="n"/>
      <c r="F48" s="5" t="inlineStr">
        <is>
          <t>Rarity</t>
        </is>
      </c>
      <c r="G48" s="5" t="inlineStr">
        <is>
          <t>Charge (CHG)</t>
        </is>
      </c>
      <c r="H48" s="5" t="inlineStr">
        <is>
          <t>Add-on 1</t>
        </is>
      </c>
      <c r="I48" s="25" t="n"/>
      <c r="J48" s="5" t="inlineStr">
        <is>
          <t>Add-on 2</t>
        </is>
      </c>
      <c r="K48" s="24" t="n"/>
      <c r="L48" s="25" t="n"/>
    </row>
    <row r="49">
      <c r="A49" s="17" t="inlineStr">
        <is>
          <t>Toolbox (TBX)</t>
        </is>
      </c>
      <c r="B49" s="24" t="n"/>
      <c r="C49" s="25" t="n"/>
      <c r="D49" s="6" t="inlineStr">
        <is>
          <t>Repair</t>
        </is>
      </c>
      <c r="E49" s="25" t="n"/>
      <c r="F49" s="6" t="inlineStr">
        <is>
          <t>Rare</t>
        </is>
      </c>
      <c r="G49" s="6" t="n">
        <v>10</v>
      </c>
      <c r="H49" s="17" t="inlineStr">
        <is>
          <t>Electric Screwdriver</t>
        </is>
      </c>
      <c r="I49" s="25" t="n"/>
      <c r="J49" s="17" t="inlineStr"/>
      <c r="K49" s="24" t="n"/>
      <c r="L49" s="25" t="n"/>
    </row>
    <row r="50">
      <c r="A50" s="17" t="inlineStr">
        <is>
          <t>Flare (FLR)</t>
        </is>
      </c>
      <c r="B50" s="24" t="n"/>
      <c r="C50" s="25" t="n"/>
      <c r="D50" s="6" t="inlineStr">
        <is>
          <t>Special</t>
        </is>
      </c>
      <c r="E50" s="25" t="n"/>
      <c r="F50" s="6" t="inlineStr">
        <is>
          <t>Common</t>
        </is>
      </c>
      <c r="G50" s="6" t="n">
        <v>1</v>
      </c>
      <c r="H50" s="17" t="inlineStr"/>
      <c r="I50" s="25" t="n"/>
      <c r="J50" s="17" t="inlineStr"/>
      <c r="K50" s="24" t="n"/>
      <c r="L50" s="25" t="n"/>
    </row>
    <row r="51">
      <c r="A51" s="17" t="inlineStr"/>
      <c r="B51" s="24" t="n"/>
      <c r="C51" s="25" t="n"/>
      <c r="D51" s="6" t="inlineStr"/>
      <c r="E51" s="25" t="n"/>
      <c r="F51" s="6" t="inlineStr"/>
      <c r="G51" s="6" t="inlineStr"/>
      <c r="H51" s="17" t="inlineStr"/>
      <c r="I51" s="25" t="n"/>
      <c r="J51" s="17" t="inlineStr"/>
      <c r="K51" s="24" t="n"/>
      <c r="L51" s="25" t="n"/>
    </row>
    <row r="52">
      <c r="A52" s="17" t="inlineStr"/>
      <c r="B52" s="24" t="n"/>
      <c r="C52" s="25" t="n"/>
      <c r="D52" s="6" t="inlineStr"/>
      <c r="E52" s="25" t="n"/>
      <c r="F52" s="6" t="inlineStr"/>
      <c r="G52" s="6" t="inlineStr"/>
      <c r="H52" s="17" t="inlineStr"/>
      <c r="I52" s="25" t="n"/>
      <c r="J52" s="17" t="inlineStr"/>
      <c r="K52" s="24" t="n"/>
      <c r="L52" s="25" t="n"/>
    </row>
    <row r="53"/>
    <row r="54" ht="20" customHeight="1">
      <c r="A54" s="13" t="inlineStr">
        <is>
          <t>VII. Status Effects (Status Effect) — check those currently active and record remaining rounds</t>
        </is>
      </c>
      <c r="B54" s="24" t="n"/>
      <c r="C54" s="24" t="n"/>
      <c r="D54" s="24" t="n"/>
      <c r="E54" s="24" t="n"/>
      <c r="F54" s="24" t="n"/>
      <c r="G54" s="24" t="n"/>
      <c r="H54" s="24" t="n"/>
      <c r="I54" s="24" t="n"/>
      <c r="J54" s="24" t="n"/>
      <c r="K54" s="24" t="n"/>
      <c r="L54" s="25" t="n"/>
    </row>
    <row r="55">
      <c r="A55" s="5" t="inlineStr">
        <is>
          <t>Broken</t>
        </is>
      </c>
      <c r="B55" s="24" t="n"/>
      <c r="C55" s="25" t="n"/>
      <c r="D55" s="6" t="n"/>
      <c r="E55" s="5" t="inlineStr">
        <is>
          <t>Deep Wound</t>
        </is>
      </c>
      <c r="F55" s="24" t="n"/>
      <c r="G55" s="25" t="n"/>
      <c r="H55" s="6" t="n"/>
      <c r="I55" s="5" t="inlineStr">
        <is>
          <t>Exhausted</t>
        </is>
      </c>
      <c r="J55" s="24" t="n"/>
      <c r="K55" s="25" t="n"/>
      <c r="L55" s="6" t="n"/>
    </row>
    <row r="56">
      <c r="A56" s="5" t="inlineStr">
        <is>
          <t>Blindness</t>
        </is>
      </c>
      <c r="B56" s="24" t="n"/>
      <c r="C56" s="25" t="n"/>
      <c r="D56" s="6" t="n"/>
      <c r="E56" s="5" t="inlineStr">
        <is>
          <t>Haemorrhage</t>
        </is>
      </c>
      <c r="F56" s="24" t="n"/>
      <c r="G56" s="25" t="n"/>
      <c r="H56" s="6" t="n"/>
      <c r="I56" s="5" t="inlineStr">
        <is>
          <t>Endurance</t>
        </is>
      </c>
      <c r="J56" s="24" t="n"/>
      <c r="K56" s="25" t="n"/>
      <c r="L56" s="6" t="n"/>
    </row>
    <row r="57">
      <c r="A57" s="5" t="inlineStr">
        <is>
          <t>Haste</t>
        </is>
      </c>
      <c r="B57" s="24" t="n"/>
      <c r="C57" s="25" t="n"/>
      <c r="D57" s="6" t="n"/>
      <c r="E57" s="5" t="inlineStr">
        <is>
          <t>Hindered</t>
        </is>
      </c>
      <c r="F57" s="24" t="n"/>
      <c r="G57" s="25" t="n"/>
      <c r="H57" s="6" t="n"/>
      <c r="I57" s="5" t="inlineStr">
        <is>
          <t>Exposed</t>
        </is>
      </c>
      <c r="J57" s="24" t="n"/>
      <c r="K57" s="25" t="n"/>
      <c r="L57" s="6" t="n"/>
    </row>
    <row r="58">
      <c r="A58" s="5" t="inlineStr">
        <is>
          <t>Mangled</t>
        </is>
      </c>
      <c r="B58" s="24" t="n"/>
      <c r="C58" s="25" t="n"/>
      <c r="D58" s="6" t="n"/>
      <c r="E58" s="5" t="inlineStr">
        <is>
          <t>Madness</t>
        </is>
      </c>
      <c r="F58" s="24" t="n"/>
      <c r="G58" s="25" t="n"/>
      <c r="H58" s="6" t="n"/>
      <c r="I58" s="5" t="inlineStr">
        <is>
          <t>Trembling</t>
        </is>
      </c>
      <c r="J58" s="24" t="n"/>
      <c r="K58" s="25" t="n"/>
      <c r="L58" s="6" t="n"/>
    </row>
    <row r="59"/>
    <row r="60" ht="20" customHeight="1">
      <c r="A60" s="13" t="inlineStr">
        <is>
          <t>VIII. Background &amp; Notes</t>
        </is>
      </c>
      <c r="B60" s="24" t="n"/>
      <c r="C60" s="24" t="n"/>
      <c r="D60" s="24" t="n"/>
      <c r="E60" s="24" t="n"/>
      <c r="F60" s="24" t="n"/>
      <c r="G60" s="24" t="n"/>
      <c r="H60" s="24" t="n"/>
      <c r="I60" s="24" t="n"/>
      <c r="J60" s="24" t="n"/>
      <c r="K60" s="24" t="n"/>
      <c r="L60" s="25" t="n"/>
    </row>
    <row r="61">
      <c r="A61" s="18" t="inlineStr">
        <is>
          <t>Cen Ye, 26, homeless, survives by dismantling and reselling scrap.
Since age fifteen he has never slept in the same place twice. He has an instinct for judging "where is safe," accurate enough to unsettle his social worker. On his first Trial night, that instinct told him: nowhere here is safe. He still survived, by a second instinct — judging "where is less dangerous."
[Solo Role] Passive Stealth (PSTL) reaches 14, the highest of any Archetype. "Sneak the Take" is extra important in Solo Trial — solo has no teammates to share Items with, so Chest output is the whole supply.</t>
        </is>
      </c>
      <c r="B61" s="31" t="n"/>
      <c r="C61" s="31" t="n"/>
      <c r="D61" s="31" t="n"/>
      <c r="E61" s="31" t="n"/>
      <c r="F61" s="31" t="n"/>
      <c r="G61" s="31" t="n"/>
      <c r="H61" s="31" t="n"/>
      <c r="I61" s="31" t="n"/>
      <c r="J61" s="31" t="n"/>
      <c r="K61" s="31" t="n"/>
      <c r="L61" s="32" t="n"/>
    </row>
    <row r="62">
      <c r="A62" s="33" t="n"/>
      <c r="L62" s="34" t="n"/>
    </row>
    <row r="63">
      <c r="A63" s="33" t="n"/>
      <c r="L63" s="34" t="n"/>
    </row>
    <row r="64">
      <c r="A64" s="33" t="n"/>
      <c r="L64" s="34" t="n"/>
    </row>
    <row r="65">
      <c r="A65" s="33" t="n"/>
      <c r="L65" s="34" t="n"/>
    </row>
    <row r="66">
      <c r="A66" s="35" t="n"/>
      <c r="B66" s="36" t="n"/>
      <c r="C66" s="36" t="n"/>
      <c r="D66" s="36" t="n"/>
      <c r="E66" s="36" t="n"/>
      <c r="F66" s="36" t="n"/>
      <c r="G66" s="36" t="n"/>
      <c r="H66" s="36" t="n"/>
      <c r="I66" s="36" t="n"/>
      <c r="J66" s="36" t="n"/>
      <c r="K66" s="36" t="n"/>
      <c r="L66" s="37" t="n"/>
    </row>
  </sheetData>
  <mergeCells count="115">
    <mergeCell ref="B42:D42"/>
    <mergeCell ref="A15:B15"/>
    <mergeCell ref="G19:L19"/>
    <mergeCell ref="A46:L46"/>
    <mergeCell ref="I4:L4"/>
    <mergeCell ref="F43:L43"/>
    <mergeCell ref="J35:L35"/>
    <mergeCell ref="B44:D44"/>
    <mergeCell ref="J28:K28"/>
    <mergeCell ref="I56:K56"/>
    <mergeCell ref="D31:E31"/>
    <mergeCell ref="A26:C26"/>
    <mergeCell ref="A57:C57"/>
    <mergeCell ref="D37:F37"/>
    <mergeCell ref="G14:L14"/>
    <mergeCell ref="E57:G57"/>
    <mergeCell ref="J50:L50"/>
    <mergeCell ref="D48:E48"/>
    <mergeCell ref="H52:I52"/>
    <mergeCell ref="A52:C52"/>
    <mergeCell ref="J52:L52"/>
    <mergeCell ref="A61:L66"/>
    <mergeCell ref="E58:G58"/>
    <mergeCell ref="J48:L48"/>
    <mergeCell ref="A34:L34"/>
    <mergeCell ref="A35:B35"/>
    <mergeCell ref="F45:L45"/>
    <mergeCell ref="J38:L38"/>
    <mergeCell ref="A49:C49"/>
    <mergeCell ref="D51:E51"/>
    <mergeCell ref="A28:B28"/>
    <mergeCell ref="B43:D43"/>
    <mergeCell ref="A30:B30"/>
    <mergeCell ref="G10:L10"/>
    <mergeCell ref="G18:L18"/>
    <mergeCell ref="H50:I50"/>
    <mergeCell ref="A55:C55"/>
    <mergeCell ref="G38:H38"/>
    <mergeCell ref="A37:B37"/>
    <mergeCell ref="I6:L6"/>
    <mergeCell ref="H49:I49"/>
    <mergeCell ref="A2:C6"/>
    <mergeCell ref="G20:L20"/>
    <mergeCell ref="B45:D45"/>
    <mergeCell ref="G22:L22"/>
    <mergeCell ref="A58:C58"/>
    <mergeCell ref="E56:G56"/>
    <mergeCell ref="A40:L40"/>
    <mergeCell ref="G12:L12"/>
    <mergeCell ref="G21:L21"/>
    <mergeCell ref="A51:C51"/>
    <mergeCell ref="G35:H35"/>
    <mergeCell ref="A60:L60"/>
    <mergeCell ref="H48:I48"/>
    <mergeCell ref="D29:E29"/>
    <mergeCell ref="J37:L37"/>
    <mergeCell ref="G23:L23"/>
    <mergeCell ref="A16:L16"/>
    <mergeCell ref="J29:K29"/>
    <mergeCell ref="A36:B36"/>
    <mergeCell ref="A50:C50"/>
    <mergeCell ref="E2:G2"/>
    <mergeCell ref="I55:K55"/>
    <mergeCell ref="D52:E52"/>
    <mergeCell ref="D49:E49"/>
    <mergeCell ref="A47:L47"/>
    <mergeCell ref="G37:H37"/>
    <mergeCell ref="I2:L2"/>
    <mergeCell ref="G25:L25"/>
    <mergeCell ref="B41:D41"/>
    <mergeCell ref="G9:L9"/>
    <mergeCell ref="D35:F35"/>
    <mergeCell ref="A32:B32"/>
    <mergeCell ref="D28:E28"/>
    <mergeCell ref="G11:L11"/>
    <mergeCell ref="A38:B38"/>
    <mergeCell ref="D30:E30"/>
    <mergeCell ref="F41:L41"/>
    <mergeCell ref="G32:H32"/>
    <mergeCell ref="D36:F36"/>
    <mergeCell ref="I57:K57"/>
    <mergeCell ref="A54:L54"/>
    <mergeCell ref="A7:L7"/>
    <mergeCell ref="J49:L49"/>
    <mergeCell ref="J36:L36"/>
    <mergeCell ref="G13:L13"/>
    <mergeCell ref="A56:C56"/>
    <mergeCell ref="G36:H36"/>
    <mergeCell ref="I58:K58"/>
    <mergeCell ref="A27:L27"/>
    <mergeCell ref="G24:L24"/>
    <mergeCell ref="A33:L33"/>
    <mergeCell ref="F44:L44"/>
    <mergeCell ref="H51:I51"/>
    <mergeCell ref="A8:L8"/>
    <mergeCell ref="D32:E32"/>
    <mergeCell ref="G28:H28"/>
    <mergeCell ref="G26:L26"/>
    <mergeCell ref="J51:L51"/>
    <mergeCell ref="D38:F38"/>
    <mergeCell ref="G30:H30"/>
    <mergeCell ref="E3:G3"/>
    <mergeCell ref="F15:L15"/>
    <mergeCell ref="A48:C48"/>
    <mergeCell ref="F42:L42"/>
    <mergeCell ref="G29:H29"/>
    <mergeCell ref="E55:G55"/>
    <mergeCell ref="A29:B29"/>
    <mergeCell ref="I3:L3"/>
    <mergeCell ref="A1:L1"/>
    <mergeCell ref="G17:L17"/>
    <mergeCell ref="G31:H31"/>
    <mergeCell ref="D50:E50"/>
    <mergeCell ref="A31:B31"/>
    <mergeCell ref="I5:L5"/>
  </mergeCells>
  <dataValidations count="16">
    <dataValidation sqref="E3:G3" showDropDown="0" showInputMessage="0" showErrorMessage="0" allowBlank="1" type="list">
      <formula1>"號令者（LEA）,疾行者（SPR）,草藥師（HRB）,匠人（ART）,拾荒客（SCV）,退役兵（VET）"</formula1>
    </dataValidation>
    <dataValidation sqref="I3:L3" showDropDown="0" showInputMessage="0" showErrorMessage="0" allowBlank="1" type="list">
      <formula1>"機械師（REP）,守護者（RES）,幽影（STE）,磐石（END）,破襲手（SAB）,探路者（SCT）"</formula1>
    </dataValidation>
    <dataValidation sqref="L28:L29" showDropDown="0" showInputMessage="0" showErrorMessage="0" allowBlank="1" type="list">
      <formula1>"是,否"</formula1>
    </dataValidation>
    <dataValidation sqref="C35" showDropDown="0" showInputMessage="0" showErrorMessage="0" allowBlank="1" type="list">
      <formula1>"健康,受傷,瀕死"</formula1>
    </dataValidation>
    <dataValidation sqref="D55" showDropDown="0" showInputMessage="0" showErrorMessage="0" allowBlank="1" type="list">
      <formula1>",生效,1,2,3,4,5"</formula1>
    </dataValidation>
    <dataValidation sqref="H55" showDropDown="0" showInputMessage="0" showErrorMessage="0" allowBlank="1" type="list">
      <formula1>",生效,1,2,3,4,5"</formula1>
    </dataValidation>
    <dataValidation sqref="L55" showDropDown="0" showInputMessage="0" showErrorMessage="0" allowBlank="1" type="list">
      <formula1>",生效,1,2,3,4,5"</formula1>
    </dataValidation>
    <dataValidation sqref="D56" showDropDown="0" showInputMessage="0" showErrorMessage="0" allowBlank="1" type="list">
      <formula1>",生效,1,2,3,4,5"</formula1>
    </dataValidation>
    <dataValidation sqref="H56" showDropDown="0" showInputMessage="0" showErrorMessage="0" allowBlank="1" type="list">
      <formula1>",生效,1,2,3,4,5"</formula1>
    </dataValidation>
    <dataValidation sqref="L56" showDropDown="0" showInputMessage="0" showErrorMessage="0" allowBlank="1" type="list">
      <formula1>",生效,1,2,3,4,5"</formula1>
    </dataValidation>
    <dataValidation sqref="D57" showDropDown="0" showInputMessage="0" showErrorMessage="0" allowBlank="1" type="list">
      <formula1>",生效,1,2,3,4,5"</formula1>
    </dataValidation>
    <dataValidation sqref="H57" showDropDown="0" showInputMessage="0" showErrorMessage="0" allowBlank="1" type="list">
      <formula1>",生效,1,2,3,4,5"</formula1>
    </dataValidation>
    <dataValidation sqref="L57" showDropDown="0" showInputMessage="0" showErrorMessage="0" allowBlank="1" type="list">
      <formula1>",生效,1,2,3,4,5"</formula1>
    </dataValidation>
    <dataValidation sqref="D58" showDropDown="0" showInputMessage="0" showErrorMessage="0" allowBlank="1" type="list">
      <formula1>",生效,1,2,3,4,5"</formula1>
    </dataValidation>
    <dataValidation sqref="H58" showDropDown="0" showInputMessage="0" showErrorMessage="0" allowBlank="1" type="list">
      <formula1>",生效,1,2,3,4,5"</formula1>
    </dataValidation>
    <dataValidation sqref="L58" showDropDown="0" showInputMessage="0" showErrorMessage="0" allowBlank="1" type="list">
      <formula1>",生效,1,2,3,4,5"</formula1>
    </dataValidation>
  </dataValidations>
  <printOptions horizontalCentered="1"/>
  <pageMargins left="0.75" right="0.75" top="1" bottom="1" header="0.5" footer="0.5"/>
  <pageSetup orientation="portrait"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2026-08-01T19:18:30Z</dcterms:created>
  <dcterms:modified xsi:type="dcterms:W3CDTF">2026-08-07T16:01:33Z</dcterms:modified>
</cp:coreProperties>
</file>