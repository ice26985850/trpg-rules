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Index" sheetId="1" state="visible" r:id="rId1"/>
    <sheet name="Ironfire" sheetId="2" state="visible" r:id="rId2"/>
    <sheet name="Elinor" sheetId="3" state="visible" r:id="rId3"/>
    <sheet name="Moondew" sheetId="4" state="visible" r:id="rId4"/>
    <sheet name="Pinky" sheetId="5" state="visible" r:id="rId5"/>
    <sheet name="Steelmane" sheetId="6" state="visible" r:id="rId6"/>
    <sheet name="Old Bookwor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8B0000"/>
      <sz val="16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color rgb="00888888"/>
      <sz val="9"/>
    </font>
    <font>
      <name val="Microsoft YaHei"/>
      <color rgb="000044CC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45" customWidth="1" min="5" max="5"/>
  </cols>
  <sheetData>
    <row r="1">
      <c r="A1" s="1" t="inlineStr">
        <is>
          <t>Hearthside Tales — Sample Player Character</t>
        </is>
      </c>
    </row>
    <row r="2"/>
    <row r="3">
      <c r="A3" s="2" t="inlineStr">
        <is>
          <t>Character</t>
        </is>
      </c>
      <c r="B3" s="2" t="inlineStr">
        <is>
          <t>Race</t>
        </is>
      </c>
      <c r="C3" s="2" t="inlineStr">
        <is>
          <t>Class</t>
        </is>
      </c>
      <c r="D3" s="2" t="inlineStr">
        <is>
          <t>Shop</t>
        </is>
      </c>
      <c r="E3" s="2" t="inlineStr">
        <is>
          <t>One line</t>
        </is>
      </c>
    </row>
    <row r="4">
      <c r="A4" s="3" t="inlineStr">
        <is>
          <t>Ironfire</t>
        </is>
      </c>
      <c r="B4" s="3" t="inlineStr">
        <is>
          <t>Human</t>
        </is>
      </c>
      <c r="C4" s="3" t="inlineStr">
        <is>
          <t>Cook</t>
        </is>
      </c>
      <c r="D4" s="3" t="inlineStr">
        <is>
          <t>Ironfire Pavilion</t>
        </is>
      </c>
      <c r="E4" s="3" t="inlineStr">
        <is>
          <t>Arrow in the knee; keeping the living fed matters more.</t>
        </is>
      </c>
    </row>
    <row r="5">
      <c r="A5" s="3" t="inlineStr">
        <is>
          <t>Elinor</t>
        </is>
      </c>
      <c r="B5" s="3" t="inlineStr">
        <is>
          <t>Dwarf</t>
        </is>
      </c>
      <c r="C5" s="3" t="inlineStr">
        <is>
          <t>Smith</t>
        </is>
      </c>
      <c r="D5" s="3" t="inlineStr">
        <is>
          <t>Steel Furnace &amp; Quenching</t>
        </is>
      </c>
      <c r="E5" s="3" t="inlineStr">
        <is>
          <t>Legion forge-master who inherited dwarven craft</t>
        </is>
      </c>
    </row>
    <row r="6">
      <c r="A6" s="3" t="inlineStr">
        <is>
          <t>Moondew</t>
        </is>
      </c>
      <c r="B6" s="3" t="inlineStr">
        <is>
          <t>Elf</t>
        </is>
      </c>
      <c r="C6" s="3" t="inlineStr">
        <is>
          <t>Alchemist</t>
        </is>
      </c>
      <c r="D6" s="3" t="inlineStr">
        <is>
          <t>Moondew's Shop</t>
        </is>
      </c>
      <c r="E6" s="3" t="inlineStr">
        <is>
          <t>A field medic who set down her medicine case for love.</t>
        </is>
      </c>
    </row>
    <row r="7">
      <c r="A7" s="3" t="inlineStr">
        <is>
          <t>Pinky</t>
        </is>
      </c>
      <c r="B7" s="3" t="inlineStr">
        <is>
          <t>Halfling</t>
        </is>
      </c>
      <c r="C7" s="3" t="inlineStr">
        <is>
          <t>Merchant</t>
        </is>
      </c>
      <c r="D7" s="3" t="inlineStr">
        <is>
          <t>Piper's Odd-Jobs</t>
        </is>
      </c>
      <c r="E7" s="3" t="inlineStr">
        <is>
          <t>A merchant betrayed but whose nose still works.</t>
        </is>
      </c>
    </row>
    <row r="8">
      <c r="A8" s="3" t="inlineStr">
        <is>
          <t>Steelmane</t>
        </is>
      </c>
      <c r="B8" s="3" t="inlineStr">
        <is>
          <t>Half-Orc</t>
        </is>
      </c>
      <c r="C8" s="3" t="inlineStr">
        <is>
          <t>Gatherer</t>
        </is>
      </c>
      <c r="D8" s="3" t="inlineStr">
        <is>
          <t>Wilderness Canteen</t>
        </is>
      </c>
      <c r="E8" s="3" t="inlineStr">
        <is>
          <t>A silent hunter who inherited his master's hunting blade.</t>
        </is>
      </c>
    </row>
    <row r="9">
      <c r="A9" s="3" t="inlineStr">
        <is>
          <t>Old Bookworm</t>
        </is>
      </c>
      <c r="B9" s="3" t="inlineStr">
        <is>
          <t>Human</t>
        </is>
      </c>
      <c r="C9" s="3" t="inlineStr">
        <is>
          <t>Researcher</t>
        </is>
      </c>
      <c r="D9" s="3" t="inlineStr">
        <is>
          <t>Old-Paper-Pile Workshop</t>
        </is>
      </c>
      <c r="E9" s="3" t="inlineStr">
        <is>
          <t>Read recipes for thirty years and wants to write her own.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4" t="inlineStr">
        <is>
          <t>Character Name</t>
        </is>
      </c>
      <c r="B4" s="5" t="inlineStr">
        <is>
          <t>Ironfire</t>
        </is>
      </c>
      <c r="D4" s="4" t="inlineStr">
        <is>
          <t>Race</t>
        </is>
      </c>
      <c r="E4" s="5" t="inlineStr">
        <is>
          <t>Human</t>
        </is>
      </c>
    </row>
    <row r="5">
      <c r="A5" s="4" t="inlineStr">
        <is>
          <t>Primary Class</t>
        </is>
      </c>
      <c r="B5" s="5" t="inlineStr">
        <is>
          <t>Cook</t>
        </is>
      </c>
      <c r="D5" s="4" t="inlineStr">
        <is>
          <t>Side Class</t>
        </is>
      </c>
      <c r="E5" s="5" t="inlineStr"/>
    </row>
    <row r="6">
      <c r="A6" s="4" t="inlineStr">
        <is>
          <t>Shop</t>
        </is>
      </c>
      <c r="B6" s="5" t="inlineStr">
        <is>
          <t>Ironfire Pavilion</t>
        </is>
      </c>
      <c r="D6" s="4" t="inlineStr">
        <is>
          <t>Location</t>
        </is>
      </c>
      <c r="E6" s="5" t="inlineStr">
        <is>
          <t>Watchkeep</t>
        </is>
      </c>
    </row>
    <row r="7"/>
    <row r="8">
      <c r="A8" s="2" t="inlineStr">
        <is>
          <t>Attributes (yellow = input)</t>
        </is>
      </c>
      <c r="B8" s="10" t="n"/>
      <c r="C8" s="11" t="n"/>
      <c r="D8" s="4" t="inlineStr">
        <is>
          <t>Growth Tick</t>
        </is>
      </c>
      <c r="E8" s="4" t="inlineStr">
        <is>
          <t>Goal</t>
        </is>
      </c>
    </row>
    <row r="9">
      <c r="A9" s="4" t="inlineStr">
        <is>
          <t>Craft</t>
        </is>
      </c>
      <c r="B9" s="6" t="n">
        <v>5</v>
      </c>
      <c r="C9" s="7" t="inlineStr">
        <is>
          <t>Handicraft / Fine Manipulation</t>
        </is>
      </c>
      <c r="D9" s="6" t="n">
        <v>0</v>
      </c>
      <c r="E9" s="7" t="inlineStr">
        <is>
          <t>—</t>
        </is>
      </c>
    </row>
    <row r="10">
      <c r="A10" s="4" t="inlineStr">
        <is>
          <t>Appraisal</t>
        </is>
      </c>
      <c r="B10" s="6" t="n">
        <v>2</v>
      </c>
      <c r="C10" s="7" t="inlineStr">
        <is>
          <t>Discern / Authenticity / Knowledge</t>
        </is>
      </c>
      <c r="D10" s="6" t="n">
        <v>0</v>
      </c>
      <c r="E10" s="7" t="n">
        <v>8</v>
      </c>
    </row>
    <row r="11">
      <c r="A11" s="4" t="inlineStr">
        <is>
          <t>Social</t>
        </is>
      </c>
      <c r="B11" s="6" t="n">
        <v>2</v>
      </c>
      <c r="C11" s="7" t="inlineStr">
        <is>
          <t>Communication / Charm / Negotiation</t>
        </is>
      </c>
      <c r="D11" s="6" t="n">
        <v>0</v>
      </c>
      <c r="E11" s="7" t="n">
        <v>8</v>
      </c>
    </row>
    <row r="12">
      <c r="A12" s="4" t="inlineStr">
        <is>
          <t>Inspiration</t>
        </is>
      </c>
      <c r="B12" s="6" t="n">
        <v>4</v>
      </c>
      <c r="C12" s="7" t="inlineStr">
        <is>
          <t>Creation / Intuition / Aesthetics</t>
        </is>
      </c>
      <c r="D12" s="6" t="n">
        <v>0</v>
      </c>
      <c r="E12" s="7" t="inlineStr">
        <is>
          <t>—</t>
        </is>
      </c>
    </row>
    <row r="13">
      <c r="A13" s="4" t="inlineStr">
        <is>
          <t>Stamina</t>
        </is>
      </c>
      <c r="B13" s="6" t="n">
        <v>3</v>
      </c>
      <c r="C13" s="7" t="inlineStr">
        <is>
          <t>Endurance / Strength / Wilderness</t>
        </is>
      </c>
      <c r="D13" s="6" t="n">
        <v>0</v>
      </c>
      <c r="E13" s="7" t="n">
        <v>12</v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4" t="inlineStr">
        <is>
          <t>Inspiration Points Cap (IP)</t>
        </is>
      </c>
      <c r="B15" s="8">
        <f>B12</f>
        <v/>
      </c>
      <c r="C15" s="7" t="inlineStr">
        <is>
          <t>Weekly long rest restores to cap</t>
        </is>
      </c>
      <c r="D15" s="4" t="inlineStr">
        <is>
          <t>Current Inspiration Points (IP)</t>
        </is>
      </c>
      <c r="E15" s="6" t="n">
        <v>4</v>
      </c>
    </row>
    <row r="16">
      <c r="A16" s="4" t="inlineStr">
        <is>
          <t>Action Points (AP)</t>
        </is>
      </c>
      <c r="B16" s="8">
        <f>B13*2</f>
        <v/>
      </c>
      <c r="C16" s="7">
        <f> Stamina × 2</f>
        <v/>
      </c>
    </row>
    <row r="17">
      <c r="A17" s="4" t="inlineStr">
        <is>
          <t>Quality Cap</t>
        </is>
      </c>
      <c r="B17" s="8">
        <f>B9+INT(B12/2)</f>
        <v/>
      </c>
      <c r="C17" s="7">
        <f> Craft + ⌊Inspiration/2⌋</f>
        <v/>
      </c>
    </row>
    <row r="18">
      <c r="A18" s="4" t="inlineStr">
        <is>
          <t>Shop Rating</t>
        </is>
      </c>
      <c r="B18" s="8">
        <f>B11+INT(B9/2)+F22</f>
        <v/>
      </c>
      <c r="C18" s="7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4" t="inlineStr">
        <is>
          <t>Shop Level</t>
        </is>
      </c>
      <c r="B21" s="6" t="n">
        <v>1</v>
      </c>
      <c r="C21" s="4" t="inlineStr">
        <is>
          <t>Foot Traffic Modifier</t>
        </is>
      </c>
      <c r="D21" s="8">
        <f>1*2-2</f>
        <v/>
      </c>
    </row>
    <row r="22">
      <c r="A22" s="4" t="inlineStr">
        <is>
          <t>Reputation Value</t>
        </is>
      </c>
      <c r="B22" s="6" t="n">
        <v>0</v>
      </c>
      <c r="C22" s="4" t="inlineStr">
        <is>
          <t>Decor Score</t>
        </is>
      </c>
      <c r="D22" s="6" t="n">
        <v>0</v>
      </c>
    </row>
    <row r="23">
      <c r="A23" s="4" t="inlineStr">
        <is>
          <t>Funds</t>
        </is>
      </c>
      <c r="B23" s="6" t="n">
        <v>350</v>
      </c>
      <c r="C23" s="4" t="inlineStr">
        <is>
          <t>Reputation Tendency</t>
        </is>
      </c>
      <c r="D23" s="5" t="inlineStr"/>
    </row>
    <row r="24"/>
    <row r="25">
      <c r="A25" s="2" t="inlineStr">
        <is>
          <t>Skill (Lv.0-3, yellow = input)</t>
        </is>
      </c>
      <c r="B25" s="10" t="n"/>
      <c r="C25" s="11" t="n"/>
      <c r="D25" s="4" t="inlineStr">
        <is>
          <t>Level</t>
        </is>
      </c>
      <c r="E25" s="4" t="inlineStr">
        <is>
          <t>Success Count</t>
        </is>
      </c>
    </row>
    <row r="26">
      <c r="A26" s="9" t="inlineStr">
        <is>
          <t>Smithing</t>
        </is>
      </c>
      <c r="B26" s="7" t="inlineStr">
        <is>
          <t>(Craft)</t>
        </is>
      </c>
      <c r="D26" s="6" t="n">
        <v>0</v>
      </c>
      <c r="E26" s="6" t="n">
        <v>0</v>
      </c>
    </row>
    <row r="27">
      <c r="A27" s="9" t="inlineStr">
        <is>
          <t>Cooking</t>
        </is>
      </c>
      <c r="B27" s="7" t="inlineStr">
        <is>
          <t>(Craft)</t>
        </is>
      </c>
      <c r="D27" s="6" t="n">
        <v>2</v>
      </c>
      <c r="E27" s="6" t="n">
        <v>0</v>
      </c>
    </row>
    <row r="28">
      <c r="A28" s="9" t="inlineStr">
        <is>
          <t>Tailoring</t>
        </is>
      </c>
      <c r="B28" s="7" t="inlineStr">
        <is>
          <t>(Craft)</t>
        </is>
      </c>
      <c r="D28" s="6" t="n">
        <v>0</v>
      </c>
      <c r="E28" s="6" t="n">
        <v>0</v>
      </c>
    </row>
    <row r="29">
      <c r="A29" s="9" t="inlineStr">
        <is>
          <t>Alchemy</t>
        </is>
      </c>
      <c r="B29" s="7" t="inlineStr">
        <is>
          <t>(Appraisal)</t>
        </is>
      </c>
      <c r="D29" s="6" t="n">
        <v>0</v>
      </c>
      <c r="E29" s="6" t="n">
        <v>0</v>
      </c>
    </row>
    <row r="30">
      <c r="A30" s="9" t="inlineStr">
        <is>
          <t>Foraging</t>
        </is>
      </c>
      <c r="B30" s="7" t="inlineStr">
        <is>
          <t>(Appraisal)</t>
        </is>
      </c>
      <c r="D30" s="6" t="n">
        <v>0</v>
      </c>
      <c r="E30" s="6" t="n">
        <v>0</v>
      </c>
    </row>
    <row r="31">
      <c r="A31" s="9" t="inlineStr">
        <is>
          <t>Haggling</t>
        </is>
      </c>
      <c r="B31" s="7" t="inlineStr">
        <is>
          <t>(Social)</t>
        </is>
      </c>
      <c r="D31" s="6" t="n">
        <v>0</v>
      </c>
      <c r="E31" s="6" t="n">
        <v>0</v>
      </c>
    </row>
    <row r="32">
      <c r="A32" s="9" t="inlineStr">
        <is>
          <t>Hospitality</t>
        </is>
      </c>
      <c r="B32" s="7" t="inlineStr">
        <is>
          <t>(Social)</t>
        </is>
      </c>
      <c r="D32" s="6" t="n">
        <v>1</v>
      </c>
      <c r="E32" s="6" t="n">
        <v>0</v>
      </c>
    </row>
    <row r="33">
      <c r="A33" s="9" t="inlineStr">
        <is>
          <t>Design</t>
        </is>
      </c>
      <c r="B33" s="7" t="inlineStr">
        <is>
          <t>(Inspiration)</t>
        </is>
      </c>
      <c r="D33" s="6" t="n">
        <v>0</v>
      </c>
      <c r="E33" s="6" t="n">
        <v>0</v>
      </c>
    </row>
    <row r="34">
      <c r="A34" s="9" t="inlineStr">
        <is>
          <t>Survival</t>
        </is>
      </c>
      <c r="B34" s="7" t="inlineStr">
        <is>
          <t>(Stamina)</t>
        </is>
      </c>
      <c r="D34" s="6" t="n">
        <v>1</v>
      </c>
      <c r="E34" s="6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4" t="inlineStr">
        <is>
          <t>Fatigue Value (0-10)</t>
        </is>
      </c>
      <c r="B37" s="6" t="n">
        <v>0</v>
      </c>
      <c r="C37" s="4" t="inlineStr">
        <is>
          <t>Injury</t>
        </is>
      </c>
      <c r="D37" s="5" t="inlineStr"/>
    </row>
    <row r="38">
      <c r="A38" s="4" t="inlineStr">
        <is>
          <t>Primary Class EXP</t>
        </is>
      </c>
      <c r="B38" s="6" t="n">
        <v>0</v>
      </c>
      <c r="C38" s="4" t="inlineStr">
        <is>
          <t>Side Class EXP</t>
        </is>
      </c>
      <c r="D38" s="6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Personal Carry Cap</t>
        </is>
      </c>
      <c r="B41" s="8">
        <f>IF(B13=1,4,IF(B13=2,6,IF(B13=3,8,IF(B13=4,10,IF(B13=5,14,0)))))</f>
        <v/>
      </c>
      <c r="C41" s="7" t="inlineStr">
        <is>
          <t>Auto-calculated from Stamina (backpack capacity)</t>
        </is>
      </c>
    </row>
    <row r="42">
      <c r="A42" s="4" t="inlineStr">
        <is>
          <t>Tool Name</t>
        </is>
      </c>
      <c r="B42" s="5" t="inlineStr"/>
      <c r="C42" s="4" t="inlineStr">
        <is>
          <t>Durability</t>
        </is>
      </c>
      <c r="D42" s="5" t="inlineStr"/>
    </row>
    <row r="43">
      <c r="A43" s="4" t="inlineStr">
        <is>
          <t>Tool Name 2</t>
        </is>
      </c>
      <c r="B43" s="5" t="inlineStr"/>
      <c r="C43" s="4" t="inlineStr">
        <is>
          <t>Durability</t>
        </is>
      </c>
      <c r="D43" s="5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Racial Trait</t>
        </is>
      </c>
      <c r="B47" s="3" t="inlineStr">
        <is>
          <t>Mortal Resilience (re-roll 1 failed non-combat Check per week)</t>
        </is>
      </c>
      <c r="C47" s="10" t="n"/>
      <c r="D47" s="10" t="n"/>
      <c r="E47" s="10" t="n"/>
      <c r="F47" s="11" t="n"/>
    </row>
    <row r="48">
      <c r="A48" s="4" t="inlineStr">
        <is>
          <t>Signature Skill (Primary)</t>
        </is>
      </c>
      <c r="B48" s="3" t="inlineStr">
        <is>
          <t>Secret Recipe</t>
        </is>
      </c>
      <c r="C48" s="10" t="n"/>
      <c r="D48" s="10" t="n"/>
      <c r="E48" s="10" t="n"/>
      <c r="F48" s="11" t="n"/>
    </row>
    <row r="49">
      <c r="A49" s="4" t="inlineStr">
        <is>
          <t>Signature Skill (Side)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Skill Tree (Primary)</t>
        </is>
      </c>
      <c r="B50" s="3" t="inlineStr">
        <is>
          <t xml:space="preserve">T1: Ingredient Conservation | T2:  | T3: </t>
        </is>
      </c>
      <c r="C50" s="10" t="n"/>
      <c r="D50" s="10" t="n"/>
      <c r="E50" s="10" t="n"/>
      <c r="F50" s="11" t="n"/>
    </row>
    <row r="51">
      <c r="A51" s="4" t="inlineStr">
        <is>
          <t>Skill Tree (Side)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Synergy Bonus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Tool</t>
        </is>
      </c>
      <c r="B55" s="3" t="inlineStr">
        <is>
          <t>Chef's Knife Set (50G), Cast-Iron Pot (30G)</t>
        </is>
      </c>
      <c r="C55" s="10" t="n"/>
      <c r="D55" s="10" t="n"/>
      <c r="E55" s="10" t="n"/>
      <c r="F55" s="11" t="n"/>
    </row>
    <row r="56">
      <c r="A56" s="4" t="inlineStr">
        <is>
          <t>Weapon / Armor</t>
        </is>
      </c>
      <c r="B56" s="3" t="inlineStr">
        <is>
          <t>Short Sword (d6), Leather Armor (+1)</t>
        </is>
      </c>
      <c r="C56" s="10" t="n"/>
      <c r="D56" s="10" t="n"/>
      <c r="E56" s="10" t="n"/>
      <c r="F56" s="11" t="n"/>
    </row>
    <row r="57">
      <c r="A57" s="4" t="inlineStr">
        <is>
          <t>Magic Item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Recipe</t>
        </is>
      </c>
      <c r="B58" s="3" t="inlineStr">
        <is>
          <t>Homestyle Stew (Difficulty (DC) 9), Adventurer's Bento (Difficulty (DC) 9), Grilled Meat Platter (Difficulty (DC) 12)</t>
        </is>
      </c>
      <c r="C58" s="10" t="n"/>
      <c r="D58" s="10" t="n"/>
      <c r="E58" s="10" t="n"/>
      <c r="F58" s="11" t="n"/>
    </row>
    <row r="59">
      <c r="A59" s="4" t="inlineStr">
        <is>
          <t>Notes</t>
        </is>
      </c>
      <c r="B59" s="3" t="inlineStr">
        <is>
          <t>Frontline assault captain. Arrow to the knee. Shop cat: Soot.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4" t="inlineStr">
        <is>
          <t>Character Name</t>
        </is>
      </c>
      <c r="B4" s="5" t="inlineStr">
        <is>
          <t>Elinor</t>
        </is>
      </c>
      <c r="D4" s="4" t="inlineStr">
        <is>
          <t>Race</t>
        </is>
      </c>
      <c r="E4" s="5" t="inlineStr">
        <is>
          <t>Dwarf</t>
        </is>
      </c>
    </row>
    <row r="5">
      <c r="A5" s="4" t="inlineStr">
        <is>
          <t>Primary Class</t>
        </is>
      </c>
      <c r="B5" s="5" t="inlineStr">
        <is>
          <t>Smith</t>
        </is>
      </c>
      <c r="D5" s="4" t="inlineStr">
        <is>
          <t>Side Class</t>
        </is>
      </c>
      <c r="E5" s="5" t="inlineStr"/>
    </row>
    <row r="6">
      <c r="A6" s="4" t="inlineStr">
        <is>
          <t>Shop</t>
        </is>
      </c>
      <c r="B6" s="5" t="inlineStr">
        <is>
          <t>Steel Furnace &amp; Quenching</t>
        </is>
      </c>
      <c r="D6" s="4" t="inlineStr">
        <is>
          <t>Location</t>
        </is>
      </c>
      <c r="E6" s="5" t="inlineStr">
        <is>
          <t>Anvilhearth</t>
        </is>
      </c>
    </row>
    <row r="7"/>
    <row r="8">
      <c r="A8" s="2" t="inlineStr">
        <is>
          <t>Attributes (yellow = input)</t>
        </is>
      </c>
      <c r="B8" s="10" t="n"/>
      <c r="C8" s="11" t="n"/>
      <c r="D8" s="4" t="inlineStr">
        <is>
          <t>Growth Tick</t>
        </is>
      </c>
      <c r="E8" s="4" t="inlineStr">
        <is>
          <t>Goal</t>
        </is>
      </c>
    </row>
    <row r="9">
      <c r="A9" s="4" t="inlineStr">
        <is>
          <t>Craft</t>
        </is>
      </c>
      <c r="B9" s="6" t="n">
        <v>5</v>
      </c>
      <c r="C9" s="7" t="inlineStr">
        <is>
          <t>Handicraft / Fine Manipulation</t>
        </is>
      </c>
      <c r="D9" s="6" t="n">
        <v>0</v>
      </c>
      <c r="E9" s="7" t="inlineStr">
        <is>
          <t>—</t>
        </is>
      </c>
    </row>
    <row r="10">
      <c r="A10" s="4" t="inlineStr">
        <is>
          <t>Appraisal</t>
        </is>
      </c>
      <c r="B10" s="6" t="n">
        <v>3</v>
      </c>
      <c r="C10" s="7" t="inlineStr">
        <is>
          <t>Discern / Authenticity / Knowledge</t>
        </is>
      </c>
      <c r="D10" s="6" t="n">
        <v>0</v>
      </c>
      <c r="E10" s="7" t="n">
        <v>12</v>
      </c>
    </row>
    <row r="11">
      <c r="A11" s="4" t="inlineStr">
        <is>
          <t>Social</t>
        </is>
      </c>
      <c r="B11" s="6" t="n">
        <v>2</v>
      </c>
      <c r="C11" s="7" t="inlineStr">
        <is>
          <t>Communication / Charm / Negotiation</t>
        </is>
      </c>
      <c r="D11" s="6" t="n">
        <v>0</v>
      </c>
      <c r="E11" s="7" t="n">
        <v>8</v>
      </c>
    </row>
    <row r="12">
      <c r="A12" s="4" t="inlineStr">
        <is>
          <t>Inspiration</t>
        </is>
      </c>
      <c r="B12" s="6" t="n">
        <v>1</v>
      </c>
      <c r="C12" s="7" t="inlineStr">
        <is>
          <t>Creation / Intuition / Aesthetics</t>
        </is>
      </c>
      <c r="D12" s="6" t="n">
        <v>0</v>
      </c>
      <c r="E12" s="7" t="n">
        <v>5</v>
      </c>
    </row>
    <row r="13">
      <c r="A13" s="4" t="inlineStr">
        <is>
          <t>Stamina</t>
        </is>
      </c>
      <c r="B13" s="6" t="n">
        <v>4</v>
      </c>
      <c r="C13" s="7" t="inlineStr">
        <is>
          <t>Endurance / Strength / Wilderness</t>
        </is>
      </c>
      <c r="D13" s="6" t="n">
        <v>0</v>
      </c>
      <c r="E13" s="7" t="inlineStr">
        <is>
          <t>—</t>
        </is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4" t="inlineStr">
        <is>
          <t>Inspiration Points Cap (IP)</t>
        </is>
      </c>
      <c r="B15" s="8">
        <f>B12</f>
        <v/>
      </c>
      <c r="C15" s="7" t="inlineStr">
        <is>
          <t>Weekly long rest restores to cap</t>
        </is>
      </c>
      <c r="D15" s="4" t="inlineStr">
        <is>
          <t>Current Inspiration Points (IP)</t>
        </is>
      </c>
      <c r="E15" s="6" t="n">
        <v>1</v>
      </c>
    </row>
    <row r="16">
      <c r="A16" s="4" t="inlineStr">
        <is>
          <t>Action Points (AP)</t>
        </is>
      </c>
      <c r="B16" s="8">
        <f>B13*2</f>
        <v/>
      </c>
      <c r="C16" s="7">
        <f> Stamina × 2</f>
        <v/>
      </c>
    </row>
    <row r="17">
      <c r="A17" s="4" t="inlineStr">
        <is>
          <t>Quality Cap</t>
        </is>
      </c>
      <c r="B17" s="8">
        <f>B9+INT(B12/2)</f>
        <v/>
      </c>
      <c r="C17" s="7">
        <f> Craft + ⌊Inspiration/2⌋</f>
        <v/>
      </c>
    </row>
    <row r="18">
      <c r="A18" s="4" t="inlineStr">
        <is>
          <t>Shop Rating</t>
        </is>
      </c>
      <c r="B18" s="8">
        <f>B11+INT(B9/2)+F22</f>
        <v/>
      </c>
      <c r="C18" s="7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4" t="inlineStr">
        <is>
          <t>Shop Level</t>
        </is>
      </c>
      <c r="B21" s="6" t="n">
        <v>1</v>
      </c>
      <c r="C21" s="4" t="inlineStr">
        <is>
          <t>Foot Traffic Modifier</t>
        </is>
      </c>
      <c r="D21" s="8">
        <f>1*2-2</f>
        <v/>
      </c>
    </row>
    <row r="22">
      <c r="A22" s="4" t="inlineStr">
        <is>
          <t>Reputation Value</t>
        </is>
      </c>
      <c r="B22" s="6" t="n">
        <v>0</v>
      </c>
      <c r="C22" s="4" t="inlineStr">
        <is>
          <t>Decor Score</t>
        </is>
      </c>
      <c r="D22" s="6" t="n">
        <v>0</v>
      </c>
    </row>
    <row r="23">
      <c r="A23" s="4" t="inlineStr">
        <is>
          <t>Funds</t>
        </is>
      </c>
      <c r="B23" s="6" t="n">
        <v>200</v>
      </c>
      <c r="C23" s="4" t="inlineStr">
        <is>
          <t>Reputation Tendency</t>
        </is>
      </c>
      <c r="D23" s="5" t="inlineStr"/>
    </row>
    <row r="24"/>
    <row r="25">
      <c r="A25" s="2" t="inlineStr">
        <is>
          <t>Skill (Lv.0-3, yellow = input)</t>
        </is>
      </c>
      <c r="B25" s="10" t="n"/>
      <c r="C25" s="11" t="n"/>
      <c r="D25" s="4" t="inlineStr">
        <is>
          <t>Level</t>
        </is>
      </c>
      <c r="E25" s="4" t="inlineStr">
        <is>
          <t>Success Count</t>
        </is>
      </c>
    </row>
    <row r="26">
      <c r="A26" s="9" t="inlineStr">
        <is>
          <t>Smithing</t>
        </is>
      </c>
      <c r="B26" s="7" t="inlineStr">
        <is>
          <t>(Craft)</t>
        </is>
      </c>
      <c r="D26" s="6" t="n">
        <v>2</v>
      </c>
      <c r="E26" s="6" t="n">
        <v>0</v>
      </c>
    </row>
    <row r="27">
      <c r="A27" s="9" t="inlineStr">
        <is>
          <t>Cooking</t>
        </is>
      </c>
      <c r="B27" s="7" t="inlineStr">
        <is>
          <t>(Craft)</t>
        </is>
      </c>
      <c r="D27" s="6" t="n">
        <v>0</v>
      </c>
      <c r="E27" s="6" t="n">
        <v>0</v>
      </c>
    </row>
    <row r="28">
      <c r="A28" s="9" t="inlineStr">
        <is>
          <t>Tailoring</t>
        </is>
      </c>
      <c r="B28" s="7" t="inlineStr">
        <is>
          <t>(Craft)</t>
        </is>
      </c>
      <c r="D28" s="6" t="n">
        <v>0</v>
      </c>
      <c r="E28" s="6" t="n">
        <v>0</v>
      </c>
    </row>
    <row r="29">
      <c r="A29" s="9" t="inlineStr">
        <is>
          <t>Alchemy</t>
        </is>
      </c>
      <c r="B29" s="7" t="inlineStr">
        <is>
          <t>(Appraisal)</t>
        </is>
      </c>
      <c r="D29" s="6" t="n">
        <v>0</v>
      </c>
      <c r="E29" s="6" t="n">
        <v>0</v>
      </c>
    </row>
    <row r="30">
      <c r="A30" s="9" t="inlineStr">
        <is>
          <t>Foraging</t>
        </is>
      </c>
      <c r="B30" s="7" t="inlineStr">
        <is>
          <t>(Appraisal)</t>
        </is>
      </c>
      <c r="D30" s="6" t="n">
        <v>1</v>
      </c>
      <c r="E30" s="6" t="n">
        <v>0</v>
      </c>
    </row>
    <row r="31">
      <c r="A31" s="9" t="inlineStr">
        <is>
          <t>Haggling</t>
        </is>
      </c>
      <c r="B31" s="7" t="inlineStr">
        <is>
          <t>(Social)</t>
        </is>
      </c>
      <c r="D31" s="6" t="n">
        <v>0</v>
      </c>
      <c r="E31" s="6" t="n">
        <v>0</v>
      </c>
    </row>
    <row r="32">
      <c r="A32" s="9" t="inlineStr">
        <is>
          <t>Hospitality</t>
        </is>
      </c>
      <c r="B32" s="7" t="inlineStr">
        <is>
          <t>(Social)</t>
        </is>
      </c>
      <c r="D32" s="6" t="n">
        <v>1</v>
      </c>
      <c r="E32" s="6" t="n">
        <v>0</v>
      </c>
    </row>
    <row r="33">
      <c r="A33" s="9" t="inlineStr">
        <is>
          <t>Design</t>
        </is>
      </c>
      <c r="B33" s="7" t="inlineStr">
        <is>
          <t>(Inspiration)</t>
        </is>
      </c>
      <c r="D33" s="6" t="n">
        <v>0</v>
      </c>
      <c r="E33" s="6" t="n">
        <v>0</v>
      </c>
    </row>
    <row r="34">
      <c r="A34" s="9" t="inlineStr">
        <is>
          <t>Survival</t>
        </is>
      </c>
      <c r="B34" s="7" t="inlineStr">
        <is>
          <t>(Stamina)</t>
        </is>
      </c>
      <c r="D34" s="6" t="n">
        <v>0</v>
      </c>
      <c r="E34" s="6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4" t="inlineStr">
        <is>
          <t>Fatigue Value (0-10)</t>
        </is>
      </c>
      <c r="B37" s="6" t="n">
        <v>0</v>
      </c>
      <c r="C37" s="4" t="inlineStr">
        <is>
          <t>Injury</t>
        </is>
      </c>
      <c r="D37" s="5" t="inlineStr"/>
    </row>
    <row r="38">
      <c r="A38" s="4" t="inlineStr">
        <is>
          <t>Primary Class EXP</t>
        </is>
      </c>
      <c r="B38" s="6" t="n">
        <v>0</v>
      </c>
      <c r="C38" s="4" t="inlineStr">
        <is>
          <t>Side Class EXP</t>
        </is>
      </c>
      <c r="D38" s="6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Personal Carry Cap</t>
        </is>
      </c>
      <c r="B41" s="8">
        <f>IF(B13=1,4,IF(B13=2,6,IF(B13=3,8,IF(B13=4,10,IF(B13=5,14,0)))))</f>
        <v/>
      </c>
      <c r="C41" s="7" t="inlineStr">
        <is>
          <t>Auto-calculated from Stamina (backpack capacity)</t>
        </is>
      </c>
    </row>
    <row r="42">
      <c r="A42" s="4" t="inlineStr">
        <is>
          <t>Tool Name</t>
        </is>
      </c>
      <c r="B42" s="5" t="inlineStr"/>
      <c r="C42" s="4" t="inlineStr">
        <is>
          <t>Durability</t>
        </is>
      </c>
      <c r="D42" s="5" t="inlineStr"/>
    </row>
    <row r="43">
      <c r="A43" s="4" t="inlineStr">
        <is>
          <t>Tool Name 2</t>
        </is>
      </c>
      <c r="B43" s="5" t="inlineStr"/>
      <c r="C43" s="4" t="inlineStr">
        <is>
          <t>Durability</t>
        </is>
      </c>
      <c r="D43" s="5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Racial Trait</t>
        </is>
      </c>
      <c r="B47" s="3" t="inlineStr">
        <is>
          <t>Stubborn-Stone Focus (ignore 1 environmental-interference disadvantage)</t>
        </is>
      </c>
      <c r="C47" s="10" t="n"/>
      <c r="D47" s="10" t="n"/>
      <c r="E47" s="10" t="n"/>
      <c r="F47" s="11" t="n"/>
    </row>
    <row r="48">
      <c r="A48" s="4" t="inlineStr">
        <is>
          <t>Signature Skill (Primary)</t>
        </is>
      </c>
      <c r="B48" s="3" t="inlineStr">
        <is>
          <t>Smith's Soul</t>
        </is>
      </c>
      <c r="C48" s="10" t="n"/>
      <c r="D48" s="10" t="n"/>
      <c r="E48" s="10" t="n"/>
      <c r="F48" s="11" t="n"/>
    </row>
    <row r="49">
      <c r="A49" s="4" t="inlineStr">
        <is>
          <t>Signature Skill (Side)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Skill Tree (Primary)</t>
        </is>
      </c>
      <c r="B50" s="3" t="inlineStr">
        <is>
          <t xml:space="preserve">T1: Material Recycling | T2:  | T3: </t>
        </is>
      </c>
      <c r="C50" s="10" t="n"/>
      <c r="D50" s="10" t="n"/>
      <c r="E50" s="10" t="n"/>
      <c r="F50" s="11" t="n"/>
    </row>
    <row r="51">
      <c r="A51" s="4" t="inlineStr">
        <is>
          <t>Skill Tree (Side)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Synergy Bonus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Tool</t>
        </is>
      </c>
      <c r="B55" s="3" t="inlineStr">
        <is>
          <t>Smithing Tool Set (100G), Small Furnace (200G)</t>
        </is>
      </c>
      <c r="C55" s="10" t="n"/>
      <c r="D55" s="10" t="n"/>
      <c r="E55" s="10" t="n"/>
      <c r="F55" s="11" t="n"/>
    </row>
    <row r="56">
      <c r="A56" s="4" t="inlineStr">
        <is>
          <t>Weapon / Armor</t>
        </is>
      </c>
      <c r="B56" s="3" t="inlineStr">
        <is>
          <t>Smith's Hammer (d6), Leather Armor (+1)</t>
        </is>
      </c>
      <c r="C56" s="10" t="n"/>
      <c r="D56" s="10" t="n"/>
      <c r="E56" s="10" t="n"/>
      <c r="F56" s="11" t="n"/>
    </row>
    <row r="57">
      <c r="A57" s="4" t="inlineStr">
        <is>
          <t>Magic Item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Recipe</t>
        </is>
      </c>
      <c r="B58" s="3" t="inlineStr">
        <is>
          <t>Iron Sword (Difficulty (DC) 9), Iron Shield (Difficulty (DC) 9), Fine Steel Longsword (Difficulty (DC) 12)</t>
        </is>
      </c>
      <c r="C58" s="10" t="n"/>
      <c r="D58" s="10" t="n"/>
      <c r="E58" s="10" t="n"/>
      <c r="F58" s="11" t="n"/>
    </row>
    <row r="59">
      <c r="A59" s="4" t="inlineStr">
        <is>
          <t>Notes</t>
        </is>
      </c>
      <c r="B59" s="3" t="inlineStr">
        <is>
          <t>Rift War legion forge-master. Apprentice: Little Stone.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4" t="inlineStr">
        <is>
          <t>Character Name</t>
        </is>
      </c>
      <c r="B4" s="5" t="inlineStr">
        <is>
          <t>Moondew</t>
        </is>
      </c>
      <c r="D4" s="4" t="inlineStr">
        <is>
          <t>Race</t>
        </is>
      </c>
      <c r="E4" s="5" t="inlineStr">
        <is>
          <t>Elf</t>
        </is>
      </c>
    </row>
    <row r="5">
      <c r="A5" s="4" t="inlineStr">
        <is>
          <t>Primary Class</t>
        </is>
      </c>
      <c r="B5" s="5" t="inlineStr">
        <is>
          <t>Alchemist</t>
        </is>
      </c>
      <c r="D5" s="4" t="inlineStr">
        <is>
          <t>Side Class</t>
        </is>
      </c>
      <c r="E5" s="5" t="inlineStr"/>
    </row>
    <row r="6">
      <c r="A6" s="4" t="inlineStr">
        <is>
          <t>Shop</t>
        </is>
      </c>
      <c r="B6" s="5" t="inlineStr">
        <is>
          <t>Moondew's Shop</t>
        </is>
      </c>
      <c r="D6" s="4" t="inlineStr">
        <is>
          <t>Location</t>
        </is>
      </c>
      <c r="E6" s="5" t="inlineStr">
        <is>
          <t>Verdantvale</t>
        </is>
      </c>
    </row>
    <row r="7"/>
    <row r="8">
      <c r="A8" s="2" t="inlineStr">
        <is>
          <t>Attributes (yellow = input)</t>
        </is>
      </c>
      <c r="B8" s="10" t="n"/>
      <c r="C8" s="11" t="n"/>
      <c r="D8" s="4" t="inlineStr">
        <is>
          <t>Growth Tick</t>
        </is>
      </c>
      <c r="E8" s="4" t="inlineStr">
        <is>
          <t>Goal</t>
        </is>
      </c>
    </row>
    <row r="9">
      <c r="A9" s="4" t="inlineStr">
        <is>
          <t>Craft</t>
        </is>
      </c>
      <c r="B9" s="6" t="n">
        <v>3</v>
      </c>
      <c r="C9" s="7" t="inlineStr">
        <is>
          <t>Handicraft / Fine Manipulation</t>
        </is>
      </c>
      <c r="D9" s="6" t="n">
        <v>0</v>
      </c>
      <c r="E9" s="7" t="n">
        <v>12</v>
      </c>
    </row>
    <row r="10">
      <c r="A10" s="4" t="inlineStr">
        <is>
          <t>Appraisal</t>
        </is>
      </c>
      <c r="B10" s="6" t="n">
        <v>5</v>
      </c>
      <c r="C10" s="7" t="inlineStr">
        <is>
          <t>Discern / Authenticity / Knowledge</t>
        </is>
      </c>
      <c r="D10" s="6" t="n">
        <v>0</v>
      </c>
      <c r="E10" s="7" t="inlineStr">
        <is>
          <t>—</t>
        </is>
      </c>
    </row>
    <row r="11">
      <c r="A11" s="4" t="inlineStr">
        <is>
          <t>Social</t>
        </is>
      </c>
      <c r="B11" s="6" t="n">
        <v>2</v>
      </c>
      <c r="C11" s="7" t="inlineStr">
        <is>
          <t>Communication / Charm / Negotiation</t>
        </is>
      </c>
      <c r="D11" s="6" t="n">
        <v>0</v>
      </c>
      <c r="E11" s="7" t="n">
        <v>8</v>
      </c>
    </row>
    <row r="12">
      <c r="A12" s="4" t="inlineStr">
        <is>
          <t>Inspiration</t>
        </is>
      </c>
      <c r="B12" s="6" t="n">
        <v>3</v>
      </c>
      <c r="C12" s="7" t="inlineStr">
        <is>
          <t>Creation / Intuition / Aesthetics</t>
        </is>
      </c>
      <c r="D12" s="6" t="n">
        <v>0</v>
      </c>
      <c r="E12" s="7" t="n">
        <v>12</v>
      </c>
    </row>
    <row r="13">
      <c r="A13" s="4" t="inlineStr">
        <is>
          <t>Stamina</t>
        </is>
      </c>
      <c r="B13" s="6" t="n">
        <v>2</v>
      </c>
      <c r="C13" s="7" t="inlineStr">
        <is>
          <t>Endurance / Strength / Wilderness</t>
        </is>
      </c>
      <c r="D13" s="6" t="n">
        <v>0</v>
      </c>
      <c r="E13" s="7" t="n">
        <v>8</v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4" t="inlineStr">
        <is>
          <t>Inspiration Points Cap (IP)</t>
        </is>
      </c>
      <c r="B15" s="8">
        <f>B12</f>
        <v/>
      </c>
      <c r="C15" s="7" t="inlineStr">
        <is>
          <t>Weekly long rest restores to cap</t>
        </is>
      </c>
      <c r="D15" s="4" t="inlineStr">
        <is>
          <t>Current Inspiration Points (IP)</t>
        </is>
      </c>
      <c r="E15" s="6" t="n">
        <v>3</v>
      </c>
    </row>
    <row r="16">
      <c r="A16" s="4" t="inlineStr">
        <is>
          <t>Action Points (AP)</t>
        </is>
      </c>
      <c r="B16" s="8">
        <f>B13*2</f>
        <v/>
      </c>
      <c r="C16" s="7">
        <f> Stamina × 2</f>
        <v/>
      </c>
    </row>
    <row r="17">
      <c r="A17" s="4" t="inlineStr">
        <is>
          <t>Quality Cap</t>
        </is>
      </c>
      <c r="B17" s="8">
        <f>B9+INT(B12/2)</f>
        <v/>
      </c>
      <c r="C17" s="7">
        <f> Craft + ⌊Inspiration/2⌋</f>
        <v/>
      </c>
    </row>
    <row r="18">
      <c r="A18" s="4" t="inlineStr">
        <is>
          <t>Shop Rating</t>
        </is>
      </c>
      <c r="B18" s="8">
        <f>B11+INT(B9/2)+F22</f>
        <v/>
      </c>
      <c r="C18" s="7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4" t="inlineStr">
        <is>
          <t>Shop Level</t>
        </is>
      </c>
      <c r="B21" s="6" t="n">
        <v>1</v>
      </c>
      <c r="C21" s="4" t="inlineStr">
        <is>
          <t>Foot Traffic Modifier</t>
        </is>
      </c>
      <c r="D21" s="8">
        <f>1*2-2</f>
        <v/>
      </c>
    </row>
    <row r="22">
      <c r="A22" s="4" t="inlineStr">
        <is>
          <t>Reputation Value</t>
        </is>
      </c>
      <c r="B22" s="6" t="n">
        <v>0</v>
      </c>
      <c r="C22" s="4" t="inlineStr">
        <is>
          <t>Decor Score</t>
        </is>
      </c>
      <c r="D22" s="6" t="n">
        <v>0</v>
      </c>
    </row>
    <row r="23">
      <c r="A23" s="4" t="inlineStr">
        <is>
          <t>Funds</t>
        </is>
      </c>
      <c r="B23" s="6" t="n">
        <v>400</v>
      </c>
      <c r="C23" s="4" t="inlineStr">
        <is>
          <t>Reputation Tendency</t>
        </is>
      </c>
      <c r="D23" s="5" t="inlineStr"/>
    </row>
    <row r="24"/>
    <row r="25">
      <c r="A25" s="2" t="inlineStr">
        <is>
          <t>Skill (Lv.0-3, yellow = input)</t>
        </is>
      </c>
      <c r="B25" s="10" t="n"/>
      <c r="C25" s="11" t="n"/>
      <c r="D25" s="4" t="inlineStr">
        <is>
          <t>Level</t>
        </is>
      </c>
      <c r="E25" s="4" t="inlineStr">
        <is>
          <t>Success Count</t>
        </is>
      </c>
    </row>
    <row r="26">
      <c r="A26" s="9" t="inlineStr">
        <is>
          <t>Smithing</t>
        </is>
      </c>
      <c r="B26" s="7" t="inlineStr">
        <is>
          <t>(Craft)</t>
        </is>
      </c>
      <c r="D26" s="6" t="n">
        <v>0</v>
      </c>
      <c r="E26" s="6" t="n">
        <v>0</v>
      </c>
    </row>
    <row r="27">
      <c r="A27" s="9" t="inlineStr">
        <is>
          <t>Cooking</t>
        </is>
      </c>
      <c r="B27" s="7" t="inlineStr">
        <is>
          <t>(Craft)</t>
        </is>
      </c>
      <c r="D27" s="6" t="n">
        <v>0</v>
      </c>
      <c r="E27" s="6" t="n">
        <v>0</v>
      </c>
    </row>
    <row r="28">
      <c r="A28" s="9" t="inlineStr">
        <is>
          <t>Tailoring</t>
        </is>
      </c>
      <c r="B28" s="7" t="inlineStr">
        <is>
          <t>(Craft)</t>
        </is>
      </c>
      <c r="D28" s="6" t="n">
        <v>0</v>
      </c>
      <c r="E28" s="6" t="n">
        <v>0</v>
      </c>
    </row>
    <row r="29">
      <c r="A29" s="9" t="inlineStr">
        <is>
          <t>Alchemy</t>
        </is>
      </c>
      <c r="B29" s="7" t="inlineStr">
        <is>
          <t>(Appraisal)</t>
        </is>
      </c>
      <c r="D29" s="6" t="n">
        <v>2</v>
      </c>
      <c r="E29" s="6" t="n">
        <v>0</v>
      </c>
    </row>
    <row r="30">
      <c r="A30" s="9" t="inlineStr">
        <is>
          <t>Foraging</t>
        </is>
      </c>
      <c r="B30" s="7" t="inlineStr">
        <is>
          <t>(Appraisal)</t>
        </is>
      </c>
      <c r="D30" s="6" t="n">
        <v>0</v>
      </c>
      <c r="E30" s="6" t="n">
        <v>0</v>
      </c>
    </row>
    <row r="31">
      <c r="A31" s="9" t="inlineStr">
        <is>
          <t>Haggling</t>
        </is>
      </c>
      <c r="B31" s="7" t="inlineStr">
        <is>
          <t>(Social)</t>
        </is>
      </c>
      <c r="D31" s="6" t="n">
        <v>0</v>
      </c>
      <c r="E31" s="6" t="n">
        <v>0</v>
      </c>
    </row>
    <row r="32">
      <c r="A32" s="9" t="inlineStr">
        <is>
          <t>Hospitality</t>
        </is>
      </c>
      <c r="B32" s="7" t="inlineStr">
        <is>
          <t>(Social)</t>
        </is>
      </c>
      <c r="D32" s="6" t="n">
        <v>1</v>
      </c>
      <c r="E32" s="6" t="n">
        <v>0</v>
      </c>
    </row>
    <row r="33">
      <c r="A33" s="9" t="inlineStr">
        <is>
          <t>Design</t>
        </is>
      </c>
      <c r="B33" s="7" t="inlineStr">
        <is>
          <t>(Inspiration)</t>
        </is>
      </c>
      <c r="D33" s="6" t="n">
        <v>0</v>
      </c>
      <c r="E33" s="6" t="n">
        <v>0</v>
      </c>
    </row>
    <row r="34">
      <c r="A34" s="9" t="inlineStr">
        <is>
          <t>Survival</t>
        </is>
      </c>
      <c r="B34" s="7" t="inlineStr">
        <is>
          <t>(Stamina)</t>
        </is>
      </c>
      <c r="D34" s="6" t="n">
        <v>0</v>
      </c>
      <c r="E34" s="6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4" t="inlineStr">
        <is>
          <t>Fatigue Value (0-10)</t>
        </is>
      </c>
      <c r="B37" s="6" t="n">
        <v>0</v>
      </c>
      <c r="C37" s="4" t="inlineStr">
        <is>
          <t>Injury</t>
        </is>
      </c>
      <c r="D37" s="5" t="inlineStr"/>
    </row>
    <row r="38">
      <c r="A38" s="4" t="inlineStr">
        <is>
          <t>Primary Class EXP</t>
        </is>
      </c>
      <c r="B38" s="6" t="n">
        <v>0</v>
      </c>
      <c r="C38" s="4" t="inlineStr">
        <is>
          <t>Side Class EXP</t>
        </is>
      </c>
      <c r="D38" s="6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Personal Carry Cap</t>
        </is>
      </c>
      <c r="B41" s="8">
        <f>IF(B13=1,4,IF(B13=2,6,IF(B13=3,8,IF(B13=4,10,IF(B13=5,14,0)))))</f>
        <v/>
      </c>
      <c r="C41" s="7" t="inlineStr">
        <is>
          <t>Auto-calculated from Stamina (backpack capacity)</t>
        </is>
      </c>
    </row>
    <row r="42">
      <c r="A42" s="4" t="inlineStr">
        <is>
          <t>Tool Name</t>
        </is>
      </c>
      <c r="B42" s="5" t="inlineStr"/>
      <c r="C42" s="4" t="inlineStr">
        <is>
          <t>Durability</t>
        </is>
      </c>
      <c r="D42" s="5" t="inlineStr"/>
    </row>
    <row r="43">
      <c r="A43" s="4" t="inlineStr">
        <is>
          <t>Tool Name 2</t>
        </is>
      </c>
      <c r="B43" s="5" t="inlineStr"/>
      <c r="C43" s="4" t="inlineStr">
        <is>
          <t>Durability</t>
        </is>
      </c>
      <c r="D43" s="5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Racial Trait</t>
        </is>
      </c>
      <c r="B47" s="3" t="inlineStr">
        <is>
          <t>Elder's Eye (once per day, Appraisal/Inspiration advantage)</t>
        </is>
      </c>
      <c r="C47" s="10" t="n"/>
      <c r="D47" s="10" t="n"/>
      <c r="E47" s="10" t="n"/>
      <c r="F47" s="11" t="n"/>
    </row>
    <row r="48">
      <c r="A48" s="4" t="inlineStr">
        <is>
          <t>Signature Skill (Primary)</t>
        </is>
      </c>
      <c r="B48" s="3" t="inlineStr">
        <is>
          <t>Tasting Constitution</t>
        </is>
      </c>
      <c r="C48" s="10" t="n"/>
      <c r="D48" s="10" t="n"/>
      <c r="E48" s="10" t="n"/>
      <c r="F48" s="11" t="n"/>
    </row>
    <row r="49">
      <c r="A49" s="4" t="inlineStr">
        <is>
          <t>Signature Skill (Side)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Skill Tree (Primary)</t>
        </is>
      </c>
      <c r="B50" s="3" t="inlineStr">
        <is>
          <t xml:space="preserve">T1: Poison Resistance | T2:  | T3: </t>
        </is>
      </c>
      <c r="C50" s="10" t="n"/>
      <c r="D50" s="10" t="n"/>
      <c r="E50" s="10" t="n"/>
      <c r="F50" s="11" t="n"/>
    </row>
    <row r="51">
      <c r="A51" s="4" t="inlineStr">
        <is>
          <t>Skill Tree (Side)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Synergy Bonus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Tool</t>
        </is>
      </c>
      <c r="B55" s="3" t="inlineStr">
        <is>
          <t>Alchemy Tool Set (80G), Herb Storage Jars ×12 (40G)</t>
        </is>
      </c>
      <c r="C55" s="10" t="n"/>
      <c r="D55" s="10" t="n"/>
      <c r="E55" s="10" t="n"/>
      <c r="F55" s="11" t="n"/>
    </row>
    <row r="56">
      <c r="A56" s="4" t="inlineStr">
        <is>
          <t>Weapon / Armor</t>
        </is>
      </c>
      <c r="B56" s="3" t="inlineStr">
        <is>
          <t>Dagger (d4)</t>
        </is>
      </c>
      <c r="C56" s="10" t="n"/>
      <c r="D56" s="10" t="n"/>
      <c r="E56" s="10" t="n"/>
      <c r="F56" s="11" t="n"/>
    </row>
    <row r="57">
      <c r="A57" s="4" t="inlineStr">
        <is>
          <t>Magic Item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Recipe</t>
        </is>
      </c>
      <c r="B58" s="3" t="inlineStr">
        <is>
          <t>Healing Potion (Difficulty (DC) 9), Antidote (Difficulty (DC) 9), Strength Potion (Difficulty (DC) 12)</t>
        </is>
      </c>
      <c r="C58" s="10" t="n"/>
      <c r="D58" s="10" t="n"/>
      <c r="E58" s="10" t="n"/>
      <c r="F58" s="11" t="n"/>
    </row>
    <row r="59">
      <c r="A59" s="4" t="inlineStr">
        <is>
          <t>Notes</t>
        </is>
      </c>
      <c r="B59" s="3" t="inlineStr">
        <is>
          <t>Field medical team. Husband: Loren (herbalist scholar).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4" t="inlineStr">
        <is>
          <t>Character Name</t>
        </is>
      </c>
      <c r="B4" s="5" t="inlineStr">
        <is>
          <t>Pinky</t>
        </is>
      </c>
      <c r="D4" s="4" t="inlineStr">
        <is>
          <t>Race</t>
        </is>
      </c>
      <c r="E4" s="5" t="inlineStr">
        <is>
          <t>Halfling</t>
        </is>
      </c>
    </row>
    <row r="5">
      <c r="A5" s="4" t="inlineStr">
        <is>
          <t>Primary Class</t>
        </is>
      </c>
      <c r="B5" s="5" t="inlineStr">
        <is>
          <t>Merchant</t>
        </is>
      </c>
      <c r="D5" s="4" t="inlineStr">
        <is>
          <t>Side Class</t>
        </is>
      </c>
      <c r="E5" s="5" t="inlineStr"/>
    </row>
    <row r="6">
      <c r="A6" s="4" t="inlineStr">
        <is>
          <t>Shop</t>
        </is>
      </c>
      <c r="B6" s="5" t="inlineStr">
        <is>
          <t>Piper's Odd-Jobs</t>
        </is>
      </c>
      <c r="D6" s="4" t="inlineStr">
        <is>
          <t>Location</t>
        </is>
      </c>
      <c r="E6" s="5" t="inlineStr">
        <is>
          <t>Seabreeze</t>
        </is>
      </c>
    </row>
    <row r="7"/>
    <row r="8">
      <c r="A8" s="2" t="inlineStr">
        <is>
          <t>Attributes (yellow = input)</t>
        </is>
      </c>
      <c r="B8" s="10" t="n"/>
      <c r="C8" s="11" t="n"/>
      <c r="D8" s="4" t="inlineStr">
        <is>
          <t>Growth Tick</t>
        </is>
      </c>
      <c r="E8" s="4" t="inlineStr">
        <is>
          <t>Goal</t>
        </is>
      </c>
    </row>
    <row r="9">
      <c r="A9" s="4" t="inlineStr">
        <is>
          <t>Craft</t>
        </is>
      </c>
      <c r="B9" s="6" t="n">
        <v>2</v>
      </c>
      <c r="C9" s="7" t="inlineStr">
        <is>
          <t>Handicraft / Fine Manipulation</t>
        </is>
      </c>
      <c r="D9" s="6" t="n">
        <v>0</v>
      </c>
      <c r="E9" s="7" t="n">
        <v>8</v>
      </c>
    </row>
    <row r="10">
      <c r="A10" s="4" t="inlineStr">
        <is>
          <t>Appraisal</t>
        </is>
      </c>
      <c r="B10" s="6" t="n">
        <v>4</v>
      </c>
      <c r="C10" s="7" t="inlineStr">
        <is>
          <t>Discern / Authenticity / Knowledge</t>
        </is>
      </c>
      <c r="D10" s="6" t="n">
        <v>0</v>
      </c>
      <c r="E10" s="7" t="inlineStr">
        <is>
          <t>—</t>
        </is>
      </c>
    </row>
    <row r="11">
      <c r="A11" s="4" t="inlineStr">
        <is>
          <t>Social</t>
        </is>
      </c>
      <c r="B11" s="6" t="n">
        <v>5</v>
      </c>
      <c r="C11" s="7" t="inlineStr">
        <is>
          <t>Communication / Charm / Negotiation</t>
        </is>
      </c>
      <c r="D11" s="6" t="n">
        <v>0</v>
      </c>
      <c r="E11" s="7" t="inlineStr">
        <is>
          <t>—</t>
        </is>
      </c>
    </row>
    <row r="12">
      <c r="A12" s="4" t="inlineStr">
        <is>
          <t>Inspiration</t>
        </is>
      </c>
      <c r="B12" s="6" t="n">
        <v>2</v>
      </c>
      <c r="C12" s="7" t="inlineStr">
        <is>
          <t>Creation / Intuition / Aesthetics</t>
        </is>
      </c>
      <c r="D12" s="6" t="n">
        <v>0</v>
      </c>
      <c r="E12" s="7" t="n">
        <v>8</v>
      </c>
    </row>
    <row r="13">
      <c r="A13" s="4" t="inlineStr">
        <is>
          <t>Stamina</t>
        </is>
      </c>
      <c r="B13" s="6" t="n">
        <v>2</v>
      </c>
      <c r="C13" s="7" t="inlineStr">
        <is>
          <t>Endurance / Strength / Wilderness</t>
        </is>
      </c>
      <c r="D13" s="6" t="n">
        <v>0</v>
      </c>
      <c r="E13" s="7" t="n">
        <v>8</v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4" t="inlineStr">
        <is>
          <t>Inspiration Points Cap (IP)</t>
        </is>
      </c>
      <c r="B15" s="8">
        <f>B12</f>
        <v/>
      </c>
      <c r="C15" s="7" t="inlineStr">
        <is>
          <t>Weekly long rest restores to cap</t>
        </is>
      </c>
      <c r="D15" s="4" t="inlineStr">
        <is>
          <t>Current Inspiration Points (IP)</t>
        </is>
      </c>
      <c r="E15" s="6" t="n">
        <v>2</v>
      </c>
    </row>
    <row r="16">
      <c r="A16" s="4" t="inlineStr">
        <is>
          <t>Action Points (AP)</t>
        </is>
      </c>
      <c r="B16" s="8">
        <f>B13*2</f>
        <v/>
      </c>
      <c r="C16" s="7">
        <f> Stamina × 2</f>
        <v/>
      </c>
    </row>
    <row r="17">
      <c r="A17" s="4" t="inlineStr">
        <is>
          <t>Quality Cap</t>
        </is>
      </c>
      <c r="B17" s="8">
        <f>B9+INT(B12/2)</f>
        <v/>
      </c>
      <c r="C17" s="7">
        <f> Craft + ⌊Inspiration/2⌋</f>
        <v/>
      </c>
    </row>
    <row r="18">
      <c r="A18" s="4" t="inlineStr">
        <is>
          <t>Shop Rating</t>
        </is>
      </c>
      <c r="B18" s="8">
        <f>B11+INT(B9/2)+F22</f>
        <v/>
      </c>
      <c r="C18" s="7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4" t="inlineStr">
        <is>
          <t>Shop Level</t>
        </is>
      </c>
      <c r="B21" s="6" t="n">
        <v>1</v>
      </c>
      <c r="C21" s="4" t="inlineStr">
        <is>
          <t>Foot Traffic Modifier</t>
        </is>
      </c>
      <c r="D21" s="8">
        <f>1*2-2</f>
        <v/>
      </c>
    </row>
    <row r="22">
      <c r="A22" s="4" t="inlineStr">
        <is>
          <t>Reputation Value</t>
        </is>
      </c>
      <c r="B22" s="6" t="n">
        <v>0</v>
      </c>
      <c r="C22" s="4" t="inlineStr">
        <is>
          <t>Decor Score</t>
        </is>
      </c>
      <c r="D22" s="6" t="n">
        <v>0</v>
      </c>
    </row>
    <row r="23">
      <c r="A23" s="4" t="inlineStr">
        <is>
          <t>Funds</t>
        </is>
      </c>
      <c r="B23" s="6" t="n">
        <v>500</v>
      </c>
      <c r="C23" s="4" t="inlineStr">
        <is>
          <t>Reputation Tendency</t>
        </is>
      </c>
      <c r="D23" s="5" t="inlineStr"/>
    </row>
    <row r="24"/>
    <row r="25">
      <c r="A25" s="2" t="inlineStr">
        <is>
          <t>Skill (Lv.0-3, yellow = input)</t>
        </is>
      </c>
      <c r="B25" s="10" t="n"/>
      <c r="C25" s="11" t="n"/>
      <c r="D25" s="4" t="inlineStr">
        <is>
          <t>Level</t>
        </is>
      </c>
      <c r="E25" s="4" t="inlineStr">
        <is>
          <t>Success Count</t>
        </is>
      </c>
    </row>
    <row r="26">
      <c r="A26" s="9" t="inlineStr">
        <is>
          <t>Smithing</t>
        </is>
      </c>
      <c r="B26" s="7" t="inlineStr">
        <is>
          <t>(Craft)</t>
        </is>
      </c>
      <c r="D26" s="6" t="n">
        <v>0</v>
      </c>
      <c r="E26" s="6" t="n">
        <v>0</v>
      </c>
    </row>
    <row r="27">
      <c r="A27" s="9" t="inlineStr">
        <is>
          <t>Cooking</t>
        </is>
      </c>
      <c r="B27" s="7" t="inlineStr">
        <is>
          <t>(Craft)</t>
        </is>
      </c>
      <c r="D27" s="6" t="n">
        <v>0</v>
      </c>
      <c r="E27" s="6" t="n">
        <v>0</v>
      </c>
    </row>
    <row r="28">
      <c r="A28" s="9" t="inlineStr">
        <is>
          <t>Tailoring</t>
        </is>
      </c>
      <c r="B28" s="7" t="inlineStr">
        <is>
          <t>(Craft)</t>
        </is>
      </c>
      <c r="D28" s="6" t="n">
        <v>0</v>
      </c>
      <c r="E28" s="6" t="n">
        <v>0</v>
      </c>
    </row>
    <row r="29">
      <c r="A29" s="9" t="inlineStr">
        <is>
          <t>Alchemy</t>
        </is>
      </c>
      <c r="B29" s="7" t="inlineStr">
        <is>
          <t>(Appraisal)</t>
        </is>
      </c>
      <c r="D29" s="6" t="n">
        <v>0</v>
      </c>
      <c r="E29" s="6" t="n">
        <v>0</v>
      </c>
    </row>
    <row r="30">
      <c r="A30" s="9" t="inlineStr">
        <is>
          <t>Foraging</t>
        </is>
      </c>
      <c r="B30" s="7" t="inlineStr">
        <is>
          <t>(Appraisal)</t>
        </is>
      </c>
      <c r="D30" s="6" t="n">
        <v>0</v>
      </c>
      <c r="E30" s="6" t="n">
        <v>0</v>
      </c>
    </row>
    <row r="31">
      <c r="A31" s="9" t="inlineStr">
        <is>
          <t>Haggling</t>
        </is>
      </c>
      <c r="B31" s="7" t="inlineStr">
        <is>
          <t>(Social)</t>
        </is>
      </c>
      <c r="D31" s="6" t="n">
        <v>2</v>
      </c>
      <c r="E31" s="6" t="n">
        <v>0</v>
      </c>
    </row>
    <row r="32">
      <c r="A32" s="9" t="inlineStr">
        <is>
          <t>Hospitality</t>
        </is>
      </c>
      <c r="B32" s="7" t="inlineStr">
        <is>
          <t>(Social)</t>
        </is>
      </c>
      <c r="D32" s="6" t="n">
        <v>1</v>
      </c>
      <c r="E32" s="6" t="n">
        <v>0</v>
      </c>
    </row>
    <row r="33">
      <c r="A33" s="9" t="inlineStr">
        <is>
          <t>Design</t>
        </is>
      </c>
      <c r="B33" s="7" t="inlineStr">
        <is>
          <t>(Inspiration)</t>
        </is>
      </c>
      <c r="D33" s="6" t="n">
        <v>0</v>
      </c>
      <c r="E33" s="6" t="n">
        <v>0</v>
      </c>
    </row>
    <row r="34">
      <c r="A34" s="9" t="inlineStr">
        <is>
          <t>Survival</t>
        </is>
      </c>
      <c r="B34" s="7" t="inlineStr">
        <is>
          <t>(Stamina)</t>
        </is>
      </c>
      <c r="D34" s="6" t="n">
        <v>0</v>
      </c>
      <c r="E34" s="6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4" t="inlineStr">
        <is>
          <t>Fatigue Value (0-10)</t>
        </is>
      </c>
      <c r="B37" s="6" t="n">
        <v>0</v>
      </c>
      <c r="C37" s="4" t="inlineStr">
        <is>
          <t>Injury</t>
        </is>
      </c>
      <c r="D37" s="5" t="inlineStr"/>
    </row>
    <row r="38">
      <c r="A38" s="4" t="inlineStr">
        <is>
          <t>Primary Class EXP</t>
        </is>
      </c>
      <c r="B38" s="6" t="n">
        <v>0</v>
      </c>
      <c r="C38" s="4" t="inlineStr">
        <is>
          <t>Side Class EXP</t>
        </is>
      </c>
      <c r="D38" s="6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Personal Carry Cap</t>
        </is>
      </c>
      <c r="B41" s="8">
        <f>IF(B13=1,4,IF(B13=2,6,IF(B13=3,8,IF(B13=4,10,IF(B13=5,14,0)))))</f>
        <v/>
      </c>
      <c r="C41" s="7" t="inlineStr">
        <is>
          <t>Auto-calculated from Stamina (backpack capacity)</t>
        </is>
      </c>
    </row>
    <row r="42">
      <c r="A42" s="4" t="inlineStr">
        <is>
          <t>Tool Name</t>
        </is>
      </c>
      <c r="B42" s="5" t="inlineStr"/>
      <c r="C42" s="4" t="inlineStr">
        <is>
          <t>Durability</t>
        </is>
      </c>
      <c r="D42" s="5" t="inlineStr"/>
    </row>
    <row r="43">
      <c r="A43" s="4" t="inlineStr">
        <is>
          <t>Tool Name 2</t>
        </is>
      </c>
      <c r="B43" s="5" t="inlineStr"/>
      <c r="C43" s="4" t="inlineStr">
        <is>
          <t>Durability</t>
        </is>
      </c>
      <c r="D43" s="5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Racial Trait</t>
        </is>
      </c>
      <c r="B47" s="3" t="inlineStr">
        <is>
          <t>Lucky Daily (once per day, Critical Failure → normal failure)</t>
        </is>
      </c>
      <c r="C47" s="10" t="n"/>
      <c r="D47" s="10" t="n"/>
      <c r="E47" s="10" t="n"/>
      <c r="F47" s="11" t="n"/>
    </row>
    <row r="48">
      <c r="A48" s="4" t="inlineStr">
        <is>
          <t>Signature Skill (Primary)</t>
        </is>
      </c>
      <c r="B48" s="3" t="inlineStr">
        <is>
          <t>Sense the Opportunity</t>
        </is>
      </c>
      <c r="C48" s="10" t="n"/>
      <c r="D48" s="10" t="n"/>
      <c r="E48" s="10" t="n"/>
      <c r="F48" s="11" t="n"/>
    </row>
    <row r="49">
      <c r="A49" s="4" t="inlineStr">
        <is>
          <t>Signature Skill (Side)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Skill Tree (Primary)</t>
        </is>
      </c>
      <c r="B50" s="3" t="inlineStr">
        <is>
          <t xml:space="preserve">T1: Haggling | T2:  | T3: </t>
        </is>
      </c>
      <c r="C50" s="10" t="n"/>
      <c r="D50" s="10" t="n"/>
      <c r="E50" s="10" t="n"/>
      <c r="F50" s="11" t="n"/>
    </row>
    <row r="51">
      <c r="A51" s="4" t="inlineStr">
        <is>
          <t>Skill Tree (Side)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Synergy Bonus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Tool</t>
        </is>
      </c>
      <c r="B55" s="3" t="inlineStr">
        <is>
          <t>Weighing Scale (30G)</t>
        </is>
      </c>
      <c r="C55" s="10" t="n"/>
      <c r="D55" s="10" t="n"/>
      <c r="E55" s="10" t="n"/>
      <c r="F55" s="11" t="n"/>
    </row>
    <row r="56">
      <c r="A56" s="4" t="inlineStr">
        <is>
          <t>Weapon / Armor</t>
        </is>
      </c>
      <c r="B56" s="3" t="inlineStr">
        <is>
          <t>Dagger (d4)</t>
        </is>
      </c>
      <c r="C56" s="10" t="n"/>
      <c r="D56" s="10" t="n"/>
      <c r="E56" s="10" t="n"/>
      <c r="F56" s="11" t="n"/>
    </row>
    <row r="57">
      <c r="A57" s="4" t="inlineStr">
        <is>
          <t>Magic Item</t>
        </is>
      </c>
      <c r="B57" s="3" t="inlineStr">
        <is>
          <t>Lucky Fortune Cat (300G)</t>
        </is>
      </c>
      <c r="C57" s="10" t="n"/>
      <c r="D57" s="10" t="n"/>
      <c r="E57" s="10" t="n"/>
      <c r="F57" s="11" t="n"/>
    </row>
    <row r="58">
      <c r="A58" s="4" t="inlineStr">
        <is>
          <t>Recipe</t>
        </is>
      </c>
      <c r="B58" s="3" t="inlineStr">
        <is>
          <t>Dry Goods Resale Bundle (Difficulty (DC) 9), Travel Supply Pack (Difficulty (DC) 9)</t>
        </is>
      </c>
      <c r="C58" s="10" t="n"/>
      <c r="D58" s="10" t="n"/>
      <c r="E58" s="10" t="n"/>
      <c r="F58" s="11" t="n"/>
    </row>
    <row r="59">
      <c r="A59" s="4" t="inlineStr">
        <is>
          <t>Notes</t>
        </is>
      </c>
      <c r="B59" s="3" t="inlineStr">
        <is>
          <t>Caravan procurement. Partner absconded with funds. Creditor: Smiling Bato.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4" t="inlineStr">
        <is>
          <t>Character Name</t>
        </is>
      </c>
      <c r="B4" s="5" t="inlineStr">
        <is>
          <t>Steelmane</t>
        </is>
      </c>
      <c r="D4" s="4" t="inlineStr">
        <is>
          <t>Race</t>
        </is>
      </c>
      <c r="E4" s="5" t="inlineStr">
        <is>
          <t>Half-Orc</t>
        </is>
      </c>
    </row>
    <row r="5">
      <c r="A5" s="4" t="inlineStr">
        <is>
          <t>Primary Class</t>
        </is>
      </c>
      <c r="B5" s="5" t="inlineStr">
        <is>
          <t>Gatherer</t>
        </is>
      </c>
      <c r="D5" s="4" t="inlineStr">
        <is>
          <t>Side Class</t>
        </is>
      </c>
      <c r="E5" s="5" t="inlineStr"/>
    </row>
    <row r="6">
      <c r="A6" s="4" t="inlineStr">
        <is>
          <t>Shop</t>
        </is>
      </c>
      <c r="B6" s="5" t="inlineStr">
        <is>
          <t>Wilderness Canteen</t>
        </is>
      </c>
      <c r="D6" s="4" t="inlineStr">
        <is>
          <t>Location</t>
        </is>
      </c>
      <c r="E6" s="5" t="inlineStr">
        <is>
          <t>Watchkeep</t>
        </is>
      </c>
    </row>
    <row r="7"/>
    <row r="8">
      <c r="A8" s="2" t="inlineStr">
        <is>
          <t>Attributes (yellow = input)</t>
        </is>
      </c>
      <c r="B8" s="10" t="n"/>
      <c r="C8" s="11" t="n"/>
      <c r="D8" s="4" t="inlineStr">
        <is>
          <t>Growth Tick</t>
        </is>
      </c>
      <c r="E8" s="4" t="inlineStr">
        <is>
          <t>Goal</t>
        </is>
      </c>
    </row>
    <row r="9">
      <c r="A9" s="4" t="inlineStr">
        <is>
          <t>Craft</t>
        </is>
      </c>
      <c r="B9" s="6" t="n">
        <v>2</v>
      </c>
      <c r="C9" s="7" t="inlineStr">
        <is>
          <t>Handicraft / Fine Manipulation</t>
        </is>
      </c>
      <c r="D9" s="6" t="n">
        <v>0</v>
      </c>
      <c r="E9" s="7" t="n">
        <v>8</v>
      </c>
    </row>
    <row r="10">
      <c r="A10" s="4" t="inlineStr">
        <is>
          <t>Appraisal</t>
        </is>
      </c>
      <c r="B10" s="6" t="n">
        <v>5</v>
      </c>
      <c r="C10" s="7" t="inlineStr">
        <is>
          <t>Discern / Authenticity / Knowledge</t>
        </is>
      </c>
      <c r="D10" s="6" t="n">
        <v>0</v>
      </c>
      <c r="E10" s="7" t="inlineStr">
        <is>
          <t>—</t>
        </is>
      </c>
    </row>
    <row r="11">
      <c r="A11" s="4" t="inlineStr">
        <is>
          <t>Social</t>
        </is>
      </c>
      <c r="B11" s="6" t="n">
        <v>1</v>
      </c>
      <c r="C11" s="7" t="inlineStr">
        <is>
          <t>Communication / Charm / Negotiation</t>
        </is>
      </c>
      <c r="D11" s="6" t="n">
        <v>0</v>
      </c>
      <c r="E11" s="7" t="n">
        <v>5</v>
      </c>
    </row>
    <row r="12">
      <c r="A12" s="4" t="inlineStr">
        <is>
          <t>Inspiration</t>
        </is>
      </c>
      <c r="B12" s="6" t="n">
        <v>2</v>
      </c>
      <c r="C12" s="7" t="inlineStr">
        <is>
          <t>Creation / Intuition / Aesthetics</t>
        </is>
      </c>
      <c r="D12" s="6" t="n">
        <v>0</v>
      </c>
      <c r="E12" s="7" t="n">
        <v>8</v>
      </c>
    </row>
    <row r="13">
      <c r="A13" s="4" t="inlineStr">
        <is>
          <t>Stamina</t>
        </is>
      </c>
      <c r="B13" s="6" t="n">
        <v>5</v>
      </c>
      <c r="C13" s="7" t="inlineStr">
        <is>
          <t>Endurance / Strength / Wilderness</t>
        </is>
      </c>
      <c r="D13" s="6" t="n">
        <v>0</v>
      </c>
      <c r="E13" s="7" t="inlineStr">
        <is>
          <t>—</t>
        </is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4" t="inlineStr">
        <is>
          <t>Inspiration Points Cap (IP)</t>
        </is>
      </c>
      <c r="B15" s="8">
        <f>B12</f>
        <v/>
      </c>
      <c r="C15" s="7" t="inlineStr">
        <is>
          <t>Weekly long rest restores to cap</t>
        </is>
      </c>
      <c r="D15" s="4" t="inlineStr">
        <is>
          <t>Current Inspiration Points (IP)</t>
        </is>
      </c>
      <c r="E15" s="6" t="n">
        <v>2</v>
      </c>
    </row>
    <row r="16">
      <c r="A16" s="4" t="inlineStr">
        <is>
          <t>Action Points (AP)</t>
        </is>
      </c>
      <c r="B16" s="8">
        <f>B13*2</f>
        <v/>
      </c>
      <c r="C16" s="7">
        <f> Stamina × 2</f>
        <v/>
      </c>
    </row>
    <row r="17">
      <c r="A17" s="4" t="inlineStr">
        <is>
          <t>Quality Cap</t>
        </is>
      </c>
      <c r="B17" s="8">
        <f>B9+INT(B12/2)</f>
        <v/>
      </c>
      <c r="C17" s="7">
        <f> Craft + ⌊Inspiration/2⌋</f>
        <v/>
      </c>
    </row>
    <row r="18">
      <c r="A18" s="4" t="inlineStr">
        <is>
          <t>Shop Rating</t>
        </is>
      </c>
      <c r="B18" s="8">
        <f>B11+INT(B9/2)+F22</f>
        <v/>
      </c>
      <c r="C18" s="7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4" t="inlineStr">
        <is>
          <t>Shop Level</t>
        </is>
      </c>
      <c r="B21" s="6" t="n">
        <v>1</v>
      </c>
      <c r="C21" s="4" t="inlineStr">
        <is>
          <t>Foot Traffic Modifier</t>
        </is>
      </c>
      <c r="D21" s="8">
        <f>1*2-2</f>
        <v/>
      </c>
    </row>
    <row r="22">
      <c r="A22" s="4" t="inlineStr">
        <is>
          <t>Reputation Value</t>
        </is>
      </c>
      <c r="B22" s="6" t="n">
        <v>0</v>
      </c>
      <c r="C22" s="4" t="inlineStr">
        <is>
          <t>Decor Score</t>
        </is>
      </c>
      <c r="D22" s="6" t="n">
        <v>0</v>
      </c>
    </row>
    <row r="23">
      <c r="A23" s="4" t="inlineStr">
        <is>
          <t>Funds</t>
        </is>
      </c>
      <c r="B23" s="6" t="n">
        <v>300</v>
      </c>
      <c r="C23" s="4" t="inlineStr">
        <is>
          <t>Reputation Tendency</t>
        </is>
      </c>
      <c r="D23" s="5" t="inlineStr"/>
    </row>
    <row r="24"/>
    <row r="25">
      <c r="A25" s="2" t="inlineStr">
        <is>
          <t>Skill (Lv.0-3, yellow = input)</t>
        </is>
      </c>
      <c r="B25" s="10" t="n"/>
      <c r="C25" s="11" t="n"/>
      <c r="D25" s="4" t="inlineStr">
        <is>
          <t>Level</t>
        </is>
      </c>
      <c r="E25" s="4" t="inlineStr">
        <is>
          <t>Success Count</t>
        </is>
      </c>
    </row>
    <row r="26">
      <c r="A26" s="9" t="inlineStr">
        <is>
          <t>Smithing</t>
        </is>
      </c>
      <c r="B26" s="7" t="inlineStr">
        <is>
          <t>(Craft)</t>
        </is>
      </c>
      <c r="D26" s="6" t="n">
        <v>0</v>
      </c>
      <c r="E26" s="6" t="n">
        <v>0</v>
      </c>
    </row>
    <row r="27">
      <c r="A27" s="9" t="inlineStr">
        <is>
          <t>Cooking</t>
        </is>
      </c>
      <c r="B27" s="7" t="inlineStr">
        <is>
          <t>(Craft)</t>
        </is>
      </c>
      <c r="D27" s="6" t="n">
        <v>1</v>
      </c>
      <c r="E27" s="6" t="n">
        <v>0</v>
      </c>
    </row>
    <row r="28">
      <c r="A28" s="9" t="inlineStr">
        <is>
          <t>Tailoring</t>
        </is>
      </c>
      <c r="B28" s="7" t="inlineStr">
        <is>
          <t>(Craft)</t>
        </is>
      </c>
      <c r="D28" s="6" t="n">
        <v>0</v>
      </c>
      <c r="E28" s="6" t="n">
        <v>0</v>
      </c>
    </row>
    <row r="29">
      <c r="A29" s="9" t="inlineStr">
        <is>
          <t>Alchemy</t>
        </is>
      </c>
      <c r="B29" s="7" t="inlineStr">
        <is>
          <t>(Appraisal)</t>
        </is>
      </c>
      <c r="D29" s="6" t="n">
        <v>0</v>
      </c>
      <c r="E29" s="6" t="n">
        <v>0</v>
      </c>
    </row>
    <row r="30">
      <c r="A30" s="9" t="inlineStr">
        <is>
          <t>Foraging</t>
        </is>
      </c>
      <c r="B30" s="7" t="inlineStr">
        <is>
          <t>(Appraisal)</t>
        </is>
      </c>
      <c r="D30" s="6" t="n">
        <v>2</v>
      </c>
      <c r="E30" s="6" t="n">
        <v>0</v>
      </c>
    </row>
    <row r="31">
      <c r="A31" s="9" t="inlineStr">
        <is>
          <t>Haggling</t>
        </is>
      </c>
      <c r="B31" s="7" t="inlineStr">
        <is>
          <t>(Social)</t>
        </is>
      </c>
      <c r="D31" s="6" t="n">
        <v>0</v>
      </c>
      <c r="E31" s="6" t="n">
        <v>0</v>
      </c>
    </row>
    <row r="32">
      <c r="A32" s="9" t="inlineStr">
        <is>
          <t>Hospitality</t>
        </is>
      </c>
      <c r="B32" s="7" t="inlineStr">
        <is>
          <t>(Social)</t>
        </is>
      </c>
      <c r="D32" s="6" t="n">
        <v>0</v>
      </c>
      <c r="E32" s="6" t="n">
        <v>0</v>
      </c>
    </row>
    <row r="33">
      <c r="A33" s="9" t="inlineStr">
        <is>
          <t>Design</t>
        </is>
      </c>
      <c r="B33" s="7" t="inlineStr">
        <is>
          <t>(Inspiration)</t>
        </is>
      </c>
      <c r="D33" s="6" t="n">
        <v>0</v>
      </c>
      <c r="E33" s="6" t="n">
        <v>0</v>
      </c>
    </row>
    <row r="34">
      <c r="A34" s="9" t="inlineStr">
        <is>
          <t>Survival</t>
        </is>
      </c>
      <c r="B34" s="7" t="inlineStr">
        <is>
          <t>(Stamina)</t>
        </is>
      </c>
      <c r="D34" s="6" t="n">
        <v>1</v>
      </c>
      <c r="E34" s="6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4" t="inlineStr">
        <is>
          <t>Fatigue Value (0-10)</t>
        </is>
      </c>
      <c r="B37" s="6" t="n">
        <v>0</v>
      </c>
      <c r="C37" s="4" t="inlineStr">
        <is>
          <t>Injury</t>
        </is>
      </c>
      <c r="D37" s="5" t="inlineStr"/>
    </row>
    <row r="38">
      <c r="A38" s="4" t="inlineStr">
        <is>
          <t>Primary Class EXP</t>
        </is>
      </c>
      <c r="B38" s="6" t="n">
        <v>0</v>
      </c>
      <c r="C38" s="4" t="inlineStr">
        <is>
          <t>Side Class EXP</t>
        </is>
      </c>
      <c r="D38" s="6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Personal Carry Cap</t>
        </is>
      </c>
      <c r="B41" s="8">
        <f>IF(B13=1,4,IF(B13=2,6,IF(B13=3,8,IF(B13=4,10,IF(B13=5,14,0)))))</f>
        <v/>
      </c>
      <c r="C41" s="7" t="inlineStr">
        <is>
          <t>Auto-calculated from Stamina (backpack capacity)</t>
        </is>
      </c>
    </row>
    <row r="42">
      <c r="A42" s="4" t="inlineStr">
        <is>
          <t>Tool Name</t>
        </is>
      </c>
      <c r="B42" s="5" t="inlineStr"/>
      <c r="C42" s="4" t="inlineStr">
        <is>
          <t>Durability</t>
        </is>
      </c>
      <c r="D42" s="5" t="inlineStr"/>
    </row>
    <row r="43">
      <c r="A43" s="4" t="inlineStr">
        <is>
          <t>Tool Name 2</t>
        </is>
      </c>
      <c r="B43" s="5" t="inlineStr"/>
      <c r="C43" s="4" t="inlineStr">
        <is>
          <t>Durability</t>
        </is>
      </c>
      <c r="D43" s="5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Racial Trait</t>
        </is>
      </c>
      <c r="B47" s="3" t="inlineStr">
        <is>
          <t>Indomitable Body (failed Stamina Check can offset damage)</t>
        </is>
      </c>
      <c r="C47" s="10" t="n"/>
      <c r="D47" s="10" t="n"/>
      <c r="E47" s="10" t="n"/>
      <c r="F47" s="11" t="n"/>
    </row>
    <row r="48">
      <c r="A48" s="4" t="inlineStr">
        <is>
          <t>Signature Skill (Primary)</t>
        </is>
      </c>
      <c r="B48" s="3" t="inlineStr">
        <is>
          <t>Nature's Guidance</t>
        </is>
      </c>
      <c r="C48" s="10" t="n"/>
      <c r="D48" s="10" t="n"/>
      <c r="E48" s="10" t="n"/>
      <c r="F48" s="11" t="n"/>
    </row>
    <row r="49">
      <c r="A49" s="4" t="inlineStr">
        <is>
          <t>Signature Skill (Side)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Skill Tree (Primary)</t>
        </is>
      </c>
      <c r="B50" s="3" t="inlineStr">
        <is>
          <t xml:space="preserve">T1: Track Footprints | T2:  | T3: </t>
        </is>
      </c>
      <c r="C50" s="10" t="n"/>
      <c r="D50" s="10" t="n"/>
      <c r="E50" s="10" t="n"/>
      <c r="F50" s="11" t="n"/>
    </row>
    <row r="51">
      <c r="A51" s="4" t="inlineStr">
        <is>
          <t>Skill Tree (Side)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Synergy Bonus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Tool</t>
        </is>
      </c>
      <c r="B55" s="3" t="inlineStr">
        <is>
          <t>Foraging Tool Set (40G), Hunting Bow (30G)</t>
        </is>
      </c>
      <c r="C55" s="10" t="n"/>
      <c r="D55" s="10" t="n"/>
      <c r="E55" s="10" t="n"/>
      <c r="F55" s="11" t="n"/>
    </row>
    <row r="56">
      <c r="A56" s="4" t="inlineStr">
        <is>
          <t>Weapon / Armor</t>
        </is>
      </c>
      <c r="B56" s="3" t="inlineStr">
        <is>
          <t>Hunting Bow (d6), Short Sword (d6), Leather Armor (+1)</t>
        </is>
      </c>
      <c r="C56" s="10" t="n"/>
      <c r="D56" s="10" t="n"/>
      <c r="E56" s="10" t="n"/>
      <c r="F56" s="11" t="n"/>
    </row>
    <row r="57">
      <c r="A57" s="4" t="inlineStr">
        <is>
          <t>Magic Item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Recipe</t>
        </is>
      </c>
      <c r="B58" s="3" t="inlineStr">
        <is>
          <t>Wilderness Foraging Pack (Difficulty (DC) 9), Simple Trap (Difficulty (DC) 9)</t>
        </is>
      </c>
      <c r="C58" s="10" t="n"/>
      <c r="D58" s="10" t="n"/>
      <c r="E58" s="10" t="n"/>
      <c r="F58" s="11" t="n"/>
    </row>
    <row r="59">
      <c r="A59" s="4" t="inlineStr">
        <is>
          <t>Notes</t>
        </is>
      </c>
      <c r="B59" s="3" t="inlineStr">
        <is>
          <t>Wilderness hunter. His master's hunting dog, Old Grey, is still alive.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4" t="inlineStr">
        <is>
          <t>Character Name</t>
        </is>
      </c>
      <c r="B4" s="5" t="inlineStr">
        <is>
          <t>Old Bookworm</t>
        </is>
      </c>
      <c r="D4" s="4" t="inlineStr">
        <is>
          <t>Race</t>
        </is>
      </c>
      <c r="E4" s="5" t="inlineStr">
        <is>
          <t>Human</t>
        </is>
      </c>
    </row>
    <row r="5">
      <c r="A5" s="4" t="inlineStr">
        <is>
          <t>Primary Class</t>
        </is>
      </c>
      <c r="B5" s="5" t="inlineStr">
        <is>
          <t>Researcher</t>
        </is>
      </c>
      <c r="D5" s="4" t="inlineStr">
        <is>
          <t>Side Class</t>
        </is>
      </c>
      <c r="E5" s="5" t="inlineStr"/>
    </row>
    <row r="6">
      <c r="A6" s="4" t="inlineStr">
        <is>
          <t>Shop</t>
        </is>
      </c>
      <c r="B6" s="5" t="inlineStr">
        <is>
          <t>Old-Paper-Pile Workshop</t>
        </is>
      </c>
      <c r="D6" s="4" t="inlineStr">
        <is>
          <t>Location</t>
        </is>
      </c>
      <c r="E6" s="5" t="inlineStr">
        <is>
          <t>Royal Capital</t>
        </is>
      </c>
    </row>
    <row r="7"/>
    <row r="8">
      <c r="A8" s="2" t="inlineStr">
        <is>
          <t>Attributes (yellow = input)</t>
        </is>
      </c>
      <c r="B8" s="10" t="n"/>
      <c r="C8" s="11" t="n"/>
      <c r="D8" s="4" t="inlineStr">
        <is>
          <t>Growth Tick</t>
        </is>
      </c>
      <c r="E8" s="4" t="inlineStr">
        <is>
          <t>Goal</t>
        </is>
      </c>
    </row>
    <row r="9">
      <c r="A9" s="4" t="inlineStr">
        <is>
          <t>Craft</t>
        </is>
      </c>
      <c r="B9" s="6" t="n">
        <v>2</v>
      </c>
      <c r="C9" s="7" t="inlineStr">
        <is>
          <t>Handicraft / Fine Manipulation</t>
        </is>
      </c>
      <c r="D9" s="6" t="n">
        <v>0</v>
      </c>
      <c r="E9" s="7" t="n">
        <v>8</v>
      </c>
    </row>
    <row r="10">
      <c r="A10" s="4" t="inlineStr">
        <is>
          <t>Appraisal</t>
        </is>
      </c>
      <c r="B10" s="6" t="n">
        <v>5</v>
      </c>
      <c r="C10" s="7" t="inlineStr">
        <is>
          <t>Discern / Authenticity / Knowledge</t>
        </is>
      </c>
      <c r="D10" s="6" t="n">
        <v>0</v>
      </c>
      <c r="E10" s="7" t="inlineStr">
        <is>
          <t>—</t>
        </is>
      </c>
    </row>
    <row r="11">
      <c r="A11" s="4" t="inlineStr">
        <is>
          <t>Social</t>
        </is>
      </c>
      <c r="B11" s="6" t="n">
        <v>1</v>
      </c>
      <c r="C11" s="7" t="inlineStr">
        <is>
          <t>Communication / Charm / Negotiation</t>
        </is>
      </c>
      <c r="D11" s="6" t="n">
        <v>0</v>
      </c>
      <c r="E11" s="7" t="n">
        <v>5</v>
      </c>
    </row>
    <row r="12">
      <c r="A12" s="4" t="inlineStr">
        <is>
          <t>Inspiration</t>
        </is>
      </c>
      <c r="B12" s="6" t="n">
        <v>5</v>
      </c>
      <c r="C12" s="7" t="inlineStr">
        <is>
          <t>Creation / Intuition / Aesthetics</t>
        </is>
      </c>
      <c r="D12" s="6" t="n">
        <v>0</v>
      </c>
      <c r="E12" s="7" t="inlineStr">
        <is>
          <t>—</t>
        </is>
      </c>
    </row>
    <row r="13">
      <c r="A13" s="4" t="inlineStr">
        <is>
          <t>Stamina</t>
        </is>
      </c>
      <c r="B13" s="6" t="n">
        <v>2</v>
      </c>
      <c r="C13" s="7" t="inlineStr">
        <is>
          <t>Endurance / Strength / Wilderness</t>
        </is>
      </c>
      <c r="D13" s="6" t="n">
        <v>0</v>
      </c>
      <c r="E13" s="7" t="n">
        <v>8</v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4" t="inlineStr">
        <is>
          <t>Inspiration Points Cap (IP)</t>
        </is>
      </c>
      <c r="B15" s="8">
        <f>B12</f>
        <v/>
      </c>
      <c r="C15" s="7" t="inlineStr">
        <is>
          <t>Weekly long rest restores to cap</t>
        </is>
      </c>
      <c r="D15" s="4" t="inlineStr">
        <is>
          <t>Current Inspiration Points (IP)</t>
        </is>
      </c>
      <c r="E15" s="6" t="n">
        <v>5</v>
      </c>
    </row>
    <row r="16">
      <c r="A16" s="4" t="inlineStr">
        <is>
          <t>Action Points (AP)</t>
        </is>
      </c>
      <c r="B16" s="8">
        <f>B13*2</f>
        <v/>
      </c>
      <c r="C16" s="7">
        <f> Stamina × 2</f>
        <v/>
      </c>
    </row>
    <row r="17">
      <c r="A17" s="4" t="inlineStr">
        <is>
          <t>Quality Cap</t>
        </is>
      </c>
      <c r="B17" s="8">
        <f>B9+INT(B12/2)</f>
        <v/>
      </c>
      <c r="C17" s="7">
        <f> Craft + ⌊Inspiration/2⌋</f>
        <v/>
      </c>
    </row>
    <row r="18">
      <c r="A18" s="4" t="inlineStr">
        <is>
          <t>Shop Rating</t>
        </is>
      </c>
      <c r="B18" s="8">
        <f>B11+INT(B9/2)+F22</f>
        <v/>
      </c>
      <c r="C18" s="7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4" t="inlineStr">
        <is>
          <t>Shop Level</t>
        </is>
      </c>
      <c r="B21" s="6" t="n">
        <v>1</v>
      </c>
      <c r="C21" s="4" t="inlineStr">
        <is>
          <t>Foot Traffic Modifier</t>
        </is>
      </c>
      <c r="D21" s="8">
        <f>1*2-2</f>
        <v/>
      </c>
    </row>
    <row r="22">
      <c r="A22" s="4" t="inlineStr">
        <is>
          <t>Reputation Value</t>
        </is>
      </c>
      <c r="B22" s="6" t="n">
        <v>0</v>
      </c>
      <c r="C22" s="4" t="inlineStr">
        <is>
          <t>Decor Score</t>
        </is>
      </c>
      <c r="D22" s="6" t="n">
        <v>0</v>
      </c>
    </row>
    <row r="23">
      <c r="A23" s="4" t="inlineStr">
        <is>
          <t>Funds</t>
        </is>
      </c>
      <c r="B23" s="6" t="n">
        <v>480</v>
      </c>
      <c r="C23" s="4" t="inlineStr">
        <is>
          <t>Reputation Tendency</t>
        </is>
      </c>
      <c r="D23" s="5" t="inlineStr"/>
    </row>
    <row r="24"/>
    <row r="25">
      <c r="A25" s="2" t="inlineStr">
        <is>
          <t>Skill (Lv.0-3, yellow = input)</t>
        </is>
      </c>
      <c r="B25" s="10" t="n"/>
      <c r="C25" s="11" t="n"/>
      <c r="D25" s="4" t="inlineStr">
        <is>
          <t>Level</t>
        </is>
      </c>
      <c r="E25" s="4" t="inlineStr">
        <is>
          <t>Success Count</t>
        </is>
      </c>
    </row>
    <row r="26">
      <c r="A26" s="9" t="inlineStr">
        <is>
          <t>Smithing</t>
        </is>
      </c>
      <c r="B26" s="7" t="inlineStr">
        <is>
          <t>(Craft)</t>
        </is>
      </c>
      <c r="D26" s="6" t="n">
        <v>0</v>
      </c>
      <c r="E26" s="6" t="n">
        <v>0</v>
      </c>
    </row>
    <row r="27">
      <c r="A27" s="9" t="inlineStr">
        <is>
          <t>Cooking</t>
        </is>
      </c>
      <c r="B27" s="7" t="inlineStr">
        <is>
          <t>(Craft)</t>
        </is>
      </c>
      <c r="D27" s="6" t="n">
        <v>0</v>
      </c>
      <c r="E27" s="6" t="n">
        <v>0</v>
      </c>
    </row>
    <row r="28">
      <c r="A28" s="9" t="inlineStr">
        <is>
          <t>Tailoring</t>
        </is>
      </c>
      <c r="B28" s="7" t="inlineStr">
        <is>
          <t>(Craft)</t>
        </is>
      </c>
      <c r="D28" s="6" t="n">
        <v>0</v>
      </c>
      <c r="E28" s="6" t="n">
        <v>0</v>
      </c>
    </row>
    <row r="29">
      <c r="A29" s="9" t="inlineStr">
        <is>
          <t>Alchemy</t>
        </is>
      </c>
      <c r="B29" s="7" t="inlineStr">
        <is>
          <t>(Appraisal)</t>
        </is>
      </c>
      <c r="D29" s="6" t="n">
        <v>0</v>
      </c>
      <c r="E29" s="6" t="n">
        <v>0</v>
      </c>
    </row>
    <row r="30">
      <c r="A30" s="9" t="inlineStr">
        <is>
          <t>Foraging</t>
        </is>
      </c>
      <c r="B30" s="7" t="inlineStr">
        <is>
          <t>(Appraisal)</t>
        </is>
      </c>
      <c r="D30" s="6" t="n">
        <v>0</v>
      </c>
      <c r="E30" s="6" t="n">
        <v>0</v>
      </c>
    </row>
    <row r="31">
      <c r="A31" s="9" t="inlineStr">
        <is>
          <t>Haggling</t>
        </is>
      </c>
      <c r="B31" s="7" t="inlineStr">
        <is>
          <t>(Social)</t>
        </is>
      </c>
      <c r="D31" s="6" t="n">
        <v>0</v>
      </c>
      <c r="E31" s="6" t="n">
        <v>0</v>
      </c>
    </row>
    <row r="32">
      <c r="A32" s="9" t="inlineStr">
        <is>
          <t>Hospitality</t>
        </is>
      </c>
      <c r="B32" s="7" t="inlineStr">
        <is>
          <t>(Social)</t>
        </is>
      </c>
      <c r="D32" s="6" t="n">
        <v>0</v>
      </c>
      <c r="E32" s="6" t="n">
        <v>0</v>
      </c>
    </row>
    <row r="33">
      <c r="A33" s="9" t="inlineStr">
        <is>
          <t>Design</t>
        </is>
      </c>
      <c r="B33" s="7" t="inlineStr">
        <is>
          <t>(Inspiration)</t>
        </is>
      </c>
      <c r="D33" s="6" t="n">
        <v>2</v>
      </c>
      <c r="E33" s="6" t="n">
        <v>0</v>
      </c>
    </row>
    <row r="34">
      <c r="A34" s="9" t="inlineStr">
        <is>
          <t>Survival</t>
        </is>
      </c>
      <c r="B34" s="7" t="inlineStr">
        <is>
          <t>(Stamina)</t>
        </is>
      </c>
      <c r="D34" s="6" t="n">
        <v>0</v>
      </c>
      <c r="E34" s="6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4" t="inlineStr">
        <is>
          <t>Fatigue Value (0-10)</t>
        </is>
      </c>
      <c r="B37" s="6" t="n">
        <v>0</v>
      </c>
      <c r="C37" s="4" t="inlineStr">
        <is>
          <t>Injury</t>
        </is>
      </c>
      <c r="D37" s="5" t="inlineStr"/>
    </row>
    <row r="38">
      <c r="A38" s="4" t="inlineStr">
        <is>
          <t>Primary Class EXP</t>
        </is>
      </c>
      <c r="B38" s="6" t="n">
        <v>0</v>
      </c>
      <c r="C38" s="4" t="inlineStr">
        <is>
          <t>Side Class EXP</t>
        </is>
      </c>
      <c r="D38" s="6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Personal Carry Cap</t>
        </is>
      </c>
      <c r="B41" s="8">
        <f>IF(B13=1,4,IF(B13=2,6,IF(B13=3,8,IF(B13=4,10,IF(B13=5,14,0)))))</f>
        <v/>
      </c>
      <c r="C41" s="7" t="inlineStr">
        <is>
          <t>Auto-calculated from Stamina (backpack capacity)</t>
        </is>
      </c>
    </row>
    <row r="42">
      <c r="A42" s="4" t="inlineStr">
        <is>
          <t>Tool Name</t>
        </is>
      </c>
      <c r="B42" s="5" t="inlineStr"/>
      <c r="C42" s="4" t="inlineStr">
        <is>
          <t>Durability</t>
        </is>
      </c>
      <c r="D42" s="5" t="inlineStr"/>
    </row>
    <row r="43">
      <c r="A43" s="4" t="inlineStr">
        <is>
          <t>Tool Name 2</t>
        </is>
      </c>
      <c r="B43" s="5" t="inlineStr"/>
      <c r="C43" s="4" t="inlineStr">
        <is>
          <t>Durability</t>
        </is>
      </c>
      <c r="D43" s="5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Racial Trait</t>
        </is>
      </c>
      <c r="B47" s="3" t="inlineStr">
        <is>
          <t>Mortal Resilience (re-roll 1 failed non-combat Check per week)</t>
        </is>
      </c>
      <c r="C47" s="10" t="n"/>
      <c r="D47" s="10" t="n"/>
      <c r="E47" s="10" t="n"/>
      <c r="F47" s="11" t="n"/>
    </row>
    <row r="48">
      <c r="A48" s="4" t="inlineStr">
        <is>
          <t>Signature Skill (Primary)</t>
        </is>
      </c>
      <c r="B48" s="3" t="inlineStr">
        <is>
          <t>Reverse Engineering</t>
        </is>
      </c>
      <c r="C48" s="10" t="n"/>
      <c r="D48" s="10" t="n"/>
      <c r="E48" s="10" t="n"/>
      <c r="F48" s="11" t="n"/>
    </row>
    <row r="49">
      <c r="A49" s="4" t="inlineStr">
        <is>
          <t>Signature Skill (Side)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Skill Tree (Primary)</t>
        </is>
      </c>
      <c r="B50" s="3" t="inlineStr">
        <is>
          <t xml:space="preserve">T1: Speed-Reading Analysis | T2:  | T3: </t>
        </is>
      </c>
      <c r="C50" s="10" t="n"/>
      <c r="D50" s="10" t="n"/>
      <c r="E50" s="10" t="n"/>
      <c r="F50" s="11" t="n"/>
    </row>
    <row r="51">
      <c r="A51" s="4" t="inlineStr">
        <is>
          <t>Skill Tree (Side)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Synergy Bonus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Tool</t>
        </is>
      </c>
      <c r="B55" s="3" t="inlineStr">
        <is>
          <t>Research Tool Set (60G), Reference Books ×2 (30G)</t>
        </is>
      </c>
      <c r="C55" s="10" t="n"/>
      <c r="D55" s="10" t="n"/>
      <c r="E55" s="10" t="n"/>
      <c r="F55" s="11" t="n"/>
    </row>
    <row r="56">
      <c r="A56" s="4" t="inlineStr">
        <is>
          <t>Weapon / Armor</t>
        </is>
      </c>
      <c r="B56" s="3" t="inlineStr">
        <is>
          <t>Dagger (d4)</t>
        </is>
      </c>
      <c r="C56" s="10" t="n"/>
      <c r="D56" s="10" t="n"/>
      <c r="E56" s="10" t="n"/>
      <c r="F56" s="11" t="n"/>
    </row>
    <row r="57">
      <c r="A57" s="4" t="inlineStr">
        <is>
          <t>Magic Item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Recipe</t>
        </is>
      </c>
      <c r="B58" s="3" t="inlineStr">
        <is>
          <t>Basic Recipe Analysis Notes (Difficulty (DC) 9), Material Codex page (Difficulty (DC) 9)</t>
        </is>
      </c>
      <c r="C58" s="10" t="n"/>
      <c r="D58" s="10" t="n"/>
      <c r="E58" s="10" t="n"/>
      <c r="F58" s="11" t="n"/>
    </row>
    <row r="59">
      <c r="A59" s="4" t="inlineStr">
        <is>
          <t>Notes</t>
        </is>
      </c>
      <c r="B59" s="3" t="inlineStr">
        <is>
          <t>Guild archives clerk. Basement stacked with notes.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2026-06-21T10:27:15Z</dcterms:created>
  <dcterms:modified xsi:type="dcterms:W3CDTF">2026-08-10T12:50:56Z</dcterms:modified>
</cp:coreProperties>
</file>