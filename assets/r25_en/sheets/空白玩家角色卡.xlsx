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Microsoft YaHei"/>
      <b val="1"/>
      <color rgb="008B0000"/>
      <sz val="16"/>
    </font>
    <font>
      <name val="Microsoft YaHei"/>
      <b val="1"/>
      <color rgb="00FFFFFF"/>
      <sz val="11"/>
    </font>
    <font>
      <name val="Microsoft YaHei"/>
      <b val="1"/>
      <sz val="10"/>
    </font>
    <font>
      <name val="Microsoft YaHei"/>
      <sz val="10"/>
    </font>
    <font>
      <name val="Microsoft YaHei"/>
      <color rgb="00888888"/>
      <sz val="9"/>
    </font>
    <font>
      <name val="Microsoft YaHei"/>
      <color rgb="000044CC"/>
      <sz val="10"/>
    </font>
  </fonts>
  <fills count="6">
    <fill>
      <patternFill/>
    </fill>
    <fill>
      <patternFill patternType="gray125"/>
    </fill>
    <fill>
      <patternFill patternType="solid">
        <fgColor rgb="008B0000"/>
      </patternFill>
    </fill>
    <fill>
      <patternFill patternType="solid">
        <fgColor rgb="00FFF0F0"/>
      </patternFill>
    </fill>
    <fill>
      <patternFill patternType="solid">
        <fgColor rgb="00FFFFCC"/>
      </patternFill>
    </fill>
    <fill>
      <patternFill patternType="solid">
        <fgColor rgb="00E8F0F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4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vertical="top" wrapText="1"/>
    </xf>
    <xf numFmtId="0" fontId="6" fillId="5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0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Hearthside Tales — Character Card</t>
        </is>
      </c>
    </row>
    <row r="2"/>
    <row r="3">
      <c r="A3" s="2" t="inlineStr">
        <is>
          <t>Basic Info</t>
        </is>
      </c>
      <c r="B3" s="10" t="n"/>
      <c r="C3" s="10" t="n"/>
      <c r="D3" s="10" t="n"/>
      <c r="E3" s="10" t="n"/>
      <c r="F3" s="11" t="n"/>
    </row>
    <row r="4">
      <c r="A4" s="3" t="inlineStr">
        <is>
          <t>Character Name</t>
        </is>
      </c>
      <c r="B4" s="4" t="inlineStr"/>
      <c r="D4" s="3" t="inlineStr">
        <is>
          <t>Race</t>
        </is>
      </c>
      <c r="E4" s="4" t="inlineStr"/>
    </row>
    <row r="5">
      <c r="A5" s="3" t="inlineStr">
        <is>
          <t>Primary Class</t>
        </is>
      </c>
      <c r="B5" s="4" t="inlineStr"/>
      <c r="D5" s="3" t="inlineStr">
        <is>
          <t>Side Class</t>
        </is>
      </c>
      <c r="E5" s="4" t="inlineStr"/>
    </row>
    <row r="6">
      <c r="A6" s="3" t="inlineStr">
        <is>
          <t>Shop</t>
        </is>
      </c>
      <c r="B6" s="4" t="inlineStr"/>
      <c r="D6" s="3" t="inlineStr">
        <is>
          <t>Location</t>
        </is>
      </c>
      <c r="E6" s="4" t="inlineStr"/>
    </row>
    <row r="7"/>
    <row r="8">
      <c r="A8" s="2" t="inlineStr">
        <is>
          <t>Attributes (yellow = input)</t>
        </is>
      </c>
      <c r="B8" s="10" t="n"/>
      <c r="C8" s="11" t="n"/>
      <c r="D8" s="3" t="inlineStr">
        <is>
          <t>Growth Tick</t>
        </is>
      </c>
      <c r="E8" s="3" t="inlineStr">
        <is>
          <t>Goal</t>
        </is>
      </c>
    </row>
    <row r="9">
      <c r="A9" s="3" t="inlineStr">
        <is>
          <t>Craft</t>
        </is>
      </c>
      <c r="B9" s="5" t="n">
        <v>1</v>
      </c>
      <c r="C9" s="6" t="inlineStr">
        <is>
          <t>Handicraft / Fine Manipulation</t>
        </is>
      </c>
      <c r="D9" s="5" t="n">
        <v>0</v>
      </c>
      <c r="E9" s="6" t="n">
        <v>5</v>
      </c>
    </row>
    <row r="10">
      <c r="A10" s="3" t="inlineStr">
        <is>
          <t>Appraisal</t>
        </is>
      </c>
      <c r="B10" s="5" t="n">
        <v>1</v>
      </c>
      <c r="C10" s="6" t="inlineStr">
        <is>
          <t>Discern / Authenticity / Knowledge</t>
        </is>
      </c>
      <c r="D10" s="5" t="n">
        <v>0</v>
      </c>
      <c r="E10" s="6" t="n">
        <v>5</v>
      </c>
    </row>
    <row r="11">
      <c r="A11" s="3" t="inlineStr">
        <is>
          <t>Social</t>
        </is>
      </c>
      <c r="B11" s="5" t="n">
        <v>1</v>
      </c>
      <c r="C11" s="6" t="inlineStr">
        <is>
          <t>Communication / Charm / Negotiation</t>
        </is>
      </c>
      <c r="D11" s="5" t="n">
        <v>0</v>
      </c>
      <c r="E11" s="6" t="n">
        <v>5</v>
      </c>
    </row>
    <row r="12">
      <c r="A12" s="3" t="inlineStr">
        <is>
          <t>Inspiration</t>
        </is>
      </c>
      <c r="B12" s="5" t="n">
        <v>1</v>
      </c>
      <c r="C12" s="6" t="inlineStr">
        <is>
          <t>Creation / Intuition / Aesthetics</t>
        </is>
      </c>
      <c r="D12" s="5" t="n">
        <v>0</v>
      </c>
      <c r="E12" s="6" t="n">
        <v>5</v>
      </c>
    </row>
    <row r="13">
      <c r="A13" s="3" t="inlineStr">
        <is>
          <t>Stamina</t>
        </is>
      </c>
      <c r="B13" s="5" t="n">
        <v>1</v>
      </c>
      <c r="C13" s="6" t="inlineStr">
        <is>
          <t>Endurance / Strength / Wilderness</t>
        </is>
      </c>
      <c r="D13" s="5" t="n">
        <v>0</v>
      </c>
      <c r="E13" s="6" t="n">
        <v>5</v>
      </c>
    </row>
    <row r="14">
      <c r="A14" s="2" t="inlineStr">
        <is>
          <t>Derived Attributes (blue = auto-calculated)</t>
        </is>
      </c>
      <c r="B14" s="10" t="n"/>
      <c r="C14" s="11" t="n"/>
    </row>
    <row r="15">
      <c r="A15" s="3" t="inlineStr">
        <is>
          <t>Inspiration Points Cap (IP)</t>
        </is>
      </c>
      <c r="B15" s="7">
        <f>B12</f>
        <v/>
      </c>
      <c r="C15" s="6" t="inlineStr">
        <is>
          <t>Weekly long rest restores to cap</t>
        </is>
      </c>
      <c r="D15" s="3" t="inlineStr">
        <is>
          <t>Current Inspiration Points (IP)</t>
        </is>
      </c>
      <c r="E15" s="4" t="inlineStr"/>
    </row>
    <row r="16">
      <c r="A16" s="3" t="inlineStr">
        <is>
          <t>Action Points (AP)</t>
        </is>
      </c>
      <c r="B16" s="7">
        <f>B13*2</f>
        <v/>
      </c>
      <c r="C16" s="6">
        <f> Stamina × 2</f>
        <v/>
      </c>
    </row>
    <row r="17">
      <c r="A17" s="3" t="inlineStr">
        <is>
          <t>Quality Cap</t>
        </is>
      </c>
      <c r="B17" s="7">
        <f>B9+INT(B12/2)</f>
        <v/>
      </c>
      <c r="C17" s="6">
        <f> Craft + ⌊Inspiration/2⌋</f>
        <v/>
      </c>
    </row>
    <row r="18">
      <c r="A18" s="3" t="inlineStr">
        <is>
          <t>Shop Rating</t>
        </is>
      </c>
      <c r="B18" s="7">
        <f>B11+INT(B9/2)+F22</f>
        <v/>
      </c>
      <c r="C18" s="6">
        <f> Social + ⌊Craft/2⌋ + Reputation</f>
        <v/>
      </c>
    </row>
    <row r="19"/>
    <row r="20">
      <c r="A20" s="2" t="inlineStr">
        <is>
          <t>Shop</t>
        </is>
      </c>
      <c r="B20" s="10" t="n"/>
      <c r="C20" s="11" t="n"/>
    </row>
    <row r="21">
      <c r="A21" s="3" t="inlineStr">
        <is>
          <t>Shop Level</t>
        </is>
      </c>
      <c r="B21" s="5" t="n">
        <v>1</v>
      </c>
      <c r="C21" s="3" t="inlineStr">
        <is>
          <t>Foot Traffic Modifier</t>
        </is>
      </c>
      <c r="D21" s="7">
        <f>1*2-2</f>
        <v/>
      </c>
    </row>
    <row r="22">
      <c r="A22" s="3" t="inlineStr">
        <is>
          <t>Reputation Value</t>
        </is>
      </c>
      <c r="B22" s="5" t="n">
        <v>0</v>
      </c>
      <c r="C22" s="3" t="inlineStr">
        <is>
          <t>Decor Score</t>
        </is>
      </c>
      <c r="D22" s="5" t="n">
        <v>0</v>
      </c>
    </row>
    <row r="23">
      <c r="A23" s="3" t="inlineStr">
        <is>
          <t>Funds</t>
        </is>
      </c>
      <c r="B23" s="5" t="n">
        <v>300</v>
      </c>
      <c r="C23" s="3" t="inlineStr">
        <is>
          <t>Reputation Tendency</t>
        </is>
      </c>
      <c r="D23" s="4" t="inlineStr"/>
    </row>
    <row r="24"/>
    <row r="25">
      <c r="A25" s="2" t="inlineStr">
        <is>
          <t>Skill (Lv.0-3, yellow = input)</t>
        </is>
      </c>
      <c r="B25" s="10" t="n"/>
      <c r="C25" s="11" t="n"/>
      <c r="D25" s="3" t="inlineStr">
        <is>
          <t>Level</t>
        </is>
      </c>
      <c r="E25" s="3" t="inlineStr">
        <is>
          <t>Success Count</t>
        </is>
      </c>
    </row>
    <row r="26">
      <c r="A26" s="8" t="inlineStr">
        <is>
          <t>Smithing</t>
        </is>
      </c>
      <c r="B26" s="6" t="inlineStr">
        <is>
          <t>(Craft)</t>
        </is>
      </c>
      <c r="D26" s="5" t="n">
        <v>0</v>
      </c>
      <c r="E26" s="5" t="n">
        <v>0</v>
      </c>
    </row>
    <row r="27">
      <c r="A27" s="8" t="inlineStr">
        <is>
          <t>Cooking</t>
        </is>
      </c>
      <c r="B27" s="6" t="inlineStr">
        <is>
          <t>(Craft)</t>
        </is>
      </c>
      <c r="D27" s="5" t="n">
        <v>0</v>
      </c>
      <c r="E27" s="5" t="n">
        <v>0</v>
      </c>
    </row>
    <row r="28">
      <c r="A28" s="8" t="inlineStr">
        <is>
          <t>Tailoring</t>
        </is>
      </c>
      <c r="B28" s="6" t="inlineStr">
        <is>
          <t>(Craft)</t>
        </is>
      </c>
      <c r="D28" s="5" t="n">
        <v>0</v>
      </c>
      <c r="E28" s="5" t="n">
        <v>0</v>
      </c>
    </row>
    <row r="29">
      <c r="A29" s="8" t="inlineStr">
        <is>
          <t>Alchemy</t>
        </is>
      </c>
      <c r="B29" s="6" t="inlineStr">
        <is>
          <t>(Appraisal)</t>
        </is>
      </c>
      <c r="D29" s="5" t="n">
        <v>0</v>
      </c>
      <c r="E29" s="5" t="n">
        <v>0</v>
      </c>
    </row>
    <row r="30">
      <c r="A30" s="8" t="inlineStr">
        <is>
          <t>Foraging</t>
        </is>
      </c>
      <c r="B30" s="6" t="inlineStr">
        <is>
          <t>(Appraisal)</t>
        </is>
      </c>
      <c r="D30" s="5" t="n">
        <v>0</v>
      </c>
      <c r="E30" s="5" t="n">
        <v>0</v>
      </c>
    </row>
    <row r="31">
      <c r="A31" s="8" t="inlineStr">
        <is>
          <t>Haggling</t>
        </is>
      </c>
      <c r="B31" s="6" t="inlineStr">
        <is>
          <t>(Social)</t>
        </is>
      </c>
      <c r="D31" s="5" t="n">
        <v>0</v>
      </c>
      <c r="E31" s="5" t="n">
        <v>0</v>
      </c>
    </row>
    <row r="32">
      <c r="A32" s="8" t="inlineStr">
        <is>
          <t>Hospitality</t>
        </is>
      </c>
      <c r="B32" s="6" t="inlineStr">
        <is>
          <t>(Social)</t>
        </is>
      </c>
      <c r="D32" s="5" t="n">
        <v>0</v>
      </c>
      <c r="E32" s="5" t="n">
        <v>0</v>
      </c>
    </row>
    <row r="33">
      <c r="A33" s="8" t="inlineStr">
        <is>
          <t>Design</t>
        </is>
      </c>
      <c r="B33" s="6" t="inlineStr">
        <is>
          <t>(Inspiration)</t>
        </is>
      </c>
      <c r="D33" s="5" t="n">
        <v>0</v>
      </c>
      <c r="E33" s="5" t="n">
        <v>0</v>
      </c>
    </row>
    <row r="34">
      <c r="A34" s="8" t="inlineStr">
        <is>
          <t>Survival</t>
        </is>
      </c>
      <c r="B34" s="6" t="inlineStr">
        <is>
          <t>(Stamina)</t>
        </is>
      </c>
      <c r="D34" s="5" t="n">
        <v>0</v>
      </c>
      <c r="E34" s="5" t="n">
        <v>0</v>
      </c>
    </row>
    <row r="35"/>
    <row r="36">
      <c r="A36" s="2" t="inlineStr">
        <is>
          <t>Status &amp; Experience</t>
        </is>
      </c>
      <c r="B36" s="10" t="n"/>
      <c r="C36" s="11" t="n"/>
    </row>
    <row r="37">
      <c r="A37" s="3" t="inlineStr">
        <is>
          <t>Fatigue Value (0-10)</t>
        </is>
      </c>
      <c r="B37" s="5" t="n">
        <v>0</v>
      </c>
      <c r="C37" s="3" t="inlineStr">
        <is>
          <t>Injury</t>
        </is>
      </c>
      <c r="D37" s="4" t="inlineStr"/>
    </row>
    <row r="38">
      <c r="A38" s="3" t="inlineStr">
        <is>
          <t>Primary Class EXP</t>
        </is>
      </c>
      <c r="B38" s="5" t="n">
        <v>0</v>
      </c>
      <c r="C38" s="3" t="inlineStr">
        <is>
          <t>Side Class EXP</t>
        </is>
      </c>
      <c r="D38" s="5" t="n">
        <v>0</v>
      </c>
    </row>
    <row r="39"/>
    <row r="40">
      <c r="A40" s="2" t="inlineStr">
        <is>
          <t>Tool Durability / Inventory</t>
        </is>
      </c>
      <c r="B40" s="10" t="n"/>
      <c r="C40" s="10" t="n"/>
      <c r="D40" s="10" t="n"/>
      <c r="E40" s="10" t="n"/>
      <c r="F40" s="11" t="n"/>
    </row>
    <row r="41">
      <c r="A41" s="3" t="inlineStr">
        <is>
          <t>Personal Carry Cap</t>
        </is>
      </c>
      <c r="B41" s="7">
        <f>IF(B13=1,4,IF(B13=2,6,IF(B13=3,8,IF(B13=4,10,IF(B13=5,14,0)))))</f>
        <v/>
      </c>
      <c r="C41" s="6" t="inlineStr">
        <is>
          <t>Auto-calculated from Stamina (backpack capacity)</t>
        </is>
      </c>
    </row>
    <row r="42">
      <c r="A42" s="3" t="inlineStr">
        <is>
          <t>Tool Name</t>
        </is>
      </c>
      <c r="B42" s="4" t="inlineStr"/>
      <c r="C42" s="3" t="inlineStr">
        <is>
          <t>Durability</t>
        </is>
      </c>
      <c r="D42" s="4" t="inlineStr"/>
    </row>
    <row r="43">
      <c r="A43" s="3" t="inlineStr">
        <is>
          <t>Tool Name 2</t>
        </is>
      </c>
      <c r="B43" s="4" t="inlineStr"/>
      <c r="C43" s="3" t="inlineStr">
        <is>
          <t>Durability</t>
        </is>
      </c>
      <c r="D43" s="4" t="inlineStr"/>
    </row>
    <row r="44"/>
    <row r="45"/>
    <row r="46">
      <c r="A46" s="2" t="inlineStr">
        <is>
          <t>Racial Trait / Signature Skill / Skill Tree</t>
        </is>
      </c>
      <c r="B46" s="10" t="n"/>
      <c r="C46" s="10" t="n"/>
      <c r="D46" s="10" t="n"/>
      <c r="E46" s="10" t="n"/>
      <c r="F46" s="11" t="n"/>
    </row>
    <row r="47">
      <c r="A47" s="3" t="inlineStr">
        <is>
          <t>Racial Trait</t>
        </is>
      </c>
      <c r="B47" s="9" t="inlineStr"/>
      <c r="C47" s="10" t="n"/>
      <c r="D47" s="10" t="n"/>
      <c r="E47" s="10" t="n"/>
      <c r="F47" s="11" t="n"/>
    </row>
    <row r="48">
      <c r="A48" s="3" t="inlineStr">
        <is>
          <t>Signature Skill (Primary)</t>
        </is>
      </c>
      <c r="B48" s="9" t="inlineStr"/>
      <c r="C48" s="10" t="n"/>
      <c r="D48" s="10" t="n"/>
      <c r="E48" s="10" t="n"/>
      <c r="F48" s="11" t="n"/>
    </row>
    <row r="49">
      <c r="A49" s="3" t="inlineStr">
        <is>
          <t>Signature Skill (Side)</t>
        </is>
      </c>
      <c r="B49" s="9" t="inlineStr"/>
      <c r="C49" s="10" t="n"/>
      <c r="D49" s="10" t="n"/>
      <c r="E49" s="10" t="n"/>
      <c r="F49" s="11" t="n"/>
    </row>
    <row r="50">
      <c r="A50" s="3" t="inlineStr">
        <is>
          <t>Skill Tree (Primary)</t>
        </is>
      </c>
      <c r="B50" s="9" t="inlineStr">
        <is>
          <t xml:space="preserve">T1:  | T2:  | T3: </t>
        </is>
      </c>
      <c r="C50" s="10" t="n"/>
      <c r="D50" s="10" t="n"/>
      <c r="E50" s="10" t="n"/>
      <c r="F50" s="11" t="n"/>
    </row>
    <row r="51">
      <c r="A51" s="3" t="inlineStr">
        <is>
          <t>Skill Tree (Side)</t>
        </is>
      </c>
      <c r="B51" s="9" t="inlineStr">
        <is>
          <t xml:space="preserve">T1: </t>
        </is>
      </c>
      <c r="C51" s="10" t="n"/>
      <c r="D51" s="10" t="n"/>
      <c r="E51" s="10" t="n"/>
      <c r="F51" s="11" t="n"/>
    </row>
    <row r="52">
      <c r="A52" s="3" t="inlineStr">
        <is>
          <t>Synergy Bonus</t>
        </is>
      </c>
      <c r="B52" s="9" t="inlineStr"/>
      <c r="C52" s="10" t="n"/>
      <c r="D52" s="10" t="n"/>
      <c r="E52" s="10" t="n"/>
      <c r="F52" s="11" t="n"/>
    </row>
    <row r="53"/>
    <row r="54">
      <c r="A54" s="2" t="inlineStr">
        <is>
          <t>Equipment / Recipe / Notes</t>
        </is>
      </c>
      <c r="B54" s="10" t="n"/>
      <c r="C54" s="10" t="n"/>
      <c r="D54" s="10" t="n"/>
      <c r="E54" s="10" t="n"/>
      <c r="F54" s="11" t="n"/>
    </row>
    <row r="55">
      <c r="A55" s="3" t="inlineStr">
        <is>
          <t>Tool</t>
        </is>
      </c>
      <c r="B55" s="9" t="inlineStr"/>
      <c r="C55" s="10" t="n"/>
      <c r="D55" s="10" t="n"/>
      <c r="E55" s="10" t="n"/>
      <c r="F55" s="11" t="n"/>
    </row>
    <row r="56">
      <c r="A56" s="3" t="inlineStr">
        <is>
          <t>Weapon / Armor</t>
        </is>
      </c>
      <c r="B56" s="9" t="inlineStr"/>
      <c r="C56" s="10" t="n"/>
      <c r="D56" s="10" t="n"/>
      <c r="E56" s="10" t="n"/>
      <c r="F56" s="11" t="n"/>
    </row>
    <row r="57">
      <c r="A57" s="3" t="inlineStr">
        <is>
          <t>Magic Item</t>
        </is>
      </c>
      <c r="B57" s="9" t="inlineStr"/>
      <c r="C57" s="10" t="n"/>
      <c r="D57" s="10" t="n"/>
      <c r="E57" s="10" t="n"/>
      <c r="F57" s="11" t="n"/>
    </row>
    <row r="58">
      <c r="A58" s="3" t="inlineStr">
        <is>
          <t>Recipe</t>
        </is>
      </c>
      <c r="B58" s="9" t="inlineStr"/>
      <c r="C58" s="10" t="n"/>
      <c r="D58" s="10" t="n"/>
      <c r="E58" s="10" t="n"/>
      <c r="F58" s="11" t="n"/>
    </row>
    <row r="59">
      <c r="A59" s="3" t="inlineStr">
        <is>
          <t>Notes</t>
        </is>
      </c>
      <c r="B59" s="9" t="inlineStr"/>
      <c r="C59" s="10" t="n"/>
      <c r="D59" s="10" t="n"/>
      <c r="E59" s="10" t="n"/>
      <c r="F59" s="11" t="n"/>
    </row>
  </sheetData>
  <mergeCells count="21">
    <mergeCell ref="A25:C25"/>
    <mergeCell ref="A54:F54"/>
    <mergeCell ref="A46:F46"/>
    <mergeCell ref="B47:F47"/>
    <mergeCell ref="B59:F59"/>
    <mergeCell ref="A3:F3"/>
    <mergeCell ref="B56:F56"/>
    <mergeCell ref="B58:F58"/>
    <mergeCell ref="B52:F52"/>
    <mergeCell ref="B48:F48"/>
    <mergeCell ref="A8:C8"/>
    <mergeCell ref="A14:C14"/>
    <mergeCell ref="A20:C20"/>
    <mergeCell ref="B57:F57"/>
    <mergeCell ref="A40:F40"/>
    <mergeCell ref="B49:F49"/>
    <mergeCell ref="A36:C36"/>
    <mergeCell ref="B55:F55"/>
    <mergeCell ref="A1:F1"/>
    <mergeCell ref="B51:F51"/>
    <mergeCell ref="B50:F50"/>
  </mergeCell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2026-06-21T10:27:15Z</dcterms:created>
  <dcterms:modified xsi:type="dcterms:W3CDTF">2026-08-10T12:50:56Z</dcterms:modified>
</cp:coreProperties>
</file>