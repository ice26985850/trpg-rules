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閱讀說明" sheetId="1" state="visible" r:id="rId1"/>
    <sheet name="隨機抽取" sheetId="2" state="visible" r:id="rId2"/>
    <sheet name="空白探險員角色卡" sheetId="3" state="visible" r:id="rId3"/>
    <sheet name="範例_林雨晴" sheetId="4" state="visible" r:id="rId4"/>
    <sheet name="範例_許淑華" sheetId="5" state="visible" r:id="rId5"/>
    <sheet name="探險員池" sheetId="6" state="hidden" r:id="rId6"/>
  </sheets>
  <definedNames/>
  <calcPr calcId="124519" calcMode="manual" fullCalcOnLoad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C2F0"/>
        <bgColor rgb="00D9C2F0"/>
      </patternFill>
    </fill>
    <fill>
      <patternFill patternType="solid">
        <fgColor rgb="00EDE7F6"/>
        <bgColor rgb="00EDE7F6"/>
      </patternFill>
    </fill>
    <fill>
      <patternFill patternType="solid">
        <fgColor rgb="00FFF3C4"/>
        <bgColor rgb="00FFF3C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後室管理局 TRPG —— 空白探險員角色卡</t>
        </is>
      </c>
    </row>
    <row r="3">
      <c r="A3" t="inlineStr">
        <is>
          <t>本檔案提供探險員的獨立 Excel 角色卡模板，與玩家規則書附錄 B 欄位一致。</t>
        </is>
      </c>
    </row>
    <row r="4">
      <c r="A4" t="inlineStr">
        <is>
          <t>分頁說明：</t>
        </is>
      </c>
    </row>
    <row r="5">
      <c r="A5" t="inlineStr">
        <is>
          <t>• 空白探險員角色卡 — 未填寫的模板，紫色欄位會依輸入自動計算。</t>
        </is>
      </c>
    </row>
    <row r="6">
      <c r="A6" t="inlineStr">
        <is>
          <t>• 範例_林雨晴 — 見習（EL1）醫療探險員，展示基礎欄位。</t>
        </is>
      </c>
    </row>
    <row r="7">
      <c r="A7" t="inlineStr">
        <is>
          <t>• 範例_許淑華 — 資深（EL3）醫療/交涉雙專長，展示次專長與特殊能力。</t>
        </is>
      </c>
    </row>
    <row r="9">
      <c r="A9" t="inlineStr">
        <is>
          <t>自動計算欄位：等級名稱、任務加值、晉升剩餘、特殊能力、專長加值、壓力/存在感提示。</t>
        </is>
      </c>
    </row>
    <row r="10">
      <c r="A10" t="inlineStr">
        <is>
          <t>相關規則：經驗等級 §4.2、五大專長 §4.3、心理狀態 §4.4、合約 §4.5、狀態效果 §4.7、存在感 §4.8；GM 版見 §2.9–§2.11。</t>
        </is>
      </c>
    </row>
    <row r="11">
      <c r="A11" t="inlineStr">
        <is>
          <t>招募來源：GM 附錄 C（100 人探險員生成池）。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6" customWidth="1" min="5" max="5"/>
    <col width="26" customWidth="1" min="6" max="6"/>
    <col width="3" customWidth="1" min="7" max="7"/>
    <col width="16" customWidth="1" min="8" max="8"/>
    <col width="16" customWidth="1" min="9" max="9"/>
    <col width="42" customWidth="1" min="10" max="10"/>
  </cols>
  <sheetData>
    <row r="1">
      <c r="A1" s="8" t="inlineStr">
        <is>
          <t>後室管理局 —— 隨機抽取探險員</t>
        </is>
      </c>
    </row>
    <row r="2">
      <c r="A2" s="9" t="inlineStr">
        <is>
          <t>抽出序號（按 F9 重新抽籤）</t>
        </is>
      </c>
      <c r="B2" s="10">
        <f>RANDBETWEEN(2,101)</f>
        <v/>
      </c>
    </row>
    <row r="3">
      <c r="A3" s="3" t="inlineStr">
        <is>
          <t>基本資料</t>
        </is>
      </c>
      <c r="H3" s="11" t="inlineStr">
        <is>
          <t>使用方法</t>
        </is>
      </c>
    </row>
    <row r="4" ht="30" customHeight="1">
      <c r="A4" s="4" t="inlineStr">
        <is>
          <t>姓名</t>
        </is>
      </c>
      <c r="B4" s="5">
        <f>INDEX('探險員池'!B:B,$B$2)</f>
        <v/>
      </c>
      <c r="C4" s="4" t="inlineStr">
        <is>
          <t>性別</t>
        </is>
      </c>
      <c r="D4" s="5">
        <f>INDEX('探險員池'!C:C,$B$2)</f>
        <v/>
      </c>
      <c r="E4" s="4" t="inlineStr">
        <is>
          <t>年齡</t>
        </is>
      </c>
      <c r="F4" s="5">
        <f>INDEX('探險員池'!D:D,$B$2)</f>
        <v/>
      </c>
      <c r="H4" s="7" t="inlineStr">
        <is>
          <t>1. 本分頁從隱藏的「探險員池」工作表（共 100 人）隨機抽取一位探險員。</t>
        </is>
      </c>
    </row>
    <row r="5" ht="30" customHeight="1">
      <c r="A5" s="4" t="inlineStr">
        <is>
          <t>編號</t>
        </is>
      </c>
      <c r="B5" s="5">
        <f>INDEX('探險員池'!E:E,$B$2)</f>
        <v/>
      </c>
      <c r="C5" s="4" t="inlineStr">
        <is>
          <t>部門</t>
        </is>
      </c>
      <c r="D5" s="5">
        <f>INDEX('探險員池'!F:F,$B$2)</f>
        <v/>
      </c>
      <c r="E5" s="4" t="inlineStr">
        <is>
          <t>狀態（ST）</t>
        </is>
      </c>
      <c r="F5" s="5" t="inlineStr">
        <is>
          <t>待命中</t>
        </is>
      </c>
      <c r="H5" s="7" t="inlineStr">
        <is>
          <t>2. 抽出序號（B2）使用 =RANDBETWEEN(2,101)；各欄位以 INDEX 自動帶入，無需手填。</t>
        </is>
      </c>
    </row>
    <row r="6" ht="30" customHeight="1">
      <c r="H6" s="7" t="inlineStr">
        <is>
          <t>3. 本活頁簿「計算選項」已設為「手動」：編輯其他儲存格時不會自動重抽。</t>
        </is>
      </c>
    </row>
    <row r="7" ht="30" customHeight="1">
      <c r="A7" s="3" t="inlineStr">
        <is>
          <t>經驗與成長</t>
        </is>
      </c>
      <c r="H7" s="7" t="inlineStr">
        <is>
          <t>4. 想換一位 → 按 F9（或「公式」頁籤的「立即計算」）重新抽籤。</t>
        </is>
      </c>
    </row>
    <row r="8" ht="30" customHeight="1">
      <c r="A8" s="4" t="inlineStr">
        <is>
          <t>經驗等級（EL）</t>
        </is>
      </c>
      <c r="B8" s="4">
        <f>INDEX('探險員池'!G:G,$B$2)</f>
        <v/>
      </c>
      <c r="C8" s="4" t="inlineStr">
        <is>
          <t>等級名稱</t>
        </is>
      </c>
      <c r="D8" s="5">
        <f>IF(B8=1,"見習",IF(B8=2,"正式",IF(B8=3,"資深",IF(B8=4,"菁英",IF(B8=5,"傳奇","")))))</f>
        <v/>
      </c>
      <c r="E8" s="4" t="inlineStr">
        <is>
          <t>任務加值</t>
        </is>
      </c>
      <c r="F8" s="5">
        <f>IF(B8=1,5,IF(B8=2,10,IF(B8=3,15,IF(B8=4,20,IF(B8=5,25,0)))))</f>
        <v/>
      </c>
      <c r="H8" s="7" t="inlineStr">
        <is>
          <t>5. 抽中滿意的人 → 選取卡片區（A1:F30），複製 →「選擇性貼上 → 值」鎖定，再填寫合約週薪／剩餘回合後另存。</t>
        </is>
      </c>
    </row>
    <row r="9" ht="30" customHeight="1">
      <c r="A9" s="4" t="inlineStr">
        <is>
          <t>完成任務次數</t>
        </is>
      </c>
      <c r="B9" s="4" t="n">
        <v>0</v>
      </c>
      <c r="C9" s="4" t="inlineStr">
        <is>
          <t>晉升所需總次數</t>
        </is>
      </c>
      <c r="D9" s="5">
        <f>IF(B8=1,5,IF(B8=2,20,IF(B8=3,50,IF(B8=4,"—","—"))))</f>
        <v/>
      </c>
      <c r="E9" s="4" t="inlineStr">
        <is>
          <t>距離晉升剩餘</t>
        </is>
      </c>
      <c r="F9" s="5">
        <f>IF(B8=1,MAX(0,5-B9),IF(B8=2,MAX(0,20-B9),IF(B8=3,MAX(0,50-B9),IF(B8=4,"不可晉升","已達頂"))))</f>
        <v/>
      </c>
      <c r="H9" s="7" t="inlineStr">
        <is>
          <t>6. 紫色底＝自動計算／帶入欄；黃色底＝抽籤控制；白色＝手動填寫欄。</t>
        </is>
      </c>
    </row>
    <row r="10" ht="30" customHeight="1">
      <c r="A10" s="4" t="inlineStr">
        <is>
          <t>特殊能力</t>
        </is>
      </c>
      <c r="B10" s="6">
        <f>IF(B8=3,"冷靜頭腦：每任務可重擲一次壓力檢定",IF(B8=4,"專業直覺：準備階段獲一條額外情報線索",IF(B8=5,"傳奇意志：免疫崩潰，壓力鎖定9，最後一搏","無")))</f>
        <v/>
      </c>
      <c r="C10" s="12" t="n"/>
      <c r="D10" s="12" t="n"/>
      <c r="E10" s="12" t="n"/>
      <c r="F10" s="13" t="n"/>
      <c r="H10" s="7" t="inlineStr">
        <is>
          <t>7. 資料來源：GM 規則書附錄 C（100 人探險員生成池）。特殊「雙主專長」者次專長欄顯示「無」。</t>
        </is>
      </c>
    </row>
    <row r="12">
      <c r="A12" s="3" t="inlineStr">
        <is>
          <t>專長</t>
        </is>
      </c>
    </row>
    <row r="13">
      <c r="A13" s="4" t="inlineStr">
        <is>
          <t>主專長（SPC）</t>
        </is>
      </c>
      <c r="B13" s="5">
        <f>INDEX('探險員池'!H:H,$B$2)</f>
        <v/>
      </c>
      <c r="C13" s="4" t="inlineStr">
        <is>
          <t>次專長（SPC）</t>
        </is>
      </c>
      <c r="D13" s="5">
        <f>INDEX('探險員池'!I:I,$B$2)</f>
        <v/>
      </c>
      <c r="E13" s="4" t="inlineStr">
        <is>
          <t>專長加值</t>
        </is>
      </c>
      <c r="F13" s="5">
        <f>5+IF(OR(D13="無",D13=""),0,3)</f>
        <v/>
      </c>
    </row>
    <row r="15">
      <c r="A15" s="3" t="inlineStr">
        <is>
          <t>心理與存在</t>
        </is>
      </c>
    </row>
    <row r="16">
      <c r="A16" s="4" t="inlineStr">
        <is>
          <t>心理狀態（MS）</t>
        </is>
      </c>
      <c r="B16" s="4" t="inlineStr">
        <is>
          <t>穩定</t>
        </is>
      </c>
      <c r="C16" s="4" t="inlineStr">
        <is>
          <t>壓力值（STR）</t>
        </is>
      </c>
      <c r="D16" s="4" t="n">
        <v>0</v>
      </c>
      <c r="E16" s="4" t="inlineStr">
        <is>
          <t>存在感（EXI）</t>
        </is>
      </c>
      <c r="F16" s="4" t="n">
        <v>10</v>
      </c>
    </row>
    <row r="17">
      <c r="A17" s="4" t="inlineStr">
        <is>
          <t>壓力惡化提示</t>
        </is>
      </c>
      <c r="B17" s="6">
        <f>IF(D16&gt;=8,"⚠ 接近崩潰",IF(D16&gt;=5,"緊張累積中","穩定"))</f>
        <v/>
      </c>
      <c r="C17" s="12" t="n"/>
      <c r="D17" s="12" t="n"/>
      <c r="E17" s="12" t="n"/>
      <c r="F17" s="13" t="n"/>
    </row>
    <row r="19">
      <c r="A19" s="3" t="inlineStr">
        <is>
          <t>合約</t>
        </is>
      </c>
    </row>
    <row r="20">
      <c r="A20" s="4" t="inlineStr">
        <is>
          <t>合約類型（CNT）</t>
        </is>
      </c>
      <c r="B20" s="5">
        <f>IF(B8=1,"見習合約",IF(B8=3,"資深合約",IF(B8=4,"菁英合約","特殊合約")))</f>
        <v/>
      </c>
      <c r="C20" s="4" t="inlineStr">
        <is>
          <t>週薪</t>
        </is>
      </c>
      <c r="D20" s="4" t="inlineStr">
        <is>
          <t>(填寫)</t>
        </is>
      </c>
      <c r="E20" s="4" t="inlineStr">
        <is>
          <t>剩餘回合</t>
        </is>
      </c>
      <c r="F20" s="4" t="inlineStr">
        <is>
          <t>(填寫)</t>
        </is>
      </c>
    </row>
    <row r="21">
      <c r="A21" s="4" t="inlineStr">
        <is>
          <t>特殊條款</t>
        </is>
      </c>
      <c r="B21" s="4" t="inlineStr">
        <is>
          <t>(填寫)</t>
        </is>
      </c>
      <c r="C21" s="12" t="n"/>
      <c r="D21" s="12" t="n"/>
      <c r="E21" s="12" t="n"/>
      <c r="F21" s="13" t="n"/>
    </row>
    <row r="23">
      <c r="A23" s="3" t="inlineStr">
        <is>
          <t>當前狀態（ST）</t>
        </is>
      </c>
    </row>
    <row r="24">
      <c r="A24" s="4" t="inlineStr">
        <is>
          <t>■ 待命中 □ 任務中 □ 負傷(輕/中/重) □ 失蹤 □ 死亡</t>
        </is>
      </c>
      <c r="B24" s="12" t="n"/>
      <c r="C24" s="12" t="n"/>
      <c r="D24" s="12" t="n"/>
      <c r="E24" s="12" t="n"/>
      <c r="F24" s="13" t="n"/>
    </row>
    <row r="25">
      <c r="A25" s="3" t="inlineStr">
        <is>
          <t>背景摘要</t>
        </is>
      </c>
    </row>
    <row r="26">
      <c r="A26" s="7">
        <f>INDEX('探險員池'!J:J,$B$2)</f>
        <v/>
      </c>
    </row>
    <row r="27"/>
    <row r="28">
      <c r="A28" s="3" t="inlineStr">
        <is>
          <t>特殊能力詳述 / 備註</t>
        </is>
      </c>
    </row>
    <row r="29">
      <c r="A29" s="7" t="inlineStr">
        <is>
          <t>（依等級見 B10；狀態效果見玩家規則書 §4.7 / GM §2.10；存在感規則見 GM §2.11）</t>
        </is>
      </c>
    </row>
    <row r="30"/>
  </sheetData>
  <mergeCells count="23">
    <mergeCell ref="A12:F12"/>
    <mergeCell ref="A3:F3"/>
    <mergeCell ref="H7:J7"/>
    <mergeCell ref="B21:F21"/>
    <mergeCell ref="A23:F23"/>
    <mergeCell ref="H3:J3"/>
    <mergeCell ref="B17:F17"/>
    <mergeCell ref="A28:F28"/>
    <mergeCell ref="A19:F19"/>
    <mergeCell ref="B10:F10"/>
    <mergeCell ref="H5:J5"/>
    <mergeCell ref="H8:J8"/>
    <mergeCell ref="A26:F27"/>
    <mergeCell ref="A15:F15"/>
    <mergeCell ref="A24:F24"/>
    <mergeCell ref="H10:J10"/>
    <mergeCell ref="A1:F1"/>
    <mergeCell ref="H4:J4"/>
    <mergeCell ref="H9:J9"/>
    <mergeCell ref="A29:F30"/>
    <mergeCell ref="A7:F7"/>
    <mergeCell ref="A25:F25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6" customWidth="1" min="5" max="5"/>
    <col width="26" customWidth="1" min="6" max="6"/>
  </cols>
  <sheetData>
    <row r="1">
      <c r="A1" s="2" t="inlineStr">
        <is>
          <t>後室管理局 —— 探險員角色卡</t>
        </is>
      </c>
    </row>
    <row r="3">
      <c r="A3" s="3" t="inlineStr">
        <is>
          <t>基本資料</t>
        </is>
      </c>
    </row>
    <row r="4">
      <c r="A4" s="4" t="inlineStr">
        <is>
          <t>姓名</t>
        </is>
      </c>
      <c r="B4" s="4" t="inlineStr">
        <is>
          <t>(填寫)</t>
        </is>
      </c>
      <c r="C4" s="4" t="inlineStr">
        <is>
          <t>性別</t>
        </is>
      </c>
      <c r="D4" s="4" t="inlineStr">
        <is>
          <t>(填寫)</t>
        </is>
      </c>
      <c r="E4" s="4" t="inlineStr">
        <is>
          <t>年齡</t>
        </is>
      </c>
      <c r="F4" s="4" t="inlineStr">
        <is>
          <t>(填寫)</t>
        </is>
      </c>
    </row>
    <row r="5">
      <c r="A5" s="4" t="inlineStr">
        <is>
          <t>編號</t>
        </is>
      </c>
      <c r="B5" s="4" t="inlineStr">
        <is>
          <t>(填寫)</t>
        </is>
      </c>
      <c r="C5" s="4" t="inlineStr">
        <is>
          <t>部門</t>
        </is>
      </c>
      <c r="D5" s="4" t="inlineStr">
        <is>
          <t>(填寫)</t>
        </is>
      </c>
      <c r="E5" s="4" t="inlineStr">
        <is>
          <t>狀態（ST）</t>
        </is>
      </c>
      <c r="F5" s="4" t="inlineStr">
        <is>
          <t>待命中</t>
        </is>
      </c>
    </row>
    <row r="7">
      <c r="A7" s="3" t="inlineStr">
        <is>
          <t>經驗與成長</t>
        </is>
      </c>
    </row>
    <row r="8">
      <c r="A8" s="4" t="inlineStr">
        <is>
          <t>經驗等級（EL）</t>
        </is>
      </c>
      <c r="B8" s="4" t="inlineStr">
        <is>
          <t>(1-5)</t>
        </is>
      </c>
      <c r="C8" s="4" t="inlineStr">
        <is>
          <t>等級名稱</t>
        </is>
      </c>
      <c r="D8" s="5">
        <f>IF(B8=1,"見習",IF(B8=2,"正式",IF(B8=3,"資深",IF(B8=4,"菁英",IF(B8=5,"傳奇","")))))</f>
        <v/>
      </c>
      <c r="E8" s="4" t="inlineStr">
        <is>
          <t>任務加值</t>
        </is>
      </c>
      <c r="F8" s="5">
        <f>IF(B8=1,5,IF(B8=2,10,IF(B8=3,15,IF(B8=4,20,IF(B8=5,25,0)))))</f>
        <v/>
      </c>
    </row>
    <row r="9">
      <c r="A9" s="4" t="inlineStr">
        <is>
          <t>完成任務次數</t>
        </is>
      </c>
      <c r="B9" s="4" t="inlineStr">
        <is>
          <t>(填寫)</t>
        </is>
      </c>
      <c r="C9" s="4" t="inlineStr">
        <is>
          <t>晉升所需總次數</t>
        </is>
      </c>
      <c r="D9" s="5">
        <f>IF(B8=1,5,IF(B8=2,15,IF(B8=3,35,IF(B8=4,"—","—"))))</f>
        <v/>
      </c>
      <c r="E9" s="4" t="inlineStr">
        <is>
          <t>距離晉升剩餘</t>
        </is>
      </c>
      <c r="F9" s="5">
        <f>IF(B8=1,MAX(0,5-B9),IF(B8=2,MAX(0,15-B9),IF(B8=3,MAX(0,35-B9),IF(B8=4,"不可晉升","已達頂"))))</f>
        <v/>
      </c>
    </row>
    <row r="10">
      <c r="A10" s="4" t="inlineStr">
        <is>
          <t>特殊能力</t>
        </is>
      </c>
      <c r="B10" s="6">
        <f>IF(B8=3,"冷靜頭腦：每任務可重擲一次壓力檢定",IF(B8=4,"專業直覺：準備階段獲一條額外情報線索",IF(B8=5,"傳奇意志：免疫崩潰，壓力鎖定9，最後一搏","無")))</f>
        <v/>
      </c>
      <c r="C10" s="12" t="n"/>
      <c r="D10" s="12" t="n"/>
      <c r="E10" s="12" t="n"/>
      <c r="F10" s="13" t="n"/>
    </row>
    <row r="12">
      <c r="A12" s="3" t="inlineStr">
        <is>
          <t>專長</t>
        </is>
      </c>
    </row>
    <row r="13">
      <c r="A13" s="4" t="inlineStr">
        <is>
          <t>主專長（SPC）</t>
        </is>
      </c>
      <c r="B13" s="4" t="inlineStr">
        <is>
          <t>(填寫)</t>
        </is>
      </c>
      <c r="C13" s="4" t="inlineStr">
        <is>
          <t>次專長（SPC）</t>
        </is>
      </c>
      <c r="D13" s="4" t="inlineStr">
        <is>
          <t>(無/填寫)</t>
        </is>
      </c>
      <c r="E13" s="4" t="inlineStr">
        <is>
          <t>專長加值</t>
        </is>
      </c>
      <c r="F13" s="5">
        <f>5+IF(OR(D13="無",D13=""),0,IF(D13=B13,5,3))</f>
        <v/>
      </c>
    </row>
    <row r="15">
      <c r="A15" s="3" t="inlineStr">
        <is>
          <t>心理與存在</t>
        </is>
      </c>
    </row>
    <row r="16">
      <c r="A16" s="4" t="inlineStr">
        <is>
          <t>心理狀態（MS）</t>
        </is>
      </c>
      <c r="B16" s="4" t="inlineStr">
        <is>
          <t>穩定</t>
        </is>
      </c>
      <c r="C16" s="4" t="inlineStr">
        <is>
          <t>壓力值（STR）</t>
        </is>
      </c>
      <c r="D16" s="4" t="n">
        <v>0</v>
      </c>
      <c r="E16" s="4" t="inlineStr">
        <is>
          <t>存在感（EXI）</t>
        </is>
      </c>
      <c r="F16" s="4" t="n">
        <v>10</v>
      </c>
    </row>
    <row r="17">
      <c r="A17" s="4" t="inlineStr">
        <is>
          <t>壓力惡化提示</t>
        </is>
      </c>
      <c r="B17" s="6">
        <f>IF(D16&gt;=8,"⚠ 接近崩潰",IF(D16&gt;=5,"緊張累積中","穩定"))</f>
        <v/>
      </c>
      <c r="C17" s="12" t="n"/>
      <c r="D17" s="12" t="n"/>
      <c r="E17" s="12" t="n"/>
      <c r="F17" s="13" t="n"/>
    </row>
    <row r="19">
      <c r="A19" s="3" t="inlineStr">
        <is>
          <t>合約</t>
        </is>
      </c>
    </row>
    <row r="20">
      <c r="A20" s="4" t="inlineStr">
        <is>
          <t>合約類型（CNT）</t>
        </is>
      </c>
      <c r="B20" s="4" t="inlineStr">
        <is>
          <t>(填寫)</t>
        </is>
      </c>
      <c r="C20" s="4" t="inlineStr">
        <is>
          <t>週薪</t>
        </is>
      </c>
      <c r="D20" s="4" t="inlineStr">
        <is>
          <t>(填寫)</t>
        </is>
      </c>
      <c r="E20" s="4" t="inlineStr">
        <is>
          <t>剩餘回合</t>
        </is>
      </c>
      <c r="F20" s="4" t="inlineStr">
        <is>
          <t>(填寫)</t>
        </is>
      </c>
    </row>
    <row r="21">
      <c r="A21" s="4" t="inlineStr">
        <is>
          <t>特殊條款</t>
        </is>
      </c>
      <c r="B21" s="4" t="inlineStr">
        <is>
          <t>(填寫)</t>
        </is>
      </c>
      <c r="C21" s="12" t="n"/>
      <c r="D21" s="12" t="n"/>
      <c r="E21" s="12" t="n"/>
      <c r="F21" s="13" t="n"/>
    </row>
    <row r="23">
      <c r="A23" s="3" t="inlineStr">
        <is>
          <t>當前狀態（ST）</t>
        </is>
      </c>
    </row>
    <row r="24">
      <c r="A24" s="4" t="inlineStr">
        <is>
          <t>□ 待命中 □ 任務中 □ 負傷(輕/中/重) □ 失蹤 □ 死亡</t>
        </is>
      </c>
      <c r="B24" s="12" t="n"/>
      <c r="C24" s="12" t="n"/>
      <c r="D24" s="12" t="n"/>
      <c r="E24" s="12" t="n"/>
      <c r="F24" s="13" t="n"/>
    </row>
    <row r="25">
      <c r="A25" s="3" t="inlineStr">
        <is>
          <t>背景摘要</t>
        </is>
      </c>
    </row>
    <row r="26">
      <c r="A26" s="7" t="inlineStr">
        <is>
          <t>(填寫背景資料)</t>
        </is>
      </c>
    </row>
    <row r="27"/>
    <row r="28">
      <c r="A28" s="3" t="inlineStr">
        <is>
          <t>特殊能力詳述 / 備註</t>
        </is>
      </c>
    </row>
    <row r="29">
      <c r="A29" s="7" t="inlineStr">
        <is>
          <t>(依等級見 F10 或玩家規則書 §4.2；狀態效果見 §4.7 / GM §2.10)</t>
        </is>
      </c>
    </row>
    <row r="30"/>
    <row r="31">
      <c r="A31" s="3" t="inlineStr">
        <is>
          <t>使用說明</t>
        </is>
      </c>
    </row>
    <row r="32">
      <c r="A32" s="7" t="inlineStr">
        <is>
          <t>1. 紫色底色為自動計算欄；白色為手動填寫欄。</t>
        </is>
      </c>
    </row>
    <row r="33">
      <c r="A33" s="7" t="inlineStr">
        <is>
          <t>2. 存在感（EXI）初始 10，遭遇「空洞」每 10 分鐘 −1，歸零者從所有人記憶消失（GM §2.11）。</t>
        </is>
      </c>
    </row>
    <row r="34">
      <c r="A34" s="7" t="inlineStr">
        <is>
          <t>3. 心理狀態：穩定/緊張/創傷/崩潰；壓力值 0–10 累積觸發惡化（見 §4.4）。</t>
        </is>
      </c>
    </row>
    <row r="35">
      <c r="A35" s="7" t="inlineStr">
        <is>
          <t>4. 招募產出來自 GM 附錄 C 的 100 人探險員池；范例外觀請參見本檔「範例」分頁。</t>
        </is>
      </c>
    </row>
  </sheetData>
  <mergeCells count="20">
    <mergeCell ref="A12:F12"/>
    <mergeCell ref="A3:F3"/>
    <mergeCell ref="B21:F21"/>
    <mergeCell ref="A33:F33"/>
    <mergeCell ref="A23:F23"/>
    <mergeCell ref="A32:F32"/>
    <mergeCell ref="A35:F35"/>
    <mergeCell ref="B17:F17"/>
    <mergeCell ref="A28:F28"/>
    <mergeCell ref="A19:F19"/>
    <mergeCell ref="B10:F10"/>
    <mergeCell ref="A31:F31"/>
    <mergeCell ref="A34:F34"/>
    <mergeCell ref="A26:F27"/>
    <mergeCell ref="A15:F15"/>
    <mergeCell ref="A24:F24"/>
    <mergeCell ref="A1:F1"/>
    <mergeCell ref="A7:F7"/>
    <mergeCell ref="A25:F25"/>
    <mergeCell ref="A29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6" customWidth="1" min="5" max="5"/>
    <col width="26" customWidth="1" min="6" max="6"/>
  </cols>
  <sheetData>
    <row r="1">
      <c r="A1" s="2" t="inlineStr">
        <is>
          <t>後室管理局 —— 探險員角色卡</t>
        </is>
      </c>
    </row>
    <row r="3">
      <c r="A3" s="3" t="inlineStr">
        <is>
          <t>基本資料</t>
        </is>
      </c>
    </row>
    <row r="4">
      <c r="A4" s="4" t="inlineStr">
        <is>
          <t>姓名</t>
        </is>
      </c>
      <c r="B4" s="4" t="inlineStr">
        <is>
          <t>林雨晴</t>
        </is>
      </c>
      <c r="C4" s="4" t="inlineStr">
        <is>
          <t>性別</t>
        </is>
      </c>
      <c r="D4" s="4" t="inlineStr">
        <is>
          <t>女</t>
        </is>
      </c>
      <c r="E4" s="4" t="inlineStr">
        <is>
          <t>年齡</t>
        </is>
      </c>
      <c r="F4" s="4" t="n">
        <v>24</v>
      </c>
    </row>
    <row r="5">
      <c r="A5" s="4" t="inlineStr">
        <is>
          <t>編號</t>
        </is>
      </c>
      <c r="B5" s="4" t="inlineStr">
        <is>
          <t>E-0021</t>
        </is>
      </c>
      <c r="C5" s="4" t="inlineStr">
        <is>
          <t>部門</t>
        </is>
      </c>
      <c r="D5" s="4" t="inlineStr">
        <is>
          <t>第七支部</t>
        </is>
      </c>
      <c r="E5" s="4" t="inlineStr">
        <is>
          <t>狀態（ST）</t>
        </is>
      </c>
      <c r="F5" s="4" t="inlineStr">
        <is>
          <t>待命中</t>
        </is>
      </c>
    </row>
    <row r="7">
      <c r="A7" s="3" t="inlineStr">
        <is>
          <t>經驗與成長</t>
        </is>
      </c>
    </row>
    <row r="8">
      <c r="A8" s="4" t="inlineStr">
        <is>
          <t>經驗等級（EL）</t>
        </is>
      </c>
      <c r="B8" s="4" t="n">
        <v>1</v>
      </c>
      <c r="C8" s="4" t="inlineStr">
        <is>
          <t>等級名稱</t>
        </is>
      </c>
      <c r="D8" s="5">
        <f>IF(B8=1,"見習",IF(B8=2,"正式",IF(B8=3,"資深",IF(B8=4,"菁英",IF(B8=5,"傳奇","")))))</f>
        <v/>
      </c>
      <c r="E8" s="4" t="inlineStr">
        <is>
          <t>任務加值</t>
        </is>
      </c>
      <c r="F8" s="5">
        <f>IF(B8=1,5,IF(B8=2,10,IF(B8=3,15,IF(B8=4,20,IF(B8=5,25,0)))))</f>
        <v/>
      </c>
    </row>
    <row r="9">
      <c r="A9" s="4" t="inlineStr">
        <is>
          <t>完成任務次數</t>
        </is>
      </c>
      <c r="B9" s="4" t="n">
        <v>0</v>
      </c>
      <c r="C9" s="4" t="inlineStr">
        <is>
          <t>晉升所需總次數</t>
        </is>
      </c>
      <c r="D9" s="5">
        <f>IF(B8=1,5,IF(B8=2,15,IF(B8=3,35,IF(B8=4,"—","—"))))</f>
        <v/>
      </c>
      <c r="E9" s="4" t="inlineStr">
        <is>
          <t>距離晉升剩餘</t>
        </is>
      </c>
      <c r="F9" s="5">
        <f>IF(B8=1,MAX(0,5-B9),IF(B8=2,MAX(0,15-B9),IF(B8=3,MAX(0,35-B9),IF(B8=4,"不可晉升","已達頂"))))</f>
        <v/>
      </c>
    </row>
    <row r="10">
      <c r="A10" s="4" t="inlineStr">
        <is>
          <t>特殊能力</t>
        </is>
      </c>
      <c r="B10" s="6">
        <f>IF(B8=3,"冷靜頭腦：每任務可重擲一次壓力檢定",IF(B8=4,"專業直覺：準備階段獲一條額外情報線索",IF(B8=5,"傳奇意志：免疫崩潰，壓力鎖定9，最後一搏","無")))</f>
        <v/>
      </c>
      <c r="C10" s="12" t="n"/>
      <c r="D10" s="12" t="n"/>
      <c r="E10" s="12" t="n"/>
      <c r="F10" s="13" t="n"/>
    </row>
    <row r="12">
      <c r="A12" s="3" t="inlineStr">
        <is>
          <t>專長</t>
        </is>
      </c>
    </row>
    <row r="13">
      <c r="A13" s="4" t="inlineStr">
        <is>
          <t>主專長（SPC）</t>
        </is>
      </c>
      <c r="B13" s="4" t="inlineStr">
        <is>
          <t>醫療</t>
        </is>
      </c>
      <c r="C13" s="4" t="inlineStr">
        <is>
          <t>次專長（SPC）</t>
        </is>
      </c>
      <c r="D13" s="4" t="inlineStr">
        <is>
          <t>無</t>
        </is>
      </c>
      <c r="E13" s="4" t="inlineStr">
        <is>
          <t>專長加值</t>
        </is>
      </c>
      <c r="F13" s="5">
        <f>5+IF(OR(D13="無",D13=""),0,IF(D13=B13,5,3))</f>
        <v/>
      </c>
    </row>
    <row r="15">
      <c r="A15" s="3" t="inlineStr">
        <is>
          <t>心理與存在</t>
        </is>
      </c>
    </row>
    <row r="16">
      <c r="A16" s="4" t="inlineStr">
        <is>
          <t>心理狀態（MS）</t>
        </is>
      </c>
      <c r="B16" s="4" t="inlineStr">
        <is>
          <t>穩定</t>
        </is>
      </c>
      <c r="C16" s="4" t="inlineStr">
        <is>
          <t>壓力值（STR）</t>
        </is>
      </c>
      <c r="D16" s="4" t="n">
        <v>0</v>
      </c>
      <c r="E16" s="4" t="inlineStr">
        <is>
          <t>存在感（EXI）</t>
        </is>
      </c>
      <c r="F16" s="4" t="n">
        <v>10</v>
      </c>
    </row>
    <row r="17">
      <c r="A17" s="4" t="inlineStr">
        <is>
          <t>壓力惡化提示</t>
        </is>
      </c>
      <c r="B17" s="6">
        <f>IF(D16&gt;=8,"⚠ 接近崩潰",IF(D16&gt;=5,"緊張累積中","穩定"))</f>
        <v/>
      </c>
      <c r="C17" s="12" t="n"/>
      <c r="D17" s="12" t="n"/>
      <c r="E17" s="12" t="n"/>
      <c r="F17" s="13" t="n"/>
    </row>
    <row r="19">
      <c r="A19" s="3" t="inlineStr">
        <is>
          <t>合約</t>
        </is>
      </c>
    </row>
    <row r="20">
      <c r="A20" s="4" t="inlineStr">
        <is>
          <t>合約類型（CNT）</t>
        </is>
      </c>
      <c r="B20" s="4" t="inlineStr">
        <is>
          <t>見習合約</t>
        </is>
      </c>
      <c r="C20" s="4" t="inlineStr">
        <is>
          <t>週薪</t>
        </is>
      </c>
      <c r="D20" s="4" t="n">
        <v>60</v>
      </c>
      <c r="E20" s="4" t="inlineStr">
        <is>
          <t>剩餘回合</t>
        </is>
      </c>
      <c r="F20" s="4" t="n">
        <v>12</v>
      </c>
    </row>
    <row r="21">
      <c r="A21" s="4" t="inlineStr">
        <is>
          <t>特殊條款</t>
        </is>
      </c>
      <c r="B21" s="4" t="inlineStr">
        <is>
          <t>基礎醫療義務，無特殊條款</t>
        </is>
      </c>
      <c r="C21" s="12" t="n"/>
      <c r="D21" s="12" t="n"/>
      <c r="E21" s="12" t="n"/>
      <c r="F21" s="13" t="n"/>
    </row>
    <row r="23">
      <c r="A23" s="3" t="inlineStr">
        <is>
          <t>當前狀態（ST）</t>
        </is>
      </c>
    </row>
    <row r="24">
      <c r="A24" s="4" t="inlineStr">
        <is>
          <t>■ 待命中 □ 任務中 □ 負傷(輕/中/重) □ 失蹤 □ 死亡</t>
        </is>
      </c>
      <c r="B24" s="12" t="n"/>
      <c r="C24" s="12" t="n"/>
      <c r="D24" s="12" t="n"/>
      <c r="E24" s="12" t="n"/>
      <c r="F24" s="13" t="n"/>
    </row>
    <row r="25">
      <c r="A25" s="3" t="inlineStr">
        <is>
          <t>背景摘要</t>
        </is>
      </c>
    </row>
    <row r="26">
      <c r="A26" s="7" t="inlineStr">
        <is>
          <t>曾是急診室護士，誤入後室後被管理局收編。手很穩。</t>
        </is>
      </c>
    </row>
    <row r="27"/>
    <row r="28">
      <c r="A28" s="3" t="inlineStr">
        <is>
          <t>特殊能力詳述 / 備註</t>
        </is>
      </c>
    </row>
    <row r="29">
      <c r="A29" s="7" t="inlineStr">
        <is>
          <t>新人階段尚無特殊能力；醫療專長+5，任務中可降低隊友傷勢一級（戰地急救）。</t>
        </is>
      </c>
    </row>
    <row r="30"/>
    <row r="31">
      <c r="A31" s="3" t="inlineStr">
        <is>
          <t>使用說明</t>
        </is>
      </c>
    </row>
    <row r="32">
      <c r="A32" s="7" t="inlineStr">
        <is>
          <t>1. 紫色底色為自動計算欄；白色為手動填寫欄。</t>
        </is>
      </c>
    </row>
    <row r="33">
      <c r="A33" s="7" t="inlineStr">
        <is>
          <t>2. 存在感（EXI）初始 10，遭遇「空洞」每 10 分鐘 −1，歸零者從所有人記憶消失（GM §2.11）。</t>
        </is>
      </c>
    </row>
    <row r="34">
      <c r="A34" s="7" t="inlineStr">
        <is>
          <t>3. 心理狀態：穩定/緊張/創傷/崩潰；壓力值 0–10 累積觸發惡化（見 §4.4）。</t>
        </is>
      </c>
    </row>
    <row r="35">
      <c r="A35" s="7" t="inlineStr">
        <is>
          <t>4. 招募產出來自 GM 附錄 C 的 100 人探險員池；范例外觀請參見本檔「範例」分頁。</t>
        </is>
      </c>
    </row>
  </sheetData>
  <mergeCells count="20">
    <mergeCell ref="A12:F12"/>
    <mergeCell ref="A3:F3"/>
    <mergeCell ref="B21:F21"/>
    <mergeCell ref="A33:F33"/>
    <mergeCell ref="A23:F23"/>
    <mergeCell ref="A32:F32"/>
    <mergeCell ref="A35:F35"/>
    <mergeCell ref="B17:F17"/>
    <mergeCell ref="A28:F28"/>
    <mergeCell ref="A19:F19"/>
    <mergeCell ref="B10:F10"/>
    <mergeCell ref="A31:F31"/>
    <mergeCell ref="A34:F34"/>
    <mergeCell ref="A26:F27"/>
    <mergeCell ref="A15:F15"/>
    <mergeCell ref="A24:F24"/>
    <mergeCell ref="A1:F1"/>
    <mergeCell ref="A7:F7"/>
    <mergeCell ref="A25:F25"/>
    <mergeCell ref="A29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2" customWidth="1" min="4" max="4"/>
    <col width="16" customWidth="1" min="5" max="5"/>
    <col width="26" customWidth="1" min="6" max="6"/>
  </cols>
  <sheetData>
    <row r="1">
      <c r="A1" s="2" t="inlineStr">
        <is>
          <t>後室管理局 —— 探險員角色卡</t>
        </is>
      </c>
    </row>
    <row r="3">
      <c r="A3" s="3" t="inlineStr">
        <is>
          <t>基本資料</t>
        </is>
      </c>
    </row>
    <row r="4">
      <c r="A4" s="4" t="inlineStr">
        <is>
          <t>姓名</t>
        </is>
      </c>
      <c r="B4" s="4" t="inlineStr">
        <is>
          <t>許淑華</t>
        </is>
      </c>
      <c r="C4" s="4" t="inlineStr">
        <is>
          <t>性別</t>
        </is>
      </c>
      <c r="D4" s="4" t="inlineStr">
        <is>
          <t>女</t>
        </is>
      </c>
      <c r="E4" s="4" t="inlineStr">
        <is>
          <t>年齡</t>
        </is>
      </c>
      <c r="F4" s="4" t="n">
        <v>31</v>
      </c>
    </row>
    <row r="5">
      <c r="A5" s="4" t="inlineStr">
        <is>
          <t>編號</t>
        </is>
      </c>
      <c r="B5" s="4" t="inlineStr">
        <is>
          <t>E-0007</t>
        </is>
      </c>
      <c r="C5" s="4" t="inlineStr">
        <is>
          <t>部門</t>
        </is>
      </c>
      <c r="D5" s="4" t="inlineStr">
        <is>
          <t>第七支部</t>
        </is>
      </c>
      <c r="E5" s="4" t="inlineStr">
        <is>
          <t>狀態（ST）</t>
        </is>
      </c>
      <c r="F5" s="4" t="inlineStr">
        <is>
          <t>待命中</t>
        </is>
      </c>
    </row>
    <row r="7">
      <c r="A7" s="3" t="inlineStr">
        <is>
          <t>經驗與成長</t>
        </is>
      </c>
    </row>
    <row r="8">
      <c r="A8" s="4" t="inlineStr">
        <is>
          <t>經驗等級（EL）</t>
        </is>
      </c>
      <c r="B8" s="4" t="n">
        <v>3</v>
      </c>
      <c r="C8" s="4" t="inlineStr">
        <is>
          <t>等級名稱</t>
        </is>
      </c>
      <c r="D8" s="5">
        <f>IF(B8=1,"見習",IF(B8=2,"正式",IF(B8=3,"資深",IF(B8=4,"菁英",IF(B8=5,"傳奇","")))))</f>
        <v/>
      </c>
      <c r="E8" s="4" t="inlineStr">
        <is>
          <t>任務加值</t>
        </is>
      </c>
      <c r="F8" s="5">
        <f>IF(B8=1,5,IF(B8=2,10,IF(B8=3,15,IF(B8=4,20,IF(B8=5,25,0)))))</f>
        <v/>
      </c>
    </row>
    <row r="9">
      <c r="A9" s="4" t="inlineStr">
        <is>
          <t>完成任務次數</t>
        </is>
      </c>
      <c r="B9" s="4" t="n">
        <v>23</v>
      </c>
      <c r="C9" s="4" t="inlineStr">
        <is>
          <t>晉升所需總次數</t>
        </is>
      </c>
      <c r="D9" s="5">
        <f>IF(B8=1,5,IF(B8=2,15,IF(B8=3,35,IF(B8=4,"—","—"))))</f>
        <v/>
      </c>
      <c r="E9" s="4" t="inlineStr">
        <is>
          <t>距離晉升剩餘</t>
        </is>
      </c>
      <c r="F9" s="5">
        <f>IF(B8=1,MAX(0,5-B9),IF(B8=2,MAX(0,15-B9),IF(B8=3,MAX(0,35-B9),IF(B8=4,"不可晉升","已達頂"))))</f>
        <v/>
      </c>
    </row>
    <row r="10">
      <c r="A10" s="4" t="inlineStr">
        <is>
          <t>特殊能力</t>
        </is>
      </c>
      <c r="B10" s="6">
        <f>IF(B8=3,"冷靜頭腦：每任務可重擲一次壓力檢定",IF(B8=4,"專業直覺：準備階段獲一條額外情報線索",IF(B8=5,"傳奇意志：免疫崩潰，壓力鎖定9，最後一搏","無")))</f>
        <v/>
      </c>
      <c r="C10" s="12" t="n"/>
      <c r="D10" s="12" t="n"/>
      <c r="E10" s="12" t="n"/>
      <c r="F10" s="13" t="n"/>
    </row>
    <row r="12">
      <c r="A12" s="3" t="inlineStr">
        <is>
          <t>專長</t>
        </is>
      </c>
    </row>
    <row r="13">
      <c r="A13" s="4" t="inlineStr">
        <is>
          <t>主專長（SPC）</t>
        </is>
      </c>
      <c r="B13" s="4" t="inlineStr">
        <is>
          <t>醫療</t>
        </is>
      </c>
      <c r="C13" s="4" t="inlineStr">
        <is>
          <t>次專長（SPC）</t>
        </is>
      </c>
      <c r="D13" s="4" t="inlineStr">
        <is>
          <t>交涉</t>
        </is>
      </c>
      <c r="E13" s="4" t="inlineStr">
        <is>
          <t>專長加值</t>
        </is>
      </c>
      <c r="F13" s="5">
        <f>5+IF(OR(D13="無",D13=""),0,IF(D13=B13,5,3))</f>
        <v/>
      </c>
    </row>
    <row r="15">
      <c r="A15" s="3" t="inlineStr">
        <is>
          <t>心理與存在</t>
        </is>
      </c>
    </row>
    <row r="16">
      <c r="A16" s="4" t="inlineStr">
        <is>
          <t>心理狀態（MS）</t>
        </is>
      </c>
      <c r="B16" s="4" t="inlineStr">
        <is>
          <t>穩定</t>
        </is>
      </c>
      <c r="C16" s="4" t="inlineStr">
        <is>
          <t>壓力值（STR）</t>
        </is>
      </c>
      <c r="D16" s="4" t="n">
        <v>2</v>
      </c>
      <c r="E16" s="4" t="inlineStr">
        <is>
          <t>存在感（EXI）</t>
        </is>
      </c>
      <c r="F16" s="4" t="n">
        <v>10</v>
      </c>
    </row>
    <row r="17">
      <c r="A17" s="4" t="inlineStr">
        <is>
          <t>壓力惡化提示</t>
        </is>
      </c>
      <c r="B17" s="6">
        <f>IF(D16&gt;=8,"⚠ 接近崩潰",IF(D16&gt;=5,"緊張累積中","穩定"))</f>
        <v/>
      </c>
      <c r="C17" s="12" t="n"/>
      <c r="D17" s="12" t="n"/>
      <c r="E17" s="12" t="n"/>
      <c r="F17" s="13" t="n"/>
    </row>
    <row r="19">
      <c r="A19" s="3" t="inlineStr">
        <is>
          <t>合約</t>
        </is>
      </c>
    </row>
    <row r="20">
      <c r="A20" s="4" t="inlineStr">
        <is>
          <t>合約類型（CNT）</t>
        </is>
      </c>
      <c r="B20" s="4" t="inlineStr">
        <is>
          <t>資深合約</t>
        </is>
      </c>
      <c r="C20" s="4" t="inlineStr">
        <is>
          <t>週薪</t>
        </is>
      </c>
      <c r="D20" s="4" t="n">
        <v>140</v>
      </c>
      <c r="E20" s="4" t="inlineStr">
        <is>
          <t>剩餘回合</t>
        </is>
      </c>
      <c r="F20" s="4" t="n">
        <v>0</v>
      </c>
    </row>
    <row r="21">
      <c r="A21" s="4" t="inlineStr">
        <is>
          <t>特殊條款</t>
        </is>
      </c>
      <c r="B21" s="4" t="inlineStr">
        <is>
          <t>已簽長期服務協議</t>
        </is>
      </c>
      <c r="C21" s="12" t="n"/>
      <c r="D21" s="12" t="n"/>
      <c r="E21" s="12" t="n"/>
      <c r="F21" s="13" t="n"/>
    </row>
    <row r="23">
      <c r="A23" s="3" t="inlineStr">
        <is>
          <t>當前狀態（ST）</t>
        </is>
      </c>
    </row>
    <row r="24">
      <c r="A24" s="4" t="inlineStr">
        <is>
          <t>■ 待命中 □ 任務中 □ 負傷(輕/中/重) □ 失蹤 □ 死亡</t>
        </is>
      </c>
      <c r="B24" s="12" t="n"/>
      <c r="C24" s="12" t="n"/>
      <c r="D24" s="12" t="n"/>
      <c r="E24" s="12" t="n"/>
      <c r="F24" s="13" t="n"/>
    </row>
    <row r="25">
      <c r="A25" s="3" t="inlineStr">
        <is>
          <t>背景摘要</t>
        </is>
      </c>
    </row>
    <row r="26">
      <c r="A26" s="7" t="inlineStr">
        <is>
          <t>前戰地醫生。見過的傷口比大多數戰鬥探險員還多。有辦法在五分鐘內讓任何人冷靜下來。</t>
        </is>
      </c>
    </row>
    <row r="27"/>
    <row r="28">
      <c r="A28" s="3" t="inlineStr">
        <is>
          <t>特殊能力詳述 / 備註</t>
        </is>
      </c>
    </row>
    <row r="29">
      <c r="A29" s="7" t="inlineStr">
        <is>
          <t>冷靜頭腦：每任務可重擲一次壓力檢定（資深特殊能力）。雙專長：醫療+5、交涉+3。</t>
        </is>
      </c>
    </row>
    <row r="30"/>
    <row r="31">
      <c r="A31" s="3" t="inlineStr">
        <is>
          <t>使用說明</t>
        </is>
      </c>
    </row>
    <row r="32">
      <c r="A32" s="7" t="inlineStr">
        <is>
          <t>1. 紫色底色為自動計算欄；白色為手動填寫欄。</t>
        </is>
      </c>
    </row>
    <row r="33">
      <c r="A33" s="7" t="inlineStr">
        <is>
          <t>2. 存在感（EXI）初始 10，遭遇「空洞」每 10 分鐘 −1，歸零者從所有人記憶消失（GM §2.11）。</t>
        </is>
      </c>
    </row>
    <row r="34">
      <c r="A34" s="7" t="inlineStr">
        <is>
          <t>3. 心理狀態：穩定/緊張/創傷/崩潰；壓力值 0–10 累積觸發惡化（見 §4.4）。</t>
        </is>
      </c>
    </row>
    <row r="35">
      <c r="A35" s="7" t="inlineStr">
        <is>
          <t>4. 招募產出來自 GM 附錄 C 的 100 人探險員池；范例外觀請參見本檔「範例」分頁。</t>
        </is>
      </c>
    </row>
  </sheetData>
  <mergeCells count="20">
    <mergeCell ref="A12:F12"/>
    <mergeCell ref="A3:F3"/>
    <mergeCell ref="B21:F21"/>
    <mergeCell ref="A33:F33"/>
    <mergeCell ref="A23:F23"/>
    <mergeCell ref="A32:F32"/>
    <mergeCell ref="A35:F35"/>
    <mergeCell ref="B17:F17"/>
    <mergeCell ref="A28:F28"/>
    <mergeCell ref="A19:F19"/>
    <mergeCell ref="B10:F10"/>
    <mergeCell ref="A31:F31"/>
    <mergeCell ref="A34:F34"/>
    <mergeCell ref="A26:F27"/>
    <mergeCell ref="A15:F15"/>
    <mergeCell ref="A24:F24"/>
    <mergeCell ref="A1:F1"/>
    <mergeCell ref="A7:F7"/>
    <mergeCell ref="A25:F25"/>
    <mergeCell ref="A29:F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姓名</t>
        </is>
      </c>
      <c r="C1" t="inlineStr">
        <is>
          <t>性別</t>
        </is>
      </c>
      <c r="D1" t="inlineStr">
        <is>
          <t>年齡</t>
        </is>
      </c>
      <c r="E1" t="inlineStr">
        <is>
          <t>編號</t>
        </is>
      </c>
      <c r="F1" t="inlineStr">
        <is>
          <t>部門</t>
        </is>
      </c>
      <c r="G1" t="inlineStr">
        <is>
          <t>經驗等級</t>
        </is>
      </c>
      <c r="H1" t="inlineStr">
        <is>
          <t>主專長</t>
        </is>
      </c>
      <c r="I1" t="inlineStr">
        <is>
          <t>次專長</t>
        </is>
      </c>
      <c r="J1" t="inlineStr">
        <is>
          <t>背景</t>
        </is>
      </c>
    </row>
    <row r="2">
      <c r="A2" t="n">
        <v>1</v>
      </c>
      <c r="B2" t="inlineStr">
        <is>
          <t>陳曉明</t>
        </is>
      </c>
      <c r="C2" t="inlineStr">
        <is>
          <t>男</t>
        </is>
      </c>
      <c r="D2" t="n">
        <v>22</v>
      </c>
      <c r="E2" t="inlineStr">
        <is>
          <t>E-0001</t>
        </is>
      </c>
      <c r="F2" t="inlineStr">
        <is>
          <t>第七支部</t>
        </is>
      </c>
      <c r="G2" t="n">
        <v>1</v>
      </c>
      <c r="H2" t="inlineStr">
        <is>
          <t>戰鬥</t>
        </is>
      </c>
      <c r="I2" t="inlineStr">
        <is>
          <t>無</t>
        </is>
      </c>
      <c r="J2" t="inlineStr">
        <is>
          <t>剛從軍事學院畢業的年輕人，充滿理想。以為後室只是另一個訓練場。</t>
        </is>
      </c>
    </row>
    <row r="3">
      <c r="A3" t="n">
        <v>2</v>
      </c>
      <c r="B3" t="inlineStr">
        <is>
          <t>林雨晴</t>
        </is>
      </c>
      <c r="C3" t="inlineStr">
        <is>
          <t>女</t>
        </is>
      </c>
      <c r="D3" t="n">
        <v>24</v>
      </c>
      <c r="E3" t="inlineStr">
        <is>
          <t>E-0002</t>
        </is>
      </c>
      <c r="F3" t="inlineStr">
        <is>
          <t>第七支部</t>
        </is>
      </c>
      <c r="G3" t="n">
        <v>1</v>
      </c>
      <c r="H3" t="inlineStr">
        <is>
          <t>醫療</t>
        </is>
      </c>
      <c r="I3" t="inlineStr">
        <is>
          <t>無</t>
        </is>
      </c>
      <c r="J3" t="inlineStr">
        <is>
          <t>曾是急診室護士，誤入後室後被管理局收編。手很穩。</t>
        </is>
      </c>
    </row>
    <row r="4">
      <c r="A4" t="n">
        <v>3</v>
      </c>
      <c r="B4" t="inlineStr">
        <is>
          <t>張志剛</t>
        </is>
      </c>
      <c r="C4" t="inlineStr">
        <is>
          <t>男</t>
        </is>
      </c>
      <c r="D4" t="n">
        <v>28</v>
      </c>
      <c r="E4" t="inlineStr">
        <is>
          <t>E-0003</t>
        </is>
      </c>
      <c r="F4" t="inlineStr">
        <is>
          <t>第七支部</t>
        </is>
      </c>
      <c r="G4" t="n">
        <v>1</v>
      </c>
      <c r="H4" t="inlineStr">
        <is>
          <t>工程</t>
        </is>
      </c>
      <c r="I4" t="inlineStr">
        <is>
          <t>無</t>
        </is>
      </c>
      <c r="J4" t="inlineStr">
        <is>
          <t>前建築工人，在後室中發現自己對結構異常的直覺特別敏銳。</t>
        </is>
      </c>
    </row>
    <row r="5">
      <c r="A5" t="n">
        <v>4</v>
      </c>
      <c r="B5" t="inlineStr">
        <is>
          <t>王美玲</t>
        </is>
      </c>
      <c r="C5" t="inlineStr">
        <is>
          <t>女</t>
        </is>
      </c>
      <c r="D5" t="n">
        <v>21</v>
      </c>
      <c r="E5" t="inlineStr">
        <is>
          <t>E-0004</t>
        </is>
      </c>
      <c r="F5" t="inlineStr">
        <is>
          <t>第七支部</t>
        </is>
      </c>
      <c r="G5" t="n">
        <v>1</v>
      </c>
      <c r="H5" t="inlineStr">
        <is>
          <t>偵察</t>
        </is>
      </c>
      <c r="I5" t="inlineStr">
        <is>
          <t>無</t>
        </is>
      </c>
      <c r="J5" t="inlineStr">
        <is>
          <t>前田徑運動員，安靜、快速、不喜歡人多的地方——在後室中這些全是優點。</t>
        </is>
      </c>
    </row>
    <row r="6">
      <c r="A6" t="n">
        <v>5</v>
      </c>
      <c r="B6" t="inlineStr">
        <is>
          <t>黃國強</t>
        </is>
      </c>
      <c r="C6" t="inlineStr">
        <is>
          <t>男</t>
        </is>
      </c>
      <c r="D6" t="n">
        <v>25</v>
      </c>
      <c r="E6" t="inlineStr">
        <is>
          <t>E-0005</t>
        </is>
      </c>
      <c r="F6" t="inlineStr">
        <is>
          <t>第七支部</t>
        </is>
      </c>
      <c r="G6" t="n">
        <v>1</v>
      </c>
      <c r="H6" t="inlineStr">
        <is>
          <t>戰鬥</t>
        </is>
      </c>
      <c r="I6" t="inlineStr">
        <is>
          <t>無</t>
        </is>
      </c>
      <c r="J6" t="inlineStr">
        <is>
          <t>退伍軍人，話不多。手臂上有一道還沒癒合的抓痕——他不願意說是怎麼來的。</t>
        </is>
      </c>
    </row>
    <row r="7">
      <c r="A7" t="n">
        <v>6</v>
      </c>
      <c r="B7" t="inlineStr">
        <is>
          <t>李心潔</t>
        </is>
      </c>
      <c r="C7" t="inlineStr">
        <is>
          <t>女</t>
        </is>
      </c>
      <c r="D7" t="n">
        <v>23</v>
      </c>
      <c r="E7" t="inlineStr">
        <is>
          <t>E-0006</t>
        </is>
      </c>
      <c r="F7" t="inlineStr">
        <is>
          <t>第七支部</t>
        </is>
      </c>
      <c r="G7" t="n">
        <v>1</v>
      </c>
      <c r="H7" t="inlineStr">
        <is>
          <t>交涉</t>
        </is>
      </c>
      <c r="I7" t="inlineStr">
        <is>
          <t>無</t>
        </is>
      </c>
      <c r="J7" t="inlineStr">
        <is>
          <t>前銷售人員。她說服的東西從保險到生存機率。笑容比杏仁水還有安撫作用。</t>
        </is>
      </c>
    </row>
    <row r="8">
      <c r="A8" t="n">
        <v>7</v>
      </c>
      <c r="B8" t="inlineStr">
        <is>
          <t>劉建宏</t>
        </is>
      </c>
      <c r="C8" t="inlineStr">
        <is>
          <t>男</t>
        </is>
      </c>
      <c r="D8" t="n">
        <v>26</v>
      </c>
      <c r="E8" t="inlineStr">
        <is>
          <t>E-0007</t>
        </is>
      </c>
      <c r="F8" t="inlineStr">
        <is>
          <t>第七支部</t>
        </is>
      </c>
      <c r="G8" t="n">
        <v>1</v>
      </c>
      <c r="H8" t="inlineStr">
        <is>
          <t>工程</t>
        </is>
      </c>
      <c r="I8" t="inlineStr">
        <is>
          <t>無</t>
        </is>
      </c>
      <c r="J8" t="inlineStr">
        <is>
          <t>電子工程師，對後室中的電磁異常充滿病態的好奇心。</t>
        </is>
      </c>
    </row>
    <row r="9">
      <c r="A9" t="n">
        <v>8</v>
      </c>
      <c r="B9" t="inlineStr">
        <is>
          <t>趙雅文</t>
        </is>
      </c>
      <c r="C9" t="inlineStr">
        <is>
          <t>女</t>
        </is>
      </c>
      <c r="D9" t="n">
        <v>20</v>
      </c>
      <c r="E9" t="inlineStr">
        <is>
          <t>E-0008</t>
        </is>
      </c>
      <c r="F9" t="inlineStr">
        <is>
          <t>第七支部</t>
        </is>
      </c>
      <c r="G9" t="n">
        <v>1</v>
      </c>
      <c r="H9" t="inlineStr">
        <is>
          <t>偵察</t>
        </is>
      </c>
      <c r="I9" t="inlineStr">
        <is>
          <t>無</t>
        </is>
      </c>
      <c r="J9" t="inlineStr">
        <is>
          <t>前街頭攝影師，對環境細節的觀察力近乎偏執。</t>
        </is>
      </c>
    </row>
    <row r="10">
      <c r="A10" t="n">
        <v>9</v>
      </c>
      <c r="B10" t="inlineStr">
        <is>
          <t>吳俊傑</t>
        </is>
      </c>
      <c r="C10" t="inlineStr">
        <is>
          <t>男</t>
        </is>
      </c>
      <c r="D10" t="n">
        <v>27</v>
      </c>
      <c r="E10" t="inlineStr">
        <is>
          <t>E-0009</t>
        </is>
      </c>
      <c r="F10" t="inlineStr">
        <is>
          <t>第七支部</t>
        </is>
      </c>
      <c r="G10" t="n">
        <v>1</v>
      </c>
      <c r="H10" t="inlineStr">
        <is>
          <t>醫療</t>
        </is>
      </c>
      <c r="I10" t="inlineStr">
        <is>
          <t>無</t>
        </is>
      </c>
      <c r="J10" t="inlineStr">
        <is>
          <t>獸醫轉行。他說動物的身體和人類的差不多——在被實體攻擊後，差不多。</t>
        </is>
      </c>
    </row>
    <row r="11">
      <c r="A11" t="n">
        <v>10</v>
      </c>
      <c r="B11" t="inlineStr">
        <is>
          <t>周思涵</t>
        </is>
      </c>
      <c r="C11" t="inlineStr">
        <is>
          <t>女</t>
        </is>
      </c>
      <c r="D11" t="n">
        <v>22</v>
      </c>
      <c r="E11" t="inlineStr">
        <is>
          <t>E-0010</t>
        </is>
      </c>
      <c r="F11" t="inlineStr">
        <is>
          <t>第七支部</t>
        </is>
      </c>
      <c r="G11" t="n">
        <v>1</v>
      </c>
      <c r="H11" t="inlineStr">
        <is>
          <t>交涉</t>
        </is>
      </c>
      <c r="I11" t="inlineStr">
        <is>
          <t>無</t>
        </is>
      </c>
      <c r="J11" t="inlineStr">
        <is>
          <t>人類學學生，在進行田野調查時誤入後室。她把每次任務當作「田野調查」。</t>
        </is>
      </c>
    </row>
    <row r="12">
      <c r="A12" t="n">
        <v>11</v>
      </c>
      <c r="B12" t="inlineStr">
        <is>
          <t>孫志遠</t>
        </is>
      </c>
      <c r="C12" t="inlineStr">
        <is>
          <t>男</t>
        </is>
      </c>
      <c r="D12" t="n">
        <v>23</v>
      </c>
      <c r="E12" t="inlineStr">
        <is>
          <t>E-0011</t>
        </is>
      </c>
      <c r="F12" t="inlineStr">
        <is>
          <t>第七支部</t>
        </is>
      </c>
      <c r="G12" t="n">
        <v>1</v>
      </c>
      <c r="H12" t="inlineStr">
        <is>
          <t>戰鬥</t>
        </is>
      </c>
      <c r="I12" t="inlineStr">
        <is>
          <t>無</t>
        </is>
      </c>
      <c r="J12" t="inlineStr">
        <is>
          <t>前保全人員，第一次進後室就救了一個小孩。從此走不了。</t>
        </is>
      </c>
    </row>
    <row r="13">
      <c r="A13" t="n">
        <v>12</v>
      </c>
      <c r="B13" t="inlineStr">
        <is>
          <t>何雅婷</t>
        </is>
      </c>
      <c r="C13" t="inlineStr">
        <is>
          <t>女</t>
        </is>
      </c>
      <c r="D13" t="n">
        <v>22</v>
      </c>
      <c r="E13" t="inlineStr">
        <is>
          <t>E-0012</t>
        </is>
      </c>
      <c r="F13" t="inlineStr">
        <is>
          <t>第七支部</t>
        </is>
      </c>
      <c r="G13" t="n">
        <v>1</v>
      </c>
      <c r="H13" t="inlineStr">
        <is>
          <t>醫療</t>
        </is>
      </c>
      <c r="I13" t="inlineStr">
        <is>
          <t>無</t>
        </is>
      </c>
      <c r="J13" t="inlineStr">
        <is>
          <t>護校實習生，比同齡人更早學會不看病人的眼睛說謊。</t>
        </is>
      </c>
    </row>
    <row r="14">
      <c r="A14" t="n">
        <v>13</v>
      </c>
      <c r="B14" t="inlineStr">
        <is>
          <t>羅建文</t>
        </is>
      </c>
      <c r="C14" t="inlineStr">
        <is>
          <t>男</t>
        </is>
      </c>
      <c r="D14" t="n">
        <v>26</v>
      </c>
      <c r="E14" t="inlineStr">
        <is>
          <t>E-0013</t>
        </is>
      </c>
      <c r="F14" t="inlineStr">
        <is>
          <t>第七支部</t>
        </is>
      </c>
      <c r="G14" t="n">
        <v>1</v>
      </c>
      <c r="H14" t="inlineStr">
        <is>
          <t>工程</t>
        </is>
      </c>
      <c r="I14" t="inlineStr">
        <is>
          <t>無</t>
        </is>
      </c>
      <c r="J14" t="inlineStr">
        <is>
          <t>水電工，在後室裡他發現牆後的聲音有規律。</t>
        </is>
      </c>
    </row>
    <row r="15">
      <c r="A15" t="n">
        <v>14</v>
      </c>
      <c r="B15" t="inlineStr">
        <is>
          <t>沈佳蓉</t>
        </is>
      </c>
      <c r="C15" t="inlineStr">
        <is>
          <t>女</t>
        </is>
      </c>
      <c r="D15" t="n">
        <v>21</v>
      </c>
      <c r="E15" t="inlineStr">
        <is>
          <t>E-0014</t>
        </is>
      </c>
      <c r="F15" t="inlineStr">
        <is>
          <t>第七支部</t>
        </is>
      </c>
      <c r="G15" t="n">
        <v>1</v>
      </c>
      <c r="H15" t="inlineStr">
        <is>
          <t>偵察</t>
        </is>
      </c>
      <c r="I15" t="inlineStr">
        <is>
          <t>無</t>
        </is>
      </c>
      <c r="J15" t="inlineStr">
        <is>
          <t>登山嚮導，對高度和邊緣有第六感；喜歡走沒有路的地方。</t>
        </is>
      </c>
    </row>
    <row r="16">
      <c r="A16" t="n">
        <v>15</v>
      </c>
      <c r="B16" t="inlineStr">
        <is>
          <t>高偉成</t>
        </is>
      </c>
      <c r="C16" t="inlineStr">
        <is>
          <t>男</t>
        </is>
      </c>
      <c r="D16" t="n">
        <v>25</v>
      </c>
      <c r="E16" t="inlineStr">
        <is>
          <t>E-0015</t>
        </is>
      </c>
      <c r="F16" t="inlineStr">
        <is>
          <t>第七支部</t>
        </is>
      </c>
      <c r="G16" t="n">
        <v>1</v>
      </c>
      <c r="H16" t="inlineStr">
        <is>
          <t>戰鬥</t>
        </is>
      </c>
      <c r="I16" t="inlineStr">
        <is>
          <t>無</t>
        </is>
      </c>
      <c r="J16" t="inlineStr">
        <is>
          <t>健身教練，肌肉比腦子快。但後室教會了他聽指揮。</t>
        </is>
      </c>
    </row>
    <row r="17">
      <c r="A17" t="n">
        <v>16</v>
      </c>
      <c r="B17" t="inlineStr">
        <is>
          <t>陳怡君</t>
        </is>
      </c>
      <c r="C17" t="inlineStr">
        <is>
          <t>女</t>
        </is>
      </c>
      <c r="D17" t="n">
        <v>24</v>
      </c>
      <c r="E17" t="inlineStr">
        <is>
          <t>E-0016</t>
        </is>
      </c>
      <c r="F17" t="inlineStr">
        <is>
          <t>第七支部</t>
        </is>
      </c>
      <c r="G17" t="n">
        <v>1</v>
      </c>
      <c r="H17" t="inlineStr">
        <is>
          <t>交涉</t>
        </is>
      </c>
      <c r="I17" t="inlineStr">
        <is>
          <t>無</t>
        </is>
      </c>
      <c r="J17" t="inlineStr">
        <is>
          <t>仲介，專門處理別人不想處理的房客。在後室派上用場。</t>
        </is>
      </c>
    </row>
    <row r="18">
      <c r="A18" t="n">
        <v>17</v>
      </c>
      <c r="B18" t="inlineStr">
        <is>
          <t>謝宗翰</t>
        </is>
      </c>
      <c r="C18" t="inlineStr">
        <is>
          <t>男</t>
        </is>
      </c>
      <c r="D18" t="n">
        <v>27</v>
      </c>
      <c r="E18" t="inlineStr">
        <is>
          <t>E-0017</t>
        </is>
      </c>
      <c r="F18" t="inlineStr">
        <is>
          <t>第七支部</t>
        </is>
      </c>
      <c r="G18" t="n">
        <v>1</v>
      </c>
      <c r="H18" t="inlineStr">
        <is>
          <t>工程</t>
        </is>
      </c>
      <c r="I18" t="inlineStr">
        <is>
          <t>無</t>
        </is>
      </c>
      <c r="J18" t="inlineStr">
        <is>
          <t>網管工程師，總覺得後室的燈光頻率藏著訊號。</t>
        </is>
      </c>
    </row>
    <row r="19">
      <c r="A19" t="n">
        <v>18</v>
      </c>
      <c r="B19" t="inlineStr">
        <is>
          <t>林小曼</t>
        </is>
      </c>
      <c r="C19" t="inlineStr">
        <is>
          <t>女</t>
        </is>
      </c>
      <c r="D19" t="n">
        <v>20</v>
      </c>
      <c r="E19" t="inlineStr">
        <is>
          <t>E-0018</t>
        </is>
      </c>
      <c r="F19" t="inlineStr">
        <is>
          <t>第七支部</t>
        </is>
      </c>
      <c r="G19" t="n">
        <v>1</v>
      </c>
      <c r="H19" t="inlineStr">
        <is>
          <t>偵察</t>
        </is>
      </c>
      <c r="I19" t="inlineStr">
        <is>
          <t>無</t>
        </is>
      </c>
      <c r="J19" t="inlineStr">
        <is>
          <t>跑酷愛好者，能在任何縫隙中鑽過。據說從沒被抓住過。</t>
        </is>
      </c>
    </row>
    <row r="20">
      <c r="A20" t="n">
        <v>19</v>
      </c>
      <c r="B20" t="inlineStr">
        <is>
          <t>黃詩涵</t>
        </is>
      </c>
      <c r="C20" t="inlineStr">
        <is>
          <t>女</t>
        </is>
      </c>
      <c r="D20" t="n">
        <v>23</v>
      </c>
      <c r="E20" t="inlineStr">
        <is>
          <t>E-0019</t>
        </is>
      </c>
      <c r="F20" t="inlineStr">
        <is>
          <t>第七支部</t>
        </is>
      </c>
      <c r="G20" t="n">
        <v>1</v>
      </c>
      <c r="H20" t="inlineStr">
        <is>
          <t>醫療</t>
        </is>
      </c>
      <c r="I20" t="inlineStr">
        <is>
          <t>無</t>
        </is>
      </c>
      <c r="J20" t="inlineStr">
        <is>
          <t>藥劑師，杏仁水的味道她一眼就能辨真偽。</t>
        </is>
      </c>
    </row>
    <row r="21">
      <c r="A21" t="n">
        <v>20</v>
      </c>
      <c r="B21" t="inlineStr">
        <is>
          <t>吳承恩</t>
        </is>
      </c>
      <c r="C21" t="inlineStr">
        <is>
          <t>男</t>
        </is>
      </c>
      <c r="D21" t="n">
        <v>28</v>
      </c>
      <c r="E21" t="inlineStr">
        <is>
          <t>E-0020</t>
        </is>
      </c>
      <c r="F21" t="inlineStr">
        <is>
          <t>第七支部</t>
        </is>
      </c>
      <c r="G21" t="n">
        <v>1</v>
      </c>
      <c r="H21" t="inlineStr">
        <is>
          <t>戰鬥</t>
        </is>
      </c>
      <c r="I21" t="inlineStr">
        <is>
          <t>無</t>
        </is>
      </c>
      <c r="J21" t="inlineStr">
        <is>
          <t>退役保全隊長，帶過二十人小隊。後室讓他把帶人回家當信仰。</t>
        </is>
      </c>
    </row>
    <row r="22">
      <c r="A22" t="n">
        <v>21</v>
      </c>
      <c r="B22" t="inlineStr">
        <is>
          <t>鄭凱文</t>
        </is>
      </c>
      <c r="C22" t="inlineStr">
        <is>
          <t>男</t>
        </is>
      </c>
      <c r="D22" t="n">
        <v>22</v>
      </c>
      <c r="E22" t="inlineStr">
        <is>
          <t>E-0021</t>
        </is>
      </c>
      <c r="F22" t="inlineStr">
        <is>
          <t>第七支部</t>
        </is>
      </c>
      <c r="G22" t="n">
        <v>1</v>
      </c>
      <c r="H22" t="inlineStr">
        <is>
          <t>工程</t>
        </is>
      </c>
      <c r="I22" t="inlineStr">
        <is>
          <t>無</t>
        </is>
      </c>
      <c r="J22" t="inlineStr">
        <is>
          <t>機車行學徒，會修任何會動的東西，包括自己。</t>
        </is>
      </c>
    </row>
    <row r="23">
      <c r="A23" t="n">
        <v>22</v>
      </c>
      <c r="B23" t="inlineStr">
        <is>
          <t>張芸瑄</t>
        </is>
      </c>
      <c r="C23" t="inlineStr">
        <is>
          <t>女</t>
        </is>
      </c>
      <c r="D23" t="n">
        <v>25</v>
      </c>
      <c r="E23" t="inlineStr">
        <is>
          <t>E-0022</t>
        </is>
      </c>
      <c r="F23" t="inlineStr">
        <is>
          <t>第七支部</t>
        </is>
      </c>
      <c r="G23" t="n">
        <v>1</v>
      </c>
      <c r="H23" t="inlineStr">
        <is>
          <t>交涉</t>
        </is>
      </c>
      <c r="I23" t="inlineStr">
        <is>
          <t>無</t>
        </is>
      </c>
      <c r="J23" t="inlineStr">
        <is>
          <t>櫃檯經理，能把投訴變成感謝。後室裡她負責跟他們談。</t>
        </is>
      </c>
    </row>
    <row r="24">
      <c r="A24" t="n">
        <v>23</v>
      </c>
      <c r="B24" t="inlineStr">
        <is>
          <t>楊明哲</t>
        </is>
      </c>
      <c r="C24" t="inlineStr">
        <is>
          <t>男</t>
        </is>
      </c>
      <c r="D24" t="n">
        <v>24</v>
      </c>
      <c r="E24" t="inlineStr">
        <is>
          <t>E-0023</t>
        </is>
      </c>
      <c r="F24" t="inlineStr">
        <is>
          <t>第七支部</t>
        </is>
      </c>
      <c r="G24" t="n">
        <v>1</v>
      </c>
      <c r="H24" t="inlineStr">
        <is>
          <t>偵察</t>
        </is>
      </c>
      <c r="I24" t="inlineStr">
        <is>
          <t>無</t>
        </is>
      </c>
      <c r="J24" t="inlineStr">
        <is>
          <t>記者，習慣問太多。在後室，好奇曾讓他少一條命。</t>
        </is>
      </c>
    </row>
    <row r="25">
      <c r="A25" t="n">
        <v>24</v>
      </c>
      <c r="B25" t="inlineStr">
        <is>
          <t>呂秀琴</t>
        </is>
      </c>
      <c r="C25" t="inlineStr">
        <is>
          <t>女</t>
        </is>
      </c>
      <c r="D25" t="n">
        <v>26</v>
      </c>
      <c r="E25" t="inlineStr">
        <is>
          <t>E-0024</t>
        </is>
      </c>
      <c r="F25" t="inlineStr">
        <is>
          <t>第七支部</t>
        </is>
      </c>
      <c r="G25" t="n">
        <v>1</v>
      </c>
      <c r="H25" t="inlineStr">
        <is>
          <t>醫療</t>
        </is>
      </c>
      <c r="I25" t="inlineStr">
        <is>
          <t>無</t>
        </is>
      </c>
      <c r="J25" t="inlineStr">
        <is>
          <t>助產士，在後室接生過兩個孩子，他們從未見過太陽。</t>
        </is>
      </c>
    </row>
    <row r="26">
      <c r="A26" t="n">
        <v>25</v>
      </c>
      <c r="B26" t="inlineStr">
        <is>
          <t>曾柏宇</t>
        </is>
      </c>
      <c r="C26" t="inlineStr">
        <is>
          <t>男</t>
        </is>
      </c>
      <c r="D26" t="n">
        <v>21</v>
      </c>
      <c r="E26" t="inlineStr">
        <is>
          <t>E-0025</t>
        </is>
      </c>
      <c r="F26" t="inlineStr">
        <is>
          <t>第七支部</t>
        </is>
      </c>
      <c r="G26" t="n">
        <v>1</v>
      </c>
      <c r="H26" t="inlineStr">
        <is>
          <t>戰鬥</t>
        </is>
      </c>
      <c r="I26" t="inlineStr">
        <is>
          <t>無</t>
        </is>
      </c>
      <c r="J26" t="inlineStr">
        <is>
          <t>拳擊手，左臉有舊傷。他說那不是輸，是學費。</t>
        </is>
      </c>
    </row>
    <row r="27">
      <c r="A27" t="n">
        <v>26</v>
      </c>
      <c r="B27" t="inlineStr">
        <is>
          <t>洪婉婷</t>
        </is>
      </c>
      <c r="C27" t="inlineStr">
        <is>
          <t>女</t>
        </is>
      </c>
      <c r="D27" t="n">
        <v>22</v>
      </c>
      <c r="E27" t="inlineStr">
        <is>
          <t>E-0026</t>
        </is>
      </c>
      <c r="F27" t="inlineStr">
        <is>
          <t>第七支部</t>
        </is>
      </c>
      <c r="G27" t="n">
        <v>1</v>
      </c>
      <c r="H27" t="inlineStr">
        <is>
          <t>交涉</t>
        </is>
      </c>
      <c r="I27" t="inlineStr">
        <is>
          <t>無</t>
        </is>
      </c>
      <c r="J27" t="inlineStr">
        <is>
          <t>客服，練就了被罵一小時還能微笑的本事。後室更需要這個。</t>
        </is>
      </c>
    </row>
    <row r="28">
      <c r="A28" t="n">
        <v>27</v>
      </c>
      <c r="B28" t="inlineStr">
        <is>
          <t>賴俊雄</t>
        </is>
      </c>
      <c r="C28" t="inlineStr">
        <is>
          <t>男</t>
        </is>
      </c>
      <c r="D28" t="n">
        <v>27</v>
      </c>
      <c r="E28" t="inlineStr">
        <is>
          <t>E-0027</t>
        </is>
      </c>
      <c r="F28" t="inlineStr">
        <is>
          <t>第七支部</t>
        </is>
      </c>
      <c r="G28" t="n">
        <v>1</v>
      </c>
      <c r="H28" t="inlineStr">
        <is>
          <t>工程</t>
        </is>
      </c>
      <c r="I28" t="inlineStr">
        <is>
          <t>無</t>
        </is>
      </c>
      <c r="J28" t="inlineStr">
        <is>
          <t>焊工，說後室某些門焊起來比拆開更安全。</t>
        </is>
      </c>
    </row>
    <row r="29">
      <c r="A29" t="n">
        <v>28</v>
      </c>
      <c r="B29" t="inlineStr">
        <is>
          <t>邱美玲</t>
        </is>
      </c>
      <c r="C29" t="inlineStr">
        <is>
          <t>女</t>
        </is>
      </c>
      <c r="D29" t="n">
        <v>24</v>
      </c>
      <c r="E29" t="inlineStr">
        <is>
          <t>E-0028</t>
        </is>
      </c>
      <c r="F29" t="inlineStr">
        <is>
          <t>第七支部</t>
        </is>
      </c>
      <c r="G29" t="n">
        <v>1</v>
      </c>
      <c r="H29" t="inlineStr">
        <is>
          <t>偵察</t>
        </is>
      </c>
      <c r="I29" t="inlineStr">
        <is>
          <t>無</t>
        </is>
      </c>
      <c r="J29" t="inlineStr">
        <is>
          <t>快遞員，記路的天賦在後室變成生存技能。</t>
        </is>
      </c>
    </row>
    <row r="30">
      <c r="A30" t="n">
        <v>29</v>
      </c>
      <c r="B30" t="inlineStr">
        <is>
          <t>蕭志強</t>
        </is>
      </c>
      <c r="C30" t="inlineStr">
        <is>
          <t>男</t>
        </is>
      </c>
      <c r="D30" t="n">
        <v>23</v>
      </c>
      <c r="E30" t="inlineStr">
        <is>
          <t>E-0029</t>
        </is>
      </c>
      <c r="F30" t="inlineStr">
        <is>
          <t>第七支部</t>
        </is>
      </c>
      <c r="G30" t="n">
        <v>1</v>
      </c>
      <c r="H30" t="inlineStr">
        <is>
          <t>戰鬥</t>
        </is>
      </c>
      <c r="I30" t="inlineStr">
        <is>
          <t>無</t>
        </is>
      </c>
      <c r="J30" t="inlineStr">
        <is>
          <t>夜班警衛，習慣黑暗。但他說後室的黑暗會看回來。</t>
        </is>
      </c>
    </row>
    <row r="31">
      <c r="A31" t="n">
        <v>30</v>
      </c>
      <c r="B31" t="inlineStr">
        <is>
          <t>江宜蓁</t>
        </is>
      </c>
      <c r="C31" t="inlineStr">
        <is>
          <t>女</t>
        </is>
      </c>
      <c r="D31" t="n">
        <v>21</v>
      </c>
      <c r="E31" t="inlineStr">
        <is>
          <t>E-0030</t>
        </is>
      </c>
      <c r="F31" t="inlineStr">
        <is>
          <t>第七支部</t>
        </is>
      </c>
      <c r="G31" t="n">
        <v>1</v>
      </c>
      <c r="H31" t="inlineStr">
        <is>
          <t>醫療</t>
        </is>
      </c>
      <c r="I31" t="inlineStr">
        <is>
          <t>無</t>
        </is>
      </c>
      <c r="J31" t="inlineStr">
        <is>
          <t>實習護士，剛畢業就被丟進後室。她說自己還沒學會害怕。</t>
        </is>
      </c>
    </row>
    <row r="32">
      <c r="A32" t="n">
        <v>31</v>
      </c>
      <c r="B32" t="inlineStr">
        <is>
          <t>鄭永康</t>
        </is>
      </c>
      <c r="C32" t="inlineStr">
        <is>
          <t>男</t>
        </is>
      </c>
      <c r="D32" t="n">
        <v>34</v>
      </c>
      <c r="E32" t="inlineStr">
        <is>
          <t>E-0031</t>
        </is>
      </c>
      <c r="F32" t="inlineStr">
        <is>
          <t>第七支部</t>
        </is>
      </c>
      <c r="G32" t="n">
        <v>3</v>
      </c>
      <c r="H32" t="inlineStr">
        <is>
          <t>戰鬥</t>
        </is>
      </c>
      <c r="I32" t="inlineStr">
        <is>
          <t>偵察</t>
        </is>
      </c>
      <c r="J32" t="inlineStr">
        <is>
          <t>前特種部隊。在後室中待了三年。左眼是義眼——裡面藏了一個微型攝影機。</t>
        </is>
      </c>
    </row>
    <row r="33">
      <c r="A33" t="n">
        <v>32</v>
      </c>
      <c r="B33" t="inlineStr">
        <is>
          <t>許淑華</t>
        </is>
      </c>
      <c r="C33" t="inlineStr">
        <is>
          <t>女</t>
        </is>
      </c>
      <c r="D33" t="n">
        <v>31</v>
      </c>
      <c r="E33" t="inlineStr">
        <is>
          <t>E-0032</t>
        </is>
      </c>
      <c r="F33" t="inlineStr">
        <is>
          <t>第七支部</t>
        </is>
      </c>
      <c r="G33" t="n">
        <v>3</v>
      </c>
      <c r="H33" t="inlineStr">
        <is>
          <t>醫療</t>
        </is>
      </c>
      <c r="I33" t="inlineStr">
        <is>
          <t>交涉</t>
        </is>
      </c>
      <c r="J33" t="inlineStr">
        <is>
          <t>前戰地醫生。見過的傷口比大多數戰鬥探險員還多。有辦法在五分鐘內讓任何人冷靜下來。</t>
        </is>
      </c>
    </row>
    <row r="34">
      <c r="A34" t="n">
        <v>33</v>
      </c>
      <c r="B34" t="inlineStr">
        <is>
          <t>楊志明</t>
        </is>
      </c>
      <c r="C34" t="inlineStr">
        <is>
          <t>男</t>
        </is>
      </c>
      <c r="D34" t="n">
        <v>36</v>
      </c>
      <c r="E34" t="inlineStr">
        <is>
          <t>E-0033</t>
        </is>
      </c>
      <c r="F34" t="inlineStr">
        <is>
          <t>第七支部</t>
        </is>
      </c>
      <c r="G34" t="n">
        <v>3</v>
      </c>
      <c r="H34" t="inlineStr">
        <is>
          <t>工程</t>
        </is>
      </c>
      <c r="I34" t="inlineStr">
        <is>
          <t>戰鬥</t>
        </is>
      </c>
      <c r="J34" t="inlineStr">
        <is>
          <t>礦業工程師出身，在 Level 2 的管線迷宮中待了六個月後被發現。對管線系統的了解無人能及。</t>
        </is>
      </c>
    </row>
    <row r="35">
      <c r="A35" t="n">
        <v>34</v>
      </c>
      <c r="B35" t="inlineStr">
        <is>
          <t>蔡靜怡</t>
        </is>
      </c>
      <c r="C35" t="inlineStr">
        <is>
          <t>女</t>
        </is>
      </c>
      <c r="D35" t="n">
        <v>29</v>
      </c>
      <c r="E35" t="inlineStr">
        <is>
          <t>E-0034</t>
        </is>
      </c>
      <c r="F35" t="inlineStr">
        <is>
          <t>第七支部</t>
        </is>
      </c>
      <c r="G35" t="n">
        <v>3</v>
      </c>
      <c r="H35" t="inlineStr">
        <is>
          <t>偵察</t>
        </is>
      </c>
      <c r="I35" t="inlineStr">
        <is>
          <t>醫療</t>
        </is>
      </c>
      <c r="J35" t="inlineStr">
        <is>
          <t>曾經獨自在 Level 9 的暴風雪中存活了兩週。回來後變得很安靜。</t>
        </is>
      </c>
    </row>
    <row r="36">
      <c r="A36" t="n">
        <v>35</v>
      </c>
      <c r="B36" t="inlineStr">
        <is>
          <t>葉天佑</t>
        </is>
      </c>
      <c r="C36" t="inlineStr">
        <is>
          <t>男</t>
        </is>
      </c>
      <c r="D36" t="n">
        <v>33</v>
      </c>
      <c r="E36" t="inlineStr">
        <is>
          <t>E-0035</t>
        </is>
      </c>
      <c r="F36" t="inlineStr">
        <is>
          <t>第七支部</t>
        </is>
      </c>
      <c r="G36" t="n">
        <v>3</v>
      </c>
      <c r="H36" t="inlineStr">
        <is>
          <t>交涉</t>
        </is>
      </c>
      <c r="I36" t="inlineStr">
        <is>
          <t>偵察</t>
        </is>
      </c>
      <c r="J36" t="inlineStr">
        <is>
          <t>曾是 BNTG 的貿易代表。擅長談判，但管理局的人不太確定他的忠誠在哪裡。</t>
        </is>
      </c>
    </row>
    <row r="37">
      <c r="A37" t="n">
        <v>36</v>
      </c>
      <c r="B37" t="inlineStr">
        <is>
          <t>簡瑞豐</t>
        </is>
      </c>
      <c r="C37" t="inlineStr">
        <is>
          <t>男</t>
        </is>
      </c>
      <c r="D37" t="n">
        <v>35</v>
      </c>
      <c r="E37" t="inlineStr">
        <is>
          <t>E-0036</t>
        </is>
      </c>
      <c r="F37" t="inlineStr">
        <is>
          <t>第七支部</t>
        </is>
      </c>
      <c r="G37" t="n">
        <v>3</v>
      </c>
      <c r="H37" t="inlineStr">
        <is>
          <t>戰鬥</t>
        </is>
      </c>
      <c r="I37" t="inlineStr">
        <is>
          <t>工程</t>
        </is>
      </c>
      <c r="J37" t="inlineStr">
        <is>
          <t>重型武器專家。喜歡爆炸勝過喜歡大多數人。但對隊友出奇地保護。</t>
        </is>
      </c>
    </row>
    <row r="38">
      <c r="A38" t="n">
        <v>37</v>
      </c>
      <c r="B38" t="inlineStr">
        <is>
          <t>盧雅琪</t>
        </is>
      </c>
      <c r="C38" t="inlineStr">
        <is>
          <t>女</t>
        </is>
      </c>
      <c r="D38" t="n">
        <v>30</v>
      </c>
      <c r="E38" t="inlineStr">
        <is>
          <t>E-0037</t>
        </is>
      </c>
      <c r="F38" t="inlineStr">
        <is>
          <t>第七支部</t>
        </is>
      </c>
      <c r="G38" t="n">
        <v>3</v>
      </c>
      <c r="H38" t="inlineStr">
        <is>
          <t>偵察</t>
        </is>
      </c>
      <c r="I38" t="inlineStr">
        <is>
          <t>交涉</t>
        </is>
      </c>
      <c r="J38" t="inlineStr">
        <is>
          <t>前調查記者。有一種本能——能感覺到「有什麼不對勁」。這種本能在後室中救了她的命無數次。</t>
        </is>
      </c>
    </row>
    <row r="39">
      <c r="A39" t="n">
        <v>38</v>
      </c>
      <c r="B39" t="inlineStr">
        <is>
          <t>董建國</t>
        </is>
      </c>
      <c r="C39" t="inlineStr">
        <is>
          <t>男</t>
        </is>
      </c>
      <c r="D39" t="n">
        <v>38</v>
      </c>
      <c r="E39" t="inlineStr">
        <is>
          <t>E-0038</t>
        </is>
      </c>
      <c r="F39" t="inlineStr">
        <is>
          <t>第七支部</t>
        </is>
      </c>
      <c r="G39" t="n">
        <v>3</v>
      </c>
      <c r="H39" t="inlineStr">
        <is>
          <t>工程</t>
        </is>
      </c>
      <c r="I39" t="inlineStr">
        <is>
          <t>醫療</t>
        </is>
      </c>
      <c r="J39" t="inlineStr">
        <is>
          <t>曾是 M.E.G. 的設備維護主管。因為「對上級說了太多實話」被降職。你撿到了一個寶。</t>
        </is>
      </c>
    </row>
    <row r="40">
      <c r="A40" t="n">
        <v>39</v>
      </c>
      <c r="B40" t="inlineStr">
        <is>
          <t>范曉雯</t>
        </is>
      </c>
      <c r="C40" t="inlineStr">
        <is>
          <t>女</t>
        </is>
      </c>
      <c r="D40" t="n">
        <v>32</v>
      </c>
      <c r="E40" t="inlineStr">
        <is>
          <t>E-0039</t>
        </is>
      </c>
      <c r="F40" t="inlineStr">
        <is>
          <t>第七支部</t>
        </is>
      </c>
      <c r="G40" t="n">
        <v>3</v>
      </c>
      <c r="H40" t="inlineStr">
        <is>
          <t>醫療</t>
        </is>
      </c>
      <c r="I40" t="inlineStr">
        <is>
          <t>偵察</t>
        </is>
      </c>
      <c r="J40" t="inlineStr">
        <is>
          <t>精神病學家。專長是創傷後壓力症候群——她選擇進入後室，是為了研究人類心理的極限。她的病人有時擔心她。</t>
        </is>
      </c>
    </row>
    <row r="41">
      <c r="A41" t="n">
        <v>40</v>
      </c>
      <c r="B41" t="inlineStr">
        <is>
          <t>彭志豪</t>
        </is>
      </c>
      <c r="C41" t="inlineStr">
        <is>
          <t>男</t>
        </is>
      </c>
      <c r="D41" t="n">
        <v>31</v>
      </c>
      <c r="E41" t="inlineStr">
        <is>
          <t>E-0040</t>
        </is>
      </c>
      <c r="F41" t="inlineStr">
        <is>
          <t>第七支部</t>
        </is>
      </c>
      <c r="G41" t="n">
        <v>3</v>
      </c>
      <c r="H41" t="inlineStr">
        <is>
          <t>交涉</t>
        </is>
      </c>
      <c r="I41" t="inlineStr">
        <is>
          <t>戰鬥</t>
        </is>
      </c>
      <c r="J41" t="inlineStr">
        <is>
          <t>前律師。在後室中發現談判和訴訟用的是同一套技能。冷靜到令人不安。</t>
        </is>
      </c>
    </row>
    <row r="42">
      <c r="A42" t="n">
        <v>41</v>
      </c>
      <c r="B42" t="inlineStr">
        <is>
          <t>馬克·陳</t>
        </is>
      </c>
      <c r="C42" t="inlineStr">
        <is>
          <t>男</t>
        </is>
      </c>
      <c r="D42" t="n">
        <v>33</v>
      </c>
      <c r="E42" t="inlineStr">
        <is>
          <t>E-0041</t>
        </is>
      </c>
      <c r="F42" t="inlineStr">
        <is>
          <t>第七支部</t>
        </is>
      </c>
      <c r="G42" t="n">
        <v>3</v>
      </c>
      <c r="H42" t="inlineStr">
        <is>
          <t>戰鬥</t>
        </is>
      </c>
      <c r="I42" t="inlineStr">
        <is>
          <t>工程</t>
        </is>
      </c>
      <c r="J42" t="inlineStr">
        <is>
          <t>前傭兵，會拆炸彈也會裝。他說兩者本質相同。</t>
        </is>
      </c>
    </row>
    <row r="43">
      <c r="A43" t="n">
        <v>42</v>
      </c>
      <c r="B43" t="inlineStr">
        <is>
          <t>蘇菲亞·林</t>
        </is>
      </c>
      <c r="C43" t="inlineStr">
        <is>
          <t>女</t>
        </is>
      </c>
      <c r="D43" t="n">
        <v>30</v>
      </c>
      <c r="E43" t="inlineStr">
        <is>
          <t>E-0042</t>
        </is>
      </c>
      <c r="F43" t="inlineStr">
        <is>
          <t>第七支部</t>
        </is>
      </c>
      <c r="G43" t="n">
        <v>3</v>
      </c>
      <c r="H43" t="inlineStr">
        <is>
          <t>醫療</t>
        </is>
      </c>
      <c r="I43" t="inlineStr">
        <is>
          <t>交涉</t>
        </is>
      </c>
      <c r="J43" t="inlineStr">
        <is>
          <t>無國界醫生，能在談判桌和手術檯間無縫切換。</t>
        </is>
      </c>
    </row>
    <row r="44">
      <c r="A44" t="n">
        <v>43</v>
      </c>
      <c r="B44" t="inlineStr">
        <is>
          <t>田中健一</t>
        </is>
      </c>
      <c r="C44" t="inlineStr">
        <is>
          <t>男</t>
        </is>
      </c>
      <c r="D44" t="n">
        <v>35</v>
      </c>
      <c r="E44" t="inlineStr">
        <is>
          <t>E-0043</t>
        </is>
      </c>
      <c r="F44" t="inlineStr">
        <is>
          <t>第七支部</t>
        </is>
      </c>
      <c r="G44" t="n">
        <v>3</v>
      </c>
      <c r="H44" t="inlineStr">
        <is>
          <t>偵察</t>
        </is>
      </c>
      <c r="I44" t="inlineStr">
        <is>
          <t>戰鬥</t>
        </is>
      </c>
      <c r="J44" t="inlineStr">
        <is>
          <t>前自衛隊偵搜兵，在 Level 11 獨自標記過一整片區域。</t>
        </is>
      </c>
    </row>
    <row r="45">
      <c r="A45" t="n">
        <v>44</v>
      </c>
      <c r="B45" t="inlineStr">
        <is>
          <t>克萊兒·吳</t>
        </is>
      </c>
      <c r="C45" t="inlineStr">
        <is>
          <t>女</t>
        </is>
      </c>
      <c r="D45" t="n">
        <v>31</v>
      </c>
      <c r="E45" t="inlineStr">
        <is>
          <t>E-0044</t>
        </is>
      </c>
      <c r="F45" t="inlineStr">
        <is>
          <t>第七支部</t>
        </is>
      </c>
      <c r="G45" t="n">
        <v>3</v>
      </c>
      <c r="H45" t="inlineStr">
        <is>
          <t>交涉</t>
        </is>
      </c>
      <c r="I45" t="inlineStr">
        <is>
          <t>偵察</t>
        </is>
      </c>
      <c r="J45" t="inlineStr">
        <is>
          <t>人質談判專家，聲音能讓瘋子安靜三秒。</t>
        </is>
      </c>
    </row>
    <row r="46">
      <c r="A46" t="n">
        <v>45</v>
      </c>
      <c r="B46" t="inlineStr">
        <is>
          <t>羅伯特·鄭</t>
        </is>
      </c>
      <c r="C46" t="inlineStr">
        <is>
          <t>男</t>
        </is>
      </c>
      <c r="D46" t="n">
        <v>34</v>
      </c>
      <c r="E46" t="inlineStr">
        <is>
          <t>E-0045</t>
        </is>
      </c>
      <c r="F46" t="inlineStr">
        <is>
          <t>第七支部</t>
        </is>
      </c>
      <c r="G46" t="n">
        <v>3</v>
      </c>
      <c r="H46" t="inlineStr">
        <is>
          <t>工程</t>
        </is>
      </c>
      <c r="I46" t="inlineStr">
        <is>
          <t>醫療</t>
        </is>
      </c>
      <c r="J46" t="inlineStr">
        <is>
          <t>礦山救難隊，先挖人再救人。手上有三道被碎石劃的疤。</t>
        </is>
      </c>
    </row>
    <row r="47">
      <c r="A47" t="n">
        <v>46</v>
      </c>
      <c r="B47" t="inlineStr">
        <is>
          <t>艾蜜莉·黃</t>
        </is>
      </c>
      <c r="C47" t="inlineStr">
        <is>
          <t>女</t>
        </is>
      </c>
      <c r="D47" t="n">
        <v>29</v>
      </c>
      <c r="E47" t="inlineStr">
        <is>
          <t>E-0046</t>
        </is>
      </c>
      <c r="F47" t="inlineStr">
        <is>
          <t>第七支部</t>
        </is>
      </c>
      <c r="G47" t="n">
        <v>3</v>
      </c>
      <c r="H47" t="inlineStr">
        <is>
          <t>偵察</t>
        </is>
      </c>
      <c r="I47" t="inlineStr">
        <is>
          <t>醫療</t>
        </is>
      </c>
      <c r="J47" t="inlineStr">
        <is>
          <t>野外求生教練，能從一無所有中拼出繃帶。</t>
        </is>
      </c>
    </row>
    <row r="48">
      <c r="A48" t="n">
        <v>47</v>
      </c>
      <c r="B48" t="inlineStr">
        <is>
          <t>凱文·楊</t>
        </is>
      </c>
      <c r="C48" t="inlineStr">
        <is>
          <t>男</t>
        </is>
      </c>
      <c r="D48" t="n">
        <v>36</v>
      </c>
      <c r="E48" t="inlineStr">
        <is>
          <t>E-0047</t>
        </is>
      </c>
      <c r="F48" t="inlineStr">
        <is>
          <t>第七支部</t>
        </is>
      </c>
      <c r="G48" t="n">
        <v>3</v>
      </c>
      <c r="H48" t="inlineStr">
        <is>
          <t>戰鬥</t>
        </is>
      </c>
      <c r="I48" t="inlineStr">
        <is>
          <t>交涉</t>
        </is>
      </c>
      <c r="J48" t="inlineStr">
        <is>
          <t>前黑水教官，談判破裂時的備案比誰都快。</t>
        </is>
      </c>
    </row>
    <row r="49">
      <c r="A49" t="n">
        <v>48</v>
      </c>
      <c r="B49" t="inlineStr">
        <is>
          <t>妮可·張</t>
        </is>
      </c>
      <c r="C49" t="inlineStr">
        <is>
          <t>女</t>
        </is>
      </c>
      <c r="D49" t="n">
        <v>32</v>
      </c>
      <c r="E49" t="inlineStr">
        <is>
          <t>E-0048</t>
        </is>
      </c>
      <c r="F49" t="inlineStr">
        <is>
          <t>第七支部</t>
        </is>
      </c>
      <c r="G49" t="n">
        <v>3</v>
      </c>
      <c r="H49" t="inlineStr">
        <is>
          <t>醫療</t>
        </is>
      </c>
      <c r="I49" t="inlineStr">
        <is>
          <t>偵察</t>
        </is>
      </c>
      <c r="J49" t="inlineStr">
        <is>
          <t>戰地記者轉急救員，鏡頭和止血帶都拿得穩。</t>
        </is>
      </c>
    </row>
    <row r="50">
      <c r="A50" t="n">
        <v>49</v>
      </c>
      <c r="B50" t="inlineStr">
        <is>
          <t>大衛·李</t>
        </is>
      </c>
      <c r="C50" t="inlineStr">
        <is>
          <t>男</t>
        </is>
      </c>
      <c r="D50" t="n">
        <v>33</v>
      </c>
      <c r="E50" t="inlineStr">
        <is>
          <t>E-0049</t>
        </is>
      </c>
      <c r="F50" t="inlineStr">
        <is>
          <t>第七支部</t>
        </is>
      </c>
      <c r="G50" t="n">
        <v>3</v>
      </c>
      <c r="H50" t="inlineStr">
        <is>
          <t>工程</t>
        </is>
      </c>
      <c r="I50" t="inlineStr">
        <is>
          <t>偵察</t>
        </is>
      </c>
      <c r="J50" t="inlineStr">
        <is>
          <t>橋樑工程師，在後室學會了哪些結構不能信。</t>
        </is>
      </c>
    </row>
    <row r="51">
      <c r="A51" t="n">
        <v>50</v>
      </c>
      <c r="B51" t="inlineStr">
        <is>
          <t>莎拉·許</t>
        </is>
      </c>
      <c r="C51" t="inlineStr">
        <is>
          <t>女</t>
        </is>
      </c>
      <c r="D51" t="n">
        <v>30</v>
      </c>
      <c r="E51" t="inlineStr">
        <is>
          <t>E-0050</t>
        </is>
      </c>
      <c r="F51" t="inlineStr">
        <is>
          <t>第七支部</t>
        </is>
      </c>
      <c r="G51" t="n">
        <v>3</v>
      </c>
      <c r="H51" t="inlineStr">
        <is>
          <t>交涉</t>
        </is>
      </c>
      <c r="I51" t="inlineStr">
        <is>
          <t>戰鬥</t>
        </is>
      </c>
      <c r="J51" t="inlineStr">
        <is>
          <t>保全公司危機處理，先開口再開槍是她的原則。</t>
        </is>
      </c>
    </row>
    <row r="52">
      <c r="A52" t="n">
        <v>51</v>
      </c>
      <c r="B52" t="inlineStr">
        <is>
          <t>「夜鶯」周</t>
        </is>
      </c>
      <c r="C52" t="inlineStr">
        <is>
          <t>女</t>
        </is>
      </c>
      <c r="D52" t="n">
        <v>31</v>
      </c>
      <c r="E52" t="inlineStr">
        <is>
          <t>E-0051</t>
        </is>
      </c>
      <c r="F52" t="inlineStr">
        <is>
          <t>第七支部</t>
        </is>
      </c>
      <c r="G52" t="n">
        <v>3</v>
      </c>
      <c r="H52" t="inlineStr">
        <is>
          <t>醫療</t>
        </is>
      </c>
      <c r="I52" t="inlineStr">
        <is>
          <t>偵察</t>
        </is>
      </c>
      <c r="J52" t="inlineStr">
        <is>
          <t>本名不詳。她在 Level 4 的紅光區救過整支小隊，沒留名字。</t>
        </is>
      </c>
    </row>
    <row r="53">
      <c r="A53" t="n">
        <v>52</v>
      </c>
      <c r="B53" t="inlineStr">
        <is>
          <t>法蘭克·柯</t>
        </is>
      </c>
      <c r="C53" t="inlineStr">
        <is>
          <t>男</t>
        </is>
      </c>
      <c r="D53" t="n">
        <v>37</v>
      </c>
      <c r="E53" t="inlineStr">
        <is>
          <t>E-0052</t>
        </is>
      </c>
      <c r="F53" t="inlineStr">
        <is>
          <t>第七支部</t>
        </is>
      </c>
      <c r="G53" t="n">
        <v>3</v>
      </c>
      <c r="H53" t="inlineStr">
        <is>
          <t>戰鬥</t>
        </is>
      </c>
      <c r="I53" t="inlineStr">
        <is>
          <t>工程</t>
        </is>
      </c>
      <c r="J53" t="inlineStr">
        <is>
          <t>爆破顧問，討厭拖延。他說與其繞路，不如開路。</t>
        </is>
      </c>
    </row>
    <row r="54">
      <c r="A54" t="n">
        <v>53</v>
      </c>
      <c r="B54" t="inlineStr">
        <is>
          <t>艾娃·沈</t>
        </is>
      </c>
      <c r="C54" t="inlineStr">
        <is>
          <t>女</t>
        </is>
      </c>
      <c r="D54" t="n">
        <v>34</v>
      </c>
      <c r="E54" t="inlineStr">
        <is>
          <t>E-0053</t>
        </is>
      </c>
      <c r="F54" t="inlineStr">
        <is>
          <t>第七支部</t>
        </is>
      </c>
      <c r="G54" t="n">
        <v>3</v>
      </c>
      <c r="H54" t="inlineStr">
        <is>
          <t>交涉</t>
        </is>
      </c>
      <c r="I54" t="inlineStr">
        <is>
          <t>醫療</t>
        </is>
      </c>
      <c r="J54" t="inlineStr">
        <is>
          <t>難民營協調員，相信每個人都有能談的價格，包括實體。</t>
        </is>
      </c>
    </row>
    <row r="55">
      <c r="A55" t="n">
        <v>54</v>
      </c>
      <c r="B55" t="inlineStr">
        <is>
          <t>馬丁·高</t>
        </is>
      </c>
      <c r="C55" t="inlineStr">
        <is>
          <t>男</t>
        </is>
      </c>
      <c r="D55" t="n">
        <v>35</v>
      </c>
      <c r="E55" t="inlineStr">
        <is>
          <t>E-0054</t>
        </is>
      </c>
      <c r="F55" t="inlineStr">
        <is>
          <t>第七支部</t>
        </is>
      </c>
      <c r="G55" t="n">
        <v>3</v>
      </c>
      <c r="H55" t="inlineStr">
        <is>
          <t>工程</t>
        </is>
      </c>
      <c r="I55" t="inlineStr">
        <is>
          <t>戰鬥</t>
        </is>
      </c>
      <c r="J55" t="inlineStr">
        <is>
          <t>油田安全主管，習慣把危險關在籠子裡。後室裡那籠子是隊友。</t>
        </is>
      </c>
    </row>
    <row r="56">
      <c r="A56" t="n">
        <v>55</v>
      </c>
      <c r="B56" t="inlineStr">
        <is>
          <t>「渡鴉」小野</t>
        </is>
      </c>
      <c r="C56" t="inlineStr">
        <is>
          <t>男</t>
        </is>
      </c>
      <c r="D56" t="n">
        <v>32</v>
      </c>
      <c r="E56" t="inlineStr">
        <is>
          <t>E-0055</t>
        </is>
      </c>
      <c r="F56" t="inlineStr">
        <is>
          <t>第七支部</t>
        </is>
      </c>
      <c r="G56" t="n">
        <v>3</v>
      </c>
      <c r="H56" t="inlineStr">
        <is>
          <t>偵察</t>
        </is>
      </c>
      <c r="I56" t="inlineStr">
        <is>
          <t>工程</t>
        </is>
      </c>
      <c r="J56" t="inlineStr">
        <is>
          <t>前通訊兵，能用廢料拼出能用的電台。綽號來自他總在最後撤。</t>
        </is>
      </c>
    </row>
    <row r="57">
      <c r="A57" t="n">
        <v>56</v>
      </c>
      <c r="B57" t="inlineStr">
        <is>
          <t>葛蕾絲·楊</t>
        </is>
      </c>
      <c r="C57" t="inlineStr">
        <is>
          <t>女</t>
        </is>
      </c>
      <c r="D57" t="n">
        <v>29</v>
      </c>
      <c r="E57" t="inlineStr">
        <is>
          <t>E-0056</t>
        </is>
      </c>
      <c r="F57" t="inlineStr">
        <is>
          <t>第七支部</t>
        </is>
      </c>
      <c r="G57" t="n">
        <v>3</v>
      </c>
      <c r="H57" t="inlineStr">
        <is>
          <t>醫療</t>
        </is>
      </c>
      <c r="I57" t="inlineStr">
        <is>
          <t>工程</t>
        </is>
      </c>
      <c r="J57" t="inlineStr">
        <is>
          <t>生物醫工，用後室撿來的零件做義肢。病人叫她修復師。</t>
        </is>
      </c>
    </row>
    <row r="58">
      <c r="A58" t="n">
        <v>57</v>
      </c>
      <c r="B58" t="inlineStr">
        <is>
          <t>里昂·蔡</t>
        </is>
      </c>
      <c r="C58" t="inlineStr">
        <is>
          <t>男</t>
        </is>
      </c>
      <c r="D58" t="n">
        <v>38</v>
      </c>
      <c r="E58" t="inlineStr">
        <is>
          <t>E-0057</t>
        </is>
      </c>
      <c r="F58" t="inlineStr">
        <is>
          <t>第七支部</t>
        </is>
      </c>
      <c r="G58" t="n">
        <v>3</v>
      </c>
      <c r="H58" t="inlineStr">
        <is>
          <t>戰鬥</t>
        </is>
      </c>
      <c r="I58" t="inlineStr">
        <is>
          <t>偵察</t>
        </is>
      </c>
      <c r="J58" t="inlineStr">
        <is>
          <t>前特勤，退休後被後室召回。他說這是未完成的帳。</t>
        </is>
      </c>
    </row>
    <row r="59">
      <c r="A59" t="n">
        <v>58</v>
      </c>
      <c r="B59" t="inlineStr">
        <is>
          <t>薇拉·方</t>
        </is>
      </c>
      <c r="C59" t="inlineStr">
        <is>
          <t>女</t>
        </is>
      </c>
      <c r="D59" t="n">
        <v>33</v>
      </c>
      <c r="E59" t="inlineStr">
        <is>
          <t>E-0058</t>
        </is>
      </c>
      <c r="F59" t="inlineStr">
        <is>
          <t>第七支部</t>
        </is>
      </c>
      <c r="G59" t="n">
        <v>3</v>
      </c>
      <c r="H59" t="inlineStr">
        <is>
          <t>交涉</t>
        </is>
      </c>
      <c r="I59" t="inlineStr">
        <is>
          <t>工程</t>
        </is>
      </c>
      <c r="J59" t="inlineStr">
        <is>
          <t>採購主管，能用廢鐵換到稀缺物資。她說後室是最爛的拍賣會。</t>
        </is>
      </c>
    </row>
    <row r="60">
      <c r="A60" t="n">
        <v>59</v>
      </c>
      <c r="B60" t="inlineStr">
        <is>
          <t>「石頭」吳</t>
        </is>
      </c>
      <c r="C60" t="inlineStr">
        <is>
          <t>男</t>
        </is>
      </c>
      <c r="D60" t="n">
        <v>36</v>
      </c>
      <c r="E60" t="inlineStr">
        <is>
          <t>E-0059</t>
        </is>
      </c>
      <c r="F60" t="inlineStr">
        <is>
          <t>第七支部</t>
        </is>
      </c>
      <c r="G60" t="n">
        <v>3</v>
      </c>
      <c r="H60" t="inlineStr">
        <is>
          <t>工程</t>
        </is>
      </c>
      <c r="I60" t="inlineStr">
        <is>
          <t>交涉</t>
        </is>
      </c>
      <c r="J60" t="inlineStr">
        <is>
          <t>沉默的築牆人，據點一半的加固出自他手。開口只為談條件。</t>
        </is>
      </c>
    </row>
    <row r="61">
      <c r="A61" t="n">
        <v>60</v>
      </c>
      <c r="B61" t="inlineStr">
        <is>
          <t>黛安·羅</t>
        </is>
      </c>
      <c r="C61" t="inlineStr">
        <is>
          <t>女</t>
        </is>
      </c>
      <c r="D61" t="n">
        <v>30</v>
      </c>
      <c r="E61" t="inlineStr">
        <is>
          <t>E-0060</t>
        </is>
      </c>
      <c r="F61" t="inlineStr">
        <is>
          <t>第七支部</t>
        </is>
      </c>
      <c r="G61" t="n">
        <v>3</v>
      </c>
      <c r="H61" t="inlineStr">
        <is>
          <t>偵察</t>
        </is>
      </c>
      <c r="I61" t="inlineStr">
        <is>
          <t>交涉</t>
        </is>
      </c>
      <c r="J61" t="inlineStr">
        <is>
          <t>私家偵探，專找消失的人。後室讓她的案件永遠結不了案。</t>
        </is>
      </c>
    </row>
    <row r="62">
      <c r="A62" t="n">
        <v>61</v>
      </c>
      <c r="B62" t="inlineStr">
        <is>
          <t>「幽靈」雷克斯</t>
        </is>
      </c>
      <c r="C62" t="inlineStr">
        <is>
          <t>男</t>
        </is>
      </c>
      <c r="D62" t="n">
        <v>41</v>
      </c>
      <c r="E62" t="inlineStr">
        <is>
          <t>E-0061</t>
        </is>
      </c>
      <c r="F62" t="inlineStr">
        <is>
          <t>第七支部</t>
        </is>
      </c>
      <c r="G62" t="n">
        <v>4</v>
      </c>
      <c r="H62" t="inlineStr">
        <is>
          <t>偵察</t>
        </is>
      </c>
      <c r="I62" t="inlineStr">
        <is>
          <t>戰鬥</t>
        </is>
      </c>
      <c r="J62" t="inlineStr">
        <is>
          <t>本名不詳。據說他能在 Level 6 的完全黑暗中導航。從未在一次任務中失去過隊友——他自己說的。</t>
        </is>
      </c>
    </row>
    <row r="63">
      <c r="A63" t="n">
        <v>62</v>
      </c>
      <c r="B63" t="inlineStr">
        <is>
          <t>卡珊德拉·李</t>
        </is>
      </c>
      <c r="C63" t="inlineStr">
        <is>
          <t>女</t>
        </is>
      </c>
      <c r="D63" t="n">
        <v>37</v>
      </c>
      <c r="E63" t="inlineStr">
        <is>
          <t>E-0062</t>
        </is>
      </c>
      <c r="F63" t="inlineStr">
        <is>
          <t>第七支部</t>
        </is>
      </c>
      <c r="G63" t="n">
        <v>4</v>
      </c>
      <c r="H63" t="inlineStr">
        <is>
          <t>醫療</t>
        </is>
      </c>
      <c r="I63" t="inlineStr">
        <is>
          <t>交涉</t>
        </is>
      </c>
      <c r="J63" t="inlineStr">
        <is>
          <t>曾研發了三種在後室中使用的急救技術。她的雙手被杏仁水長期浸泡——皮膚半透明，可以看到下面的血管。</t>
        </is>
      </c>
    </row>
    <row r="64">
      <c r="A64" t="n">
        <v>63</v>
      </c>
      <c r="B64" t="inlineStr">
        <is>
          <t>「扳手」托馬斯</t>
        </is>
      </c>
      <c r="C64" t="inlineStr">
        <is>
          <t>男</t>
        </is>
      </c>
      <c r="D64" t="n">
        <v>43</v>
      </c>
      <c r="E64" t="inlineStr">
        <is>
          <t>E-0063</t>
        </is>
      </c>
      <c r="F64" t="inlineStr">
        <is>
          <t>第七支部</t>
        </is>
      </c>
      <c r="G64" t="n">
        <v>4</v>
      </c>
      <c r="H64" t="inlineStr">
        <is>
          <t>工程</t>
        </is>
      </c>
      <c r="I64" t="inlineStr">
        <is>
          <t>偵察</t>
        </is>
      </c>
      <c r="J64" t="inlineStr">
        <is>
          <t>據說他能用一個扳手和一卷膠帶修好任何東西——包括一台被實體踩壞的無線電。手上永遠有機油。</t>
        </is>
      </c>
    </row>
    <row r="65">
      <c r="A65" t="n">
        <v>64</v>
      </c>
      <c r="B65" t="inlineStr">
        <is>
          <t>維多利亞·陳</t>
        </is>
      </c>
      <c r="C65" t="inlineStr">
        <is>
          <t>女</t>
        </is>
      </c>
      <c r="D65" t="n">
        <v>39</v>
      </c>
      <c r="E65" t="inlineStr">
        <is>
          <t>E-0064</t>
        </is>
      </c>
      <c r="F65" t="inlineStr">
        <is>
          <t>第七支部</t>
        </is>
      </c>
      <c r="G65" t="n">
        <v>4</v>
      </c>
      <c r="H65" t="inlineStr">
        <is>
          <t>交涉</t>
        </is>
      </c>
      <c r="I65" t="inlineStr">
        <is>
          <t>醫療</t>
        </is>
      </c>
      <c r="J65" t="inlineStr">
        <is>
          <t>曾在 M.E.G. 和三個獨立派系之間調停過一場即將爆發的戰爭。她說話的方式讓你覺得拒絕她是不可能的。</t>
        </is>
      </c>
    </row>
    <row r="66">
      <c r="A66" t="n">
        <v>65</v>
      </c>
      <c r="B66" t="inlineStr">
        <is>
          <t>「壁壘」傑克森</t>
        </is>
      </c>
      <c r="C66" t="inlineStr">
        <is>
          <t>男</t>
        </is>
      </c>
      <c r="D66" t="n">
        <v>40</v>
      </c>
      <c r="E66" t="inlineStr">
        <is>
          <t>E-0065</t>
        </is>
      </c>
      <c r="F66" t="inlineStr">
        <is>
          <t>第七支部</t>
        </is>
      </c>
      <c r="G66" t="n">
        <v>4</v>
      </c>
      <c r="H66" t="inlineStr">
        <is>
          <t>戰鬥</t>
        </is>
      </c>
      <c r="I66" t="inlineStr">
        <is>
          <t>工程</t>
        </is>
      </c>
      <c r="J66" t="inlineStr">
        <is>
          <t>體重 130 公斤的壯漢。據說在一次任務中，他擋住了一扇門，讓全隊撤離——用他的背。背上現在還有那扇門的凹痕。</t>
        </is>
      </c>
    </row>
    <row r="67">
      <c r="A67" t="n">
        <v>66</v>
      </c>
      <c r="B67" t="inlineStr">
        <is>
          <t>伊莎貝爾·林</t>
        </is>
      </c>
      <c r="C67" t="inlineStr">
        <is>
          <t>女</t>
        </is>
      </c>
      <c r="D67" t="n">
        <v>35</v>
      </c>
      <c r="E67" t="inlineStr">
        <is>
          <t>E-0066</t>
        </is>
      </c>
      <c r="F67" t="inlineStr">
        <is>
          <t>第七支部</t>
        </is>
      </c>
      <c r="G67" t="n">
        <v>4</v>
      </c>
      <c r="H67" t="inlineStr">
        <is>
          <t>偵察</t>
        </is>
      </c>
      <c r="I67" t="inlineStr">
        <is>
          <t>交涉</t>
        </is>
      </c>
      <c r="J67" t="inlineStr">
        <is>
          <t>語言學家。懂得七種語言——包括兩種「後室語言」。她能和某些實體溝通。其他人覺得這很可怕。</t>
        </is>
      </c>
    </row>
    <row r="68">
      <c r="A68" t="n">
        <v>67</v>
      </c>
      <c r="B68" t="inlineStr">
        <is>
          <t>「冰塊」莫里斯</t>
        </is>
      </c>
      <c r="C68" t="inlineStr">
        <is>
          <t>男</t>
        </is>
      </c>
      <c r="D68" t="n">
        <v>42</v>
      </c>
      <c r="E68" t="inlineStr">
        <is>
          <t>E-0067</t>
        </is>
      </c>
      <c r="F68" t="inlineStr">
        <is>
          <t>第七支部</t>
        </is>
      </c>
      <c r="G68" t="n">
        <v>4</v>
      </c>
      <c r="H68" t="inlineStr">
        <is>
          <t>戰鬥</t>
        </is>
      </c>
      <c r="I68" t="inlineStr">
        <is>
          <t>偵察</t>
        </is>
      </c>
      <c r="J68" t="inlineStr">
        <is>
          <t>狙擊手。據說在 800 米外擊中過一個移動的實體。話極少。有人說他殺的實體比他說的話還多。</t>
        </is>
      </c>
    </row>
    <row r="69">
      <c r="A69" t="n">
        <v>68</v>
      </c>
      <c r="B69" t="inlineStr">
        <is>
          <t>安娜·王</t>
        </is>
      </c>
      <c r="C69" t="inlineStr">
        <is>
          <t>女</t>
        </is>
      </c>
      <c r="D69" t="n">
        <v>38</v>
      </c>
      <c r="E69" t="inlineStr">
        <is>
          <t>E-0068</t>
        </is>
      </c>
      <c r="F69" t="inlineStr">
        <is>
          <t>第七支部</t>
        </is>
      </c>
      <c r="G69" t="n">
        <v>4</v>
      </c>
      <c r="H69" t="inlineStr">
        <is>
          <t>工程</t>
        </is>
      </c>
      <c r="I69" t="inlineStr">
        <is>
          <t>戰鬥</t>
        </is>
      </c>
      <c r="J69" t="inlineStr">
        <is>
          <t>曾是 M.E.G. 科技研發部的首席工程師。她設計的設備現在還在被管理局使用。因為「倫理分歧」離開了研發部。</t>
        </is>
      </c>
    </row>
    <row r="70">
      <c r="A70" t="n">
        <v>69</v>
      </c>
      <c r="B70" t="inlineStr">
        <is>
          <t>「北極星」諾亞</t>
        </is>
      </c>
      <c r="C70" t="inlineStr">
        <is>
          <t>男</t>
        </is>
      </c>
      <c r="D70" t="n">
        <v>41</v>
      </c>
      <c r="E70" t="inlineStr">
        <is>
          <t>E-0069</t>
        </is>
      </c>
      <c r="F70" t="inlineStr">
        <is>
          <t>第七支部</t>
        </is>
      </c>
      <c r="G70" t="n">
        <v>4</v>
      </c>
      <c r="H70" t="inlineStr">
        <is>
          <t>偵察</t>
        </is>
      </c>
      <c r="I70" t="inlineStr">
        <is>
          <t>交涉</t>
        </is>
      </c>
      <c r="J70" t="inlineStr">
        <is>
          <t>傳說能在 Level 7 的濃霧中讀出方向。從不迷路，也從不說怎麼做到的。</t>
        </is>
      </c>
    </row>
    <row r="71">
      <c r="A71" t="n">
        <v>70</v>
      </c>
      <c r="B71" t="inlineStr">
        <is>
          <t>「鐵手」伊萬</t>
        </is>
      </c>
      <c r="C71" t="inlineStr">
        <is>
          <t>男</t>
        </is>
      </c>
      <c r="D71" t="n">
        <v>43</v>
      </c>
      <c r="E71" t="inlineStr">
        <is>
          <t>E-0070</t>
        </is>
      </c>
      <c r="F71" t="inlineStr">
        <is>
          <t>第七支部</t>
        </is>
      </c>
      <c r="G71" t="n">
        <v>4</v>
      </c>
      <c r="H71" t="inlineStr">
        <is>
          <t>工程</t>
        </is>
      </c>
      <c r="I71" t="inlineStr">
        <is>
          <t>戰鬥</t>
        </is>
      </c>
      <c r="J71" t="inlineStr">
        <is>
          <t>前戰車技工，能用履帶和鋼板造出臨時掩體。手比機器準。</t>
        </is>
      </c>
    </row>
    <row r="72">
      <c r="A72" t="n">
        <v>71</v>
      </c>
      <c r="B72" t="inlineStr">
        <is>
          <t>「聖手」艾琳</t>
        </is>
      </c>
      <c r="C72" t="inlineStr">
        <is>
          <t>女</t>
        </is>
      </c>
      <c r="D72" t="n">
        <v>39</v>
      </c>
      <c r="E72" t="inlineStr">
        <is>
          <t>E-0071</t>
        </is>
      </c>
      <c r="F72" t="inlineStr">
        <is>
          <t>第七支部</t>
        </is>
      </c>
      <c r="G72" t="n">
        <v>4</v>
      </c>
      <c r="H72" t="inlineStr">
        <is>
          <t>醫療</t>
        </is>
      </c>
      <c r="I72" t="inlineStr">
        <is>
          <t>交涉</t>
        </is>
      </c>
      <c r="J72" t="inlineStr">
        <is>
          <t>傳說她讓一個已經沒氣的探險員活了回來。她自己否認。</t>
        </is>
      </c>
    </row>
    <row r="73">
      <c r="A73" t="n">
        <v>72</v>
      </c>
      <c r="B73" t="inlineStr">
        <is>
          <t>「游隼」卡洛斯</t>
        </is>
      </c>
      <c r="C73" t="inlineStr">
        <is>
          <t>男</t>
        </is>
      </c>
      <c r="D73" t="n">
        <v>40</v>
      </c>
      <c r="E73" t="inlineStr">
        <is>
          <t>E-0072</t>
        </is>
      </c>
      <c r="F73" t="inlineStr">
        <is>
          <t>第七支部</t>
        </is>
      </c>
      <c r="G73" t="n">
        <v>4</v>
      </c>
      <c r="H73" t="inlineStr">
        <is>
          <t>戰鬥</t>
        </is>
      </c>
      <c r="I73" t="inlineStr">
        <is>
          <t>偵察</t>
        </is>
      </c>
      <c r="J73" t="inlineStr">
        <is>
          <t>前特種突擊手，突入速度讓實體反應不過來。他說慢就是死。</t>
        </is>
      </c>
    </row>
    <row r="74">
      <c r="A74" t="n">
        <v>73</v>
      </c>
      <c r="B74" t="inlineStr">
        <is>
          <t>「織網者」梅</t>
        </is>
      </c>
      <c r="C74" t="inlineStr">
        <is>
          <t>女</t>
        </is>
      </c>
      <c r="D74" t="n">
        <v>37</v>
      </c>
      <c r="E74" t="inlineStr">
        <is>
          <t>E-0073</t>
        </is>
      </c>
      <c r="F74" t="inlineStr">
        <is>
          <t>第七支部</t>
        </is>
      </c>
      <c r="G74" t="n">
        <v>4</v>
      </c>
      <c r="H74" t="inlineStr">
        <is>
          <t>交涉</t>
        </is>
      </c>
      <c r="I74" t="inlineStr">
        <is>
          <t>偵察</t>
        </is>
      </c>
      <c r="J74" t="inlineStr">
        <is>
          <t>情報網的樞紐，據說沒有她不知道的後室祕密，只有她不說的。</t>
        </is>
      </c>
    </row>
    <row r="75">
      <c r="A75" t="n">
        <v>74</v>
      </c>
      <c r="B75" t="inlineStr">
        <is>
          <t>「重錘」奧斯卡</t>
        </is>
      </c>
      <c r="C75" t="inlineStr">
        <is>
          <t>男</t>
        </is>
      </c>
      <c r="D75" t="n">
        <v>44</v>
      </c>
      <c r="E75" t="inlineStr">
        <is>
          <t>E-0074</t>
        </is>
      </c>
      <c r="F75" t="inlineStr">
        <is>
          <t>第七支部</t>
        </is>
      </c>
      <c r="G75" t="n">
        <v>4</v>
      </c>
      <c r="H75" t="inlineStr">
        <is>
          <t>戰鬥</t>
        </is>
      </c>
      <c r="I75" t="inlineStr">
        <is>
          <t>工程</t>
        </is>
      </c>
      <c r="J75" t="inlineStr">
        <is>
          <t>體型像一座山。曾用一根鋼樑頂住坍塌的通道七分鐘。</t>
        </is>
      </c>
    </row>
    <row r="76">
      <c r="A76" t="n">
        <v>75</v>
      </c>
      <c r="B76" t="inlineStr">
        <is>
          <t>「微光」莉亞</t>
        </is>
      </c>
      <c r="C76" t="inlineStr">
        <is>
          <t>女</t>
        </is>
      </c>
      <c r="D76" t="n">
        <v>35</v>
      </c>
      <c r="E76" t="inlineStr">
        <is>
          <t>E-0075</t>
        </is>
      </c>
      <c r="F76" t="inlineStr">
        <is>
          <t>第七支部</t>
        </is>
      </c>
      <c r="G76" t="n">
        <v>4</v>
      </c>
      <c r="H76" t="inlineStr">
        <is>
          <t>醫療</t>
        </is>
      </c>
      <c r="I76" t="inlineStr">
        <is>
          <t>偵察</t>
        </is>
      </c>
      <c r="J76" t="inlineStr">
        <is>
          <t>能在完全黑暗中進行手術。她說手記得路，不用眼睛。</t>
        </is>
      </c>
    </row>
    <row r="77">
      <c r="A77" t="n">
        <v>76</v>
      </c>
      <c r="B77" t="inlineStr">
        <is>
          <t>「羅盤」迪米崔</t>
        </is>
      </c>
      <c r="C77" t="inlineStr">
        <is>
          <t>男</t>
        </is>
      </c>
      <c r="D77" t="n">
        <v>42</v>
      </c>
      <c r="E77" t="inlineStr">
        <is>
          <t>E-0076</t>
        </is>
      </c>
      <c r="F77" t="inlineStr">
        <is>
          <t>第七支部</t>
        </is>
      </c>
      <c r="G77" t="n">
        <v>4</v>
      </c>
      <c r="H77" t="inlineStr">
        <is>
          <t>偵察</t>
        </is>
      </c>
      <c r="I77" t="inlineStr">
        <is>
          <t>工程</t>
        </is>
      </c>
      <c r="J77" t="inlineStr">
        <is>
          <t>前北極探險家，導航本能不受後室扭曲影響。隊友稱他人形 GPS。</t>
        </is>
      </c>
    </row>
    <row r="78">
      <c r="A78" t="n">
        <v>77</v>
      </c>
      <c r="B78" t="inlineStr">
        <is>
          <t>「解毒劑」漢娜</t>
        </is>
      </c>
      <c r="C78" t="inlineStr">
        <is>
          <t>女</t>
        </is>
      </c>
      <c r="D78" t="n">
        <v>38</v>
      </c>
      <c r="E78" t="inlineStr">
        <is>
          <t>E-0077</t>
        </is>
      </c>
      <c r="F78" t="inlineStr">
        <is>
          <t>第七支部</t>
        </is>
      </c>
      <c r="G78" t="n">
        <v>4</v>
      </c>
      <c r="H78" t="inlineStr">
        <is>
          <t>醫療</t>
        </is>
      </c>
      <c r="I78" t="inlineStr">
        <is>
          <t>工程</t>
        </is>
      </c>
      <c r="J78" t="inlineStr">
        <is>
          <t>毒理學家，杏仁水的變種是她破解的。她讓飲用水變得安全。</t>
        </is>
      </c>
    </row>
    <row r="79">
      <c r="A79" t="n">
        <v>78</v>
      </c>
      <c r="B79" t="inlineStr">
        <is>
          <t>「暗影」費德</t>
        </is>
      </c>
      <c r="C79" t="inlineStr">
        <is>
          <t>男</t>
        </is>
      </c>
      <c r="D79" t="n">
        <v>45</v>
      </c>
      <c r="E79" t="inlineStr">
        <is>
          <t>E-0078</t>
        </is>
      </c>
      <c r="F79" t="inlineStr">
        <is>
          <t>第七支部</t>
        </is>
      </c>
      <c r="G79" t="n">
        <v>4</v>
      </c>
      <c r="H79" t="inlineStr">
        <is>
          <t>戰鬥</t>
        </is>
      </c>
      <c r="I79" t="inlineStr">
        <is>
          <t>偵察</t>
        </is>
      </c>
      <c r="J79" t="inlineStr">
        <is>
          <t>潛入專家，從未被發現，包括一次他不該在場的任務。</t>
        </is>
      </c>
    </row>
    <row r="80">
      <c r="A80" t="n">
        <v>79</v>
      </c>
      <c r="B80" t="inlineStr">
        <is>
          <t>「調停者」奧利佛</t>
        </is>
      </c>
      <c r="C80" t="inlineStr">
        <is>
          <t>男</t>
        </is>
      </c>
      <c r="D80" t="n">
        <v>41</v>
      </c>
      <c r="E80" t="inlineStr">
        <is>
          <t>E-0079</t>
        </is>
      </c>
      <c r="F80" t="inlineStr">
        <is>
          <t>第七支部</t>
        </is>
      </c>
      <c r="G80" t="n">
        <v>4</v>
      </c>
      <c r="H80" t="inlineStr">
        <is>
          <t>交涉</t>
        </is>
      </c>
      <c r="I80" t="inlineStr">
        <is>
          <t>醫療</t>
        </is>
      </c>
      <c r="J80" t="inlineStr">
        <is>
          <t>派系衝突的終結者。他說真正的武器是讓雙方都覺得贏了。</t>
        </is>
      </c>
    </row>
    <row r="81">
      <c r="A81" t="n">
        <v>80</v>
      </c>
      <c r="B81" t="inlineStr">
        <is>
          <t>「築城者」桑雅</t>
        </is>
      </c>
      <c r="C81" t="inlineStr">
        <is>
          <t>女</t>
        </is>
      </c>
      <c r="D81" t="n">
        <v>36</v>
      </c>
      <c r="E81" t="inlineStr">
        <is>
          <t>E-0080</t>
        </is>
      </c>
      <c r="F81" t="inlineStr">
        <is>
          <t>第七支部</t>
        </is>
      </c>
      <c r="G81" t="n">
        <v>4</v>
      </c>
      <c r="H81" t="inlineStr">
        <is>
          <t>工程</t>
        </is>
      </c>
      <c r="I81" t="inlineStr">
        <is>
          <t>交涉</t>
        </is>
      </c>
      <c r="J81" t="inlineStr">
        <is>
          <t>據點建築師，談下建材也畫得出藍圖。她建的牆擋過實體潮。</t>
        </is>
      </c>
    </row>
    <row r="82">
      <c r="A82" t="n">
        <v>81</v>
      </c>
      <c r="B82" t="inlineStr">
        <is>
          <t>「先知」米拉</t>
        </is>
      </c>
      <c r="C82" t="inlineStr">
        <is>
          <t>女</t>
        </is>
      </c>
      <c r="D82" t="n">
        <v>26</v>
      </c>
      <c r="E82" t="inlineStr">
        <is>
          <t>E-0081</t>
        </is>
      </c>
      <c r="F82" t="inlineStr">
        <is>
          <t>第七支部</t>
        </is>
      </c>
      <c r="G82" t="n">
        <v>3</v>
      </c>
      <c r="H82" t="inlineStr">
        <is>
          <t>偵察</t>
        </is>
      </c>
      <c r="I82" t="inlineStr">
        <is>
          <t>無</t>
        </is>
      </c>
      <c r="J82" t="inlineStr">
        <is>
          <t>聲稱能在夢中預見後室的變化。有時是準的——這讓所有人都不安。</t>
        </is>
      </c>
    </row>
    <row r="83">
      <c r="A83" t="n">
        <v>82</v>
      </c>
      <c r="B83" t="inlineStr">
        <is>
          <t>阿爾伯特·鍾</t>
        </is>
      </c>
      <c r="C83" t="inlineStr">
        <is>
          <t>男</t>
        </is>
      </c>
      <c r="D83" t="n">
        <v>45</v>
      </c>
      <c r="E83" t="inlineStr">
        <is>
          <t>E-0082</t>
        </is>
      </c>
      <c r="F83" t="inlineStr">
        <is>
          <t>第七支部</t>
        </is>
      </c>
      <c r="G83" t="n">
        <v>4</v>
      </c>
      <c r="H83" t="inlineStr">
        <is>
          <t>醫療</t>
        </is>
      </c>
      <c r="I83" t="inlineStr">
        <is>
          <t>工程</t>
        </is>
      </c>
      <c r="J83" t="inlineStr">
        <is>
          <t>前外科醫生兼機械愛好者。他製造的義肢比原裝的更好用。</t>
        </is>
      </c>
    </row>
    <row r="84">
      <c r="A84" t="n">
        <v>83</v>
      </c>
      <c r="B84" t="inlineStr">
        <is>
          <t>「牧師」約翰</t>
        </is>
      </c>
      <c r="C84" t="inlineStr">
        <is>
          <t>男</t>
        </is>
      </c>
      <c r="D84" t="n">
        <v>52</v>
      </c>
      <c r="E84" t="inlineStr">
        <is>
          <t>E-0083</t>
        </is>
      </c>
      <c r="F84" t="inlineStr">
        <is>
          <t>第七支部</t>
        </is>
      </c>
      <c r="G84" t="n">
        <v>3</v>
      </c>
      <c r="H84" t="inlineStr">
        <is>
          <t>交涉</t>
        </is>
      </c>
      <c r="I84" t="inlineStr">
        <is>
          <t>醫療</t>
        </is>
      </c>
      <c r="J84" t="inlineStr">
        <is>
          <t>曾是神職人員。在後室中找到了新的信仰——或者說信仰找到了他。能安撫最崩潰的靈魂。</t>
        </is>
      </c>
    </row>
    <row r="85">
      <c r="A85" t="n">
        <v>84</v>
      </c>
      <c r="B85" t="inlineStr">
        <is>
          <t>佐藤惠子</t>
        </is>
      </c>
      <c r="C85" t="inlineStr">
        <is>
          <t>女</t>
        </is>
      </c>
      <c r="D85" t="n">
        <v>29</v>
      </c>
      <c r="E85" t="inlineStr">
        <is>
          <t>E-0084</t>
        </is>
      </c>
      <c r="F85" t="inlineStr">
        <is>
          <t>第七支部</t>
        </is>
      </c>
      <c r="G85" t="n">
        <v>3</v>
      </c>
      <c r="H85" t="inlineStr">
        <is>
          <t>戰鬥</t>
        </is>
      </c>
      <c r="I85" t="inlineStr">
        <is>
          <t>交涉</t>
        </is>
      </c>
      <c r="J85" t="inlineStr">
        <is>
          <t>前自衛隊心理戰專家。她的武器是語言和子彈——按順序使用。</t>
        </is>
      </c>
    </row>
    <row r="86">
      <c r="A86" t="n">
        <v>85</v>
      </c>
      <c r="B86" t="inlineStr">
        <is>
          <t>「收藏家」格雷</t>
        </is>
      </c>
      <c r="C86" t="inlineStr">
        <is>
          <t>男</t>
        </is>
      </c>
      <c r="D86" t="n">
        <v>33</v>
      </c>
      <c r="E86" t="inlineStr">
        <is>
          <t>E-0085</t>
        </is>
      </c>
      <c r="F86" t="inlineStr">
        <is>
          <t>第七支部</t>
        </is>
      </c>
      <c r="G86" t="n">
        <v>3</v>
      </c>
      <c r="H86" t="inlineStr">
        <is>
          <t>工程</t>
        </is>
      </c>
      <c r="I86" t="inlineStr">
        <is>
          <t>偵察</t>
        </is>
      </c>
      <c r="J86" t="inlineStr">
        <is>
          <t>對後室中的異常物品有百科全書式的知識。他的宿舍像一個小型博物館。</t>
        </is>
      </c>
    </row>
    <row r="87">
      <c r="A87" t="n">
        <v>86</v>
      </c>
      <c r="B87" t="inlineStr">
        <is>
          <t>娜塔莎·沃爾夫</t>
        </is>
      </c>
      <c r="C87" t="inlineStr">
        <is>
          <t>女</t>
        </is>
      </c>
      <c r="D87" t="n">
        <v>36</v>
      </c>
      <c r="E87" t="inlineStr">
        <is>
          <t>E-0086</t>
        </is>
      </c>
      <c r="F87" t="inlineStr">
        <is>
          <t>第七支部</t>
        </is>
      </c>
      <c r="G87" t="n">
        <v>4</v>
      </c>
      <c r="H87" t="inlineStr">
        <is>
          <t>戰鬥</t>
        </is>
      </c>
      <c r="I87" t="inlineStr">
        <is>
          <t>醫療</t>
        </is>
      </c>
      <c r="J87" t="inlineStr">
        <is>
          <t>前特種部隊軍醫。救人和殺人的效率一樣高。她說這兩者之間的界線比你想像的細。</t>
        </is>
      </c>
    </row>
    <row r="88">
      <c r="A88" t="n">
        <v>87</v>
      </c>
      <c r="B88" t="inlineStr">
        <is>
          <t>「小孩」阿寶</t>
        </is>
      </c>
      <c r="C88" t="inlineStr">
        <is>
          <t>男</t>
        </is>
      </c>
      <c r="D88" t="n">
        <v>19</v>
      </c>
      <c r="E88" t="inlineStr">
        <is>
          <t>E-0087</t>
        </is>
      </c>
      <c r="F88" t="inlineStr">
        <is>
          <t>第七支部</t>
        </is>
      </c>
      <c r="G88" t="n">
        <v>1</v>
      </c>
      <c r="H88" t="inlineStr">
        <is>
          <t>偵察</t>
        </is>
      </c>
      <c r="I88" t="inlineStr">
        <is>
          <t>工程</t>
        </is>
      </c>
      <c r="J88" t="inlineStr">
        <is>
          <t>在後室中出生和成長——是的，這可能發生。他從未見過「正常的世界」。對後室的了解是本能層面的。</t>
        </is>
      </c>
    </row>
    <row r="89">
      <c r="A89" t="n">
        <v>88</v>
      </c>
      <c r="B89" t="inlineStr">
        <is>
          <t>瑪格麗特·沈</t>
        </is>
      </c>
      <c r="C89" t="inlineStr">
        <is>
          <t>女</t>
        </is>
      </c>
      <c r="D89" t="n">
        <v>48</v>
      </c>
      <c r="E89" t="inlineStr">
        <is>
          <t>E-0088</t>
        </is>
      </c>
      <c r="F89" t="inlineStr">
        <is>
          <t>第七支部</t>
        </is>
      </c>
      <c r="G89" t="n">
        <v>4</v>
      </c>
      <c r="H89" t="inlineStr">
        <is>
          <t>交涉</t>
        </is>
      </c>
      <c r="I89" t="inlineStr">
        <is>
          <t>偵察</t>
        </is>
      </c>
      <c r="J89" t="inlineStr">
        <is>
          <t>前外交官。曾在 M.E.G. 和 BNTG 之間談成了歷史性的貿易協定。退休前被你說服「再來最後一次」。</t>
        </is>
      </c>
    </row>
    <row r="90">
      <c r="A90" t="n">
        <v>89</v>
      </c>
      <c r="B90" t="inlineStr">
        <is>
          <t>「回聲」弗里曼</t>
        </is>
      </c>
      <c r="C90" t="inlineStr">
        <is>
          <t>男</t>
        </is>
      </c>
      <c r="D90" t="n">
        <v>31</v>
      </c>
      <c r="E90" t="inlineStr">
        <is>
          <t>E-0089</t>
        </is>
      </c>
      <c r="F90" t="inlineStr">
        <is>
          <t>第七支部</t>
        </is>
      </c>
      <c r="G90" t="n">
        <v>3</v>
      </c>
      <c r="H90" t="inlineStr">
        <is>
          <t>偵察</t>
        </is>
      </c>
      <c r="I90" t="inlineStr">
        <is>
          <t>醫療</t>
        </is>
      </c>
      <c r="J90" t="inlineStr">
        <is>
          <t>曾經失蹤了六個月，被認定為 MIA。然後他走回據點——毫髮無傷。他無法（或不願）解釋那六個月發生了什麼。</t>
        </is>
      </c>
    </row>
    <row r="91">
      <c r="A91" t="n">
        <v>90</v>
      </c>
      <c r="B91" t="inlineStr">
        <is>
          <t>露娜·馬丁內斯</t>
        </is>
      </c>
      <c r="C91" t="inlineStr">
        <is>
          <t>女</t>
        </is>
      </c>
      <c r="D91" t="n">
        <v>27</v>
      </c>
      <c r="E91" t="inlineStr">
        <is>
          <t>E-0090</t>
        </is>
      </c>
      <c r="F91" t="inlineStr">
        <is>
          <t>第七支部</t>
        </is>
      </c>
      <c r="G91" t="n">
        <v>3</v>
      </c>
      <c r="H91" t="inlineStr">
        <is>
          <t>工程</t>
        </is>
      </c>
      <c r="I91" t="inlineStr">
        <is>
          <t>交涉</t>
        </is>
      </c>
      <c r="J91" t="inlineStr">
        <is>
          <t>前建築師。她設計的據點加固方案在管理局內部被廣泛採用。她的圖紙上有些奇怪的標記——她說那是「裝飾」。</t>
        </is>
      </c>
    </row>
    <row r="92">
      <c r="A92" t="n">
        <v>91</v>
      </c>
      <c r="B92" t="inlineStr">
        <is>
          <t>「旅人」凱</t>
        </is>
      </c>
      <c r="C92" t="inlineStr">
        <is>
          <t>男</t>
        </is>
      </c>
      <c r="D92" t="n">
        <v>19</v>
      </c>
      <c r="E92" t="inlineStr">
        <is>
          <t>E-0091</t>
        </is>
      </c>
      <c r="F92" t="inlineStr">
        <is>
          <t>第七支部</t>
        </is>
      </c>
      <c r="G92" t="n">
        <v>1</v>
      </c>
      <c r="H92" t="inlineStr">
        <is>
          <t>偵察</t>
        </is>
      </c>
      <c r="I92" t="inlineStr">
        <is>
          <t>工程</t>
        </is>
      </c>
      <c r="J92" t="inlineStr">
        <is>
          <t>在後室長大的孩子之一，比阿寶年長幾歲。他說出口是大人編的故事。</t>
        </is>
      </c>
    </row>
    <row r="93">
      <c r="A93" t="n">
        <v>92</v>
      </c>
      <c r="B93" t="inlineStr">
        <is>
          <t>「擺渡人」老周</t>
        </is>
      </c>
      <c r="C93" t="inlineStr">
        <is>
          <t>男</t>
        </is>
      </c>
      <c r="D93" t="n">
        <v>55</v>
      </c>
      <c r="E93" t="inlineStr">
        <is>
          <t>E-0092</t>
        </is>
      </c>
      <c r="F93" t="inlineStr">
        <is>
          <t>第七支部</t>
        </is>
      </c>
      <c r="G93" t="n">
        <v>3</v>
      </c>
      <c r="H93" t="inlineStr">
        <is>
          <t>交涉</t>
        </is>
      </c>
      <c r="I93" t="inlineStr">
        <is>
          <t>醫療</t>
        </is>
      </c>
      <c r="J93" t="inlineStr">
        <is>
          <t>在後室邊緣的小聚落當了二十年中間人。他記得的路比地圖多。</t>
        </is>
      </c>
    </row>
    <row r="94">
      <c r="A94" t="n">
        <v>93</v>
      </c>
      <c r="B94" t="inlineStr">
        <is>
          <t>「雙刃」蕾娜</t>
        </is>
      </c>
      <c r="C94" t="inlineStr">
        <is>
          <t>女</t>
        </is>
      </c>
      <c r="D94" t="n">
        <v>28</v>
      </c>
      <c r="E94" t="inlineStr">
        <is>
          <t>E-0093</t>
        </is>
      </c>
      <c r="F94" t="inlineStr">
        <is>
          <t>第七支部</t>
        </is>
      </c>
      <c r="G94" t="n">
        <v>4</v>
      </c>
      <c r="H94" t="inlineStr">
        <is>
          <t>戰鬥</t>
        </is>
      </c>
      <c r="I94" t="inlineStr">
        <is>
          <t>無</t>
        </is>
      </c>
      <c r="J94" t="inlineStr">
        <is>
          <t>雙刀流，左右手一樣準。她說為什麼只選一邊。</t>
        </is>
      </c>
    </row>
    <row r="95">
      <c r="A95" t="n">
        <v>94</v>
      </c>
      <c r="B95" t="inlineStr">
        <is>
          <t>「調香師」薇薇</t>
        </is>
      </c>
      <c r="C95" t="inlineStr">
        <is>
          <t>女</t>
        </is>
      </c>
      <c r="D95" t="n">
        <v>26</v>
      </c>
      <c r="E95" t="inlineStr">
        <is>
          <t>E-0094</t>
        </is>
      </c>
      <c r="F95" t="inlineStr">
        <is>
          <t>第七支部</t>
        </is>
      </c>
      <c r="G95" t="n">
        <v>3</v>
      </c>
      <c r="H95" t="inlineStr">
        <is>
          <t>醫療</t>
        </is>
      </c>
      <c r="I95" t="inlineStr">
        <is>
          <t>工程</t>
        </is>
      </c>
      <c r="J95" t="inlineStr">
        <is>
          <t>用後室植物調出替代杏仁水。配方是機密，效果堪比原版。</t>
        </is>
      </c>
    </row>
    <row r="96">
      <c r="A96" t="n">
        <v>95</v>
      </c>
      <c r="B96" t="inlineStr">
        <is>
          <t>「影子」阿杰</t>
        </is>
      </c>
      <c r="C96" t="inlineStr">
        <is>
          <t>男</t>
        </is>
      </c>
      <c r="D96" t="n">
        <v>30</v>
      </c>
      <c r="E96" t="inlineStr">
        <is>
          <t>E-0095</t>
        </is>
      </c>
      <c r="F96" t="inlineStr">
        <is>
          <t>第七支部</t>
        </is>
      </c>
      <c r="G96" t="n">
        <v>3</v>
      </c>
      <c r="H96" t="inlineStr">
        <is>
          <t>偵察</t>
        </is>
      </c>
      <c r="I96" t="inlineStr">
        <is>
          <t>戰鬥</t>
        </is>
      </c>
      <c r="J96" t="inlineStr">
        <is>
          <t>潛行大師，曾跟著一支實體隊伍走了一整天沒被發現。</t>
        </is>
      </c>
    </row>
    <row r="97">
      <c r="A97" t="n">
        <v>96</v>
      </c>
      <c r="B97" t="inlineStr">
        <is>
          <t>「鐵砧」馬庫斯</t>
        </is>
      </c>
      <c r="C97" t="inlineStr">
        <is>
          <t>男</t>
        </is>
      </c>
      <c r="D97" t="n">
        <v>47</v>
      </c>
      <c r="E97" t="inlineStr">
        <is>
          <t>E-0096</t>
        </is>
      </c>
      <c r="F97" t="inlineStr">
        <is>
          <t>第七支部</t>
        </is>
      </c>
      <c r="G97" t="n">
        <v>4</v>
      </c>
      <c r="H97" t="inlineStr">
        <is>
          <t>工程</t>
        </is>
      </c>
      <c r="I97" t="inlineStr">
        <is>
          <t>戰鬥</t>
        </is>
      </c>
      <c r="J97" t="inlineStr">
        <is>
          <t>前軍械士，能從廢墟造出武器。他說後室給的，後室也能收走。</t>
        </is>
      </c>
    </row>
    <row r="98">
      <c r="A98" t="n">
        <v>97</v>
      </c>
      <c r="B98" t="inlineStr">
        <is>
          <t>「說書人」伊萊</t>
        </is>
      </c>
      <c r="C98" t="inlineStr">
        <is>
          <t>男</t>
        </is>
      </c>
      <c r="D98" t="n">
        <v>33</v>
      </c>
      <c r="E98" t="inlineStr">
        <is>
          <t>E-0097</t>
        </is>
      </c>
      <c r="F98" t="inlineStr">
        <is>
          <t>第七支部</t>
        </is>
      </c>
      <c r="G98" t="n">
        <v>3</v>
      </c>
      <c r="H98" t="inlineStr">
        <is>
          <t>交涉</t>
        </is>
      </c>
      <c r="I98" t="inlineStr">
        <is>
          <t>偵察</t>
        </is>
      </c>
      <c r="J98" t="inlineStr">
        <is>
          <t>用故事讓人放鬆警惕。據點的孩子都愛聽他的後室童話，都是真的。</t>
        </is>
      </c>
    </row>
    <row r="99">
      <c r="A99" t="n">
        <v>98</v>
      </c>
      <c r="B99" t="inlineStr">
        <is>
          <t>「雙生」姐妹</t>
        </is>
      </c>
      <c r="C99" t="inlineStr">
        <is>
          <t>女</t>
        </is>
      </c>
      <c r="D99" t="n">
        <v>25</v>
      </c>
      <c r="E99" t="inlineStr">
        <is>
          <t>E-0098</t>
        </is>
      </c>
      <c r="F99" t="inlineStr">
        <is>
          <t>第七支部</t>
        </is>
      </c>
      <c r="G99" t="n">
        <v>3</v>
      </c>
      <c r="H99" t="inlineStr">
        <is>
          <t>醫療</t>
        </is>
      </c>
      <c r="I99" t="inlineStr">
        <is>
          <t>交涉</t>
        </is>
      </c>
      <c r="J99" t="inlineStr">
        <is>
          <t>雙胞胎，一個負責救一個負責安撫。分開效率減半，在一起無人能擋。</t>
        </is>
      </c>
    </row>
    <row r="100">
      <c r="A100" t="n">
        <v>99</v>
      </c>
      <c r="B100" t="inlineStr">
        <is>
          <t>「錨」老鄭</t>
        </is>
      </c>
      <c r="C100" t="inlineStr">
        <is>
          <t>男</t>
        </is>
      </c>
      <c r="D100" t="n">
        <v>50</v>
      </c>
      <c r="E100" t="inlineStr">
        <is>
          <t>E-0099</t>
        </is>
      </c>
      <c r="F100" t="inlineStr">
        <is>
          <t>第七支部</t>
        </is>
      </c>
      <c r="G100" t="n">
        <v>4</v>
      </c>
      <c r="H100" t="inlineStr">
        <is>
          <t>工程</t>
        </is>
      </c>
      <c r="I100" t="inlineStr">
        <is>
          <t>醫療</t>
        </is>
      </c>
      <c r="J100" t="inlineStr">
        <is>
          <t>後室老兵，斷過三條腿還在帶隊。年輕人說有他在就穩。</t>
        </is>
      </c>
    </row>
    <row r="101">
      <c r="A101" t="n">
        <v>100</v>
      </c>
      <c r="B101" t="inlineStr">
        <is>
          <t>「零號」實驗體</t>
        </is>
      </c>
      <c r="C101" t="inlineStr">
        <is>
          <t>不詳</t>
        </is>
      </c>
      <c r="D101" t="n">
        <v>30</v>
      </c>
      <c r="E101" t="inlineStr">
        <is>
          <t>E-0100</t>
        </is>
      </c>
      <c r="F101" t="inlineStr">
        <is>
          <t>第七支部</t>
        </is>
      </c>
      <c r="G101" t="n">
        <v>3</v>
      </c>
      <c r="H101" t="inlineStr">
        <is>
          <t>偵察</t>
        </is>
      </c>
      <c r="I101" t="inlineStr">
        <is>
          <t>醫療</t>
        </is>
      </c>
      <c r="J101" t="inlineStr">
        <is>
          <t>來歷不明，曾在某個實驗中倖存。他能感應到實體的情緒。多數人不敢直視他的眼睛。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2026-07-16T16:53:41Z</dcterms:created>
  <dcterms:modified xsi:type="dcterms:W3CDTF">2026-07-16T23:59:55Z</dcterms:modified>
</cp:coreProperties>
</file>