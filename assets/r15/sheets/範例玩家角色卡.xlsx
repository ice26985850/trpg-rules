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閱讀說明" sheetId="1" state="visible" r:id="rId1"/>
    <sheet name="均衡主任" sheetId="2" state="visible" r:id="rId2"/>
    <sheet name="情報專家" sheetId="3" state="visible" r:id="rId3"/>
    <sheet name="人力指揮官" sheetId="4" state="visible" r:id="rId4"/>
    <sheet name="孤獨創始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color rgb="002D2D3F"/>
      <sz val="10"/>
    </font>
    <font>
      <name val="Microsoft JhengHei"/>
      <b val="1"/>
      <color rgb="002D2D3F"/>
      <sz val="10"/>
    </font>
    <font>
      <name val="Microsoft JhengHei"/>
      <b val="1"/>
      <color rgb="00FFFFFF"/>
      <sz val="11"/>
    </font>
    <font>
      <name val="Microsoft JhengHei"/>
      <color rgb="001A5276"/>
      <sz val="10"/>
    </font>
    <font>
      <name val="Microsoft JhengHei"/>
      <i val="1"/>
      <color rgb="00666666"/>
      <sz val="8"/>
    </font>
    <font>
      <b val="1"/>
    </font>
  </fonts>
  <fills count="8">
    <fill>
      <patternFill/>
    </fill>
    <fill>
      <patternFill patternType="gray125"/>
    </fill>
    <fill>
      <patternFill patternType="solid">
        <fgColor rgb="002D2D3F"/>
        <bgColor rgb="002D2D3F"/>
      </patternFill>
    </fill>
    <fill>
      <patternFill patternType="solid">
        <fgColor rgb="00F0F0F5"/>
        <bgColor rgb="00F0F0F5"/>
      </patternFill>
    </fill>
    <fill>
      <patternFill patternType="solid">
        <fgColor rgb="00FFFFFF"/>
        <bgColor rgb="00FFFFFF"/>
      </patternFill>
    </fill>
    <fill>
      <patternFill patternType="solid">
        <fgColor rgb="004A4A6A"/>
        <bgColor rgb="004A4A6A"/>
      </patternFill>
    </fill>
    <fill>
      <patternFill patternType="solid">
        <fgColor rgb="006B5B8A"/>
        <bgColor rgb="006B5B8A"/>
      </patternFill>
    </fill>
    <fill>
      <patternFill patternType="solid">
        <fgColor rgb="00EDE7F6"/>
        <bgColor rgb="00EDE7F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3" borderId="1" pivotButton="0" quotePrefix="0" xfId="0"/>
    <xf numFmtId="0" fontId="2" fillId="4" borderId="1" pivotButton="0" quotePrefix="0" xfId="0"/>
    <xf numFmtId="0" fontId="4" fillId="5" borderId="1" pivotButton="0" quotePrefix="0" xfId="0"/>
    <xf numFmtId="0" fontId="4" fillId="6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3" borderId="1" pivotButton="0" quotePrefix="0" xfId="0"/>
    <xf numFmtId="0" fontId="4" fillId="6" borderId="1" pivotButton="0" quotePrefix="0" xfId="0"/>
    <xf numFmtId="3" fontId="2" fillId="4" borderId="1" pivotButton="0" quotePrefix="0" xfId="0"/>
    <xf numFmtId="0" fontId="6" fillId="3" borderId="1" pivotButton="0" quotePrefix="0" xfId="0"/>
    <xf numFmtId="9" fontId="2" fillId="4" borderId="1" pivotButton="0" quotePrefix="0" xfId="0"/>
    <xf numFmtId="0" fontId="7" fillId="0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後室管理局 TRPG —— 範例玩家角色卡</t>
        </is>
      </c>
    </row>
    <row r="3">
      <c r="A3" s="2" t="inlineStr">
        <is>
          <t>本檔案包含 4 張示範用已填寫的管理局部門卡，供玩家參考如何創建自己的部門。每張示範卡獨立一個分頁。</t>
        </is>
      </c>
    </row>
    <row r="5">
      <c r="A5" s="3" t="inlineStr">
        <is>
          <t>分頁說明：</t>
        </is>
      </c>
    </row>
    <row r="6">
      <c r="A6" s="2" t="inlineStr">
        <is>
          <t>• 均衡主任 — 四屬性平均分配，最平衡的起始配置</t>
        </is>
      </c>
    </row>
    <row r="7">
      <c r="A7" s="2" t="inlineStr">
        <is>
          <t>• 情報專家 — 高情報、中聲望，以知識和外交為主的管理風格</t>
        </is>
      </c>
    </row>
    <row r="8">
      <c r="A8" s="2" t="inlineStr">
        <is>
          <t>• 人力指揮官 — 高人力、中裝備，人多勢眾的指揮風格</t>
        </is>
      </c>
    </row>
    <row r="9">
      <c r="A9" s="2" t="inlineStr">
        <is>
          <t>• 孤獨創始人 — 低聲望、高裝備，自給自足的獨立路線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4" t="inlineStr">
        <is>
          <t>後室管理局 —— 均衡主任</t>
        </is>
      </c>
      <c r="B1" s="5" t="n"/>
      <c r="C1" s="5" t="n"/>
      <c r="D1" s="5" t="n"/>
      <c r="E1" s="5" t="n"/>
      <c r="F1" s="6" t="n"/>
    </row>
    <row r="3">
      <c r="A3" s="7" t="inlineStr">
        <is>
          <t>部門起源</t>
        </is>
      </c>
      <c r="B3" s="8" t="inlineStr">
        <is>
          <t>內部晉升</t>
        </is>
      </c>
      <c r="C3" s="7" t="inlineStr">
        <is>
          <t>據點</t>
        </is>
      </c>
      <c r="D3" s="8" t="inlineStr">
        <is>
          <t>Level 1 主要基地</t>
        </is>
      </c>
    </row>
    <row r="4">
      <c r="A4" s="7" t="inlineStr">
        <is>
          <t>規模</t>
        </is>
      </c>
      <c r="B4" s="8" t="inlineStr">
        <is>
          <t>中型（60人）</t>
        </is>
      </c>
      <c r="C4" s="7" t="inlineStr">
        <is>
          <t>上司</t>
        </is>
      </c>
      <c r="D4" s="8" t="inlineStr">
        <is>
          <t>M.E.G. 區域指揮官</t>
        </is>
      </c>
    </row>
    <row r="6">
      <c r="A6" s="9" t="inlineStr">
        <is>
          <t>核心屬性</t>
        </is>
      </c>
      <c r="B6" s="5" t="n"/>
      <c r="C6" s="5" t="n"/>
      <c r="D6" s="5" t="n"/>
      <c r="E6" s="5" t="n"/>
      <c r="F6" s="6" t="n"/>
    </row>
    <row r="7">
      <c r="A7" s="10" t="inlineStr">
        <is>
          <t>屬性</t>
        </is>
      </c>
      <c r="B7" s="10" t="inlineStr">
        <is>
          <t>數值</t>
        </is>
      </c>
      <c r="C7" s="10" t="inlineStr">
        <is>
          <t>調整值</t>
        </is>
      </c>
      <c r="D7" s="10" t="inlineStr">
        <is>
          <t>說明</t>
        </is>
      </c>
    </row>
    <row r="8">
      <c r="A8" s="7" t="inlineStr">
        <is>
          <t>人力</t>
        </is>
      </c>
      <c r="B8" s="11" t="n">
        <v>5</v>
      </c>
      <c r="C8" s="12">
        <f>FLOOR((B8-5)/2,1)</f>
        <v/>
      </c>
    </row>
    <row r="9">
      <c r="A9" s="7" t="inlineStr">
        <is>
          <t>裝備</t>
        </is>
      </c>
      <c r="B9" s="11" t="n">
        <v>5</v>
      </c>
      <c r="C9" s="12">
        <f>FLOOR((B9-5)/2,1)</f>
        <v/>
      </c>
    </row>
    <row r="10">
      <c r="A10" s="7" t="inlineStr">
        <is>
          <t>情報</t>
        </is>
      </c>
      <c r="B10" s="11" t="n">
        <v>5</v>
      </c>
      <c r="C10" s="12">
        <f>FLOOR((B10-5)/2,1)</f>
        <v/>
      </c>
    </row>
    <row r="11">
      <c r="A11" s="7" t="inlineStr">
        <is>
          <t>聲望</t>
        </is>
      </c>
      <c r="B11" s="11" t="n">
        <v>5</v>
      </c>
      <c r="C11" s="12">
        <f>FLOOR((B11-5)/2,1)</f>
        <v/>
      </c>
    </row>
    <row r="13">
      <c r="A13" s="9" t="inlineStr">
        <is>
          <t>衍生屬性</t>
        </is>
      </c>
      <c r="B13" s="5" t="n"/>
      <c r="C13" s="5" t="n"/>
      <c r="D13" s="5" t="n"/>
      <c r="E13" s="5" t="n"/>
      <c r="F13" s="6" t="n"/>
    </row>
    <row r="14">
      <c r="A14" s="13" t="inlineStr">
        <is>
          <t>屬性</t>
        </is>
      </c>
      <c r="B14" s="13" t="inlineStr">
        <is>
          <t>計算結果</t>
        </is>
      </c>
      <c r="C14" s="13" t="inlineStr">
        <is>
          <t>公式</t>
        </is>
      </c>
    </row>
    <row r="15">
      <c r="A15" s="7" t="inlineStr">
        <is>
          <t>每月預算</t>
        </is>
      </c>
      <c r="B15" s="14">
        <f>200+B11*60+B10*40</f>
        <v/>
      </c>
      <c r="C15" s="15" t="inlineStr">
        <is>
          <t>聲望(5)×50 + 情報(5)×30</t>
        </is>
      </c>
    </row>
    <row r="16">
      <c r="A16" s="7" t="inlineStr">
        <is>
          <t>任務上限</t>
        </is>
      </c>
      <c r="B16" s="8" t="n">
        <v>2</v>
      </c>
      <c r="C16" s="15" t="inlineStr">
        <is>
          <t>人力(5)÷3 向上取整</t>
        </is>
      </c>
    </row>
    <row r="17">
      <c r="A17" s="7" t="inlineStr">
        <is>
          <t>情報精確度</t>
        </is>
      </c>
      <c r="B17" s="16" t="n">
        <v>0.5</v>
      </c>
      <c r="C17" s="15" t="inlineStr">
        <is>
          <t>情報(5)×10%</t>
        </is>
      </c>
    </row>
    <row r="18">
      <c r="A18" s="7" t="inlineStr">
        <is>
          <t>裝備加值</t>
        </is>
      </c>
      <c r="B18" s="8">
        <f>B9*2</f>
        <v/>
      </c>
      <c r="C18" s="15" t="inlineStr">
        <is>
          <t>裝備(5)×3</t>
        </is>
      </c>
    </row>
    <row r="20">
      <c r="A20" s="9" t="inlineStr">
        <is>
          <t>設施</t>
        </is>
      </c>
      <c r="B20" s="5" t="n"/>
      <c r="C20" s="5" t="n"/>
      <c r="D20" s="5" t="n"/>
      <c r="E20" s="5" t="n"/>
      <c r="F20" s="6" t="n"/>
    </row>
    <row r="21">
      <c r="A21" s="7" t="inlineStr">
        <is>
          <t>醫療站</t>
        </is>
      </c>
      <c r="B21" s="8" t="inlineStr">
        <is>
          <t>等級 1</t>
        </is>
      </c>
    </row>
    <row r="22">
      <c r="A22" s="7" t="inlineStr">
        <is>
          <t>研發實驗室</t>
        </is>
      </c>
      <c r="B22" s="8" t="inlineStr">
        <is>
          <t>等級 1</t>
        </is>
      </c>
    </row>
    <row r="23">
      <c r="A23" s="7" t="inlineStr">
        <is>
          <t>情報中心</t>
        </is>
      </c>
      <c r="B23" s="8" t="inlineStr">
        <is>
          <t>等級 1</t>
        </is>
      </c>
    </row>
    <row r="24">
      <c r="A24" s="7" t="inlineStr">
        <is>
          <t>訓練場</t>
        </is>
      </c>
      <c r="B24" s="8" t="inlineStr">
        <is>
          <t>等級 1</t>
        </is>
      </c>
    </row>
    <row r="25">
      <c r="A25" s="7" t="inlineStr">
        <is>
          <t>貿易站</t>
        </is>
      </c>
      <c r="B25" s="8" t="inlineStr">
        <is>
          <t>等級 1</t>
        </is>
      </c>
    </row>
    <row r="26">
      <c r="A26" s="7" t="inlineStr">
        <is>
          <t>宿舍</t>
        </is>
      </c>
      <c r="B26" s="8" t="inlineStr">
        <is>
          <t>等級 1</t>
        </is>
      </c>
    </row>
    <row r="28">
      <c r="A28" s="7" t="inlineStr">
        <is>
          <t>管理風格描述</t>
        </is>
      </c>
      <c r="B28" s="8" t="inlineStr">
        <is>
          <t>最均衡的起始配置。適合新手玩家，各方面都不弱但也沒有突出優勢。</t>
        </is>
      </c>
      <c r="C28" s="5" t="n"/>
      <c r="D28" s="5" t="n"/>
      <c r="E28" s="5" t="n"/>
      <c r="F28" s="6" t="n"/>
    </row>
    <row r="29">
      <c r="A29" s="17" t="inlineStr">
        <is>
          <t>人事與上級</t>
        </is>
      </c>
    </row>
    <row r="30">
      <c r="A30" t="inlineStr">
        <is>
          <t>在編人數（ROSTER）</t>
        </is>
      </c>
      <c r="B30" t="n">
        <v>10</v>
      </c>
      <c r="C30" t="inlineStr">
        <is>
          <t>範例值，實際依招募填寫</t>
        </is>
      </c>
    </row>
    <row r="31">
      <c r="A31" t="inlineStr">
        <is>
          <t>宿舍容量（DORM）</t>
        </is>
      </c>
      <c r="B31" s="18">
        <f>IF(B26="等級 1",10,IF(B26="等級 2",25,IF(B26="等級 3",50,0)))</f>
        <v/>
      </c>
      <c r="C31" t="inlineStr">
        <is>
          <t>依宿舍設施等級（B26）</t>
        </is>
      </c>
    </row>
    <row r="32">
      <c r="A32" t="inlineStr">
        <is>
          <t>超員狀態</t>
        </is>
      </c>
      <c r="B32" s="18">
        <f>IF(B30&gt;B31,"超員 "&amp;(B30-B31)&amp;" 人","正常")</f>
        <v/>
      </c>
      <c r="C32" t="inlineStr">
        <is>
          <t>超員每月追加預算＝超員人數×10</t>
        </is>
      </c>
    </row>
    <row r="33">
      <c r="A33" t="inlineStr">
        <is>
          <t>上司關係值（SUP）</t>
        </is>
      </c>
      <c r="B33" t="n">
        <v>0</v>
      </c>
      <c r="C33" t="inlineStr">
        <is>
          <t>−20～+20；≥+10 每月+50預算；≤−10 強制任務</t>
        </is>
      </c>
    </row>
    <row r="34">
      <c r="A34" t="inlineStr">
        <is>
          <t>愧疚值（GLT）</t>
        </is>
      </c>
      <c r="B34" t="n">
        <v>0</v>
      </c>
      <c r="C34" t="inlineStr">
        <is>
          <t>每次災難／死亡+1；≥5 觸發結局C</t>
        </is>
      </c>
    </row>
  </sheetData>
  <mergeCells count="5">
    <mergeCell ref="A13:F13"/>
    <mergeCell ref="A1:F1"/>
    <mergeCell ref="B28:F28"/>
    <mergeCell ref="A6:F6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4" t="inlineStr">
        <is>
          <t>後室管理局 —— 情報專家</t>
        </is>
      </c>
      <c r="B1" s="5" t="n"/>
      <c r="C1" s="5" t="n"/>
      <c r="D1" s="5" t="n"/>
      <c r="E1" s="5" t="n"/>
      <c r="F1" s="6" t="n"/>
    </row>
    <row r="3">
      <c r="A3" s="7" t="inlineStr">
        <is>
          <t>部門起源</t>
        </is>
      </c>
      <c r="B3" s="8" t="inlineStr">
        <is>
          <t>叛逃者</t>
        </is>
      </c>
      <c r="C3" s="7" t="inlineStr">
        <is>
          <t>據點</t>
        </is>
      </c>
      <c r="D3" s="8" t="inlineStr">
        <is>
          <t>Level 4 廢棄辦公樓</t>
        </is>
      </c>
    </row>
    <row r="4">
      <c r="A4" s="7" t="inlineStr">
        <is>
          <t>規模</t>
        </is>
      </c>
      <c r="B4" s="8" t="inlineStr">
        <is>
          <t>小型（25人）</t>
        </is>
      </c>
      <c r="C4" s="7" t="inlineStr">
        <is>
          <t>上司</t>
        </is>
      </c>
      <c r="D4" s="8" t="inlineStr">
        <is>
          <t>獨立派系領袖</t>
        </is>
      </c>
    </row>
    <row r="6">
      <c r="A6" s="9" t="inlineStr">
        <is>
          <t>核心屬性</t>
        </is>
      </c>
      <c r="B6" s="5" t="n"/>
      <c r="C6" s="5" t="n"/>
      <c r="D6" s="5" t="n"/>
      <c r="E6" s="5" t="n"/>
      <c r="F6" s="6" t="n"/>
    </row>
    <row r="7">
      <c r="A7" s="10" t="inlineStr">
        <is>
          <t>屬性</t>
        </is>
      </c>
      <c r="B7" s="10" t="inlineStr">
        <is>
          <t>數值</t>
        </is>
      </c>
      <c r="C7" s="10" t="inlineStr">
        <is>
          <t>調整值</t>
        </is>
      </c>
      <c r="D7" s="10" t="inlineStr">
        <is>
          <t>說明</t>
        </is>
      </c>
    </row>
    <row r="8">
      <c r="A8" s="7" t="inlineStr">
        <is>
          <t>人力</t>
        </is>
      </c>
      <c r="B8" s="11" t="n">
        <v>4</v>
      </c>
      <c r="C8" s="12">
        <f>FLOOR((B8-5)/2,1)</f>
        <v/>
      </c>
    </row>
    <row r="9">
      <c r="A9" s="7" t="inlineStr">
        <is>
          <t>裝備</t>
        </is>
      </c>
      <c r="B9" s="11" t="n">
        <v>4</v>
      </c>
      <c r="C9" s="12">
        <f>FLOOR((B9-5)/2,1)</f>
        <v/>
      </c>
    </row>
    <row r="10">
      <c r="A10" s="7" t="inlineStr">
        <is>
          <t>情報</t>
        </is>
      </c>
      <c r="B10" s="11" t="n">
        <v>8</v>
      </c>
      <c r="C10" s="12">
        <f>FLOOR((B10-5)/2,1)</f>
        <v/>
      </c>
    </row>
    <row r="11">
      <c r="A11" s="7" t="inlineStr">
        <is>
          <t>聲望</t>
        </is>
      </c>
      <c r="B11" s="11" t="n">
        <v>5</v>
      </c>
      <c r="C11" s="12">
        <f>FLOOR((B11-5)/2,1)</f>
        <v/>
      </c>
    </row>
    <row r="13">
      <c r="A13" s="9" t="inlineStr">
        <is>
          <t>衍生屬性</t>
        </is>
      </c>
      <c r="B13" s="5" t="n"/>
      <c r="C13" s="5" t="n"/>
      <c r="D13" s="5" t="n"/>
      <c r="E13" s="5" t="n"/>
      <c r="F13" s="6" t="n"/>
    </row>
    <row r="14">
      <c r="A14" s="13" t="inlineStr">
        <is>
          <t>屬性</t>
        </is>
      </c>
      <c r="B14" s="13" t="inlineStr">
        <is>
          <t>計算結果</t>
        </is>
      </c>
      <c r="C14" s="13" t="inlineStr">
        <is>
          <t>公式</t>
        </is>
      </c>
    </row>
    <row r="15">
      <c r="A15" s="7" t="inlineStr">
        <is>
          <t>每月預算</t>
        </is>
      </c>
      <c r="B15" s="14">
        <f>200+B11*60+B10*40</f>
        <v/>
      </c>
      <c r="C15" s="15" t="inlineStr">
        <is>
          <t>聲望(5)×50 + 情報(8)×30</t>
        </is>
      </c>
    </row>
    <row r="16">
      <c r="A16" s="7" t="inlineStr">
        <is>
          <t>任務上限</t>
        </is>
      </c>
      <c r="B16" s="8" t="n">
        <v>2</v>
      </c>
      <c r="C16" s="15" t="inlineStr">
        <is>
          <t>人力(4)÷3 向上取整</t>
        </is>
      </c>
    </row>
    <row r="17">
      <c r="A17" s="7" t="inlineStr">
        <is>
          <t>情報精確度</t>
        </is>
      </c>
      <c r="B17" s="16" t="n">
        <v>0.8</v>
      </c>
      <c r="C17" s="15" t="inlineStr">
        <is>
          <t>情報(8)×10%</t>
        </is>
      </c>
    </row>
    <row r="18">
      <c r="A18" s="7" t="inlineStr">
        <is>
          <t>裝備加值</t>
        </is>
      </c>
      <c r="B18" s="8">
        <f>B9*2</f>
        <v/>
      </c>
      <c r="C18" s="15" t="inlineStr">
        <is>
          <t>裝備(4)×3</t>
        </is>
      </c>
    </row>
    <row r="20">
      <c r="A20" s="9" t="inlineStr">
        <is>
          <t>設施</t>
        </is>
      </c>
      <c r="B20" s="5" t="n"/>
      <c r="C20" s="5" t="n"/>
      <c r="D20" s="5" t="n"/>
      <c r="E20" s="5" t="n"/>
      <c r="F20" s="6" t="n"/>
    </row>
    <row r="21">
      <c r="A21" s="7" t="inlineStr">
        <is>
          <t>醫療站</t>
        </is>
      </c>
      <c r="B21" s="8" t="inlineStr">
        <is>
          <t>等級 2</t>
        </is>
      </c>
    </row>
    <row r="22">
      <c r="A22" s="7" t="inlineStr">
        <is>
          <t>研發實驗室</t>
        </is>
      </c>
      <c r="B22" s="8" t="inlineStr">
        <is>
          <t>等級 1</t>
        </is>
      </c>
    </row>
    <row r="23">
      <c r="A23" s="7" t="inlineStr">
        <is>
          <t>情報中心</t>
        </is>
      </c>
      <c r="B23" s="8" t="inlineStr">
        <is>
          <t>等級 2</t>
        </is>
      </c>
    </row>
    <row r="24">
      <c r="A24" s="7" t="inlineStr">
        <is>
          <t>訓練場</t>
        </is>
      </c>
      <c r="B24" s="8" t="inlineStr">
        <is>
          <t>等級 1</t>
        </is>
      </c>
    </row>
    <row r="25">
      <c r="A25" s="7" t="inlineStr">
        <is>
          <t>貿易站</t>
        </is>
      </c>
      <c r="B25" s="8" t="inlineStr">
        <is>
          <t>等級 1</t>
        </is>
      </c>
    </row>
    <row r="26">
      <c r="A26" s="7" t="inlineStr">
        <is>
          <t>宿舍</t>
        </is>
      </c>
      <c r="B26" s="8" t="inlineStr">
        <is>
          <t>等級 1</t>
        </is>
      </c>
    </row>
    <row r="28">
      <c r="A28" s="7" t="inlineStr">
        <is>
          <t>管理風格描述</t>
        </is>
      </c>
      <c r="B28" s="8" t="inlineStr">
        <is>
          <t>以情報為核心的管理風格。情報精確度高達80%，能有效降低任務不確定性。曾隸屬敵對派系，帶著內部情報叛逃——沒人完全信任你。</t>
        </is>
      </c>
      <c r="C28" s="5" t="n"/>
      <c r="D28" s="5" t="n"/>
      <c r="E28" s="5" t="n"/>
      <c r="F28" s="6" t="n"/>
    </row>
    <row r="29">
      <c r="A29" s="17" t="inlineStr">
        <is>
          <t>人事與上級</t>
        </is>
      </c>
    </row>
    <row r="30">
      <c r="A30" t="inlineStr">
        <is>
          <t>在編人數（ROSTER）</t>
        </is>
      </c>
      <c r="B30" t="n">
        <v>8</v>
      </c>
      <c r="C30" t="inlineStr">
        <is>
          <t>範例值，實際依招募填寫</t>
        </is>
      </c>
    </row>
    <row r="31">
      <c r="A31" t="inlineStr">
        <is>
          <t>宿舍容量（DORM）</t>
        </is>
      </c>
      <c r="B31" s="18">
        <f>IF(B26="等級 1",10,IF(B26="等級 2",25,IF(B26="等級 3",50,0)))</f>
        <v/>
      </c>
      <c r="C31" t="inlineStr">
        <is>
          <t>依宿舍設施等級（B26）</t>
        </is>
      </c>
    </row>
    <row r="32">
      <c r="A32" t="inlineStr">
        <is>
          <t>超員狀態</t>
        </is>
      </c>
      <c r="B32" s="18">
        <f>IF(B30&gt;B31,"超員 "&amp;(B30-B31)&amp;" 人","正常")</f>
        <v/>
      </c>
      <c r="C32" t="inlineStr">
        <is>
          <t>超員每月追加預算＝超員人數×10</t>
        </is>
      </c>
    </row>
    <row r="33">
      <c r="A33" t="inlineStr">
        <is>
          <t>上司關係值（SUP）</t>
        </is>
      </c>
      <c r="B33" t="n">
        <v>0</v>
      </c>
      <c r="C33" t="inlineStr">
        <is>
          <t>−20～+20；≥+10 每月+50預算；≤−10 強制任務</t>
        </is>
      </c>
    </row>
    <row r="34">
      <c r="A34" t="inlineStr">
        <is>
          <t>愧疚值（GLT）</t>
        </is>
      </c>
      <c r="B34" t="n">
        <v>0</v>
      </c>
      <c r="C34" t="inlineStr">
        <is>
          <t>每次災難／死亡+1；≥5 觸發結局C</t>
        </is>
      </c>
    </row>
  </sheetData>
  <mergeCells count="5">
    <mergeCell ref="A13:F13"/>
    <mergeCell ref="A1:F1"/>
    <mergeCell ref="B28:F28"/>
    <mergeCell ref="A6:F6"/>
    <mergeCell ref="A20:F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4" t="inlineStr">
        <is>
          <t>後室管理局 —— 人力指揮官</t>
        </is>
      </c>
      <c r="B1" s="5" t="n"/>
      <c r="C1" s="5" t="n"/>
      <c r="D1" s="5" t="n"/>
      <c r="E1" s="5" t="n"/>
      <c r="F1" s="6" t="n"/>
    </row>
    <row r="3">
      <c r="A3" s="7" t="inlineStr">
        <is>
          <t>部門起源</t>
        </is>
      </c>
      <c r="B3" s="8" t="inlineStr">
        <is>
          <t>臨危受命</t>
        </is>
      </c>
      <c r="C3" s="7" t="inlineStr">
        <is>
          <t>據點</t>
        </is>
      </c>
      <c r="D3" s="8" t="inlineStr">
        <is>
          <t>Level 1 主要基地</t>
        </is>
      </c>
    </row>
    <row r="4">
      <c r="A4" s="7" t="inlineStr">
        <is>
          <t>規模</t>
        </is>
      </c>
      <c r="B4" s="8" t="inlineStr">
        <is>
          <t>大型（120人）</t>
        </is>
      </c>
      <c r="C4" s="7" t="inlineStr">
        <is>
          <t>上司</t>
        </is>
      </c>
      <c r="D4" s="8" t="inlineStr">
        <is>
          <t>軍事委員會</t>
        </is>
      </c>
    </row>
    <row r="6">
      <c r="A6" s="9" t="inlineStr">
        <is>
          <t>核心屬性</t>
        </is>
      </c>
      <c r="B6" s="5" t="n"/>
      <c r="C6" s="5" t="n"/>
      <c r="D6" s="5" t="n"/>
      <c r="E6" s="5" t="n"/>
      <c r="F6" s="6" t="n"/>
    </row>
    <row r="7">
      <c r="A7" s="10" t="inlineStr">
        <is>
          <t>屬性</t>
        </is>
      </c>
      <c r="B7" s="10" t="inlineStr">
        <is>
          <t>數值</t>
        </is>
      </c>
      <c r="C7" s="10" t="inlineStr">
        <is>
          <t>調整值</t>
        </is>
      </c>
      <c r="D7" s="10" t="inlineStr">
        <is>
          <t>說明</t>
        </is>
      </c>
    </row>
    <row r="8">
      <c r="A8" s="7" t="inlineStr">
        <is>
          <t>人力</t>
        </is>
      </c>
      <c r="B8" s="11" t="n">
        <v>8</v>
      </c>
      <c r="C8" s="12">
        <f>FLOOR((B8-5)/2,1)</f>
        <v/>
      </c>
    </row>
    <row r="9">
      <c r="A9" s="7" t="inlineStr">
        <is>
          <t>裝備</t>
        </is>
      </c>
      <c r="B9" s="11" t="n">
        <v>5</v>
      </c>
      <c r="C9" s="12">
        <f>FLOOR((B9-5)/2,1)</f>
        <v/>
      </c>
    </row>
    <row r="10">
      <c r="A10" s="7" t="inlineStr">
        <is>
          <t>情報</t>
        </is>
      </c>
      <c r="B10" s="11" t="n">
        <v>4</v>
      </c>
      <c r="C10" s="12">
        <f>FLOOR((B10-5)/2,1)</f>
        <v/>
      </c>
    </row>
    <row r="11">
      <c r="A11" s="7" t="inlineStr">
        <is>
          <t>聲望</t>
        </is>
      </c>
      <c r="B11" s="11" t="n">
        <v>4</v>
      </c>
      <c r="C11" s="12">
        <f>FLOOR((B11-5)/2,1)</f>
        <v/>
      </c>
    </row>
    <row r="13">
      <c r="A13" s="9" t="inlineStr">
        <is>
          <t>衍生屬性</t>
        </is>
      </c>
      <c r="B13" s="5" t="n"/>
      <c r="C13" s="5" t="n"/>
      <c r="D13" s="5" t="n"/>
      <c r="E13" s="5" t="n"/>
      <c r="F13" s="6" t="n"/>
    </row>
    <row r="14">
      <c r="A14" s="13" t="inlineStr">
        <is>
          <t>屬性</t>
        </is>
      </c>
      <c r="B14" s="13" t="inlineStr">
        <is>
          <t>計算結果</t>
        </is>
      </c>
      <c r="C14" s="13" t="inlineStr">
        <is>
          <t>公式</t>
        </is>
      </c>
    </row>
    <row r="15">
      <c r="A15" s="7" t="inlineStr">
        <is>
          <t>每月預算</t>
        </is>
      </c>
      <c r="B15" s="14">
        <f>200+B11*60+B10*40</f>
        <v/>
      </c>
      <c r="C15" s="15" t="inlineStr">
        <is>
          <t>聲望(4)×50 + 情報(4)×30</t>
        </is>
      </c>
    </row>
    <row r="16">
      <c r="A16" s="7" t="inlineStr">
        <is>
          <t>任務上限</t>
        </is>
      </c>
      <c r="B16" s="8" t="n">
        <v>3</v>
      </c>
      <c r="C16" s="15" t="inlineStr">
        <is>
          <t>人力(8)÷3 向上取整</t>
        </is>
      </c>
    </row>
    <row r="17">
      <c r="A17" s="7" t="inlineStr">
        <is>
          <t>情報精確度</t>
        </is>
      </c>
      <c r="B17" s="16" t="n">
        <v>0.4</v>
      </c>
      <c r="C17" s="15" t="inlineStr">
        <is>
          <t>情報(4)×10%</t>
        </is>
      </c>
    </row>
    <row r="18">
      <c r="A18" s="7" t="inlineStr">
        <is>
          <t>裝備加值</t>
        </is>
      </c>
      <c r="B18" s="8">
        <f>B9*2</f>
        <v/>
      </c>
      <c r="C18" s="15" t="inlineStr">
        <is>
          <t>裝備(5)×3</t>
        </is>
      </c>
    </row>
    <row r="20">
      <c r="A20" s="9" t="inlineStr">
        <is>
          <t>設施</t>
        </is>
      </c>
      <c r="B20" s="5" t="n"/>
      <c r="C20" s="5" t="n"/>
      <c r="D20" s="5" t="n"/>
      <c r="E20" s="5" t="n"/>
      <c r="F20" s="6" t="n"/>
    </row>
    <row r="21">
      <c r="A21" s="7" t="inlineStr">
        <is>
          <t>醫療站</t>
        </is>
      </c>
      <c r="B21" s="8" t="inlineStr">
        <is>
          <t>等級 1</t>
        </is>
      </c>
    </row>
    <row r="22">
      <c r="A22" s="7" t="inlineStr">
        <is>
          <t>研發實驗室</t>
        </is>
      </c>
      <c r="B22" s="8" t="inlineStr">
        <is>
          <t>等級 1</t>
        </is>
      </c>
    </row>
    <row r="23">
      <c r="A23" s="7" t="inlineStr">
        <is>
          <t>情報中心</t>
        </is>
      </c>
      <c r="B23" s="8" t="inlineStr">
        <is>
          <t>等級 1</t>
        </is>
      </c>
    </row>
    <row r="24">
      <c r="A24" s="7" t="inlineStr">
        <is>
          <t>訓練場</t>
        </is>
      </c>
      <c r="B24" s="8" t="inlineStr">
        <is>
          <t>等級 2</t>
        </is>
      </c>
    </row>
    <row r="25">
      <c r="A25" s="7" t="inlineStr">
        <is>
          <t>貿易站</t>
        </is>
      </c>
      <c r="B25" s="8" t="inlineStr">
        <is>
          <t>等級 1</t>
        </is>
      </c>
    </row>
    <row r="26">
      <c r="A26" s="7" t="inlineStr">
        <is>
          <t>宿舍</t>
        </is>
      </c>
      <c r="B26" s="8" t="inlineStr">
        <is>
          <t>等級 2</t>
        </is>
      </c>
    </row>
    <row r="28">
      <c r="A28" s="7" t="inlineStr">
        <is>
          <t>管理風格描述</t>
        </is>
      </c>
      <c r="B28" s="8" t="inlineStr">
        <is>
          <t>人多勢眾的指揮風格。任務上限3個、人力充沛可承受較高傷亡。前任主任失蹤後倉促上任——前任的陰影仍在。</t>
        </is>
      </c>
      <c r="C28" s="5" t="n"/>
      <c r="D28" s="5" t="n"/>
      <c r="E28" s="5" t="n"/>
      <c r="F28" s="6" t="n"/>
    </row>
    <row r="29">
      <c r="A29" s="17" t="inlineStr">
        <is>
          <t>人事與上級</t>
        </is>
      </c>
    </row>
    <row r="30">
      <c r="A30" t="inlineStr">
        <is>
          <t>在編人數（ROSTER）</t>
        </is>
      </c>
      <c r="B30" t="n">
        <v>18</v>
      </c>
      <c r="C30" t="inlineStr">
        <is>
          <t>範例值，實際依招募填寫</t>
        </is>
      </c>
    </row>
    <row r="31">
      <c r="A31" t="inlineStr">
        <is>
          <t>宿舍容量（DORM）</t>
        </is>
      </c>
      <c r="B31" s="18">
        <f>IF(B26="等級 1",10,IF(B26="等級 2",25,IF(B26="等級 3",50,0)))</f>
        <v/>
      </c>
      <c r="C31" t="inlineStr">
        <is>
          <t>依宿舍設施等級（B26）</t>
        </is>
      </c>
    </row>
    <row r="32">
      <c r="A32" t="inlineStr">
        <is>
          <t>超員狀態</t>
        </is>
      </c>
      <c r="B32" s="18">
        <f>IF(B30&gt;B31,"超員 "&amp;(B30-B31)&amp;" 人","正常")</f>
        <v/>
      </c>
      <c r="C32" t="inlineStr">
        <is>
          <t>超員每月追加預算＝超員人數×10</t>
        </is>
      </c>
    </row>
    <row r="33">
      <c r="A33" t="inlineStr">
        <is>
          <t>上司關係值（SUP）</t>
        </is>
      </c>
      <c r="B33" t="n">
        <v>0</v>
      </c>
      <c r="C33" t="inlineStr">
        <is>
          <t>−20～+20；≥+10 每月+50預算；≤−10 強制任務</t>
        </is>
      </c>
    </row>
    <row r="34">
      <c r="A34" t="inlineStr">
        <is>
          <t>愧疚值（GLT）</t>
        </is>
      </c>
      <c r="B34" t="n">
        <v>0</v>
      </c>
      <c r="C34" t="inlineStr">
        <is>
          <t>每次災難／死亡+1；≥5 觸發結局C</t>
        </is>
      </c>
    </row>
  </sheetData>
  <mergeCells count="5">
    <mergeCell ref="A13:F13"/>
    <mergeCell ref="A1:F1"/>
    <mergeCell ref="B28:F28"/>
    <mergeCell ref="A6:F6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4" t="inlineStr">
        <is>
          <t>後室管理局 —— 孤獨創始人</t>
        </is>
      </c>
      <c r="B1" s="5" t="n"/>
      <c r="C1" s="5" t="n"/>
      <c r="D1" s="5" t="n"/>
      <c r="E1" s="5" t="n"/>
      <c r="F1" s="6" t="n"/>
    </row>
    <row r="3">
      <c r="A3" s="7" t="inlineStr">
        <is>
          <t>部門起源</t>
        </is>
      </c>
      <c r="B3" s="8" t="inlineStr">
        <is>
          <t>創始人</t>
        </is>
      </c>
      <c r="C3" s="7" t="inlineStr">
        <is>
          <t>據點</t>
        </is>
      </c>
      <c r="D3" s="8" t="inlineStr">
        <is>
          <t>Level 8 洞穴系統</t>
        </is>
      </c>
    </row>
    <row r="4">
      <c r="A4" s="7" t="inlineStr">
        <is>
          <t>規模</t>
        </is>
      </c>
      <c r="B4" s="8" t="inlineStr">
        <is>
          <t>小型（20人）</t>
        </is>
      </c>
      <c r="C4" s="7" t="inlineStr">
        <is>
          <t>上司</t>
        </is>
      </c>
      <c r="D4" s="8" t="inlineStr">
        <is>
          <t>神秘贊助人</t>
        </is>
      </c>
    </row>
    <row r="6">
      <c r="A6" s="9" t="inlineStr">
        <is>
          <t>核心屬性</t>
        </is>
      </c>
      <c r="B6" s="5" t="n"/>
      <c r="C6" s="5" t="n"/>
      <c r="D6" s="5" t="n"/>
      <c r="E6" s="5" t="n"/>
      <c r="F6" s="6" t="n"/>
    </row>
    <row r="7">
      <c r="A7" s="10" t="inlineStr">
        <is>
          <t>屬性</t>
        </is>
      </c>
      <c r="B7" s="10" t="inlineStr">
        <is>
          <t>數值</t>
        </is>
      </c>
      <c r="C7" s="10" t="inlineStr">
        <is>
          <t>調整值</t>
        </is>
      </c>
      <c r="D7" s="10" t="inlineStr">
        <is>
          <t>說明</t>
        </is>
      </c>
    </row>
    <row r="8">
      <c r="A8" s="7" t="inlineStr">
        <is>
          <t>人力</t>
        </is>
      </c>
      <c r="B8" s="11" t="n">
        <v>3</v>
      </c>
      <c r="C8" s="12">
        <f>FLOOR((B8-5)/2,1)</f>
        <v/>
      </c>
    </row>
    <row r="9">
      <c r="A9" s="7" t="inlineStr">
        <is>
          <t>裝備</t>
        </is>
      </c>
      <c r="B9" s="11" t="n">
        <v>8</v>
      </c>
      <c r="C9" s="12">
        <f>FLOOR((B9-5)/2,1)</f>
        <v/>
      </c>
    </row>
    <row r="10">
      <c r="A10" s="7" t="inlineStr">
        <is>
          <t>情報</t>
        </is>
      </c>
      <c r="B10" s="11" t="n">
        <v>5</v>
      </c>
      <c r="C10" s="12">
        <f>FLOOR((B10-5)/2,1)</f>
        <v/>
      </c>
    </row>
    <row r="11">
      <c r="A11" s="7" t="inlineStr">
        <is>
          <t>聲望</t>
        </is>
      </c>
      <c r="B11" s="11" t="n">
        <v>3</v>
      </c>
      <c r="C11" s="12">
        <f>FLOOR((B11-5)/2,1)</f>
        <v/>
      </c>
    </row>
    <row r="13">
      <c r="A13" s="9" t="inlineStr">
        <is>
          <t>衍生屬性</t>
        </is>
      </c>
      <c r="B13" s="5" t="n"/>
      <c r="C13" s="5" t="n"/>
      <c r="D13" s="5" t="n"/>
      <c r="E13" s="5" t="n"/>
      <c r="F13" s="6" t="n"/>
    </row>
    <row r="14">
      <c r="A14" s="13" t="inlineStr">
        <is>
          <t>屬性</t>
        </is>
      </c>
      <c r="B14" s="13" t="inlineStr">
        <is>
          <t>計算結果</t>
        </is>
      </c>
      <c r="C14" s="13" t="inlineStr">
        <is>
          <t>公式</t>
        </is>
      </c>
    </row>
    <row r="15">
      <c r="A15" s="7" t="inlineStr">
        <is>
          <t>每月預算</t>
        </is>
      </c>
      <c r="B15" s="14">
        <f>200+B11*60+B10*40</f>
        <v/>
      </c>
      <c r="C15" s="15" t="inlineStr">
        <is>
          <t>聲望(3)×50 + 情報(5)×30</t>
        </is>
      </c>
    </row>
    <row r="16">
      <c r="A16" s="7" t="inlineStr">
        <is>
          <t>任務上限</t>
        </is>
      </c>
      <c r="B16" s="8" t="n">
        <v>1</v>
      </c>
      <c r="C16" s="15" t="inlineStr">
        <is>
          <t>人力(3)÷3 向上取整</t>
        </is>
      </c>
    </row>
    <row r="17">
      <c r="A17" s="7" t="inlineStr">
        <is>
          <t>情報精確度</t>
        </is>
      </c>
      <c r="B17" s="16" t="n">
        <v>0.5</v>
      </c>
      <c r="C17" s="15" t="inlineStr">
        <is>
          <t>情報(5)×10%</t>
        </is>
      </c>
    </row>
    <row r="18">
      <c r="A18" s="7" t="inlineStr">
        <is>
          <t>裝備加值</t>
        </is>
      </c>
      <c r="B18" s="8">
        <f>B9*2</f>
        <v/>
      </c>
      <c r="C18" s="15" t="inlineStr">
        <is>
          <t>裝備(8)×3</t>
        </is>
      </c>
    </row>
    <row r="20">
      <c r="A20" s="9" t="inlineStr">
        <is>
          <t>設施</t>
        </is>
      </c>
      <c r="B20" s="5" t="n"/>
      <c r="C20" s="5" t="n"/>
      <c r="D20" s="5" t="n"/>
      <c r="E20" s="5" t="n"/>
      <c r="F20" s="6" t="n"/>
    </row>
    <row r="21">
      <c r="A21" s="7" t="inlineStr">
        <is>
          <t>醫療站</t>
        </is>
      </c>
      <c r="B21" s="8" t="inlineStr">
        <is>
          <t>等級 1</t>
        </is>
      </c>
    </row>
    <row r="22">
      <c r="A22" s="7" t="inlineStr">
        <is>
          <t>研發實驗室</t>
        </is>
      </c>
      <c r="B22" s="8" t="inlineStr">
        <is>
          <t>等級 2</t>
        </is>
      </c>
    </row>
    <row r="23">
      <c r="A23" s="7" t="inlineStr">
        <is>
          <t>情報中心</t>
        </is>
      </c>
      <c r="B23" s="8" t="inlineStr">
        <is>
          <t>等級 1</t>
        </is>
      </c>
    </row>
    <row r="24">
      <c r="A24" s="7" t="inlineStr">
        <is>
          <t>訓練場</t>
        </is>
      </c>
      <c r="B24" s="8" t="inlineStr">
        <is>
          <t>等級 1</t>
        </is>
      </c>
    </row>
    <row r="25">
      <c r="A25" s="7" t="inlineStr">
        <is>
          <t>貿易站</t>
        </is>
      </c>
      <c r="B25" s="8" t="inlineStr">
        <is>
          <t>等級 1</t>
        </is>
      </c>
    </row>
    <row r="26">
      <c r="A26" s="7" t="inlineStr">
        <is>
          <t>宿舍</t>
        </is>
      </c>
      <c r="B26" s="8" t="inlineStr">
        <is>
          <t>等級 1</t>
        </is>
      </c>
    </row>
    <row r="28">
      <c r="A28" s="7" t="inlineStr">
        <is>
          <t>管理風格描述</t>
        </is>
      </c>
      <c r="B28" s="8" t="inlineStr">
        <is>
          <t>精兵路線。高裝備確保每次任務的成功率，但人力和聲望的劣勢意味著一次重大失敗就可能元氣大傷。你一手建立了這個管理局——沒有人比你更在乎它。</t>
        </is>
      </c>
      <c r="C28" s="5" t="n"/>
      <c r="D28" s="5" t="n"/>
      <c r="E28" s="5" t="n"/>
      <c r="F28" s="6" t="n"/>
    </row>
    <row r="29">
      <c r="A29" s="17" t="inlineStr">
        <is>
          <t>人事與上級</t>
        </is>
      </c>
    </row>
    <row r="30">
      <c r="A30" t="inlineStr">
        <is>
          <t>在編人數（ROSTER）</t>
        </is>
      </c>
      <c r="B30" t="n">
        <v>6</v>
      </c>
      <c r="C30" t="inlineStr">
        <is>
          <t>範例值，實際依招募填寫</t>
        </is>
      </c>
    </row>
    <row r="31">
      <c r="A31" t="inlineStr">
        <is>
          <t>宿舍容量（DORM）</t>
        </is>
      </c>
      <c r="B31" s="18">
        <f>IF(B26="等級 1",10,IF(B26="等級 2",25,IF(B26="等級 3",50,0)))</f>
        <v/>
      </c>
      <c r="C31" t="inlineStr">
        <is>
          <t>依宿舍設施等級（B26）</t>
        </is>
      </c>
    </row>
    <row r="32">
      <c r="A32" t="inlineStr">
        <is>
          <t>超員狀態</t>
        </is>
      </c>
      <c r="B32" s="18">
        <f>IF(B30&gt;B31,"超員 "&amp;(B30-B31)&amp;" 人","正常")</f>
        <v/>
      </c>
      <c r="C32" t="inlineStr">
        <is>
          <t>超員每月追加預算＝超員人數×10</t>
        </is>
      </c>
    </row>
    <row r="33">
      <c r="A33" t="inlineStr">
        <is>
          <t>上司關係值（SUP）</t>
        </is>
      </c>
      <c r="B33" t="n">
        <v>0</v>
      </c>
      <c r="C33" t="inlineStr">
        <is>
          <t>−20～+20；≥+10 每月+50預算；≤−10 強制任務</t>
        </is>
      </c>
    </row>
    <row r="34">
      <c r="A34" t="inlineStr">
        <is>
          <t>愧疚值（GLT）</t>
        </is>
      </c>
      <c r="B34" t="n">
        <v>0</v>
      </c>
      <c r="C34" t="inlineStr">
        <is>
          <t>每次災難／死亡+1；≥5 觸發結局C</t>
        </is>
      </c>
    </row>
  </sheetData>
  <mergeCells count="5">
    <mergeCell ref="A13:F13"/>
    <mergeCell ref="A1:F1"/>
    <mergeCell ref="B28:F28"/>
    <mergeCell ref="A6:F6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2026-07-15T19:11:05Z</dcterms:created>
  <dcterms:modified xsi:type="dcterms:W3CDTF">2026-07-16T23:59:55Z</dcterms:modified>
</cp:coreProperties>
</file>