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艾德溫·燧石（實證貴族）" sheetId="1" state="visible" r:id="rId1"/>
    <sheet name="莉娜·風語（直觀孤兒）" sheetId="2" state="visible" r:id="rId2"/>
    <sheet name="賽巴斯汀·古卷（文獻世家）" sheetId="3" state="visible" r:id="rId3"/>
    <sheet name="『灰燼』（禁忌孤兒）" sheetId="4" state="visible" r:id="rId4"/>
    <sheet name="伊莎貝爾·星橋（協作世家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等线"/>
      <b val="1"/>
      <color rgb="00c8a84e"/>
      <sz val="16"/>
    </font>
    <font>
      <name val="等线"/>
      <b val="1"/>
      <color rgb="00ffffff"/>
      <sz val="11"/>
    </font>
    <font>
      <name val="等线"/>
      <b val="1"/>
      <color rgb="001a2744"/>
      <sz val="10"/>
    </font>
    <font>
      <name val="等线"/>
      <color rgb="001a2744"/>
      <sz val="11"/>
    </font>
    <font>
      <name val="等线"/>
      <color rgb="00666666"/>
      <sz val="8"/>
    </font>
    <font>
      <name val="等线"/>
      <b val="1"/>
      <color rgb="00336633"/>
      <sz val="11"/>
    </font>
    <font>
      <name val="等线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2d3e50"/>
        <bgColor rgb="002d3e50"/>
      </patternFill>
    </fill>
    <fill>
      <patternFill patternType="solid">
        <fgColor rgb="00e8dcc8"/>
        <bgColor rgb="00e8dcc8"/>
      </patternFill>
    </fill>
    <fill>
      <patternFill patternType="solid">
        <fgColor rgb="00ffffff"/>
        <bgColor rgb="00ffffff"/>
      </patternFill>
    </fill>
    <fill>
      <patternFill patternType="solid">
        <fgColor rgb="00d4c5a9"/>
        <bgColor rgb="00d4c5a9"/>
      </patternFill>
    </fill>
    <fill>
      <patternFill patternType="solid">
        <fgColor rgb="00f0ebe0"/>
        <bgColor rgb="00f0ebe0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奧祕溯源 TRPG — 艾德溫·燧石的角色卡</t>
        </is>
      </c>
      <c r="B1" s="11" t="n"/>
      <c r="C1" s="11" t="n"/>
      <c r="D1" s="11" t="n"/>
      <c r="E1" s="11" t="n"/>
      <c r="F1" s="11" t="n"/>
      <c r="G1" s="11" t="n"/>
      <c r="H1" s="12" t="n"/>
    </row>
    <row r="2"/>
    <row r="3">
      <c r="A3" s="2" t="inlineStr">
        <is>
          <t>基本資訊</t>
        </is>
      </c>
      <c r="B3" s="11" t="n"/>
      <c r="C3" s="11" t="n"/>
      <c r="D3" s="11" t="n"/>
      <c r="E3" s="11" t="n"/>
      <c r="F3" s="11" t="n"/>
      <c r="G3" s="11" t="n"/>
      <c r="H3" s="12" t="n"/>
    </row>
    <row r="4">
      <c r="A4" s="3" t="inlineStr">
        <is>
          <t>法師姓名</t>
        </is>
      </c>
      <c r="B4" s="12" t="n"/>
      <c r="C4" s="4" t="inlineStr">
        <is>
          <t>艾德溫·燧石</t>
        </is>
      </c>
      <c r="D4" s="12" t="n"/>
      <c r="E4" s="3" t="inlineStr">
        <is>
          <t>塔樓名稱</t>
        </is>
      </c>
      <c r="F4" s="12" t="n"/>
      <c r="G4" s="4" t="inlineStr">
        <is>
          <t>精密之塔</t>
        </is>
      </c>
      <c r="H4" s="12" t="n"/>
    </row>
    <row r="5">
      <c r="A5" s="3" t="inlineStr">
        <is>
          <t>出身</t>
        </is>
      </c>
      <c r="B5" s="12" t="n"/>
      <c r="C5" s="4" t="inlineStr">
        <is>
          <t>貴族之後</t>
        </is>
      </c>
      <c r="D5" s="12" t="n"/>
      <c r="E5" s="3" t="inlineStr">
        <is>
          <t>研究風格</t>
        </is>
      </c>
      <c r="F5" s="12" t="n"/>
      <c r="G5" s="4" t="inlineStr">
        <is>
          <t>實證派</t>
        </is>
      </c>
      <c r="H5" s="12" t="n"/>
    </row>
    <row r="6">
      <c r="A6" s="3" t="inlineStr">
        <is>
          <t>塔樓位置</t>
        </is>
      </c>
      <c r="B6" s="12" t="n"/>
      <c r="C6" s="4" t="inlineStr">
        <is>
          <t>郊區</t>
        </is>
      </c>
      <c r="D6" s="12" t="n"/>
      <c r="E6" s="3" t="inlineStr">
        <is>
          <t>塔樓HP</t>
        </is>
      </c>
      <c r="F6" s="12" t="n"/>
      <c r="G6" s="4" t="inlineStr">
        <is>
          <t>30</t>
        </is>
      </c>
      <c r="H6" s="5" t="inlineStr">
        <is>
          <t>/30</t>
        </is>
      </c>
    </row>
    <row r="7"/>
    <row r="8">
      <c r="A8" s="2" t="inlineStr">
        <is>
          <t>五大屬性（25點分配）</t>
        </is>
      </c>
      <c r="B8" s="11" t="n"/>
      <c r="C8" s="11" t="n"/>
      <c r="D8" s="11" t="n"/>
      <c r="E8" s="11" t="n"/>
      <c r="F8" s="11" t="n"/>
      <c r="G8" s="11" t="n"/>
      <c r="H8" s="12" t="n"/>
    </row>
    <row r="9">
      <c r="A9" s="3" t="inlineStr">
        <is>
          <t>屬性名稱 →</t>
        </is>
      </c>
      <c r="B9" s="6" t="inlineStr">
        <is>
          <t>感知</t>
        </is>
      </c>
      <c r="C9" s="6" t="inlineStr">
        <is>
          <t>理論</t>
        </is>
      </c>
      <c r="D9" s="6" t="inlineStr">
        <is>
          <t>技藝</t>
        </is>
      </c>
      <c r="E9" s="6" t="inlineStr">
        <is>
          <t>意志</t>
        </is>
      </c>
      <c r="F9" s="6" t="inlineStr">
        <is>
          <t>博學</t>
        </is>
      </c>
      <c r="G9" s="3" t="inlineStr">
        <is>
          <t>專精加值</t>
        </is>
      </c>
      <c r="H9" s="3" t="inlineStr">
        <is>
          <t>技能專精</t>
        </is>
      </c>
    </row>
    <row r="10">
      <c r="A10" s="3" t="inlineStr">
        <is>
          <t>屬性值 →</t>
        </is>
      </c>
      <c r="B10" s="4" t="n">
        <v>4</v>
      </c>
      <c r="C10" s="4" t="n">
        <v>4</v>
      </c>
      <c r="D10" s="4" t="n">
        <v>7</v>
      </c>
      <c r="E10" s="4" t="n">
        <v>5</v>
      </c>
      <c r="F10" s="4" t="n">
        <v>5</v>
      </c>
      <c r="G10" s="4" t="inlineStr">
        <is>
          <t>+1</t>
        </is>
      </c>
      <c r="H10" s="4" t="inlineStr"/>
    </row>
    <row r="11"/>
    <row r="12">
      <c r="A12" s="2" t="inlineStr">
        <is>
          <t>衍生屬性（自動計算）</t>
        </is>
      </c>
      <c r="B12" s="11" t="n"/>
      <c r="C12" s="11" t="n"/>
      <c r="D12" s="11" t="n"/>
      <c r="E12" s="11" t="n"/>
      <c r="F12" s="11" t="n"/>
      <c r="G12" s="11" t="n"/>
      <c r="H12" s="12" t="n"/>
    </row>
    <row r="13">
      <c r="A13" s="3" t="inlineStr">
        <is>
          <t>靈性池</t>
        </is>
      </c>
      <c r="B13" s="7" t="n">
        <v>19</v>
      </c>
      <c r="C13" s="8" t="inlineStr">
        <is>
          <t>意志×3 + 理論</t>
        </is>
      </c>
      <c r="D13" s="11" t="n"/>
      <c r="E13" s="12" t="n"/>
    </row>
    <row r="14">
      <c r="A14" s="3" t="inlineStr">
        <is>
          <t>安全閾值</t>
        </is>
      </c>
      <c r="B14" s="7" t="n">
        <v>10</v>
      </c>
      <c r="C14" s="8" t="inlineStr">
        <is>
          <t>技藝+意志/2+實驗室Lv1</t>
        </is>
      </c>
      <c r="D14" s="11" t="n"/>
      <c r="E14" s="12" t="n"/>
    </row>
    <row r="15">
      <c r="A15" s="3" t="inlineStr">
        <is>
          <t>研究AP</t>
        </is>
      </c>
      <c r="B15" s="7" t="n">
        <v>3</v>
      </c>
      <c r="C15" s="8" t="inlineStr">
        <is>
          <t>3+(理論≥5時+1),上限5</t>
        </is>
      </c>
      <c r="D15" s="11" t="n"/>
      <c r="E15" s="12" t="n"/>
    </row>
    <row r="16">
      <c r="A16" s="3" t="inlineStr">
        <is>
          <t>碎片容量</t>
        </is>
      </c>
      <c r="B16" s="7" t="n">
        <v>10</v>
      </c>
      <c r="C16" s="8" t="inlineStr">
        <is>
          <t>理論+博學+圖書館Lv1</t>
        </is>
      </c>
      <c r="D16" s="11" t="n"/>
      <c r="E16" s="12" t="n"/>
    </row>
    <row r="17">
      <c r="A17" s="3" t="inlineStr">
        <is>
          <t>生命值(HP)</t>
        </is>
      </c>
      <c r="B17" s="7" t="n">
        <v>20</v>
      </c>
      <c r="C17" s="8" t="inlineStr">
        <is>
          <t>15 + 意志</t>
        </is>
      </c>
      <c r="D17" s="11" t="n"/>
      <c r="E17" s="12" t="n"/>
    </row>
    <row r="18">
      <c r="A18" s="3" t="inlineStr">
        <is>
          <t>法術書容量</t>
        </is>
      </c>
      <c r="B18" s="7" t="n">
        <v>9</v>
      </c>
      <c r="C18" s="8" t="inlineStr">
        <is>
          <t>理論+博學（可記憶法術數）</t>
        </is>
      </c>
      <c r="D18" s="11" t="n"/>
      <c r="E18" s="12" t="n"/>
    </row>
    <row r="19">
      <c r="A19" s="3" t="inlineStr">
        <is>
          <t>腐化值</t>
        </is>
      </c>
      <c r="B19" s="4" t="n">
        <v>0</v>
      </c>
      <c r="C19" s="8" t="inlineStr">
        <is>
          <t>(0-20)</t>
        </is>
      </c>
      <c r="D19" s="11" t="n"/>
      <c r="E19" s="12" t="n"/>
    </row>
    <row r="20">
      <c r="A20" s="3" t="inlineStr">
        <is>
          <t>起始專精點數</t>
        </is>
      </c>
      <c r="B20" s="7" t="n">
        <v>2</v>
      </c>
      <c r="C20" s="8" t="inlineStr">
        <is>
          <t>(可投入任意技能，見玩家規則1.6)</t>
        </is>
      </c>
      <c r="D20" s="11" t="n"/>
      <c r="E20" s="12" t="n"/>
    </row>
    <row r="21"/>
    <row r="22">
      <c r="A22" s="2" t="inlineStr">
        <is>
          <t>聲望</t>
        </is>
      </c>
      <c r="B22" s="11" t="n"/>
      <c r="C22" s="11" t="n"/>
      <c r="D22" s="11" t="n"/>
      <c r="E22" s="11" t="n"/>
      <c r="F22" s="11" t="n"/>
      <c r="G22" s="11" t="n"/>
      <c r="H22" s="12" t="n"/>
    </row>
    <row r="23">
      <c r="A23" s="3" t="inlineStr">
        <is>
          <t>學術聲望</t>
        </is>
      </c>
      <c r="B23" s="4" t="n">
        <v>0</v>
      </c>
      <c r="C23" s="9" t="inlineStr">
        <is>
          <t>無名學者</t>
        </is>
      </c>
      <c r="D23" s="11" t="n"/>
      <c r="E23" s="12" t="n"/>
      <c r="F23" s="3" t="inlineStr">
        <is>
          <t>實用聲望</t>
        </is>
      </c>
      <c r="G23" s="4" t="n">
        <v>10</v>
      </c>
      <c r="H23" s="10" t="inlineStr">
        <is>
          <t>地方顧問</t>
        </is>
      </c>
    </row>
    <row r="24"/>
    <row r="25">
      <c r="A25" s="2" t="inlineStr">
        <is>
          <t>研究風格特性</t>
        </is>
      </c>
      <c r="B25" s="11" t="n"/>
      <c r="C25" s="11" t="n"/>
      <c r="D25" s="11" t="n"/>
      <c r="E25" s="11" t="n"/>
      <c r="F25" s="11" t="n"/>
      <c r="G25" s="11" t="n"/>
      <c r="H25" s="12" t="n"/>
    </row>
    <row r="26">
      <c r="A26" s="3" t="inlineStr">
        <is>
          <t>優勢</t>
        </is>
      </c>
      <c r="B26" s="9" t="inlineStr">
        <is>
          <t>實驗技藝檢定優勢 + 事故表取低</t>
        </is>
      </c>
      <c r="C26" s="11" t="n"/>
      <c r="D26" s="11" t="n"/>
      <c r="E26" s="11" t="n"/>
      <c r="F26" s="11" t="n"/>
      <c r="G26" s="11" t="n"/>
      <c r="H26" s="12" t="n"/>
    </row>
    <row r="27">
      <c r="A27" s="3" t="inlineStr">
        <is>
          <t>代價</t>
        </is>
      </c>
      <c r="B27" s="9" t="inlineStr">
        <is>
          <t>材料消耗×1.5 + 實驗+1AP</t>
        </is>
      </c>
      <c r="C27" s="11" t="n"/>
      <c r="D27" s="11" t="n"/>
      <c r="E27" s="11" t="n"/>
      <c r="F27" s="11" t="n"/>
      <c r="G27" s="11" t="n"/>
      <c r="H27" s="12" t="n"/>
    </row>
    <row r="28"/>
    <row r="29">
      <c r="A29" s="2" t="inlineStr">
        <is>
          <t>起始碎片：火焰(E01)、大地(E04) ×2 + 投射(F01)</t>
        </is>
      </c>
      <c r="B29" s="11" t="n"/>
      <c r="C29" s="11" t="n"/>
      <c r="D29" s="11" t="n"/>
      <c r="E29" s="11" t="n"/>
      <c r="F29" s="11" t="n"/>
      <c r="G29" s="11" t="n"/>
      <c r="H29" s="12" t="n"/>
    </row>
    <row r="30">
      <c r="A30" s="9" t="inlineStr"/>
      <c r="B30" s="9" t="inlineStr"/>
      <c r="C30" s="9" t="inlineStr"/>
      <c r="D30" s="9" t="inlineStr"/>
      <c r="E30" s="9" t="inlineStr"/>
      <c r="F30" s="9" t="inlineStr"/>
    </row>
    <row r="31">
      <c r="A31" s="9" t="inlineStr"/>
      <c r="B31" s="9" t="inlineStr"/>
      <c r="C31" s="9" t="inlineStr"/>
      <c r="D31" s="9" t="inlineStr"/>
      <c r="E31" s="9" t="inlineStr"/>
      <c r="F31" s="9" t="inlineStr"/>
    </row>
    <row r="32">
      <c r="A32" s="9" t="inlineStr"/>
      <c r="B32" s="9" t="inlineStr"/>
      <c r="C32" s="9" t="inlineStr"/>
      <c r="D32" s="9" t="inlineStr"/>
      <c r="E32" s="9" t="inlineStr"/>
      <c r="F32" s="9" t="inlineStr"/>
    </row>
    <row r="33">
      <c r="A33" s="9" t="inlineStr"/>
      <c r="B33" s="9" t="inlineStr"/>
      <c r="C33" s="9" t="inlineStr"/>
      <c r="D33" s="9" t="inlineStr"/>
      <c r="E33" s="9" t="inlineStr"/>
      <c r="F33" s="9" t="inlineStr"/>
    </row>
    <row r="34"/>
    <row r="35">
      <c r="A35" s="2" t="inlineStr">
        <is>
          <t>起始法術</t>
        </is>
      </c>
      <c r="B35" s="11" t="n"/>
      <c r="C35" s="11" t="n"/>
      <c r="D35" s="11" t="n"/>
      <c r="E35" s="11" t="n"/>
      <c r="F35" s="11" t="n"/>
      <c r="G35" s="11" t="n"/>
      <c r="H35" s="12" t="n"/>
    </row>
    <row r="36">
      <c r="A36" s="3" t="inlineStr">
        <is>
          <t>法術名稱</t>
        </is>
      </c>
      <c r="B36" s="4" t="inlineStr">
        <is>
          <t>熔岩彈</t>
        </is>
      </c>
      <c r="C36" s="11" t="n"/>
      <c r="D36" s="12" t="n"/>
      <c r="E36" s="3" t="inlineStr">
        <is>
          <t>品質</t>
        </is>
      </c>
      <c r="F36" s="4" t="inlineStr">
        <is>
          <t>★</t>
        </is>
      </c>
      <c r="G36" s="3" t="inlineStr">
        <is>
          <t>靈性消耗</t>
        </is>
      </c>
      <c r="H36" s="7" t="n">
        <v>1</v>
      </c>
    </row>
    <row r="37">
      <c r="A37" s="3" t="inlineStr">
        <is>
          <t>碎片公式</t>
        </is>
      </c>
      <c r="B37" s="9" t="inlineStr">
        <is>
          <t>火焰(E01) + 大地(E04) + 投射(F01)</t>
        </is>
      </c>
      <c r="C37" s="11" t="n"/>
      <c r="D37" s="11" t="n"/>
      <c r="E37" s="11" t="n"/>
      <c r="F37" s="11" t="n"/>
      <c r="G37" s="11" t="n"/>
      <c r="H37" s="12" t="n"/>
    </row>
    <row r="38">
      <c r="A38" s="3" t="inlineStr">
        <is>
          <t>效果</t>
        </is>
      </c>
      <c r="B38" s="9" t="inlineStr">
        <is>
          <t>射程60尺，法術攻擊，命中2d6火焰+鈍擊，目標區5尺變為灼熱地面1d4回合</t>
        </is>
      </c>
      <c r="C38" s="11" t="n"/>
      <c r="D38" s="11" t="n"/>
      <c r="E38" s="11" t="n"/>
      <c r="F38" s="11" t="n"/>
      <c r="G38" s="11" t="n"/>
      <c r="H38" s="12" t="n"/>
    </row>
    <row r="39"/>
    <row r="40">
      <c r="A40" s="2" t="inlineStr">
        <is>
          <t>塔樓設施（起始Lv1）</t>
        </is>
      </c>
      <c r="B40" s="11" t="n"/>
      <c r="C40" s="11" t="n"/>
      <c r="D40" s="11" t="n"/>
      <c r="E40" s="11" t="n"/>
      <c r="F40" s="11" t="n"/>
      <c r="G40" s="11" t="n"/>
      <c r="H40" s="12" t="n"/>
    </row>
    <row r="41">
      <c r="A41" s="3" t="inlineStr">
        <is>
          <t>實驗室</t>
        </is>
      </c>
      <c r="B41" s="4" t="n">
        <v>1</v>
      </c>
      <c r="C41" s="10" t="inlineStr">
        <is>
          <t>Lv1 基礎效果</t>
        </is>
      </c>
      <c r="D41" s="11" t="n"/>
      <c r="E41" s="12" t="n"/>
    </row>
    <row r="42">
      <c r="A42" s="3" t="inlineStr">
        <is>
          <t>圖書館</t>
        </is>
      </c>
      <c r="B42" s="4" t="n">
        <v>1</v>
      </c>
      <c r="C42" s="10" t="inlineStr">
        <is>
          <t>Lv1 基礎效果</t>
        </is>
      </c>
      <c r="D42" s="11" t="n"/>
      <c r="E42" s="12" t="n"/>
    </row>
    <row r="43">
      <c r="A43" s="3" t="inlineStr">
        <is>
          <t>觀測臺</t>
        </is>
      </c>
      <c r="B43" s="4" t="n">
        <v>1</v>
      </c>
      <c r="C43" s="10" t="inlineStr">
        <is>
          <t>Lv1 基礎效果</t>
        </is>
      </c>
      <c r="D43" s="11" t="n"/>
      <c r="E43" s="12" t="n"/>
    </row>
    <row r="44">
      <c r="A44" s="3" t="inlineStr">
        <is>
          <t>收容室</t>
        </is>
      </c>
      <c r="B44" s="4" t="n">
        <v>1</v>
      </c>
      <c r="C44" s="10" t="inlineStr">
        <is>
          <t>Lv1 基礎效果</t>
        </is>
      </c>
      <c r="D44" s="11" t="n"/>
      <c r="E44" s="12" t="n"/>
    </row>
    <row r="45">
      <c r="A45" s="3" t="inlineStr">
        <is>
          <t>防禦系統</t>
        </is>
      </c>
      <c r="B45" s="4" t="n">
        <v>1</v>
      </c>
      <c r="C45" s="10" t="inlineStr">
        <is>
          <t>Lv1 基礎效果</t>
        </is>
      </c>
      <c r="D45" s="11" t="n"/>
      <c r="E45" s="12" t="n"/>
    </row>
    <row r="46">
      <c r="A46" s="3" t="inlineStr">
        <is>
          <t>元素室</t>
        </is>
      </c>
      <c r="B46" s="10" t="inlineStr">
        <is>
          <t>未建造</t>
        </is>
      </c>
    </row>
    <row r="47">
      <c r="A47" s="3" t="inlineStr">
        <is>
          <t>學徒宿舍</t>
        </is>
      </c>
      <c r="B47" s="10" t="inlineStr">
        <is>
          <t>未建造</t>
        </is>
      </c>
    </row>
    <row r="48">
      <c r="A48" s="3" t="inlineStr">
        <is>
          <t>窺探池</t>
        </is>
      </c>
      <c r="B48" s="10" t="inlineStr">
        <is>
          <t>未建造</t>
        </is>
      </c>
    </row>
    <row r="49">
      <c r="A49" s="3" t="inlineStr">
        <is>
          <t>塔樓HP</t>
        </is>
      </c>
      <c r="B49" s="7" t="inlineStr">
        <is>
          <t>35</t>
        </is>
      </c>
      <c r="C49" s="8">
        <f>30 + 防禦系統等級×5 (當前Lv1)</f>
        <v/>
      </c>
      <c r="D49" s="11" t="n"/>
      <c r="E49" s="12" t="n"/>
    </row>
    <row r="50"/>
    <row r="51">
      <c r="A51" s="2" t="inlineStr">
        <is>
          <t>起始經濟</t>
        </is>
      </c>
      <c r="B51" s="11" t="n"/>
      <c r="C51" s="11" t="n"/>
      <c r="D51" s="11" t="n"/>
      <c r="E51" s="11" t="n"/>
      <c r="F51" s="11" t="n"/>
      <c r="G51" s="11" t="n"/>
      <c r="H51" s="12" t="n"/>
    </row>
    <row r="52">
      <c r="A52" s="3" t="inlineStr">
        <is>
          <t>起始金幣</t>
        </is>
      </c>
      <c r="B52" s="4" t="n">
        <v>300</v>
      </c>
      <c r="C52" s="3" t="inlineStr">
        <is>
          <t>月度收入(預估)</t>
        </is>
      </c>
      <c r="D52" s="4" t="n">
        <v>50</v>
      </c>
      <c r="E52" s="3" t="inlineStr">
        <is>
          <t>月度支出(預估)</t>
        </is>
      </c>
      <c r="F52" s="4" t="n">
        <v>30</v>
      </c>
      <c r="G52" s="3" t="inlineStr">
        <is>
          <t>淨收入</t>
        </is>
      </c>
      <c r="H52" s="7">
        <f>D40-F40</f>
        <v/>
      </c>
    </row>
    <row r="53"/>
    <row r="54">
      <c r="A54" s="2" t="inlineStr">
        <is>
          <t>研究目標</t>
        </is>
      </c>
      <c r="B54" s="11" t="n"/>
      <c r="C54" s="11" t="n"/>
      <c r="D54" s="11" t="n"/>
      <c r="E54" s="11" t="n"/>
      <c r="F54" s="11" t="n"/>
      <c r="G54" s="11" t="n"/>
      <c r="H54" s="12" t="n"/>
    </row>
    <row r="55">
      <c r="A55" s="3" t="inlineStr">
        <is>
          <t>終極法術構想</t>
        </is>
      </c>
      <c r="B55" s="9" t="inlineStr">
        <is>
          <t>創造能讓整支軍隊腳下的土地變為熔岩的法術</t>
        </is>
      </c>
      <c r="C55" s="11" t="n"/>
      <c r="D55" s="11" t="n"/>
      <c r="E55" s="11" t="n"/>
      <c r="F55" s="11" t="n"/>
      <c r="G55" s="11" t="n"/>
      <c r="H55" s="12" t="n"/>
    </row>
    <row r="56"/>
    <row r="57">
      <c r="A57" s="2" t="inlineStr">
        <is>
          <t>競爭對手</t>
        </is>
      </c>
      <c r="B57" s="11" t="n"/>
      <c r="C57" s="11" t="n"/>
      <c r="D57" s="11" t="n"/>
      <c r="E57" s="11" t="n"/>
      <c r="F57" s="11" t="n"/>
      <c r="G57" s="11" t="n"/>
      <c r="H57" s="12" t="n"/>
    </row>
    <row r="58">
      <c r="A58" s="3" t="inlineStr">
        <is>
          <t>姓名</t>
        </is>
      </c>
      <c r="B58" s="4" t="inlineStr">
        <is>
          <t>馬庫斯·燧發槍</t>
        </is>
      </c>
      <c r="C58" s="3" t="inlineStr">
        <is>
          <t>關係</t>
        </is>
      </c>
      <c r="D58" s="9" t="inlineStr">
        <is>
          <t>學術剽竊——他搶先發表了你的火焰提純方法</t>
        </is>
      </c>
      <c r="E58" s="11" t="n"/>
      <c r="F58" s="11" t="n"/>
      <c r="G58" s="11" t="n"/>
      <c r="H58" s="12" t="n"/>
    </row>
  </sheetData>
  <mergeCells count="45">
    <mergeCell ref="C16:E16"/>
    <mergeCell ref="C6:D6"/>
    <mergeCell ref="C44:E44"/>
    <mergeCell ref="C41:E41"/>
    <mergeCell ref="A51:H51"/>
    <mergeCell ref="C5:D5"/>
    <mergeCell ref="B55:H55"/>
    <mergeCell ref="E5:F5"/>
    <mergeCell ref="A1:H1"/>
    <mergeCell ref="C43:E43"/>
    <mergeCell ref="A6:B6"/>
    <mergeCell ref="C4:D4"/>
    <mergeCell ref="E4:F4"/>
    <mergeCell ref="B26:H26"/>
    <mergeCell ref="A25:H25"/>
    <mergeCell ref="C23:E23"/>
    <mergeCell ref="A54:H54"/>
    <mergeCell ref="C17:E17"/>
    <mergeCell ref="A12:H12"/>
    <mergeCell ref="A3:H3"/>
    <mergeCell ref="E6:F6"/>
    <mergeCell ref="B36:D36"/>
    <mergeCell ref="C13:E13"/>
    <mergeCell ref="C19:E19"/>
    <mergeCell ref="B27:H27"/>
    <mergeCell ref="A57:H57"/>
    <mergeCell ref="A5:B5"/>
    <mergeCell ref="G5:H5"/>
    <mergeCell ref="C18:E18"/>
    <mergeCell ref="C49:E49"/>
    <mergeCell ref="C15:E15"/>
    <mergeCell ref="A8:H8"/>
    <mergeCell ref="D58:H58"/>
    <mergeCell ref="A22:H22"/>
    <mergeCell ref="A4:B4"/>
    <mergeCell ref="G4:H4"/>
    <mergeCell ref="C42:E42"/>
    <mergeCell ref="C14:E14"/>
    <mergeCell ref="A29:H29"/>
    <mergeCell ref="A35:H35"/>
    <mergeCell ref="C45:E45"/>
    <mergeCell ref="B38:H38"/>
    <mergeCell ref="C20:E20"/>
    <mergeCell ref="B37:H37"/>
    <mergeCell ref="A40:H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奧祕溯源 TRPG — 莉娜·風語的角色卡</t>
        </is>
      </c>
      <c r="B1" s="11" t="n"/>
      <c r="C1" s="11" t="n"/>
      <c r="D1" s="11" t="n"/>
      <c r="E1" s="11" t="n"/>
      <c r="F1" s="11" t="n"/>
      <c r="G1" s="11" t="n"/>
      <c r="H1" s="12" t="n"/>
    </row>
    <row r="2"/>
    <row r="3">
      <c r="A3" s="2" t="inlineStr">
        <is>
          <t>基本資訊</t>
        </is>
      </c>
      <c r="B3" s="11" t="n"/>
      <c r="C3" s="11" t="n"/>
      <c r="D3" s="11" t="n"/>
      <c r="E3" s="11" t="n"/>
      <c r="F3" s="11" t="n"/>
      <c r="G3" s="11" t="n"/>
      <c r="H3" s="12" t="n"/>
    </row>
    <row r="4">
      <c r="A4" s="3" t="inlineStr">
        <is>
          <t>法師姓名</t>
        </is>
      </c>
      <c r="B4" s="12" t="n"/>
      <c r="C4" s="4" t="inlineStr">
        <is>
          <t>莉娜·風語</t>
        </is>
      </c>
      <c r="D4" s="12" t="n"/>
      <c r="E4" s="3" t="inlineStr">
        <is>
          <t>塔樓名稱</t>
        </is>
      </c>
      <c r="F4" s="12" t="n"/>
      <c r="G4" s="4" t="inlineStr">
        <is>
          <t>靈感尖塔</t>
        </is>
      </c>
      <c r="H4" s="12" t="n"/>
    </row>
    <row r="5">
      <c r="A5" s="3" t="inlineStr">
        <is>
          <t>出身</t>
        </is>
      </c>
      <c r="B5" s="12" t="n"/>
      <c r="C5" s="4" t="inlineStr">
        <is>
          <t>街頭孤兒</t>
        </is>
      </c>
      <c r="D5" s="12" t="n"/>
      <c r="E5" s="3" t="inlineStr">
        <is>
          <t>研究風格</t>
        </is>
      </c>
      <c r="F5" s="12" t="n"/>
      <c r="G5" s="4" t="inlineStr">
        <is>
          <t>直觀派</t>
        </is>
      </c>
      <c r="H5" s="12" t="n"/>
    </row>
    <row r="6">
      <c r="A6" s="3" t="inlineStr">
        <is>
          <t>塔樓位置</t>
        </is>
      </c>
      <c r="B6" s="12" t="n"/>
      <c r="C6" s="4" t="inlineStr">
        <is>
          <t>荒野</t>
        </is>
      </c>
      <c r="D6" s="12" t="n"/>
      <c r="E6" s="3" t="inlineStr">
        <is>
          <t>塔樓HP</t>
        </is>
      </c>
      <c r="F6" s="12" t="n"/>
      <c r="G6" s="4" t="inlineStr">
        <is>
          <t>30</t>
        </is>
      </c>
      <c r="H6" s="5" t="inlineStr">
        <is>
          <t>/30</t>
        </is>
      </c>
    </row>
    <row r="7"/>
    <row r="8">
      <c r="A8" s="2" t="inlineStr">
        <is>
          <t>五大屬性（25點分配）</t>
        </is>
      </c>
      <c r="B8" s="11" t="n"/>
      <c r="C8" s="11" t="n"/>
      <c r="D8" s="11" t="n"/>
      <c r="E8" s="11" t="n"/>
      <c r="F8" s="11" t="n"/>
      <c r="G8" s="11" t="n"/>
      <c r="H8" s="12" t="n"/>
    </row>
    <row r="9">
      <c r="A9" s="3" t="inlineStr">
        <is>
          <t>屬性名稱 →</t>
        </is>
      </c>
      <c r="B9" s="6" t="inlineStr">
        <is>
          <t>感知</t>
        </is>
      </c>
      <c r="C9" s="6" t="inlineStr">
        <is>
          <t>理論</t>
        </is>
      </c>
      <c r="D9" s="6" t="inlineStr">
        <is>
          <t>技藝</t>
        </is>
      </c>
      <c r="E9" s="6" t="inlineStr">
        <is>
          <t>意志</t>
        </is>
      </c>
      <c r="F9" s="6" t="inlineStr">
        <is>
          <t>博學</t>
        </is>
      </c>
      <c r="G9" s="3" t="inlineStr">
        <is>
          <t>專精加值</t>
        </is>
      </c>
      <c r="H9" s="3" t="inlineStr">
        <is>
          <t>技能專精</t>
        </is>
      </c>
    </row>
    <row r="10">
      <c r="A10" s="3" t="inlineStr">
        <is>
          <t>屬性值 →</t>
        </is>
      </c>
      <c r="B10" s="4" t="n">
        <v>7</v>
      </c>
      <c r="C10" s="4" t="n">
        <v>5</v>
      </c>
      <c r="D10" s="4" t="n">
        <v>4</v>
      </c>
      <c r="E10" s="4" t="n">
        <v>6</v>
      </c>
      <c r="F10" s="4" t="n">
        <v>3</v>
      </c>
      <c r="G10" s="4" t="inlineStr">
        <is>
          <t>+1</t>
        </is>
      </c>
      <c r="H10" s="4" t="inlineStr"/>
    </row>
    <row r="11"/>
    <row r="12">
      <c r="A12" s="2" t="inlineStr">
        <is>
          <t>衍生屬性（自動計算）</t>
        </is>
      </c>
      <c r="B12" s="11" t="n"/>
      <c r="C12" s="11" t="n"/>
      <c r="D12" s="11" t="n"/>
      <c r="E12" s="11" t="n"/>
      <c r="F12" s="11" t="n"/>
      <c r="G12" s="11" t="n"/>
      <c r="H12" s="12" t="n"/>
    </row>
    <row r="13">
      <c r="A13" s="3" t="inlineStr">
        <is>
          <t>靈性池</t>
        </is>
      </c>
      <c r="B13" s="7" t="n">
        <v>23</v>
      </c>
      <c r="C13" s="8" t="inlineStr">
        <is>
          <t>意志×3 + 理論</t>
        </is>
      </c>
      <c r="D13" s="11" t="n"/>
      <c r="E13" s="12" t="n"/>
    </row>
    <row r="14">
      <c r="A14" s="3" t="inlineStr">
        <is>
          <t>安全閾值</t>
        </is>
      </c>
      <c r="B14" s="7" t="n">
        <v>8</v>
      </c>
      <c r="C14" s="8" t="inlineStr">
        <is>
          <t>技藝+意志/2+實驗室Lv1</t>
        </is>
      </c>
      <c r="D14" s="11" t="n"/>
      <c r="E14" s="12" t="n"/>
    </row>
    <row r="15">
      <c r="A15" s="3" t="inlineStr">
        <is>
          <t>研究AP</t>
        </is>
      </c>
      <c r="B15" s="7" t="n">
        <v>4</v>
      </c>
      <c r="C15" s="8" t="inlineStr">
        <is>
          <t>3+(理論≥5時+1),上限5</t>
        </is>
      </c>
      <c r="D15" s="11" t="n"/>
      <c r="E15" s="12" t="n"/>
    </row>
    <row r="16">
      <c r="A16" s="3" t="inlineStr">
        <is>
          <t>碎片容量</t>
        </is>
      </c>
      <c r="B16" s="7" t="n">
        <v>9</v>
      </c>
      <c r="C16" s="8" t="inlineStr">
        <is>
          <t>理論+博學+圖書館Lv1</t>
        </is>
      </c>
      <c r="D16" s="11" t="n"/>
      <c r="E16" s="12" t="n"/>
    </row>
    <row r="17">
      <c r="A17" s="3" t="inlineStr">
        <is>
          <t>生命值(HP)</t>
        </is>
      </c>
      <c r="B17" s="7" t="n">
        <v>21</v>
      </c>
      <c r="C17" s="8" t="inlineStr">
        <is>
          <t>15 + 意志</t>
        </is>
      </c>
      <c r="D17" s="11" t="n"/>
      <c r="E17" s="12" t="n"/>
    </row>
    <row r="18">
      <c r="A18" s="3" t="inlineStr">
        <is>
          <t>法術書容量</t>
        </is>
      </c>
      <c r="B18" s="7" t="n">
        <v>8</v>
      </c>
      <c r="C18" s="8" t="inlineStr">
        <is>
          <t>理論+博學（可記憶法術數）</t>
        </is>
      </c>
      <c r="D18" s="11" t="n"/>
      <c r="E18" s="12" t="n"/>
    </row>
    <row r="19">
      <c r="A19" s="3" t="inlineStr">
        <is>
          <t>腐化值</t>
        </is>
      </c>
      <c r="B19" s="4" t="n">
        <v>0</v>
      </c>
      <c r="C19" s="8" t="inlineStr">
        <is>
          <t>(0-20)</t>
        </is>
      </c>
      <c r="D19" s="11" t="n"/>
      <c r="E19" s="12" t="n"/>
    </row>
    <row r="20">
      <c r="A20" s="3" t="inlineStr">
        <is>
          <t>起始專精點數</t>
        </is>
      </c>
      <c r="B20" s="7" t="n">
        <v>2</v>
      </c>
      <c r="C20" s="8" t="inlineStr">
        <is>
          <t>(可投入任意技能，見玩家規則1.6)</t>
        </is>
      </c>
      <c r="D20" s="11" t="n"/>
      <c r="E20" s="12" t="n"/>
    </row>
    <row r="21"/>
    <row r="22">
      <c r="A22" s="2" t="inlineStr">
        <is>
          <t>聲望</t>
        </is>
      </c>
      <c r="B22" s="11" t="n"/>
      <c r="C22" s="11" t="n"/>
      <c r="D22" s="11" t="n"/>
      <c r="E22" s="11" t="n"/>
      <c r="F22" s="11" t="n"/>
      <c r="G22" s="11" t="n"/>
      <c r="H22" s="12" t="n"/>
    </row>
    <row r="23">
      <c r="A23" s="3" t="inlineStr">
        <is>
          <t>學術聲望</t>
        </is>
      </c>
      <c r="B23" s="4" t="n">
        <v>-5</v>
      </c>
      <c r="C23" s="9" t="inlineStr">
        <is>
          <t>無名學者</t>
        </is>
      </c>
      <c r="D23" s="11" t="n"/>
      <c r="E23" s="12" t="n"/>
      <c r="F23" s="3" t="inlineStr">
        <is>
          <t>實用聲望</t>
        </is>
      </c>
      <c r="G23" s="4" t="n">
        <v>0</v>
      </c>
      <c r="H23" s="10" t="inlineStr">
        <is>
          <t>無人在意</t>
        </is>
      </c>
    </row>
    <row r="24"/>
    <row r="25">
      <c r="A25" s="2" t="inlineStr">
        <is>
          <t>研究風格特性</t>
        </is>
      </c>
      <c r="B25" s="11" t="n"/>
      <c r="C25" s="11" t="n"/>
      <c r="D25" s="11" t="n"/>
      <c r="E25" s="11" t="n"/>
      <c r="F25" s="11" t="n"/>
      <c r="G25" s="11" t="n"/>
      <c r="H25" s="12" t="n"/>
    </row>
    <row r="26">
      <c r="A26" s="3" t="inlineStr">
        <is>
          <t>優勢</t>
        </is>
      </c>
      <c r="B26" s="9" t="inlineStr">
        <is>
          <t>假設零消耗 + 實驗DC–2</t>
        </is>
      </c>
      <c r="C26" s="11" t="n"/>
      <c r="D26" s="11" t="n"/>
      <c r="E26" s="11" t="n"/>
      <c r="F26" s="11" t="n"/>
      <c r="G26" s="11" t="n"/>
      <c r="H26" s="12" t="n"/>
    </row>
    <row r="27">
      <c r="A27" s="3" t="inlineStr">
        <is>
          <t>代價</t>
        </is>
      </c>
      <c r="B27" s="9" t="inlineStr">
        <is>
          <t>事故表d12+8 + 筆記不可復現</t>
        </is>
      </c>
      <c r="C27" s="11" t="n"/>
      <c r="D27" s="11" t="n"/>
      <c r="E27" s="11" t="n"/>
      <c r="F27" s="11" t="n"/>
      <c r="G27" s="11" t="n"/>
      <c r="H27" s="12" t="n"/>
    </row>
    <row r="28"/>
    <row r="29">
      <c r="A29" s="2" t="inlineStr">
        <is>
          <t>起始碎片：風暴(E03) ×2、水流(E02) + 觸碰(F02)</t>
        </is>
      </c>
      <c r="B29" s="11" t="n"/>
      <c r="C29" s="11" t="n"/>
      <c r="D29" s="11" t="n"/>
      <c r="E29" s="11" t="n"/>
      <c r="F29" s="11" t="n"/>
      <c r="G29" s="11" t="n"/>
      <c r="H29" s="12" t="n"/>
    </row>
    <row r="30">
      <c r="A30" s="9" t="inlineStr"/>
      <c r="B30" s="9" t="inlineStr"/>
      <c r="C30" s="9" t="inlineStr"/>
      <c r="D30" s="9" t="inlineStr"/>
      <c r="E30" s="9" t="inlineStr"/>
      <c r="F30" s="9" t="inlineStr"/>
    </row>
    <row r="31">
      <c r="A31" s="9" t="inlineStr"/>
      <c r="B31" s="9" t="inlineStr"/>
      <c r="C31" s="9" t="inlineStr"/>
      <c r="D31" s="9" t="inlineStr"/>
      <c r="E31" s="9" t="inlineStr"/>
      <c r="F31" s="9" t="inlineStr"/>
    </row>
    <row r="32">
      <c r="A32" s="9" t="inlineStr"/>
      <c r="B32" s="9" t="inlineStr"/>
      <c r="C32" s="9" t="inlineStr"/>
      <c r="D32" s="9" t="inlineStr"/>
      <c r="E32" s="9" t="inlineStr"/>
      <c r="F32" s="9" t="inlineStr"/>
    </row>
    <row r="33">
      <c r="A33" s="9" t="inlineStr"/>
      <c r="B33" s="9" t="inlineStr"/>
      <c r="C33" s="9" t="inlineStr"/>
      <c r="D33" s="9" t="inlineStr"/>
      <c r="E33" s="9" t="inlineStr"/>
      <c r="F33" s="9" t="inlineStr"/>
    </row>
    <row r="34"/>
    <row r="35">
      <c r="A35" s="2" t="inlineStr">
        <is>
          <t>起始法術</t>
        </is>
      </c>
      <c r="B35" s="11" t="n"/>
      <c r="C35" s="11" t="n"/>
      <c r="D35" s="11" t="n"/>
      <c r="E35" s="11" t="n"/>
      <c r="F35" s="11" t="n"/>
      <c r="G35" s="11" t="n"/>
      <c r="H35" s="12" t="n"/>
    </row>
    <row r="36">
      <c r="A36" s="3" t="inlineStr">
        <is>
          <t>法術名稱</t>
        </is>
      </c>
      <c r="B36" s="4" t="inlineStr">
        <is>
          <t>風刃之觸</t>
        </is>
      </c>
      <c r="C36" s="11" t="n"/>
      <c r="D36" s="12" t="n"/>
      <c r="E36" s="3" t="inlineStr">
        <is>
          <t>品質</t>
        </is>
      </c>
      <c r="F36" s="4" t="inlineStr">
        <is>
          <t>★</t>
        </is>
      </c>
      <c r="G36" s="3" t="inlineStr">
        <is>
          <t>靈性消耗</t>
        </is>
      </c>
      <c r="H36" s="7" t="n">
        <v>1</v>
      </c>
    </row>
    <row r="37">
      <c r="A37" s="3" t="inlineStr">
        <is>
          <t>碎片公式</t>
        </is>
      </c>
      <c r="B37" s="9" t="inlineStr">
        <is>
          <t>風暴(E03) + 觸碰(F02)</t>
        </is>
      </c>
      <c r="C37" s="11" t="n"/>
      <c r="D37" s="11" t="n"/>
      <c r="E37" s="11" t="n"/>
      <c r="F37" s="11" t="n"/>
      <c r="G37" s="11" t="n"/>
      <c r="H37" s="12" t="n"/>
    </row>
    <row r="38">
      <c r="A38" s="3" t="inlineStr">
        <is>
          <t>效果</t>
        </is>
      </c>
      <c r="B38" s="9" t="inlineStr">
        <is>
          <t>觸及，法術攻擊(優勢)，命中1d6揮砍+推開10尺</t>
        </is>
      </c>
      <c r="C38" s="11" t="n"/>
      <c r="D38" s="11" t="n"/>
      <c r="E38" s="11" t="n"/>
      <c r="F38" s="11" t="n"/>
      <c r="G38" s="11" t="n"/>
      <c r="H38" s="12" t="n"/>
    </row>
    <row r="39"/>
    <row r="40">
      <c r="A40" s="2" t="inlineStr">
        <is>
          <t>塔樓設施（起始Lv1）</t>
        </is>
      </c>
      <c r="B40" s="11" t="n"/>
      <c r="C40" s="11" t="n"/>
      <c r="D40" s="11" t="n"/>
      <c r="E40" s="11" t="n"/>
      <c r="F40" s="11" t="n"/>
      <c r="G40" s="11" t="n"/>
      <c r="H40" s="12" t="n"/>
    </row>
    <row r="41">
      <c r="A41" s="3" t="inlineStr">
        <is>
          <t>實驗室</t>
        </is>
      </c>
      <c r="B41" s="4" t="n">
        <v>1</v>
      </c>
      <c r="C41" s="10" t="inlineStr">
        <is>
          <t>Lv1 基礎效果</t>
        </is>
      </c>
      <c r="D41" s="11" t="n"/>
      <c r="E41" s="12" t="n"/>
    </row>
    <row r="42">
      <c r="A42" s="3" t="inlineStr">
        <is>
          <t>圖書館</t>
        </is>
      </c>
      <c r="B42" s="4" t="n">
        <v>1</v>
      </c>
      <c r="C42" s="10" t="inlineStr">
        <is>
          <t>Lv1 基礎效果</t>
        </is>
      </c>
      <c r="D42" s="11" t="n"/>
      <c r="E42" s="12" t="n"/>
    </row>
    <row r="43">
      <c r="A43" s="3" t="inlineStr">
        <is>
          <t>觀測臺</t>
        </is>
      </c>
      <c r="B43" s="4" t="n">
        <v>1</v>
      </c>
      <c r="C43" s="10" t="inlineStr">
        <is>
          <t>Lv1 基礎效果</t>
        </is>
      </c>
      <c r="D43" s="11" t="n"/>
      <c r="E43" s="12" t="n"/>
    </row>
    <row r="44">
      <c r="A44" s="3" t="inlineStr">
        <is>
          <t>收容室</t>
        </is>
      </c>
      <c r="B44" s="4" t="n">
        <v>1</v>
      </c>
      <c r="C44" s="10" t="inlineStr">
        <is>
          <t>Lv1 基礎效果</t>
        </is>
      </c>
      <c r="D44" s="11" t="n"/>
      <c r="E44" s="12" t="n"/>
    </row>
    <row r="45">
      <c r="A45" s="3" t="inlineStr">
        <is>
          <t>防禦系統</t>
        </is>
      </c>
      <c r="B45" s="4" t="n">
        <v>1</v>
      </c>
      <c r="C45" s="10" t="inlineStr">
        <is>
          <t>Lv1 基礎效果</t>
        </is>
      </c>
      <c r="D45" s="11" t="n"/>
      <c r="E45" s="12" t="n"/>
    </row>
    <row r="46">
      <c r="A46" s="3" t="inlineStr">
        <is>
          <t>元素室</t>
        </is>
      </c>
      <c r="B46" s="10" t="inlineStr">
        <is>
          <t>未建造</t>
        </is>
      </c>
    </row>
    <row r="47">
      <c r="A47" s="3" t="inlineStr">
        <is>
          <t>學徒宿舍</t>
        </is>
      </c>
      <c r="B47" s="10" t="inlineStr">
        <is>
          <t>未建造</t>
        </is>
      </c>
    </row>
    <row r="48">
      <c r="A48" s="3" t="inlineStr">
        <is>
          <t>窺探池</t>
        </is>
      </c>
      <c r="B48" s="10" t="inlineStr">
        <is>
          <t>未建造</t>
        </is>
      </c>
    </row>
    <row r="49">
      <c r="A49" s="3" t="inlineStr">
        <is>
          <t>塔樓HP</t>
        </is>
      </c>
      <c r="B49" s="7" t="inlineStr">
        <is>
          <t>35</t>
        </is>
      </c>
      <c r="C49" s="8">
        <f>30 + 防禦系統等級×5 (當前Lv1)</f>
        <v/>
      </c>
      <c r="D49" s="11" t="n"/>
      <c r="E49" s="12" t="n"/>
    </row>
    <row r="50"/>
    <row r="51">
      <c r="A51" s="2" t="inlineStr">
        <is>
          <t>起始經濟</t>
        </is>
      </c>
      <c r="B51" s="11" t="n"/>
      <c r="C51" s="11" t="n"/>
      <c r="D51" s="11" t="n"/>
      <c r="E51" s="11" t="n"/>
      <c r="F51" s="11" t="n"/>
      <c r="G51" s="11" t="n"/>
      <c r="H51" s="12" t="n"/>
    </row>
    <row r="52">
      <c r="A52" s="3" t="inlineStr">
        <is>
          <t>起始金幣</t>
        </is>
      </c>
      <c r="B52" s="4" t="n">
        <v>150</v>
      </c>
      <c r="C52" s="3" t="inlineStr">
        <is>
          <t>月度收入(預估)</t>
        </is>
      </c>
      <c r="D52" s="4" t="n">
        <v>50</v>
      </c>
      <c r="E52" s="3" t="inlineStr">
        <is>
          <t>月度支出(預估)</t>
        </is>
      </c>
      <c r="F52" s="4" t="n">
        <v>30</v>
      </c>
      <c r="G52" s="3" t="inlineStr">
        <is>
          <t>淨收入</t>
        </is>
      </c>
      <c r="H52" s="7">
        <f>D40-F40</f>
        <v/>
      </c>
    </row>
    <row r="53"/>
    <row r="54">
      <c r="A54" s="2" t="inlineStr">
        <is>
          <t>研究目標</t>
        </is>
      </c>
      <c r="B54" s="11" t="n"/>
      <c r="C54" s="11" t="n"/>
      <c r="D54" s="11" t="n"/>
      <c r="E54" s="11" t="n"/>
      <c r="F54" s="11" t="n"/>
      <c r="G54" s="11" t="n"/>
      <c r="H54" s="12" t="n"/>
    </row>
    <row r="55">
      <c r="A55" s="3" t="inlineStr">
        <is>
          <t>終極法術構想</t>
        </is>
      </c>
      <c r="B55" s="9" t="inlineStr">
        <is>
          <t>創造能與風暴對話的法術——理解天氣的本質</t>
        </is>
      </c>
      <c r="C55" s="11" t="n"/>
      <c r="D55" s="11" t="n"/>
      <c r="E55" s="11" t="n"/>
      <c r="F55" s="11" t="n"/>
      <c r="G55" s="11" t="n"/>
      <c r="H55" s="12" t="n"/>
    </row>
    <row r="56"/>
    <row r="57">
      <c r="A57" s="2" t="inlineStr">
        <is>
          <t>競爭對手</t>
        </is>
      </c>
      <c r="B57" s="11" t="n"/>
      <c r="C57" s="11" t="n"/>
      <c r="D57" s="11" t="n"/>
      <c r="E57" s="11" t="n"/>
      <c r="F57" s="11" t="n"/>
      <c r="G57" s="11" t="n"/>
      <c r="H57" s="12" t="n"/>
    </row>
    <row r="58">
      <c r="A58" s="3" t="inlineStr">
        <is>
          <t>姓名</t>
        </is>
      </c>
      <c r="B58" s="4" t="inlineStr">
        <is>
          <t>維克託·佩吉</t>
        </is>
      </c>
      <c r="C58" s="3" t="inlineStr">
        <is>
          <t>關係</t>
        </is>
      </c>
      <c r="D58" s="9" t="inlineStr">
        <is>
          <t>爭奪資源——你們在追蹤同一個元素風暴</t>
        </is>
      </c>
      <c r="E58" s="11" t="n"/>
      <c r="F58" s="11" t="n"/>
      <c r="G58" s="11" t="n"/>
      <c r="H58" s="12" t="n"/>
    </row>
  </sheetData>
  <mergeCells count="45">
    <mergeCell ref="C16:E16"/>
    <mergeCell ref="C6:D6"/>
    <mergeCell ref="C44:E44"/>
    <mergeCell ref="C41:E41"/>
    <mergeCell ref="A51:H51"/>
    <mergeCell ref="C5:D5"/>
    <mergeCell ref="B55:H55"/>
    <mergeCell ref="E5:F5"/>
    <mergeCell ref="A1:H1"/>
    <mergeCell ref="C43:E43"/>
    <mergeCell ref="A6:B6"/>
    <mergeCell ref="C4:D4"/>
    <mergeCell ref="E4:F4"/>
    <mergeCell ref="B26:H26"/>
    <mergeCell ref="A25:H25"/>
    <mergeCell ref="C23:E23"/>
    <mergeCell ref="A54:H54"/>
    <mergeCell ref="C17:E17"/>
    <mergeCell ref="A12:H12"/>
    <mergeCell ref="A3:H3"/>
    <mergeCell ref="E6:F6"/>
    <mergeCell ref="B36:D36"/>
    <mergeCell ref="C13:E13"/>
    <mergeCell ref="C19:E19"/>
    <mergeCell ref="B27:H27"/>
    <mergeCell ref="A57:H57"/>
    <mergeCell ref="A5:B5"/>
    <mergeCell ref="G5:H5"/>
    <mergeCell ref="C18:E18"/>
    <mergeCell ref="C49:E49"/>
    <mergeCell ref="C15:E15"/>
    <mergeCell ref="A8:H8"/>
    <mergeCell ref="D58:H58"/>
    <mergeCell ref="A22:H22"/>
    <mergeCell ref="A4:B4"/>
    <mergeCell ref="G4:H4"/>
    <mergeCell ref="C42:E42"/>
    <mergeCell ref="C14:E14"/>
    <mergeCell ref="A29:H29"/>
    <mergeCell ref="A35:H35"/>
    <mergeCell ref="C45:E45"/>
    <mergeCell ref="B38:H38"/>
    <mergeCell ref="C20:E20"/>
    <mergeCell ref="B37:H37"/>
    <mergeCell ref="A40:H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奧祕溯源 TRPG — 賽巴斯汀·古卷的角色卡</t>
        </is>
      </c>
      <c r="B1" s="11" t="n"/>
      <c r="C1" s="11" t="n"/>
      <c r="D1" s="11" t="n"/>
      <c r="E1" s="11" t="n"/>
      <c r="F1" s="11" t="n"/>
      <c r="G1" s="11" t="n"/>
      <c r="H1" s="12" t="n"/>
    </row>
    <row r="2"/>
    <row r="3">
      <c r="A3" s="2" t="inlineStr">
        <is>
          <t>基本資訊</t>
        </is>
      </c>
      <c r="B3" s="11" t="n"/>
      <c r="C3" s="11" t="n"/>
      <c r="D3" s="11" t="n"/>
      <c r="E3" s="11" t="n"/>
      <c r="F3" s="11" t="n"/>
      <c r="G3" s="11" t="n"/>
      <c r="H3" s="12" t="n"/>
    </row>
    <row r="4">
      <c r="A4" s="3" t="inlineStr">
        <is>
          <t>法師姓名</t>
        </is>
      </c>
      <c r="B4" s="12" t="n"/>
      <c r="C4" s="4" t="inlineStr">
        <is>
          <t>賽巴斯汀·古卷</t>
        </is>
      </c>
      <c r="D4" s="12" t="n"/>
      <c r="E4" s="3" t="inlineStr">
        <is>
          <t>塔樓名稱</t>
        </is>
      </c>
      <c r="F4" s="12" t="n"/>
      <c r="G4" s="4" t="inlineStr">
        <is>
          <t>萬卷閣</t>
        </is>
      </c>
      <c r="H4" s="12" t="n"/>
    </row>
    <row r="5">
      <c r="A5" s="3" t="inlineStr">
        <is>
          <t>出身</t>
        </is>
      </c>
      <c r="B5" s="12" t="n"/>
      <c r="C5" s="4" t="inlineStr">
        <is>
          <t>魔法世家</t>
        </is>
      </c>
      <c r="D5" s="12" t="n"/>
      <c r="E5" s="3" t="inlineStr">
        <is>
          <t>研究風格</t>
        </is>
      </c>
      <c r="F5" s="12" t="n"/>
      <c r="G5" s="4" t="inlineStr">
        <is>
          <t>文獻派</t>
        </is>
      </c>
      <c r="H5" s="12" t="n"/>
    </row>
    <row r="6">
      <c r="A6" s="3" t="inlineStr">
        <is>
          <t>塔樓位置</t>
        </is>
      </c>
      <c r="B6" s="12" t="n"/>
      <c r="C6" s="4" t="inlineStr">
        <is>
          <t>城市</t>
        </is>
      </c>
      <c r="D6" s="12" t="n"/>
      <c r="E6" s="3" t="inlineStr">
        <is>
          <t>塔樓HP</t>
        </is>
      </c>
      <c r="F6" s="12" t="n"/>
      <c r="G6" s="4" t="inlineStr">
        <is>
          <t>30</t>
        </is>
      </c>
      <c r="H6" s="5" t="inlineStr">
        <is>
          <t>/30</t>
        </is>
      </c>
    </row>
    <row r="7"/>
    <row r="8">
      <c r="A8" s="2" t="inlineStr">
        <is>
          <t>五大屬性（25點分配）</t>
        </is>
      </c>
      <c r="B8" s="11" t="n"/>
      <c r="C8" s="11" t="n"/>
      <c r="D8" s="11" t="n"/>
      <c r="E8" s="11" t="n"/>
      <c r="F8" s="11" t="n"/>
      <c r="G8" s="11" t="n"/>
      <c r="H8" s="12" t="n"/>
    </row>
    <row r="9">
      <c r="A9" s="3" t="inlineStr">
        <is>
          <t>屬性名稱 →</t>
        </is>
      </c>
      <c r="B9" s="6" t="inlineStr">
        <is>
          <t>感知</t>
        </is>
      </c>
      <c r="C9" s="6" t="inlineStr">
        <is>
          <t>理論</t>
        </is>
      </c>
      <c r="D9" s="6" t="inlineStr">
        <is>
          <t>技藝</t>
        </is>
      </c>
      <c r="E9" s="6" t="inlineStr">
        <is>
          <t>意志</t>
        </is>
      </c>
      <c r="F9" s="6" t="inlineStr">
        <is>
          <t>博學</t>
        </is>
      </c>
      <c r="G9" s="3" t="inlineStr">
        <is>
          <t>專精加值</t>
        </is>
      </c>
      <c r="H9" s="3" t="inlineStr">
        <is>
          <t>技能專精</t>
        </is>
      </c>
    </row>
    <row r="10">
      <c r="A10" s="3" t="inlineStr">
        <is>
          <t>屬性值 →</t>
        </is>
      </c>
      <c r="B10" s="4" t="n">
        <v>4</v>
      </c>
      <c r="C10" s="4" t="n">
        <v>6</v>
      </c>
      <c r="D10" s="4" t="n">
        <v>3</v>
      </c>
      <c r="E10" s="4" t="n">
        <v>5</v>
      </c>
      <c r="F10" s="4" t="n">
        <v>7</v>
      </c>
      <c r="G10" s="4" t="inlineStr">
        <is>
          <t>+1</t>
        </is>
      </c>
      <c r="H10" s="4" t="inlineStr"/>
    </row>
    <row r="11"/>
    <row r="12">
      <c r="A12" s="2" t="inlineStr">
        <is>
          <t>衍生屬性（自動計算）</t>
        </is>
      </c>
      <c r="B12" s="11" t="n"/>
      <c r="C12" s="11" t="n"/>
      <c r="D12" s="11" t="n"/>
      <c r="E12" s="11" t="n"/>
      <c r="F12" s="11" t="n"/>
      <c r="G12" s="11" t="n"/>
      <c r="H12" s="12" t="n"/>
    </row>
    <row r="13">
      <c r="A13" s="3" t="inlineStr">
        <is>
          <t>靈性池</t>
        </is>
      </c>
      <c r="B13" s="7" t="n">
        <v>21</v>
      </c>
      <c r="C13" s="8" t="inlineStr">
        <is>
          <t>意志×3 + 理論</t>
        </is>
      </c>
      <c r="D13" s="11" t="n"/>
      <c r="E13" s="12" t="n"/>
    </row>
    <row r="14">
      <c r="A14" s="3" t="inlineStr">
        <is>
          <t>安全閾值</t>
        </is>
      </c>
      <c r="B14" s="7" t="n">
        <v>6</v>
      </c>
      <c r="C14" s="8" t="inlineStr">
        <is>
          <t>技藝+意志/2+實驗室Lv1</t>
        </is>
      </c>
      <c r="D14" s="11" t="n"/>
      <c r="E14" s="12" t="n"/>
    </row>
    <row r="15">
      <c r="A15" s="3" t="inlineStr">
        <is>
          <t>研究AP</t>
        </is>
      </c>
      <c r="B15" s="7" t="n">
        <v>4</v>
      </c>
      <c r="C15" s="8" t="inlineStr">
        <is>
          <t>3+(理論≥5時+1),上限5</t>
        </is>
      </c>
      <c r="D15" s="11" t="n"/>
      <c r="E15" s="12" t="n"/>
    </row>
    <row r="16">
      <c r="A16" s="3" t="inlineStr">
        <is>
          <t>碎片容量</t>
        </is>
      </c>
      <c r="B16" s="7" t="n">
        <v>14</v>
      </c>
      <c r="C16" s="8" t="inlineStr">
        <is>
          <t>理論+博學+圖書館Lv1</t>
        </is>
      </c>
      <c r="D16" s="11" t="n"/>
      <c r="E16" s="12" t="n"/>
    </row>
    <row r="17">
      <c r="A17" s="3" t="inlineStr">
        <is>
          <t>生命值(HP)</t>
        </is>
      </c>
      <c r="B17" s="7" t="n">
        <v>20</v>
      </c>
      <c r="C17" s="8" t="inlineStr">
        <is>
          <t>15 + 意志</t>
        </is>
      </c>
      <c r="D17" s="11" t="n"/>
      <c r="E17" s="12" t="n"/>
    </row>
    <row r="18">
      <c r="A18" s="3" t="inlineStr">
        <is>
          <t>法術書容量</t>
        </is>
      </c>
      <c r="B18" s="7" t="n">
        <v>13</v>
      </c>
      <c r="C18" s="8" t="inlineStr">
        <is>
          <t>理論+博學（可記憶法術數）</t>
        </is>
      </c>
      <c r="D18" s="11" t="n"/>
      <c r="E18" s="12" t="n"/>
    </row>
    <row r="19">
      <c r="A19" s="3" t="inlineStr">
        <is>
          <t>腐化值</t>
        </is>
      </c>
      <c r="B19" s="4" t="n">
        <v>0</v>
      </c>
      <c r="C19" s="8" t="inlineStr">
        <is>
          <t>(0-20)</t>
        </is>
      </c>
      <c r="D19" s="11" t="n"/>
      <c r="E19" s="12" t="n"/>
    </row>
    <row r="20">
      <c r="A20" s="3" t="inlineStr">
        <is>
          <t>起始專精點數</t>
        </is>
      </c>
      <c r="B20" s="7" t="n">
        <v>2</v>
      </c>
      <c r="C20" s="8" t="inlineStr">
        <is>
          <t>(可投入任意技能，見玩家規則1.6)</t>
        </is>
      </c>
      <c r="D20" s="11" t="n"/>
      <c r="E20" s="12" t="n"/>
    </row>
    <row r="21"/>
    <row r="22">
      <c r="A22" s="2" t="inlineStr">
        <is>
          <t>聲望</t>
        </is>
      </c>
      <c r="B22" s="11" t="n"/>
      <c r="C22" s="11" t="n"/>
      <c r="D22" s="11" t="n"/>
      <c r="E22" s="11" t="n"/>
      <c r="F22" s="11" t="n"/>
      <c r="G22" s="11" t="n"/>
      <c r="H22" s="12" t="n"/>
    </row>
    <row r="23">
      <c r="A23" s="3" t="inlineStr">
        <is>
          <t>學術聲望</t>
        </is>
      </c>
      <c r="B23" s="4" t="n">
        <v>10</v>
      </c>
      <c r="C23" s="9" t="inlineStr">
        <is>
          <t>被引用者</t>
        </is>
      </c>
      <c r="D23" s="11" t="n"/>
      <c r="E23" s="12" t="n"/>
      <c r="F23" s="3" t="inlineStr">
        <is>
          <t>實用聲望</t>
        </is>
      </c>
      <c r="G23" s="4" t="n">
        <v>0</v>
      </c>
      <c r="H23" s="10" t="inlineStr">
        <is>
          <t>無人在意</t>
        </is>
      </c>
    </row>
    <row r="24"/>
    <row r="25">
      <c r="A25" s="2" t="inlineStr">
        <is>
          <t>研究風格特性</t>
        </is>
      </c>
      <c r="B25" s="11" t="n"/>
      <c r="C25" s="11" t="n"/>
      <c r="D25" s="11" t="n"/>
      <c r="E25" s="11" t="n"/>
      <c r="F25" s="11" t="n"/>
      <c r="G25" s="11" t="n"/>
      <c r="H25" s="12" t="n"/>
    </row>
    <row r="26">
      <c r="A26" s="3" t="inlineStr">
        <is>
          <t>優勢</t>
        </is>
      </c>
      <c r="B26" s="9" t="inlineStr">
        <is>
          <t>圖書館罕見起跳 + 理論優勢 + 零事故</t>
        </is>
      </c>
      <c r="C26" s="11" t="n"/>
      <c r="D26" s="11" t="n"/>
      <c r="E26" s="11" t="n"/>
      <c r="F26" s="11" t="n"/>
      <c r="G26" s="11" t="n"/>
      <c r="H26" s="12" t="n"/>
    </row>
    <row r="27">
      <c r="A27" s="3" t="inlineStr">
        <is>
          <t>代價</t>
        </is>
      </c>
      <c r="B27" s="9" t="inlineStr">
        <is>
          <t>30%隱藏錯誤 + 實驗技藝劣勢</t>
        </is>
      </c>
      <c r="C27" s="11" t="n"/>
      <c r="D27" s="11" t="n"/>
      <c r="E27" s="11" t="n"/>
      <c r="F27" s="11" t="n"/>
      <c r="G27" s="11" t="n"/>
      <c r="H27" s="12" t="n"/>
    </row>
    <row r="28"/>
    <row r="29">
      <c r="A29" s="2" t="inlineStr">
        <is>
          <t>起始碎片：水流(E02)、大地(E04) ×2 + 範圍(F03) / 家族碎片×2</t>
        </is>
      </c>
      <c r="B29" s="11" t="n"/>
      <c r="C29" s="11" t="n"/>
      <c r="D29" s="11" t="n"/>
      <c r="E29" s="11" t="n"/>
      <c r="F29" s="11" t="n"/>
      <c r="G29" s="11" t="n"/>
      <c r="H29" s="12" t="n"/>
    </row>
    <row r="30">
      <c r="A30" s="9" t="inlineStr"/>
      <c r="B30" s="9" t="inlineStr"/>
      <c r="C30" s="9" t="inlineStr"/>
      <c r="D30" s="9" t="inlineStr"/>
      <c r="E30" s="9" t="inlineStr"/>
      <c r="F30" s="9" t="inlineStr"/>
    </row>
    <row r="31">
      <c r="A31" s="9" t="inlineStr"/>
      <c r="B31" s="9" t="inlineStr"/>
      <c r="C31" s="9" t="inlineStr"/>
      <c r="D31" s="9" t="inlineStr"/>
      <c r="E31" s="9" t="inlineStr"/>
      <c r="F31" s="9" t="inlineStr"/>
    </row>
    <row r="32">
      <c r="A32" s="9" t="inlineStr"/>
      <c r="B32" s="9" t="inlineStr"/>
      <c r="C32" s="9" t="inlineStr"/>
      <c r="D32" s="9" t="inlineStr"/>
      <c r="E32" s="9" t="inlineStr"/>
      <c r="F32" s="9" t="inlineStr"/>
    </row>
    <row r="33">
      <c r="A33" s="9" t="inlineStr"/>
      <c r="B33" s="9" t="inlineStr"/>
      <c r="C33" s="9" t="inlineStr"/>
      <c r="D33" s="9" t="inlineStr"/>
      <c r="E33" s="9" t="inlineStr"/>
      <c r="F33" s="9" t="inlineStr"/>
    </row>
    <row r="34"/>
    <row r="35">
      <c r="A35" s="2" t="inlineStr">
        <is>
          <t>起始法術</t>
        </is>
      </c>
      <c r="B35" s="11" t="n"/>
      <c r="C35" s="11" t="n"/>
      <c r="D35" s="11" t="n"/>
      <c r="E35" s="11" t="n"/>
      <c r="F35" s="11" t="n"/>
      <c r="G35" s="11" t="n"/>
      <c r="H35" s="12" t="n"/>
    </row>
    <row r="36">
      <c r="A36" s="3" t="inlineStr">
        <is>
          <t>法術名稱</t>
        </is>
      </c>
      <c r="B36" s="4" t="inlineStr">
        <is>
          <t>泥沼術</t>
        </is>
      </c>
      <c r="C36" s="11" t="n"/>
      <c r="D36" s="12" t="n"/>
      <c r="E36" s="3" t="inlineStr">
        <is>
          <t>品質</t>
        </is>
      </c>
      <c r="F36" s="4" t="inlineStr">
        <is>
          <t>★</t>
        </is>
      </c>
      <c r="G36" s="3" t="inlineStr">
        <is>
          <t>靈性消耗</t>
        </is>
      </c>
      <c r="H36" s="7" t="n">
        <v>1</v>
      </c>
    </row>
    <row r="37">
      <c r="A37" s="3" t="inlineStr">
        <is>
          <t>碎片公式</t>
        </is>
      </c>
      <c r="B37" s="9" t="inlineStr">
        <is>
          <t>水流(E02) + 大地(E04) + 範圍(F03)</t>
        </is>
      </c>
      <c r="C37" s="11" t="n"/>
      <c r="D37" s="11" t="n"/>
      <c r="E37" s="11" t="n"/>
      <c r="F37" s="11" t="n"/>
      <c r="G37" s="11" t="n"/>
      <c r="H37" s="12" t="n"/>
    </row>
    <row r="38">
      <c r="A38" s="3" t="inlineStr">
        <is>
          <t>效果</t>
        </is>
      </c>
      <c r="B38" s="9" t="inlineStr">
        <is>
          <t>射程60尺，15尺半徑，敏捷豁免，失敗1d6鈍擊+區域變為困難地形1分鐘</t>
        </is>
      </c>
      <c r="C38" s="11" t="n"/>
      <c r="D38" s="11" t="n"/>
      <c r="E38" s="11" t="n"/>
      <c r="F38" s="11" t="n"/>
      <c r="G38" s="11" t="n"/>
      <c r="H38" s="12" t="n"/>
    </row>
    <row r="39"/>
    <row r="40">
      <c r="A40" s="2" t="inlineStr">
        <is>
          <t>塔樓設施（起始Lv1）</t>
        </is>
      </c>
      <c r="B40" s="11" t="n"/>
      <c r="C40" s="11" t="n"/>
      <c r="D40" s="11" t="n"/>
      <c r="E40" s="11" t="n"/>
      <c r="F40" s="11" t="n"/>
      <c r="G40" s="11" t="n"/>
      <c r="H40" s="12" t="n"/>
    </row>
    <row r="41">
      <c r="A41" s="3" t="inlineStr">
        <is>
          <t>實驗室</t>
        </is>
      </c>
      <c r="B41" s="4" t="n">
        <v>1</v>
      </c>
      <c r="C41" s="10" t="inlineStr">
        <is>
          <t>Lv1 基礎效果</t>
        </is>
      </c>
      <c r="D41" s="11" t="n"/>
      <c r="E41" s="12" t="n"/>
    </row>
    <row r="42">
      <c r="A42" s="3" t="inlineStr">
        <is>
          <t>圖書館</t>
        </is>
      </c>
      <c r="B42" s="4" t="n">
        <v>1</v>
      </c>
      <c r="C42" s="10" t="inlineStr">
        <is>
          <t>Lv1 基礎效果</t>
        </is>
      </c>
      <c r="D42" s="11" t="n"/>
      <c r="E42" s="12" t="n"/>
    </row>
    <row r="43">
      <c r="A43" s="3" t="inlineStr">
        <is>
          <t>觀測臺</t>
        </is>
      </c>
      <c r="B43" s="4" t="n">
        <v>1</v>
      </c>
      <c r="C43" s="10" t="inlineStr">
        <is>
          <t>Lv1 基礎效果</t>
        </is>
      </c>
      <c r="D43" s="11" t="n"/>
      <c r="E43" s="12" t="n"/>
    </row>
    <row r="44">
      <c r="A44" s="3" t="inlineStr">
        <is>
          <t>收容室</t>
        </is>
      </c>
      <c r="B44" s="4" t="n">
        <v>1</v>
      </c>
      <c r="C44" s="10" t="inlineStr">
        <is>
          <t>Lv1 基礎效果</t>
        </is>
      </c>
      <c r="D44" s="11" t="n"/>
      <c r="E44" s="12" t="n"/>
    </row>
    <row r="45">
      <c r="A45" s="3" t="inlineStr">
        <is>
          <t>防禦系統</t>
        </is>
      </c>
      <c r="B45" s="4" t="n">
        <v>1</v>
      </c>
      <c r="C45" s="10" t="inlineStr">
        <is>
          <t>Lv1 基礎效果</t>
        </is>
      </c>
      <c r="D45" s="11" t="n"/>
      <c r="E45" s="12" t="n"/>
    </row>
    <row r="46">
      <c r="A46" s="3" t="inlineStr">
        <is>
          <t>元素室</t>
        </is>
      </c>
      <c r="B46" s="10" t="inlineStr">
        <is>
          <t>未建造</t>
        </is>
      </c>
    </row>
    <row r="47">
      <c r="A47" s="3" t="inlineStr">
        <is>
          <t>學徒宿舍</t>
        </is>
      </c>
      <c r="B47" s="10" t="inlineStr">
        <is>
          <t>未建造</t>
        </is>
      </c>
    </row>
    <row r="48">
      <c r="A48" s="3" t="inlineStr">
        <is>
          <t>窺探池</t>
        </is>
      </c>
      <c r="B48" s="10" t="inlineStr">
        <is>
          <t>未建造</t>
        </is>
      </c>
    </row>
    <row r="49">
      <c r="A49" s="3" t="inlineStr">
        <is>
          <t>塔樓HP</t>
        </is>
      </c>
      <c r="B49" s="7" t="inlineStr">
        <is>
          <t>35</t>
        </is>
      </c>
      <c r="C49" s="8">
        <f>30 + 防禦系統等級×5 (當前Lv1)</f>
        <v/>
      </c>
      <c r="D49" s="11" t="n"/>
      <c r="E49" s="12" t="n"/>
    </row>
    <row r="50"/>
    <row r="51">
      <c r="A51" s="2" t="inlineStr">
        <is>
          <t>起始經濟</t>
        </is>
      </c>
      <c r="B51" s="11" t="n"/>
      <c r="C51" s="11" t="n"/>
      <c r="D51" s="11" t="n"/>
      <c r="E51" s="11" t="n"/>
      <c r="F51" s="11" t="n"/>
      <c r="G51" s="11" t="n"/>
      <c r="H51" s="12" t="n"/>
    </row>
    <row r="52">
      <c r="A52" s="3" t="inlineStr">
        <is>
          <t>起始金幣</t>
        </is>
      </c>
      <c r="B52" s="4" t="n">
        <v>150</v>
      </c>
      <c r="C52" s="3" t="inlineStr">
        <is>
          <t>月度收入(預估)</t>
        </is>
      </c>
      <c r="D52" s="4" t="n">
        <v>50</v>
      </c>
      <c r="E52" s="3" t="inlineStr">
        <is>
          <t>月度支出(預估)</t>
        </is>
      </c>
      <c r="F52" s="4" t="n">
        <v>30</v>
      </c>
      <c r="G52" s="3" t="inlineStr">
        <is>
          <t>淨收入</t>
        </is>
      </c>
      <c r="H52" s="7">
        <f>D40-F40</f>
        <v/>
      </c>
    </row>
    <row r="53"/>
    <row r="54">
      <c r="A54" s="2" t="inlineStr">
        <is>
          <t>研究目標</t>
        </is>
      </c>
      <c r="B54" s="11" t="n"/>
      <c r="C54" s="11" t="n"/>
      <c r="D54" s="11" t="n"/>
      <c r="E54" s="11" t="n"/>
      <c r="F54" s="11" t="n"/>
      <c r="G54" s="11" t="n"/>
      <c r="H54" s="12" t="n"/>
    </row>
    <row r="55">
      <c r="A55" s="3" t="inlineStr">
        <is>
          <t>終極法術構想</t>
        </is>
      </c>
      <c r="B55" s="9" t="inlineStr">
        <is>
          <t>找到《第一法典》的原稿——據說其中隱藏了編纂者從未公開的碎片理論</t>
        </is>
      </c>
      <c r="C55" s="11" t="n"/>
      <c r="D55" s="11" t="n"/>
      <c r="E55" s="11" t="n"/>
      <c r="F55" s="11" t="n"/>
      <c r="G55" s="11" t="n"/>
      <c r="H55" s="12" t="n"/>
    </row>
    <row r="56"/>
    <row r="57">
      <c r="A57" s="2" t="inlineStr">
        <is>
          <t>競爭對手</t>
        </is>
      </c>
      <c r="B57" s="11" t="n"/>
      <c r="C57" s="11" t="n"/>
      <c r="D57" s="11" t="n"/>
      <c r="E57" s="11" t="n"/>
      <c r="F57" s="11" t="n"/>
      <c r="G57" s="11" t="n"/>
      <c r="H57" s="12" t="n"/>
    </row>
    <row r="58">
      <c r="A58" s="3" t="inlineStr">
        <is>
          <t>姓名</t>
        </is>
      </c>
      <c r="B58" s="4" t="inlineStr">
        <is>
          <t>阿爾伯特·奧雷利安（遠親）</t>
        </is>
      </c>
      <c r="C58" s="3" t="inlineStr">
        <is>
          <t>關係</t>
        </is>
      </c>
      <c r="D58" s="9" t="inlineStr">
        <is>
          <t>方法論對立——他認為你的文獻派方法只是『逃避實驗的藉口』</t>
        </is>
      </c>
      <c r="E58" s="11" t="n"/>
      <c r="F58" s="11" t="n"/>
      <c r="G58" s="11" t="n"/>
      <c r="H58" s="12" t="n"/>
    </row>
  </sheetData>
  <mergeCells count="45">
    <mergeCell ref="C16:E16"/>
    <mergeCell ref="C6:D6"/>
    <mergeCell ref="C44:E44"/>
    <mergeCell ref="C41:E41"/>
    <mergeCell ref="A51:H51"/>
    <mergeCell ref="C5:D5"/>
    <mergeCell ref="B55:H55"/>
    <mergeCell ref="E5:F5"/>
    <mergeCell ref="A1:H1"/>
    <mergeCell ref="C43:E43"/>
    <mergeCell ref="A6:B6"/>
    <mergeCell ref="C4:D4"/>
    <mergeCell ref="E4:F4"/>
    <mergeCell ref="B26:H26"/>
    <mergeCell ref="A25:H25"/>
    <mergeCell ref="C23:E23"/>
    <mergeCell ref="A54:H54"/>
    <mergeCell ref="C17:E17"/>
    <mergeCell ref="A12:H12"/>
    <mergeCell ref="A3:H3"/>
    <mergeCell ref="E6:F6"/>
    <mergeCell ref="B36:D36"/>
    <mergeCell ref="C13:E13"/>
    <mergeCell ref="C19:E19"/>
    <mergeCell ref="B27:H27"/>
    <mergeCell ref="A57:H57"/>
    <mergeCell ref="A5:B5"/>
    <mergeCell ref="G5:H5"/>
    <mergeCell ref="C18:E18"/>
    <mergeCell ref="C49:E49"/>
    <mergeCell ref="C15:E15"/>
    <mergeCell ref="A8:H8"/>
    <mergeCell ref="D58:H58"/>
    <mergeCell ref="A22:H22"/>
    <mergeCell ref="A4:B4"/>
    <mergeCell ref="G4:H4"/>
    <mergeCell ref="C42:E42"/>
    <mergeCell ref="C14:E14"/>
    <mergeCell ref="A29:H29"/>
    <mergeCell ref="A35:H35"/>
    <mergeCell ref="C45:E45"/>
    <mergeCell ref="B38:H38"/>
    <mergeCell ref="C20:E20"/>
    <mergeCell ref="B37:H37"/>
    <mergeCell ref="A40:H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奧祕溯源 TRPG — 『灰燼』（真名已棄）的角色卡</t>
        </is>
      </c>
      <c r="B1" s="11" t="n"/>
      <c r="C1" s="11" t="n"/>
      <c r="D1" s="11" t="n"/>
      <c r="E1" s="11" t="n"/>
      <c r="F1" s="11" t="n"/>
      <c r="G1" s="11" t="n"/>
      <c r="H1" s="12" t="n"/>
    </row>
    <row r="2"/>
    <row r="3">
      <c r="A3" s="2" t="inlineStr">
        <is>
          <t>基本資訊</t>
        </is>
      </c>
      <c r="B3" s="11" t="n"/>
      <c r="C3" s="11" t="n"/>
      <c r="D3" s="11" t="n"/>
      <c r="E3" s="11" t="n"/>
      <c r="F3" s="11" t="n"/>
      <c r="G3" s="11" t="n"/>
      <c r="H3" s="12" t="n"/>
    </row>
    <row r="4">
      <c r="A4" s="3" t="inlineStr">
        <is>
          <t>法師姓名</t>
        </is>
      </c>
      <c r="B4" s="12" t="n"/>
      <c r="C4" s="4" t="inlineStr">
        <is>
          <t>『灰燼』（真名已棄）</t>
        </is>
      </c>
      <c r="D4" s="12" t="n"/>
      <c r="E4" s="3" t="inlineStr">
        <is>
          <t>塔樓名稱</t>
        </is>
      </c>
      <c r="F4" s="12" t="n"/>
      <c r="G4" s="4" t="inlineStr">
        <is>
          <t>暗影尖塔</t>
        </is>
      </c>
      <c r="H4" s="12" t="n"/>
    </row>
    <row r="5">
      <c r="A5" s="3" t="inlineStr">
        <is>
          <t>出身</t>
        </is>
      </c>
      <c r="B5" s="12" t="n"/>
      <c r="C5" s="4" t="inlineStr">
        <is>
          <t>街頭孤兒</t>
        </is>
      </c>
      <c r="D5" s="12" t="n"/>
      <c r="E5" s="3" t="inlineStr">
        <is>
          <t>研究風格</t>
        </is>
      </c>
      <c r="F5" s="12" t="n"/>
      <c r="G5" s="4" t="inlineStr">
        <is>
          <t>禁忌派</t>
        </is>
      </c>
      <c r="H5" s="12" t="n"/>
    </row>
    <row r="6">
      <c r="A6" s="3" t="inlineStr">
        <is>
          <t>塔樓位置</t>
        </is>
      </c>
      <c r="B6" s="12" t="n"/>
      <c r="C6" s="4" t="inlineStr">
        <is>
          <t>荒野</t>
        </is>
      </c>
      <c r="D6" s="12" t="n"/>
      <c r="E6" s="3" t="inlineStr">
        <is>
          <t>塔樓HP</t>
        </is>
      </c>
      <c r="F6" s="12" t="n"/>
      <c r="G6" s="4" t="inlineStr">
        <is>
          <t>30</t>
        </is>
      </c>
      <c r="H6" s="5" t="inlineStr">
        <is>
          <t>/30</t>
        </is>
      </c>
    </row>
    <row r="7"/>
    <row r="8">
      <c r="A8" s="2" t="inlineStr">
        <is>
          <t>五大屬性（25點分配）</t>
        </is>
      </c>
      <c r="B8" s="11" t="n"/>
      <c r="C8" s="11" t="n"/>
      <c r="D8" s="11" t="n"/>
      <c r="E8" s="11" t="n"/>
      <c r="F8" s="11" t="n"/>
      <c r="G8" s="11" t="n"/>
      <c r="H8" s="12" t="n"/>
    </row>
    <row r="9">
      <c r="A9" s="3" t="inlineStr">
        <is>
          <t>屬性名稱 →</t>
        </is>
      </c>
      <c r="B9" s="6" t="inlineStr">
        <is>
          <t>感知</t>
        </is>
      </c>
      <c r="C9" s="6" t="inlineStr">
        <is>
          <t>理論</t>
        </is>
      </c>
      <c r="D9" s="6" t="inlineStr">
        <is>
          <t>技藝</t>
        </is>
      </c>
      <c r="E9" s="6" t="inlineStr">
        <is>
          <t>意志</t>
        </is>
      </c>
      <c r="F9" s="6" t="inlineStr">
        <is>
          <t>博學</t>
        </is>
      </c>
      <c r="G9" s="3" t="inlineStr">
        <is>
          <t>專精加值</t>
        </is>
      </c>
      <c r="H9" s="3" t="inlineStr">
        <is>
          <t>技能專精</t>
        </is>
      </c>
    </row>
    <row r="10">
      <c r="A10" s="3" t="inlineStr">
        <is>
          <t>屬性值 →</t>
        </is>
      </c>
      <c r="B10" s="4" t="n">
        <v>4</v>
      </c>
      <c r="C10" s="4" t="n">
        <v>5</v>
      </c>
      <c r="D10" s="4" t="n">
        <v>5</v>
      </c>
      <c r="E10" s="4" t="n">
        <v>7</v>
      </c>
      <c r="F10" s="4" t="n">
        <v>4</v>
      </c>
      <c r="G10" s="4" t="inlineStr">
        <is>
          <t>+1</t>
        </is>
      </c>
      <c r="H10" s="4" t="inlineStr"/>
    </row>
    <row r="11"/>
    <row r="12">
      <c r="A12" s="2" t="inlineStr">
        <is>
          <t>衍生屬性（自動計算）</t>
        </is>
      </c>
      <c r="B12" s="11" t="n"/>
      <c r="C12" s="11" t="n"/>
      <c r="D12" s="11" t="n"/>
      <c r="E12" s="11" t="n"/>
      <c r="F12" s="11" t="n"/>
      <c r="G12" s="11" t="n"/>
      <c r="H12" s="12" t="n"/>
    </row>
    <row r="13">
      <c r="A13" s="3" t="inlineStr">
        <is>
          <t>靈性池</t>
        </is>
      </c>
      <c r="B13" s="7" t="n">
        <v>26</v>
      </c>
      <c r="C13" s="8" t="inlineStr">
        <is>
          <t>意志×3 + 理論</t>
        </is>
      </c>
      <c r="D13" s="11" t="n"/>
      <c r="E13" s="12" t="n"/>
    </row>
    <row r="14">
      <c r="A14" s="3" t="inlineStr">
        <is>
          <t>安全閾值</t>
        </is>
      </c>
      <c r="B14" s="7" t="n">
        <v>9</v>
      </c>
      <c r="C14" s="8" t="inlineStr">
        <is>
          <t>技藝+意志/2+實驗室Lv1</t>
        </is>
      </c>
      <c r="D14" s="11" t="n"/>
      <c r="E14" s="12" t="n"/>
    </row>
    <row r="15">
      <c r="A15" s="3" t="inlineStr">
        <is>
          <t>研究AP</t>
        </is>
      </c>
      <c r="B15" s="7" t="n">
        <v>4</v>
      </c>
      <c r="C15" s="8" t="inlineStr">
        <is>
          <t>3+(理論≥5時+1),上限5</t>
        </is>
      </c>
      <c r="D15" s="11" t="n"/>
      <c r="E15" s="12" t="n"/>
    </row>
    <row r="16">
      <c r="A16" s="3" t="inlineStr">
        <is>
          <t>碎片容量</t>
        </is>
      </c>
      <c r="B16" s="7" t="n">
        <v>10</v>
      </c>
      <c r="C16" s="8" t="inlineStr">
        <is>
          <t>理論+博學+圖書館Lv1</t>
        </is>
      </c>
      <c r="D16" s="11" t="n"/>
      <c r="E16" s="12" t="n"/>
    </row>
    <row r="17">
      <c r="A17" s="3" t="inlineStr">
        <is>
          <t>生命值(HP)</t>
        </is>
      </c>
      <c r="B17" s="7" t="n">
        <v>22</v>
      </c>
      <c r="C17" s="8" t="inlineStr">
        <is>
          <t>15 + 意志</t>
        </is>
      </c>
      <c r="D17" s="11" t="n"/>
      <c r="E17" s="12" t="n"/>
    </row>
    <row r="18">
      <c r="A18" s="3" t="inlineStr">
        <is>
          <t>法術書容量</t>
        </is>
      </c>
      <c r="B18" s="7" t="n">
        <v>9</v>
      </c>
      <c r="C18" s="8" t="inlineStr">
        <is>
          <t>理論+博學（可記憶法術數）</t>
        </is>
      </c>
      <c r="D18" s="11" t="n"/>
      <c r="E18" s="12" t="n"/>
    </row>
    <row r="19">
      <c r="A19" s="3" t="inlineStr">
        <is>
          <t>腐化值</t>
        </is>
      </c>
      <c r="B19" s="4" t="n">
        <v>0</v>
      </c>
      <c r="C19" s="8" t="inlineStr">
        <is>
          <t>(0-20)</t>
        </is>
      </c>
      <c r="D19" s="11" t="n"/>
      <c r="E19" s="12" t="n"/>
    </row>
    <row r="20">
      <c r="A20" s="3" t="inlineStr">
        <is>
          <t>起始專精點數</t>
        </is>
      </c>
      <c r="B20" s="7" t="n">
        <v>2</v>
      </c>
      <c r="C20" s="8" t="inlineStr">
        <is>
          <t>(可投入任意技能，見玩家規則1.6)</t>
        </is>
      </c>
      <c r="D20" s="11" t="n"/>
      <c r="E20" s="12" t="n"/>
    </row>
    <row r="21"/>
    <row r="22">
      <c r="A22" s="2" t="inlineStr">
        <is>
          <t>聲望</t>
        </is>
      </c>
      <c r="B22" s="11" t="n"/>
      <c r="C22" s="11" t="n"/>
      <c r="D22" s="11" t="n"/>
      <c r="E22" s="11" t="n"/>
      <c r="F22" s="11" t="n"/>
      <c r="G22" s="11" t="n"/>
      <c r="H22" s="12" t="n"/>
    </row>
    <row r="23">
      <c r="A23" s="3" t="inlineStr">
        <is>
          <t>學術聲望</t>
        </is>
      </c>
      <c r="B23" s="4" t="n">
        <v>-5</v>
      </c>
      <c r="C23" s="9" t="inlineStr">
        <is>
          <t>無名學者</t>
        </is>
      </c>
      <c r="D23" s="11" t="n"/>
      <c r="E23" s="12" t="n"/>
      <c r="F23" s="3" t="inlineStr">
        <is>
          <t>實用聲望</t>
        </is>
      </c>
      <c r="G23" s="4" t="n">
        <v>0</v>
      </c>
      <c r="H23" s="10" t="inlineStr">
        <is>
          <t>無人在意</t>
        </is>
      </c>
    </row>
    <row r="24"/>
    <row r="25">
      <c r="A25" s="2" t="inlineStr">
        <is>
          <t>研究風格特性</t>
        </is>
      </c>
      <c r="B25" s="11" t="n"/>
      <c r="C25" s="11" t="n"/>
      <c r="D25" s="11" t="n"/>
      <c r="E25" s="11" t="n"/>
      <c r="F25" s="11" t="n"/>
      <c r="G25" s="11" t="n"/>
      <c r="H25" s="12" t="n"/>
    </row>
    <row r="26">
      <c r="A26" s="3" t="inlineStr">
        <is>
          <t>優勢</t>
        </is>
      </c>
      <c r="B26" s="9" t="inlineStr">
        <is>
          <t>實驗DC–4 + 傳說碎片×2</t>
        </is>
      </c>
      <c r="C26" s="11" t="n"/>
      <c r="D26" s="11" t="n"/>
      <c r="E26" s="11" t="n"/>
      <c r="F26" s="11" t="n"/>
      <c r="G26" s="11" t="n"/>
      <c r="H26" s="12" t="n"/>
    </row>
    <row r="27">
      <c r="A27" s="3" t="inlineStr">
        <is>
          <t>代價</t>
        </is>
      </c>
      <c r="B27" s="9" t="inlineStr">
        <is>
          <t>意志DC15/實驗 + 腐化 + 聲望上限30</t>
        </is>
      </c>
      <c r="C27" s="11" t="n"/>
      <c r="D27" s="11" t="n"/>
      <c r="E27" s="11" t="n"/>
      <c r="F27" s="11" t="n"/>
      <c r="G27" s="11" t="n"/>
      <c r="H27" s="12" t="n"/>
    </row>
    <row r="28"/>
    <row r="29">
      <c r="A29" s="2" t="inlineStr">
        <is>
          <t>起始碎片：火焰(E01)、暗影 + 觸碰(F02)</t>
        </is>
      </c>
      <c r="B29" s="11" t="n"/>
      <c r="C29" s="11" t="n"/>
      <c r="D29" s="11" t="n"/>
      <c r="E29" s="11" t="n"/>
      <c r="F29" s="11" t="n"/>
      <c r="G29" s="11" t="n"/>
      <c r="H29" s="12" t="n"/>
    </row>
    <row r="30">
      <c r="A30" s="9" t="inlineStr"/>
      <c r="B30" s="9" t="inlineStr"/>
      <c r="C30" s="9" t="inlineStr"/>
      <c r="D30" s="9" t="inlineStr"/>
      <c r="E30" s="9" t="inlineStr"/>
      <c r="F30" s="9" t="inlineStr"/>
    </row>
    <row r="31">
      <c r="A31" s="9" t="inlineStr"/>
      <c r="B31" s="9" t="inlineStr"/>
      <c r="C31" s="9" t="inlineStr"/>
      <c r="D31" s="9" t="inlineStr"/>
      <c r="E31" s="9" t="inlineStr"/>
      <c r="F31" s="9" t="inlineStr"/>
    </row>
    <row r="32">
      <c r="A32" s="9" t="inlineStr"/>
      <c r="B32" s="9" t="inlineStr"/>
      <c r="C32" s="9" t="inlineStr"/>
      <c r="D32" s="9" t="inlineStr"/>
      <c r="E32" s="9" t="inlineStr"/>
      <c r="F32" s="9" t="inlineStr"/>
    </row>
    <row r="33">
      <c r="A33" s="9" t="inlineStr"/>
      <c r="B33" s="9" t="inlineStr"/>
      <c r="C33" s="9" t="inlineStr"/>
      <c r="D33" s="9" t="inlineStr"/>
      <c r="E33" s="9" t="inlineStr"/>
      <c r="F33" s="9" t="inlineStr"/>
    </row>
    <row r="34"/>
    <row r="35">
      <c r="A35" s="2" t="inlineStr">
        <is>
          <t>起始法術</t>
        </is>
      </c>
      <c r="B35" s="11" t="n"/>
      <c r="C35" s="11" t="n"/>
      <c r="D35" s="11" t="n"/>
      <c r="E35" s="11" t="n"/>
      <c r="F35" s="11" t="n"/>
      <c r="G35" s="11" t="n"/>
      <c r="H35" s="12" t="n"/>
    </row>
    <row r="36">
      <c r="A36" s="3" t="inlineStr">
        <is>
          <t>法術名稱</t>
        </is>
      </c>
      <c r="B36" s="4" t="inlineStr">
        <is>
          <t>闇火之觸</t>
        </is>
      </c>
      <c r="C36" s="11" t="n"/>
      <c r="D36" s="12" t="n"/>
      <c r="E36" s="3" t="inlineStr">
        <is>
          <t>品質</t>
        </is>
      </c>
      <c r="F36" s="4" t="inlineStr">
        <is>
          <t>★</t>
        </is>
      </c>
      <c r="G36" s="3" t="inlineStr">
        <is>
          <t>靈性消耗</t>
        </is>
      </c>
      <c r="H36" s="7" t="n">
        <v>1</v>
      </c>
    </row>
    <row r="37">
      <c r="A37" s="3" t="inlineStr">
        <is>
          <t>碎片公式</t>
        </is>
      </c>
      <c r="B37" s="9" t="inlineStr">
        <is>
          <t>火焰(E01) + 暗影(起始碎片替換) + 觸碰(F02)</t>
        </is>
      </c>
      <c r="C37" s="11" t="n"/>
      <c r="D37" s="11" t="n"/>
      <c r="E37" s="11" t="n"/>
      <c r="F37" s="11" t="n"/>
      <c r="G37" s="11" t="n"/>
      <c r="H37" s="12" t="n"/>
    </row>
    <row r="38">
      <c r="A38" s="3" t="inlineStr">
        <is>
          <t>效果</t>
        </is>
      </c>
      <c r="B38" s="9" t="inlineStr">
        <is>
          <t>觸及，法術攻擊(優勢)，命中1d6火焰+恐慌(感知豁免)</t>
        </is>
      </c>
      <c r="C38" s="11" t="n"/>
      <c r="D38" s="11" t="n"/>
      <c r="E38" s="11" t="n"/>
      <c r="F38" s="11" t="n"/>
      <c r="G38" s="11" t="n"/>
      <c r="H38" s="12" t="n"/>
    </row>
    <row r="39"/>
    <row r="40">
      <c r="A40" s="2" t="inlineStr">
        <is>
          <t>塔樓設施（起始Lv1）</t>
        </is>
      </c>
      <c r="B40" s="11" t="n"/>
      <c r="C40" s="11" t="n"/>
      <c r="D40" s="11" t="n"/>
      <c r="E40" s="11" t="n"/>
      <c r="F40" s="11" t="n"/>
      <c r="G40" s="11" t="n"/>
      <c r="H40" s="12" t="n"/>
    </row>
    <row r="41">
      <c r="A41" s="3" t="inlineStr">
        <is>
          <t>實驗室</t>
        </is>
      </c>
      <c r="B41" s="4" t="n">
        <v>1</v>
      </c>
      <c r="C41" s="10" t="inlineStr">
        <is>
          <t>Lv1 基礎效果</t>
        </is>
      </c>
      <c r="D41" s="11" t="n"/>
      <c r="E41" s="12" t="n"/>
    </row>
    <row r="42">
      <c r="A42" s="3" t="inlineStr">
        <is>
          <t>圖書館</t>
        </is>
      </c>
      <c r="B42" s="4" t="n">
        <v>1</v>
      </c>
      <c r="C42" s="10" t="inlineStr">
        <is>
          <t>Lv1 基礎效果</t>
        </is>
      </c>
      <c r="D42" s="11" t="n"/>
      <c r="E42" s="12" t="n"/>
    </row>
    <row r="43">
      <c r="A43" s="3" t="inlineStr">
        <is>
          <t>觀測臺</t>
        </is>
      </c>
      <c r="B43" s="4" t="n">
        <v>1</v>
      </c>
      <c r="C43" s="10" t="inlineStr">
        <is>
          <t>Lv1 基礎效果</t>
        </is>
      </c>
      <c r="D43" s="11" t="n"/>
      <c r="E43" s="12" t="n"/>
    </row>
    <row r="44">
      <c r="A44" s="3" t="inlineStr">
        <is>
          <t>收容室</t>
        </is>
      </c>
      <c r="B44" s="4" t="n">
        <v>1</v>
      </c>
      <c r="C44" s="10" t="inlineStr">
        <is>
          <t>Lv1 基礎效果</t>
        </is>
      </c>
      <c r="D44" s="11" t="n"/>
      <c r="E44" s="12" t="n"/>
    </row>
    <row r="45">
      <c r="A45" s="3" t="inlineStr">
        <is>
          <t>防禦系統</t>
        </is>
      </c>
      <c r="B45" s="4" t="n">
        <v>1</v>
      </c>
      <c r="C45" s="10" t="inlineStr">
        <is>
          <t>Lv1 基礎效果</t>
        </is>
      </c>
      <c r="D45" s="11" t="n"/>
      <c r="E45" s="12" t="n"/>
    </row>
    <row r="46">
      <c r="A46" s="3" t="inlineStr">
        <is>
          <t>元素室</t>
        </is>
      </c>
      <c r="B46" s="10" t="inlineStr">
        <is>
          <t>未建造</t>
        </is>
      </c>
    </row>
    <row r="47">
      <c r="A47" s="3" t="inlineStr">
        <is>
          <t>學徒宿舍</t>
        </is>
      </c>
      <c r="B47" s="10" t="inlineStr">
        <is>
          <t>未建造</t>
        </is>
      </c>
    </row>
    <row r="48">
      <c r="A48" s="3" t="inlineStr">
        <is>
          <t>窺探池</t>
        </is>
      </c>
      <c r="B48" s="10" t="inlineStr">
        <is>
          <t>未建造</t>
        </is>
      </c>
    </row>
    <row r="49">
      <c r="A49" s="3" t="inlineStr">
        <is>
          <t>塔樓HP</t>
        </is>
      </c>
      <c r="B49" s="7" t="inlineStr">
        <is>
          <t>35</t>
        </is>
      </c>
      <c r="C49" s="8">
        <f>30 + 防禦系統等級×5 (當前Lv1)</f>
        <v/>
      </c>
      <c r="D49" s="11" t="n"/>
      <c r="E49" s="12" t="n"/>
    </row>
    <row r="50"/>
    <row r="51">
      <c r="A51" s="2" t="inlineStr">
        <is>
          <t>起始經濟</t>
        </is>
      </c>
      <c r="B51" s="11" t="n"/>
      <c r="C51" s="11" t="n"/>
      <c r="D51" s="11" t="n"/>
      <c r="E51" s="11" t="n"/>
      <c r="F51" s="11" t="n"/>
      <c r="G51" s="11" t="n"/>
      <c r="H51" s="12" t="n"/>
    </row>
    <row r="52">
      <c r="A52" s="3" t="inlineStr">
        <is>
          <t>起始金幣</t>
        </is>
      </c>
      <c r="B52" s="4" t="n">
        <v>150</v>
      </c>
      <c r="C52" s="3" t="inlineStr">
        <is>
          <t>月度收入(預估)</t>
        </is>
      </c>
      <c r="D52" s="4" t="n">
        <v>50</v>
      </c>
      <c r="E52" s="3" t="inlineStr">
        <is>
          <t>月度支出(預估)</t>
        </is>
      </c>
      <c r="F52" s="4" t="n">
        <v>30</v>
      </c>
      <c r="G52" s="3" t="inlineStr">
        <is>
          <t>淨收入</t>
        </is>
      </c>
      <c r="H52" s="7">
        <f>D40-F40</f>
        <v/>
      </c>
    </row>
    <row r="53"/>
    <row r="54">
      <c r="A54" s="2" t="inlineStr">
        <is>
          <t>研究目標</t>
        </is>
      </c>
      <c r="B54" s="11" t="n"/>
      <c r="C54" s="11" t="n"/>
      <c r="D54" s="11" t="n"/>
      <c r="E54" s="11" t="n"/>
      <c r="F54" s="11" t="n"/>
      <c r="G54" s="11" t="n"/>
      <c r="H54" s="12" t="n"/>
    </row>
    <row r="55">
      <c r="A55" s="3" t="inlineStr">
        <is>
          <t>終極法術構想</t>
        </is>
      </c>
      <c r="B55" s="9" t="inlineStr">
        <is>
          <t>證明禁忌不是禁忌——只是學術界不敢面對的真相</t>
        </is>
      </c>
      <c r="C55" s="11" t="n"/>
      <c r="D55" s="11" t="n"/>
      <c r="E55" s="11" t="n"/>
      <c r="F55" s="11" t="n"/>
      <c r="G55" s="11" t="n"/>
      <c r="H55" s="12" t="n"/>
    </row>
    <row r="56"/>
    <row r="57">
      <c r="A57" s="2" t="inlineStr">
        <is>
          <t>競爭對手</t>
        </is>
      </c>
      <c r="B57" s="11" t="n"/>
      <c r="C57" s="11" t="n"/>
      <c r="D57" s="11" t="n"/>
      <c r="E57" s="11" t="n"/>
      <c r="F57" s="11" t="n"/>
      <c r="G57" s="11" t="n"/>
      <c r="H57" s="12" t="n"/>
    </row>
    <row r="58">
      <c r="A58" s="3" t="inlineStr">
        <is>
          <t>姓名</t>
        </is>
      </c>
      <c r="B58" s="4" t="inlineStr">
        <is>
          <t>大審判官馬爾科姆</t>
        </is>
      </c>
      <c r="C58" s="3" t="inlineStr">
        <is>
          <t>關係</t>
        </is>
      </c>
      <c r="D58" s="9" t="inlineStr">
        <is>
          <t>獵物與獵人——純淨之火在追蹤你</t>
        </is>
      </c>
      <c r="E58" s="11" t="n"/>
      <c r="F58" s="11" t="n"/>
      <c r="G58" s="11" t="n"/>
      <c r="H58" s="12" t="n"/>
    </row>
  </sheetData>
  <mergeCells count="45">
    <mergeCell ref="C16:E16"/>
    <mergeCell ref="C6:D6"/>
    <mergeCell ref="C44:E44"/>
    <mergeCell ref="C41:E41"/>
    <mergeCell ref="A51:H51"/>
    <mergeCell ref="C5:D5"/>
    <mergeCell ref="B55:H55"/>
    <mergeCell ref="E5:F5"/>
    <mergeCell ref="A1:H1"/>
    <mergeCell ref="C43:E43"/>
    <mergeCell ref="A6:B6"/>
    <mergeCell ref="C4:D4"/>
    <mergeCell ref="E4:F4"/>
    <mergeCell ref="B26:H26"/>
    <mergeCell ref="A25:H25"/>
    <mergeCell ref="C23:E23"/>
    <mergeCell ref="A54:H54"/>
    <mergeCell ref="C17:E17"/>
    <mergeCell ref="A12:H12"/>
    <mergeCell ref="A3:H3"/>
    <mergeCell ref="E6:F6"/>
    <mergeCell ref="B36:D36"/>
    <mergeCell ref="C13:E13"/>
    <mergeCell ref="C19:E19"/>
    <mergeCell ref="B27:H27"/>
    <mergeCell ref="A57:H57"/>
    <mergeCell ref="A5:B5"/>
    <mergeCell ref="G5:H5"/>
    <mergeCell ref="C18:E18"/>
    <mergeCell ref="C49:E49"/>
    <mergeCell ref="C15:E15"/>
    <mergeCell ref="A8:H8"/>
    <mergeCell ref="D58:H58"/>
    <mergeCell ref="A22:H22"/>
    <mergeCell ref="A4:B4"/>
    <mergeCell ref="G4:H4"/>
    <mergeCell ref="C42:E42"/>
    <mergeCell ref="C14:E14"/>
    <mergeCell ref="A29:H29"/>
    <mergeCell ref="A35:H35"/>
    <mergeCell ref="C45:E45"/>
    <mergeCell ref="B38:H38"/>
    <mergeCell ref="C20:E20"/>
    <mergeCell ref="B37:H37"/>
    <mergeCell ref="A40:H4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奧祕溯源 TRPG — 伊莎貝爾·星橋的角色卡</t>
        </is>
      </c>
      <c r="B1" s="11" t="n"/>
      <c r="C1" s="11" t="n"/>
      <c r="D1" s="11" t="n"/>
      <c r="E1" s="11" t="n"/>
      <c r="F1" s="11" t="n"/>
      <c r="G1" s="11" t="n"/>
      <c r="H1" s="12" t="n"/>
    </row>
    <row r="2"/>
    <row r="3">
      <c r="A3" s="2" t="inlineStr">
        <is>
          <t>基本資訊</t>
        </is>
      </c>
      <c r="B3" s="11" t="n"/>
      <c r="C3" s="11" t="n"/>
      <c r="D3" s="11" t="n"/>
      <c r="E3" s="11" t="n"/>
      <c r="F3" s="11" t="n"/>
      <c r="G3" s="11" t="n"/>
      <c r="H3" s="12" t="n"/>
    </row>
    <row r="4">
      <c r="A4" s="3" t="inlineStr">
        <is>
          <t>法師姓名</t>
        </is>
      </c>
      <c r="B4" s="12" t="n"/>
      <c r="C4" s="4" t="inlineStr">
        <is>
          <t>伊莎貝爾·星橋</t>
        </is>
      </c>
      <c r="D4" s="12" t="n"/>
      <c r="E4" s="3" t="inlineStr">
        <is>
          <t>塔樓名稱</t>
        </is>
      </c>
      <c r="F4" s="12" t="n"/>
      <c r="G4" s="4" t="inlineStr">
        <is>
          <t>共鳴大廳</t>
        </is>
      </c>
      <c r="H4" s="12" t="n"/>
    </row>
    <row r="5">
      <c r="A5" s="3" t="inlineStr">
        <is>
          <t>出身</t>
        </is>
      </c>
      <c r="B5" s="12" t="n"/>
      <c r="C5" s="4" t="inlineStr">
        <is>
          <t>魔法世家</t>
        </is>
      </c>
      <c r="D5" s="12" t="n"/>
      <c r="E5" s="3" t="inlineStr">
        <is>
          <t>研究風格</t>
        </is>
      </c>
      <c r="F5" s="12" t="n"/>
      <c r="G5" s="4" t="inlineStr">
        <is>
          <t>協作派</t>
        </is>
      </c>
      <c r="H5" s="12" t="n"/>
    </row>
    <row r="6">
      <c r="A6" s="3" t="inlineStr">
        <is>
          <t>塔樓位置</t>
        </is>
      </c>
      <c r="B6" s="12" t="n"/>
      <c r="C6" s="4" t="inlineStr">
        <is>
          <t>城市</t>
        </is>
      </c>
      <c r="D6" s="12" t="n"/>
      <c r="E6" s="3" t="inlineStr">
        <is>
          <t>塔樓HP</t>
        </is>
      </c>
      <c r="F6" s="12" t="n"/>
      <c r="G6" s="4" t="inlineStr">
        <is>
          <t>30</t>
        </is>
      </c>
      <c r="H6" s="5" t="inlineStr">
        <is>
          <t>/30</t>
        </is>
      </c>
    </row>
    <row r="7"/>
    <row r="8">
      <c r="A8" s="2" t="inlineStr">
        <is>
          <t>五大屬性（25點分配）</t>
        </is>
      </c>
      <c r="B8" s="11" t="n"/>
      <c r="C8" s="11" t="n"/>
      <c r="D8" s="11" t="n"/>
      <c r="E8" s="11" t="n"/>
      <c r="F8" s="11" t="n"/>
      <c r="G8" s="11" t="n"/>
      <c r="H8" s="12" t="n"/>
    </row>
    <row r="9">
      <c r="A9" s="3" t="inlineStr">
        <is>
          <t>屬性名稱 →</t>
        </is>
      </c>
      <c r="B9" s="6" t="inlineStr">
        <is>
          <t>感知</t>
        </is>
      </c>
      <c r="C9" s="6" t="inlineStr">
        <is>
          <t>理論</t>
        </is>
      </c>
      <c r="D9" s="6" t="inlineStr">
        <is>
          <t>技藝</t>
        </is>
      </c>
      <c r="E9" s="6" t="inlineStr">
        <is>
          <t>意志</t>
        </is>
      </c>
      <c r="F9" s="6" t="inlineStr">
        <is>
          <t>博學</t>
        </is>
      </c>
      <c r="G9" s="3" t="inlineStr">
        <is>
          <t>專精加值</t>
        </is>
      </c>
      <c r="H9" s="3" t="inlineStr">
        <is>
          <t>技能專精</t>
        </is>
      </c>
    </row>
    <row r="10">
      <c r="A10" s="3" t="inlineStr">
        <is>
          <t>屬性值 →</t>
        </is>
      </c>
      <c r="B10" s="4" t="n">
        <v>4</v>
      </c>
      <c r="C10" s="4" t="n">
        <v>7</v>
      </c>
      <c r="D10" s="4" t="n">
        <v>4</v>
      </c>
      <c r="E10" s="4" t="n">
        <v>4</v>
      </c>
      <c r="F10" s="4" t="n">
        <v>6</v>
      </c>
      <c r="G10" s="4" t="inlineStr">
        <is>
          <t>+1</t>
        </is>
      </c>
      <c r="H10" s="4" t="inlineStr"/>
    </row>
    <row r="11"/>
    <row r="12">
      <c r="A12" s="2" t="inlineStr">
        <is>
          <t>衍生屬性（自動計算）</t>
        </is>
      </c>
      <c r="B12" s="11" t="n"/>
      <c r="C12" s="11" t="n"/>
      <c r="D12" s="11" t="n"/>
      <c r="E12" s="11" t="n"/>
      <c r="F12" s="11" t="n"/>
      <c r="G12" s="11" t="n"/>
      <c r="H12" s="12" t="n"/>
    </row>
    <row r="13">
      <c r="A13" s="3" t="inlineStr">
        <is>
          <t>靈性池</t>
        </is>
      </c>
      <c r="B13" s="7" t="n">
        <v>19</v>
      </c>
      <c r="C13" s="8" t="inlineStr">
        <is>
          <t>意志×3 + 理論</t>
        </is>
      </c>
      <c r="D13" s="11" t="n"/>
      <c r="E13" s="12" t="n"/>
    </row>
    <row r="14">
      <c r="A14" s="3" t="inlineStr">
        <is>
          <t>安全閾值</t>
        </is>
      </c>
      <c r="B14" s="7" t="n">
        <v>7</v>
      </c>
      <c r="C14" s="8" t="inlineStr">
        <is>
          <t>技藝+意志/2+實驗室Lv1</t>
        </is>
      </c>
      <c r="D14" s="11" t="n"/>
      <c r="E14" s="12" t="n"/>
    </row>
    <row r="15">
      <c r="A15" s="3" t="inlineStr">
        <is>
          <t>研究AP</t>
        </is>
      </c>
      <c r="B15" s="7" t="n">
        <v>4</v>
      </c>
      <c r="C15" s="8" t="inlineStr">
        <is>
          <t>3+(理論≥5時+1),上限5</t>
        </is>
      </c>
      <c r="D15" s="11" t="n"/>
      <c r="E15" s="12" t="n"/>
    </row>
    <row r="16">
      <c r="A16" s="3" t="inlineStr">
        <is>
          <t>碎片容量</t>
        </is>
      </c>
      <c r="B16" s="7" t="n">
        <v>14</v>
      </c>
      <c r="C16" s="8" t="inlineStr">
        <is>
          <t>理論+博學+圖書館Lv1</t>
        </is>
      </c>
      <c r="D16" s="11" t="n"/>
      <c r="E16" s="12" t="n"/>
    </row>
    <row r="17">
      <c r="A17" s="3" t="inlineStr">
        <is>
          <t>生命值(HP)</t>
        </is>
      </c>
      <c r="B17" s="7" t="n">
        <v>19</v>
      </c>
      <c r="C17" s="8" t="inlineStr">
        <is>
          <t>15 + 意志</t>
        </is>
      </c>
      <c r="D17" s="11" t="n"/>
      <c r="E17" s="12" t="n"/>
    </row>
    <row r="18">
      <c r="A18" s="3" t="inlineStr">
        <is>
          <t>法術書容量</t>
        </is>
      </c>
      <c r="B18" s="7" t="n">
        <v>13</v>
      </c>
      <c r="C18" s="8" t="inlineStr">
        <is>
          <t>理論+博學（可記憶法術數）</t>
        </is>
      </c>
      <c r="D18" s="11" t="n"/>
      <c r="E18" s="12" t="n"/>
    </row>
    <row r="19">
      <c r="A19" s="3" t="inlineStr">
        <is>
          <t>腐化值</t>
        </is>
      </c>
      <c r="B19" s="4" t="n">
        <v>0</v>
      </c>
      <c r="C19" s="8" t="inlineStr">
        <is>
          <t>(0-20)</t>
        </is>
      </c>
      <c r="D19" s="11" t="n"/>
      <c r="E19" s="12" t="n"/>
    </row>
    <row r="20">
      <c r="A20" s="3" t="inlineStr">
        <is>
          <t>起始專精點數</t>
        </is>
      </c>
      <c r="B20" s="7" t="n">
        <v>2</v>
      </c>
      <c r="C20" s="8" t="inlineStr">
        <is>
          <t>(可投入任意技能，見玩家規則1.6)</t>
        </is>
      </c>
      <c r="D20" s="11" t="n"/>
      <c r="E20" s="12" t="n"/>
    </row>
    <row r="21"/>
    <row r="22">
      <c r="A22" s="2" t="inlineStr">
        <is>
          <t>聲望</t>
        </is>
      </c>
      <c r="B22" s="11" t="n"/>
      <c r="C22" s="11" t="n"/>
      <c r="D22" s="11" t="n"/>
      <c r="E22" s="11" t="n"/>
      <c r="F22" s="11" t="n"/>
      <c r="G22" s="11" t="n"/>
      <c r="H22" s="12" t="n"/>
    </row>
    <row r="23">
      <c r="A23" s="3" t="inlineStr">
        <is>
          <t>學術聲望</t>
        </is>
      </c>
      <c r="B23" s="4" t="n">
        <v>10</v>
      </c>
      <c r="C23" s="9" t="inlineStr">
        <is>
          <t>被引用者</t>
        </is>
      </c>
      <c r="D23" s="11" t="n"/>
      <c r="E23" s="12" t="n"/>
      <c r="F23" s="3" t="inlineStr">
        <is>
          <t>實用聲望</t>
        </is>
      </c>
      <c r="G23" s="4" t="n">
        <v>0</v>
      </c>
      <c r="H23" s="10" t="inlineStr">
        <is>
          <t>無人在意</t>
        </is>
      </c>
    </row>
    <row r="24"/>
    <row r="25">
      <c r="A25" s="2" t="inlineStr">
        <is>
          <t>研究風格特性</t>
        </is>
      </c>
      <c r="B25" s="11" t="n"/>
      <c r="C25" s="11" t="n"/>
      <c r="D25" s="11" t="n"/>
      <c r="E25" s="11" t="n"/>
      <c r="F25" s="11" t="n"/>
      <c r="G25" s="11" t="n"/>
      <c r="H25" s="12" t="n"/>
    </row>
    <row r="26">
      <c r="A26" s="3" t="inlineStr">
        <is>
          <t>優勢</t>
        </is>
      </c>
      <c r="B26" s="9" t="inlineStr">
        <is>
          <t>合作雙方獲益 + DC–2/人</t>
        </is>
      </c>
      <c r="C26" s="11" t="n"/>
      <c r="D26" s="11" t="n"/>
      <c r="E26" s="11" t="n"/>
      <c r="F26" s="11" t="n"/>
      <c r="G26" s="11" t="n"/>
      <c r="H26" s="12" t="n"/>
    </row>
    <row r="27">
      <c r="A27" s="3" t="inlineStr">
        <is>
          <t>代價</t>
        </is>
      </c>
      <c r="B27" s="9" t="inlineStr">
        <is>
          <t>獨立DC+3 + 發表即公開</t>
        </is>
      </c>
      <c r="C27" s="11" t="n"/>
      <c r="D27" s="11" t="n"/>
      <c r="E27" s="11" t="n"/>
      <c r="F27" s="11" t="n"/>
      <c r="G27" s="11" t="n"/>
      <c r="H27" s="12" t="n"/>
    </row>
    <row r="28"/>
    <row r="29">
      <c r="A29" s="2" t="inlineStr">
        <is>
          <t>起始碎片：光(E01替換)、水流(E02)、風暴(E03) + 持續(F07)</t>
        </is>
      </c>
      <c r="B29" s="11" t="n"/>
      <c r="C29" s="11" t="n"/>
      <c r="D29" s="11" t="n"/>
      <c r="E29" s="11" t="n"/>
      <c r="F29" s="11" t="n"/>
      <c r="G29" s="11" t="n"/>
      <c r="H29" s="12" t="n"/>
    </row>
    <row r="30">
      <c r="A30" s="9" t="inlineStr"/>
      <c r="B30" s="9" t="inlineStr"/>
      <c r="C30" s="9" t="inlineStr"/>
      <c r="D30" s="9" t="inlineStr"/>
      <c r="E30" s="9" t="inlineStr"/>
      <c r="F30" s="9" t="inlineStr"/>
    </row>
    <row r="31">
      <c r="A31" s="9" t="inlineStr"/>
      <c r="B31" s="9" t="inlineStr"/>
      <c r="C31" s="9" t="inlineStr"/>
      <c r="D31" s="9" t="inlineStr"/>
      <c r="E31" s="9" t="inlineStr"/>
      <c r="F31" s="9" t="inlineStr"/>
    </row>
    <row r="32">
      <c r="A32" s="9" t="inlineStr"/>
      <c r="B32" s="9" t="inlineStr"/>
      <c r="C32" s="9" t="inlineStr"/>
      <c r="D32" s="9" t="inlineStr"/>
      <c r="E32" s="9" t="inlineStr"/>
      <c r="F32" s="9" t="inlineStr"/>
    </row>
    <row r="33">
      <c r="A33" s="9" t="inlineStr"/>
      <c r="B33" s="9" t="inlineStr"/>
      <c r="C33" s="9" t="inlineStr"/>
      <c r="D33" s="9" t="inlineStr"/>
      <c r="E33" s="9" t="inlineStr"/>
      <c r="F33" s="9" t="inlineStr"/>
    </row>
    <row r="34"/>
    <row r="35">
      <c r="A35" s="2" t="inlineStr">
        <is>
          <t>起始法術</t>
        </is>
      </c>
      <c r="B35" s="11" t="n"/>
      <c r="C35" s="11" t="n"/>
      <c r="D35" s="11" t="n"/>
      <c r="E35" s="11" t="n"/>
      <c r="F35" s="11" t="n"/>
      <c r="G35" s="11" t="n"/>
      <c r="H35" s="12" t="n"/>
    </row>
    <row r="36">
      <c r="A36" s="3" t="inlineStr">
        <is>
          <t>法術名稱</t>
        </is>
      </c>
      <c r="B36" s="4" t="inlineStr">
        <is>
          <t>治癒之泉</t>
        </is>
      </c>
      <c r="C36" s="11" t="n"/>
      <c r="D36" s="12" t="n"/>
      <c r="E36" s="3" t="inlineStr">
        <is>
          <t>品質</t>
        </is>
      </c>
      <c r="F36" s="4" t="inlineStr">
        <is>
          <t>★</t>
        </is>
      </c>
      <c r="G36" s="3" t="inlineStr">
        <is>
          <t>靈性消耗</t>
        </is>
      </c>
      <c r="H36" s="7" t="n">
        <v>1</v>
      </c>
    </row>
    <row r="37">
      <c r="A37" s="3" t="inlineStr">
        <is>
          <t>碎片公式</t>
        </is>
      </c>
      <c r="B37" s="9" t="inlineStr">
        <is>
          <t>水流(E02) + 生命(來自家族筆記) + 持續(F07)</t>
        </is>
      </c>
      <c r="C37" s="11" t="n"/>
      <c r="D37" s="11" t="n"/>
      <c r="E37" s="11" t="n"/>
      <c r="F37" s="11" t="n"/>
      <c r="G37" s="11" t="n"/>
      <c r="H37" s="12" t="n"/>
    </row>
    <row r="38">
      <c r="A38" s="3" t="inlineStr">
        <is>
          <t>效果</t>
        </is>
      </c>
      <c r="B38" s="9" t="inlineStr">
        <is>
          <t>射程60尺，需專注，持續4回合，每回合恢復1d8+3HP</t>
        </is>
      </c>
      <c r="C38" s="11" t="n"/>
      <c r="D38" s="11" t="n"/>
      <c r="E38" s="11" t="n"/>
      <c r="F38" s="11" t="n"/>
      <c r="G38" s="11" t="n"/>
      <c r="H38" s="12" t="n"/>
    </row>
    <row r="39"/>
    <row r="40">
      <c r="A40" s="2" t="inlineStr">
        <is>
          <t>塔樓設施（起始Lv1）</t>
        </is>
      </c>
      <c r="B40" s="11" t="n"/>
      <c r="C40" s="11" t="n"/>
      <c r="D40" s="11" t="n"/>
      <c r="E40" s="11" t="n"/>
      <c r="F40" s="11" t="n"/>
      <c r="G40" s="11" t="n"/>
      <c r="H40" s="12" t="n"/>
    </row>
    <row r="41">
      <c r="A41" s="3" t="inlineStr">
        <is>
          <t>實驗室</t>
        </is>
      </c>
      <c r="B41" s="4" t="n">
        <v>1</v>
      </c>
      <c r="C41" s="10" t="inlineStr">
        <is>
          <t>Lv1 基礎效果</t>
        </is>
      </c>
      <c r="D41" s="11" t="n"/>
      <c r="E41" s="12" t="n"/>
    </row>
    <row r="42">
      <c r="A42" s="3" t="inlineStr">
        <is>
          <t>圖書館</t>
        </is>
      </c>
      <c r="B42" s="4" t="n">
        <v>1</v>
      </c>
      <c r="C42" s="10" t="inlineStr">
        <is>
          <t>Lv1 基礎效果</t>
        </is>
      </c>
      <c r="D42" s="11" t="n"/>
      <c r="E42" s="12" t="n"/>
    </row>
    <row r="43">
      <c r="A43" s="3" t="inlineStr">
        <is>
          <t>觀測臺</t>
        </is>
      </c>
      <c r="B43" s="4" t="n">
        <v>1</v>
      </c>
      <c r="C43" s="10" t="inlineStr">
        <is>
          <t>Lv1 基礎效果</t>
        </is>
      </c>
      <c r="D43" s="11" t="n"/>
      <c r="E43" s="12" t="n"/>
    </row>
    <row r="44">
      <c r="A44" s="3" t="inlineStr">
        <is>
          <t>收容室</t>
        </is>
      </c>
      <c r="B44" s="4" t="n">
        <v>1</v>
      </c>
      <c r="C44" s="10" t="inlineStr">
        <is>
          <t>Lv1 基礎效果</t>
        </is>
      </c>
      <c r="D44" s="11" t="n"/>
      <c r="E44" s="12" t="n"/>
    </row>
    <row r="45">
      <c r="A45" s="3" t="inlineStr">
        <is>
          <t>防禦系統</t>
        </is>
      </c>
      <c r="B45" s="4" t="n">
        <v>1</v>
      </c>
      <c r="C45" s="10" t="inlineStr">
        <is>
          <t>Lv1 基礎效果</t>
        </is>
      </c>
      <c r="D45" s="11" t="n"/>
      <c r="E45" s="12" t="n"/>
    </row>
    <row r="46">
      <c r="A46" s="3" t="inlineStr">
        <is>
          <t>元素室</t>
        </is>
      </c>
      <c r="B46" s="10" t="inlineStr">
        <is>
          <t>未建造</t>
        </is>
      </c>
    </row>
    <row r="47">
      <c r="A47" s="3" t="inlineStr">
        <is>
          <t>學徒宿舍</t>
        </is>
      </c>
      <c r="B47" s="10" t="inlineStr">
        <is>
          <t>未建造</t>
        </is>
      </c>
    </row>
    <row r="48">
      <c r="A48" s="3" t="inlineStr">
        <is>
          <t>窺探池</t>
        </is>
      </c>
      <c r="B48" s="10" t="inlineStr">
        <is>
          <t>未建造</t>
        </is>
      </c>
    </row>
    <row r="49">
      <c r="A49" s="3" t="inlineStr">
        <is>
          <t>塔樓HP</t>
        </is>
      </c>
      <c r="B49" s="7" t="inlineStr">
        <is>
          <t>35</t>
        </is>
      </c>
      <c r="C49" s="8">
        <f>30 + 防禦系統等級×5 (當前Lv1)</f>
        <v/>
      </c>
      <c r="D49" s="11" t="n"/>
      <c r="E49" s="12" t="n"/>
    </row>
    <row r="50"/>
    <row r="51">
      <c r="A51" s="2" t="inlineStr">
        <is>
          <t>起始經濟</t>
        </is>
      </c>
      <c r="B51" s="11" t="n"/>
      <c r="C51" s="11" t="n"/>
      <c r="D51" s="11" t="n"/>
      <c r="E51" s="11" t="n"/>
      <c r="F51" s="11" t="n"/>
      <c r="G51" s="11" t="n"/>
      <c r="H51" s="12" t="n"/>
    </row>
    <row r="52">
      <c r="A52" s="3" t="inlineStr">
        <is>
          <t>起始金幣</t>
        </is>
      </c>
      <c r="B52" s="4" t="n">
        <v>150</v>
      </c>
      <c r="C52" s="3" t="inlineStr">
        <is>
          <t>月度收入(預估)</t>
        </is>
      </c>
      <c r="D52" s="4" t="n">
        <v>50</v>
      </c>
      <c r="E52" s="3" t="inlineStr">
        <is>
          <t>月度支出(預估)</t>
        </is>
      </c>
      <c r="F52" s="4" t="n">
        <v>30</v>
      </c>
      <c r="G52" s="3" t="inlineStr">
        <is>
          <t>淨收入</t>
        </is>
      </c>
      <c r="H52" s="7">
        <f>D40-F40</f>
        <v/>
      </c>
    </row>
    <row r="53"/>
    <row r="54">
      <c r="A54" s="2" t="inlineStr">
        <is>
          <t>研究目標</t>
        </is>
      </c>
      <c r="B54" s="11" t="n"/>
      <c r="C54" s="11" t="n"/>
      <c r="D54" s="11" t="n"/>
      <c r="E54" s="11" t="n"/>
      <c r="F54" s="11" t="n"/>
      <c r="G54" s="11" t="n"/>
      <c r="H54" s="12" t="n"/>
    </row>
    <row r="55">
      <c r="A55" s="3" t="inlineStr">
        <is>
          <t>終極法術構想</t>
        </is>
      </c>
      <c r="B55" s="9" t="inlineStr">
        <is>
          <t>建立一個所有法師都能自由分享知識的研究網絡——打破學院的壟斷</t>
        </is>
      </c>
      <c r="C55" s="11" t="n"/>
      <c r="D55" s="11" t="n"/>
      <c r="E55" s="11" t="n"/>
      <c r="F55" s="11" t="n"/>
      <c r="G55" s="11" t="n"/>
      <c r="H55" s="12" t="n"/>
    </row>
    <row r="56"/>
    <row r="57">
      <c r="A57" s="2" t="inlineStr">
        <is>
          <t>競爭對手</t>
        </is>
      </c>
      <c r="B57" s="11" t="n"/>
      <c r="C57" s="11" t="n"/>
      <c r="D57" s="11" t="n"/>
      <c r="E57" s="11" t="n"/>
      <c r="F57" s="11" t="n"/>
      <c r="G57" s="11" t="n"/>
      <c r="H57" s="12" t="n"/>
    </row>
    <row r="58">
      <c r="A58" s="3" t="inlineStr">
        <is>
          <t>姓名</t>
        </is>
      </c>
      <c r="B58" s="4" t="inlineStr">
        <is>
          <t>學院期刊編輯委員會</t>
        </is>
      </c>
      <c r="C58" s="3" t="inlineStr">
        <is>
          <t>關係</t>
        </is>
      </c>
      <c r="D58" s="9" t="inlineStr">
        <is>
          <t>制度對立——他們的出版標準刻意排擠協作派的研究</t>
        </is>
      </c>
      <c r="E58" s="11" t="n"/>
      <c r="F58" s="11" t="n"/>
      <c r="G58" s="11" t="n"/>
      <c r="H58" s="12" t="n"/>
    </row>
  </sheetData>
  <mergeCells count="45">
    <mergeCell ref="C16:E16"/>
    <mergeCell ref="C6:D6"/>
    <mergeCell ref="C44:E44"/>
    <mergeCell ref="C41:E41"/>
    <mergeCell ref="A51:H51"/>
    <mergeCell ref="C5:D5"/>
    <mergeCell ref="B55:H55"/>
    <mergeCell ref="E5:F5"/>
    <mergeCell ref="A1:H1"/>
    <mergeCell ref="C43:E43"/>
    <mergeCell ref="A6:B6"/>
    <mergeCell ref="C4:D4"/>
    <mergeCell ref="E4:F4"/>
    <mergeCell ref="B26:H26"/>
    <mergeCell ref="A25:H25"/>
    <mergeCell ref="C23:E23"/>
    <mergeCell ref="A54:H54"/>
    <mergeCell ref="C17:E17"/>
    <mergeCell ref="A12:H12"/>
    <mergeCell ref="A3:H3"/>
    <mergeCell ref="E6:F6"/>
    <mergeCell ref="B36:D36"/>
    <mergeCell ref="C13:E13"/>
    <mergeCell ref="C19:E19"/>
    <mergeCell ref="B27:H27"/>
    <mergeCell ref="A57:H57"/>
    <mergeCell ref="A5:B5"/>
    <mergeCell ref="G5:H5"/>
    <mergeCell ref="C18:E18"/>
    <mergeCell ref="C49:E49"/>
    <mergeCell ref="C15:E15"/>
    <mergeCell ref="A8:H8"/>
    <mergeCell ref="D58:H58"/>
    <mergeCell ref="A22:H22"/>
    <mergeCell ref="A4:B4"/>
    <mergeCell ref="G4:H4"/>
    <mergeCell ref="C42:E42"/>
    <mergeCell ref="C14:E14"/>
    <mergeCell ref="A29:H29"/>
    <mergeCell ref="A35:H35"/>
    <mergeCell ref="C45:E45"/>
    <mergeCell ref="B38:H38"/>
    <mergeCell ref="C20:E20"/>
    <mergeCell ref="B37:H37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2026-06-30T17:47:58Z</dcterms:created>
  <dcterms:modified xsi:type="dcterms:W3CDTF">2026-07-27T11:29:11Z</dcterms:modified>
</cp:coreProperties>
</file>