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明档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color rgb="00888888"/>
      <sz val="7"/>
    </font>
    <font>
      <name val="Microsoft YaHei"/>
      <b val="1"/>
      <color rgb="00FFD700"/>
      <sz val="10"/>
    </font>
    <font>
      <name val="Microsoft YaHei"/>
      <b val="1"/>
      <color rgb="00C0C0E0"/>
      <sz val="9"/>
    </font>
    <font>
      <name val="Microsoft YaHei"/>
      <color rgb="00FFFFFF"/>
      <sz val="10"/>
    </font>
    <font>
      <name val="Consolas"/>
      <color rgb="0066FF66"/>
      <sz val="10"/>
    </font>
    <font>
      <name val="Microsoft YaHe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6B800"/>
        <bgColor rgb="00E6B800"/>
      </patternFill>
    </fill>
    <fill>
      <patternFill patternType="solid">
        <fgColor rgb="00252540"/>
        <bgColor rgb="00252540"/>
      </patternFill>
    </fill>
    <fill>
      <patternFill patternType="solid">
        <fgColor rgb="002D2D44"/>
        <bgColor rgb="002D2D44"/>
      </patternFill>
    </fill>
    <fill>
      <patternFill patternType="solid">
        <fgColor rgb="003A3A5C"/>
        <bgColor rgb="003A3A5C"/>
      </patternFill>
    </fill>
    <fill>
      <patternFill patternType="solid">
        <fgColor rgb="001A2A1A"/>
        <bgColor rgb="001A2A1A"/>
      </patternFill>
    </fill>
    <fill>
      <patternFill patternType="solid">
        <fgColor rgb="001B1B2F"/>
        <bgColor rgb="001B1B2F"/>
      </patternFill>
    </fill>
  </fills>
  <borders count="6">
    <border>
      <left/>
      <right/>
      <top/>
      <bottom/>
      <diagonal/>
    </border>
    <border>
      <left style="thin">
        <color rgb="004A4A6A"/>
      </left>
      <right style="thin">
        <color rgb="004A4A6A"/>
      </right>
      <top style="thin">
        <color rgb="004A4A6A"/>
      </top>
      <bottom style="thin">
        <color rgb="004A4A6A"/>
      </bottom>
    </border>
    <border>
      <left/>
      <right/>
      <top style="thin">
        <color rgb="004A4A6A"/>
      </top>
      <bottom/>
      <diagonal/>
    </border>
    <border>
      <left/>
      <right style="thin">
        <color rgb="004A4A6A"/>
      </right>
      <top style="thin">
        <color rgb="004A4A6A"/>
      </top>
      <bottom/>
      <diagonal/>
    </border>
    <border>
      <left/>
      <right/>
      <top style="thin">
        <color rgb="004A4A6A"/>
      </top>
      <bottom style="thin">
        <color rgb="004A4A6A"/>
      </bottom>
      <diagonal/>
    </border>
    <border>
      <left/>
      <right style="thin">
        <color rgb="004A4A6A"/>
      </right>
      <top style="thin">
        <color rgb="004A4A6A"/>
      </top>
      <bottom style="thin">
        <color rgb="004A4A6A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 ht="34" customHeight="1">
      <c r="A1" s="1" t="inlineStr">
        <is>
          <t>《星海文明》玩家文明檔案 — 自動計算版</t>
        </is>
      </c>
    </row>
    <row r="2">
      <c r="A2" s="2" t="inlineStr">
        <is>
          <t>白色格=填寫輸入  綠色格=公式自動計算 請勿修改綠色格</t>
        </is>
      </c>
    </row>
    <row r="3"/>
    <row r="4">
      <c r="A4" s="3" t="inlineStr">
        <is>
          <t>█ 基本信息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5" t="inlineStr">
        <is>
          <t>文明名稱</t>
        </is>
      </c>
      <c r="B5" s="6" t="inlineStr"/>
      <c r="E5" s="5" t="inlineStr">
        <is>
          <t>玩家姓名</t>
        </is>
      </c>
      <c r="F5" s="6" t="inlineStr"/>
    </row>
    <row r="6">
      <c r="A6" s="5" t="inlineStr">
        <is>
          <t>時代</t>
        </is>
      </c>
      <c r="B6" s="6" t="inlineStr">
        <is>
          <t>I·星際黎明</t>
        </is>
      </c>
      <c r="E6" s="5" t="inlineStr">
        <is>
          <t>文明等級（LV）</t>
        </is>
      </c>
      <c r="F6" s="6" t="inlineStr"/>
    </row>
    <row r="7">
      <c r="A7" s="5" t="inlineStr">
        <is>
          <t>母星名稱</t>
        </is>
      </c>
      <c r="B7" s="6" t="inlineStr"/>
      <c r="E7" s="5" t="inlineStr">
        <is>
          <t>母星類型</t>
        </is>
      </c>
      <c r="F7" s="6" t="inlineStr"/>
    </row>
    <row r="8">
      <c r="A8" s="5" t="inlineStr">
        <is>
          <t>物種</t>
        </is>
      </c>
      <c r="B8" s="6" t="inlineStr"/>
      <c r="E8" s="5" t="inlineStr">
        <is>
          <t>政體</t>
        </is>
      </c>
      <c r="F8" s="6" t="inlineStr"/>
    </row>
    <row r="9">
      <c r="A9" s="5" t="inlineStr">
        <is>
          <t>起源</t>
        </is>
      </c>
      <c r="B9" s="6" t="inlineStr"/>
      <c r="E9" s="5" t="inlineStr">
        <is>
          <t>文明經驗值（CXP）</t>
        </is>
      </c>
      <c r="F9" s="6" t="inlineStr"/>
    </row>
    <row r="10">
      <c r="A10" s="5" t="inlineStr">
        <is>
          <t>文明規模(Scale)</t>
        </is>
      </c>
      <c r="B10" s="6" t="inlineStr">
        <is>
          <t>1</t>
        </is>
      </c>
      <c r="E10" s="5" t="inlineStr">
        <is>
          <t>升級所需CXP</t>
        </is>
      </c>
      <c r="F10" s="6" t="inlineStr"/>
    </row>
    <row r="11"/>
    <row r="12">
      <c r="A12" s="3" t="inlineStr">
        <is>
          <t>█ 倫理軸（填入選中等級；-2到+2之間，總計不超過3點）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>
      <c r="A13" s="5" t="inlineStr">
        <is>
          <t>軍國 ↔ 和平</t>
        </is>
      </c>
      <c r="B13" s="7" t="inlineStr"/>
      <c r="C13" s="8" t="inlineStr">
        <is>
          <t>軍國-2到和平+2</t>
        </is>
      </c>
    </row>
    <row r="14">
      <c r="A14" s="5" t="inlineStr">
        <is>
          <t>排外 ↔ 親外</t>
        </is>
      </c>
      <c r="B14" s="7" t="inlineStr"/>
      <c r="C14" s="8" t="inlineStr">
        <is>
          <t>排外-2到親外+2</t>
        </is>
      </c>
    </row>
    <row r="15">
      <c r="A15" s="5" t="inlineStr">
        <is>
          <t>威權 ↔ 平等</t>
        </is>
      </c>
      <c r="B15" s="7" t="inlineStr"/>
      <c r="C15" s="8" t="inlineStr">
        <is>
          <t>威權-2到平等+2</t>
        </is>
      </c>
    </row>
    <row r="16">
      <c r="A16" s="5" t="inlineStr">
        <is>
          <t>唯物 ↔ 唯心</t>
        </is>
      </c>
      <c r="B16" s="7" t="inlineStr"/>
      <c r="C16" s="8" t="inlineStr">
        <is>
          <t>唯物-2到唯心+2</t>
        </is>
      </c>
    </row>
    <row r="17"/>
    <row r="18">
      <c r="A18" s="3" t="inlineStr">
        <is>
          <t>█ 核心屬性（輸入值 1-10，屬性值=對應骰池大小）</t>
        </is>
      </c>
      <c r="B18" s="11" t="n"/>
      <c r="C18" s="11" t="n"/>
      <c r="D18" s="11" t="n"/>
      <c r="E18" s="11" t="n"/>
      <c r="F18" s="11" t="n"/>
      <c r="G18" s="11" t="n"/>
      <c r="H18" s="12" t="n"/>
    </row>
    <row r="19">
      <c r="A19" s="5" t="inlineStr">
        <is>
          <t>軍事力（MIL）</t>
        </is>
      </c>
      <c r="B19" s="7" t="inlineStr"/>
      <c r="C19" s="8" t="inlineStr">
        <is>
          <t>軍事力（MIL）骰池</t>
        </is>
      </c>
      <c r="E19" s="5" t="inlineStr">
        <is>
          <t>科研力（SCI）</t>
        </is>
      </c>
      <c r="F19" s="7" t="inlineStr"/>
      <c r="G19" s="8" t="inlineStr">
        <is>
          <t>科研力（SCI）骰池</t>
        </is>
      </c>
    </row>
    <row r="20">
      <c r="A20" s="5" t="inlineStr">
        <is>
          <t>經濟力（ECO）</t>
        </is>
      </c>
      <c r="B20" s="7" t="inlineStr"/>
      <c r="C20" s="8" t="inlineStr">
        <is>
          <t>經濟力（ECO）骰池</t>
        </is>
      </c>
      <c r="E20" s="5" t="inlineStr">
        <is>
          <t>外交力（DIP）</t>
        </is>
      </c>
      <c r="F20" s="7" t="inlineStr"/>
      <c r="G20" s="8" t="inlineStr">
        <is>
          <t>外交力（DIP）骰池</t>
        </is>
      </c>
    </row>
    <row r="21">
      <c r="A21" s="5" t="inlineStr">
        <is>
          <t>凝聚力（UNI）</t>
        </is>
      </c>
      <c r="B21" s="7" t="inlineStr"/>
      <c r="C21" s="8" t="inlineStr">
        <is>
          <t>凝聚力（UNI）骰池</t>
        </is>
      </c>
      <c r="E21" s="5" t="inlineStr">
        <is>
          <t>情報力（INT）</t>
        </is>
      </c>
      <c r="F21" s="7" t="inlineStr"/>
      <c r="G21" s="8" t="inlineStr">
        <is>
          <t>情報力（INT）骰池</t>
        </is>
      </c>
    </row>
    <row r="22">
      <c r="A22" s="3" t="inlineStr">
        <is>
          <t>█ 派生屬性（公式自動計算，不要手動修改綠色格）</t>
        </is>
      </c>
      <c r="B22" s="11" t="n"/>
      <c r="C22" s="11" t="n"/>
      <c r="D22" s="11" t="n"/>
      <c r="E22" s="11" t="n"/>
      <c r="F22" s="11" t="n"/>
      <c r="G22" s="11" t="n"/>
      <c r="H22" s="12" t="n"/>
    </row>
    <row r="23">
      <c r="A23" s="5" t="inlineStr">
        <is>
          <t>行動點數（AP）/週期</t>
        </is>
      </c>
      <c r="B23" s="9">
        <f>3+INT(B20/3)</f>
        <v/>
      </c>
      <c r="C23" s="8" t="inlineStr">
        <is>
          <t>行動點數（AP）=3+⌊經濟力（ECO）/3⌋</t>
        </is>
      </c>
    </row>
    <row r="24">
      <c r="A24" s="5" t="inlineStr">
        <is>
          <t>艦隊上限（最大艦隊數）</t>
        </is>
      </c>
      <c r="B24" s="9">
        <f>2+INT(B19/2)</f>
        <v/>
      </c>
      <c r="C24" s="8">
        <f>2+⌊MIL/2⌋</f>
        <v/>
      </c>
    </row>
    <row r="25">
      <c r="A25" s="5" t="inlineStr">
        <is>
          <t>科研槽（並行研究數）</t>
        </is>
      </c>
      <c r="B25" s="9">
        <f>1+INT(D19/3)</f>
        <v/>
      </c>
      <c r="C25" s="8">
        <f>1+⌊SCI/3⌋</f>
        <v/>
      </c>
    </row>
    <row r="26">
      <c r="A26" s="5" t="inlineStr">
        <is>
          <t>穩定度基線</t>
        </is>
      </c>
      <c r="B26" s="9">
        <f>B21</f>
        <v/>
      </c>
      <c r="C26" s="8">
        <f>UNI</f>
        <v/>
      </c>
    </row>
    <row r="27">
      <c r="A27" s="5" t="inlineStr">
        <is>
          <t>情報防禦（反間諜基準）</t>
        </is>
      </c>
      <c r="B27" s="9">
        <f>D21</f>
        <v/>
      </c>
      <c r="C27" s="8">
        <f>INT</f>
        <v/>
      </c>
    </row>
    <row r="28">
      <c r="A28" s="5" t="inlineStr">
        <is>
          <t>編隊指揮點數（單艦隊容量）</t>
        </is>
      </c>
      <c r="B28" s="7" t="inlineStr">
        <is>
          <t>20</t>
        </is>
      </c>
      <c r="C28" s="8" t="inlineStr">
        <is>
          <t>科技驅動：基礎20→50→80→120→170</t>
        </is>
      </c>
    </row>
    <row r="29"/>
    <row r="30">
      <c r="A30" s="3" t="inlineStr">
        <is>
          <t>█ 帝國規模（公式自動計算）</t>
        </is>
      </c>
      <c r="B30" s="11" t="n"/>
      <c r="C30" s="11" t="n"/>
      <c r="D30" s="11" t="n"/>
      <c r="E30" s="11" t="n"/>
      <c r="F30" s="11" t="n"/>
      <c r="G30" s="11" t="n"/>
      <c r="H30" s="12" t="n"/>
    </row>
    <row r="31">
      <c r="A31" s="5" t="inlineStr">
        <is>
          <t>控制星系數</t>
        </is>
      </c>
      <c r="B31" s="7" t="inlineStr">
        <is>
          <t>1</t>
        </is>
      </c>
      <c r="C31" s="8" t="inlineStr">
        <is>
          <t>含母星系</t>
        </is>
      </c>
      <c r="E31" s="5" t="inlineStr">
        <is>
          <t>殖民行星數</t>
        </is>
      </c>
      <c r="F31" s="7" t="inlineStr">
        <is>
          <t>1</t>
        </is>
      </c>
      <c r="G31" s="8" t="inlineStr">
        <is>
          <t>含母星</t>
        </is>
      </c>
    </row>
    <row r="32">
      <c r="A32" s="5" t="inlineStr">
        <is>
          <t>文明總人口</t>
        </is>
      </c>
      <c r="B32" s="7" t="inlineStr">
        <is>
          <t>5</t>
        </is>
      </c>
      <c r="C32" s="8" t="inlineStr">
        <is>
          <t>所有行星人口之和</t>
        </is>
      </c>
      <c r="E32" s="5" t="inlineStr">
        <is>
          <t>帝國規模</t>
        </is>
      </c>
      <c r="F32" s="9">
        <f>B19*0+INT(B31*2+D31*5+B32*0.3)</f>
        <v/>
      </c>
      <c r="G32" s="8" t="inlineStr">
        <is>
          <t>星系×2+行星×5+人口×0.3</t>
        </is>
      </c>
    </row>
    <row r="33">
      <c r="A33" s="5" t="inlineStr">
        <is>
          <t>規模懲罰</t>
        </is>
      </c>
      <c r="B33" s="10">
        <f>IF(B32&lt;=50,"无惩罚",IF(B32&lt;=100,"TN+1 / 传统+30%",IF(B32&lt;=200,"TN+2 / 传统+60%","TN+3 / 传统+100%")))</f>
        <v/>
      </c>
      <c r="C33" s="11" t="n"/>
      <c r="D33" s="11" t="n"/>
      <c r="E33" s="11" t="n"/>
      <c r="F33" s="12" t="n"/>
    </row>
    <row r="34"/>
    <row r="35">
      <c r="A35" s="3" t="inlineStr">
        <is>
          <t>█ 行星人口與產出（輸入名稱/人口/宜居度/類型→自動計算淨產出）</t>
        </is>
      </c>
      <c r="B35" s="11" t="n"/>
      <c r="C35" s="11" t="n"/>
      <c r="D35" s="11" t="n"/>
      <c r="E35" s="11" t="n"/>
      <c r="F35" s="11" t="n"/>
      <c r="G35" s="11" t="n"/>
      <c r="H35" s="12" t="n"/>
    </row>
    <row r="36">
      <c r="A36" s="13" t="inlineStr">
        <is>
          <t>行星名稱</t>
        </is>
      </c>
      <c r="B36" s="13" t="inlineStr">
        <is>
          <t>人口</t>
        </is>
      </c>
      <c r="C36" s="13" t="inlineStr">
        <is>
          <t>宜居度%</t>
        </is>
      </c>
      <c r="D36" s="13" t="inlineStr">
        <is>
          <t>類型</t>
        </is>
      </c>
      <c r="E36" s="13" t="inlineStr">
        <is>
          <t>淨產出EC</t>
        </is>
      </c>
      <c r="F36" s="13" t="inlineStr">
        <is>
          <t>淨產出MIN</t>
        </is>
      </c>
      <c r="G36" s="13" t="inlineStr">
        <is>
          <t>淨產出FOOD</t>
        </is>
      </c>
      <c r="H36" s="13" t="inlineStr">
        <is>
          <t>淨產出合金（ALLOY）/消費品（CG）</t>
        </is>
      </c>
    </row>
    <row r="37">
      <c r="A37" s="6" t="inlineStr"/>
      <c r="B37" s="7" t="inlineStr"/>
      <c r="C37" s="7" t="inlineStr"/>
      <c r="D37" s="6" t="inlineStr"/>
      <c r="E37" s="9">
        <f>IF(B37="","",ROUND(B37*2*C37/100,1))</f>
        <v/>
      </c>
      <c r="F37" s="9">
        <f>IF(B37="","",ROUND(B37*1.5*C37/100,1))</f>
        <v/>
      </c>
      <c r="G37" s="9">
        <f>IF(B37="","",ROUND(B37*1*C37/100,1))</f>
        <v/>
      </c>
      <c r="H37" s="9">
        <f>IF(B37="","",ROUND(B37*1.25*C37/100,1))</f>
        <v/>
      </c>
    </row>
    <row r="38">
      <c r="A38" s="6" t="inlineStr"/>
      <c r="B38" s="7" t="inlineStr"/>
      <c r="C38" s="7" t="inlineStr"/>
      <c r="D38" s="6" t="inlineStr"/>
      <c r="E38" s="9">
        <f>IF(B38="","",ROUND(B38*2*C38/100,1))</f>
        <v/>
      </c>
      <c r="F38" s="9">
        <f>IF(B38="","",ROUND(B38*1.5*C38/100,1))</f>
        <v/>
      </c>
      <c r="G38" s="9">
        <f>IF(B38="","",ROUND(B38*1*C38/100,1))</f>
        <v/>
      </c>
      <c r="H38" s="9">
        <f>IF(B38="","",ROUND(B38*1.25*C38/100,1))</f>
        <v/>
      </c>
    </row>
    <row r="39">
      <c r="A39" s="6" t="inlineStr"/>
      <c r="B39" s="7" t="inlineStr"/>
      <c r="C39" s="7" t="inlineStr"/>
      <c r="D39" s="6" t="inlineStr"/>
      <c r="E39" s="9">
        <f>IF(B39="","",ROUND(B39*2*C39/100,1))</f>
        <v/>
      </c>
      <c r="F39" s="9">
        <f>IF(B39="","",ROUND(B39*1.5*C39/100,1))</f>
        <v/>
      </c>
      <c r="G39" s="9">
        <f>IF(B39="","",ROUND(B39*1*C39/100,1))</f>
        <v/>
      </c>
      <c r="H39" s="9">
        <f>IF(B39="","",ROUND(B39*1.25*C39/100,1))</f>
        <v/>
      </c>
    </row>
    <row r="40">
      <c r="A40" s="6" t="inlineStr"/>
      <c r="B40" s="7" t="inlineStr"/>
      <c r="C40" s="7" t="inlineStr"/>
      <c r="D40" s="6" t="inlineStr"/>
      <c r="E40" s="9">
        <f>IF(B40="","",ROUND(B40*2*C40/100,1))</f>
        <v/>
      </c>
      <c r="F40" s="9">
        <f>IF(B40="","",ROUND(B40*1.5*C40/100,1))</f>
        <v/>
      </c>
      <c r="G40" s="9">
        <f>IF(B40="","",ROUND(B40*1*C40/100,1))</f>
        <v/>
      </c>
      <c r="H40" s="9">
        <f>IF(B40="","",ROUND(B40*1.25*C40/100,1))</f>
        <v/>
      </c>
    </row>
    <row r="41">
      <c r="A41" s="6" t="inlineStr"/>
      <c r="B41" s="7" t="inlineStr"/>
      <c r="C41" s="7" t="inlineStr"/>
      <c r="D41" s="6" t="inlineStr"/>
      <c r="E41" s="9">
        <f>IF(B41="","",ROUND(B41*2*C41/100,1))</f>
        <v/>
      </c>
      <c r="F41" s="9">
        <f>IF(B41="","",ROUND(B41*1.5*C41/100,1))</f>
        <v/>
      </c>
      <c r="G41" s="9">
        <f>IF(B41="","",ROUND(B41*1*C41/100,1))</f>
        <v/>
      </c>
      <c r="H41" s="9">
        <f>IF(B41="","",ROUND(B41*1.25*C41/100,1))</f>
        <v/>
      </c>
    </row>
    <row r="42">
      <c r="A42" s="6" t="inlineStr"/>
      <c r="B42" s="7" t="inlineStr"/>
      <c r="C42" s="7" t="inlineStr"/>
      <c r="D42" s="6" t="inlineStr"/>
      <c r="E42" s="9">
        <f>IF(B42="","",ROUND(B42*2*C42/100,1))</f>
        <v/>
      </c>
      <c r="F42" s="9">
        <f>IF(B42="","",ROUND(B42*1.5*C42/100,1))</f>
        <v/>
      </c>
      <c r="G42" s="9">
        <f>IF(B42="","",ROUND(B42*1*C42/100,1))</f>
        <v/>
      </c>
      <c r="H42" s="9">
        <f>IF(B42="","",ROUND(B42*1.25*C42/100,1))</f>
        <v/>
      </c>
    </row>
    <row r="43">
      <c r="A43" s="6" t="inlineStr"/>
      <c r="B43" s="7" t="inlineStr"/>
      <c r="C43" s="7" t="inlineStr"/>
      <c r="D43" s="6" t="inlineStr"/>
      <c r="E43" s="9">
        <f>IF(B43="","",ROUND(B43*2*C43/100,1))</f>
        <v/>
      </c>
      <c r="F43" s="9">
        <f>IF(B43="","",ROUND(B43*1.5*C43/100,1))</f>
        <v/>
      </c>
      <c r="G43" s="9">
        <f>IF(B43="","",ROUND(B43*1*C43/100,1))</f>
        <v/>
      </c>
      <c r="H43" s="9">
        <f>IF(B43="","",ROUND(B43*1.25*C43/100,1))</f>
        <v/>
      </c>
    </row>
    <row r="44">
      <c r="A44" s="6" t="inlineStr"/>
      <c r="B44" s="7" t="inlineStr"/>
      <c r="C44" s="7" t="inlineStr"/>
      <c r="D44" s="6" t="inlineStr"/>
      <c r="E44" s="9">
        <f>IF(B44="","",ROUND(B44*2*C44/100,1))</f>
        <v/>
      </c>
      <c r="F44" s="9">
        <f>IF(B44="","",ROUND(B44*1.5*C44/100,1))</f>
        <v/>
      </c>
      <c r="G44" s="9">
        <f>IF(B44="","",ROUND(B44*1*C44/100,1))</f>
        <v/>
      </c>
      <c r="H44" s="9">
        <f>IF(B44="","",ROUND(B44*1.25*C44/100,1))</f>
        <v/>
      </c>
    </row>
    <row r="45"/>
    <row r="46">
      <c r="A46" s="5" t="inlineStr">
        <is>
          <t>全文明合計 →</t>
        </is>
      </c>
      <c r="B46" s="9">
        <f>SUM(B38:B45)</f>
        <v/>
      </c>
      <c r="C46" s="7" t="inlineStr"/>
      <c r="D46" s="7" t="inlineStr"/>
      <c r="E46" s="9">
        <f>SUM(E38:E45)</f>
        <v/>
      </c>
      <c r="F46" s="9">
        <f>SUM(F38:F45)</f>
        <v/>
      </c>
      <c r="G46" s="9">
        <f>SUM(G38:G45)</f>
        <v/>
      </c>
      <c r="H46" s="9">
        <f>SUM(H38:H45)</f>
        <v/>
      </c>
    </row>
    <row r="47"/>
    <row r="48">
      <c r="A48" s="3" t="inlineStr">
        <is>
          <t>█ 人口增長閾值輔助（參考值，實際擲d10判定）</t>
        </is>
      </c>
      <c r="B48" s="11" t="n"/>
      <c r="C48" s="11" t="n"/>
      <c r="D48" s="11" t="n"/>
      <c r="E48" s="11" t="n"/>
      <c r="F48" s="11" t="n"/>
      <c r="G48" s="11" t="n"/>
      <c r="H48" s="12" t="n"/>
    </row>
    <row r="49">
      <c r="A49" s="5" t="inlineStr">
        <is>
          <t>行星</t>
        </is>
      </c>
      <c r="B49" s="5" t="inlineStr">
        <is>
          <t>人口</t>
        </is>
      </c>
      <c r="C49" s="5" t="inlineStr">
        <is>
          <t>宜居度</t>
        </is>
      </c>
      <c r="D49" s="5" t="inlineStr">
        <is>
          <t>食物盈餘</t>
        </is>
      </c>
      <c r="E49" s="5" t="inlineStr">
        <is>
          <t>增長閾值(d10≥?)</t>
        </is>
      </c>
      <c r="F49" s="5" t="inlineStr">
        <is>
          <t>增長概率</t>
        </is>
      </c>
      <c r="G49" s="5" t="inlineStr">
        <is>
          <t>特質修正</t>
        </is>
      </c>
      <c r="H49" s="5" t="inlineStr">
        <is>
          <t>最終閾值</t>
        </is>
      </c>
    </row>
    <row r="50">
      <c r="A50" s="6" t="inlineStr">
        <is>
          <t>行星1</t>
        </is>
      </c>
      <c r="B50" s="7" t="inlineStr"/>
      <c r="C50" s="7" t="inlineStr"/>
      <c r="D50" s="7" t="inlineStr"/>
      <c r="E50" s="9">
        <f>IF(B50="","",8-IF(D50&gt;=6,3,IF(D50&gt;=4,2,IF(D50&gt;=2,1,IF(D50&lt;0,-1,0))))+IF(C50&gt;=80,0,IF(C50&gt;=60,1,2)))</f>
        <v/>
      </c>
      <c r="F50" s="9">
        <f>IF(B50="","",TEXT((11-B50)/10,"0%"))</f>
        <v/>
      </c>
      <c r="G50" s="7" t="inlineStr"/>
      <c r="H50" s="9">
        <f>IF(B50="","",B50+IF(G50="",0,G50))</f>
        <v/>
      </c>
    </row>
    <row r="51">
      <c r="A51" s="6" t="inlineStr">
        <is>
          <t>行星2</t>
        </is>
      </c>
      <c r="B51" s="7" t="inlineStr"/>
      <c r="C51" s="7" t="inlineStr"/>
      <c r="D51" s="7" t="inlineStr"/>
      <c r="E51" s="9">
        <f>IF(B51="","",8-IF(D51&gt;=6,3,IF(D51&gt;=4,2,IF(D51&gt;=2,1,IF(D51&lt;0,-1,0))))+IF(C51&gt;=80,0,IF(C51&gt;=60,1,2)))</f>
        <v/>
      </c>
      <c r="F51" s="9">
        <f>IF(B51="","",TEXT((11-B51)/10,"0%"))</f>
        <v/>
      </c>
      <c r="G51" s="7" t="inlineStr"/>
      <c r="H51" s="9">
        <f>IF(B51="","",B51+IF(G51="",0,G51))</f>
        <v/>
      </c>
    </row>
    <row r="52">
      <c r="A52" s="6" t="inlineStr">
        <is>
          <t>行星3</t>
        </is>
      </c>
      <c r="B52" s="7" t="inlineStr"/>
      <c r="C52" s="7" t="inlineStr"/>
      <c r="D52" s="7" t="inlineStr"/>
      <c r="E52" s="9">
        <f>IF(B52="","",8-IF(D52&gt;=6,3,IF(D52&gt;=4,2,IF(D52&gt;=2,1,IF(D52&lt;0,-1,0))))+IF(C52&gt;=80,0,IF(C52&gt;=60,1,2)))</f>
        <v/>
      </c>
      <c r="F52" s="9">
        <f>IF(B52="","",TEXT((11-B52)/10,"0%"))</f>
        <v/>
      </c>
      <c r="G52" s="7" t="inlineStr"/>
      <c r="H52" s="9">
        <f>IF(B52="","",B52+IF(G52="",0,G52))</f>
        <v/>
      </c>
    </row>
    <row r="53">
      <c r="A53" s="6" t="inlineStr">
        <is>
          <t>行星4</t>
        </is>
      </c>
      <c r="B53" s="7" t="inlineStr"/>
      <c r="C53" s="7" t="inlineStr"/>
      <c r="D53" s="7" t="inlineStr"/>
      <c r="E53" s="9">
        <f>IF(B53="","",8-IF(D53&gt;=6,3,IF(D53&gt;=4,2,IF(D53&gt;=2,1,IF(D53&lt;0,-1,0))))+IF(C53&gt;=80,0,IF(C53&gt;=60,1,2)))</f>
        <v/>
      </c>
      <c r="F53" s="9">
        <f>IF(B53="","",TEXT((11-B53)/10,"0%"))</f>
        <v/>
      </c>
      <c r="G53" s="7" t="inlineStr"/>
      <c r="H53" s="9">
        <f>IF(B53="","",B53+IF(G53="",0,G53))</f>
        <v/>
      </c>
    </row>
    <row r="54">
      <c r="A54" s="6" t="inlineStr">
        <is>
          <t>行星5</t>
        </is>
      </c>
      <c r="B54" s="7" t="inlineStr"/>
      <c r="C54" s="7" t="inlineStr"/>
      <c r="D54" s="7" t="inlineStr"/>
      <c r="E54" s="9">
        <f>IF(B54="","",8-IF(D54&gt;=6,3,IF(D54&gt;=4,2,IF(D54&gt;=2,1,IF(D54&lt;0,-1,0))))+IF(C54&gt;=80,0,IF(C54&gt;=60,1,2)))</f>
        <v/>
      </c>
      <c r="F54" s="9">
        <f>IF(B54="","",TEXT((11-B54)/10,"0%"))</f>
        <v/>
      </c>
      <c r="G54" s="7" t="inlineStr"/>
      <c r="H54" s="9">
        <f>IF(B54="","",B54+IF(G54="",0,G54))</f>
        <v/>
      </c>
    </row>
    <row r="55">
      <c r="A55" s="6" t="inlineStr">
        <is>
          <t>行星6</t>
        </is>
      </c>
      <c r="B55" s="7" t="inlineStr"/>
      <c r="C55" s="7" t="inlineStr"/>
      <c r="D55" s="7" t="inlineStr"/>
      <c r="E55" s="9">
        <f>IF(B55="","",8-IF(D55&gt;=6,3,IF(D55&gt;=4,2,IF(D55&gt;=2,1,IF(D55&lt;0,-1,0))))+IF(C55&gt;=80,0,IF(C55&gt;=60,1,2)))</f>
        <v/>
      </c>
      <c r="F55" s="9">
        <f>IF(B55="","",TEXT((11-B55)/10,"0%"))</f>
        <v/>
      </c>
      <c r="G55" s="7" t="inlineStr"/>
      <c r="H55" s="9">
        <f>IF(B55="","",B55+IF(G55="",0,G55))</f>
        <v/>
      </c>
    </row>
    <row r="56">
      <c r="A56" s="6" t="inlineStr">
        <is>
          <t>行星7</t>
        </is>
      </c>
      <c r="B56" s="7" t="inlineStr"/>
      <c r="C56" s="7" t="inlineStr"/>
      <c r="D56" s="7" t="inlineStr"/>
      <c r="E56" s="9">
        <f>IF(B56="","",8-IF(D56&gt;=6,3,IF(D56&gt;=4,2,IF(D56&gt;=2,1,IF(D56&lt;0,-1,0))))+IF(C56&gt;=80,0,IF(C56&gt;=60,1,2)))</f>
        <v/>
      </c>
      <c r="F56" s="9">
        <f>IF(B56="","",TEXT((11-B56)/10,"0%"))</f>
        <v/>
      </c>
      <c r="G56" s="7" t="inlineStr"/>
      <c r="H56" s="9">
        <f>IF(B56="","",B56+IF(G56="",0,G56))</f>
        <v/>
      </c>
    </row>
    <row r="57">
      <c r="A57" s="6" t="inlineStr">
        <is>
          <t>行星8</t>
        </is>
      </c>
      <c r="B57" s="7" t="inlineStr"/>
      <c r="C57" s="7" t="inlineStr"/>
      <c r="D57" s="7" t="inlineStr"/>
      <c r="E57" s="9">
        <f>IF(B57="","",8-IF(D57&gt;=6,3,IF(D57&gt;=4,2,IF(D57&gt;=2,1,IF(D57&lt;0,-1,0))))+IF(C57&gt;=80,0,IF(C57&gt;=60,1,2)))</f>
        <v/>
      </c>
      <c r="F57" s="9">
        <f>IF(B57="","",TEXT((11-B57)/10,"0%"))</f>
        <v/>
      </c>
      <c r="G57" s="7" t="inlineStr"/>
      <c r="H57" s="9">
        <f>IF(B57="","",B57+IF(G57="",0,G57))</f>
        <v/>
      </c>
    </row>
    <row r="58"/>
    <row r="59"/>
    <row r="60">
      <c r="A60" s="3" t="inlineStr">
        <is>
          <t>█ 穩定度計算器（輸入修正值→自動計算當前穩定度）</t>
        </is>
      </c>
      <c r="B60" s="11" t="n"/>
      <c r="C60" s="11" t="n"/>
      <c r="D60" s="11" t="n"/>
      <c r="E60" s="11" t="n"/>
      <c r="F60" s="11" t="n"/>
      <c r="G60" s="11" t="n"/>
      <c r="H60" s="12" t="n"/>
    </row>
    <row r="61">
      <c r="A61" s="5" t="inlineStr">
        <is>
          <t>凝聚力（UNI）基線</t>
        </is>
      </c>
      <c r="B61" s="9">
        <f>B21</f>
        <v/>
      </c>
      <c r="C61" s="8" t="inlineStr">
        <is>
          <t>每行星在此基礎上疊加修正</t>
        </is>
      </c>
    </row>
    <row r="62">
      <c r="A62" s="5" t="inlineStr">
        <is>
          <t>消費品修正</t>
        </is>
      </c>
      <c r="B62" s="7" t="inlineStr">
        <is>
          <t>+10</t>
        </is>
      </c>
      <c r="C62" s="8" t="inlineStr">
        <is>
          <t>+10(充足)/-15(短缺)</t>
        </is>
      </c>
    </row>
    <row r="63">
      <c r="A63" s="5" t="inlineStr">
        <is>
          <t>戰爭修正</t>
        </is>
      </c>
      <c r="B63" s="7" t="inlineStr">
        <is>
          <t>-5</t>
        </is>
      </c>
      <c r="C63" s="8" t="inlineStr">
        <is>
          <t>-5(戰爭)/-10(敵艦)</t>
        </is>
      </c>
    </row>
    <row r="64">
      <c r="A64" s="5" t="inlineStr">
        <is>
          <t>種族歧視修正</t>
        </is>
      </c>
      <c r="B64" s="7" t="inlineStr"/>
      <c r="C64" s="8" t="inlineStr">
        <is>
          <t>每類-5</t>
        </is>
      </c>
    </row>
    <row r="65">
      <c r="A65" s="5" t="inlineStr">
        <is>
          <t>派系修正</t>
        </is>
      </c>
      <c r="B65" s="7" t="inlineStr"/>
      <c r="C65" s="8" t="inlineStr">
        <is>
          <t>滿意+5/不滿-5每類</t>
        </is>
      </c>
    </row>
    <row r="66">
      <c r="A66" s="5" t="inlineStr">
        <is>
          <t>總督修正</t>
        </is>
      </c>
      <c r="B66" s="7" t="inlineStr"/>
      <c r="C66" s="8" t="inlineStr">
        <is>
          <t>技能等級×2</t>
        </is>
      </c>
    </row>
    <row r="67">
      <c r="A67" s="5" t="inlineStr">
        <is>
          <t>事件修正</t>
        </is>
      </c>
      <c r="B67" s="7" t="inlineStr"/>
      <c r="C67" s="8" t="inlineStr">
        <is>
          <t>GM裁定±5~20</t>
        </is>
      </c>
    </row>
    <row r="68">
      <c r="A68" s="5" t="inlineStr">
        <is>
          <t>當前穩定度</t>
        </is>
      </c>
      <c r="B68" s="9">
        <f>B21+B62+B63+B64+B65+B66+B67</f>
        <v/>
      </c>
      <c r="D68" s="5" t="inlineStr">
        <is>
          <t>狀態</t>
        </is>
      </c>
      <c r="E68" s="10">
        <f>IF(B68&gt;=90,"乌托邦(产出+20%)",IF(B68&gt;=70,"繁荣(产出+10%)",IF(B68&gt;=40,"稳定(正常)",IF(B68&gt;=20,"动荡(产出-20%)",IF(B68&gt;=1,"危机(产出-50%)","崩溃(独立)")))))</f>
        <v/>
      </c>
    </row>
    <row r="69"/>
    <row r="70">
      <c r="A70" s="3" t="inlineStr">
        <is>
          <t>█ 特質 / 專長 / 飛昇</t>
        </is>
      </c>
      <c r="B70" s="11" t="n"/>
      <c r="C70" s="11" t="n"/>
      <c r="D70" s="11" t="n"/>
      <c r="E70" s="11" t="n"/>
      <c r="F70" s="11" t="n"/>
      <c r="G70" s="11" t="n"/>
      <c r="H70" s="12" t="n"/>
    </row>
    <row r="71">
      <c r="A71" s="5" t="inlineStr">
        <is>
          <t>特質(最多5個)</t>
        </is>
      </c>
      <c r="B71" s="6" t="inlineStr"/>
      <c r="C71" s="11" t="n"/>
      <c r="D71" s="11" t="n"/>
      <c r="E71" s="11" t="n"/>
      <c r="F71" s="11" t="n"/>
      <c r="G71" s="11" t="n"/>
      <c r="H71" s="12" t="n"/>
    </row>
    <row r="72">
      <c r="A72" s="5" t="inlineStr">
        <is>
          <t>專長(最多5個)</t>
        </is>
      </c>
      <c r="B72" s="6" t="inlineStr"/>
      <c r="C72" s="11" t="n"/>
      <c r="D72" s="11" t="n"/>
      <c r="E72" s="11" t="n"/>
      <c r="F72" s="11" t="n"/>
      <c r="G72" s="11" t="n"/>
      <c r="H72" s="12" t="n"/>
    </row>
    <row r="73">
      <c r="A73" s="5" t="inlineStr">
        <is>
          <t>飛昇天賦(最多5個)</t>
        </is>
      </c>
      <c r="B73" s="6" t="inlineStr"/>
      <c r="C73" s="11" t="n"/>
      <c r="D73" s="11" t="n"/>
      <c r="E73" s="11" t="n"/>
      <c r="F73" s="11" t="n"/>
      <c r="G73" s="11" t="n"/>
      <c r="H73" s="12" t="n"/>
    </row>
    <row r="74"/>
    <row r="75">
      <c r="A75" s="3" t="inlineStr">
        <is>
          <t>█ 科技 / 傳統 / 資源 / 艦隊</t>
        </is>
      </c>
      <c r="B75" s="11" t="n"/>
      <c r="C75" s="11" t="n"/>
      <c r="D75" s="11" t="n"/>
      <c r="E75" s="11" t="n"/>
      <c r="F75" s="11" t="n"/>
      <c r="G75" s="11" t="n"/>
      <c r="H75" s="12" t="n"/>
    </row>
    <row r="76">
      <c r="A76" s="5" t="inlineStr">
        <is>
          <t>已解鎖物理科技</t>
        </is>
      </c>
      <c r="B76" s="6" t="inlineStr"/>
      <c r="C76" s="11" t="n"/>
      <c r="D76" s="11" t="n"/>
      <c r="E76" s="11" t="n"/>
      <c r="F76" s="11" t="n"/>
      <c r="G76" s="11" t="n"/>
      <c r="H76" s="12" t="n"/>
    </row>
    <row r="77">
      <c r="A77" s="5" t="inlineStr">
        <is>
          <t>已解鎖社會科技</t>
        </is>
      </c>
      <c r="B77" s="6" t="inlineStr"/>
      <c r="C77" s="11" t="n"/>
      <c r="D77" s="11" t="n"/>
      <c r="E77" s="11" t="n"/>
      <c r="F77" s="11" t="n"/>
      <c r="G77" s="11" t="n"/>
      <c r="H77" s="12" t="n"/>
    </row>
    <row r="78">
      <c r="A78" s="5" t="inlineStr">
        <is>
          <t>已解鎖工程科技</t>
        </is>
      </c>
      <c r="B78" s="6" t="inlineStr"/>
      <c r="C78" s="11" t="n"/>
      <c r="D78" s="11" t="n"/>
      <c r="E78" s="11" t="n"/>
      <c r="F78" s="11" t="n"/>
      <c r="G78" s="11" t="n"/>
      <c r="H78" s="12" t="n"/>
    </row>
    <row r="79">
      <c r="A79" s="5" t="inlineStr">
        <is>
          <t>傳統樹進度（擴張/支配/繁榮/探索/和諧/諜報）</t>
        </is>
      </c>
      <c r="B79" s="6" t="inlineStr"/>
      <c r="C79" s="11" t="n"/>
      <c r="D79" s="11" t="n"/>
      <c r="E79" s="11" t="n"/>
      <c r="F79" s="11" t="n"/>
      <c r="G79" s="11" t="n"/>
      <c r="H79" s="12" t="n"/>
    </row>
    <row r="80">
      <c r="A80" s="5" t="inlineStr">
        <is>
          <t>基礎資源（能源（EC）／礦物（MIN）／食物（FOOD）／合金（ALLOY）／消費品（CG）／影響力（INF））</t>
        </is>
      </c>
      <c r="B80" s="6" t="inlineStr"/>
      <c r="C80" s="11" t="n"/>
      <c r="D80" s="11" t="n"/>
      <c r="E80" s="11" t="n"/>
      <c r="F80" s="11" t="n"/>
      <c r="G80" s="11" t="n"/>
      <c r="H80" s="12" t="n"/>
    </row>
    <row r="81">
      <c r="A81" s="5" t="inlineStr">
        <is>
          <t>稀有資源</t>
        </is>
      </c>
      <c r="B81" s="6" t="inlineStr"/>
      <c r="C81" s="11" t="n"/>
      <c r="D81" s="11" t="n"/>
      <c r="E81" s="11" t="n"/>
      <c r="F81" s="11" t="n"/>
      <c r="G81" s="11" t="n"/>
      <c r="H81" s="12" t="n"/>
    </row>
    <row r="82">
      <c r="A82" s="5" t="inlineStr">
        <is>
          <t>艦隊組成</t>
        </is>
      </c>
      <c r="B82" s="6" t="inlineStr"/>
      <c r="C82" s="11" t="n"/>
      <c r="D82" s="11" t="n"/>
      <c r="E82" s="11" t="n"/>
      <c r="F82" s="11" t="n"/>
      <c r="G82" s="11" t="n"/>
      <c r="H82" s="12" t="n"/>
    </row>
  </sheetData>
  <mergeCells count="23">
    <mergeCell ref="A48:H48"/>
    <mergeCell ref="A30:H30"/>
    <mergeCell ref="A60:H60"/>
    <mergeCell ref="A1:H1"/>
    <mergeCell ref="B80:H80"/>
    <mergeCell ref="B76:H76"/>
    <mergeCell ref="A70:H70"/>
    <mergeCell ref="B79:H79"/>
    <mergeCell ref="B72:H72"/>
    <mergeCell ref="A75:H75"/>
    <mergeCell ref="B81:H81"/>
    <mergeCell ref="A12:H12"/>
    <mergeCell ref="A18:H18"/>
    <mergeCell ref="B71:H71"/>
    <mergeCell ref="A2:H2"/>
    <mergeCell ref="B77:H77"/>
    <mergeCell ref="A22:H22"/>
    <mergeCell ref="A4:H4"/>
    <mergeCell ref="A35:H35"/>
    <mergeCell ref="B33:F33"/>
    <mergeCell ref="B82:H82"/>
    <mergeCell ref="B73:H73"/>
    <mergeCell ref="B78:H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2026-06-20T17:55:50Z</dcterms:created>
  <dcterms:modified xsi:type="dcterms:W3CDTF">2026-07-18T07:39:29Z</dcterms:modified>
</cp:coreProperties>
</file>