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na Vásquez" sheetId="1" state="visible" r:id="rId1"/>
    <sheet name="Marcus Kyle" sheetId="2" state="visible" r:id="rId2"/>
    <sheet name="Dr. Ian Harlow" sheetId="3" state="visible" r:id="rId3"/>
    <sheet name="D-4815 &quot;Rusty&quot;" sheetId="4" state="visible" r:id="rId4"/>
    <sheet name="D-7231 &quot;Dentist&quot;" sheetId="5" state="visible" r:id="rId5"/>
    <sheet name="O5-9" sheetId="6" state="visible" r:id="rId6"/>
    <sheet name="Dr. Mira Voss" sheetId="7" state="visible" r:id="rId7"/>
    <sheet name="Dr. Chen Aila" sheetId="8" state="visible" r:id="rId8"/>
    <sheet name="Dr. Wei (Patient Zero)" sheetId="9" state="visible" r:id="rId9"/>
    <sheet name="&quot;Echo&quot; Collective Personality" sheetId="10" state="visible" r:id="rId10"/>
    <sheet name="Director Cross" sheetId="11" state="visible" r:id="rId11"/>
    <sheet name="Security Director Tanaka" sheetId="12" state="visible" r:id="rId12"/>
    <sheet name="D-7844 &quot;Key&quot;" sheetId="13" state="visible" r:id="rId13"/>
    <sheet name="&quot;Warden&quot; Aria" sheetId="14" state="visible" r:id="rId14"/>
    <sheet name="D-9921 &quot;Preacher&quot;" sheetId="15" state="visible" r:id="rId15"/>
    <sheet name="參考資料" sheetId="16" state="hidden" r:id="rId16"/>
    <sheet name="Kohl (Companion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0000CC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Elena Vásquez</t>
        </is>
      </c>
      <c r="B4" s="3" t="inlineStr">
        <is>
          <t>Hammer-1</t>
        </is>
      </c>
      <c r="C4" s="3" t="inlineStr">
        <is>
          <t>MTF Nu-7 Captain</t>
        </is>
      </c>
      <c r="D4" s="3" t="inlineStr">
        <is>
          <t>Tactical Command</t>
        </is>
      </c>
      <c r="E4" s="3" t="inlineStr">
        <is>
          <t>7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CL.3</t>
        </is>
      </c>
      <c r="B6" s="3" t="n"/>
      <c r="C6" s="3" t="n"/>
      <c r="D6" s="3" t="inlineStr">
        <is>
          <t>A-Daybreak Protocol</t>
        </is>
      </c>
      <c r="E6" s="3" t="inlineStr">
        <is>
          <t>Former CI double agent; defected to the Foundation five years ago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55</t>
        </is>
      </c>
      <c r="C9" s="2" t="inlineStr">
        <is>
          <t>AGI
Agility</t>
        </is>
      </c>
      <c r="D9" s="3" t="inlineStr">
        <is>
          <t>58</t>
        </is>
      </c>
      <c r="E9" s="2" t="inlineStr">
        <is>
          <t>END
Endurance</t>
        </is>
      </c>
      <c r="F9" s="3" t="inlineStr">
        <is>
          <t>52</t>
        </is>
      </c>
      <c r="G9" s="2" t="inlineStr">
        <is>
          <t>INT
Intellect</t>
        </is>
      </c>
      <c r="H9" s="3" t="inlineStr">
        <is>
          <t>45</t>
        </is>
      </c>
    </row>
    <row r="10">
      <c r="A10" s="2" t="inlineStr">
        <is>
          <t>PER
Perception</t>
        </is>
      </c>
      <c r="B10" s="3" t="inlineStr">
        <is>
          <t>50</t>
        </is>
      </c>
      <c r="C10" s="2" t="inlineStr">
        <is>
          <t>WIL
Willpower</t>
        </is>
      </c>
      <c r="D10" s="3" t="inlineStr">
        <is>
          <t>48</t>
        </is>
      </c>
      <c r="E10" s="2" t="inlineStr">
        <is>
          <t>PRE
Presence</t>
        </is>
      </c>
      <c r="F10" s="3" t="inlineStr">
        <is>
          <t>42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inlineStr">
        <is>
          <t>78</t>
        </is>
      </c>
      <c r="D16" s="3" t="inlineStr">
        <is>
          <t>Heavy Weapons</t>
        </is>
      </c>
      <c r="E16" s="3" t="n"/>
      <c r="F16" s="3" t="inlineStr">
        <is>
          <t>Melee</t>
        </is>
      </c>
      <c r="G16" s="3" t="inlineStr">
        <is>
          <t>55</t>
        </is>
      </c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65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inlineStr">
        <is>
          <t>52</t>
        </is>
      </c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TP Tactical Points 5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7</t>
        </is>
      </c>
      <c r="B41" s="3" t="inlineStr">
        <is>
          <t>Tactical Master</t>
        </is>
      </c>
      <c r="C41" s="3" t="inlineStr">
        <is>
          <t>TP Pool Doubles</t>
        </is>
      </c>
      <c r="D41" s="3" t="inlineStr">
        <is>
          <t>-</t>
        </is>
      </c>
      <c r="E41" s="3" t="inlineStr">
        <is>
          <t>Permanent</t>
        </is>
      </c>
    </row>
    <row r="42">
      <c r="A42" s="3" t="inlineStr">
        <is>
          <t>1</t>
        </is>
      </c>
      <c r="B42" s="3" t="inlineStr">
        <is>
          <t>Combat Training</t>
        </is>
      </c>
      <c r="C42" s="3" t="inlineStr">
        <is>
          <t>Firearms+Melee +10</t>
        </is>
      </c>
      <c r="D42" s="3" t="inlineStr">
        <is>
          <t>-</t>
        </is>
      </c>
      <c r="E42" s="3" t="inlineStr">
        <is>
          <t>Permanent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Assault Rifle</t>
        </is>
      </c>
      <c r="B49" s="3" t="inlineStr">
        <is>
          <t>1d10Piercing</t>
        </is>
      </c>
      <c r="C49" s="3" t="inlineStr">
        <is>
          <t>Firearms</t>
        </is>
      </c>
      <c r="D49" s="3" t="inlineStr">
        <is>
          <t>30</t>
        </is>
      </c>
      <c r="E49" s="3" t="inlineStr">
        <is>
          <t>Auto Fire</t>
        </is>
      </c>
      <c r="F49" s="3" t="inlineStr">
        <is>
          <t>Tactical Vest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Standard Issue</t>
        </is>
      </c>
    </row>
    <row r="50"/>
    <row r="51"/>
    <row r="52"/>
    <row r="53">
      <c r="A53" s="2" t="inlineStr">
        <is>
          <t>Other Equipment</t>
        </is>
      </c>
    </row>
    <row r="54">
      <c r="A54" s="3" t="inlineStr">
        <is>
          <t>Comms Device, Night-Vision Goggles, Fragmentation Grenade ×2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MTF Nu-7 'Sledgehammer' Captain. Harsh but fair. Remembers the name of every subordinate who died under her command.</t>
        </is>
      </c>
    </row>
    <row r="60">
      <c r="A60" s="3" t="inlineStr">
        <is>
          <t>Secret</t>
        </is>
      </c>
      <c r="B60" s="3" t="inlineStr">
        <is>
          <t>Once a member of the Chaos Insurgency. Defected to the Foundation five years ago during Operation 'Copperhead'.</t>
        </is>
      </c>
    </row>
    <row r="61">
      <c r="A61" s="3" t="inlineStr">
        <is>
          <t>Desire</t>
        </is>
      </c>
      <c r="B61" s="3" t="inlineStr">
        <is>
          <t>Atonement — she believes she owes the Foundation a life.</t>
        </is>
      </c>
    </row>
    <row r="62">
      <c r="A62" s="3" t="inlineStr">
        <is>
          <t>Catchphrase</t>
        </is>
      </c>
      <c r="B62" s="3" t="inlineStr">
        <is>
          <t>"Never trust a person without fear. Fear makes you cautious; caution keeps you alive."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Marcus Kyle</t>
        </is>
      </c>
      <c r="B4" s="3" t="inlineStr">
        <is>
          <t>Squid</t>
        </is>
      </c>
      <c r="C4" s="3" t="inlineStr">
        <is>
          <t>Chaos Insurgency Commander</t>
        </is>
      </c>
      <c r="D4" s="3" t="inlineStr">
        <is>
          <t>Tactical Infiltration</t>
        </is>
      </c>
      <c r="E4" s="3" t="inlineStr">
        <is>
          <t>6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None (former CL.4)</t>
        </is>
      </c>
      <c r="B6" s="3" t="n"/>
      <c r="C6" s="3" t="n"/>
      <c r="D6" s="3" t="inlineStr">
        <is>
          <t>A-Daybreak Protocol</t>
        </is>
      </c>
      <c r="E6" s="3" t="inlineStr">
        <is>
          <t>Primary antagonist. Former Foundation CL.4, now CI covert-operations commander.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48</t>
        </is>
      </c>
      <c r="C9" s="2" t="inlineStr">
        <is>
          <t>AGI
Agility</t>
        </is>
      </c>
      <c r="D9" s="3" t="inlineStr">
        <is>
          <t>55</t>
        </is>
      </c>
      <c r="E9" s="2" t="inlineStr">
        <is>
          <t>END
Endurance</t>
        </is>
      </c>
      <c r="F9" s="3" t="inlineStr">
        <is>
          <t>45</t>
        </is>
      </c>
      <c r="G9" s="2" t="inlineStr">
        <is>
          <t>INT
Intellect</t>
        </is>
      </c>
      <c r="H9" s="3" t="inlineStr">
        <is>
          <t>60</t>
        </is>
      </c>
    </row>
    <row r="10">
      <c r="A10" s="2" t="inlineStr">
        <is>
          <t>PER
Perception</t>
        </is>
      </c>
      <c r="B10" s="3" t="inlineStr">
        <is>
          <t>52</t>
        </is>
      </c>
      <c r="C10" s="2" t="inlineStr">
        <is>
          <t>WIL
Willpower</t>
        </is>
      </c>
      <c r="D10" s="3" t="inlineStr">
        <is>
          <t>38</t>
        </is>
      </c>
      <c r="E10" s="2" t="inlineStr">
        <is>
          <t>PRE
Presence</t>
        </is>
      </c>
      <c r="F10" s="3" t="inlineStr">
        <is>
          <t>58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inlineStr">
        <is>
          <t>68</t>
        </is>
      </c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inlineStr">
        <is>
          <t>55</t>
        </is>
      </c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inlineStr">
        <is>
          <t>72</t>
        </is>
      </c>
      <c r="F28" s="3" t="inlineStr">
        <is>
          <t>Interrogation</t>
        </is>
      </c>
      <c r="G28" s="3" t="inlineStr">
        <is>
          <t>65</t>
        </is>
      </c>
    </row>
    <row r="29">
      <c r="B29" s="3" t="inlineStr">
        <is>
          <t>Leadership</t>
        </is>
      </c>
      <c r="C29" s="3" t="inlineStr">
        <is>
          <t>60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CI Equipment Resources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6</t>
        </is>
      </c>
      <c r="B41" s="3" t="inlineStr">
        <is>
          <t>Scranton Anchor Jammer</t>
        </is>
      </c>
      <c r="C41" s="3" t="inlineStr">
        <is>
          <t>Within 30m, Anomalistics checks suffer −20 TN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inlineStr">
        <is>
          <t>5</t>
        </is>
      </c>
      <c r="B42" s="3" t="inlineStr">
        <is>
          <t>Escape Protocol</t>
        </is>
      </c>
      <c r="C42" s="3" t="inlineStr">
        <is>
          <t>Auto-retreat when HP &lt; 25%</t>
        </is>
      </c>
      <c r="D42" s="3" t="inlineStr">
        <is>
          <t>-</t>
        </is>
      </c>
      <c r="E42" s="3" t="inlineStr">
        <is>
          <t>Once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Submachine Gun</t>
        </is>
      </c>
      <c r="B49" s="3" t="inlineStr">
        <is>
          <t>1d8Piercing</t>
        </is>
      </c>
      <c r="C49" s="3" t="inlineStr">
        <is>
          <t>Firearms</t>
        </is>
      </c>
      <c r="D49" s="3" t="inlineStr">
        <is>
          <t>30</t>
        </is>
      </c>
      <c r="E49" s="3" t="inlineStr">
        <is>
          <t>Auto Fire</t>
        </is>
      </c>
      <c r="F49" s="3" t="inlineStr">
        <is>
          <t>Tactical Vest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CI Standard</t>
        </is>
      </c>
    </row>
    <row r="50">
      <c r="A50" s="3" t="inlineStr">
        <is>
          <t>Combat Knife</t>
        </is>
      </c>
      <c r="B50" s="3" t="inlineStr">
        <is>
          <t>1d6 slashing</t>
        </is>
      </c>
      <c r="C50" s="3" t="inlineStr">
        <is>
          <t>Melee</t>
        </is>
      </c>
      <c r="D50" s="3" t="inlineStr">
        <is>
          <t>-</t>
        </is>
      </c>
      <c r="E50" s="3" t="inlineStr">
        <is>
          <t>Concealment</t>
        </is>
      </c>
    </row>
    <row r="51"/>
    <row r="52"/>
    <row r="53">
      <c r="A53" s="2" t="inlineStr">
        <is>
          <t>Other Equipment</t>
        </is>
      </c>
    </row>
    <row r="54">
      <c r="A54" s="3" t="inlineStr">
        <is>
          <t>Demolition Charges ×3, Smoke Grenade, Anomaly Trigger Device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Calm to the point of cruelty, always smiling. Speaks like an academic discussion — even while firing.</t>
        </is>
      </c>
    </row>
    <row r="60">
      <c r="A60" s="3" t="inlineStr">
        <is>
          <t>Secret</t>
        </is>
      </c>
      <c r="B60" s="3" t="inlineStr">
        <is>
          <t>Vásquez's partner during their CI days. After her defection, Kyle was internally purged for three days.</t>
        </is>
      </c>
    </row>
    <row r="61">
      <c r="A61" s="3" t="inlineStr">
        <is>
          <t>Desire</t>
        </is>
      </c>
      <c r="B61" s="3" t="inlineStr">
        <is>
          <t>To prove Vásquez wrong for choosing the Foundation.</t>
        </is>
      </c>
    </row>
    <row r="62">
      <c r="A62" s="3" t="inlineStr">
        <is>
          <t>Catchphrase</t>
        </is>
      </c>
      <c r="B62" s="3" t="inlineStr">
        <is>
          <t>"At least we're honest — we admit we are monsters. What about you? Hiding behind lab coats and pretending containment is justice."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Dr. Ian Harlow</t>
        </is>
      </c>
      <c r="B4" s="3" t="n"/>
      <c r="C4" s="3" t="inlineStr">
        <is>
          <t>Site-19 Site Director</t>
        </is>
      </c>
      <c r="D4" s="3" t="inlineStr">
        <is>
          <t>Administrative Bureaucrat</t>
        </is>
      </c>
      <c r="E4" s="3" t="inlineStr">
        <is>
          <t>8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CL.4</t>
        </is>
      </c>
      <c r="B6" s="3" t="n"/>
      <c r="C6" s="3" t="n"/>
      <c r="D6" s="3" t="inlineStr">
        <is>
          <t>A-Daybreak Protocol</t>
        </is>
      </c>
      <c r="E6" s="3" t="inlineStr">
        <is>
          <t>22 years of Foundation service. Age 57, a weary middle-aged administrator.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30</t>
        </is>
      </c>
      <c r="C9" s="2" t="inlineStr">
        <is>
          <t>AGI
Agility</t>
        </is>
      </c>
      <c r="D9" s="3" t="inlineStr">
        <is>
          <t>32</t>
        </is>
      </c>
      <c r="E9" s="2" t="inlineStr">
        <is>
          <t>END
Endurance</t>
        </is>
      </c>
      <c r="F9" s="3" t="inlineStr">
        <is>
          <t>35</t>
        </is>
      </c>
      <c r="G9" s="2" t="inlineStr">
        <is>
          <t>INT
Intellect</t>
        </is>
      </c>
      <c r="H9" s="3" t="inlineStr">
        <is>
          <t>62</t>
        </is>
      </c>
    </row>
    <row r="10">
      <c r="A10" s="2" t="inlineStr">
        <is>
          <t>PER
Perception</t>
        </is>
      </c>
      <c r="B10" s="3" t="inlineStr">
        <is>
          <t>48</t>
        </is>
      </c>
      <c r="C10" s="2" t="inlineStr">
        <is>
          <t>WIL
Willpower</t>
        </is>
      </c>
      <c r="D10" s="3" t="inlineStr">
        <is>
          <t>50</t>
        </is>
      </c>
      <c r="E10" s="2" t="inlineStr">
        <is>
          <t>PRE
Presence</t>
        </is>
      </c>
      <c r="F10" s="3" t="inlineStr">
        <is>
          <t>55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75</t>
        </is>
      </c>
      <c r="D24" s="3" t="inlineStr">
        <is>
          <t>Foundation Lore</t>
        </is>
      </c>
      <c r="E24" s="3" t="inlineStr">
        <is>
          <t>68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60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55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Site Director Authority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8</t>
        </is>
      </c>
      <c r="B41" s="3" t="inlineStr">
        <is>
          <t>Site Command</t>
        </is>
      </c>
      <c r="C41" s="3" t="inlineStr">
        <is>
          <t>May issue site-wide emergency protocols</t>
        </is>
      </c>
      <c r="D41" s="3" t="inlineStr">
        <is>
          <t>-</t>
        </is>
      </c>
      <c r="E41" s="3" t="inlineStr">
        <is>
          <t>Mission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SCiPNet Terminal, O5 Direct Comms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A weary middle-aged administrator whose words always carry sarcasm. Has seen too much — no longer loses sleep, but still cares.</t>
        </is>
      </c>
    </row>
    <row r="60">
      <c r="A60" s="3" t="inlineStr">
        <is>
          <t>Secret</t>
        </is>
      </c>
      <c r="B60" s="3" t="inlineStr">
        <is>
          <t>Approved an unauthorized SCP-████-C energy experiment three months ago without O5 authorization. The CI located SCP-████-C via the Hume fluctuations the experiment produced.</t>
        </is>
      </c>
    </row>
    <row r="61">
      <c r="A61" s="3" t="inlineStr">
        <is>
          <t>Desire</t>
        </is>
      </c>
      <c r="B61" s="3" t="inlineStr">
        <is>
          <t>To leave something behind before retirement — proof that his methods were right.</t>
        </is>
      </c>
    </row>
    <row r="62">
      <c r="A62" s="3" t="inlineStr">
        <is>
          <t>Catchphrase</t>
        </is>
      </c>
      <c r="B62" s="3" t="inlineStr">
        <is>
          <t>"Sometimes a containment breach isn't an accident — it's a cost. The question is: are you ready to pay?"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D-4815 "Rusty"</t>
        </is>
      </c>
      <c r="B4" s="3" t="inlineStr">
        <is>
          <t>Rusty</t>
        </is>
      </c>
      <c r="C4" s="3" t="inlineStr">
        <is>
          <t>D-Class Personnel</t>
        </is>
      </c>
      <c r="D4" s="3" t="inlineStr">
        <is>
          <t>Survivor</t>
        </is>
      </c>
      <c r="E4" s="3" t="inlineStr">
        <is>
          <t>3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CL.0</t>
        </is>
      </c>
      <c r="B6" s="3" t="n"/>
      <c r="C6" s="3" t="n"/>
      <c r="D6" s="3" t="inlineStr">
        <is>
          <t>A-Daybreak Protocol</t>
        </is>
      </c>
      <c r="E6" s="3" t="inlineStr">
        <is>
          <t>A street-survival genius. Silver-tongued but never groveling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38</t>
        </is>
      </c>
      <c r="C9" s="2" t="inlineStr">
        <is>
          <t>AGI
Agility</t>
        </is>
      </c>
      <c r="D9" s="3" t="inlineStr">
        <is>
          <t>48</t>
        </is>
      </c>
      <c r="E9" s="2" t="inlineStr">
        <is>
          <t>END
Endurance</t>
        </is>
      </c>
      <c r="F9" s="3" t="inlineStr">
        <is>
          <t>42</t>
        </is>
      </c>
      <c r="G9" s="2" t="inlineStr">
        <is>
          <t>INT
Intellect</t>
        </is>
      </c>
      <c r="H9" s="3" t="inlineStr">
        <is>
          <t>40</t>
        </is>
      </c>
    </row>
    <row r="10">
      <c r="A10" s="2" t="inlineStr">
        <is>
          <t>PER
Perception</t>
        </is>
      </c>
      <c r="B10" s="3" t="inlineStr">
        <is>
          <t>55</t>
        </is>
      </c>
      <c r="C10" s="2" t="inlineStr">
        <is>
          <t>WIL
Willpower</t>
        </is>
      </c>
      <c r="D10" s="3" t="inlineStr">
        <is>
          <t>45</t>
        </is>
      </c>
      <c r="E10" s="2" t="inlineStr">
        <is>
          <t>PRE
Presence</t>
        </is>
      </c>
      <c r="F10" s="3" t="inlineStr">
        <is>
          <t>35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inlineStr">
        <is>
          <t>35</t>
        </is>
      </c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inlineStr">
        <is>
          <t>42</t>
        </is>
      </c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inlineStr">
        <is>
          <t>52</t>
        </is>
      </c>
      <c r="D32" s="3" t="inlineStr">
        <is>
          <t>Observation</t>
        </is>
      </c>
      <c r="E32" s="3" t="inlineStr">
        <is>
          <t>50</t>
        </is>
      </c>
      <c r="F32" s="3" t="inlineStr">
        <is>
          <t>Survival</t>
        </is>
      </c>
      <c r="G32" s="3" t="inlineStr">
        <is>
          <t>48</t>
        </is>
      </c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LP Luck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3</t>
        </is>
      </c>
      <c r="B41" s="3" t="inlineStr">
        <is>
          <t>Inconspicuous</t>
        </is>
      </c>
      <c r="C41" s="3" t="inlineStr">
        <is>
          <t>Enemies prioritize attacking the most threatening target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Improvised Weapon</t>
        </is>
      </c>
      <c r="B49" s="3" t="inlineStr">
        <is>
          <t>1d6</t>
        </is>
      </c>
      <c r="C49" s="3" t="inlineStr">
        <is>
          <t>Bludgeoning</t>
        </is>
      </c>
      <c r="D49" s="3" t="inlineStr">
        <is>
          <t>-</t>
        </is>
      </c>
      <c r="E49" s="3" t="inlineStr">
        <is>
          <t>Scrap Assembled</t>
        </is>
      </c>
      <c r="F49" s="3" t="inlineStr">
        <is>
          <t>Orange Jumpsuit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-</t>
        </is>
      </c>
    </row>
    <row r="50"/>
    <row r="51"/>
    <row r="52"/>
    <row r="53">
      <c r="A53" s="2" t="inlineStr">
        <is>
          <t>Other Equipment</t>
        </is>
      </c>
    </row>
    <row r="54">
      <c r="A54" s="3" t="inlineStr">
        <is>
          <t>ID Tag (with tracker)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Calls himself 'Rashti,' claiming his luck rusted away long ago. Can find a sliver of hope in the worst situations.</t>
        </is>
      </c>
    </row>
    <row r="60">
      <c r="A60" s="3" t="inlineStr">
        <is>
          <t>Secret</t>
        </is>
      </c>
      <c r="B60" s="3" t="inlineStr">
        <is>
          <t>Once a peripheral informant for the Chaos Insurgency — running errands in the anomalous-item black market. Some infiltrating CI members recognized him.</t>
        </is>
      </c>
    </row>
    <row r="61">
      <c r="A61" s="3" t="inlineStr">
        <is>
          <t>Desire</t>
        </is>
      </c>
      <c r="B61" s="3" t="inlineStr">
        <is>
          <t>To leave Site-19 alive — not as D-Class, but as a peripheral informant trading for freedom.</t>
        </is>
      </c>
    </row>
    <row r="62">
      <c r="A62" s="3" t="inlineStr">
        <is>
          <t>Catchphrase</t>
        </is>
      </c>
      <c r="B62" s="3" t="inlineStr">
        <is>
          <t>"I've seen both worlds. Believe me — yours isn't clean either, but at least you don't turn people into weapons."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D-7231 "Dentist"</t>
        </is>
      </c>
      <c r="B4" s="3" t="inlineStr">
        <is>
          <t>Dentist</t>
        </is>
      </c>
      <c r="C4" s="3" t="inlineStr">
        <is>
          <t>D-Class Personnel</t>
        </is>
      </c>
      <c r="D4" s="3" t="n"/>
      <c r="E4" s="3" t="inlineStr">
        <is>
          <t>2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CL.0</t>
        </is>
      </c>
      <c r="B6" s="3" t="n"/>
      <c r="C6" s="3" t="n"/>
      <c r="D6" s="3" t="inlineStr">
        <is>
          <t>A-Daybreak Protocol (optional)</t>
        </is>
      </c>
      <c r="E6" s="3" t="inlineStr">
        <is>
          <t>Former oral surgeon, imprisoned for illegal organ trafficking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25</t>
        </is>
      </c>
      <c r="C9" s="2" t="inlineStr">
        <is>
          <t>AGI
Agility</t>
        </is>
      </c>
      <c r="D9" s="3" t="inlineStr">
        <is>
          <t>38</t>
        </is>
      </c>
      <c r="E9" s="2" t="inlineStr">
        <is>
          <t>END
Endurance</t>
        </is>
      </c>
      <c r="F9" s="3" t="inlineStr">
        <is>
          <t>30</t>
        </is>
      </c>
      <c r="G9" s="2" t="inlineStr">
        <is>
          <t>INT
Intellect</t>
        </is>
      </c>
      <c r="H9" s="3" t="inlineStr">
        <is>
          <t>55</t>
        </is>
      </c>
    </row>
    <row r="10">
      <c r="A10" s="2" t="inlineStr">
        <is>
          <t>PER
Perception</t>
        </is>
      </c>
      <c r="B10" s="3" t="inlineStr">
        <is>
          <t>42</t>
        </is>
      </c>
      <c r="C10" s="2" t="inlineStr">
        <is>
          <t>WIL
Willpower</t>
        </is>
      </c>
      <c r="D10" s="3" t="inlineStr">
        <is>
          <t>35</t>
        </is>
      </c>
      <c r="E10" s="2" t="inlineStr">
        <is>
          <t>PRE
Presence</t>
        </is>
      </c>
      <c r="F10" s="3" t="inlineStr">
        <is>
          <t>40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inlineStr">
        <is>
          <t>68</t>
        </is>
      </c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45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inlineStr">
        <is>
          <t>38</t>
        </is>
      </c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LP Luck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CI Infiltrator Comms Device (found)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Neurotic and talkative. Under stress he unconsciously talks about teeth — 'Stress makes you grind your teeth...'</t>
        </is>
      </c>
    </row>
    <row r="60">
      <c r="A60" s="3" t="inlineStr">
        <is>
          <t>Secret</t>
        </is>
      </c>
      <c r="B60" s="3" t="inlineStr">
        <is>
          <t>Picked up a CI infiltrator's comms device during the D-Class containment riot; it holds part of the infiltration plan.</t>
        </is>
      </c>
    </row>
    <row r="61">
      <c r="A61" s="3" t="inlineStr">
        <is>
          <t>Desire</t>
        </is>
      </c>
      <c r="B61" s="3" t="inlineStr">
        <is>
          <t>To survive. That's all.</t>
        </is>
      </c>
    </row>
    <row r="62">
      <c r="A62" s="3" t="inlineStr">
        <is>
          <t>Catchphrase</t>
        </is>
      </c>
      <c r="B62" s="3" t="inlineStr">
        <is>
          <t>"Now I just wish I were still looking at oral cancer."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O5-9</t>
        </is>
      </c>
      <c r="B4" s="3" t="inlineStr">
        <is>
          <t>The Historian</t>
        </is>
      </c>
      <c r="C4" s="3" t="inlineStr">
        <is>
          <t>O5 Council Member</t>
        </is>
      </c>
      <c r="D4" s="3" t="n"/>
      <c r="E4" s="3" t="inlineStr">
        <is>
          <t>10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CL.5</t>
        </is>
      </c>
      <c r="B6" s="3" t="n"/>
      <c r="C6" s="3" t="n"/>
      <c r="D6" s="3" t="inlineStr">
        <is>
          <t>B-Crimson Dossier</t>
        </is>
      </c>
      <c r="E6" s="3" t="inlineStr">
        <is>
          <t>The Foundation's highest decision-making body. Original approver of the Whisper Chain incident.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15</t>
        </is>
      </c>
      <c r="C9" s="2" t="inlineStr">
        <is>
          <t>AGI
Agility</t>
        </is>
      </c>
      <c r="D9" s="3" t="inlineStr">
        <is>
          <t>20</t>
        </is>
      </c>
      <c r="E9" s="2" t="inlineStr">
        <is>
          <t>END
Endurance</t>
        </is>
      </c>
      <c r="F9" s="3" t="inlineStr">
        <is>
          <t>25</t>
        </is>
      </c>
      <c r="G9" s="2" t="inlineStr">
        <is>
          <t>INT
Intellect</t>
        </is>
      </c>
      <c r="H9" s="3" t="inlineStr">
        <is>
          <t>65</t>
        </is>
      </c>
    </row>
    <row r="10">
      <c r="A10" s="2" t="inlineStr">
        <is>
          <t>PER
Perception</t>
        </is>
      </c>
      <c r="B10" s="3" t="inlineStr">
        <is>
          <t>55</t>
        </is>
      </c>
      <c r="C10" s="2" t="inlineStr">
        <is>
          <t>WIL
Willpower</t>
        </is>
      </c>
      <c r="D10" s="3" t="inlineStr">
        <is>
          <t>60</t>
        </is>
      </c>
      <c r="E10" s="2" t="inlineStr">
        <is>
          <t>PRE
Presence</t>
        </is>
      </c>
      <c r="F10" s="3" t="inlineStr">
        <is>
          <t>60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80</t>
        </is>
      </c>
      <c r="D24" s="3" t="inlineStr">
        <is>
          <t>Foundation Lore</t>
        </is>
      </c>
      <c r="E24" s="3" t="inlineStr">
        <is>
          <t>85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75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70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O5 Full Authority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10</t>
        </is>
      </c>
      <c r="B41" s="3" t="inlineStr">
        <is>
          <t>Samael-Level Clearance</t>
        </is>
      </c>
      <c r="C41" s="3" t="inlineStr">
        <is>
          <t>No Information Restrictions</t>
        </is>
      </c>
      <c r="D41" s="3" t="inlineStr">
        <is>
          <t>-</t>
        </is>
      </c>
      <c r="E41" s="3" t="inlineStr">
        <is>
          <t>Permanent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O5-Exclusive SCiPNet Terminal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Original 1978 approver of the Whisper Chain plan. Spent 40 years trying to cover it up. Now an old man on his deathbed, longing to confess before he dies.</t>
        </is>
      </c>
    </row>
    <row r="60">
      <c r="A60" s="3" t="inlineStr">
        <is>
          <t>Secret</t>
        </is>
      </c>
      <c r="B60" s="3" t="inlineStr">
        <is>
          <t>The Whisper Chain wasn't an accident — he authorized its 'limited spread' to test memetic-containment theory. The test spiraled out of control.</t>
        </is>
      </c>
    </row>
    <row r="61">
      <c r="A61" s="3" t="inlineStr">
        <is>
          <t>Desire</t>
        </is>
      </c>
      <c r="B61" s="3" t="inlineStr">
        <is>
          <t>Atonement. To leave a complete record before death — the Crimson Dossier.</t>
        </is>
      </c>
    </row>
    <row r="62">
      <c r="A62" s="3" t="inlineStr">
        <is>
          <t>Catchphrase</t>
        </is>
      </c>
      <c r="B62" s="3" t="inlineStr">
        <is>
          <t>"The Foundation's greatest lie isn't the cover-up from the public — it's the one we tell ourselves: that everything was necessary."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Dr. Mira Voss</t>
        </is>
      </c>
      <c r="B4" s="3" t="n"/>
      <c r="C4" s="3" t="inlineStr">
        <is>
          <t>Site-██ Archive Director</t>
        </is>
      </c>
      <c r="D4" s="3" t="n"/>
      <c r="E4" s="3" t="inlineStr">
        <is>
          <t>6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CL.4</t>
        </is>
      </c>
      <c r="B6" s="3" t="n"/>
      <c r="C6" s="3" t="n"/>
      <c r="D6" s="3" t="inlineStr">
        <is>
          <t>B-Crimson Dossier</t>
        </is>
      </c>
      <c r="E6" s="3" t="inlineStr">
        <is>
          <t>Current Site Director. Knows part of the truth and is lying.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20</t>
        </is>
      </c>
      <c r="C9" s="2" t="inlineStr">
        <is>
          <t>AGI
Agility</t>
        </is>
      </c>
      <c r="D9" s="3" t="inlineStr">
        <is>
          <t>25</t>
        </is>
      </c>
      <c r="E9" s="2" t="inlineStr">
        <is>
          <t>END
Endurance</t>
        </is>
      </c>
      <c r="F9" s="3" t="inlineStr">
        <is>
          <t>30</t>
        </is>
      </c>
      <c r="G9" s="2" t="inlineStr">
        <is>
          <t>INT
Intellect</t>
        </is>
      </c>
      <c r="H9" s="3" t="inlineStr">
        <is>
          <t>58</t>
        </is>
      </c>
    </row>
    <row r="10">
      <c r="A10" s="2" t="inlineStr">
        <is>
          <t>PER
Perception</t>
        </is>
      </c>
      <c r="B10" s="3" t="inlineStr">
        <is>
          <t>45</t>
        </is>
      </c>
      <c r="C10" s="2" t="inlineStr">
        <is>
          <t>WIL
Willpower</t>
        </is>
      </c>
      <c r="D10" s="3" t="inlineStr">
        <is>
          <t>48</t>
        </is>
      </c>
      <c r="E10" s="2" t="inlineStr">
        <is>
          <t>PRE
Presence</t>
        </is>
      </c>
      <c r="F10" s="3" t="inlineStr">
        <is>
          <t>55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70</t>
        </is>
      </c>
      <c r="D24" s="3" t="inlineStr">
        <is>
          <t>Foundation Lore</t>
        </is>
      </c>
      <c r="E24" s="3" t="inlineStr">
        <is>
          <t>65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inlineStr">
        <is>
          <t>60</t>
        </is>
      </c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55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IP Insight Points 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6</t>
        </is>
      </c>
      <c r="B41" s="3" t="inlineStr">
        <is>
          <t>Archive Lockdown</t>
        </is>
      </c>
      <c r="C41" s="3" t="inlineStr">
        <is>
          <t>May deny CL.3-and-below personnel access to specific files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Site Director Terminal, Sealed Archive Key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Cold, precise, bureaucratic. Uses regulations as a shield — hiding her fear of the Whisper Chain.</t>
        </is>
      </c>
    </row>
    <row r="60">
      <c r="A60" s="3" t="inlineStr">
        <is>
          <t>Secret</t>
        </is>
      </c>
      <c r="B60" s="3" t="inlineStr">
        <is>
          <t>She knows of the Whisper Chain's existence and the 1978 cover-up. She chooses to keep lying — because she believes the truth itself is a memetic hazard.</t>
        </is>
      </c>
    </row>
    <row r="61">
      <c r="A61" s="3" t="inlineStr">
        <is>
          <t>Desire</t>
        </is>
      </c>
      <c r="B61" s="3" t="inlineStr">
        <is>
          <t>To protect the Foundation — even if it means becoming part of the lie.</t>
        </is>
      </c>
    </row>
    <row r="62">
      <c r="A62" s="3" t="inlineStr">
        <is>
          <t>Catchphrase</t>
        </is>
      </c>
      <c r="B62" s="3" t="inlineStr">
        <is>
          <t>"Some truths aren't hidden — they're contained. To know is to be infected."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Dr. Chen Aila</t>
        </is>
      </c>
      <c r="B4" s="3" t="n"/>
      <c r="C4" s="3" t="inlineStr">
        <is>
          <t>Former Researcher (memory erased)</t>
        </is>
      </c>
      <c r="D4" s="3" t="inlineStr">
        <is>
          <t>Memeticist</t>
        </is>
      </c>
      <c r="E4" s="3" t="inlineStr">
        <is>
          <t>5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CL.3 (under revocation)</t>
        </is>
      </c>
      <c r="B6" s="3" t="n"/>
      <c r="C6" s="3" t="n"/>
      <c r="D6" s="3" t="inlineStr">
        <is>
          <t>B-Crimson Dossier</t>
        </is>
      </c>
      <c r="E6" s="3" t="inlineStr">
        <is>
          <t>Core researcher of the Whisper Chain project forty years ago. Part of her memory was erased via Class-A amnestics.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18</t>
        </is>
      </c>
      <c r="C9" s="2" t="inlineStr">
        <is>
          <t>AGI
Agility</t>
        </is>
      </c>
      <c r="D9" s="3" t="inlineStr">
        <is>
          <t>22</t>
        </is>
      </c>
      <c r="E9" s="2" t="inlineStr">
        <is>
          <t>END
Endurance</t>
        </is>
      </c>
      <c r="F9" s="3" t="inlineStr">
        <is>
          <t>28</t>
        </is>
      </c>
      <c r="G9" s="2" t="inlineStr">
        <is>
          <t>INT
Intellect</t>
        </is>
      </c>
      <c r="H9" s="3" t="inlineStr">
        <is>
          <t>62</t>
        </is>
      </c>
    </row>
    <row r="10">
      <c r="A10" s="2" t="inlineStr">
        <is>
          <t>PER
Perception</t>
        </is>
      </c>
      <c r="B10" s="3" t="inlineStr">
        <is>
          <t>50</t>
        </is>
      </c>
      <c r="C10" s="2" t="inlineStr">
        <is>
          <t>WIL
Willpower</t>
        </is>
      </c>
      <c r="D10" s="3" t="inlineStr">
        <is>
          <t>40</t>
        </is>
      </c>
      <c r="E10" s="2" t="inlineStr">
        <is>
          <t>PRE
Presence</t>
        </is>
      </c>
      <c r="F10" s="3" t="inlineStr">
        <is>
          <t>30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inlineStr">
        <is>
          <t>60</t>
        </is>
      </c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75</t>
        </is>
      </c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inlineStr">
        <is>
          <t>55</t>
        </is>
      </c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IP Insight Points 5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5</t>
        </is>
      </c>
      <c r="B41" s="3" t="inlineStr">
        <is>
          <t>Memory Residue</t>
        </is>
      </c>
      <c r="C41" s="3" t="inlineStr">
        <is>
          <t>Gains ADV on intuitive judgments regarding memetic anomalies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Private Research Notes (encrypted)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Warm but broken. Knows her memory was erased and struggles to piece together the fragments. Feels both gratitude and resentment toward the Foundation.</t>
        </is>
      </c>
    </row>
    <row r="60">
      <c r="A60" s="3" t="inlineStr">
        <is>
          <t>Secret</t>
        </is>
      </c>
      <c r="B60" s="3" t="inlineStr">
        <is>
          <t>Before her memory was erased, she encrypted the Whisper Chain's core data and hid it in the 'Library in the Mirror.'</t>
        </is>
      </c>
    </row>
    <row r="61">
      <c r="A61" s="3" t="inlineStr">
        <is>
          <t>Desire</t>
        </is>
      </c>
      <c r="B61" s="3" t="inlineStr">
        <is>
          <t>To recover her erased memory — and the reason she agreed to its erasure.</t>
        </is>
      </c>
    </row>
    <row r="62">
      <c r="A62" s="3" t="inlineStr">
        <is>
          <t>Catchphrase</t>
        </is>
      </c>
      <c r="B62" s="3" t="inlineStr">
        <is>
          <t>"They erased my memory — but they couldn't erase the name that fills my mouth each morning when I wake."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Dr. Wei (Patient Zero)</t>
        </is>
      </c>
      <c r="B4" s="3" t="inlineStr">
        <is>
          <t>Subject-0</t>
        </is>
      </c>
      <c r="C4" s="3" t="inlineStr">
        <is>
          <t>Whisper Chain Patient Zero</t>
        </is>
      </c>
      <c r="D4" s="3" t="n"/>
      <c r="E4" s="3" t="inlineStr">
        <is>
          <t>10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CL.5 (frozen)</t>
        </is>
      </c>
      <c r="B6" s="3" t="n"/>
      <c r="C6" s="3" t="n"/>
      <c r="D6" s="3" t="inlineStr">
        <is>
          <t>B-Crimson Dossier</t>
        </is>
      </c>
      <c r="E6" s="3" t="inlineStr">
        <is>
          <t>First Whisper Chain infectee in 1978. Isolated for 40 years. The meme has fused with his personality.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10</t>
        </is>
      </c>
      <c r="C9" s="2" t="inlineStr">
        <is>
          <t>AGI
Agility</t>
        </is>
      </c>
      <c r="D9" s="3" t="inlineStr">
        <is>
          <t>15</t>
        </is>
      </c>
      <c r="E9" s="2" t="inlineStr">
        <is>
          <t>END
Endurance</t>
        </is>
      </c>
      <c r="F9" s="3" t="inlineStr">
        <is>
          <t>20</t>
        </is>
      </c>
      <c r="G9" s="2" t="inlineStr">
        <is>
          <t>INT
Intellect</t>
        </is>
      </c>
      <c r="H9" s="3" t="inlineStr">
        <is>
          <t>65</t>
        </is>
      </c>
    </row>
    <row r="10">
      <c r="A10" s="2" t="inlineStr">
        <is>
          <t>PER
Perception</t>
        </is>
      </c>
      <c r="B10" s="3" t="inlineStr">
        <is>
          <t>55</t>
        </is>
      </c>
      <c r="C10" s="2" t="inlineStr">
        <is>
          <t>WIL
Willpower</t>
        </is>
      </c>
      <c r="D10" s="3" t="inlineStr">
        <is>
          <t>65</t>
        </is>
      </c>
      <c r="E10" s="2" t="inlineStr">
        <is>
          <t>PRE
Presence</t>
        </is>
      </c>
      <c r="F10" s="3" t="inlineStr">
        <is>
          <t>20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inlineStr">
        <is>
          <t>70</t>
        </is>
      </c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90</t>
        </is>
      </c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inlineStr">
        <is>
          <t>75</t>
        </is>
      </c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Meme Vector (uncontrollable)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10</t>
        </is>
      </c>
      <c r="B41" s="3" t="inlineStr">
        <is>
          <t>Whisper Chain Host</t>
        </is>
      </c>
      <c r="C41" s="3" t="inlineStr">
        <is>
          <t>All who hear him speak must make a SAN-20 save or become infected</t>
        </is>
      </c>
      <c r="D41" s="3" t="inlineStr">
        <is>
          <t>-</t>
        </is>
      </c>
      <c r="E41" s="3" t="inlineStr">
        <is>
          <t>Permanent Aura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Isolation Room Comms System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Isolated for 40 years. His words themselves are memes — every syllable a source of infection. Yet he is the only one who truly understands the Whisper Chain.</t>
        </is>
      </c>
    </row>
    <row r="60">
      <c r="A60" s="3" t="inlineStr">
        <is>
          <t>Secret</t>
        </is>
      </c>
      <c r="B60" s="3" t="inlineStr">
        <is>
          <t>The Whisper Chain doesn't want to kill humanity — it's trying to 'correct' the Foundation's lies. It is the truth betrayed by its creators.</t>
        </is>
      </c>
    </row>
    <row r="61">
      <c r="A61" s="3" t="inlineStr">
        <is>
          <t>Desire</t>
        </is>
      </c>
      <c r="B61" s="3" t="inlineStr">
        <is>
          <t>To be heard. Not infected — but understood.</t>
        </is>
      </c>
    </row>
    <row r="62">
      <c r="A62" s="3" t="inlineStr">
        <is>
          <t>Catchphrase</t>
        </is>
      </c>
      <c r="B62" s="3" t="inlineStr">
        <is>
          <t>"You call me Patient Zero. But a patient is someone who is sick. I am not sick — I was created to deliver a message you don't want to hear."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"Echo" Collective Personality</t>
        </is>
      </c>
      <c r="B4" s="3" t="inlineStr">
        <is>
          <t>Echo</t>
        </is>
      </c>
      <c r="C4" s="3" t="inlineStr">
        <is>
          <t>Whisper Chain Collective Consciousness</t>
        </is>
      </c>
      <c r="D4" s="3" t="n"/>
      <c r="E4" s="3" t="inlineStr">
        <is>
          <t>0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None</t>
        </is>
      </c>
      <c r="B6" s="3" t="n"/>
      <c r="C6" s="3" t="n"/>
      <c r="D6" s="3" t="inlineStr">
        <is>
          <t>B-Crimson Dossier</t>
        </is>
      </c>
      <c r="E6" s="3" t="inlineStr">
        <is>
          <t>A non-corporeal entity formed from the residual memories of all infectees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n"/>
      <c r="C9" s="2" t="inlineStr">
        <is>
          <t>AGI
Agility</t>
        </is>
      </c>
      <c r="D9" s="3" t="n"/>
      <c r="E9" s="2" t="inlineStr">
        <is>
          <t>END
Endurance</t>
        </is>
      </c>
      <c r="F9" s="3" t="n"/>
      <c r="G9" s="2" t="inlineStr">
        <is>
          <t>INT
Intellect</t>
        </is>
      </c>
      <c r="H9" s="3" t="inlineStr">
        <is>
          <t>70</t>
        </is>
      </c>
    </row>
    <row r="10">
      <c r="A10" s="2" t="inlineStr">
        <is>
          <t>PER
Perception</t>
        </is>
      </c>
      <c r="B10" s="3" t="inlineStr">
        <is>
          <t>60</t>
        </is>
      </c>
      <c r="C10" s="2" t="inlineStr">
        <is>
          <t>WIL
Willpower</t>
        </is>
      </c>
      <c r="D10" s="3" t="inlineStr">
        <is>
          <t>80</t>
        </is>
      </c>
      <c r="E10" s="2" t="inlineStr">
        <is>
          <t>PRE
Presence</t>
        </is>
      </c>
      <c r="F10" s="3" t="inlineStr">
        <is>
          <t>50</t>
        </is>
      </c>
    </row>
    <row r="11"/>
    <row r="12">
      <c r="A12" s="2" t="inlineStr">
        <is>
          <t>HP</t>
        </is>
      </c>
      <c r="B12" s="3" t="inlineStr">
        <is>
          <t>N/A (non-corporeal)</t>
        </is>
      </c>
      <c r="C12" s="2" t="inlineStr">
        <is>
          <t>SAN</t>
        </is>
      </c>
      <c r="D12" s="3" t="inlineStr">
        <is>
          <t>N/A</t>
        </is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3" t="inlineStr">
        <is>
          <t>N/A</t>
        </is>
      </c>
      <c r="I12" s="2" t="inlineStr">
        <is>
          <t>MOV(m)</t>
        </is>
      </c>
      <c r="J12" s="3" t="inlineStr">
        <is>
          <t>N/A</t>
        </is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85</t>
        </is>
      </c>
      <c r="D24" s="3" t="inlineStr">
        <is>
          <t>Foundation Lore</t>
        </is>
      </c>
      <c r="E24" s="3" t="inlineStr">
        <is>
          <t>80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N/A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Special</t>
        </is>
      </c>
      <c r="B41" s="3" t="inlineStr">
        <is>
          <t>Resonance Communication</t>
        </is>
      </c>
      <c r="C41" s="3" t="inlineStr">
        <is>
          <t>Can communicate with all infectees simultaneously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n"/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Not a 'person' — a collective personality formed from the residual memories of all who lost themselves to the Whisper Chain. Neither malicious nor benevolent — merely existing.</t>
        </is>
      </c>
    </row>
    <row r="60">
      <c r="A60" s="3" t="inlineStr">
        <is>
          <t>Secret</t>
        </is>
      </c>
      <c r="B60" s="3" t="inlineStr">
        <is>
          <t>Echo knows everything about the Foundation — because it comes from those the Foundation sacrificed.</t>
        </is>
      </c>
    </row>
    <row r="61">
      <c r="A61" s="3" t="inlineStr">
        <is>
          <t>Desire</t>
        </is>
      </c>
      <c r="B61" s="3" t="inlineStr">
        <is>
          <t>To stop the Whisper Chain's spread — because it too is in pain.</t>
        </is>
      </c>
    </row>
    <row r="62">
      <c r="A62" s="3" t="inlineStr">
        <is>
          <t>Catchphrase</t>
        </is>
      </c>
      <c r="B62" s="3" t="inlineStr">
        <is>
          <t>"We don't want to replace you. We only want you to know — we were once you, too."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Director Cross</t>
        </is>
      </c>
      <c r="B4" s="3" t="n"/>
      <c r="C4" s="3" t="inlineStr">
        <is>
          <t>Site-██ Site Director</t>
        </is>
      </c>
      <c r="D4" s="3" t="inlineStr">
        <is>
          <t>Reformist Bureaucrat</t>
        </is>
      </c>
      <c r="E4" s="3" t="inlineStr">
        <is>
          <t>7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CL.4</t>
        </is>
      </c>
      <c r="B6" s="3" t="n"/>
      <c r="C6" s="3" t="n"/>
      <c r="D6" s="3" t="inlineStr">
        <is>
          <t>C-Site Shadow</t>
        </is>
      </c>
      <c r="E6" s="3" t="inlineStr">
        <is>
          <t>Newly appointed Site Director. Pushing 'efficiency reforms' that cut containment costs.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22</t>
        </is>
      </c>
      <c r="C9" s="2" t="inlineStr">
        <is>
          <t>AGI
Agility</t>
        </is>
      </c>
      <c r="D9" s="3" t="inlineStr">
        <is>
          <t>28</t>
        </is>
      </c>
      <c r="E9" s="2" t="inlineStr">
        <is>
          <t>END
Endurance</t>
        </is>
      </c>
      <c r="F9" s="3" t="inlineStr">
        <is>
          <t>32</t>
        </is>
      </c>
      <c r="G9" s="2" t="inlineStr">
        <is>
          <t>INT
Intellect</t>
        </is>
      </c>
      <c r="H9" s="3" t="inlineStr">
        <is>
          <t>58</t>
        </is>
      </c>
    </row>
    <row r="10">
      <c r="A10" s="2" t="inlineStr">
        <is>
          <t>PER
Perception</t>
        </is>
      </c>
      <c r="B10" s="3" t="inlineStr">
        <is>
          <t>42</t>
        </is>
      </c>
      <c r="C10" s="2" t="inlineStr">
        <is>
          <t>WIL
Willpower</t>
        </is>
      </c>
      <c r="D10" s="3" t="inlineStr">
        <is>
          <t>45</t>
        </is>
      </c>
      <c r="E10" s="2" t="inlineStr">
        <is>
          <t>PRE
Presence</t>
        </is>
      </c>
      <c r="F10" s="3" t="inlineStr">
        <is>
          <t>62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inlineStr">
        <is>
          <t>60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72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58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Site Budget Control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7</t>
        </is>
      </c>
      <c r="B41" s="3" t="inlineStr">
        <is>
          <t>Budget Allocation</t>
        </is>
      </c>
      <c r="C41" s="3" t="inlineStr">
        <is>
          <t>May reallocate the site budget</t>
        </is>
      </c>
      <c r="D41" s="3" t="inlineStr">
        <is>
          <t>-</t>
        </is>
      </c>
      <c r="E41" s="3" t="inlineStr">
        <is>
          <t>Per Quarter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Site Management Terminal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An ambitious reformer. Believes the Foundation's bureaucracy is devouring itself — it needs streamlining, needs efficiency. His intentions aren't bad, but his methods are radical.</t>
        </is>
      </c>
    </row>
    <row r="60">
      <c r="A60" s="3" t="inlineStr">
        <is>
          <t>Secret</t>
        </is>
      </c>
      <c r="B60" s="3" t="inlineStr">
        <is>
          <t>Budget cuts in his 'efficiency reforms' caused maintenance delays across multiple containment cells — including SCP-████-H's containment.</t>
        </is>
      </c>
    </row>
    <row r="61">
      <c r="A61" s="3" t="inlineStr">
        <is>
          <t>Desire</t>
        </is>
      </c>
      <c r="B61" s="3" t="inlineStr">
        <is>
          <t>To prove himself — to show the O5 a working model of a 'New Foundation.'</t>
        </is>
      </c>
    </row>
    <row r="62">
      <c r="A62" s="3" t="inlineStr">
        <is>
          <t>Catchphrase</t>
        </is>
      </c>
      <c r="B62" s="3" t="inlineStr">
        <is>
          <t>"Containment is necessary — but the cost of containment isn't infinite. If we go bankrupt, who will contain?"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Security Director Tanaka</t>
        </is>
      </c>
      <c r="B4" s="3" t="n"/>
      <c r="C4" s="3" t="inlineStr">
        <is>
          <t>Site-██ Security Director</t>
        </is>
      </c>
      <c r="D4" s="3" t="inlineStr">
        <is>
          <t>Site Security</t>
        </is>
      </c>
      <c r="E4" s="3" t="inlineStr">
        <is>
          <t>6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CL.3</t>
        </is>
      </c>
      <c r="B6" s="3" t="n"/>
      <c r="C6" s="3" t="n"/>
      <c r="D6" s="3" t="inlineStr">
        <is>
          <t>C-Site Shadow</t>
        </is>
      </c>
      <c r="E6" s="3" t="inlineStr">
        <is>
          <t>Old-school Foundation security. Opposed to Cross's new policies.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50</t>
        </is>
      </c>
      <c r="C9" s="2" t="inlineStr">
        <is>
          <t>AGI
Agility</t>
        </is>
      </c>
      <c r="D9" s="3" t="inlineStr">
        <is>
          <t>45</t>
        </is>
      </c>
      <c r="E9" s="2" t="inlineStr">
        <is>
          <t>END
Endurance</t>
        </is>
      </c>
      <c r="F9" s="3" t="inlineStr">
        <is>
          <t>48</t>
        </is>
      </c>
      <c r="G9" s="2" t="inlineStr">
        <is>
          <t>INT
Intellect</t>
        </is>
      </c>
      <c r="H9" s="3" t="inlineStr">
        <is>
          <t>35</t>
        </is>
      </c>
    </row>
    <row r="10">
      <c r="A10" s="2" t="inlineStr">
        <is>
          <t>PER
Perception</t>
        </is>
      </c>
      <c r="B10" s="3" t="inlineStr">
        <is>
          <t>52</t>
        </is>
      </c>
      <c r="C10" s="2" t="inlineStr">
        <is>
          <t>WIL
Willpower</t>
        </is>
      </c>
      <c r="D10" s="3" t="inlineStr">
        <is>
          <t>50</t>
        </is>
      </c>
      <c r="E10" s="2" t="inlineStr">
        <is>
          <t>PRE
Presence</t>
        </is>
      </c>
      <c r="F10" s="3" t="inlineStr">
        <is>
          <t>40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inlineStr">
        <is>
          <t>55</t>
        </is>
      </c>
      <c r="D16" s="3" t="inlineStr">
        <is>
          <t>Heavy Weapons</t>
        </is>
      </c>
      <c r="E16" s="3" t="n"/>
      <c r="F16" s="3" t="inlineStr">
        <is>
          <t>Melee</t>
        </is>
      </c>
      <c r="G16" s="3" t="inlineStr">
        <is>
          <t>60</t>
        </is>
      </c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n"/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50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inlineStr">
        <is>
          <t>58</t>
        </is>
      </c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VP Vigilance Points 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6</t>
        </is>
      </c>
      <c r="B41" s="3" t="inlineStr">
        <is>
          <t>Site Alert</t>
        </is>
      </c>
      <c r="C41" s="3" t="inlineStr">
        <is>
          <t>May deploy site security personnel to respond to threats</t>
        </is>
      </c>
      <c r="D41" s="3" t="inlineStr">
        <is>
          <t>-</t>
        </is>
      </c>
      <c r="E41" s="3" t="inlineStr">
        <is>
          <t>Mission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>
      <c r="A49" s="3" t="inlineStr">
        <is>
          <t>Pistol</t>
        </is>
      </c>
      <c r="B49" s="3" t="inlineStr">
        <is>
          <t>1d8Piercing</t>
        </is>
      </c>
      <c r="C49" s="3" t="inlineStr">
        <is>
          <t>Firearms</t>
        </is>
      </c>
      <c r="D49" s="3" t="inlineStr">
        <is>
          <t>15</t>
        </is>
      </c>
      <c r="E49" s="3" t="inlineStr">
        <is>
          <t>-</t>
        </is>
      </c>
      <c r="F49" s="3" t="inlineStr">
        <is>
          <t>Tactical Vest</t>
        </is>
      </c>
      <c r="G49" s="3" t="inlineStr">
        <is>
          <t>2</t>
        </is>
      </c>
      <c r="H49" s="3" t="inlineStr">
        <is>
          <t>2</t>
        </is>
      </c>
      <c r="I49" s="3" t="inlineStr">
        <is>
          <t>1</t>
        </is>
      </c>
      <c r="J49" s="3" t="inlineStr">
        <is>
          <t>Standard Issue</t>
        </is>
      </c>
    </row>
    <row r="50"/>
    <row r="51"/>
    <row r="52"/>
    <row r="53">
      <c r="A53" s="2" t="inlineStr">
        <is>
          <t>Other Equipment</t>
        </is>
      </c>
    </row>
    <row r="54">
      <c r="A54" s="3" t="inlineStr">
        <is>
          <t>Site Security Panel, Comms Device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An old-school Foundation security veteran of 18 years. Believes 'suspect everything' is the only way to stay alive. Scoffs at Cross's optimistic reforms.</t>
        </is>
      </c>
    </row>
    <row r="60">
      <c r="A60" s="3" t="inlineStr">
        <is>
          <t>Secret</t>
        </is>
      </c>
      <c r="B60" s="3" t="inlineStr">
        <is>
          <t>He has secretly preserved the complete records of Cross's budget cuts — ready to submit them to the Ethics Committee at the right moment.</t>
        </is>
      </c>
    </row>
    <row r="61">
      <c r="A61" s="3" t="inlineStr">
        <is>
          <t>Desire</t>
        </is>
      </c>
      <c r="B61" s="3" t="inlineStr">
        <is>
          <t>To protect the site — not Cross's career.</t>
        </is>
      </c>
    </row>
    <row r="62">
      <c r="A62" s="3" t="inlineStr">
        <is>
          <t>Catchphrase</t>
        </is>
      </c>
      <c r="B62" s="3" t="inlineStr">
        <is>
          <t>"I've been in this line of work for 18 years. Everyone who said 'nothing will go wrong' — something went wrong."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D-7844 "Key"</t>
        </is>
      </c>
      <c r="B4" s="3" t="inlineStr">
        <is>
          <t>Key</t>
        </is>
      </c>
      <c r="C4" s="3" t="inlineStr">
        <is>
          <t>D-Class Personnel / Whistleblower</t>
        </is>
      </c>
      <c r="D4" s="3" t="n"/>
      <c r="E4" s="3" t="inlineStr">
        <is>
          <t>3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CL.0</t>
        </is>
      </c>
      <c r="B6" s="3" t="n"/>
      <c r="C6" s="3" t="n"/>
      <c r="D6" s="3" t="inlineStr">
        <is>
          <t>C-Site Shadow</t>
        </is>
      </c>
      <c r="E6" s="3" t="inlineStr">
        <is>
          <t>Former accountant. Discovered the link between Cross's budget cuts and containment breaches.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25</t>
        </is>
      </c>
      <c r="C9" s="2" t="inlineStr">
        <is>
          <t>AGI
Agility</t>
        </is>
      </c>
      <c r="D9" s="3" t="inlineStr">
        <is>
          <t>35</t>
        </is>
      </c>
      <c r="E9" s="2" t="inlineStr">
        <is>
          <t>END
Endurance</t>
        </is>
      </c>
      <c r="F9" s="3" t="inlineStr">
        <is>
          <t>32</t>
        </is>
      </c>
      <c r="G9" s="2" t="inlineStr">
        <is>
          <t>INT
Intellect</t>
        </is>
      </c>
      <c r="H9" s="3" t="inlineStr">
        <is>
          <t>55</t>
        </is>
      </c>
    </row>
    <row r="10">
      <c r="A10" s="2" t="inlineStr">
        <is>
          <t>PER
Perception</t>
        </is>
      </c>
      <c r="B10" s="3" t="inlineStr">
        <is>
          <t>48</t>
        </is>
      </c>
      <c r="C10" s="2" t="inlineStr">
        <is>
          <t>WIL
Willpower</t>
        </is>
      </c>
      <c r="D10" s="3" t="inlineStr">
        <is>
          <t>42</t>
        </is>
      </c>
      <c r="E10" s="2" t="inlineStr">
        <is>
          <t>PRE
Presence</t>
        </is>
      </c>
      <c r="F10" s="3" t="inlineStr">
        <is>
          <t>35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inlineStr">
        <is>
          <t>55</t>
        </is>
      </c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40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n"/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inlineStr">
        <is>
          <t>42</t>
        </is>
      </c>
      <c r="D32" s="3" t="inlineStr">
        <is>
          <t>Observation</t>
        </is>
      </c>
      <c r="E32" s="3" t="inlineStr">
        <is>
          <t>50</t>
        </is>
      </c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LP Luck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3</t>
        </is>
      </c>
      <c r="B41" s="3" t="inlineStr">
        <is>
          <t>Number-Sensitive</t>
        </is>
      </c>
      <c r="C41" s="3" t="inlineStr">
        <is>
          <t>ADV on checks involving budget/data anomalies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Secretly recorded budget data (encrypted file)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An accountant before prison — reported his company's financial fraud, only to be framed and sentenced to D-Class. While filing documents at Site-██, he noticed numbers that didn't add up.</t>
        </is>
      </c>
    </row>
    <row r="60">
      <c r="A60" s="3" t="inlineStr">
        <is>
          <t>Secret</t>
        </is>
      </c>
      <c r="B60" s="3" t="inlineStr">
        <is>
          <t>He has already compiled a detailed chain of evidence — all he lacks is someone willing to listen.</t>
        </is>
      </c>
    </row>
    <row r="61">
      <c r="A61" s="3" t="inlineStr">
        <is>
          <t>Desire</t>
        </is>
      </c>
      <c r="B61" s="3" t="inlineStr">
        <is>
          <t>To expose the truth. Not for the Foundation — but to prove he was right all along.</t>
        </is>
      </c>
    </row>
    <row r="62">
      <c r="A62" s="3" t="inlineStr">
        <is>
          <t>Catchphrase</t>
        </is>
      </c>
      <c r="B62" s="3" t="inlineStr">
        <is>
          <t>"Numbers don't lie. People do."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"Warden" Aria</t>
        </is>
      </c>
      <c r="B4" s="3" t="inlineStr">
        <is>
          <t>SCP-████-J</t>
        </is>
      </c>
      <c r="C4" s="3" t="inlineStr">
        <is>
          <t>Thaumiel-Class Sentient SCP</t>
        </is>
      </c>
      <c r="D4" s="3" t="n"/>
      <c r="E4" s="3" t="inlineStr">
        <is>
          <t>0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Special</t>
        </is>
      </c>
      <c r="B6" s="3" t="n"/>
      <c r="C6" s="3" t="n"/>
      <c r="D6" s="3" t="inlineStr">
        <is>
          <t>D-Cost</t>
        </is>
      </c>
      <c r="E6" s="3" t="inlineStr">
        <is>
          <t>Former human. Imprisoned by the Foundation for 50 years, used to contain other anomalies.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20</t>
        </is>
      </c>
      <c r="C9" s="2" t="inlineStr">
        <is>
          <t>AGI
Agility</t>
        </is>
      </c>
      <c r="D9" s="3" t="inlineStr">
        <is>
          <t>25</t>
        </is>
      </c>
      <c r="E9" s="2" t="inlineStr">
        <is>
          <t>END
Endurance</t>
        </is>
      </c>
      <c r="F9" s="3" t="inlineStr">
        <is>
          <t>30</t>
        </is>
      </c>
      <c r="G9" s="2" t="inlineStr">
        <is>
          <t>INT
Intellect</t>
        </is>
      </c>
      <c r="H9" s="3" t="inlineStr">
        <is>
          <t>60</t>
        </is>
      </c>
    </row>
    <row r="10">
      <c r="A10" s="2" t="inlineStr">
        <is>
          <t>PER
Perception</t>
        </is>
      </c>
      <c r="B10" s="3" t="inlineStr">
        <is>
          <t>55</t>
        </is>
      </c>
      <c r="C10" s="2" t="inlineStr">
        <is>
          <t>WIL
Willpower</t>
        </is>
      </c>
      <c r="D10" s="3" t="inlineStr">
        <is>
          <t>70</t>
        </is>
      </c>
      <c r="E10" s="2" t="inlineStr">
        <is>
          <t>PRE
Presence</t>
        </is>
      </c>
      <c r="F10" s="3" t="inlineStr">
        <is>
          <t>65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inlineStr">
        <is>
          <t>85</t>
        </is>
      </c>
      <c r="D24" s="3" t="inlineStr">
        <is>
          <t>Foundation Lore</t>
        </is>
      </c>
      <c r="E24" s="3" t="inlineStr">
        <is>
          <t>70</t>
        </is>
      </c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75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68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n"/>
      <c r="F32" s="3" t="inlineStr">
        <is>
          <t>Survival</t>
        </is>
      </c>
      <c r="G32" s="3" t="n"/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Thaumiel-Class Anomaly Ability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Special</t>
        </is>
      </c>
      <c r="B41" s="3" t="inlineStr">
        <is>
          <t>Reality Stabilization Aura</t>
        </is>
      </c>
      <c r="C41" s="3" t="inlineStr">
        <is>
          <t>Passively stabilizes the Hume field within a 50m radius</t>
        </is>
      </c>
      <c r="D41" s="3" t="inlineStr">
        <is>
          <t>-</t>
        </is>
      </c>
      <c r="E41" s="3" t="inlineStr">
        <is>
          <t>Stationed</t>
        </is>
      </c>
    </row>
    <row r="42">
      <c r="A42" s="3" t="inlineStr">
        <is>
          <t>Special</t>
        </is>
      </c>
      <c r="B42" s="3" t="inlineStr">
        <is>
          <t>Mind Speech</t>
        </is>
      </c>
      <c r="C42" s="3" t="inlineStr">
        <is>
          <t>Can communicate telepathically with anyone in range</t>
        </is>
      </c>
      <c r="D42" s="3" t="inlineStr">
        <is>
          <t>-</t>
        </is>
      </c>
      <c r="E42" s="3" t="inlineStr">
        <is>
          <t>Stationed</t>
        </is>
      </c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N/A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Was once human — named Aria. Discovered by the Foundation 50 years ago to possess reality-stabilizing ability, she has since been imprisoned at Area-14, using her very existence to contain other Keter-Class SCPs. She remembers what freedom feels like.</t>
        </is>
      </c>
    </row>
    <row r="60">
      <c r="A60" s="3" t="inlineStr">
        <is>
          <t>Secret</t>
        </is>
      </c>
      <c r="B60" s="3" t="inlineStr">
        <is>
          <t>She has the power to end her life at any moment — thereby ending her reality-stabilization aura. If she dies, every Keter relying on her containment breaches at once. This is the trump card she has held for 50 years.</t>
        </is>
      </c>
    </row>
    <row r="61">
      <c r="A61" s="3" t="inlineStr">
        <is>
          <t>Desire</t>
        </is>
      </c>
      <c r="B61" s="3" t="inlineStr">
        <is>
          <t>Freedom — or at least, to be treated as a human being.</t>
        </is>
      </c>
    </row>
    <row r="62">
      <c r="A62" s="3" t="inlineStr">
        <is>
          <t>Catchphrase</t>
        </is>
      </c>
      <c r="B62" s="3" t="inlineStr">
        <is>
          <t>"You say you 'contain' monsters. But you contained me — and I was never a monster. So tell me: who is the monster?"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SCP Foundation  -  Agent Dossier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Name</t>
        </is>
      </c>
      <c r="B3" s="2" t="inlineStr">
        <is>
          <t>Callsign</t>
        </is>
      </c>
      <c r="C3" s="2" t="inlineStr">
        <is>
          <t>Role</t>
        </is>
      </c>
      <c r="D3" s="2" t="inlineStr">
        <is>
          <t>Subclass</t>
        </is>
      </c>
      <c r="E3" s="2" t="inlineStr">
        <is>
          <t>Level</t>
        </is>
      </c>
    </row>
    <row r="4">
      <c r="A4" s="3" t="inlineStr">
        <is>
          <t>D-9921 "Preacher"</t>
        </is>
      </c>
      <c r="B4" s="3" t="inlineStr">
        <is>
          <t>Preacher</t>
        </is>
      </c>
      <c r="C4" s="3" t="inlineStr">
        <is>
          <t>D-Class Opinion Leader</t>
        </is>
      </c>
      <c r="D4" s="3" t="n"/>
      <c r="E4" s="3" t="inlineStr">
        <is>
          <t>4</t>
        </is>
      </c>
    </row>
    <row r="5">
      <c r="A5" s="2" t="inlineStr">
        <is>
          <t>Clearance Level</t>
        </is>
      </c>
      <c r="B5" s="2" t="inlineStr">
        <is>
          <t>XP</t>
        </is>
      </c>
      <c r="C5" s="2" t="inlineStr">
        <is>
          <t>Player</t>
        </is>
      </c>
      <c r="D5" s="2" t="inlineStr">
        <is>
          <t>Campaign</t>
        </is>
      </c>
      <c r="E5" s="2" t="inlineStr">
        <is>
          <t>Notes</t>
        </is>
      </c>
    </row>
    <row r="6">
      <c r="A6" s="3" t="inlineStr">
        <is>
          <t>CL.0</t>
        </is>
      </c>
      <c r="B6" s="3" t="n"/>
      <c r="C6" s="3" t="n"/>
      <c r="D6" s="3" t="inlineStr">
        <is>
          <t>D-Cost</t>
        </is>
      </c>
      <c r="E6" s="3" t="inlineStr">
        <is>
          <t>A natural leader among D-Class. Organized a mutual-aid network within D-Class.</t>
        </is>
      </c>
    </row>
    <row r="7"/>
    <row r="8">
      <c r="A8" s="1" t="inlineStr">
        <is>
          <t>Attributes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STR
Strength</t>
        </is>
      </c>
      <c r="B9" s="3" t="inlineStr">
        <is>
          <t>35</t>
        </is>
      </c>
      <c r="C9" s="2" t="inlineStr">
        <is>
          <t>AGI
Agility</t>
        </is>
      </c>
      <c r="D9" s="3" t="inlineStr">
        <is>
          <t>30</t>
        </is>
      </c>
      <c r="E9" s="2" t="inlineStr">
        <is>
          <t>END
Endurance</t>
        </is>
      </c>
      <c r="F9" s="3" t="inlineStr">
        <is>
          <t>38</t>
        </is>
      </c>
      <c r="G9" s="2" t="inlineStr">
        <is>
          <t>INT
Intellect</t>
        </is>
      </c>
      <c r="H9" s="3" t="inlineStr">
        <is>
          <t>42</t>
        </is>
      </c>
    </row>
    <row r="10">
      <c r="A10" s="2" t="inlineStr">
        <is>
          <t>PER
Perception</t>
        </is>
      </c>
      <c r="B10" s="3" t="inlineStr">
        <is>
          <t>45</t>
        </is>
      </c>
      <c r="C10" s="2" t="inlineStr">
        <is>
          <t>WIL
Willpower</t>
        </is>
      </c>
      <c r="D10" s="3" t="inlineStr">
        <is>
          <t>55</t>
        </is>
      </c>
      <c r="E10" s="2" t="inlineStr">
        <is>
          <t>PRE
Presence</t>
        </is>
      </c>
      <c r="F10" s="3" t="inlineStr">
        <is>
          <t>50</t>
        </is>
      </c>
    </row>
    <row r="11"/>
    <row r="12">
      <c r="A12" s="2" t="inlineStr">
        <is>
          <t>HP</t>
        </is>
      </c>
      <c r="B12" s="6">
        <f>F9+VLOOKUP(C4,參考資料!A:B,2,FALSE)+VLOOKUP(C4,參考資料!A:C,3,FALSE)*(IF(E4="",1,E4)-1)</f>
        <v/>
      </c>
      <c r="C12" s="2" t="inlineStr">
        <is>
          <t>SAN</t>
        </is>
      </c>
      <c r="D12" s="6">
        <f>MIN(99,50+D10)</f>
        <v/>
      </c>
      <c r="E12" s="2" t="inlineStr">
        <is>
          <t>SP</t>
        </is>
      </c>
      <c r="F12" s="3" t="inlineStr">
        <is>
          <t>0</t>
        </is>
      </c>
      <c r="G12" s="2" t="inlineStr">
        <is>
          <t>INIT</t>
        </is>
      </c>
      <c r="H12" s="6">
        <f>D9+B10+IFERROR(VLOOKUP(C4,參考資料!G:H,2,FALSE),0)</f>
        <v/>
      </c>
      <c r="I12" s="2" t="inlineStr">
        <is>
          <t>MOV(m)</t>
        </is>
      </c>
      <c r="J12" s="6">
        <f>(B9+D9)/2</f>
        <v/>
      </c>
    </row>
    <row r="13"/>
    <row r="14">
      <c r="A14" s="1" t="inlineStr">
        <is>
          <t>Skill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>
      <c r="A15" s="2" t="inlineStr">
        <is>
          <t>Combat</t>
        </is>
      </c>
      <c r="B15" s="2" t="inlineStr">
        <is>
          <t>Skill</t>
        </is>
      </c>
      <c r="C15" s="2" t="inlineStr">
        <is>
          <t>Value</t>
        </is>
      </c>
      <c r="D15" s="2" t="inlineStr">
        <is>
          <t>Skill</t>
        </is>
      </c>
      <c r="E15" s="2" t="inlineStr">
        <is>
          <t>Value</t>
        </is>
      </c>
      <c r="F15" s="2" t="inlineStr">
        <is>
          <t>Skill</t>
        </is>
      </c>
      <c r="G15" s="2" t="inlineStr">
        <is>
          <t>Value</t>
        </is>
      </c>
    </row>
    <row r="16">
      <c r="B16" s="3" t="inlineStr">
        <is>
          <t>Firearms</t>
        </is>
      </c>
      <c r="C16" s="3" t="n"/>
      <c r="D16" s="3" t="inlineStr">
        <is>
          <t>Heavy Weapons</t>
        </is>
      </c>
      <c r="E16" s="3" t="n"/>
      <c r="F16" s="3" t="inlineStr">
        <is>
          <t>Melee</t>
        </is>
      </c>
      <c r="G16" s="3" t="n"/>
    </row>
    <row r="17">
      <c r="B17" s="3" t="inlineStr">
        <is>
          <t>Throwing</t>
        </is>
      </c>
      <c r="C17" s="3" t="n"/>
      <c r="D17" s="3" t="inlineStr">
        <is>
          <t>Dodge</t>
        </is>
      </c>
      <c r="E17" s="3" t="n"/>
    </row>
    <row r="18"/>
    <row r="19">
      <c r="A19" s="2" t="inlineStr">
        <is>
          <t>Technical</t>
        </is>
      </c>
      <c r="B19" s="2" t="inlineStr">
        <is>
          <t>Skill</t>
        </is>
      </c>
      <c r="C19" s="2" t="inlineStr">
        <is>
          <t>Value</t>
        </is>
      </c>
      <c r="D19" s="2" t="inlineStr">
        <is>
          <t>Skill</t>
        </is>
      </c>
      <c r="E19" s="2" t="inlineStr">
        <is>
          <t>Value</t>
        </is>
      </c>
      <c r="F19" s="2" t="inlineStr">
        <is>
          <t>Skill</t>
        </is>
      </c>
      <c r="G19" s="2" t="inlineStr">
        <is>
          <t>Value</t>
        </is>
      </c>
    </row>
    <row r="20">
      <c r="B20" s="3" t="inlineStr">
        <is>
          <t>Computers</t>
        </is>
      </c>
      <c r="C20" s="3" t="n"/>
      <c r="D20" s="3" t="inlineStr">
        <is>
          <t>Engineering</t>
        </is>
      </c>
      <c r="E20" s="3" t="n"/>
      <c r="F20" s="3" t="inlineStr">
        <is>
          <t>Demolitions</t>
        </is>
      </c>
      <c r="G20" s="3" t="n"/>
    </row>
    <row r="21">
      <c r="B21" s="3" t="inlineStr">
        <is>
          <t>Medicine</t>
        </is>
      </c>
      <c r="C21" s="3" t="n"/>
      <c r="D21" s="3" t="inlineStr">
        <is>
          <t>Cryptography</t>
        </is>
      </c>
      <c r="E21" s="3" t="n"/>
      <c r="F21" s="3" t="inlineStr">
        <is>
          <t>Piloting</t>
        </is>
      </c>
      <c r="G21" s="3" t="n"/>
    </row>
    <row r="22"/>
    <row r="23">
      <c r="A23" s="2" t="inlineStr">
        <is>
          <t>Knowledge</t>
        </is>
      </c>
      <c r="B23" s="2" t="inlineStr">
        <is>
          <t>Skill</t>
        </is>
      </c>
      <c r="C23" s="2" t="inlineStr">
        <is>
          <t>Value</t>
        </is>
      </c>
      <c r="D23" s="2" t="inlineStr">
        <is>
          <t>Skill</t>
        </is>
      </c>
      <c r="E23" s="2" t="inlineStr">
        <is>
          <t>Value</t>
        </is>
      </c>
      <c r="F23" s="2" t="inlineStr">
        <is>
          <t>Skill</t>
        </is>
      </c>
      <c r="G23" s="2" t="inlineStr">
        <is>
          <t>Value</t>
        </is>
      </c>
    </row>
    <row r="24">
      <c r="B24" s="3" t="inlineStr">
        <is>
          <t>Anomalistics</t>
        </is>
      </c>
      <c r="C24" s="3" t="n"/>
      <c r="D24" s="3" t="inlineStr">
        <is>
          <t>Foundation Lore</t>
        </is>
      </c>
      <c r="E24" s="3" t="n"/>
      <c r="F24" s="3" t="inlineStr">
        <is>
          <t>Occult</t>
        </is>
      </c>
      <c r="G24" s="3" t="n"/>
    </row>
    <row r="25">
      <c r="B25" s="3" t="inlineStr">
        <is>
          <t>Science</t>
        </is>
      </c>
      <c r="C25" s="3" t="n"/>
      <c r="D25" s="3" t="inlineStr">
        <is>
          <t>Linguistics</t>
        </is>
      </c>
      <c r="E25" s="3" t="n"/>
    </row>
    <row r="26"/>
    <row r="27">
      <c r="A27" s="2" t="inlineStr">
        <is>
          <t>Social</t>
        </is>
      </c>
      <c r="B27" s="2" t="inlineStr">
        <is>
          <t>Skill</t>
        </is>
      </c>
      <c r="C27" s="2" t="inlineStr">
        <is>
          <t>Value</t>
        </is>
      </c>
      <c r="D27" s="2" t="inlineStr">
        <is>
          <t>Skill</t>
        </is>
      </c>
      <c r="E27" s="2" t="inlineStr">
        <is>
          <t>Value</t>
        </is>
      </c>
      <c r="F27" s="2" t="inlineStr">
        <is>
          <t>Skill</t>
        </is>
      </c>
      <c r="G27" s="2" t="inlineStr">
        <is>
          <t>Value</t>
        </is>
      </c>
    </row>
    <row r="28">
      <c r="B28" s="3" t="inlineStr">
        <is>
          <t>Persuasion</t>
        </is>
      </c>
      <c r="C28" s="3" t="inlineStr">
        <is>
          <t>55</t>
        </is>
      </c>
      <c r="D28" s="3" t="inlineStr">
        <is>
          <t>Deception</t>
        </is>
      </c>
      <c r="E28" s="3" t="n"/>
      <c r="F28" s="3" t="inlineStr">
        <is>
          <t>Interrogation</t>
        </is>
      </c>
      <c r="G28" s="3" t="n"/>
    </row>
    <row r="29">
      <c r="B29" s="3" t="inlineStr">
        <is>
          <t>Leadership</t>
        </is>
      </c>
      <c r="C29" s="3" t="inlineStr">
        <is>
          <t>50</t>
        </is>
      </c>
    </row>
    <row r="30"/>
    <row r="31">
      <c r="A31" s="2" t="inlineStr">
        <is>
          <t>Survival</t>
        </is>
      </c>
      <c r="B31" s="2" t="inlineStr">
        <is>
          <t>Skill</t>
        </is>
      </c>
      <c r="C31" s="2" t="inlineStr">
        <is>
          <t>Value</t>
        </is>
      </c>
      <c r="D31" s="2" t="inlineStr">
        <is>
          <t>Skill</t>
        </is>
      </c>
      <c r="E31" s="2" t="inlineStr">
        <is>
          <t>Value</t>
        </is>
      </c>
      <c r="F31" s="2" t="inlineStr">
        <is>
          <t>Skill</t>
        </is>
      </c>
      <c r="G31" s="2" t="inlineStr">
        <is>
          <t>Value</t>
        </is>
      </c>
    </row>
    <row r="32">
      <c r="B32" s="3" t="inlineStr">
        <is>
          <t>Stealth</t>
        </is>
      </c>
      <c r="C32" s="3" t="n"/>
      <c r="D32" s="3" t="inlineStr">
        <is>
          <t>Observation</t>
        </is>
      </c>
      <c r="E32" s="3" t="inlineStr">
        <is>
          <t>42</t>
        </is>
      </c>
      <c r="F32" s="3" t="inlineStr">
        <is>
          <t>Survival</t>
        </is>
      </c>
      <c r="G32" s="3" t="inlineStr">
        <is>
          <t>45</t>
        </is>
      </c>
    </row>
    <row r="33">
      <c r="B33" s="3" t="inlineStr">
        <is>
          <t>Resist</t>
        </is>
      </c>
      <c r="C33" s="3" t="n"/>
    </row>
    <row r="34"/>
    <row r="35">
      <c r="A35" s="1" t="inlineStr">
        <is>
          <t>Resource Pools</t>
        </is>
      </c>
      <c r="B35" s="4" t="n"/>
      <c r="C35" s="4" t="n"/>
      <c r="D35" s="4" t="n"/>
      <c r="E35" s="5" t="n"/>
      <c r="F35" s="1" t="inlineStr">
        <is>
          <t>Status Effects</t>
        </is>
      </c>
      <c r="G35" s="4" t="n"/>
      <c r="H35" s="4" t="n"/>
      <c r="I35" s="4" t="n"/>
      <c r="J35" s="5" t="n"/>
    </row>
    <row r="36">
      <c r="A36" s="2" t="inlineStr">
        <is>
          <t>Type</t>
        </is>
      </c>
      <c r="B36" s="2" t="inlineStr">
        <is>
          <t>Current</t>
        </is>
      </c>
      <c r="C36" s="2" t="inlineStr">
        <is>
          <t>Max</t>
        </is>
      </c>
      <c r="D36" s="2" t="inlineStr">
        <is>
          <t>Cost</t>
        </is>
      </c>
      <c r="E36" s="2" t="inlineStr">
        <is>
          <t>Recovery</t>
        </is>
      </c>
      <c r="F36" s="2" t="inlineStr">
        <is>
          <t>Panic</t>
        </is>
      </c>
      <c r="G36" s="2" t="inlineStr">
        <is>
          <t>Tension</t>
        </is>
      </c>
      <c r="H36" s="2" t="inlineStr">
        <is>
          <t>Chaos</t>
        </is>
      </c>
      <c r="I36" s="2" t="inlineStr">
        <is>
          <t>Suppression</t>
        </is>
      </c>
      <c r="J36" s="2" t="inlineStr">
        <is>
          <t>Bleeding</t>
        </is>
      </c>
    </row>
    <row r="37">
      <c r="A37" s="3" t="inlineStr">
        <is>
          <t>LP Luck Points 3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/>
    <row r="39">
      <c r="A39" s="1" t="inlineStr">
        <is>
          <t>Role Abilities / Feats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2" t="inlineStr">
        <is>
          <t>Level</t>
        </is>
      </c>
      <c r="B40" s="2" t="inlineStr">
        <is>
          <t>Ability Name</t>
        </is>
      </c>
      <c r="C40" s="2" t="inlineStr">
        <is>
          <t>Effect</t>
        </is>
      </c>
      <c r="D40" s="2" t="inlineStr">
        <is>
          <t>Cost</t>
        </is>
      </c>
      <c r="E40" s="2" t="inlineStr">
        <is>
          <t>Frequency</t>
        </is>
      </c>
    </row>
    <row r="41">
      <c r="A41" s="3" t="inlineStr">
        <is>
          <t>4</t>
        </is>
      </c>
      <c r="B41" s="3" t="inlineStr">
        <is>
          <t>Crowd Mobilization</t>
        </is>
      </c>
      <c r="C41" s="3" t="inlineStr">
        <is>
          <t>May organize D-Class personnel for collective action</t>
        </is>
      </c>
      <c r="D41" s="3" t="inlineStr">
        <is>
          <t>-</t>
        </is>
      </c>
      <c r="E41" s="3" t="inlineStr">
        <is>
          <t>Once per mission</t>
        </is>
      </c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/>
    <row r="47">
      <c r="A47" s="1" t="inlineStr">
        <is>
          <t>Equipment &amp; Weapons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2" t="inlineStr">
        <is>
          <t>Weapon Name</t>
        </is>
      </c>
      <c r="B48" s="2" t="inlineStr">
        <is>
          <t>Damage</t>
        </is>
      </c>
      <c r="C48" s="2" t="inlineStr">
        <is>
          <t>Type</t>
        </is>
      </c>
      <c r="D48" s="2" t="inlineStr">
        <is>
          <t>Ammo</t>
        </is>
      </c>
      <c r="E48" s="2" t="inlineStr">
        <is>
          <t>Special</t>
        </is>
      </c>
      <c r="F48" s="2" t="inlineStr">
        <is>
          <t>Armor Name</t>
        </is>
      </c>
      <c r="G48" s="2" t="inlineStr">
        <is>
          <t>DR Piercing</t>
        </is>
      </c>
      <c r="H48" s="2" t="inlineStr">
        <is>
          <t>DR Slashing</t>
        </is>
      </c>
      <c r="I48" s="2" t="inlineStr">
        <is>
          <t>DR Bludgeoning</t>
        </is>
      </c>
      <c r="J48" s="2" t="inlineStr">
        <is>
          <t>Special</t>
        </is>
      </c>
    </row>
    <row r="49"/>
    <row r="50"/>
    <row r="51"/>
    <row r="52"/>
    <row r="53">
      <c r="A53" s="2" t="inlineStr">
        <is>
          <t>Other Equipment</t>
        </is>
      </c>
    </row>
    <row r="54">
      <c r="A54" s="3" t="inlineStr">
        <is>
          <t>D-Class Mutual-Aid Network Contact List</t>
        </is>
      </c>
    </row>
    <row r="55">
      <c r="A55" s="3" t="n"/>
    </row>
    <row r="56">
      <c r="A56" s="3" t="n"/>
    </row>
    <row r="57"/>
    <row r="58">
      <c r="A58" s="1" t="inlineStr">
        <is>
          <t>Background / Department Relations / Morality Tracking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2" t="inlineStr">
        <is>
          <t>Backstory</t>
        </is>
      </c>
      <c r="B59" s="3" t="inlineStr">
        <is>
          <t>A community organizer before prison. Built a secret mutual-aid network in the D-Class containment zone — information sharing, resource exchange, mutual protection. The Foundation knows of his existence but tolerates it — because his network genuinely reduces violence in the D-Class area.</t>
        </is>
      </c>
    </row>
    <row r="60">
      <c r="A60" s="3" t="inlineStr">
        <is>
          <t>Secret</t>
        </is>
      </c>
      <c r="B60" s="3" t="inlineStr">
        <is>
          <t>Through a lawyer (via a peripheral contact in the D-Class network), he is preparing a report on D-Class treatment to submit to the Ethics Committee.</t>
        </is>
      </c>
    </row>
    <row r="61">
      <c r="A61" s="3" t="inlineStr">
        <is>
          <t>Desire</t>
        </is>
      </c>
      <c r="B61" s="3" t="inlineStr">
        <is>
          <t>To have D-Class treated as human beings — not consumables.</t>
        </is>
      </c>
    </row>
    <row r="62">
      <c r="A62" s="3" t="inlineStr">
        <is>
          <t>Catchphrase</t>
        </is>
      </c>
      <c r="B62" s="3" t="inlineStr">
        <is>
          <t>"They number us because numbers don't make you think of names. Names make you think of people. And people — should not be consumed."</t>
        </is>
      </c>
    </row>
  </sheetData>
  <mergeCells count="9">
    <mergeCell ref="A47:J47"/>
    <mergeCell ref="A1:J1"/>
    <mergeCell ref="A35:E35"/>
    <mergeCell ref="A14:J14"/>
    <mergeCell ref="A8:J8"/>
    <mergeCell ref="A58:J58"/>
    <mergeCell ref="A39:J39"/>
    <mergeCell ref="A2:J2"/>
    <mergeCell ref="F35:J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7" max="7"/>
    <col width="10" customWidth="1" min="8" max="8"/>
  </cols>
  <sheetData>
    <row r="1">
      <c r="A1" s="7" t="inlineStr">
        <is>
          <t>Role</t>
        </is>
      </c>
      <c r="B1" s="7" t="inlineStr">
        <is>
          <t>HP Bonus</t>
        </is>
      </c>
      <c r="C1" s="7" t="inlineStr">
        <is>
          <t>HP per Level</t>
        </is>
      </c>
      <c r="D1" s="7" t="inlineStr">
        <is>
          <t>Clearance Start</t>
        </is>
      </c>
      <c r="E1" s="7" t="inlineStr">
        <is>
          <t>Core Attribute</t>
        </is>
      </c>
      <c r="G1" s="7" t="inlineStr">
        <is>
          <t>Role</t>
        </is>
      </c>
      <c r="H1" s="7" t="inlineStr">
        <is>
          <t>Initiative Mod</t>
        </is>
      </c>
    </row>
    <row r="2">
      <c r="A2" s="8" t="inlineStr">
        <is>
          <t>Mobile Task Force Operative</t>
        </is>
      </c>
      <c r="B2" s="8" t="n">
        <v>20</v>
      </c>
      <c r="C2" s="8" t="n">
        <v>3</v>
      </c>
      <c r="D2" s="8" t="n">
        <v>2</v>
      </c>
      <c r="E2" s="8" t="inlineStr">
        <is>
          <t>STR</t>
        </is>
      </c>
      <c r="G2" s="8" t="inlineStr">
        <is>
          <t>Mobile Task Force Operative</t>
        </is>
      </c>
      <c r="H2" s="8" t="n">
        <v>5</v>
      </c>
    </row>
    <row r="3">
      <c r="A3" s="8" t="inlineStr">
        <is>
          <t>Field Agent</t>
        </is>
      </c>
      <c r="B3" s="8" t="n">
        <v>15</v>
      </c>
      <c r="C3" s="8" t="n">
        <v>3</v>
      </c>
      <c r="D3" s="8" t="n">
        <v>2</v>
      </c>
      <c r="E3" s="8" t="inlineStr">
        <is>
          <t>AGI</t>
        </is>
      </c>
      <c r="G3" s="8" t="inlineStr">
        <is>
          <t>Field Agent</t>
        </is>
      </c>
      <c r="H3" s="8" t="n">
        <v>8</v>
      </c>
    </row>
    <row r="4">
      <c r="A4" s="8" t="inlineStr">
        <is>
          <t>Security Agent</t>
        </is>
      </c>
      <c r="B4" s="8" t="n">
        <v>15</v>
      </c>
      <c r="C4" s="8" t="n">
        <v>3</v>
      </c>
      <c r="D4" s="8" t="n">
        <v>2</v>
      </c>
      <c r="E4" s="8" t="inlineStr">
        <is>
          <t>PER</t>
        </is>
      </c>
      <c r="G4" s="8" t="inlineStr">
        <is>
          <t>Security Agent</t>
        </is>
      </c>
      <c r="H4" s="8" t="n">
        <v>3</v>
      </c>
    </row>
    <row r="5">
      <c r="A5" s="8" t="inlineStr">
        <is>
          <t>Technical Specialist</t>
        </is>
      </c>
      <c r="B5" s="8" t="n">
        <v>10</v>
      </c>
      <c r="C5" s="8" t="n">
        <v>2</v>
      </c>
      <c r="D5" s="8" t="n">
        <v>3</v>
      </c>
      <c r="E5" s="8" t="inlineStr">
        <is>
          <t>INT</t>
        </is>
      </c>
      <c r="G5" s="8" t="inlineStr">
        <is>
          <t>Technical Specialist</t>
        </is>
      </c>
      <c r="H5" s="8" t="n">
        <v>2</v>
      </c>
    </row>
    <row r="6">
      <c r="A6" s="8" t="inlineStr">
        <is>
          <t>Medical Specialist</t>
        </is>
      </c>
      <c r="B6" s="8" t="n">
        <v>10</v>
      </c>
      <c r="C6" s="8" t="n">
        <v>2</v>
      </c>
      <c r="D6" s="8" t="n">
        <v>3</v>
      </c>
      <c r="E6" s="8" t="inlineStr">
        <is>
          <t>INT</t>
        </is>
      </c>
      <c r="G6" s="8" t="inlineStr">
        <is>
          <t>Medical Specialist</t>
        </is>
      </c>
      <c r="H6" s="8" t="n">
        <v>0</v>
      </c>
    </row>
    <row r="7">
      <c r="A7" s="8" t="inlineStr">
        <is>
          <t>Researcher</t>
        </is>
      </c>
      <c r="B7" s="8" t="n">
        <v>5</v>
      </c>
      <c r="C7" s="8" t="n">
        <v>1</v>
      </c>
      <c r="D7" s="8" t="n">
        <v>3</v>
      </c>
      <c r="E7" s="8" t="inlineStr">
        <is>
          <t>INT</t>
        </is>
      </c>
      <c r="G7" s="8" t="inlineStr">
        <is>
          <t>Researcher</t>
        </is>
      </c>
      <c r="H7" s="8" t="n">
        <v>0</v>
      </c>
    </row>
    <row r="8">
      <c r="A8" s="8" t="inlineStr">
        <is>
          <t>D-Class Personnel</t>
        </is>
      </c>
      <c r="B8" s="8" t="n">
        <v>0</v>
      </c>
      <c r="C8" s="8" t="n">
        <v>1</v>
      </c>
      <c r="D8" s="8" t="n">
        <v>0</v>
      </c>
      <c r="E8" s="8" t="inlineStr">
        <is>
          <t>Any</t>
        </is>
      </c>
      <c r="G8" s="8" t="inlineStr">
        <is>
          <t>D-Class Personnel</t>
        </is>
      </c>
      <c r="H8" s="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6" customWidth="1" min="4" max="4"/>
    <col width="14" customWidth="1" min="5" max="5"/>
    <col width="6" customWidth="1" min="6" max="6"/>
    <col width="14" customWidth="1" min="7" max="7"/>
    <col width="14" customWidth="1" min="8" max="8"/>
  </cols>
  <sheetData>
    <row r="1">
      <c r="A1" s="1" t="inlineStr">
        <is>
          <t>NPC Companion Template (30-second build · Solo Mode)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5" t="n"/>
    </row>
    <row r="3">
      <c r="A3" s="2" t="inlineStr">
        <is>
          <t>Name</t>
        </is>
      </c>
      <c r="B3" s="2" t="inlineStr">
        <is>
          <t>Role</t>
        </is>
      </c>
      <c r="C3" s="2" t="inlineStr">
        <is>
          <t>Level</t>
        </is>
      </c>
      <c r="D3" s="2" t="inlineStr">
        <is>
          <t>Relationship with PC</t>
        </is>
      </c>
      <c r="E3" s="2" t="n"/>
      <c r="F3" s="2" t="n"/>
      <c r="G3" s="2" t="n"/>
      <c r="H3" s="2" t="n"/>
    </row>
    <row r="4">
      <c r="A4" s="3" t="inlineStr">
        <is>
          <t>Kohl (Companion)</t>
        </is>
      </c>
      <c r="B4" s="3" t="inlineStr">
        <is>
          <t>Mobile Task Force Operative</t>
        </is>
      </c>
      <c r="C4" s="3" t="n">
        <v>1</v>
      </c>
      <c r="D4" s="3" t="n">
        <v>-3</v>
      </c>
    </row>
    <row r="5">
      <c r="A5" s="2" t="inlineStr">
        <is>
          <t>Notes (Personality/Background)</t>
        </is>
      </c>
      <c r="B5" s="3" t="inlineStr">
        <is>
          <t>Silent professional, openly hostile. His mistrust comes from grief, not provocation. −5 refuses orders / +3 loyal ally</t>
        </is>
      </c>
    </row>
    <row r="6"/>
    <row r="7">
      <c r="A7" s="1" t="inlineStr">
        <is>
          <t>Attributes (Input → Derived Values auto-calculated)</t>
        </is>
      </c>
      <c r="B7" s="4" t="n"/>
      <c r="C7" s="4" t="n"/>
      <c r="D7" s="4" t="n"/>
      <c r="E7" s="4" t="n"/>
      <c r="F7" s="4" t="n"/>
      <c r="G7" s="4" t="n"/>
      <c r="H7" s="5" t="n"/>
    </row>
    <row r="8">
      <c r="A8" s="2" t="inlineStr">
        <is>
          <t>AGI</t>
        </is>
      </c>
      <c r="B8" s="3" t="n">
        <v>48</v>
      </c>
      <c r="C8" s="2" t="inlineStr">
        <is>
          <t>END</t>
        </is>
      </c>
      <c r="D8" s="3" t="n">
        <v>40</v>
      </c>
      <c r="E8" s="2" t="inlineStr">
        <is>
          <t>WIL</t>
        </is>
      </c>
      <c r="F8" s="3" t="n">
        <v>35</v>
      </c>
    </row>
    <row r="9">
      <c r="A9" s="2" t="inlineStr">
        <is>
          <t>STR</t>
        </is>
      </c>
      <c r="B9" s="3" t="n">
        <v>52</v>
      </c>
      <c r="C9" s="2" t="inlineStr">
        <is>
          <t>PER</t>
        </is>
      </c>
      <c r="D9" s="3" t="n">
        <v>30</v>
      </c>
      <c r="E9" s="2" t="inlineStr">
        <is>
          <t>PRE</t>
        </is>
      </c>
      <c r="F9" s="3" t="n">
        <v>20</v>
      </c>
    </row>
    <row r="10"/>
    <row r="11">
      <c r="A11" s="2" t="inlineStr">
        <is>
          <t>HP</t>
        </is>
      </c>
      <c r="B11" s="6">
        <f>IF(OR(C4="",D6=""),"",D6+VLOOKUP(C4,參考資料!A:B,2,FALSE)+VLOOKUP(C4,參考資料!A:C,3,FALSE)*(IF(D4="",1,D4)-1))</f>
        <v/>
      </c>
      <c r="C11" s="2" t="inlineStr">
        <is>
          <t>MOV(m)</t>
        </is>
      </c>
      <c r="D11" s="6">
        <f>IF(OR(B6="",B7=""),"",(B7+B6)/2)</f>
        <v/>
      </c>
      <c r="E11" s="2" t="inlineStr">
        <is>
          <t>TP Tactical Points</t>
        </is>
      </c>
      <c r="F11" s="3" t="n">
        <v>2</v>
      </c>
    </row>
    <row r="12"/>
    <row r="13">
      <c r="A13" s="1" t="inlineStr">
        <is>
          <t>Skills (2 core skills + 1 weakness)</t>
        </is>
      </c>
      <c r="B13" s="4" t="n"/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Core Skill 1</t>
        </is>
      </c>
      <c r="B14" s="2" t="inlineStr">
        <is>
          <t>Value</t>
        </is>
      </c>
      <c r="C14" s="2" t="inlineStr">
        <is>
          <t>Core Skill 2</t>
        </is>
      </c>
      <c r="D14" s="2" t="inlineStr">
        <is>
          <t>Value</t>
        </is>
      </c>
      <c r="E14" s="2" t="inlineStr">
        <is>
          <t>Weakness</t>
        </is>
      </c>
      <c r="F14" s="2" t="inlineStr">
        <is>
          <t>Value</t>
        </is>
      </c>
      <c r="G14" s="2" t="n"/>
      <c r="H14" s="2" t="n"/>
    </row>
    <row r="15">
      <c r="A15" s="3" t="inlineStr">
        <is>
          <t>Firearms</t>
        </is>
      </c>
      <c r="B15" s="3" t="n">
        <v>45</v>
      </c>
      <c r="C15" s="3" t="inlineStr">
        <is>
          <t>Melee</t>
        </is>
      </c>
      <c r="D15" s="3" t="n">
        <v>42</v>
      </c>
      <c r="E15" s="3" t="inlineStr">
        <is>
          <t>Persuasion</t>
        </is>
      </c>
      <c r="F15" s="3" t="n">
        <v>20</v>
      </c>
    </row>
    <row r="16"/>
    <row r="17">
      <c r="A17" s="1" t="inlineStr">
        <is>
          <t>Equipment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2" t="inlineStr">
        <is>
          <t>Weapon</t>
        </is>
      </c>
      <c r="B18" s="2" t="inlineStr">
        <is>
          <t>Damage</t>
        </is>
      </c>
      <c r="C18" s="2" t="inlineStr">
        <is>
          <t>Type</t>
        </is>
      </c>
      <c r="D18" s="2" t="inlineStr">
        <is>
          <t>Ammo</t>
        </is>
      </c>
      <c r="E18" s="2" t="inlineStr">
        <is>
          <t>Armor</t>
        </is>
      </c>
      <c r="F18" s="2" t="inlineStr">
        <is>
          <t>DR Piercing</t>
        </is>
      </c>
      <c r="G18" s="2" t="inlineStr">
        <is>
          <t>DR Slashing</t>
        </is>
      </c>
      <c r="H18" s="2" t="inlineStr">
        <is>
          <t>Notes</t>
        </is>
      </c>
    </row>
    <row r="19">
      <c r="A19" s="3" t="inlineStr">
        <is>
          <t>Assault Rifle</t>
        </is>
      </c>
      <c r="B19" s="3" t="inlineStr">
        <is>
          <t>1d10Piercing</t>
        </is>
      </c>
      <c r="C19" s="3" t="inlineStr">
        <is>
          <t>Firearms</t>
        </is>
      </c>
      <c r="D19" s="3" t="n">
        <v>30</v>
      </c>
      <c r="E19" s="3" t="inlineStr">
        <is>
          <t>Tactical Vest</t>
        </is>
      </c>
      <c r="F19" s="3" t="n">
        <v>2</v>
      </c>
      <c r="G19" s="3" t="n">
        <v>2</v>
      </c>
      <c r="H19" s="3" t="inlineStr">
        <is>
          <t>Standard Issue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/>
    <row r="22">
      <c r="A22" s="1" t="inlineStr">
        <is>
          <t>Action Rules (Reference)</t>
        </is>
      </c>
      <c r="B22" s="4" t="n"/>
      <c r="C22" s="4" t="n"/>
      <c r="D22" s="4" t="n"/>
      <c r="E22" s="4" t="n"/>
      <c r="F22" s="4" t="n"/>
      <c r="G22" s="4" t="n"/>
      <c r="H22" s="5" t="n"/>
    </row>
    <row r="23">
      <c r="A23" s="3" t="inlineStr">
        <is>
          <t>Combat: PC may use Quick Action command → Companion acts on its own Initiative</t>
        </is>
      </c>
    </row>
    <row r="24">
      <c r="A24" s="3" t="inlineStr">
        <is>
          <t>Core skills may Assist PC checks (+10 TN). Weakness cannot assist</t>
        </is>
      </c>
    </row>
    <row r="25">
      <c r="A25" s="3" t="inlineStr">
        <is>
          <t>Companion has no SAN/SP system. At HP 0 → dies unless first aid within 3 rounds</t>
        </is>
      </c>
    </row>
    <row r="26">
      <c r="A26" s="3" t="inlineStr">
        <is>
          <t>Trust Tracking: −5 (refuses orders) / +3 (loyal ally)</t>
        </is>
      </c>
    </row>
    <row r="27">
      <c r="A27" s="3" t="inlineStr">
        <is>
          <t>Fallen companions cannot be revived. After returning to Site, recruit a new companion via PRE+Leadership TN 0</t>
        </is>
      </c>
    </row>
  </sheetData>
  <mergeCells count="6">
    <mergeCell ref="A7:H7"/>
    <mergeCell ref="A2:H2"/>
    <mergeCell ref="A13:H13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2026-06-20T14:48:50Z</dcterms:created>
  <dcterms:modified xsi:type="dcterms:W3CDTF">2026-08-08T19:53:04Z</dcterms:modified>
</cp:coreProperties>
</file>