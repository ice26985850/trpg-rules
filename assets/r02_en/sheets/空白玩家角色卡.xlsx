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  <sheet name="參考資料" sheetId="2" state="hidden" r:id="rId2"/>
    <sheet name="NPC Companion Template" sheetId="3" state="visible" r:id="rId3"/>
    <sheet name="NPC Companion Template 1" sheetId="4" state="visible" r:id="rId4"/>
    <sheet name="NPC Companion Template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color rgb="000000CC"/>
      <sz val="10"/>
    </font>
  </fonts>
  <fills count="4">
    <fill>
      <patternFill/>
    </fill>
    <fill>
      <patternFill patternType="gray125"/>
    </fill>
    <fill>
      <patternFill patternType="solid">
        <fgColor rgb="00DCDCDC"/>
        <bgColor rgb="00DCDCDC"/>
      </patternFill>
    </fill>
    <fill>
      <patternFill patternType="solid">
        <fgColor rgb="008B0000"/>
        <bgColor rgb="008B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8" customWidth="1" min="4" max="4"/>
    <col width="20" customWidth="1" min="5" max="5"/>
    <col width="6" customWidth="1" min="6" max="6"/>
    <col width="14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SCP Foundation  -  Agent Dossier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>
      <c r="A2" s="1" t="inlineStr">
        <is>
          <t>Basic Info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n"/>
      <c r="B4" s="3" t="n"/>
      <c r="C4" s="3" t="n"/>
      <c r="D4" s="3" t="n"/>
      <c r="E4" s="3" t="n"/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n"/>
      <c r="B6" s="3" t="n"/>
      <c r="C6" s="3" t="n"/>
      <c r="D6" s="3" t="n"/>
      <c r="E6" s="3" t="n"/>
    </row>
    <row r="7"/>
    <row r="8">
      <c r="A8" s="1" t="inlineStr">
        <is>
          <t>Attributes (Input → Derived Values auto-calculated)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8" t="n"/>
    </row>
    <row r="9">
      <c r="A9" s="2" t="inlineStr">
        <is>
          <t>STR Strength</t>
        </is>
      </c>
      <c r="B9" s="3" t="n"/>
      <c r="C9" s="2" t="inlineStr">
        <is>
          <t>AGI Agility</t>
        </is>
      </c>
      <c r="D9" s="3" t="n"/>
      <c r="E9" s="2" t="inlineStr">
        <is>
          <t>END Endurance</t>
        </is>
      </c>
      <c r="F9" s="3" t="n"/>
      <c r="G9" s="2" t="inlineStr">
        <is>
          <t>INT Intellect</t>
        </is>
      </c>
      <c r="H9" s="3" t="n"/>
    </row>
    <row r="10">
      <c r="A10" s="2" t="inlineStr">
        <is>
          <t>PER Perception</t>
        </is>
      </c>
      <c r="B10" s="3" t="n"/>
      <c r="C10" s="2" t="inlineStr">
        <is>
          <t>WIL Willpower</t>
        </is>
      </c>
      <c r="D10" s="3" t="n"/>
      <c r="E10" s="2" t="inlineStr">
        <is>
          <t>PRE Presence</t>
        </is>
      </c>
      <c r="F10" s="3" t="n"/>
    </row>
    <row r="11"/>
    <row r="12">
      <c r="A12" s="2" t="inlineStr">
        <is>
          <t>HP</t>
        </is>
      </c>
      <c r="B12" s="4">
        <f>IF(OR(C4="",F9=""),"請填身份與END",F9+VLOOKUP(C4,參考資料!A:B,2,FALSE)+VLOOKUP(C4,參考資料!A:C,3,FALSE)*(IF(E4="",1,E4)-1))</f>
        <v/>
      </c>
      <c r="C12" s="2" t="inlineStr">
        <is>
          <t>SAN</t>
        </is>
      </c>
      <c r="D12" s="4">
        <f>IF(D10="","",MIN(99,50+D10))</f>
        <v/>
      </c>
      <c r="E12" s="2" t="inlineStr">
        <is>
          <t>SP</t>
        </is>
      </c>
      <c r="F12" s="3" t="n">
        <v>0</v>
      </c>
      <c r="G12" s="2" t="inlineStr">
        <is>
          <t>INIT</t>
        </is>
      </c>
      <c r="H12" s="4">
        <f>IF(OR(D9="",B10=""),"",D9+B10+IFERROR(VLOOKUP(C4,參考資料!G:H,2,FALSE),0))</f>
        <v/>
      </c>
      <c r="I12" s="2" t="inlineStr">
        <is>
          <t>MOV(m)</t>
        </is>
      </c>
      <c r="J12" s="4">
        <f>IF(OR(B9="",D9=""),"",(B9+D9)/2)</f>
        <v/>
      </c>
    </row>
    <row r="13"/>
    <row r="14">
      <c r="A14" s="1" t="inlineStr">
        <is>
          <t>Skills (24) — Manual Entry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8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Firearms(AGI)</t>
        </is>
      </c>
      <c r="C16" s="3" t="n"/>
      <c r="D16" s="3" t="inlineStr">
        <is>
          <t>Heavy Weapons(AGI)</t>
        </is>
      </c>
      <c r="E16" s="3" t="n"/>
      <c r="F16" s="3" t="inlineStr">
        <is>
          <t>Melee(STR)</t>
        </is>
      </c>
      <c r="G16" s="3" t="n"/>
    </row>
    <row r="17">
      <c r="B17" s="3" t="inlineStr">
        <is>
          <t>Throwing(AGI)</t>
        </is>
      </c>
      <c r="C17" s="3" t="n"/>
      <c r="D17" s="3" t="inlineStr">
        <is>
          <t>Dodge(AGI)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Computers(INT)</t>
        </is>
      </c>
      <c r="C20" s="3" t="n"/>
      <c r="D20" s="3" t="inlineStr">
        <is>
          <t>Engineering(INT)</t>
        </is>
      </c>
      <c r="E20" s="3" t="n"/>
      <c r="F20" s="3" t="inlineStr">
        <is>
          <t>Demolitions(INT)</t>
        </is>
      </c>
      <c r="G20" s="3" t="n"/>
    </row>
    <row r="21">
      <c r="B21" s="3" t="inlineStr">
        <is>
          <t>Medicine(INT)</t>
        </is>
      </c>
      <c r="C21" s="3" t="n"/>
      <c r="D21" s="3" t="inlineStr">
        <is>
          <t>Cryptography(INT)</t>
        </is>
      </c>
      <c r="E21" s="3" t="n"/>
      <c r="F21" s="3" t="inlineStr">
        <is>
          <t>Piloting(AGI)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Anomalistics(INT)</t>
        </is>
      </c>
      <c r="C24" s="3" t="n"/>
      <c r="D24" s="3" t="inlineStr">
        <is>
          <t>Foundation Lore(INT)</t>
        </is>
      </c>
      <c r="E24" s="3" t="n"/>
      <c r="F24" s="3" t="inlineStr">
        <is>
          <t>Occult(INT)</t>
        </is>
      </c>
      <c r="G24" s="3" t="n"/>
    </row>
    <row r="25">
      <c r="B25" s="3" t="inlineStr">
        <is>
          <t>Science(INT)</t>
        </is>
      </c>
      <c r="C25" s="3" t="n"/>
      <c r="D25" s="3" t="inlineStr">
        <is>
          <t>Linguistics(INT)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Persuasion(PRE)</t>
        </is>
      </c>
      <c r="C28" s="3" t="n"/>
      <c r="D28" s="3" t="inlineStr">
        <is>
          <t>Deception(PRE)</t>
        </is>
      </c>
      <c r="E28" s="3" t="n"/>
      <c r="F28" s="3" t="inlineStr">
        <is>
          <t>Interrogation(PRE)</t>
        </is>
      </c>
      <c r="G28" s="3" t="n"/>
    </row>
    <row r="29">
      <c r="B29" s="3" t="inlineStr">
        <is>
          <t>Leadership(PRE)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Stealth(AGI)</t>
        </is>
      </c>
      <c r="C32" s="3" t="n"/>
      <c r="D32" s="3" t="inlineStr">
        <is>
          <t>Observation(PER)</t>
        </is>
      </c>
      <c r="E32" s="3" t="n"/>
      <c r="F32" s="3" t="inlineStr">
        <is>
          <t>Survival(END)</t>
        </is>
      </c>
      <c r="G32" s="3" t="n"/>
    </row>
    <row r="33">
      <c r="B33" s="3" t="inlineStr">
        <is>
          <t>Resist(WIL)</t>
        </is>
      </c>
      <c r="C33" s="3" t="n"/>
    </row>
    <row r="34"/>
    <row r="35">
      <c r="A35" s="1" t="inlineStr">
        <is>
          <t>Resource Pools</t>
        </is>
      </c>
      <c r="B35" s="7" t="n"/>
      <c r="C35" s="7" t="n"/>
      <c r="D35" s="7" t="n"/>
      <c r="E35" s="8" t="n"/>
      <c r="F35" s="1" t="inlineStr">
        <is>
          <t>Status Effects</t>
        </is>
      </c>
      <c r="G35" s="7" t="n"/>
      <c r="H35" s="7" t="n"/>
      <c r="I35" s="7" t="n"/>
      <c r="J35" s="8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8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/>
    <row r="52">
      <c r="A52" s="1" t="inlineStr">
        <is>
          <t>Equipment &amp; Weapons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8" t="n"/>
    </row>
    <row r="53">
      <c r="A53" s="2" t="inlineStr">
        <is>
          <t>Weapon Name</t>
        </is>
      </c>
      <c r="B53" s="2" t="inlineStr">
        <is>
          <t>Damage</t>
        </is>
      </c>
      <c r="C53" s="2" t="inlineStr">
        <is>
          <t>Type</t>
        </is>
      </c>
      <c r="D53" s="2" t="inlineStr">
        <is>
          <t>Ammo</t>
        </is>
      </c>
      <c r="E53" s="2" t="inlineStr">
        <is>
          <t>Special</t>
        </is>
      </c>
      <c r="F53" s="2" t="inlineStr">
        <is>
          <t>Armor Name</t>
        </is>
      </c>
      <c r="G53" s="2" t="inlineStr">
        <is>
          <t>DR Piercing</t>
        </is>
      </c>
      <c r="H53" s="2" t="inlineStr">
        <is>
          <t>DR Slashing</t>
        </is>
      </c>
      <c r="I53" s="2" t="inlineStr">
        <is>
          <t>DR Bludgeoning</t>
        </is>
      </c>
      <c r="J53" s="2" t="inlineStr">
        <is>
          <t>Special</t>
        </is>
      </c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/>
    <row r="61">
      <c r="A61" s="2" t="inlineStr">
        <is>
          <t>Other Equipment / Items</t>
        </is>
      </c>
    </row>
    <row r="62">
      <c r="A62" s="3" t="n"/>
      <c r="C62" s="3" t="n"/>
    </row>
    <row r="63">
      <c r="A63" s="3" t="n"/>
      <c r="C63" s="3" t="n"/>
    </row>
    <row r="64">
      <c r="A64" s="3" t="n"/>
      <c r="C64" s="3" t="n"/>
    </row>
    <row r="65"/>
    <row r="66">
      <c r="A66" s="1" t="inlineStr">
        <is>
          <t>Background / Department Relations / Morality Tracking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8" t="n"/>
    </row>
    <row r="67">
      <c r="A67" s="2" t="inlineStr">
        <is>
          <t>Backstory</t>
        </is>
      </c>
      <c r="B67" s="3" t="n"/>
    </row>
    <row r="68">
      <c r="A68" s="3" t="n"/>
      <c r="B68" s="3" t="n"/>
    </row>
    <row r="69">
      <c r="A69" s="2" t="inlineStr">
        <is>
          <t>Department Relations(-10~+10)</t>
        </is>
      </c>
      <c r="B69" s="2" t="inlineStr">
        <is>
          <t>Dept. of Science</t>
        </is>
      </c>
      <c r="C69" s="2" t="inlineStr">
        <is>
          <t>Security Dept.</t>
        </is>
      </c>
      <c r="D69" s="2" t="inlineStr">
        <is>
          <t>Containment Dept.</t>
        </is>
      </c>
      <c r="E69" s="2" t="inlineStr">
        <is>
          <t>Field Ops Dept.</t>
        </is>
      </c>
      <c r="F69" s="2" t="inlineStr">
        <is>
          <t>Info-Security Dept.</t>
        </is>
      </c>
      <c r="G69" s="2" t="inlineStr">
        <is>
          <t>Logistics Dept.</t>
        </is>
      </c>
      <c r="H69" s="2" t="inlineStr">
        <is>
          <t>Ethics Committee</t>
        </is>
      </c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/>
    <row r="72">
      <c r="A72" s="2" t="inlineStr">
        <is>
          <t>Humanity(0-10)</t>
        </is>
      </c>
      <c r="B72" s="3" t="n"/>
      <c r="C72" s="2" t="inlineStr">
        <is>
          <t>Morality(0-10)</t>
        </is>
      </c>
      <c r="D72" s="3" t="n"/>
    </row>
  </sheetData>
  <mergeCells count="9">
    <mergeCell ref="A1:J1"/>
    <mergeCell ref="A35:E35"/>
    <mergeCell ref="A14:J14"/>
    <mergeCell ref="A8:J8"/>
    <mergeCell ref="A39:J39"/>
    <mergeCell ref="A2:J2"/>
    <mergeCell ref="A52:J52"/>
    <mergeCell ref="F35:J35"/>
    <mergeCell ref="A66:J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7" max="7"/>
    <col width="10" customWidth="1" min="8" max="8"/>
  </cols>
  <sheetData>
    <row r="1">
      <c r="A1" s="5" t="inlineStr">
        <is>
          <t>Role</t>
        </is>
      </c>
      <c r="B1" s="5" t="inlineStr">
        <is>
          <t>HP Bonus</t>
        </is>
      </c>
      <c r="C1" s="5" t="inlineStr">
        <is>
          <t>HP per Level</t>
        </is>
      </c>
      <c r="D1" s="5" t="inlineStr">
        <is>
          <t>Clearance Start</t>
        </is>
      </c>
      <c r="E1" s="5" t="inlineStr">
        <is>
          <t>Core Attribute</t>
        </is>
      </c>
      <c r="G1" s="5" t="inlineStr">
        <is>
          <t>Role</t>
        </is>
      </c>
      <c r="H1" s="5" t="inlineStr">
        <is>
          <t>Initiative Mod</t>
        </is>
      </c>
    </row>
    <row r="2">
      <c r="A2" s="6" t="inlineStr">
        <is>
          <t>Mobile Task Force Operative</t>
        </is>
      </c>
      <c r="B2" s="6" t="n">
        <v>20</v>
      </c>
      <c r="C2" s="6" t="n">
        <v>3</v>
      </c>
      <c r="D2" s="6" t="n">
        <v>2</v>
      </c>
      <c r="E2" s="6" t="inlineStr">
        <is>
          <t>STR</t>
        </is>
      </c>
      <c r="G2" s="6" t="inlineStr">
        <is>
          <t>Mobile Task Force Operative</t>
        </is>
      </c>
      <c r="H2" s="6" t="n">
        <v>5</v>
      </c>
    </row>
    <row r="3">
      <c r="A3" s="6" t="inlineStr">
        <is>
          <t>Field Agent</t>
        </is>
      </c>
      <c r="B3" s="6" t="n">
        <v>15</v>
      </c>
      <c r="C3" s="6" t="n">
        <v>3</v>
      </c>
      <c r="D3" s="6" t="n">
        <v>2</v>
      </c>
      <c r="E3" s="6" t="inlineStr">
        <is>
          <t>AGI</t>
        </is>
      </c>
      <c r="G3" s="6" t="inlineStr">
        <is>
          <t>Field Agent</t>
        </is>
      </c>
      <c r="H3" s="6" t="n">
        <v>8</v>
      </c>
    </row>
    <row r="4">
      <c r="A4" s="6" t="inlineStr">
        <is>
          <t>Security Agent</t>
        </is>
      </c>
      <c r="B4" s="6" t="n">
        <v>15</v>
      </c>
      <c r="C4" s="6" t="n">
        <v>3</v>
      </c>
      <c r="D4" s="6" t="n">
        <v>2</v>
      </c>
      <c r="E4" s="6" t="inlineStr">
        <is>
          <t>PER</t>
        </is>
      </c>
      <c r="G4" s="6" t="inlineStr">
        <is>
          <t>Security Agent</t>
        </is>
      </c>
      <c r="H4" s="6" t="n">
        <v>3</v>
      </c>
    </row>
    <row r="5">
      <c r="A5" s="6" t="inlineStr">
        <is>
          <t>Technical Specialist</t>
        </is>
      </c>
      <c r="B5" s="6" t="n">
        <v>10</v>
      </c>
      <c r="C5" s="6" t="n">
        <v>2</v>
      </c>
      <c r="D5" s="6" t="n">
        <v>3</v>
      </c>
      <c r="E5" s="6" t="inlineStr">
        <is>
          <t>INT</t>
        </is>
      </c>
      <c r="G5" s="6" t="inlineStr">
        <is>
          <t>Technical Specialist</t>
        </is>
      </c>
      <c r="H5" s="6" t="n">
        <v>2</v>
      </c>
    </row>
    <row r="6">
      <c r="A6" s="6" t="inlineStr">
        <is>
          <t>Medical Specialist</t>
        </is>
      </c>
      <c r="B6" s="6" t="n">
        <v>10</v>
      </c>
      <c r="C6" s="6" t="n">
        <v>2</v>
      </c>
      <c r="D6" s="6" t="n">
        <v>3</v>
      </c>
      <c r="E6" s="6" t="inlineStr">
        <is>
          <t>INT</t>
        </is>
      </c>
      <c r="G6" s="6" t="inlineStr">
        <is>
          <t>Medical Specialist</t>
        </is>
      </c>
      <c r="H6" s="6" t="n">
        <v>0</v>
      </c>
    </row>
    <row r="7">
      <c r="A7" s="6" t="inlineStr">
        <is>
          <t>Researcher</t>
        </is>
      </c>
      <c r="B7" s="6" t="n">
        <v>5</v>
      </c>
      <c r="C7" s="6" t="n">
        <v>1</v>
      </c>
      <c r="D7" s="6" t="n">
        <v>3</v>
      </c>
      <c r="E7" s="6" t="inlineStr">
        <is>
          <t>INT</t>
        </is>
      </c>
      <c r="G7" s="6" t="inlineStr">
        <is>
          <t>Researcher</t>
        </is>
      </c>
      <c r="H7" s="6" t="n">
        <v>0</v>
      </c>
    </row>
    <row r="8">
      <c r="A8" s="6" t="inlineStr">
        <is>
          <t>D-Class Personnel</t>
        </is>
      </c>
      <c r="B8" s="6" t="n">
        <v>0</v>
      </c>
      <c r="C8" s="6" t="n">
        <v>1</v>
      </c>
      <c r="D8" s="6" t="n">
        <v>0</v>
      </c>
      <c r="E8" s="6" t="inlineStr">
        <is>
          <t>Any</t>
        </is>
      </c>
      <c r="G8" s="6" t="inlineStr">
        <is>
          <t>D-Class Personnel</t>
        </is>
      </c>
      <c r="H8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 Companion Template (30-second build · Solo Mode)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" t="inlineStr">
        <is>
          <t>Basic Info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Level</t>
        </is>
      </c>
      <c r="D3" s="2" t="inlineStr">
        <is>
          <t>Relationship with PC</t>
        </is>
      </c>
      <c r="E3" s="2" t="n"/>
      <c r="F3" s="2" t="n"/>
      <c r="G3" s="2" t="n"/>
      <c r="H3" s="2" t="n"/>
    </row>
    <row r="4">
      <c r="A4" s="3" t="n"/>
      <c r="B4" s="3" t="n"/>
      <c r="C4" s="3" t="n"/>
      <c r="D4" s="3" t="n"/>
    </row>
    <row r="5">
      <c r="A5" s="2" t="inlineStr">
        <is>
          <t>Notes (Personality/Background)</t>
        </is>
      </c>
      <c r="B5" s="3" t="n"/>
    </row>
    <row r="6"/>
    <row r="7">
      <c r="A7" s="1" t="inlineStr">
        <is>
          <t>Attributes (3 Inputs → Derived Values auto-calculated)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2" t="inlineStr">
        <is>
          <t>AGI Agility</t>
        </is>
      </c>
      <c r="B8" s="3" t="n"/>
      <c r="C8" s="2" t="inlineStr">
        <is>
          <t>END Endurance</t>
        </is>
      </c>
      <c r="D8" s="3" t="n"/>
      <c r="E8" s="2" t="inlineStr">
        <is>
          <t>WIL Willpower</t>
        </is>
      </c>
      <c r="F8" s="3" t="n"/>
      <c r="G8" s="2" t="n"/>
      <c r="H8" s="2" t="n"/>
    </row>
    <row r="9">
      <c r="A9" s="2" t="inlineStr">
        <is>
          <t>STR Strength</t>
        </is>
      </c>
      <c r="B9" s="3" t="n"/>
      <c r="C9" s="2" t="inlineStr">
        <is>
          <t>PER Perception</t>
        </is>
      </c>
      <c r="D9" s="3" t="n"/>
      <c r="E9" s="2" t="inlineStr">
        <is>
          <t>PRE Presence</t>
        </is>
      </c>
      <c r="F9" s="3" t="n"/>
      <c r="G9" s="2" t="n"/>
      <c r="H9" s="2" t="n"/>
    </row>
    <row r="10"/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Resource Pools</t>
        </is>
      </c>
      <c r="F11" s="3" t="n">
        <v>2</v>
      </c>
    </row>
    <row r="12"/>
    <row r="13">
      <c r="A13" s="1" t="inlineStr">
        <is>
          <t>Skills (2 core skills + 1 weakness)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2" t="inlineStr">
        <is>
          <t>Core Skill 1</t>
        </is>
      </c>
      <c r="B14" s="2" t="inlineStr">
        <is>
          <t>Value</t>
        </is>
      </c>
      <c r="C14" s="2" t="inlineStr">
        <is>
          <t>Core Skill 2</t>
        </is>
      </c>
      <c r="D14" s="2" t="inlineStr">
        <is>
          <t>Value</t>
        </is>
      </c>
      <c r="E14" s="2" t="inlineStr">
        <is>
          <t>Weakness</t>
        </is>
      </c>
      <c r="F14" s="2" t="inlineStr">
        <is>
          <t>Value</t>
        </is>
      </c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</row>
    <row r="16"/>
    <row r="17">
      <c r="A17" s="1" t="inlineStr">
        <is>
          <t>Equipment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Weapon</t>
        </is>
      </c>
      <c r="B18" s="2" t="inlineStr">
        <is>
          <t>Damage</t>
        </is>
      </c>
      <c r="C18" s="2" t="inlineStr">
        <is>
          <t>Type</t>
        </is>
      </c>
      <c r="D18" s="2" t="inlineStr">
        <is>
          <t>Ammo</t>
        </is>
      </c>
      <c r="E18" s="2" t="inlineStr">
        <is>
          <t>Armor</t>
        </is>
      </c>
      <c r="F18" s="2" t="inlineStr">
        <is>
          <t>DR Piercing</t>
        </is>
      </c>
      <c r="G18" s="2" t="inlineStr">
        <is>
          <t>DR Slashing</t>
        </is>
      </c>
      <c r="H18" s="2" t="inlineStr">
        <is>
          <t>Notes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/>
    <row r="22">
      <c r="A22" s="1" t="inlineStr">
        <is>
          <t>Action Rules (Reference)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3" t="inlineStr">
        <is>
          <t>Combat: PC may use Quick Action command → Companion acts on its own Initiative</t>
        </is>
      </c>
    </row>
    <row r="24">
      <c r="A24" s="3" t="inlineStr">
        <is>
          <t>Core skills may Assist PC checks (+10 TN). Weakness cannot assist</t>
        </is>
      </c>
    </row>
    <row r="25">
      <c r="A25" s="3" t="inlineStr">
        <is>
          <t>Companion has no SAN/SP system. At HP 0 → dies unless first aid within 3 rounds</t>
        </is>
      </c>
    </row>
    <row r="26">
      <c r="A26" s="3" t="inlineStr">
        <is>
          <t>Trust Tracking: −5 (refuses orders) / +3 (loyal ally)</t>
        </is>
      </c>
    </row>
    <row r="27">
      <c r="A27" s="3" t="inlineStr">
        <is>
          <t>Fallen companions cannot be revived. After returning to Site, recruit a new companion via PRE+Leadership TN 0</t>
        </is>
      </c>
    </row>
    <row r="28">
      <c r="A28" s="3" t="inlineStr">
        <is>
          <t>See "Solo Rules Supplement" §1.3 for recommended combinations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 Companion Template (30-second build · Solo Mode)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" t="inlineStr">
        <is>
          <t>Basic Info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Level</t>
        </is>
      </c>
      <c r="D3" s="2" t="inlineStr">
        <is>
          <t>Relationship with PC</t>
        </is>
      </c>
      <c r="E3" s="2" t="n"/>
      <c r="F3" s="2" t="n"/>
      <c r="G3" s="2" t="n"/>
      <c r="H3" s="2" t="n"/>
    </row>
    <row r="4">
      <c r="A4" s="3" t="n"/>
      <c r="B4" s="3" t="n"/>
      <c r="C4" s="3" t="n"/>
      <c r="D4" s="3" t="n"/>
    </row>
    <row r="5">
      <c r="A5" s="2" t="inlineStr">
        <is>
          <t>Notes (Personality/Background)</t>
        </is>
      </c>
      <c r="B5" s="3" t="n"/>
    </row>
    <row r="6"/>
    <row r="7">
      <c r="A7" s="1" t="inlineStr">
        <is>
          <t>Attributes (3 Inputs → Derived Values auto-calculated)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2" t="inlineStr">
        <is>
          <t>AGI Agility</t>
        </is>
      </c>
      <c r="B8" s="3" t="n"/>
      <c r="C8" s="2" t="inlineStr">
        <is>
          <t>END Endurance</t>
        </is>
      </c>
      <c r="D8" s="3" t="n"/>
      <c r="E8" s="2" t="inlineStr">
        <is>
          <t>WIL Willpower</t>
        </is>
      </c>
      <c r="F8" s="3" t="n"/>
      <c r="G8" s="2" t="n"/>
      <c r="H8" s="2" t="n"/>
    </row>
    <row r="9">
      <c r="A9" s="2" t="inlineStr">
        <is>
          <t>STR Strength</t>
        </is>
      </c>
      <c r="B9" s="3" t="n"/>
      <c r="C9" s="2" t="inlineStr">
        <is>
          <t>PER Perception</t>
        </is>
      </c>
      <c r="D9" s="3" t="n"/>
      <c r="E9" s="2" t="inlineStr">
        <is>
          <t>PRE Presence</t>
        </is>
      </c>
      <c r="F9" s="3" t="n"/>
      <c r="G9" s="2" t="n"/>
      <c r="H9" s="2" t="n"/>
    </row>
    <row r="10"/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Resource Pools</t>
        </is>
      </c>
      <c r="F11" s="3" t="n">
        <v>2</v>
      </c>
    </row>
    <row r="12"/>
    <row r="13">
      <c r="A13" s="1" t="inlineStr">
        <is>
          <t>Skills (2 core skills + 1 weakness)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2" t="inlineStr">
        <is>
          <t>Core Skill 1</t>
        </is>
      </c>
      <c r="B14" s="2" t="inlineStr">
        <is>
          <t>Value</t>
        </is>
      </c>
      <c r="C14" s="2" t="inlineStr">
        <is>
          <t>Core Skill 2</t>
        </is>
      </c>
      <c r="D14" s="2" t="inlineStr">
        <is>
          <t>Value</t>
        </is>
      </c>
      <c r="E14" s="2" t="inlineStr">
        <is>
          <t>Weakness</t>
        </is>
      </c>
      <c r="F14" s="2" t="inlineStr">
        <is>
          <t>Value</t>
        </is>
      </c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</row>
    <row r="16"/>
    <row r="17">
      <c r="A17" s="1" t="inlineStr">
        <is>
          <t>Equipment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Weapon</t>
        </is>
      </c>
      <c r="B18" s="2" t="inlineStr">
        <is>
          <t>Damage</t>
        </is>
      </c>
      <c r="C18" s="2" t="inlineStr">
        <is>
          <t>Type</t>
        </is>
      </c>
      <c r="D18" s="2" t="inlineStr">
        <is>
          <t>Ammo</t>
        </is>
      </c>
      <c r="E18" s="2" t="inlineStr">
        <is>
          <t>Armor</t>
        </is>
      </c>
      <c r="F18" s="2" t="inlineStr">
        <is>
          <t>DR Piercing</t>
        </is>
      </c>
      <c r="G18" s="2" t="inlineStr">
        <is>
          <t>DR Slashing</t>
        </is>
      </c>
      <c r="H18" s="2" t="inlineStr">
        <is>
          <t>Notes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/>
    <row r="22">
      <c r="A22" s="1" t="inlineStr">
        <is>
          <t>Action Rules (Reference)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3" t="inlineStr">
        <is>
          <t>Combat: PC may use Quick Action command → Companion acts on its own Initiative</t>
        </is>
      </c>
    </row>
    <row r="24">
      <c r="A24" s="3" t="inlineStr">
        <is>
          <t>Core skills may Assist PC checks (+10 TN). Weakness cannot assist</t>
        </is>
      </c>
    </row>
    <row r="25">
      <c r="A25" s="3" t="inlineStr">
        <is>
          <t>Companion has no SAN/SP system. At HP 0 → dies unless first aid within 3 rounds</t>
        </is>
      </c>
    </row>
    <row r="26">
      <c r="A26" s="3" t="inlineStr">
        <is>
          <t>Trust Tracking: −5 (refuses orders) / +3 (loyal ally)</t>
        </is>
      </c>
    </row>
    <row r="27">
      <c r="A27" s="3" t="inlineStr">
        <is>
          <t>Fallen companions cannot be revived. After returning to Site, recruit a new companion via PRE+Leadership TN 0</t>
        </is>
      </c>
    </row>
    <row r="28">
      <c r="A28" s="3" t="inlineStr">
        <is>
          <t>See "Solo Rules Supplement" §1.3 for recommended combinations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 Companion Template (30-second build · Solo Mode)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" t="inlineStr">
        <is>
          <t>Basic Info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Level</t>
        </is>
      </c>
      <c r="D3" s="2" t="inlineStr">
        <is>
          <t>Relationship with PC</t>
        </is>
      </c>
      <c r="E3" s="2" t="n"/>
      <c r="F3" s="2" t="n"/>
      <c r="G3" s="2" t="n"/>
      <c r="H3" s="2" t="n"/>
    </row>
    <row r="4">
      <c r="A4" s="3" t="n"/>
      <c r="B4" s="3" t="n"/>
      <c r="C4" s="3" t="n"/>
      <c r="D4" s="3" t="n"/>
    </row>
    <row r="5">
      <c r="A5" s="2" t="inlineStr">
        <is>
          <t>Notes (Personality/Background)</t>
        </is>
      </c>
      <c r="B5" s="3" t="n"/>
    </row>
    <row r="6"/>
    <row r="7">
      <c r="A7" s="1" t="inlineStr">
        <is>
          <t>Attributes (3 Inputs → Derived Values auto-calculated)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2" t="inlineStr">
        <is>
          <t>AGI Agility</t>
        </is>
      </c>
      <c r="B8" s="3" t="n"/>
      <c r="C8" s="2" t="inlineStr">
        <is>
          <t>END Endurance</t>
        </is>
      </c>
      <c r="D8" s="3" t="n"/>
      <c r="E8" s="2" t="inlineStr">
        <is>
          <t>WIL Willpower</t>
        </is>
      </c>
      <c r="F8" s="3" t="n"/>
      <c r="G8" s="2" t="n"/>
      <c r="H8" s="2" t="n"/>
    </row>
    <row r="9">
      <c r="A9" s="2" t="inlineStr">
        <is>
          <t>STR Strength</t>
        </is>
      </c>
      <c r="B9" s="3" t="n"/>
      <c r="C9" s="2" t="inlineStr">
        <is>
          <t>PER Perception</t>
        </is>
      </c>
      <c r="D9" s="3" t="n"/>
      <c r="E9" s="2" t="inlineStr">
        <is>
          <t>PRE Presence</t>
        </is>
      </c>
      <c r="F9" s="3" t="n"/>
      <c r="G9" s="2" t="n"/>
      <c r="H9" s="2" t="n"/>
    </row>
    <row r="10"/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Resource Pools</t>
        </is>
      </c>
      <c r="F11" s="3" t="n">
        <v>2</v>
      </c>
    </row>
    <row r="12"/>
    <row r="13">
      <c r="A13" s="1" t="inlineStr">
        <is>
          <t>Skills (2 core skills + 1 weakness)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2" t="inlineStr">
        <is>
          <t>Core Skill 1</t>
        </is>
      </c>
      <c r="B14" s="2" t="inlineStr">
        <is>
          <t>Value</t>
        </is>
      </c>
      <c r="C14" s="2" t="inlineStr">
        <is>
          <t>Core Skill 2</t>
        </is>
      </c>
      <c r="D14" s="2" t="inlineStr">
        <is>
          <t>Value</t>
        </is>
      </c>
      <c r="E14" s="2" t="inlineStr">
        <is>
          <t>Weakness</t>
        </is>
      </c>
      <c r="F14" s="2" t="inlineStr">
        <is>
          <t>Value</t>
        </is>
      </c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</row>
    <row r="16"/>
    <row r="17">
      <c r="A17" s="1" t="inlineStr">
        <is>
          <t>Equipment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Weapon</t>
        </is>
      </c>
      <c r="B18" s="2" t="inlineStr">
        <is>
          <t>Damage</t>
        </is>
      </c>
      <c r="C18" s="2" t="inlineStr">
        <is>
          <t>Type</t>
        </is>
      </c>
      <c r="D18" s="2" t="inlineStr">
        <is>
          <t>Ammo</t>
        </is>
      </c>
      <c r="E18" s="2" t="inlineStr">
        <is>
          <t>Armor</t>
        </is>
      </c>
      <c r="F18" s="2" t="inlineStr">
        <is>
          <t>DR Piercing</t>
        </is>
      </c>
      <c r="G18" s="2" t="inlineStr">
        <is>
          <t>DR Slashing</t>
        </is>
      </c>
      <c r="H18" s="2" t="inlineStr">
        <is>
          <t>Notes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/>
    <row r="22">
      <c r="A22" s="1" t="inlineStr">
        <is>
          <t>Action Rules (Reference)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3" t="inlineStr">
        <is>
          <t>Combat: PC may use Quick Action command → Companion acts on its own Initiative</t>
        </is>
      </c>
    </row>
    <row r="24">
      <c r="A24" s="3" t="inlineStr">
        <is>
          <t>Core skills may Assist PC checks (+10 TN). Weakness cannot assist</t>
        </is>
      </c>
    </row>
    <row r="25">
      <c r="A25" s="3" t="inlineStr">
        <is>
          <t>Companion has no SAN/SP system. At HP 0 → dies unless first aid within 3 rounds</t>
        </is>
      </c>
    </row>
    <row r="26">
      <c r="A26" s="3" t="inlineStr">
        <is>
          <t>Trust Tracking: −5 (refuses orders) / +3 (loyal ally)</t>
        </is>
      </c>
    </row>
    <row r="27">
      <c r="A27" s="3" t="inlineStr">
        <is>
          <t>Fallen companions cannot be revived. After returning to Site, recruit a new companion via PRE+Leadership TN 0</t>
        </is>
      </c>
    </row>
    <row r="28">
      <c r="A28" s="3" t="inlineStr">
        <is>
          <t>See "Solo Rules Supplement" §1.3 for recommended combinations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2026-06-20T17:04:20Z</dcterms:created>
  <dcterms:modified xsi:type="dcterms:W3CDTF">2026-08-08T19:53:06Z</dcterms:modified>
</cp:coreProperties>
</file>