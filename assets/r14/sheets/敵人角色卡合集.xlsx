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哥布林" sheetId="1" state="visible" r:id="rId1"/>
    <sheet name="野狼" sheetId="2" state="visible" r:id="rId2"/>
    <sheet name="骷髏衛兵" sheetId="3" state="visible" r:id="rId3"/>
    <sheet name="食人魔" sheetId="4" state="visible" r:id="rId4"/>
    <sheet name="巨熊" sheetId="5" state="visible" r:id="rId5"/>
    <sheet name="幽靈" sheetId="6" state="visible" r:id="rId6"/>
    <sheet name="符文魔像" sheetId="7" state="visible" r:id="rId7"/>
    <sheet name="虛空行者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b val="1"/>
      <color rgb="00FFFFFF"/>
      <sz val="11"/>
    </font>
    <font>
      <name val="Microsoft JhengHei"/>
      <sz val="11"/>
    </font>
    <font>
      <name val="Microsoft JhengHei"/>
      <b val="1"/>
      <color rgb="001F4E78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1" pivotButton="0" quotePrefix="0" xfId="0"/>
    <xf numFmtId="0" fontId="4" fillId="4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38" customWidth="1" min="4" max="4"/>
  </cols>
  <sheetData>
    <row r="1">
      <c r="A1" s="1" t="inlineStr">
        <is>
          <t>敵人：哥布林</t>
        </is>
      </c>
      <c r="B1" s="8" t="n"/>
      <c r="C1" s="8" t="n"/>
      <c r="D1" s="3" t="n"/>
    </row>
    <row r="2"/>
    <row r="3">
      <c r="A3" s="2" t="inlineStr">
        <is>
          <t>欄位</t>
        </is>
      </c>
      <c r="B3" s="2" t="inlineStr">
        <is>
          <t>值</t>
        </is>
      </c>
      <c r="C3" s="2" t="inlineStr">
        <is>
          <t>公式/說明</t>
        </is>
      </c>
      <c r="D3" s="3" t="n"/>
    </row>
    <row r="4">
      <c r="A4" s="4" t="inlineStr">
        <is>
          <t>名稱</t>
        </is>
      </c>
      <c r="B4" s="5" t="inlineStr">
        <is>
          <t>哥布林</t>
        </is>
      </c>
      <c r="C4" s="6" t="inlineStr">
        <is>
          <t>—</t>
        </is>
      </c>
      <c r="D4" s="3" t="n"/>
    </row>
    <row r="5">
      <c r="A5" s="4" t="inlineStr">
        <is>
          <t>種類</t>
        </is>
      </c>
      <c r="B5" s="5" t="inlineStr">
        <is>
          <t>人形怪物</t>
        </is>
      </c>
      <c r="C5" s="6" t="inlineStr">
        <is>
          <t>—</t>
        </is>
      </c>
      <c r="D5" s="3" t="n"/>
    </row>
    <row r="6">
      <c r="A6" s="4" t="inlineStr">
        <is>
          <t>挑戰等級(CR)</t>
        </is>
      </c>
      <c r="B6" s="5" t="n">
        <v>1</v>
      </c>
      <c r="C6" s="6" t="inlineStr">
        <is>
          <t>輸入 1-10</t>
        </is>
      </c>
      <c r="D6" s="3" t="n"/>
    </row>
    <row r="7">
      <c r="A7" s="4" t="inlineStr">
        <is>
          <t>生命值(HP)</t>
        </is>
      </c>
      <c r="B7" s="7">
        <f>10+B4*5</f>
        <v/>
      </c>
      <c r="C7" s="6" t="inlineStr">
        <is>
          <t>10+CR×5</t>
        </is>
      </c>
      <c r="D7" s="3" t="n"/>
    </row>
    <row r="8">
      <c r="A8" s="4" t="inlineStr">
        <is>
          <t>攻擊(ATK)</t>
        </is>
      </c>
      <c r="B8" s="7">
        <f>B4*2+2</f>
        <v/>
      </c>
      <c r="C8" s="6" t="inlineStr">
        <is>
          <t>CR×2+2</t>
        </is>
      </c>
      <c r="D8" s="3" t="n"/>
    </row>
    <row r="9">
      <c r="A9" s="4" t="inlineStr">
        <is>
          <t>防禦(DEF)</t>
        </is>
      </c>
      <c r="B9" s="7">
        <f>8+ROUND(B4*1.5,0)</f>
        <v/>
      </c>
      <c r="C9" s="6" t="inlineStr">
        <is>
          <t>8+CR×1.5(四捨五入)</t>
        </is>
      </c>
      <c r="D9" s="3" t="n"/>
    </row>
    <row r="10">
      <c r="A10" s="4" t="inlineStr">
        <is>
          <t>移動力(MOV)</t>
        </is>
      </c>
      <c r="B10" s="5" t="n">
        <v>3</v>
      </c>
      <c r="C10" s="6" t="inlineStr">
        <is>
          <t>基礎</t>
        </is>
      </c>
      <c r="D10" s="3" t="n"/>
    </row>
    <row r="11">
      <c r="A11" s="4" t="inlineStr">
        <is>
          <t>獎勵(經驗/資源)</t>
        </is>
      </c>
      <c r="B11" s="7">
        <f>B4*10</f>
        <v/>
      </c>
      <c r="C11" s="6" t="inlineStr">
        <is>
          <t>CR×10 金幣等值</t>
        </is>
      </c>
      <c r="D11" s="3" t="n"/>
    </row>
    <row r="12">
      <c r="A12" s="4" t="inlineStr">
        <is>
          <t>特殊能力</t>
        </is>
      </c>
      <c r="B12" s="5" t="inlineStr">
        <is>
          <t>森林巡邏</t>
        </is>
      </c>
      <c r="C12" s="6" t="inlineStr">
        <is>
          <t>—</t>
        </is>
      </c>
      <c r="D12" s="3" t="n"/>
    </row>
    <row r="13">
      <c r="A13" s="4" t="inlineStr">
        <is>
          <t>當前狀態</t>
        </is>
      </c>
      <c r="B13" s="5" t="inlineStr">
        <is>
          <t>無</t>
        </is>
      </c>
      <c r="C13" s="6" t="inlineStr">
        <is>
          <t>中毒/燃燒/束縛等</t>
        </is>
      </c>
      <c r="D13" s="3" t="n"/>
    </row>
  </sheetData>
  <mergeCells count="12">
    <mergeCell ref="A1:D1"/>
    <mergeCell ref="C12:D12"/>
    <mergeCell ref="C6:D6"/>
    <mergeCell ref="C7:D7"/>
    <mergeCell ref="C10:D10"/>
    <mergeCell ref="C11:D11"/>
    <mergeCell ref="C5:D5"/>
    <mergeCell ref="C13:D13"/>
    <mergeCell ref="C9:D9"/>
    <mergeCell ref="C3:D3"/>
    <mergeCell ref="C8:D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38" customWidth="1" min="4" max="4"/>
  </cols>
  <sheetData>
    <row r="1">
      <c r="A1" s="1" t="inlineStr">
        <is>
          <t>敵人：野狼</t>
        </is>
      </c>
      <c r="B1" s="8" t="n"/>
      <c r="C1" s="8" t="n"/>
      <c r="D1" s="3" t="n"/>
    </row>
    <row r="2"/>
    <row r="3">
      <c r="A3" s="2" t="inlineStr">
        <is>
          <t>欄位</t>
        </is>
      </c>
      <c r="B3" s="2" t="inlineStr">
        <is>
          <t>值</t>
        </is>
      </c>
      <c r="C3" s="2" t="inlineStr">
        <is>
          <t>公式/說明</t>
        </is>
      </c>
      <c r="D3" s="3" t="n"/>
    </row>
    <row r="4">
      <c r="A4" s="4" t="inlineStr">
        <is>
          <t>名稱</t>
        </is>
      </c>
      <c r="B4" s="5" t="inlineStr">
        <is>
          <t>野狼</t>
        </is>
      </c>
      <c r="C4" s="6" t="inlineStr">
        <is>
          <t>—</t>
        </is>
      </c>
      <c r="D4" s="3" t="n"/>
    </row>
    <row r="5">
      <c r="A5" s="4" t="inlineStr">
        <is>
          <t>種類</t>
        </is>
      </c>
      <c r="B5" s="5" t="inlineStr">
        <is>
          <t>野獸</t>
        </is>
      </c>
      <c r="C5" s="6" t="inlineStr">
        <is>
          <t>—</t>
        </is>
      </c>
      <c r="D5" s="3" t="n"/>
    </row>
    <row r="6">
      <c r="A6" s="4" t="inlineStr">
        <is>
          <t>挑戰等級(CR)</t>
        </is>
      </c>
      <c r="B6" s="5" t="n">
        <v>1</v>
      </c>
      <c r="C6" s="6" t="inlineStr">
        <is>
          <t>輸入 1-10</t>
        </is>
      </c>
      <c r="D6" s="3" t="n"/>
    </row>
    <row r="7">
      <c r="A7" s="4" t="inlineStr">
        <is>
          <t>生命值(HP)</t>
        </is>
      </c>
      <c r="B7" s="7">
        <f>10+B4*5</f>
        <v/>
      </c>
      <c r="C7" s="6" t="inlineStr">
        <is>
          <t>10+CR×5</t>
        </is>
      </c>
      <c r="D7" s="3" t="n"/>
    </row>
    <row r="8">
      <c r="A8" s="4" t="inlineStr">
        <is>
          <t>攻擊(ATK)</t>
        </is>
      </c>
      <c r="B8" s="7">
        <f>B4*2+2</f>
        <v/>
      </c>
      <c r="C8" s="6" t="inlineStr">
        <is>
          <t>CR×2+2</t>
        </is>
      </c>
      <c r="D8" s="3" t="n"/>
    </row>
    <row r="9">
      <c r="A9" s="4" t="inlineStr">
        <is>
          <t>防禦(DEF)</t>
        </is>
      </c>
      <c r="B9" s="7">
        <f>8+ROUND(B4*1.5,0)</f>
        <v/>
      </c>
      <c r="C9" s="6" t="inlineStr">
        <is>
          <t>8+CR×1.5(四捨五入)</t>
        </is>
      </c>
      <c r="D9" s="3" t="n"/>
    </row>
    <row r="10">
      <c r="A10" s="4" t="inlineStr">
        <is>
          <t>移動力(MOV)</t>
        </is>
      </c>
      <c r="B10" s="5" t="n">
        <v>3</v>
      </c>
      <c r="C10" s="6" t="inlineStr">
        <is>
          <t>基礎</t>
        </is>
      </c>
      <c r="D10" s="3" t="n"/>
    </row>
    <row r="11">
      <c r="A11" s="4" t="inlineStr">
        <is>
          <t>獎勵(經驗/資源)</t>
        </is>
      </c>
      <c r="B11" s="7">
        <f>B4*10</f>
        <v/>
      </c>
      <c r="C11" s="6" t="inlineStr">
        <is>
          <t>CR×10 金幣等值</t>
        </is>
      </c>
      <c r="D11" s="3" t="n"/>
    </row>
    <row r="12">
      <c r="A12" s="4" t="inlineStr">
        <is>
          <t>特殊能力</t>
        </is>
      </c>
      <c r="B12" s="5" t="inlineStr">
        <is>
          <t>群體圍攻</t>
        </is>
      </c>
      <c r="C12" s="6" t="inlineStr">
        <is>
          <t>—</t>
        </is>
      </c>
      <c r="D12" s="3" t="n"/>
    </row>
    <row r="13">
      <c r="A13" s="4" t="inlineStr">
        <is>
          <t>當前狀態</t>
        </is>
      </c>
      <c r="B13" s="5" t="inlineStr">
        <is>
          <t>無</t>
        </is>
      </c>
      <c r="C13" s="6" t="inlineStr">
        <is>
          <t>中毒/燃燒/束縛等</t>
        </is>
      </c>
      <c r="D13" s="3" t="n"/>
    </row>
  </sheetData>
  <mergeCells count="12">
    <mergeCell ref="A1:D1"/>
    <mergeCell ref="C12:D12"/>
    <mergeCell ref="C6:D6"/>
    <mergeCell ref="C7:D7"/>
    <mergeCell ref="C10:D10"/>
    <mergeCell ref="C11:D11"/>
    <mergeCell ref="C5:D5"/>
    <mergeCell ref="C13:D13"/>
    <mergeCell ref="C9:D9"/>
    <mergeCell ref="C3:D3"/>
    <mergeCell ref="C8:D8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38" customWidth="1" min="4" max="4"/>
  </cols>
  <sheetData>
    <row r="1">
      <c r="A1" s="1" t="inlineStr">
        <is>
          <t>敵人：骷髏衛兵</t>
        </is>
      </c>
      <c r="B1" s="8" t="n"/>
      <c r="C1" s="8" t="n"/>
      <c r="D1" s="3" t="n"/>
    </row>
    <row r="2"/>
    <row r="3">
      <c r="A3" s="2" t="inlineStr">
        <is>
          <t>欄位</t>
        </is>
      </c>
      <c r="B3" s="2" t="inlineStr">
        <is>
          <t>值</t>
        </is>
      </c>
      <c r="C3" s="2" t="inlineStr">
        <is>
          <t>公式/說明</t>
        </is>
      </c>
      <c r="D3" s="3" t="n"/>
    </row>
    <row r="4">
      <c r="A4" s="4" t="inlineStr">
        <is>
          <t>名稱</t>
        </is>
      </c>
      <c r="B4" s="5" t="inlineStr">
        <is>
          <t>骷髏衛兵</t>
        </is>
      </c>
      <c r="C4" s="6" t="inlineStr">
        <is>
          <t>—</t>
        </is>
      </c>
      <c r="D4" s="3" t="n"/>
    </row>
    <row r="5">
      <c r="A5" s="4" t="inlineStr">
        <is>
          <t>種類</t>
        </is>
      </c>
      <c r="B5" s="5" t="inlineStr">
        <is>
          <t>不死</t>
        </is>
      </c>
      <c r="C5" s="6" t="inlineStr">
        <is>
          <t>—</t>
        </is>
      </c>
      <c r="D5" s="3" t="n"/>
    </row>
    <row r="6">
      <c r="A6" s="4" t="inlineStr">
        <is>
          <t>挑戰等級(CR)</t>
        </is>
      </c>
      <c r="B6" s="5" t="n">
        <v>2</v>
      </c>
      <c r="C6" s="6" t="inlineStr">
        <is>
          <t>輸入 1-10</t>
        </is>
      </c>
      <c r="D6" s="3" t="n"/>
    </row>
    <row r="7">
      <c r="A7" s="4" t="inlineStr">
        <is>
          <t>生命值(HP)</t>
        </is>
      </c>
      <c r="B7" s="7">
        <f>10+B4*5</f>
        <v/>
      </c>
      <c r="C7" s="6" t="inlineStr">
        <is>
          <t>10+CR×5</t>
        </is>
      </c>
      <c r="D7" s="3" t="n"/>
    </row>
    <row r="8">
      <c r="A8" s="4" t="inlineStr">
        <is>
          <t>攻擊(ATK)</t>
        </is>
      </c>
      <c r="B8" s="7">
        <f>B4*2+2</f>
        <v/>
      </c>
      <c r="C8" s="6" t="inlineStr">
        <is>
          <t>CR×2+2</t>
        </is>
      </c>
      <c r="D8" s="3" t="n"/>
    </row>
    <row r="9">
      <c r="A9" s="4" t="inlineStr">
        <is>
          <t>防禦(DEF)</t>
        </is>
      </c>
      <c r="B9" s="7">
        <f>8+ROUND(B4*1.5,0)</f>
        <v/>
      </c>
      <c r="C9" s="6" t="inlineStr">
        <is>
          <t>8+CR×1.5(四捨五入)</t>
        </is>
      </c>
      <c r="D9" s="3" t="n"/>
    </row>
    <row r="10">
      <c r="A10" s="4" t="inlineStr">
        <is>
          <t>移動力(MOV)</t>
        </is>
      </c>
      <c r="B10" s="5" t="n">
        <v>3</v>
      </c>
      <c r="C10" s="6" t="inlineStr">
        <is>
          <t>基礎</t>
        </is>
      </c>
      <c r="D10" s="3" t="n"/>
    </row>
    <row r="11">
      <c r="A11" s="4" t="inlineStr">
        <is>
          <t>獎勵(經驗/資源)</t>
        </is>
      </c>
      <c r="B11" s="7">
        <f>B4*10</f>
        <v/>
      </c>
      <c r="C11" s="6" t="inlineStr">
        <is>
          <t>CR×10 金幣等值</t>
        </is>
      </c>
      <c r="D11" s="3" t="n"/>
    </row>
    <row r="12">
      <c r="A12" s="4" t="inlineStr">
        <is>
          <t>特殊能力</t>
        </is>
      </c>
      <c r="B12" s="5" t="inlineStr">
        <is>
          <t>遺跡守衛</t>
        </is>
      </c>
      <c r="C12" s="6" t="inlineStr">
        <is>
          <t>—</t>
        </is>
      </c>
      <c r="D12" s="3" t="n"/>
    </row>
    <row r="13">
      <c r="A13" s="4" t="inlineStr">
        <is>
          <t>當前狀態</t>
        </is>
      </c>
      <c r="B13" s="5" t="inlineStr">
        <is>
          <t>無</t>
        </is>
      </c>
      <c r="C13" s="6" t="inlineStr">
        <is>
          <t>中毒/燃燒/束縛等</t>
        </is>
      </c>
      <c r="D13" s="3" t="n"/>
    </row>
  </sheetData>
  <mergeCells count="12">
    <mergeCell ref="A1:D1"/>
    <mergeCell ref="C12:D12"/>
    <mergeCell ref="C6:D6"/>
    <mergeCell ref="C7:D7"/>
    <mergeCell ref="C10:D10"/>
    <mergeCell ref="C11:D11"/>
    <mergeCell ref="C5:D5"/>
    <mergeCell ref="C13:D13"/>
    <mergeCell ref="C9:D9"/>
    <mergeCell ref="C3:D3"/>
    <mergeCell ref="C8:D8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38" customWidth="1" min="4" max="4"/>
  </cols>
  <sheetData>
    <row r="1">
      <c r="A1" s="1" t="inlineStr">
        <is>
          <t>敵人：食人魔</t>
        </is>
      </c>
      <c r="B1" s="8" t="n"/>
      <c r="C1" s="8" t="n"/>
      <c r="D1" s="3" t="n"/>
    </row>
    <row r="2"/>
    <row r="3">
      <c r="A3" s="2" t="inlineStr">
        <is>
          <t>欄位</t>
        </is>
      </c>
      <c r="B3" s="2" t="inlineStr">
        <is>
          <t>值</t>
        </is>
      </c>
      <c r="C3" s="2" t="inlineStr">
        <is>
          <t>公式/說明</t>
        </is>
      </c>
      <c r="D3" s="3" t="n"/>
    </row>
    <row r="4">
      <c r="A4" s="4" t="inlineStr">
        <is>
          <t>名稱</t>
        </is>
      </c>
      <c r="B4" s="5" t="inlineStr">
        <is>
          <t>食人魔</t>
        </is>
      </c>
      <c r="C4" s="6" t="inlineStr">
        <is>
          <t>—</t>
        </is>
      </c>
      <c r="D4" s="3" t="n"/>
    </row>
    <row r="5">
      <c r="A5" s="4" t="inlineStr">
        <is>
          <t>種類</t>
        </is>
      </c>
      <c r="B5" s="5" t="inlineStr">
        <is>
          <t>巨人混血</t>
        </is>
      </c>
      <c r="C5" s="6" t="inlineStr">
        <is>
          <t>—</t>
        </is>
      </c>
      <c r="D5" s="3" t="n"/>
    </row>
    <row r="6">
      <c r="A6" s="4" t="inlineStr">
        <is>
          <t>挑戰等級(CR)</t>
        </is>
      </c>
      <c r="B6" s="5" t="n">
        <v>4</v>
      </c>
      <c r="C6" s="6" t="inlineStr">
        <is>
          <t>輸入 1-10</t>
        </is>
      </c>
      <c r="D6" s="3" t="n"/>
    </row>
    <row r="7">
      <c r="A7" s="4" t="inlineStr">
        <is>
          <t>生命值(HP)</t>
        </is>
      </c>
      <c r="B7" s="7">
        <f>10+B4*5</f>
        <v/>
      </c>
      <c r="C7" s="6" t="inlineStr">
        <is>
          <t>10+CR×5</t>
        </is>
      </c>
      <c r="D7" s="3" t="n"/>
    </row>
    <row r="8">
      <c r="A8" s="4" t="inlineStr">
        <is>
          <t>攻擊(ATK)</t>
        </is>
      </c>
      <c r="B8" s="7">
        <f>B4*2+2</f>
        <v/>
      </c>
      <c r="C8" s="6" t="inlineStr">
        <is>
          <t>CR×2+2</t>
        </is>
      </c>
      <c r="D8" s="3" t="n"/>
    </row>
    <row r="9">
      <c r="A9" s="4" t="inlineStr">
        <is>
          <t>防禦(DEF)</t>
        </is>
      </c>
      <c r="B9" s="7">
        <f>8+ROUND(B4*1.5,0)</f>
        <v/>
      </c>
      <c r="C9" s="6" t="inlineStr">
        <is>
          <t>8+CR×1.5(四捨五入)</t>
        </is>
      </c>
      <c r="D9" s="3" t="n"/>
    </row>
    <row r="10">
      <c r="A10" s="4" t="inlineStr">
        <is>
          <t>移動力(MOV)</t>
        </is>
      </c>
      <c r="B10" s="5" t="n">
        <v>3</v>
      </c>
      <c r="C10" s="6" t="inlineStr">
        <is>
          <t>基礎</t>
        </is>
      </c>
      <c r="D10" s="3" t="n"/>
    </row>
    <row r="11">
      <c r="A11" s="4" t="inlineStr">
        <is>
          <t>獎勵(經驗/資源)</t>
        </is>
      </c>
      <c r="B11" s="7">
        <f>B4*10</f>
        <v/>
      </c>
      <c r="C11" s="6" t="inlineStr">
        <is>
          <t>CR×10 金幣等值</t>
        </is>
      </c>
      <c r="D11" s="3" t="n"/>
    </row>
    <row r="12">
      <c r="A12" s="4" t="inlineStr">
        <is>
          <t>特殊能力</t>
        </is>
      </c>
      <c r="B12" s="5" t="inlineStr">
        <is>
          <t>掉落材料</t>
        </is>
      </c>
      <c r="C12" s="6" t="inlineStr">
        <is>
          <t>—</t>
        </is>
      </c>
      <c r="D12" s="3" t="n"/>
    </row>
    <row r="13">
      <c r="A13" s="4" t="inlineStr">
        <is>
          <t>當前狀態</t>
        </is>
      </c>
      <c r="B13" s="5" t="inlineStr">
        <is>
          <t>無</t>
        </is>
      </c>
      <c r="C13" s="6" t="inlineStr">
        <is>
          <t>中毒/燃燒/束縛等</t>
        </is>
      </c>
      <c r="D13" s="3" t="n"/>
    </row>
  </sheetData>
  <mergeCells count="12">
    <mergeCell ref="A1:D1"/>
    <mergeCell ref="C12:D12"/>
    <mergeCell ref="C6:D6"/>
    <mergeCell ref="C7:D7"/>
    <mergeCell ref="C10:D10"/>
    <mergeCell ref="C11:D11"/>
    <mergeCell ref="C5:D5"/>
    <mergeCell ref="C13:D13"/>
    <mergeCell ref="C9:D9"/>
    <mergeCell ref="C3:D3"/>
    <mergeCell ref="C8:D8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38" customWidth="1" min="4" max="4"/>
  </cols>
  <sheetData>
    <row r="1">
      <c r="A1" s="1" t="inlineStr">
        <is>
          <t>敵人：巨熊</t>
        </is>
      </c>
      <c r="B1" s="8" t="n"/>
      <c r="C1" s="8" t="n"/>
      <c r="D1" s="3" t="n"/>
    </row>
    <row r="2"/>
    <row r="3">
      <c r="A3" s="2" t="inlineStr">
        <is>
          <t>欄位</t>
        </is>
      </c>
      <c r="B3" s="2" t="inlineStr">
        <is>
          <t>值</t>
        </is>
      </c>
      <c r="C3" s="2" t="inlineStr">
        <is>
          <t>公式/說明</t>
        </is>
      </c>
      <c r="D3" s="3" t="n"/>
    </row>
    <row r="4">
      <c r="A4" s="4" t="inlineStr">
        <is>
          <t>名稱</t>
        </is>
      </c>
      <c r="B4" s="5" t="inlineStr">
        <is>
          <t>巨熊</t>
        </is>
      </c>
      <c r="C4" s="6" t="inlineStr">
        <is>
          <t>—</t>
        </is>
      </c>
      <c r="D4" s="3" t="n"/>
    </row>
    <row r="5">
      <c r="A5" s="4" t="inlineStr">
        <is>
          <t>種類</t>
        </is>
      </c>
      <c r="B5" s="5" t="inlineStr">
        <is>
          <t>猛獸</t>
        </is>
      </c>
      <c r="C5" s="6" t="inlineStr">
        <is>
          <t>—</t>
        </is>
      </c>
      <c r="D5" s="3" t="n"/>
    </row>
    <row r="6">
      <c r="A6" s="4" t="inlineStr">
        <is>
          <t>挑戰等級(CR)</t>
        </is>
      </c>
      <c r="B6" s="5" t="n">
        <v>3</v>
      </c>
      <c r="C6" s="6" t="inlineStr">
        <is>
          <t>輸入 1-10</t>
        </is>
      </c>
      <c r="D6" s="3" t="n"/>
    </row>
    <row r="7">
      <c r="A7" s="4" t="inlineStr">
        <is>
          <t>生命值(HP)</t>
        </is>
      </c>
      <c r="B7" s="7">
        <f>10+B4*5</f>
        <v/>
      </c>
      <c r="C7" s="6" t="inlineStr">
        <is>
          <t>10+CR×5</t>
        </is>
      </c>
      <c r="D7" s="3" t="n"/>
    </row>
    <row r="8">
      <c r="A8" s="4" t="inlineStr">
        <is>
          <t>攻擊(ATK)</t>
        </is>
      </c>
      <c r="B8" s="7">
        <f>B4*2+2</f>
        <v/>
      </c>
      <c r="C8" s="6" t="inlineStr">
        <is>
          <t>CR×2+2</t>
        </is>
      </c>
      <c r="D8" s="3" t="n"/>
    </row>
    <row r="9">
      <c r="A9" s="4" t="inlineStr">
        <is>
          <t>防禦(DEF)</t>
        </is>
      </c>
      <c r="B9" s="7">
        <f>8+ROUND(B4*1.5,0)</f>
        <v/>
      </c>
      <c r="C9" s="6" t="inlineStr">
        <is>
          <t>8+CR×1.5(四捨五入)</t>
        </is>
      </c>
      <c r="D9" s="3" t="n"/>
    </row>
    <row r="10">
      <c r="A10" s="4" t="inlineStr">
        <is>
          <t>移動力(MOV)</t>
        </is>
      </c>
      <c r="B10" s="5" t="n">
        <v>3</v>
      </c>
      <c r="C10" s="6" t="inlineStr">
        <is>
          <t>基礎</t>
        </is>
      </c>
      <c r="D10" s="3" t="n"/>
    </row>
    <row r="11">
      <c r="A11" s="4" t="inlineStr">
        <is>
          <t>獎勵(經驗/資源)</t>
        </is>
      </c>
      <c r="B11" s="7">
        <f>B4*10</f>
        <v/>
      </c>
      <c r="C11" s="6" t="inlineStr">
        <is>
          <t>CR×10 金幣等值</t>
        </is>
      </c>
      <c r="D11" s="3" t="n"/>
    </row>
    <row r="12">
      <c r="A12" s="4" t="inlineStr">
        <is>
          <t>特殊能力</t>
        </is>
      </c>
      <c r="B12" s="5" t="inlineStr">
        <is>
          <t>單體強敵</t>
        </is>
      </c>
      <c r="C12" s="6" t="inlineStr">
        <is>
          <t>—</t>
        </is>
      </c>
      <c r="D12" s="3" t="n"/>
    </row>
    <row r="13">
      <c r="A13" s="4" t="inlineStr">
        <is>
          <t>當前狀態</t>
        </is>
      </c>
      <c r="B13" s="5" t="inlineStr">
        <is>
          <t>無</t>
        </is>
      </c>
      <c r="C13" s="6" t="inlineStr">
        <is>
          <t>中毒/燃燒/束縛等</t>
        </is>
      </c>
      <c r="D13" s="3" t="n"/>
    </row>
  </sheetData>
  <mergeCells count="12">
    <mergeCell ref="A1:D1"/>
    <mergeCell ref="C12:D12"/>
    <mergeCell ref="C6:D6"/>
    <mergeCell ref="C7:D7"/>
    <mergeCell ref="C10:D10"/>
    <mergeCell ref="C11:D11"/>
    <mergeCell ref="C5:D5"/>
    <mergeCell ref="C13:D13"/>
    <mergeCell ref="C9:D9"/>
    <mergeCell ref="C3:D3"/>
    <mergeCell ref="C8:D8"/>
    <mergeCell ref="C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38" customWidth="1" min="4" max="4"/>
  </cols>
  <sheetData>
    <row r="1">
      <c r="A1" s="1" t="inlineStr">
        <is>
          <t>敵人：幽靈</t>
        </is>
      </c>
      <c r="B1" s="8" t="n"/>
      <c r="C1" s="8" t="n"/>
      <c r="D1" s="3" t="n"/>
    </row>
    <row r="2"/>
    <row r="3">
      <c r="A3" s="2" t="inlineStr">
        <is>
          <t>欄位</t>
        </is>
      </c>
      <c r="B3" s="2" t="inlineStr">
        <is>
          <t>值</t>
        </is>
      </c>
      <c r="C3" s="2" t="inlineStr">
        <is>
          <t>公式/說明</t>
        </is>
      </c>
      <c r="D3" s="3" t="n"/>
    </row>
    <row r="4">
      <c r="A4" s="4" t="inlineStr">
        <is>
          <t>名稱</t>
        </is>
      </c>
      <c r="B4" s="5" t="inlineStr">
        <is>
          <t>幽靈</t>
        </is>
      </c>
      <c r="C4" s="6" t="inlineStr">
        <is>
          <t>—</t>
        </is>
      </c>
      <c r="D4" s="3" t="n"/>
    </row>
    <row r="5">
      <c r="A5" s="4" t="inlineStr">
        <is>
          <t>種類</t>
        </is>
      </c>
      <c r="B5" s="5" t="inlineStr">
        <is>
          <t>超自然</t>
        </is>
      </c>
      <c r="C5" s="6" t="inlineStr">
        <is>
          <t>—</t>
        </is>
      </c>
      <c r="D5" s="3" t="n"/>
    </row>
    <row r="6">
      <c r="A6" s="4" t="inlineStr">
        <is>
          <t>挑戰等級(CR)</t>
        </is>
      </c>
      <c r="B6" s="5" t="n">
        <v>3</v>
      </c>
      <c r="C6" s="6" t="inlineStr">
        <is>
          <t>輸入 1-10</t>
        </is>
      </c>
      <c r="D6" s="3" t="n"/>
    </row>
    <row r="7">
      <c r="A7" s="4" t="inlineStr">
        <is>
          <t>生命值(HP)</t>
        </is>
      </c>
      <c r="B7" s="7">
        <f>10+B4*5</f>
        <v/>
      </c>
      <c r="C7" s="6" t="inlineStr">
        <is>
          <t>10+CR×5</t>
        </is>
      </c>
      <c r="D7" s="3" t="n"/>
    </row>
    <row r="8">
      <c r="A8" s="4" t="inlineStr">
        <is>
          <t>攻擊(ATK)</t>
        </is>
      </c>
      <c r="B8" s="7">
        <f>B4*2+2</f>
        <v/>
      </c>
      <c r="C8" s="6" t="inlineStr">
        <is>
          <t>CR×2+2</t>
        </is>
      </c>
      <c r="D8" s="3" t="n"/>
    </row>
    <row r="9">
      <c r="A9" s="4" t="inlineStr">
        <is>
          <t>防禦(DEF)</t>
        </is>
      </c>
      <c r="B9" s="7">
        <f>8+ROUND(B4*1.5,0)</f>
        <v/>
      </c>
      <c r="C9" s="6" t="inlineStr">
        <is>
          <t>8+CR×1.5(四捨五入)</t>
        </is>
      </c>
      <c r="D9" s="3" t="n"/>
    </row>
    <row r="10">
      <c r="A10" s="4" t="inlineStr">
        <is>
          <t>移動力(MOV)</t>
        </is>
      </c>
      <c r="B10" s="5" t="n">
        <v>3</v>
      </c>
      <c r="C10" s="6" t="inlineStr">
        <is>
          <t>基礎</t>
        </is>
      </c>
      <c r="D10" s="3" t="n"/>
    </row>
    <row r="11">
      <c r="A11" s="4" t="inlineStr">
        <is>
          <t>獎勵(經驗/資源)</t>
        </is>
      </c>
      <c r="B11" s="7">
        <f>B4*10</f>
        <v/>
      </c>
      <c r="C11" s="6" t="inlineStr">
        <is>
          <t>CR×10 金幣等值</t>
        </is>
      </c>
      <c r="D11" s="3" t="n"/>
    </row>
    <row r="12">
      <c r="A12" s="4" t="inlineStr">
        <is>
          <t>特殊能力</t>
        </is>
      </c>
      <c r="B12" s="5" t="inlineStr">
        <is>
          <t>精神攻擊</t>
        </is>
      </c>
      <c r="C12" s="6" t="inlineStr">
        <is>
          <t>—</t>
        </is>
      </c>
      <c r="D12" s="3" t="n"/>
    </row>
    <row r="13">
      <c r="A13" s="4" t="inlineStr">
        <is>
          <t>當前狀態</t>
        </is>
      </c>
      <c r="B13" s="5" t="inlineStr">
        <is>
          <t>無</t>
        </is>
      </c>
      <c r="C13" s="6" t="inlineStr">
        <is>
          <t>中毒/燃燒/束縛等</t>
        </is>
      </c>
      <c r="D13" s="3" t="n"/>
    </row>
  </sheetData>
  <mergeCells count="12">
    <mergeCell ref="A1:D1"/>
    <mergeCell ref="C12:D12"/>
    <mergeCell ref="C6:D6"/>
    <mergeCell ref="C7:D7"/>
    <mergeCell ref="C10:D10"/>
    <mergeCell ref="C11:D11"/>
    <mergeCell ref="C5:D5"/>
    <mergeCell ref="C13:D13"/>
    <mergeCell ref="C9:D9"/>
    <mergeCell ref="C3:D3"/>
    <mergeCell ref="C8:D8"/>
    <mergeCell ref="C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38" customWidth="1" min="4" max="4"/>
  </cols>
  <sheetData>
    <row r="1">
      <c r="A1" s="1" t="inlineStr">
        <is>
          <t>敵人：符文魔像</t>
        </is>
      </c>
      <c r="B1" s="8" t="n"/>
      <c r="C1" s="8" t="n"/>
      <c r="D1" s="3" t="n"/>
    </row>
    <row r="2"/>
    <row r="3">
      <c r="A3" s="2" t="inlineStr">
        <is>
          <t>欄位</t>
        </is>
      </c>
      <c r="B3" s="2" t="inlineStr">
        <is>
          <t>值</t>
        </is>
      </c>
      <c r="C3" s="2" t="inlineStr">
        <is>
          <t>公式/說明</t>
        </is>
      </c>
      <c r="D3" s="3" t="n"/>
    </row>
    <row r="4">
      <c r="A4" s="4" t="inlineStr">
        <is>
          <t>名稱</t>
        </is>
      </c>
      <c r="B4" s="5" t="inlineStr">
        <is>
          <t>符文魔像</t>
        </is>
      </c>
      <c r="C4" s="6" t="inlineStr">
        <is>
          <t>—</t>
        </is>
      </c>
      <c r="D4" s="3" t="n"/>
    </row>
    <row r="5">
      <c r="A5" s="4" t="inlineStr">
        <is>
          <t>種類</t>
        </is>
      </c>
      <c r="B5" s="5" t="inlineStr">
        <is>
          <t>構裝體</t>
        </is>
      </c>
      <c r="C5" s="6" t="inlineStr">
        <is>
          <t>—</t>
        </is>
      </c>
      <c r="D5" s="3" t="n"/>
    </row>
    <row r="6">
      <c r="A6" s="4" t="inlineStr">
        <is>
          <t>挑戰等級(CR)</t>
        </is>
      </c>
      <c r="B6" s="5" t="n">
        <v>4</v>
      </c>
      <c r="C6" s="6" t="inlineStr">
        <is>
          <t>輸入 1-10</t>
        </is>
      </c>
      <c r="D6" s="3" t="n"/>
    </row>
    <row r="7">
      <c r="A7" s="4" t="inlineStr">
        <is>
          <t>生命值(HP)</t>
        </is>
      </c>
      <c r="B7" s="7">
        <f>10+B4*5</f>
        <v/>
      </c>
      <c r="C7" s="6" t="inlineStr">
        <is>
          <t>10+CR×5</t>
        </is>
      </c>
      <c r="D7" s="3" t="n"/>
    </row>
    <row r="8">
      <c r="A8" s="4" t="inlineStr">
        <is>
          <t>攻擊(ATK)</t>
        </is>
      </c>
      <c r="B8" s="7">
        <f>B4*2+2</f>
        <v/>
      </c>
      <c r="C8" s="6" t="inlineStr">
        <is>
          <t>CR×2+2</t>
        </is>
      </c>
      <c r="D8" s="3" t="n"/>
    </row>
    <row r="9">
      <c r="A9" s="4" t="inlineStr">
        <is>
          <t>防禦(DEF)</t>
        </is>
      </c>
      <c r="B9" s="7">
        <f>8+ROUND(B4*1.5,0)</f>
        <v/>
      </c>
      <c r="C9" s="6" t="inlineStr">
        <is>
          <t>8+CR×1.5(四捨五入)</t>
        </is>
      </c>
      <c r="D9" s="3" t="n"/>
    </row>
    <row r="10">
      <c r="A10" s="4" t="inlineStr">
        <is>
          <t>移動力(MOV)</t>
        </is>
      </c>
      <c r="B10" s="5" t="n">
        <v>3</v>
      </c>
      <c r="C10" s="6" t="inlineStr">
        <is>
          <t>基礎</t>
        </is>
      </c>
      <c r="D10" s="3" t="n"/>
    </row>
    <row r="11">
      <c r="A11" s="4" t="inlineStr">
        <is>
          <t>獎勵(經驗/資源)</t>
        </is>
      </c>
      <c r="B11" s="7">
        <f>B4*10</f>
        <v/>
      </c>
      <c r="C11" s="6" t="inlineStr">
        <is>
          <t>CR×10 金幣等值</t>
        </is>
      </c>
      <c r="D11" s="3" t="n"/>
    </row>
    <row r="12">
      <c r="A12" s="4" t="inlineStr">
        <is>
          <t>特殊能力</t>
        </is>
      </c>
      <c r="B12" s="5" t="inlineStr">
        <is>
          <t>需破解符文</t>
        </is>
      </c>
      <c r="C12" s="6" t="inlineStr">
        <is>
          <t>—</t>
        </is>
      </c>
      <c r="D12" s="3" t="n"/>
    </row>
    <row r="13">
      <c r="A13" s="4" t="inlineStr">
        <is>
          <t>當前狀態</t>
        </is>
      </c>
      <c r="B13" s="5" t="inlineStr">
        <is>
          <t>無</t>
        </is>
      </c>
      <c r="C13" s="6" t="inlineStr">
        <is>
          <t>中毒/燃燒/束縛等</t>
        </is>
      </c>
      <c r="D13" s="3" t="n"/>
    </row>
  </sheetData>
  <mergeCells count="12">
    <mergeCell ref="A1:D1"/>
    <mergeCell ref="C12:D12"/>
    <mergeCell ref="C6:D6"/>
    <mergeCell ref="C7:D7"/>
    <mergeCell ref="C10:D10"/>
    <mergeCell ref="C11:D11"/>
    <mergeCell ref="C5:D5"/>
    <mergeCell ref="C13:D13"/>
    <mergeCell ref="C9:D9"/>
    <mergeCell ref="C3:D3"/>
    <mergeCell ref="C8:D8"/>
    <mergeCell ref="C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38" customWidth="1" min="4" max="4"/>
  </cols>
  <sheetData>
    <row r="1">
      <c r="A1" s="1" t="inlineStr">
        <is>
          <t>敵人：虛空行者</t>
        </is>
      </c>
      <c r="B1" s="8" t="n"/>
      <c r="C1" s="8" t="n"/>
      <c r="D1" s="3" t="n"/>
    </row>
    <row r="2"/>
    <row r="3">
      <c r="A3" s="2" t="inlineStr">
        <is>
          <t>欄位</t>
        </is>
      </c>
      <c r="B3" s="2" t="inlineStr">
        <is>
          <t>值</t>
        </is>
      </c>
      <c r="C3" s="2" t="inlineStr">
        <is>
          <t>公式/說明</t>
        </is>
      </c>
      <c r="D3" s="3" t="n"/>
    </row>
    <row r="4">
      <c r="A4" s="4" t="inlineStr">
        <is>
          <t>名稱</t>
        </is>
      </c>
      <c r="B4" s="5" t="inlineStr">
        <is>
          <t>虛空行者</t>
        </is>
      </c>
      <c r="C4" s="6" t="inlineStr">
        <is>
          <t>—</t>
        </is>
      </c>
      <c r="D4" s="3" t="n"/>
    </row>
    <row r="5">
      <c r="A5" s="4" t="inlineStr">
        <is>
          <t>種類</t>
        </is>
      </c>
      <c r="B5" s="5" t="inlineStr">
        <is>
          <t>傳奇威脅</t>
        </is>
      </c>
      <c r="C5" s="6" t="inlineStr">
        <is>
          <t>—</t>
        </is>
      </c>
      <c r="D5" s="3" t="n"/>
    </row>
    <row r="6">
      <c r="A6" s="4" t="inlineStr">
        <is>
          <t>挑戰等級(CR)</t>
        </is>
      </c>
      <c r="B6" s="5" t="n">
        <v>8</v>
      </c>
      <c r="C6" s="6" t="inlineStr">
        <is>
          <t>輸入 1-10</t>
        </is>
      </c>
      <c r="D6" s="3" t="n"/>
    </row>
    <row r="7">
      <c r="A7" s="4" t="inlineStr">
        <is>
          <t>生命值(HP)</t>
        </is>
      </c>
      <c r="B7" s="7">
        <f>10+B4*5</f>
        <v/>
      </c>
      <c r="C7" s="6" t="inlineStr">
        <is>
          <t>10+CR×5</t>
        </is>
      </c>
      <c r="D7" s="3" t="n"/>
    </row>
    <row r="8">
      <c r="A8" s="4" t="inlineStr">
        <is>
          <t>攻擊(ATK)</t>
        </is>
      </c>
      <c r="B8" s="7">
        <f>B4*2+2</f>
        <v/>
      </c>
      <c r="C8" s="6" t="inlineStr">
        <is>
          <t>CR×2+2</t>
        </is>
      </c>
      <c r="D8" s="3" t="n"/>
    </row>
    <row r="9">
      <c r="A9" s="4" t="inlineStr">
        <is>
          <t>防禦(DEF)</t>
        </is>
      </c>
      <c r="B9" s="7">
        <f>8+ROUND(B4*1.5,0)</f>
        <v/>
      </c>
      <c r="C9" s="6" t="inlineStr">
        <is>
          <t>8+CR×1.5(四捨五入)</t>
        </is>
      </c>
      <c r="D9" s="3" t="n"/>
    </row>
    <row r="10">
      <c r="A10" s="4" t="inlineStr">
        <is>
          <t>移動力(MOV)</t>
        </is>
      </c>
      <c r="B10" s="5" t="n">
        <v>3</v>
      </c>
      <c r="C10" s="6" t="inlineStr">
        <is>
          <t>基礎</t>
        </is>
      </c>
      <c r="D10" s="3" t="n"/>
    </row>
    <row r="11">
      <c r="A11" s="4" t="inlineStr">
        <is>
          <t>獎勵(經驗/資源)</t>
        </is>
      </c>
      <c r="B11" s="7">
        <f>B4*10</f>
        <v/>
      </c>
      <c r="C11" s="6" t="inlineStr">
        <is>
          <t>CR×10 金幣等值</t>
        </is>
      </c>
      <c r="D11" s="3" t="n"/>
    </row>
    <row r="12">
      <c r="A12" s="4" t="inlineStr">
        <is>
          <t>特殊能力</t>
        </is>
      </c>
      <c r="B12" s="5" t="inlineStr">
        <is>
          <t>遠古守門人級</t>
        </is>
      </c>
      <c r="C12" s="6" t="inlineStr">
        <is>
          <t>—</t>
        </is>
      </c>
      <c r="D12" s="3" t="n"/>
    </row>
    <row r="13">
      <c r="A13" s="4" t="inlineStr">
        <is>
          <t>當前狀態</t>
        </is>
      </c>
      <c r="B13" s="5" t="inlineStr">
        <is>
          <t>無</t>
        </is>
      </c>
      <c r="C13" s="6" t="inlineStr">
        <is>
          <t>中毒/燃燒/束縛等</t>
        </is>
      </c>
      <c r="D13" s="3" t="n"/>
    </row>
  </sheetData>
  <mergeCells count="12">
    <mergeCell ref="A1:D1"/>
    <mergeCell ref="C12:D12"/>
    <mergeCell ref="C6:D6"/>
    <mergeCell ref="C7:D7"/>
    <mergeCell ref="C10:D10"/>
    <mergeCell ref="C11:D11"/>
    <mergeCell ref="C5:D5"/>
    <mergeCell ref="C13:D13"/>
    <mergeCell ref="C9:D9"/>
    <mergeCell ref="C3:D3"/>
    <mergeCell ref="C8:D8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2026-07-16T16:08:03Z</dcterms:created>
  <dcterms:modified xsi:type="dcterms:W3CDTF">2026-07-17T00:15:29Z</dcterms:modified>
</cp:coreProperties>
</file>