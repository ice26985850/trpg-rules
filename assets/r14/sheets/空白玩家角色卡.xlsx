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國家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1F4E78"/>
      <sz val="12"/>
    </font>
    <font>
      <name val="Microsoft JhengHei"/>
      <sz val="11"/>
    </font>
    <font>
      <name val="Microsoft JhengHei"/>
      <b val="1"/>
      <color rgb="001F4E78"/>
      <sz val="11"/>
    </font>
    <font>
      <name val="Microsoft JhengHe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pivotButton="0" quotePrefix="0" xfId="0"/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40" customWidth="1" min="4" max="4"/>
  </cols>
  <sheetData>
    <row r="1">
      <c r="A1" s="1" t="inlineStr">
        <is>
          <t>建國模擬 TRPG ── 空白國家角色卡</t>
        </is>
      </c>
      <c r="B1" s="5" t="n"/>
      <c r="C1" s="5" t="n"/>
      <c r="D1" s="6" t="n"/>
    </row>
    <row r="2"/>
    <row r="3">
      <c r="A3" s="2" t="inlineStr">
        <is>
          <t>一、基本資訊</t>
        </is>
      </c>
      <c r="B3" s="5" t="n"/>
      <c r="C3" s="5" t="n"/>
      <c r="D3" s="6" t="n"/>
    </row>
    <row r="4">
      <c r="A4" s="3" t="inlineStr">
        <is>
          <t>國家名稱</t>
        </is>
      </c>
      <c r="B4" s="4" t="inlineStr"/>
      <c r="C4" s="5" t="n"/>
      <c r="D4" s="6" t="n"/>
    </row>
    <row r="5">
      <c r="A5" s="3" t="inlineStr">
        <is>
          <t>統治者</t>
        </is>
      </c>
      <c r="B5" s="4" t="inlineStr"/>
      <c r="C5" s="5" t="n"/>
      <c r="D5" s="6" t="n"/>
    </row>
    <row r="6">
      <c r="A6" s="3" t="inlineStr">
        <is>
          <t>起源</t>
        </is>
      </c>
      <c r="B6" s="4" t="inlineStr"/>
      <c r="C6" s="5" t="n"/>
      <c r="D6" s="6" t="n"/>
    </row>
    <row r="7">
      <c r="A7" s="3" t="inlineStr">
        <is>
          <t>種族構成</t>
        </is>
      </c>
      <c r="B7" s="4" t="inlineStr"/>
      <c r="C7" s="5" t="n"/>
      <c r="D7" s="6" t="n"/>
    </row>
    <row r="8">
      <c r="A8" s="3" t="inlineStr">
        <is>
          <t>地理位置</t>
        </is>
      </c>
      <c r="B8" s="4" t="inlineStr"/>
      <c r="C8" s="5" t="n"/>
      <c r="D8" s="6" t="n"/>
    </row>
    <row r="9">
      <c r="A9" s="3" t="inlineStr">
        <is>
          <t>建國理念</t>
        </is>
      </c>
      <c r="B9" s="4" t="inlineStr"/>
      <c r="C9" s="5" t="n"/>
      <c r="D9" s="6" t="n"/>
    </row>
    <row r="10">
      <c r="A10" s="3" t="inlineStr">
        <is>
          <t>初始鄰國</t>
        </is>
      </c>
      <c r="B10" s="4" t="inlineStr"/>
      <c r="C10" s="5" t="n"/>
      <c r="D10" s="6" t="n"/>
    </row>
    <row r="11">
      <c r="A11" s="3" t="inlineStr">
        <is>
          <t>當前時代</t>
        </is>
      </c>
      <c r="B11" s="4" t="inlineStr">
        <is>
          <t>部落時代</t>
        </is>
      </c>
      <c r="C11" s="5" t="n"/>
      <c r="D11" s="6" t="n"/>
    </row>
    <row r="12"/>
    <row r="13">
      <c r="A13" s="2" t="inlineStr">
        <is>
          <t>二、國家六維（輸入基礎值，調整值自動計算）</t>
        </is>
      </c>
      <c r="B13" s="5" t="n"/>
      <c r="C13" s="5" t="n"/>
      <c r="D13" s="6" t="n"/>
    </row>
    <row r="14">
      <c r="A14" s="7" t="inlineStr">
        <is>
          <t>屬性</t>
        </is>
      </c>
      <c r="B14" s="7" t="inlineStr">
        <is>
          <t>數值</t>
        </is>
      </c>
      <c r="C14" s="7" t="inlineStr">
        <is>
          <t>調整值(MOD)</t>
        </is>
      </c>
      <c r="D14" s="7" t="inlineStr">
        <is>
          <t>說明</t>
        </is>
      </c>
    </row>
    <row r="15">
      <c r="A15" s="3" t="inlineStr">
        <is>
          <t>人口(POP)</t>
        </is>
      </c>
      <c r="B15" s="4" t="n"/>
      <c r="C15" s="8">
        <f>IFERROR(FLOOR((B15-10)/5),0)</f>
        <v/>
      </c>
      <c r="D15" s="9" t="inlineStr">
        <is>
          <t>勞動力/稅基</t>
        </is>
      </c>
    </row>
    <row r="16">
      <c r="A16" s="3" t="inlineStr">
        <is>
          <t>資源(RES)</t>
        </is>
      </c>
      <c r="B16" s="4" t="n"/>
      <c r="C16" s="8">
        <f>IFERROR(FLOOR((B16-10)/5),0)</f>
        <v/>
      </c>
      <c r="D16" s="9" t="inlineStr">
        <is>
          <t>建材與產出</t>
        </is>
      </c>
    </row>
    <row r="17">
      <c r="A17" s="3" t="inlineStr">
        <is>
          <t>經濟(ECO)</t>
        </is>
      </c>
      <c r="B17" s="4" t="n"/>
      <c r="C17" s="8">
        <f>IFERROR(FLOOR((B17-10)/5),0)</f>
        <v/>
      </c>
      <c r="D17" s="9" t="inlineStr">
        <is>
          <t>貿易與稅收</t>
        </is>
      </c>
    </row>
    <row r="18">
      <c r="A18" s="3" t="inlineStr">
        <is>
          <t>軍事(MIL)</t>
        </is>
      </c>
      <c r="B18" s="4" t="n"/>
      <c r="C18" s="8">
        <f>IFERROR(FLOOR((B18-10)/5),0)</f>
        <v/>
      </c>
      <c r="D18" s="9" t="inlineStr">
        <is>
          <t>軍隊與防禦</t>
        </is>
      </c>
    </row>
    <row r="19">
      <c r="A19" s="3" t="inlineStr">
        <is>
          <t>科技(TEC)</t>
        </is>
      </c>
      <c r="B19" s="4" t="n"/>
      <c r="C19" s="8">
        <f>IFERROR(FLOOR((B19-10)/5),0)</f>
        <v/>
      </c>
      <c r="D19" s="9" t="inlineStr">
        <is>
          <t>研究進度</t>
        </is>
      </c>
    </row>
    <row r="20">
      <c r="A20" s="3" t="inlineStr">
        <is>
          <t>民心(MOR)</t>
        </is>
      </c>
      <c r="B20" s="4" t="n"/>
      <c r="C20" s="8">
        <f>IFERROR(FLOOR((B20-10)/5),0)</f>
        <v/>
      </c>
      <c r="D20" s="9" t="inlineStr">
        <is>
          <t>忠誠與幸福</t>
        </is>
      </c>
    </row>
    <row r="21"/>
    <row r="22">
      <c r="A22" s="2" t="inlineStr">
        <is>
          <t>三、衍生屬性（自動計算）</t>
        </is>
      </c>
      <c r="B22" s="5" t="n"/>
      <c r="C22" s="5" t="n"/>
      <c r="D22" s="6" t="n"/>
    </row>
    <row r="23">
      <c r="A23" s="7" t="inlineStr">
        <is>
          <t>衍生值</t>
        </is>
      </c>
      <c r="B23" s="7" t="inlineStr">
        <is>
          <t>結果</t>
        </is>
      </c>
      <c r="C23" s="7" t="inlineStr">
        <is>
          <t>公式</t>
        </is>
      </c>
      <c r="D23" s="6" t="n"/>
    </row>
    <row r="24">
      <c r="A24" s="3" t="inlineStr">
        <is>
          <t>國力(NP)</t>
        </is>
      </c>
      <c r="B24" s="8">
        <f>IFERROR(B15*0.5+B16+B17+B18,0)</f>
        <v/>
      </c>
      <c r="C24" s="9" t="inlineStr">
        <is>
          <t>人口×0.5+資源+經濟+軍事</t>
        </is>
      </c>
      <c r="D24" s="6" t="n"/>
    </row>
    <row r="25">
      <c r="A25" s="3" t="inlineStr">
        <is>
          <t>稅收(TAX)</t>
        </is>
      </c>
      <c r="B25" s="8">
        <f>IFERROR(B17*B15*0.01,0)</f>
        <v/>
      </c>
      <c r="C25" s="9" t="inlineStr">
        <is>
          <t>經濟×人口×0.01</t>
        </is>
      </c>
      <c r="D25" s="6" t="n"/>
    </row>
    <row r="26">
      <c r="A26" s="3" t="inlineStr">
        <is>
          <t>糧食消耗(FOD)</t>
        </is>
      </c>
      <c r="B26" s="8">
        <f>IFERROR(B15*0.8,0)</f>
        <v/>
      </c>
      <c r="C26" s="9" t="inlineStr">
        <is>
          <t>人口×0.8（冬×1.3）</t>
        </is>
      </c>
      <c r="D26" s="6" t="n"/>
    </row>
    <row r="27">
      <c r="A27" s="3" t="inlineStr">
        <is>
          <t>研究點數(RP)</t>
        </is>
      </c>
      <c r="B27" s="8">
        <f>IFERROR(B19*0.5,0)</f>
        <v/>
      </c>
      <c r="C27" s="9" t="inlineStr">
        <is>
          <t>科技×0.5</t>
        </is>
      </c>
      <c r="D27" s="6" t="n"/>
    </row>
    <row r="28">
      <c r="A28" s="3" t="inlineStr">
        <is>
          <t>人口上限(CAP)</t>
        </is>
      </c>
      <c r="B28" s="8">
        <f>IFERROR(10+B16*5,0)</f>
        <v/>
      </c>
      <c r="C28" s="9" t="inlineStr">
        <is>
          <t>10+資源×5</t>
        </is>
      </c>
      <c r="D28" s="6" t="n"/>
    </row>
    <row r="29">
      <c r="A29" s="3" t="inlineStr">
        <is>
          <t>軍隊上限(MCP)</t>
        </is>
      </c>
      <c r="B29" s="8">
        <f>IFERROR(B15*0.1+B18*0.5,0)</f>
        <v/>
      </c>
      <c r="C29" s="9" t="inlineStr">
        <is>
          <t>人口×0.1+軍事×0.5</t>
        </is>
      </c>
      <c r="D29" s="6" t="n"/>
    </row>
    <row r="30"/>
    <row r="31">
      <c r="A31" s="2" t="inlineStr">
        <is>
          <t>四、資源存量池（每回合結算追蹤）</t>
        </is>
      </c>
      <c r="B31" s="5" t="n"/>
      <c r="C31" s="5" t="n"/>
      <c r="D31" s="6" t="n"/>
    </row>
    <row r="32">
      <c r="A32" s="3" t="inlineStr">
        <is>
          <t>金幣(GOLD)</t>
        </is>
      </c>
      <c r="B32" s="4" t="n">
        <v>150</v>
      </c>
      <c r="C32" s="9" t="inlineStr">
        <is>
          <t>起始值，每回合增減</t>
        </is>
      </c>
      <c r="D32" s="6" t="n"/>
    </row>
    <row r="33">
      <c r="A33" s="3" t="inlineStr">
        <is>
          <t>糧食(FOOD)</t>
        </is>
      </c>
      <c r="B33" s="4" t="n">
        <v>200</v>
      </c>
      <c r="C33" s="9" t="inlineStr">
        <is>
          <t>起始值，每回合增減</t>
        </is>
      </c>
      <c r="D33" s="6" t="n"/>
    </row>
    <row r="34">
      <c r="A34" s="3" t="inlineStr">
        <is>
          <t>木材(MAT_WOOD)</t>
        </is>
      </c>
      <c r="B34" s="4" t="n">
        <v>30</v>
      </c>
      <c r="C34" s="9" t="inlineStr">
        <is>
          <t>起始值，每回合增減</t>
        </is>
      </c>
      <c r="D34" s="6" t="n"/>
    </row>
    <row r="35">
      <c r="A35" s="3" t="inlineStr">
        <is>
          <t>石材(MAT_STONE)</t>
        </is>
      </c>
      <c r="B35" s="4" t="n">
        <v>20</v>
      </c>
      <c r="C35" s="9" t="inlineStr">
        <is>
          <t>起始值，每回合增減</t>
        </is>
      </c>
      <c r="D35" s="6" t="n"/>
    </row>
    <row r="36">
      <c r="A36" s="3" t="inlineStr">
        <is>
          <t>鐵礦(MAT_IRON)</t>
        </is>
      </c>
      <c r="B36" s="4" t="n">
        <v>10</v>
      </c>
      <c r="C36" s="9" t="inlineStr">
        <is>
          <t>起始值，每回合增減</t>
        </is>
      </c>
      <c r="D36" s="6" t="n"/>
    </row>
    <row r="37"/>
    <row r="38">
      <c r="A38" s="2" t="inlineStr">
        <is>
          <t>五、英雄示範欄（個人戰鬥，公式自動計算）</t>
        </is>
      </c>
      <c r="B38" s="5" t="n"/>
      <c r="C38" s="5" t="n"/>
      <c r="D38" s="6" t="n"/>
    </row>
    <row r="39">
      <c r="A39" s="7" t="inlineStr">
        <is>
          <t>欄位</t>
        </is>
      </c>
      <c r="B39" s="7" t="inlineStr">
        <is>
          <t>值</t>
        </is>
      </c>
      <c r="C39" s="7" t="inlineStr">
        <is>
          <t>說明</t>
        </is>
      </c>
      <c r="D39" s="6" t="n"/>
    </row>
    <row r="40">
      <c r="A40" s="3" t="inlineStr">
        <is>
          <t>英雄名</t>
        </is>
      </c>
      <c r="B40" s="4" t="inlineStr"/>
      <c r="C40" s="9" t="inlineStr"/>
      <c r="D40" s="6" t="n"/>
    </row>
    <row r="41">
      <c r="A41" s="3" t="inlineStr">
        <is>
          <t>類型</t>
        </is>
      </c>
      <c r="B41" s="4" t="inlineStr"/>
      <c r="C41" s="9" t="inlineStr"/>
      <c r="D41" s="6" t="n"/>
    </row>
    <row r="42">
      <c r="A42" s="3" t="inlineStr">
        <is>
          <t>武力(ATK)</t>
        </is>
      </c>
      <c r="B42" s="4" t="inlineStr"/>
      <c r="C42" s="9" t="inlineStr"/>
      <c r="D42" s="6" t="n"/>
    </row>
    <row r="43">
      <c r="A43" s="3" t="inlineStr">
        <is>
          <t>學識(KNW)</t>
        </is>
      </c>
      <c r="B43" s="4" t="inlineStr"/>
      <c r="C43" s="9" t="inlineStr"/>
      <c r="D43" s="6" t="n"/>
    </row>
    <row r="44">
      <c r="A44" s="3" t="inlineStr">
        <is>
          <t>體質(CON)</t>
        </is>
      </c>
      <c r="B44" s="4" t="n">
        <v>5</v>
      </c>
      <c r="C44" s="9" t="inlineStr"/>
      <c r="D44" s="6" t="n"/>
    </row>
    <row r="45">
      <c r="A45" s="3" t="inlineStr">
        <is>
          <t>生命值(HP)</t>
        </is>
      </c>
      <c r="B45" s="8">
        <f>IFERROR(20+B42*4+B44*2,0)</f>
        <v/>
      </c>
      <c r="C45" s="9" t="inlineStr"/>
      <c r="D45" s="6" t="n"/>
    </row>
    <row r="46">
      <c r="A46" s="3" t="inlineStr">
        <is>
          <t>法力上限(MP)</t>
        </is>
      </c>
      <c r="B46" s="8">
        <f>IFERROR(10+B43*2,0)</f>
        <v/>
      </c>
      <c r="C46" s="9" t="inlineStr"/>
      <c r="D46" s="6" t="n"/>
    </row>
    <row r="47">
      <c r="A47" s="3" t="inlineStr">
        <is>
          <t>防禦(DEF)</t>
        </is>
      </c>
      <c r="B47" s="4" t="inlineStr"/>
      <c r="C47" s="9" t="inlineStr"/>
      <c r="D47" s="6" t="n"/>
    </row>
    <row r="48">
      <c r="A48" s="3" t="inlineStr">
        <is>
          <t>當前狀態</t>
        </is>
      </c>
      <c r="B48" s="4" t="inlineStr">
        <is>
          <t>無</t>
        </is>
      </c>
      <c r="C48" s="9" t="inlineStr"/>
      <c r="D48" s="6" t="n"/>
    </row>
  </sheetData>
  <mergeCells count="36">
    <mergeCell ref="B11:D11"/>
    <mergeCell ref="C34:D34"/>
    <mergeCell ref="C24:D24"/>
    <mergeCell ref="A22:D22"/>
    <mergeCell ref="C33:D33"/>
    <mergeCell ref="B8:D8"/>
    <mergeCell ref="A38:D38"/>
    <mergeCell ref="C42:D42"/>
    <mergeCell ref="C45:D45"/>
    <mergeCell ref="C26:D26"/>
    <mergeCell ref="A13:D13"/>
    <mergeCell ref="C35:D35"/>
    <mergeCell ref="B10:D10"/>
    <mergeCell ref="C29:D29"/>
    <mergeCell ref="A31:D31"/>
    <mergeCell ref="C47:D47"/>
    <mergeCell ref="C25:D25"/>
    <mergeCell ref="C41:D41"/>
    <mergeCell ref="B9:D9"/>
    <mergeCell ref="C44:D44"/>
    <mergeCell ref="C40:D40"/>
    <mergeCell ref="B6:D6"/>
    <mergeCell ref="A1:D1"/>
    <mergeCell ref="C43:D43"/>
    <mergeCell ref="B5:D5"/>
    <mergeCell ref="C46:D46"/>
    <mergeCell ref="C27:D27"/>
    <mergeCell ref="B4:D4"/>
    <mergeCell ref="C36:D36"/>
    <mergeCell ref="B7:D7"/>
    <mergeCell ref="C23:D23"/>
    <mergeCell ref="C48:D48"/>
    <mergeCell ref="C39:D39"/>
    <mergeCell ref="C32:D32"/>
    <mergeCell ref="A3:D3"/>
    <mergeCell ref="C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2026-07-16T16:08:03Z</dcterms:created>
  <dcterms:modified xsi:type="dcterms:W3CDTF">2026-07-17T00:15:29Z</dcterms:modified>
</cp:coreProperties>
</file>