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oshan Main Caster" sheetId="1" state="visible" r:id="rId1"/>
    <sheet name="Liuren Assistant" sheetId="2" state="visible" r:id="rId2"/>
    <sheet name="Lushan Warrior" sheetId="3" state="visible" r:id="rId3"/>
    <sheet name="Self-Taught Medi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程規瑶</author>
  </authors>
  <commentList>
    <comment ref="D51" authorId="0" shapeId="0">
      <text>
        <t>穿戴法袍時填寫防具加值：粗布法袍 +1／特製法袍 +2（見物品圖鑑 第六章 防具）。無防具則維持 0。護甲等級（AC）＝ 10 ＋ 身手修正值 ＋ 閃避 ＋ 防具加值。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Player Character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  <c r="D3" s="3" t="inlineStr">
        <is>
          <t>Name</t>
        </is>
      </c>
      <c r="E3" s="4" t="inlineStr">
        <is>
          <t>A-Yao</t>
        </is>
      </c>
    </row>
    <row r="4">
      <c r="A4" s="11" t="n"/>
      <c r="C4" s="12" t="n"/>
      <c r="D4" s="3" t="inlineStr">
        <is>
          <t>Lineage</t>
        </is>
      </c>
      <c r="E4" s="4" t="inlineStr">
        <is>
          <t>Maoshan</t>
        </is>
      </c>
    </row>
    <row r="5">
      <c r="A5" s="11" t="n"/>
      <c r="C5" s="12" t="n"/>
      <c r="D5" s="3" t="inlineStr">
        <is>
          <t>Class</t>
        </is>
      </c>
      <c r="E5" s="4" t="inlineStr">
        <is>
          <t>Main Caster</t>
        </is>
      </c>
    </row>
    <row r="6">
      <c r="A6" s="13" t="n"/>
      <c r="B6" s="14" t="n"/>
      <c r="C6" s="15" t="n"/>
      <c r="D6" s="3" t="inlineStr">
        <is>
          <t>Level</t>
        </is>
      </c>
      <c r="E6" s="4" t="n">
        <v>1</v>
      </c>
    </row>
    <row r="7">
      <c r="D7" s="3" t="inlineStr">
        <is>
          <t>Daily Identity</t>
        </is>
      </c>
      <c r="E7" s="4" t="inlineStr">
        <is>
          <t>Temple Keeper</t>
        </is>
      </c>
    </row>
    <row r="8">
      <c r="D8" s="3" t="inlineStr">
        <is>
          <t>Class Health Bonus</t>
        </is>
      </c>
      <c r="E8" s="4" t="n">
        <v>0</v>
      </c>
    </row>
    <row r="9">
      <c r="A9" s="3" t="inlineStr">
        <is>
          <t>Five Attributes (Value / Modifier)</t>
        </is>
      </c>
      <c r="B9" s="7" t="n"/>
      <c r="C9" s="8" t="n"/>
      <c r="D9" s="3" t="inlineStr">
        <is>
          <t>Class Mana Bonus</t>
        </is>
      </c>
      <c r="E9" s="4" t="n">
        <v>5</v>
      </c>
    </row>
    <row r="10">
      <c r="A10" s="5" t="inlineStr">
        <is>
          <t>Attributes</t>
        </is>
      </c>
      <c r="B10" s="5" t="inlineStr">
        <is>
          <t>Value</t>
        </is>
      </c>
      <c r="C10" s="5" t="inlineStr">
        <is>
          <t>Modifier (Attr Mod)</t>
        </is>
      </c>
    </row>
    <row r="11">
      <c r="A11" s="4" t="inlineStr">
        <is>
          <t>Prowess (PHS)</t>
        </is>
      </c>
      <c r="B11" s="4" t="n">
        <v>3</v>
      </c>
      <c r="C11" s="4">
        <f>FLOOR((B11-5)/2, 1)</f>
        <v/>
      </c>
    </row>
    <row r="12">
      <c r="A12" s="4" t="inlineStr">
        <is>
          <t>Dao Attainment (DOW)</t>
        </is>
      </c>
      <c r="B12" s="4" t="n">
        <v>8</v>
      </c>
      <c r="C12" s="4">
        <f>FLOOR((B12-5)/2, 1)</f>
        <v/>
      </c>
    </row>
    <row r="13">
      <c r="A13" s="4" t="inlineStr">
        <is>
          <t>Intuition (INS)</t>
        </is>
      </c>
      <c r="B13" s="4" t="n">
        <v>4</v>
      </c>
      <c r="C13" s="4">
        <f>FLOOR((B13-5)/2, 1)</f>
        <v/>
      </c>
    </row>
    <row r="14">
      <c r="A14" s="4" t="inlineStr">
        <is>
          <t>Knowledge (KNW)</t>
        </is>
      </c>
      <c r="B14" s="4" t="n">
        <v>6</v>
      </c>
      <c r="C14" s="4">
        <f>FLOOR((B14-5)/2, 1)</f>
        <v/>
      </c>
    </row>
    <row r="15">
      <c r="A15" s="4" t="inlineStr">
        <is>
          <t>Composure (CMP)</t>
        </is>
      </c>
      <c r="B15" s="4" t="n">
        <v>4</v>
      </c>
      <c r="C15" s="4">
        <f>FLOOR((B15-5)/2, 1)</f>
        <v/>
      </c>
    </row>
    <row r="16"/>
    <row r="17">
      <c r="A17" s="3" t="inlineStr">
        <is>
          <t>Derived Attributes</t>
        </is>
      </c>
      <c r="B17" s="7" t="n"/>
      <c r="C17" s="7" t="n"/>
      <c r="D17" s="7" t="n"/>
      <c r="E17" s="7" t="n"/>
      <c r="F17" s="8" t="n"/>
    </row>
    <row r="18">
      <c r="A18" s="6" t="inlineStr">
        <is>
          <t>Health Points (HP) Max</t>
        </is>
      </c>
      <c r="B18" s="4">
        <f>B11*3+10+($E$6-1)*2+$E$8</f>
        <v/>
      </c>
    </row>
    <row r="19">
      <c r="A19" s="6" t="inlineStr">
        <is>
          <t>Mana Pool (MP) Max</t>
        </is>
      </c>
      <c r="B19" s="4">
        <f>B12*3+5+($E$6-1)*2+$E$9</f>
        <v/>
      </c>
    </row>
    <row r="20">
      <c r="A20" s="6" t="inlineStr">
        <is>
          <t>Yin Threshold (YT)</t>
        </is>
      </c>
      <c r="B20" s="4">
        <f>B15*2+B12</f>
        <v/>
      </c>
    </row>
    <row r="21">
      <c r="A21" s="6" t="inlineStr">
        <is>
          <t>Perception Range (PR) (meters)</t>
        </is>
      </c>
      <c r="B21" s="4">
        <f>B13*5</f>
        <v/>
      </c>
    </row>
    <row r="22">
      <c r="A22" s="6" t="inlineStr">
        <is>
          <t>Possession Resistance (PRZ)</t>
        </is>
      </c>
      <c r="B22" s="4">
        <f>C15</f>
        <v/>
      </c>
    </row>
    <row r="23">
      <c r="A23" s="6" t="inlineStr">
        <is>
          <t>Yin Value (YIN) (dynamic, starts at 0)</t>
        </is>
      </c>
      <c r="B23" s="4" t="n">
        <v>0</v>
      </c>
    </row>
    <row r="24"/>
    <row r="25">
      <c r="A25" s="3" t="inlineStr">
        <is>
          <t>Skill Table (Level 0-3 / Corresponding Attr Mod / Skill Total Bonus)</t>
        </is>
      </c>
      <c r="B25" s="7" t="n"/>
      <c r="C25" s="7" t="n"/>
      <c r="D25" s="7" t="n"/>
      <c r="E25" s="8" t="n"/>
    </row>
    <row r="26">
      <c r="A26" s="5" t="inlineStr">
        <is>
          <t>Skills</t>
        </is>
      </c>
      <c r="B26" s="5" t="inlineStr">
        <is>
          <t>Corresponding Attribute</t>
        </is>
      </c>
      <c r="C26" s="5" t="inlineStr">
        <is>
          <t>Level (0-3)</t>
        </is>
      </c>
      <c r="D26" s="5" t="inlineStr">
        <is>
          <t>Corresponding Attribute Modifier</t>
        </is>
      </c>
      <c r="E26" s="5" t="inlineStr">
        <is>
          <t>Skill Total Bonus</t>
        </is>
      </c>
    </row>
    <row r="27">
      <c r="A27" s="4" t="inlineStr">
        <is>
          <t>Melee Combat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Dodge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Climb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Stealth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Tracking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Talisman Drawing</t>
        </is>
      </c>
      <c r="B32" s="4" t="inlineStr">
        <is>
          <t>DOW</t>
        </is>
      </c>
      <c r="C32" s="4" t="n">
        <v>1</v>
      </c>
      <c r="D32" s="4">
        <f>C12</f>
        <v/>
      </c>
      <c r="E32" s="4">
        <f>D32+C32</f>
        <v/>
      </c>
    </row>
    <row r="33">
      <c r="A33" s="4" t="inlineStr">
        <is>
          <t>Incantation</t>
        </is>
      </c>
      <c r="B33" s="4" t="inlineStr">
        <is>
          <t>DOW</t>
        </is>
      </c>
      <c r="C33" s="4" t="n">
        <v>1</v>
      </c>
      <c r="D33" s="4">
        <f>C12</f>
        <v/>
      </c>
      <c r="E33" s="4">
        <f>D33+C33</f>
        <v/>
      </c>
    </row>
    <row r="34">
      <c r="A34" s="4" t="inlineStr">
        <is>
          <t>Hand Seals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Altar Opening</t>
        </is>
      </c>
      <c r="B35" s="4" t="inlineStr">
        <is>
          <t>DOW</t>
        </is>
      </c>
      <c r="C35" s="4" t="n">
        <v>1</v>
      </c>
      <c r="D35" s="4">
        <f>C12</f>
        <v/>
      </c>
      <c r="E35" s="4">
        <f>D35+C35</f>
        <v/>
      </c>
    </row>
    <row r="36">
      <c r="A36" s="4" t="inlineStr">
        <is>
          <t>Warding</t>
        </is>
      </c>
      <c r="B36" s="4" t="inlineStr">
        <is>
          <t>DOW</t>
        </is>
      </c>
      <c r="C36" s="4" t="n">
        <v>1</v>
      </c>
      <c r="D36" s="4">
        <f>C12</f>
        <v/>
      </c>
      <c r="E36" s="4">
        <f>D36+C36</f>
        <v/>
      </c>
    </row>
    <row r="37">
      <c r="A37" s="4" t="inlineStr">
        <is>
          <t>Spirit Perception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Communication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Yin Perception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Intuition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Folklore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Lineage Knowledge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Appraisal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Documentation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Will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Fear Resistance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Calm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Poison Resistance</t>
        </is>
      </c>
      <c r="B48" s="4" t="inlineStr">
        <is>
          <t>CMP</t>
        </is>
      </c>
      <c r="C48" s="4" t="n">
        <v>0</v>
      </c>
      <c r="D48" s="4">
        <f>C15</f>
        <v/>
      </c>
      <c r="E48" s="4">
        <f>D48+C48</f>
        <v/>
      </c>
    </row>
    <row r="49"/>
    <row r="50">
      <c r="A50" s="3" t="inlineStr">
        <is>
          <t>Combat</t>
        </is>
      </c>
      <c r="B50" s="7" t="n"/>
      <c r="C50" s="7" t="n"/>
      <c r="D50" s="7" t="n"/>
      <c r="E50" s="8" t="n"/>
    </row>
    <row r="51">
      <c r="A51" s="6" t="inlineStr">
        <is>
          <t>Armor Class (AC)</t>
        </is>
      </c>
      <c r="B51" s="4">
        <f>10+C11+C28+D51</f>
        <v/>
      </c>
      <c r="C51" t="inlineStr">
        <is>
          <t>Armor Bonus</t>
        </is>
      </c>
      <c r="D51" t="n">
        <v>0</v>
      </c>
    </row>
    <row r="52">
      <c r="A52" s="6" t="inlineStr">
        <is>
          <t>Initiative (INIT) Bonus</t>
        </is>
      </c>
      <c r="B52" s="4">
        <f>C11</f>
        <v/>
      </c>
    </row>
    <row r="53">
      <c r="A53" s="6" t="inlineStr">
        <is>
          <t>Movement (MOVE) (meters)</t>
        </is>
      </c>
      <c r="B53" s="4" t="n">
        <v>6</v>
      </c>
    </row>
    <row r="54"/>
    <row r="55">
      <c r="A55" s="3" t="inlineStr">
        <is>
          <t>Equipment / Talismans / Materials List (fill by hand)</t>
        </is>
      </c>
      <c r="B55" s="7" t="n"/>
      <c r="C55" s="7" t="n"/>
      <c r="D55" s="7" t="n"/>
      <c r="E55" s="8" t="n"/>
    </row>
    <row r="56">
      <c r="A56" s="5" t="inlineStr">
        <is>
          <t>Name</t>
        </is>
      </c>
      <c r="B56" s="5" t="inlineStr">
        <is>
          <t>Type</t>
        </is>
      </c>
      <c r="C56" s="5" t="inlineStr">
        <is>
          <t>Quantity</t>
        </is>
      </c>
      <c r="D56" s="5" t="inlineStr">
        <is>
          <t>Notes</t>
        </is>
      </c>
    </row>
    <row r="57">
      <c r="A57" s="4" t="inlineStr">
        <is>
          <t>Peachwood Sword</t>
        </is>
      </c>
      <c r="B57" s="4" t="inlineStr">
        <is>
          <t>Spirit Tool</t>
        </is>
      </c>
      <c r="C57" s="4" t="n">
        <v>1</v>
      </c>
      <c r="D57" s="4" t="inlineStr">
        <is>
          <t>Vs Spirits/Zombies +2</t>
        </is>
      </c>
    </row>
    <row r="58">
      <c r="A58" s="4" t="inlineStr">
        <is>
          <t>Talisman Paper + Cinnabar + Brush</t>
        </is>
      </c>
      <c r="B58" s="4" t="inlineStr">
        <is>
          <t>Talisman-Drawing Trio</t>
        </is>
      </c>
      <c r="C58" s="4" t="n">
        <v>1</v>
      </c>
      <c r="D58" s="4" t="inlineStr">
        <is>
          <t>Essential for Talisman Drawing</t>
        </is>
      </c>
    </row>
    <row r="59">
      <c r="A59" s="4" t="inlineStr">
        <is>
          <t>Censer + Incense</t>
        </is>
      </c>
      <c r="B59" s="4" t="inlineStr">
        <is>
          <t>Essential for Altar Opening</t>
        </is>
      </c>
      <c r="C59" s="4" t="n">
        <v>1</v>
      </c>
      <c r="D59" s="4" t="inlineStr">
        <is>
          <t>Altar Power Source</t>
        </is>
      </c>
    </row>
    <row r="60">
      <c r="A60" s="4" t="inlineStr">
        <is>
          <t>Bagua Mirror</t>
        </is>
      </c>
      <c r="B60" s="4" t="inlineStr">
        <is>
          <t>Worn</t>
        </is>
      </c>
      <c r="C60" s="4" t="n">
        <v>1</v>
      </c>
      <c r="D60" s="4" t="inlineStr">
        <is>
          <t>Spirit Perception +1</t>
        </is>
      </c>
    </row>
    <row r="61">
      <c r="A61" s="4" t="inlineStr">
        <is>
          <t>Three Pure Bell</t>
        </is>
      </c>
      <c r="B61" s="4" t="inlineStr">
        <is>
          <t>Gear</t>
        </is>
      </c>
      <c r="C61" s="4" t="n">
        <v>1</v>
      </c>
      <c r="D61" s="4" t="inlineStr">
        <is>
          <t>Deter Low-Tier Spirits</t>
        </is>
      </c>
    </row>
    <row r="62">
      <c r="A62" s="4" t="inlineStr">
        <is>
          <t>Corpse-Still Talisman</t>
        </is>
      </c>
      <c r="B62" s="4" t="inlineStr">
        <is>
          <t>Talismans</t>
        </is>
      </c>
      <c r="C62" s="4" t="n">
        <v>3</v>
      </c>
      <c r="D62" s="4" t="inlineStr">
        <is>
          <t>Paralysis (cost MP 3)</t>
        </is>
      </c>
    </row>
    <row r="63">
      <c r="A63" s="4" t="inlineStr">
        <is>
          <t>Exorcism Talisman</t>
        </is>
      </c>
      <c r="B63" s="4" t="inlineStr">
        <is>
          <t>Talismans</t>
        </is>
      </c>
      <c r="C63" s="4" t="n">
        <v>5</v>
      </c>
      <c r="D63" s="4" t="inlineStr">
        <is>
          <t>Burn + Repel (cost MP 2)</t>
        </is>
      </c>
    </row>
    <row r="64">
      <c r="A64" s="4" t="inlineStr">
        <is>
          <t>Glutinous Rice</t>
        </is>
      </c>
      <c r="B64" s="4" t="inlineStr">
        <is>
          <t>Materials</t>
        </is>
      </c>
      <c r="C64" s="4" t="n">
        <v>1</v>
      </c>
      <c r="D64" s="4" t="inlineStr">
        <is>
          <t>Zombie Burn / Detox</t>
        </is>
      </c>
    </row>
    <row r="65"/>
    <row r="66">
      <c r="A66" s="6" t="inlineStr">
        <is>
          <t>Current Health Points (HP) (fill by hand; max refer to B18)</t>
        </is>
      </c>
      <c r="B66" s="4" t="n">
        <v>19</v>
      </c>
    </row>
    <row r="67">
      <c r="A67" s="6" t="inlineStr">
        <is>
          <t>Current Mana Pool (MP) (fill by hand; max refer to B19)</t>
        </is>
      </c>
      <c r="B67" s="4" t="n">
        <v>34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Player Character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  <c r="D3" s="3" t="inlineStr">
        <is>
          <t>Name</t>
        </is>
      </c>
      <c r="E3" s="4" t="inlineStr">
        <is>
          <t>A-Xiang</t>
        </is>
      </c>
    </row>
    <row r="4">
      <c r="A4" s="11" t="n"/>
      <c r="C4" s="12" t="n"/>
      <c r="D4" s="3" t="inlineStr">
        <is>
          <t>Lineage</t>
        </is>
      </c>
      <c r="E4" s="4" t="inlineStr">
        <is>
          <t>Liuren</t>
        </is>
      </c>
    </row>
    <row r="5">
      <c r="A5" s="11" t="n"/>
      <c r="C5" s="12" t="n"/>
      <c r="D5" s="3" t="inlineStr">
        <is>
          <t>Class</t>
        </is>
      </c>
      <c r="E5" s="4" t="inlineStr">
        <is>
          <t>Assistant / Apprentice</t>
        </is>
      </c>
    </row>
    <row r="6">
      <c r="A6" s="13" t="n"/>
      <c r="B6" s="14" t="n"/>
      <c r="C6" s="15" t="n"/>
      <c r="D6" s="3" t="inlineStr">
        <is>
          <t>Level</t>
        </is>
      </c>
      <c r="E6" s="4" t="n">
        <v>1</v>
      </c>
    </row>
    <row r="7">
      <c r="D7" s="3" t="inlineStr">
        <is>
          <t>Daily Identity</t>
        </is>
      </c>
      <c r="E7" s="4" t="inlineStr">
        <is>
          <t>Grocery Store Helper</t>
        </is>
      </c>
    </row>
    <row r="8">
      <c r="D8" s="3" t="inlineStr">
        <is>
          <t>Class Health Bonus</t>
        </is>
      </c>
      <c r="E8" s="4" t="n">
        <v>0</v>
      </c>
    </row>
    <row r="9">
      <c r="A9" s="3" t="inlineStr">
        <is>
          <t>Five Attributes (Value / Modifier)</t>
        </is>
      </c>
      <c r="B9" s="7" t="n"/>
      <c r="C9" s="8" t="n"/>
      <c r="D9" s="3" t="inlineStr">
        <is>
          <t>Class Mana Bonus</t>
        </is>
      </c>
      <c r="E9" s="4" t="n">
        <v>0</v>
      </c>
    </row>
    <row r="10">
      <c r="A10" s="5" t="inlineStr">
        <is>
          <t>Attributes</t>
        </is>
      </c>
      <c r="B10" s="5" t="inlineStr">
        <is>
          <t>Value</t>
        </is>
      </c>
      <c r="C10" s="5" t="inlineStr">
        <is>
          <t>Modifier (Attr Mod)</t>
        </is>
      </c>
    </row>
    <row r="11">
      <c r="A11" s="4" t="inlineStr">
        <is>
          <t>Prowess (PHS)</t>
        </is>
      </c>
      <c r="B11" s="4" t="n">
        <v>3</v>
      </c>
      <c r="C11" s="4">
        <f>FLOOR((B11-5)/2, 1)</f>
        <v/>
      </c>
    </row>
    <row r="12">
      <c r="A12" s="4" t="inlineStr">
        <is>
          <t>Dao Attainment (DOW)</t>
        </is>
      </c>
      <c r="B12" s="4" t="n">
        <v>7</v>
      </c>
      <c r="C12" s="4">
        <f>FLOOR((B12-5)/2, 1)</f>
        <v/>
      </c>
    </row>
    <row r="13">
      <c r="A13" s="4" t="inlineStr">
        <is>
          <t>Intuition (INS)</t>
        </is>
      </c>
      <c r="B13" s="4" t="n">
        <v>4</v>
      </c>
      <c r="C13" s="4">
        <f>FLOOR((B13-5)/2, 1)</f>
        <v/>
      </c>
    </row>
    <row r="14">
      <c r="A14" s="4" t="inlineStr">
        <is>
          <t>Knowledge (KNW)</t>
        </is>
      </c>
      <c r="B14" s="4" t="n">
        <v>3</v>
      </c>
      <c r="C14" s="4">
        <f>FLOOR((B14-5)/2, 1)</f>
        <v/>
      </c>
    </row>
    <row r="15">
      <c r="A15" s="4" t="inlineStr">
        <is>
          <t>Composure (CMP)</t>
        </is>
      </c>
      <c r="B15" s="4" t="n">
        <v>8</v>
      </c>
      <c r="C15" s="4">
        <f>FLOOR((B15-5)/2, 1)</f>
        <v/>
      </c>
    </row>
    <row r="16"/>
    <row r="17">
      <c r="A17" s="3" t="inlineStr">
        <is>
          <t>Derived Attributes</t>
        </is>
      </c>
      <c r="B17" s="7" t="n"/>
      <c r="C17" s="7" t="n"/>
      <c r="D17" s="7" t="n"/>
      <c r="E17" s="7" t="n"/>
      <c r="F17" s="8" t="n"/>
    </row>
    <row r="18">
      <c r="A18" s="6" t="inlineStr">
        <is>
          <t>Health Points (HP) Max</t>
        </is>
      </c>
      <c r="B18" s="4">
        <f>B11*3+10+($E$6-1)*2+$E$8</f>
        <v/>
      </c>
    </row>
    <row r="19">
      <c r="A19" s="6" t="inlineStr">
        <is>
          <t>Mana Pool (MP) Max</t>
        </is>
      </c>
      <c r="B19" s="4">
        <f>B12*3+5+($E$6-1)*2+$E$9</f>
        <v/>
      </c>
    </row>
    <row r="20">
      <c r="A20" s="6" t="inlineStr">
        <is>
          <t>Yin Threshold (YT)</t>
        </is>
      </c>
      <c r="B20" s="4">
        <f>B15*2+B12</f>
        <v/>
      </c>
    </row>
    <row r="21">
      <c r="A21" s="6" t="inlineStr">
        <is>
          <t>Perception Range (PR) (meters)</t>
        </is>
      </c>
      <c r="B21" s="4">
        <f>B13*5</f>
        <v/>
      </c>
    </row>
    <row r="22">
      <c r="A22" s="6" t="inlineStr">
        <is>
          <t>Possession Resistance (PRZ)</t>
        </is>
      </c>
      <c r="B22" s="4">
        <f>C15</f>
        <v/>
      </c>
    </row>
    <row r="23">
      <c r="A23" s="6" t="inlineStr">
        <is>
          <t>Yin Value (YIN) (dynamic, starts at 0)</t>
        </is>
      </c>
      <c r="B23" s="4" t="n">
        <v>0</v>
      </c>
    </row>
    <row r="24"/>
    <row r="25">
      <c r="A25" s="3" t="inlineStr">
        <is>
          <t>Skill Table (Level 0-3 / Corresponding Attr Mod / Skill Total Bonus)</t>
        </is>
      </c>
      <c r="B25" s="7" t="n"/>
      <c r="C25" s="7" t="n"/>
      <c r="D25" s="7" t="n"/>
      <c r="E25" s="8" t="n"/>
    </row>
    <row r="26">
      <c r="A26" s="5" t="inlineStr">
        <is>
          <t>Skills</t>
        </is>
      </c>
      <c r="B26" s="5" t="inlineStr">
        <is>
          <t>Corresponding Attribute</t>
        </is>
      </c>
      <c r="C26" s="5" t="inlineStr">
        <is>
          <t>Level (0-3)</t>
        </is>
      </c>
      <c r="D26" s="5" t="inlineStr">
        <is>
          <t>Corresponding Attribute Modifier</t>
        </is>
      </c>
      <c r="E26" s="5" t="inlineStr">
        <is>
          <t>Skill Total Bonus</t>
        </is>
      </c>
    </row>
    <row r="27">
      <c r="A27" s="4" t="inlineStr">
        <is>
          <t>Melee Combat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Dodge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Climb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Stealth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Tracking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Talisman Drawing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Incantation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Hand Seals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Altar Opening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Warding</t>
        </is>
      </c>
      <c r="B36" s="4" t="inlineStr">
        <is>
          <t>DOW</t>
        </is>
      </c>
      <c r="C36" s="4" t="n">
        <v>1</v>
      </c>
      <c r="D36" s="4">
        <f>C12</f>
        <v/>
      </c>
      <c r="E36" s="4">
        <f>D36+C36</f>
        <v/>
      </c>
    </row>
    <row r="37">
      <c r="A37" s="4" t="inlineStr">
        <is>
          <t>Spirit Perception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Communication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Yin Perception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Intuition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Folklore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Lineage Knowledge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Appraisal</t>
        </is>
      </c>
      <c r="B43" s="4" t="inlineStr">
        <is>
          <t>KNW</t>
        </is>
      </c>
      <c r="C43" s="4" t="n">
        <v>1</v>
      </c>
      <c r="D43" s="4">
        <f>C14</f>
        <v/>
      </c>
      <c r="E43" s="4">
        <f>D43+C43</f>
        <v/>
      </c>
    </row>
    <row r="44">
      <c r="A44" s="4" t="inlineStr">
        <is>
          <t>Documentation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Will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Fear Resistance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Calm</t>
        </is>
      </c>
      <c r="B47" s="4" t="inlineStr">
        <is>
          <t>CMP</t>
        </is>
      </c>
      <c r="C47" s="4" t="n">
        <v>1</v>
      </c>
      <c r="D47" s="4">
        <f>C15</f>
        <v/>
      </c>
      <c r="E47" s="4">
        <f>D47+C47</f>
        <v/>
      </c>
    </row>
    <row r="48">
      <c r="A48" s="4" t="inlineStr">
        <is>
          <t>Poison Resistance</t>
        </is>
      </c>
      <c r="B48" s="4" t="inlineStr">
        <is>
          <t>CMP</t>
        </is>
      </c>
      <c r="C48" s="4" t="n">
        <v>1</v>
      </c>
      <c r="D48" s="4">
        <f>C15</f>
        <v/>
      </c>
      <c r="E48" s="4">
        <f>D48+C48</f>
        <v/>
      </c>
    </row>
    <row r="49"/>
    <row r="50">
      <c r="A50" s="3" t="inlineStr">
        <is>
          <t>Combat</t>
        </is>
      </c>
      <c r="B50" s="7" t="n"/>
      <c r="C50" s="7" t="n"/>
      <c r="D50" s="7" t="n"/>
      <c r="E50" s="8" t="n"/>
    </row>
    <row r="51">
      <c r="A51" s="6" t="inlineStr">
        <is>
          <t>Armor Class (AC)</t>
        </is>
      </c>
      <c r="B51" s="4">
        <f>10+C11+C28</f>
        <v/>
      </c>
    </row>
    <row r="52">
      <c r="A52" s="6" t="inlineStr">
        <is>
          <t>Initiative (INIT) Bonus</t>
        </is>
      </c>
      <c r="B52" s="4">
        <f>C11</f>
        <v/>
      </c>
    </row>
    <row r="53">
      <c r="A53" s="6" t="inlineStr">
        <is>
          <t>Movement (MOVE) (meters)</t>
        </is>
      </c>
      <c r="B53" s="4" t="n">
        <v>6</v>
      </c>
    </row>
    <row r="54"/>
    <row r="55">
      <c r="A55" s="3" t="inlineStr">
        <is>
          <t>Equipment / Talismans / Materials List (fill by hand)</t>
        </is>
      </c>
      <c r="B55" s="7" t="n"/>
      <c r="C55" s="7" t="n"/>
      <c r="D55" s="7" t="n"/>
      <c r="E55" s="8" t="n"/>
    </row>
    <row r="56">
      <c r="A56" s="5" t="inlineStr">
        <is>
          <t>Name</t>
        </is>
      </c>
      <c r="B56" s="5" t="inlineStr">
        <is>
          <t>Type</t>
        </is>
      </c>
      <c r="C56" s="5" t="inlineStr">
        <is>
          <t>Quantity</t>
        </is>
      </c>
      <c r="D56" s="5" t="inlineStr">
        <is>
          <t>Notes</t>
        </is>
      </c>
    </row>
    <row r="57">
      <c r="A57" s="4" t="inlineStr">
        <is>
          <t>Peachwood Sword</t>
        </is>
      </c>
      <c r="B57" s="4" t="inlineStr">
        <is>
          <t>Spirit Tool</t>
        </is>
      </c>
      <c r="C57" s="4" t="n">
        <v>1</v>
      </c>
      <c r="D57" s="4" t="inlineStr">
        <is>
          <t>Vs Spirits/Zombies +2</t>
        </is>
      </c>
    </row>
    <row r="58">
      <c r="A58" s="4" t="inlineStr">
        <is>
          <t>Talisman Paper + Cinnabar + Brush</t>
        </is>
      </c>
      <c r="B58" s="4" t="inlineStr">
        <is>
          <t>Talisman-Drawing Trio</t>
        </is>
      </c>
      <c r="C58" s="4" t="n">
        <v>1</v>
      </c>
      <c r="D58" s="4" t="inlineStr">
        <is>
          <t>Essential for Talisman Drawing</t>
        </is>
      </c>
    </row>
    <row r="59">
      <c r="A59" s="4" t="inlineStr">
        <is>
          <t>Iron-Plate Soul-Hiding</t>
        </is>
      </c>
      <c r="B59" s="4" t="inlineStr">
        <is>
          <t>Warding</t>
        </is>
      </c>
      <c r="C59" s="4" t="n">
        <v>1</v>
      </c>
      <c r="D59" s="4" t="inlineStr">
        <is>
          <t>Liuren Passive Death-Substitute</t>
        </is>
      </c>
    </row>
    <row r="60">
      <c r="A60" s="4" t="inlineStr">
        <is>
          <t>Pathfinding Talisman</t>
        </is>
      </c>
      <c r="B60" s="4" t="inlineStr">
        <is>
          <t>Talismans</t>
        </is>
      </c>
      <c r="C60" s="4" t="n">
        <v>3</v>
      </c>
      <c r="D60" s="4" t="inlineStr">
        <is>
          <t>Navigation (cost MP 1)</t>
        </is>
      </c>
    </row>
    <row r="61">
      <c r="A61" s="4" t="inlineStr">
        <is>
          <t>Warding Talisman</t>
        </is>
      </c>
      <c r="B61" s="4" t="inlineStr">
        <is>
          <t>Talismans</t>
        </is>
      </c>
      <c r="C61" s="4" t="n">
        <v>3</v>
      </c>
      <c r="D61" s="4" t="inlineStr">
        <is>
          <t>Block 1 attack</t>
        </is>
      </c>
    </row>
    <row r="62">
      <c r="A62" s="4" t="inlineStr">
        <is>
          <t>Black Dog Blood</t>
        </is>
      </c>
      <c r="B62" s="4" t="inlineStr">
        <is>
          <t>Materials</t>
        </is>
      </c>
      <c r="C62" s="4" t="n">
        <v>1</v>
      </c>
      <c r="D62" s="4" t="inlineStr">
        <is>
          <t>Weaken Zombies</t>
        </is>
      </c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5"/>
    <row r="66">
      <c r="A66" s="6" t="inlineStr">
        <is>
          <t>Current Health Points (HP) (fill by hand; max refer to B18)</t>
        </is>
      </c>
      <c r="B66" s="4" t="n">
        <v>19</v>
      </c>
    </row>
    <row r="67">
      <c r="A67" s="6" t="inlineStr">
        <is>
          <t>Current Mana Pool (MP) (fill by hand; max refer to B19)</t>
        </is>
      </c>
      <c r="B67" s="4" t="n">
        <v>26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Player Character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  <c r="D3" s="3" t="inlineStr">
        <is>
          <t>Name</t>
        </is>
      </c>
      <c r="E3" s="4" t="inlineStr">
        <is>
          <t>A-Cheng</t>
        </is>
      </c>
    </row>
    <row r="4">
      <c r="A4" s="11" t="n"/>
      <c r="C4" s="12" t="n"/>
      <c r="D4" s="3" t="inlineStr">
        <is>
          <t>Lineage</t>
        </is>
      </c>
      <c r="E4" s="4" t="inlineStr">
        <is>
          <t>Lushan</t>
        </is>
      </c>
    </row>
    <row r="5">
      <c r="A5" s="11" t="n"/>
      <c r="C5" s="12" t="n"/>
      <c r="D5" s="3" t="inlineStr">
        <is>
          <t>Class</t>
        </is>
      </c>
      <c r="E5" s="4" t="inlineStr">
        <is>
          <t>Warrior</t>
        </is>
      </c>
    </row>
    <row r="6">
      <c r="A6" s="13" t="n"/>
      <c r="B6" s="14" t="n"/>
      <c r="C6" s="15" t="n"/>
      <c r="D6" s="3" t="inlineStr">
        <is>
          <t>Level</t>
        </is>
      </c>
      <c r="E6" s="4" t="n">
        <v>1</v>
      </c>
    </row>
    <row r="7">
      <c r="D7" s="3" t="inlineStr">
        <is>
          <t>Daily Identity</t>
        </is>
      </c>
      <c r="E7" s="4" t="inlineStr">
        <is>
          <t>Martial Hall Coach</t>
        </is>
      </c>
    </row>
    <row r="8">
      <c r="D8" s="3" t="inlineStr">
        <is>
          <t>Class Health Bonus</t>
        </is>
      </c>
      <c r="E8" s="4" t="n">
        <v>10</v>
      </c>
    </row>
    <row r="9">
      <c r="A9" s="3" t="inlineStr">
        <is>
          <t>Five Attributes (Value / Modifier)</t>
        </is>
      </c>
      <c r="B9" s="7" t="n"/>
      <c r="C9" s="8" t="n"/>
      <c r="D9" s="3" t="inlineStr">
        <is>
          <t>Class Mana Bonus</t>
        </is>
      </c>
      <c r="E9" s="4" t="n">
        <v>0</v>
      </c>
    </row>
    <row r="10">
      <c r="A10" s="5" t="inlineStr">
        <is>
          <t>Attributes</t>
        </is>
      </c>
      <c r="B10" s="5" t="inlineStr">
        <is>
          <t>Value</t>
        </is>
      </c>
      <c r="C10" s="5" t="inlineStr">
        <is>
          <t>Modifier (Attr Mod)</t>
        </is>
      </c>
    </row>
    <row r="11">
      <c r="A11" s="4" t="inlineStr">
        <is>
          <t>Prowess (PHS)</t>
        </is>
      </c>
      <c r="B11" s="4" t="n">
        <v>6</v>
      </c>
      <c r="C11" s="4">
        <f>FLOOR((B11-5)/2, 1)</f>
        <v/>
      </c>
    </row>
    <row r="12">
      <c r="A12" s="4" t="inlineStr">
        <is>
          <t>Dao Attainment (DOW)</t>
        </is>
      </c>
      <c r="B12" s="4" t="n">
        <v>6</v>
      </c>
      <c r="C12" s="4">
        <f>FLOOR((B12-5)/2, 1)</f>
        <v/>
      </c>
    </row>
    <row r="13">
      <c r="A13" s="4" t="inlineStr">
        <is>
          <t>Intuition (INS)</t>
        </is>
      </c>
      <c r="B13" s="4" t="n">
        <v>6</v>
      </c>
      <c r="C13" s="4">
        <f>FLOOR((B13-5)/2, 1)</f>
        <v/>
      </c>
    </row>
    <row r="14">
      <c r="A14" s="4" t="inlineStr">
        <is>
          <t>Knowledge (KNW)</t>
        </is>
      </c>
      <c r="B14" s="4" t="n">
        <v>4</v>
      </c>
      <c r="C14" s="4">
        <f>FLOOR((B14-5)/2, 1)</f>
        <v/>
      </c>
    </row>
    <row r="15">
      <c r="A15" s="4" t="inlineStr">
        <is>
          <t>Composure (CMP)</t>
        </is>
      </c>
      <c r="B15" s="4" t="n">
        <v>3</v>
      </c>
      <c r="C15" s="4">
        <f>FLOOR((B15-5)/2, 1)</f>
        <v/>
      </c>
    </row>
    <row r="16"/>
    <row r="17">
      <c r="A17" s="3" t="inlineStr">
        <is>
          <t>Derived Attributes</t>
        </is>
      </c>
      <c r="B17" s="7" t="n"/>
      <c r="C17" s="7" t="n"/>
      <c r="D17" s="7" t="n"/>
      <c r="E17" s="7" t="n"/>
      <c r="F17" s="8" t="n"/>
    </row>
    <row r="18">
      <c r="A18" s="6" t="inlineStr">
        <is>
          <t>Health Points (HP) Max</t>
        </is>
      </c>
      <c r="B18" s="4">
        <f>B11*3+10+($E$6-1)*2+$E$8</f>
        <v/>
      </c>
    </row>
    <row r="19">
      <c r="A19" s="6" t="inlineStr">
        <is>
          <t>Mana Pool (MP) Max</t>
        </is>
      </c>
      <c r="B19" s="4">
        <f>B12*3+5+($E$6-1)*2+$E$9</f>
        <v/>
      </c>
    </row>
    <row r="20">
      <c r="A20" s="6" t="inlineStr">
        <is>
          <t>Yin Threshold (YT)</t>
        </is>
      </c>
      <c r="B20" s="4">
        <f>B15*2+B12</f>
        <v/>
      </c>
    </row>
    <row r="21">
      <c r="A21" s="6" t="inlineStr">
        <is>
          <t>Perception Range (PR) (meters)</t>
        </is>
      </c>
      <c r="B21" s="4">
        <f>B13*5</f>
        <v/>
      </c>
    </row>
    <row r="22">
      <c r="A22" s="6" t="inlineStr">
        <is>
          <t>Possession Resistance (PRZ)</t>
        </is>
      </c>
      <c r="B22" s="4">
        <f>C15</f>
        <v/>
      </c>
    </row>
    <row r="23">
      <c r="A23" s="6" t="inlineStr">
        <is>
          <t>Yin Value (YIN) (dynamic, starts at 0)</t>
        </is>
      </c>
      <c r="B23" s="4" t="n">
        <v>0</v>
      </c>
    </row>
    <row r="24"/>
    <row r="25">
      <c r="A25" s="3" t="inlineStr">
        <is>
          <t>Skill Table (Level 0-3 / Corresponding Attr Mod / Skill Total Bonus)</t>
        </is>
      </c>
      <c r="B25" s="7" t="n"/>
      <c r="C25" s="7" t="n"/>
      <c r="D25" s="7" t="n"/>
      <c r="E25" s="8" t="n"/>
    </row>
    <row r="26">
      <c r="A26" s="5" t="inlineStr">
        <is>
          <t>Skills</t>
        </is>
      </c>
      <c r="B26" s="5" t="inlineStr">
        <is>
          <t>Corresponding Attribute</t>
        </is>
      </c>
      <c r="C26" s="5" t="inlineStr">
        <is>
          <t>Level (0-3)</t>
        </is>
      </c>
      <c r="D26" s="5" t="inlineStr">
        <is>
          <t>Corresponding Attribute Modifier</t>
        </is>
      </c>
      <c r="E26" s="5" t="inlineStr">
        <is>
          <t>Skill Total Bonus</t>
        </is>
      </c>
    </row>
    <row r="27">
      <c r="A27" s="4" t="inlineStr">
        <is>
          <t>Melee Combat</t>
        </is>
      </c>
      <c r="B27" s="4" t="inlineStr">
        <is>
          <t>PHS</t>
        </is>
      </c>
      <c r="C27" s="4" t="n">
        <v>2</v>
      </c>
      <c r="D27" s="4">
        <f>C11</f>
        <v/>
      </c>
      <c r="E27" s="4">
        <f>D27+C27</f>
        <v/>
      </c>
    </row>
    <row r="28">
      <c r="A28" s="4" t="inlineStr">
        <is>
          <t>Dodge</t>
        </is>
      </c>
      <c r="B28" s="4" t="inlineStr">
        <is>
          <t>PHS</t>
        </is>
      </c>
      <c r="C28" s="4" t="n">
        <v>1</v>
      </c>
      <c r="D28" s="4">
        <f>C11</f>
        <v/>
      </c>
      <c r="E28" s="4">
        <f>D28+C28</f>
        <v/>
      </c>
    </row>
    <row r="29">
      <c r="A29" s="4" t="inlineStr">
        <is>
          <t>Climb</t>
        </is>
      </c>
      <c r="B29" s="4" t="inlineStr">
        <is>
          <t>PHS</t>
        </is>
      </c>
      <c r="C29" s="4" t="n">
        <v>1</v>
      </c>
      <c r="D29" s="4">
        <f>C11</f>
        <v/>
      </c>
      <c r="E29" s="4">
        <f>D29+C29</f>
        <v/>
      </c>
    </row>
    <row r="30">
      <c r="A30" s="4" t="inlineStr">
        <is>
          <t>Stealth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Tracking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Talisman Drawing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Incantation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Hand Seals</t>
        </is>
      </c>
      <c r="B34" s="4" t="inlineStr">
        <is>
          <t>DOW</t>
        </is>
      </c>
      <c r="C34" s="4" t="n">
        <v>1</v>
      </c>
      <c r="D34" s="4">
        <f>C12</f>
        <v/>
      </c>
      <c r="E34" s="4">
        <f>D34+C34</f>
        <v/>
      </c>
    </row>
    <row r="35">
      <c r="A35" s="4" t="inlineStr">
        <is>
          <t>Altar Opening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Warding</t>
        </is>
      </c>
      <c r="B36" s="4" t="inlineStr">
        <is>
          <t>DOW</t>
        </is>
      </c>
      <c r="C36" s="4" t="n">
        <v>0</v>
      </c>
      <c r="D36" s="4">
        <f>C12</f>
        <v/>
      </c>
      <c r="E36" s="4">
        <f>D36+C36</f>
        <v/>
      </c>
    </row>
    <row r="37">
      <c r="A37" s="4" t="inlineStr">
        <is>
          <t>Spirit Perception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Communication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Yin Perception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Intuition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Folklore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Lineage Knowledge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Appraisal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Documentation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Will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Fear Resistance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Calm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Poison Resistance</t>
        </is>
      </c>
      <c r="B48" s="4" t="inlineStr">
        <is>
          <t>CMP</t>
        </is>
      </c>
      <c r="C48" s="4" t="n">
        <v>1</v>
      </c>
      <c r="D48" s="4">
        <f>C15</f>
        <v/>
      </c>
      <c r="E48" s="4">
        <f>D48+C48</f>
        <v/>
      </c>
    </row>
    <row r="49"/>
    <row r="50">
      <c r="A50" s="3" t="inlineStr">
        <is>
          <t>Combat</t>
        </is>
      </c>
      <c r="B50" s="7" t="n"/>
      <c r="C50" s="7" t="n"/>
      <c r="D50" s="7" t="n"/>
      <c r="E50" s="8" t="n"/>
    </row>
    <row r="51">
      <c r="A51" s="6" t="inlineStr">
        <is>
          <t>Armor Class (AC)</t>
        </is>
      </c>
      <c r="B51" s="4">
        <f>10+C11+C28</f>
        <v/>
      </c>
    </row>
    <row r="52">
      <c r="A52" s="6" t="inlineStr">
        <is>
          <t>Initiative (INIT) Bonus</t>
        </is>
      </c>
      <c r="B52" s="4">
        <f>C11</f>
        <v/>
      </c>
    </row>
    <row r="53">
      <c r="A53" s="6" t="inlineStr">
        <is>
          <t>Movement (MOVE) (meters)</t>
        </is>
      </c>
      <c r="B53" s="4" t="n">
        <v>6</v>
      </c>
    </row>
    <row r="54"/>
    <row r="55">
      <c r="A55" s="3" t="inlineStr">
        <is>
          <t>Equipment / Talismans / Materials List (fill by hand)</t>
        </is>
      </c>
      <c r="B55" s="7" t="n"/>
      <c r="C55" s="7" t="n"/>
      <c r="D55" s="7" t="n"/>
      <c r="E55" s="8" t="n"/>
    </row>
    <row r="56">
      <c r="A56" s="5" t="inlineStr">
        <is>
          <t>Name</t>
        </is>
      </c>
      <c r="B56" s="5" t="inlineStr">
        <is>
          <t>Type</t>
        </is>
      </c>
      <c r="C56" s="5" t="inlineStr">
        <is>
          <t>Quantity</t>
        </is>
      </c>
      <c r="D56" s="5" t="inlineStr">
        <is>
          <t>Notes</t>
        </is>
      </c>
    </row>
    <row r="57">
      <c r="A57" s="4" t="inlineStr">
        <is>
          <t>Peachwood Sword</t>
        </is>
      </c>
      <c r="B57" s="4" t="inlineStr">
        <is>
          <t>Spirit Tool</t>
        </is>
      </c>
      <c r="C57" s="4" t="n">
        <v>1</v>
      </c>
      <c r="D57" s="4" t="inlineStr">
        <is>
          <t>Vs Spirits/Zombies +2</t>
        </is>
      </c>
    </row>
    <row r="58">
      <c r="A58" s="4" t="inlineStr">
        <is>
          <t>Coin Sword</t>
        </is>
      </c>
      <c r="B58" s="4" t="inlineStr">
        <is>
          <t>Spirit Tool</t>
        </is>
      </c>
      <c r="C58" s="4" t="n">
        <v>1</v>
      </c>
      <c r="D58" s="4" t="inlineStr">
        <is>
          <t>Paralyze Zombies</t>
        </is>
      </c>
    </row>
    <row r="59">
      <c r="A59" s="4" t="inlineStr">
        <is>
          <t>Bell-Sword</t>
        </is>
      </c>
      <c r="B59" s="4" t="inlineStr">
        <is>
          <t>Spirit Tool</t>
        </is>
      </c>
      <c r="C59" s="4" t="n">
        <v>1</v>
      </c>
      <c r="D59" s="4" t="inlineStr">
        <is>
          <t>Lushan Spirit Tool</t>
        </is>
      </c>
    </row>
    <row r="60">
      <c r="A60" s="4" t="inlineStr">
        <is>
          <t>Bagua Mirror</t>
        </is>
      </c>
      <c r="B60" s="4" t="inlineStr">
        <is>
          <t>Worn</t>
        </is>
      </c>
      <c r="C60" s="4" t="n">
        <v>1</v>
      </c>
      <c r="D60" s="4" t="inlineStr">
        <is>
          <t>Spirit Perception +1</t>
        </is>
      </c>
    </row>
    <row r="61">
      <c r="A61" s="4" t="inlineStr">
        <is>
          <t>Glutinous Rice</t>
        </is>
      </c>
      <c r="B61" s="4" t="inlineStr">
        <is>
          <t>Materials</t>
        </is>
      </c>
      <c r="C61" s="4" t="n">
        <v>1</v>
      </c>
      <c r="D61" s="4" t="inlineStr">
        <is>
          <t>Zombie Burn</t>
        </is>
      </c>
    </row>
    <row r="62">
      <c r="A62" s="4" t="inlineStr">
        <is>
          <t>Corpse-Still Talisman</t>
        </is>
      </c>
      <c r="B62" s="4" t="inlineStr">
        <is>
          <t>Talismans</t>
        </is>
      </c>
      <c r="C62" s="4" t="n">
        <v>2</v>
      </c>
      <c r="D62" s="4" t="inlineStr">
        <is>
          <t>Paralysis (cost MP 3)</t>
        </is>
      </c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5"/>
    <row r="66">
      <c r="A66" s="6" t="inlineStr">
        <is>
          <t>Current Health Points (HP) (fill by hand; max refer to B18)</t>
        </is>
      </c>
      <c r="B66" s="4" t="n">
        <v>38</v>
      </c>
    </row>
    <row r="67">
      <c r="A67" s="6" t="inlineStr">
        <is>
          <t>Current Mana Pool (MP) (fill by hand; max refer to B19)</t>
        </is>
      </c>
      <c r="B67" s="4" t="n">
        <v>23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Player Character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  <c r="D3" s="3" t="inlineStr">
        <is>
          <t>Name</t>
        </is>
      </c>
      <c r="E3" s="4" t="inlineStr">
        <is>
          <t>Xiao Lan</t>
        </is>
      </c>
    </row>
    <row r="4">
      <c r="A4" s="11" t="n"/>
      <c r="C4" s="12" t="n"/>
      <c r="D4" s="3" t="inlineStr">
        <is>
          <t>Lineage</t>
        </is>
      </c>
      <c r="E4" s="4" t="inlineStr">
        <is>
          <t>Self-Taught Talent</t>
        </is>
      </c>
    </row>
    <row r="5">
      <c r="A5" s="11" t="n"/>
      <c r="C5" s="12" t="n"/>
      <c r="D5" s="3" t="inlineStr">
        <is>
          <t>Class</t>
        </is>
      </c>
      <c r="E5" s="4" t="inlineStr">
        <is>
          <t>Medium</t>
        </is>
      </c>
    </row>
    <row r="6">
      <c r="A6" s="13" t="n"/>
      <c r="B6" s="14" t="n"/>
      <c r="C6" s="15" t="n"/>
      <c r="D6" s="3" t="inlineStr">
        <is>
          <t>Level</t>
        </is>
      </c>
      <c r="E6" s="4" t="n">
        <v>1</v>
      </c>
    </row>
    <row r="7">
      <c r="D7" s="3" t="inlineStr">
        <is>
          <t>Daily Identity</t>
        </is>
      </c>
      <c r="E7" s="4" t="inlineStr">
        <is>
          <t>Online Auction Shop Owner</t>
        </is>
      </c>
    </row>
    <row r="8">
      <c r="D8" s="3" t="inlineStr">
        <is>
          <t>Class Health Bonus</t>
        </is>
      </c>
      <c r="E8" s="4" t="n">
        <v>0</v>
      </c>
    </row>
    <row r="9">
      <c r="A9" s="3" t="inlineStr">
        <is>
          <t>Five Attributes (Value / Modifier)</t>
        </is>
      </c>
      <c r="B9" s="7" t="n"/>
      <c r="C9" s="8" t="n"/>
      <c r="D9" s="3" t="inlineStr">
        <is>
          <t>Class Mana Bonus</t>
        </is>
      </c>
      <c r="E9" s="4" t="n">
        <v>-2</v>
      </c>
    </row>
    <row r="10">
      <c r="A10" s="5" t="inlineStr">
        <is>
          <t>Attributes</t>
        </is>
      </c>
      <c r="B10" s="5" t="inlineStr">
        <is>
          <t>Value</t>
        </is>
      </c>
      <c r="C10" s="5" t="inlineStr">
        <is>
          <t>Modifier (Attr Mod)</t>
        </is>
      </c>
    </row>
    <row r="11">
      <c r="A11" s="4" t="inlineStr">
        <is>
          <t>Prowess (PHS)</t>
        </is>
      </c>
      <c r="B11" s="4" t="n">
        <v>4</v>
      </c>
      <c r="C11" s="4">
        <f>FLOOR((B11-5)/2, 1)</f>
        <v/>
      </c>
    </row>
    <row r="12">
      <c r="A12" s="4" t="inlineStr">
        <is>
          <t>Dao Attainment (DOW)</t>
        </is>
      </c>
      <c r="B12" s="4" t="n">
        <v>4</v>
      </c>
      <c r="C12" s="4">
        <f>FLOOR((B12-5)/2, 1)</f>
        <v/>
      </c>
    </row>
    <row r="13">
      <c r="A13" s="4" t="inlineStr">
        <is>
          <t>Intuition (INS)</t>
        </is>
      </c>
      <c r="B13" s="4" t="n">
        <v>9</v>
      </c>
      <c r="C13" s="4">
        <f>FLOOR((B13-5)/2, 1)</f>
        <v/>
      </c>
    </row>
    <row r="14">
      <c r="A14" s="4" t="inlineStr">
        <is>
          <t>Knowledge (KNW)</t>
        </is>
      </c>
      <c r="B14" s="4" t="n">
        <v>4</v>
      </c>
      <c r="C14" s="4">
        <f>FLOOR((B14-5)/2, 1)</f>
        <v/>
      </c>
    </row>
    <row r="15">
      <c r="A15" s="4" t="inlineStr">
        <is>
          <t>Composure (CMP)</t>
        </is>
      </c>
      <c r="B15" s="4" t="n">
        <v>4</v>
      </c>
      <c r="C15" s="4">
        <f>FLOOR((B15-5)/2, 1)</f>
        <v/>
      </c>
    </row>
    <row r="16"/>
    <row r="17">
      <c r="A17" s="3" t="inlineStr">
        <is>
          <t>Derived Attributes</t>
        </is>
      </c>
      <c r="B17" s="7" t="n"/>
      <c r="C17" s="7" t="n"/>
      <c r="D17" s="7" t="n"/>
      <c r="E17" s="7" t="n"/>
      <c r="F17" s="8" t="n"/>
    </row>
    <row r="18">
      <c r="A18" s="6" t="inlineStr">
        <is>
          <t>Health Points (HP) Max</t>
        </is>
      </c>
      <c r="B18" s="4">
        <f>B11*3+10+($E$6-1)*2+$E$8</f>
        <v/>
      </c>
    </row>
    <row r="19">
      <c r="A19" s="6" t="inlineStr">
        <is>
          <t>Mana Pool (MP) Max</t>
        </is>
      </c>
      <c r="B19" s="4">
        <f>B12*3+5+($E$6-1)*2+$E$9</f>
        <v/>
      </c>
    </row>
    <row r="20">
      <c r="A20" s="6" t="inlineStr">
        <is>
          <t>Yin Threshold (YT)</t>
        </is>
      </c>
      <c r="B20" s="4">
        <f>B15*2+B12</f>
        <v/>
      </c>
    </row>
    <row r="21">
      <c r="A21" s="6" t="inlineStr">
        <is>
          <t>Perception Range (PR) (meters)</t>
        </is>
      </c>
      <c r="B21" s="4">
        <f>B13*5</f>
        <v/>
      </c>
    </row>
    <row r="22">
      <c r="A22" s="6" t="inlineStr">
        <is>
          <t>Possession Resistance (PRZ)</t>
        </is>
      </c>
      <c r="B22" s="4">
        <f>C15</f>
        <v/>
      </c>
    </row>
    <row r="23">
      <c r="A23" s="6" t="inlineStr">
        <is>
          <t>Yin Value (YIN) (dynamic, starts at 0)</t>
        </is>
      </c>
      <c r="B23" s="4" t="n">
        <v>0</v>
      </c>
    </row>
    <row r="24"/>
    <row r="25">
      <c r="A25" s="3" t="inlineStr">
        <is>
          <t>Skill Table (Level 0-3 / Corresponding Attr Mod / Skill Total Bonus)</t>
        </is>
      </c>
      <c r="B25" s="7" t="n"/>
      <c r="C25" s="7" t="n"/>
      <c r="D25" s="7" t="n"/>
      <c r="E25" s="8" t="n"/>
    </row>
    <row r="26">
      <c r="A26" s="5" t="inlineStr">
        <is>
          <t>Skills</t>
        </is>
      </c>
      <c r="B26" s="5" t="inlineStr">
        <is>
          <t>Corresponding Attribute</t>
        </is>
      </c>
      <c r="C26" s="5" t="inlineStr">
        <is>
          <t>Level (0-3)</t>
        </is>
      </c>
      <c r="D26" s="5" t="inlineStr">
        <is>
          <t>Corresponding Attribute Modifier</t>
        </is>
      </c>
      <c r="E26" s="5" t="inlineStr">
        <is>
          <t>Skill Total Bonus</t>
        </is>
      </c>
    </row>
    <row r="27">
      <c r="A27" s="4" t="inlineStr">
        <is>
          <t>Melee Combat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Dodge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Climb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Stealth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Tracking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Talisman Drawing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Incantation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Hand Seals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Altar Opening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Warding</t>
        </is>
      </c>
      <c r="B36" s="4" t="inlineStr">
        <is>
          <t>DOW</t>
        </is>
      </c>
      <c r="C36" s="4" t="n">
        <v>0</v>
      </c>
      <c r="D36" s="4">
        <f>C12</f>
        <v/>
      </c>
      <c r="E36" s="4">
        <f>D36+C36</f>
        <v/>
      </c>
    </row>
    <row r="37">
      <c r="A37" s="4" t="inlineStr">
        <is>
          <t>Spirit Perception</t>
        </is>
      </c>
      <c r="B37" s="4" t="inlineStr">
        <is>
          <t>INS</t>
        </is>
      </c>
      <c r="C37" s="4" t="n">
        <v>2</v>
      </c>
      <c r="D37" s="4">
        <f>C13</f>
        <v/>
      </c>
      <c r="E37" s="4">
        <f>D37+C37</f>
        <v/>
      </c>
    </row>
    <row r="38">
      <c r="A38" s="4" t="inlineStr">
        <is>
          <t>Communication</t>
        </is>
      </c>
      <c r="B38" s="4" t="inlineStr">
        <is>
          <t>INS</t>
        </is>
      </c>
      <c r="C38" s="4" t="n">
        <v>1</v>
      </c>
      <c r="D38" s="4">
        <f>C13</f>
        <v/>
      </c>
      <c r="E38" s="4">
        <f>D38+C38</f>
        <v/>
      </c>
    </row>
    <row r="39">
      <c r="A39" s="4" t="inlineStr">
        <is>
          <t>Yin Perception</t>
        </is>
      </c>
      <c r="B39" s="4" t="inlineStr">
        <is>
          <t>INS</t>
        </is>
      </c>
      <c r="C39" s="4" t="n">
        <v>1</v>
      </c>
      <c r="D39" s="4">
        <f>C13</f>
        <v/>
      </c>
      <c r="E39" s="4">
        <f>D39+C39</f>
        <v/>
      </c>
    </row>
    <row r="40">
      <c r="A40" s="4" t="inlineStr">
        <is>
          <t>Intuition</t>
        </is>
      </c>
      <c r="B40" s="4" t="inlineStr">
        <is>
          <t>INS</t>
        </is>
      </c>
      <c r="C40" s="4" t="n">
        <v>1</v>
      </c>
      <c r="D40" s="4">
        <f>C13</f>
        <v/>
      </c>
      <c r="E40" s="4">
        <f>D40+C40</f>
        <v/>
      </c>
    </row>
    <row r="41">
      <c r="A41" s="4" t="inlineStr">
        <is>
          <t>Folklore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Lineage Knowledge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Appraisal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Documentation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Will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Fear Resistance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Calm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Poison Resistance</t>
        </is>
      </c>
      <c r="B48" s="4" t="inlineStr">
        <is>
          <t>CMP</t>
        </is>
      </c>
      <c r="C48" s="4" t="n">
        <v>0</v>
      </c>
      <c r="D48" s="4">
        <f>C15</f>
        <v/>
      </c>
      <c r="E48" s="4">
        <f>D48+C48</f>
        <v/>
      </c>
    </row>
    <row r="49"/>
    <row r="50">
      <c r="A50" s="3" t="inlineStr">
        <is>
          <t>Combat</t>
        </is>
      </c>
      <c r="B50" s="7" t="n"/>
      <c r="C50" s="7" t="n"/>
      <c r="D50" s="7" t="n"/>
      <c r="E50" s="8" t="n"/>
    </row>
    <row r="51">
      <c r="A51" s="6" t="inlineStr">
        <is>
          <t>Armor Class (AC)</t>
        </is>
      </c>
      <c r="B51" s="4">
        <f>10+C11+C28</f>
        <v/>
      </c>
    </row>
    <row r="52">
      <c r="A52" s="6" t="inlineStr">
        <is>
          <t>Initiative (INIT) Bonus</t>
        </is>
      </c>
      <c r="B52" s="4">
        <f>C11</f>
        <v/>
      </c>
    </row>
    <row r="53">
      <c r="A53" s="6" t="inlineStr">
        <is>
          <t>Movement (MOVE) (meters)</t>
        </is>
      </c>
      <c r="B53" s="4" t="n">
        <v>6</v>
      </c>
    </row>
    <row r="54"/>
    <row r="55">
      <c r="A55" s="3" t="inlineStr">
        <is>
          <t>Equipment / Talismans / Materials List (fill by hand)</t>
        </is>
      </c>
      <c r="B55" s="7" t="n"/>
      <c r="C55" s="7" t="n"/>
      <c r="D55" s="7" t="n"/>
      <c r="E55" s="8" t="n"/>
    </row>
    <row r="56">
      <c r="A56" s="5" t="inlineStr">
        <is>
          <t>Name</t>
        </is>
      </c>
      <c r="B56" s="5" t="inlineStr">
        <is>
          <t>Type</t>
        </is>
      </c>
      <c r="C56" s="5" t="inlineStr">
        <is>
          <t>Quantity</t>
        </is>
      </c>
      <c r="D56" s="5" t="inlineStr">
        <is>
          <t>Notes</t>
        </is>
      </c>
    </row>
    <row r="57">
      <c r="A57" s="4" t="inlineStr">
        <is>
          <t>Three Pure Bell</t>
        </is>
      </c>
      <c r="B57" s="4" t="inlineStr">
        <is>
          <t>Gear</t>
        </is>
      </c>
      <c r="C57" s="4" t="n">
        <v>1</v>
      </c>
      <c r="D57" s="4" t="inlineStr">
        <is>
          <t>Deter Low-Tier Spirits</t>
        </is>
      </c>
    </row>
    <row r="58">
      <c r="A58" s="4" t="inlineStr">
        <is>
          <t>Bagua Mirror</t>
        </is>
      </c>
      <c r="B58" s="4" t="inlineStr">
        <is>
          <t>Worn</t>
        </is>
      </c>
      <c r="C58" s="4" t="n">
        <v>1</v>
      </c>
      <c r="D58" s="4" t="inlineStr">
        <is>
          <t>Spirit Perception +1</t>
        </is>
      </c>
    </row>
    <row r="59">
      <c r="A59" s="4" t="inlineStr">
        <is>
          <t>Eye-Opening Talisman</t>
        </is>
      </c>
      <c r="B59" s="4" t="inlineStr">
        <is>
          <t>Talismans</t>
        </is>
      </c>
      <c r="C59" s="4" t="n">
        <v>3</v>
      </c>
      <c r="D59" s="4" t="inlineStr">
        <is>
          <t>Perception +10m, see invisible, 10 min (cost MP 3)</t>
        </is>
      </c>
    </row>
    <row r="60">
      <c r="A60" s="4" t="inlineStr">
        <is>
          <t>Soul-Calming Talisman</t>
        </is>
      </c>
      <c r="B60" s="4" t="inlineStr">
        <is>
          <t>Talismans</t>
        </is>
      </c>
      <c r="C60" s="4" t="n">
        <v>3</v>
      </c>
      <c r="D60" s="4" t="inlineStr">
        <is>
          <t>Calm 2 rounds (cost MP 2)</t>
        </is>
      </c>
    </row>
    <row r="61">
      <c r="A61" s="4" t="inlineStr">
        <is>
          <t>Luopan Compass</t>
        </is>
      </c>
      <c r="B61" s="4" t="inlineStr">
        <is>
          <t>Gear</t>
        </is>
      </c>
      <c r="C61" s="4" t="n">
        <v>1</v>
      </c>
      <c r="D61" s="4" t="inlineStr">
        <is>
          <t>Yin Perception +2</t>
        </is>
      </c>
    </row>
    <row r="62">
      <c r="A62" s="4" t="inlineStr">
        <is>
          <t>Camera</t>
        </is>
      </c>
      <c r="B62" s="4" t="inlineStr">
        <is>
          <t>Gear</t>
        </is>
      </c>
      <c r="C62" s="4" t="n">
        <v>1</v>
      </c>
      <c r="D62" s="4" t="inlineStr">
        <is>
          <t>Record Evidence</t>
        </is>
      </c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5"/>
    <row r="66">
      <c r="A66" s="6" t="inlineStr">
        <is>
          <t>Current Health Points (HP) (fill by hand; max refer to B18)</t>
        </is>
      </c>
      <c r="B66" s="4" t="n">
        <v>22</v>
      </c>
    </row>
    <row r="67">
      <c r="A67" s="6" t="inlineStr">
        <is>
          <t>Current Mana Pool (MP) (fill by hand; max refer to B19)</t>
        </is>
      </c>
      <c r="B67" s="4" t="n">
        <v>15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2026-08-10T04:32:32Z</dcterms:modified>
</cp:coreProperties>
</file>