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cle Nine" sheetId="1" state="visible" r:id="rId1"/>
    <sheet name="Ox-Head Bing" sheetId="2" state="visible" r:id="rId2"/>
    <sheet name="Seventh Uncle" sheetId="3" state="visible" r:id="rId3"/>
    <sheet name="Cheng Guiyao" sheetId="4" state="visible" r:id="rId4"/>
    <sheet name="Master Wu" sheetId="5" state="visible" r:id="rId5"/>
    <sheet name="Chen Faq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sz val="14"/>
    </font>
    <font>
      <name val="Microsoft JhengHei"/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8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NPC Card</t>
        </is>
      </c>
      <c r="B1" s="8" t="n"/>
      <c r="C1" s="8" t="n"/>
      <c r="D1" s="8" t="n"/>
      <c r="E1" s="8" t="n"/>
      <c r="F1" s="8" t="n"/>
      <c r="G1" s="8" t="n"/>
      <c r="H1" s="9" t="n"/>
    </row>
    <row r="2"/>
    <row r="3">
      <c r="A3" s="2" t="inlineStr">
        <is>
          <t>Character Portrait</t>
        </is>
      </c>
      <c r="B3" s="10" t="n"/>
      <c r="C3" s="11" t="n"/>
      <c r="D3" s="3" t="inlineStr">
        <is>
          <t>Name</t>
        </is>
      </c>
      <c r="E3" s="4" t="inlineStr">
        <is>
          <t>Uncle Nine</t>
        </is>
      </c>
    </row>
    <row r="4">
      <c r="A4" s="12" t="n"/>
      <c r="C4" s="13" t="n"/>
      <c r="D4" s="3" t="inlineStr">
        <is>
          <t>Identity</t>
        </is>
      </c>
      <c r="E4" s="4" t="inlineStr">
        <is>
          <t>Funeral Home Owner / Mortician</t>
        </is>
      </c>
    </row>
    <row r="5">
      <c r="A5" s="12" t="n"/>
      <c r="C5" s="13" t="n"/>
      <c r="D5" s="3" t="inlineStr">
        <is>
          <t>Lineage / Faction</t>
        </is>
      </c>
      <c r="E5" s="4" t="inlineStr">
        <is>
          <t>Folk Eclectic School</t>
        </is>
      </c>
    </row>
    <row r="6">
      <c r="A6" s="14" t="n"/>
      <c r="B6" s="15" t="n"/>
      <c r="C6" s="16" t="n"/>
      <c r="D6" s="3" t="inlineStr">
        <is>
          <t>Motivation</t>
        </is>
      </c>
      <c r="E6" s="5" t="inlineStr">
        <is>
          <t>Keeps peace within the funeral home, prevents the dead from acting out, and maintains dignity for both worlds.</t>
        </is>
      </c>
    </row>
    <row r="7"/>
    <row r="8">
      <c r="A8" s="3" t="inlineStr">
        <is>
          <t>Attributes / Modifier</t>
        </is>
      </c>
      <c r="B8" s="8" t="n"/>
      <c r="C8" s="9" t="n"/>
    </row>
    <row r="9">
      <c r="A9" s="6" t="inlineStr">
        <is>
          <t>Attributes</t>
        </is>
      </c>
      <c r="B9" s="6" t="inlineStr">
        <is>
          <t>Value</t>
        </is>
      </c>
      <c r="C9" s="6" t="inlineStr">
        <is>
          <t>Modifier</t>
        </is>
      </c>
    </row>
    <row r="10">
      <c r="A10" s="4" t="inlineStr">
        <is>
          <t>Prowess (PHS)</t>
        </is>
      </c>
      <c r="B10" s="4" t="n">
        <v>4</v>
      </c>
      <c r="C10" s="4">
        <f>FLOOR((B10-5)/2, 1)</f>
        <v/>
      </c>
    </row>
    <row r="11">
      <c r="A11" s="4" t="inlineStr">
        <is>
          <t>Dao Attainment (DOW)</t>
        </is>
      </c>
      <c r="B11" s="4" t="n">
        <v>5</v>
      </c>
      <c r="C11" s="4">
        <f>FLOOR((B11-5)/2, 1)</f>
        <v/>
      </c>
    </row>
    <row r="12">
      <c r="A12" s="4" t="inlineStr">
        <is>
          <t>Intuition (INS)</t>
        </is>
      </c>
      <c r="B12" s="4" t="n">
        <v>5</v>
      </c>
      <c r="C12" s="4">
        <f>FLOOR((B12-5)/2, 1)</f>
        <v/>
      </c>
    </row>
    <row r="13">
      <c r="A13" s="4" t="inlineStr">
        <is>
          <t>Knowledge (KNW)</t>
        </is>
      </c>
      <c r="B13" s="4" t="n">
        <v>5</v>
      </c>
      <c r="C13" s="4">
        <f>FLOOR((B13-5)/2, 1)</f>
        <v/>
      </c>
    </row>
    <row r="14">
      <c r="A14" s="4" t="inlineStr">
        <is>
          <t>Composure (CMP)</t>
        </is>
      </c>
      <c r="B14" s="4" t="n">
        <v>6</v>
      </c>
      <c r="C14" s="4">
        <f>FLOOR((B14-5)/2, 1)</f>
        <v/>
      </c>
    </row>
    <row r="15"/>
    <row r="16">
      <c r="A16" s="3" t="inlineStr">
        <is>
          <t>Derived</t>
        </is>
      </c>
      <c r="B16" s="8" t="n"/>
      <c r="C16" s="8" t="n"/>
      <c r="D16" s="9" t="n"/>
    </row>
    <row r="17">
      <c r="A17" s="7" t="inlineStr">
        <is>
          <t>Health Points (HP) Max</t>
        </is>
      </c>
      <c r="B17" s="4">
        <f>B10*3+10</f>
        <v/>
      </c>
    </row>
    <row r="18"/>
    <row r="19">
      <c r="A19" s="3" t="inlineStr">
        <is>
          <t>Skills (several)</t>
        </is>
      </c>
      <c r="B19" s="8" t="n"/>
      <c r="C19" s="8" t="n"/>
      <c r="D19" s="8" t="n"/>
      <c r="E19" s="9" t="n"/>
    </row>
    <row r="20">
      <c r="A20" s="6" t="inlineStr">
        <is>
          <t>Skills</t>
        </is>
      </c>
      <c r="B20" s="6" t="inlineStr">
        <is>
          <t>Attributes</t>
        </is>
      </c>
      <c r="C20" s="6" t="inlineStr">
        <is>
          <t>Level</t>
        </is>
      </c>
      <c r="D20" s="6" t="inlineStr">
        <is>
          <t>Attribute Modifier</t>
        </is>
      </c>
      <c r="E20" s="6" t="inlineStr">
        <is>
          <t>Total Bonus</t>
        </is>
      </c>
    </row>
    <row r="21">
      <c r="A21" s="4" t="inlineStr">
        <is>
          <t>Appraisal</t>
        </is>
      </c>
      <c r="B21" s="4" t="inlineStr">
        <is>
          <t>KNW</t>
        </is>
      </c>
      <c r="C21" s="4" t="n">
        <v>1</v>
      </c>
      <c r="D21" s="4">
        <f>C13</f>
        <v/>
      </c>
      <c r="E21" s="4">
        <f>D21+C21</f>
        <v/>
      </c>
    </row>
    <row r="22">
      <c r="A22" s="4" t="inlineStr">
        <is>
          <t>Folklore</t>
        </is>
      </c>
      <c r="B22" s="4" t="inlineStr">
        <is>
          <t>KNW</t>
        </is>
      </c>
      <c r="C22" s="4" t="n">
        <v>1</v>
      </c>
      <c r="D22" s="4">
        <f>C13</f>
        <v/>
      </c>
      <c r="E22" s="4">
        <f>D22+C22</f>
        <v/>
      </c>
    </row>
    <row r="23">
      <c r="A23" s="4" t="inlineStr">
        <is>
          <t>Will</t>
        </is>
      </c>
      <c r="B23" s="4" t="inlineStr">
        <is>
          <t>CMP</t>
        </is>
      </c>
      <c r="C23" s="4" t="n">
        <v>1</v>
      </c>
      <c r="D23" s="4">
        <f>C14</f>
        <v/>
      </c>
      <c r="E23" s="4">
        <f>D23+C23</f>
        <v/>
      </c>
    </row>
    <row r="24">
      <c r="A24" s="4" t="inlineStr">
        <is>
          <t>Calm</t>
        </is>
      </c>
      <c r="B24" s="4" t="inlineStr">
        <is>
          <t>CMP</t>
        </is>
      </c>
      <c r="C24" s="4" t="n">
        <v>1</v>
      </c>
      <c r="D24" s="4">
        <f>C14</f>
        <v/>
      </c>
      <c r="E24" s="4">
        <f>D24+C24</f>
        <v/>
      </c>
    </row>
    <row r="25"/>
    <row r="26">
      <c r="A26" s="3" t="inlineStr">
        <is>
          <t>Dialogue Example</t>
        </is>
      </c>
      <c r="B26" s="5" t="inlineStr">
        <is>
          <t>"Young one, this corpse... something's off. Don't come any closer."</t>
        </is>
      </c>
    </row>
    <row r="27">
      <c r="A27" s="3" t="inlineStr">
        <is>
          <t>Motivation</t>
        </is>
      </c>
      <c r="B27" s="5" t="inlineStr">
        <is>
          <t>Keeps peace within the funeral home, prevents the dead from acting out, and maintains dignity for both worlds.</t>
        </is>
      </c>
    </row>
  </sheetData>
  <mergeCells count="5">
    <mergeCell ref="A8:C8"/>
    <mergeCell ref="A19:E19"/>
    <mergeCell ref="A16:D16"/>
    <mergeCell ref="A1:H1"/>
    <mergeCell ref="A3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8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NPC Card</t>
        </is>
      </c>
      <c r="B1" s="8" t="n"/>
      <c r="C1" s="8" t="n"/>
      <c r="D1" s="8" t="n"/>
      <c r="E1" s="8" t="n"/>
      <c r="F1" s="8" t="n"/>
      <c r="G1" s="8" t="n"/>
      <c r="H1" s="9" t="n"/>
    </row>
    <row r="2"/>
    <row r="3">
      <c r="A3" s="2" t="inlineStr">
        <is>
          <t>Character Portrait</t>
        </is>
      </c>
      <c r="B3" s="10" t="n"/>
      <c r="C3" s="11" t="n"/>
      <c r="D3" s="3" t="inlineStr">
        <is>
          <t>Name</t>
        </is>
      </c>
      <c r="E3" s="4" t="inlineStr">
        <is>
          <t>Ox-Head Bing</t>
        </is>
      </c>
    </row>
    <row r="4">
      <c r="A4" s="12" t="n"/>
      <c r="C4" s="13" t="n"/>
      <c r="D4" s="3" t="inlineStr">
        <is>
          <t>Identity</t>
        </is>
      </c>
      <c r="E4" s="4" t="inlineStr">
        <is>
          <t>Underworld Constable (Yin Constable)</t>
        </is>
      </c>
    </row>
    <row r="5">
      <c r="A5" s="12" t="n"/>
      <c r="C5" s="13" t="n"/>
      <c r="D5" s="3" t="inlineStr">
        <is>
          <t>Lineage / Faction</t>
        </is>
      </c>
      <c r="E5" s="4" t="inlineStr">
        <is>
          <t>Underworld Authority</t>
        </is>
      </c>
    </row>
    <row r="6">
      <c r="A6" s="14" t="n"/>
      <c r="B6" s="15" t="n"/>
      <c r="C6" s="16" t="n"/>
      <c r="D6" s="3" t="inlineStr">
        <is>
          <t>Motivation</t>
        </is>
      </c>
      <c r="E6" s="5" t="inlineStr">
        <is>
          <t>Apprehends escaped souls and returns them, upholding underworld order; no living may interfere.</t>
        </is>
      </c>
    </row>
    <row r="7"/>
    <row r="8">
      <c r="A8" s="3" t="inlineStr">
        <is>
          <t>Attributes / Modifier</t>
        </is>
      </c>
      <c r="B8" s="8" t="n"/>
      <c r="C8" s="9" t="n"/>
    </row>
    <row r="9">
      <c r="A9" s="6" t="inlineStr">
        <is>
          <t>Attributes</t>
        </is>
      </c>
      <c r="B9" s="6" t="inlineStr">
        <is>
          <t>Value</t>
        </is>
      </c>
      <c r="C9" s="6" t="inlineStr">
        <is>
          <t>Modifier</t>
        </is>
      </c>
    </row>
    <row r="10">
      <c r="A10" s="4" t="inlineStr">
        <is>
          <t>Prowess (PHS)</t>
        </is>
      </c>
      <c r="B10" s="4" t="n">
        <v>6</v>
      </c>
      <c r="C10" s="4">
        <f>FLOOR((B10-5)/2, 1)</f>
        <v/>
      </c>
    </row>
    <row r="11">
      <c r="A11" s="4" t="inlineStr">
        <is>
          <t>Dao Attainment (DOW)</t>
        </is>
      </c>
      <c r="B11" s="4" t="n">
        <v>3</v>
      </c>
      <c r="C11" s="4">
        <f>FLOOR((B11-5)/2, 1)</f>
        <v/>
      </c>
    </row>
    <row r="12">
      <c r="A12" s="4" t="inlineStr">
        <is>
          <t>Intuition (INS)</t>
        </is>
      </c>
      <c r="B12" s="4" t="n">
        <v>4</v>
      </c>
      <c r="C12" s="4">
        <f>FLOOR((B12-5)/2, 1)</f>
        <v/>
      </c>
    </row>
    <row r="13">
      <c r="A13" s="4" t="inlineStr">
        <is>
          <t>Knowledge (KNW)</t>
        </is>
      </c>
      <c r="B13" s="4" t="n">
        <v>3</v>
      </c>
      <c r="C13" s="4">
        <f>FLOOR((B13-5)/2, 1)</f>
        <v/>
      </c>
    </row>
    <row r="14">
      <c r="A14" s="4" t="inlineStr">
        <is>
          <t>Composure (CMP)</t>
        </is>
      </c>
      <c r="B14" s="4" t="n">
        <v>8</v>
      </c>
      <c r="C14" s="4">
        <f>FLOOR((B14-5)/2, 1)</f>
        <v/>
      </c>
    </row>
    <row r="15"/>
    <row r="16">
      <c r="A16" s="3" t="inlineStr">
        <is>
          <t>Derived</t>
        </is>
      </c>
      <c r="B16" s="8" t="n"/>
      <c r="C16" s="8" t="n"/>
      <c r="D16" s="9" t="n"/>
    </row>
    <row r="17">
      <c r="A17" s="7" t="inlineStr">
        <is>
          <t>Health Points (HP) Max</t>
        </is>
      </c>
      <c r="B17" s="4">
        <f>B10*3+10</f>
        <v/>
      </c>
    </row>
    <row r="18"/>
    <row r="19">
      <c r="A19" s="3" t="inlineStr">
        <is>
          <t>Skills (several)</t>
        </is>
      </c>
      <c r="B19" s="8" t="n"/>
      <c r="C19" s="8" t="n"/>
      <c r="D19" s="8" t="n"/>
      <c r="E19" s="9" t="n"/>
    </row>
    <row r="20">
      <c r="A20" s="6" t="inlineStr">
        <is>
          <t>Skills</t>
        </is>
      </c>
      <c r="B20" s="6" t="inlineStr">
        <is>
          <t>Attributes</t>
        </is>
      </c>
      <c r="C20" s="6" t="inlineStr">
        <is>
          <t>Level</t>
        </is>
      </c>
      <c r="D20" s="6" t="inlineStr">
        <is>
          <t>Attribute Modifier</t>
        </is>
      </c>
      <c r="E20" s="6" t="inlineStr">
        <is>
          <t>Total Bonus</t>
        </is>
      </c>
    </row>
    <row r="21">
      <c r="A21" s="4" t="inlineStr">
        <is>
          <t>Melee Combat</t>
        </is>
      </c>
      <c r="B21" s="4" t="inlineStr">
        <is>
          <t>PHS</t>
        </is>
      </c>
      <c r="C21" s="4" t="n">
        <v>2</v>
      </c>
      <c r="D21" s="4">
        <f>C10</f>
        <v/>
      </c>
      <c r="E21" s="4">
        <f>D21+C21</f>
        <v/>
      </c>
    </row>
    <row r="22">
      <c r="A22" s="4" t="inlineStr">
        <is>
          <t>Will</t>
        </is>
      </c>
      <c r="B22" s="4" t="inlineStr">
        <is>
          <t>CMP</t>
        </is>
      </c>
      <c r="C22" s="4" t="n">
        <v>2</v>
      </c>
      <c r="D22" s="4">
        <f>C14</f>
        <v/>
      </c>
      <c r="E22" s="4">
        <f>D22+C22</f>
        <v/>
      </c>
    </row>
    <row r="23">
      <c r="A23" s="4" t="inlineStr">
        <is>
          <t>Tracking</t>
        </is>
      </c>
      <c r="B23" s="4" t="inlineStr">
        <is>
          <t>PHS</t>
        </is>
      </c>
      <c r="C23" s="4" t="n">
        <v>1</v>
      </c>
      <c r="D23" s="4">
        <f>C10</f>
        <v/>
      </c>
      <c r="E23" s="4">
        <f>D23+C23</f>
        <v/>
      </c>
    </row>
    <row r="24">
      <c r="A24" s="4" t="inlineStr">
        <is>
          <t>Fear Resistance</t>
        </is>
      </c>
      <c r="B24" s="4" t="inlineStr">
        <is>
          <t>CMP</t>
        </is>
      </c>
      <c r="C24" s="4" t="n">
        <v>1</v>
      </c>
      <c r="D24" s="4">
        <f>C14</f>
        <v/>
      </c>
      <c r="E24" s="4">
        <f>D24+C24</f>
        <v/>
      </c>
    </row>
    <row r="25"/>
    <row r="26">
      <c r="A26" s="3" t="inlineStr">
        <is>
          <t>Dialogue Example</t>
        </is>
      </c>
      <c r="B26" s="5" t="inlineStr">
        <is>
          <t>"Mind not the living world's affairs; hand over the soul, and we avoid bloodshed."</t>
        </is>
      </c>
    </row>
    <row r="27">
      <c r="A27" s="3" t="inlineStr">
        <is>
          <t>Motivation</t>
        </is>
      </c>
      <c r="B27" s="5" t="inlineStr">
        <is>
          <t>Apprehends escaped souls and returns them, upholding underworld order; no living may interfere.</t>
        </is>
      </c>
    </row>
  </sheetData>
  <mergeCells count="5">
    <mergeCell ref="A8:C8"/>
    <mergeCell ref="A19:E19"/>
    <mergeCell ref="A16:D16"/>
    <mergeCell ref="A1:H1"/>
    <mergeCell ref="A3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8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NPC Card</t>
        </is>
      </c>
      <c r="B1" s="8" t="n"/>
      <c r="C1" s="8" t="n"/>
      <c r="D1" s="8" t="n"/>
      <c r="E1" s="8" t="n"/>
      <c r="F1" s="8" t="n"/>
      <c r="G1" s="8" t="n"/>
      <c r="H1" s="9" t="n"/>
    </row>
    <row r="2"/>
    <row r="3">
      <c r="A3" s="2" t="inlineStr">
        <is>
          <t>Character Portrait</t>
        </is>
      </c>
      <c r="B3" s="10" t="n"/>
      <c r="C3" s="11" t="n"/>
      <c r="D3" s="3" t="inlineStr">
        <is>
          <t>Name</t>
        </is>
      </c>
      <c r="E3" s="4" t="inlineStr">
        <is>
          <t>Seventh Uncle</t>
        </is>
      </c>
    </row>
    <row r="4">
      <c r="A4" s="12" t="n"/>
      <c r="C4" s="13" t="n"/>
      <c r="D4" s="3" t="inlineStr">
        <is>
          <t>Identity</t>
        </is>
      </c>
      <c r="E4" s="4" t="inlineStr">
        <is>
          <t>Nine Nether Hall Master</t>
        </is>
      </c>
    </row>
    <row r="5">
      <c r="A5" s="12" t="n"/>
      <c r="C5" s="13" t="n"/>
      <c r="D5" s="3" t="inlineStr">
        <is>
          <t>Lineage / Faction</t>
        </is>
      </c>
      <c r="E5" s="4" t="inlineStr">
        <is>
          <t>Maoshan</t>
        </is>
      </c>
    </row>
    <row r="6">
      <c r="A6" s="14" t="n"/>
      <c r="B6" s="15" t="n"/>
      <c r="C6" s="16" t="n"/>
      <c r="D6" s="3" t="inlineStr">
        <is>
          <t>Motivation</t>
        </is>
      </c>
      <c r="E6" s="5" t="inlineStr">
        <is>
          <t>Maintains the order of yin and yang, makes a living by talismans, and looks after junior Ghost Collectors.</t>
        </is>
      </c>
    </row>
    <row r="7"/>
    <row r="8">
      <c r="A8" s="3" t="inlineStr">
        <is>
          <t>Attributes / Modifier</t>
        </is>
      </c>
      <c r="B8" s="8" t="n"/>
      <c r="C8" s="9" t="n"/>
    </row>
    <row r="9">
      <c r="A9" s="6" t="inlineStr">
        <is>
          <t>Attributes</t>
        </is>
      </c>
      <c r="B9" s="6" t="inlineStr">
        <is>
          <t>Value</t>
        </is>
      </c>
      <c r="C9" s="6" t="inlineStr">
        <is>
          <t>Modifier</t>
        </is>
      </c>
    </row>
    <row r="10">
      <c r="A10" s="4" t="inlineStr">
        <is>
          <t>Prowess (PHS)</t>
        </is>
      </c>
      <c r="B10" s="4" t="n">
        <v>3</v>
      </c>
      <c r="C10" s="4">
        <f>FLOOR((B10-5)/2, 1)</f>
        <v/>
      </c>
    </row>
    <row r="11">
      <c r="A11" s="4" t="inlineStr">
        <is>
          <t>Dao Attainment (DOW)</t>
        </is>
      </c>
      <c r="B11" s="4" t="n">
        <v>8</v>
      </c>
      <c r="C11" s="4">
        <f>FLOOR((B11-5)/2, 1)</f>
        <v/>
      </c>
    </row>
    <row r="12">
      <c r="A12" s="4" t="inlineStr">
        <is>
          <t>Intuition (INS)</t>
        </is>
      </c>
      <c r="B12" s="4" t="n">
        <v>5</v>
      </c>
      <c r="C12" s="4">
        <f>FLOOR((B12-5)/2, 1)</f>
        <v/>
      </c>
    </row>
    <row r="13">
      <c r="A13" s="4" t="inlineStr">
        <is>
          <t>Knowledge (KNW)</t>
        </is>
      </c>
      <c r="B13" s="4" t="n">
        <v>7</v>
      </c>
      <c r="C13" s="4">
        <f>FLOOR((B13-5)/2, 1)</f>
        <v/>
      </c>
    </row>
    <row r="14">
      <c r="A14" s="4" t="inlineStr">
        <is>
          <t>Composure (CMP)</t>
        </is>
      </c>
      <c r="B14" s="4" t="n">
        <v>4</v>
      </c>
      <c r="C14" s="4">
        <f>FLOOR((B14-5)/2, 1)</f>
        <v/>
      </c>
    </row>
    <row r="15"/>
    <row r="16">
      <c r="A16" s="3" t="inlineStr">
        <is>
          <t>Derived</t>
        </is>
      </c>
      <c r="B16" s="8" t="n"/>
      <c r="C16" s="8" t="n"/>
      <c r="D16" s="9" t="n"/>
    </row>
    <row r="17">
      <c r="A17" s="7" t="inlineStr">
        <is>
          <t>Health Points (HP) Max</t>
        </is>
      </c>
      <c r="B17" s="4">
        <f>B10*3+10</f>
        <v/>
      </c>
    </row>
    <row r="18"/>
    <row r="19">
      <c r="A19" s="3" t="inlineStr">
        <is>
          <t>Skills (several)</t>
        </is>
      </c>
      <c r="B19" s="8" t="n"/>
      <c r="C19" s="8" t="n"/>
      <c r="D19" s="8" t="n"/>
      <c r="E19" s="9" t="n"/>
    </row>
    <row r="20">
      <c r="A20" s="6" t="inlineStr">
        <is>
          <t>Skills</t>
        </is>
      </c>
      <c r="B20" s="6" t="inlineStr">
        <is>
          <t>Attributes</t>
        </is>
      </c>
      <c r="C20" s="6" t="inlineStr">
        <is>
          <t>Level</t>
        </is>
      </c>
      <c r="D20" s="6" t="inlineStr">
        <is>
          <t>Attribute Modifier</t>
        </is>
      </c>
      <c r="E20" s="6" t="inlineStr">
        <is>
          <t>Total Bonus</t>
        </is>
      </c>
    </row>
    <row r="21">
      <c r="A21" s="4" t="inlineStr">
        <is>
          <t>Talisman Drawing</t>
        </is>
      </c>
      <c r="B21" s="4" t="inlineStr">
        <is>
          <t>DOW</t>
        </is>
      </c>
      <c r="C21" s="4" t="n">
        <v>2</v>
      </c>
      <c r="D21" s="4">
        <f>C11</f>
        <v/>
      </c>
      <c r="E21" s="4">
        <f>D21+C21</f>
        <v/>
      </c>
    </row>
    <row r="22">
      <c r="A22" s="4" t="inlineStr">
        <is>
          <t>Altar Opening</t>
        </is>
      </c>
      <c r="B22" s="4" t="inlineStr">
        <is>
          <t>DOW</t>
        </is>
      </c>
      <c r="C22" s="4" t="n">
        <v>2</v>
      </c>
      <c r="D22" s="4">
        <f>C11</f>
        <v/>
      </c>
      <c r="E22" s="4">
        <f>D22+C22</f>
        <v/>
      </c>
    </row>
    <row r="23">
      <c r="A23" s="4" t="inlineStr">
        <is>
          <t>Lineage Knowledge</t>
        </is>
      </c>
      <c r="B23" s="4" t="inlineStr">
        <is>
          <t>KNW</t>
        </is>
      </c>
      <c r="C23" s="4" t="n">
        <v>1</v>
      </c>
      <c r="D23" s="4">
        <f>C13</f>
        <v/>
      </c>
      <c r="E23" s="4">
        <f>D23+C23</f>
        <v/>
      </c>
    </row>
    <row r="24">
      <c r="A24" s="4" t="inlineStr">
        <is>
          <t>Warding</t>
        </is>
      </c>
      <c r="B24" s="4" t="inlineStr">
        <is>
          <t>DOW</t>
        </is>
      </c>
      <c r="C24" s="4" t="n">
        <v>1</v>
      </c>
      <c r="D24" s="4">
        <f>C11</f>
        <v/>
      </c>
      <c r="E24" s="4">
        <f>D24+C24</f>
        <v/>
      </c>
    </row>
    <row r="25"/>
    <row r="26">
      <c r="A26" s="3" t="inlineStr">
        <is>
          <t>Dialogue Example</t>
        </is>
      </c>
      <c r="B26" s="5" t="inlineStr">
        <is>
          <t>"A talisman's power follows a righteous heart. Your hand-sign is still green."</t>
        </is>
      </c>
    </row>
    <row r="27">
      <c r="A27" s="3" t="inlineStr">
        <is>
          <t>Motivation</t>
        </is>
      </c>
      <c r="B27" s="5" t="inlineStr">
        <is>
          <t>Maintains the order of yin and yang, makes a living by talismans, and looks after junior Ghost Collectors.</t>
        </is>
      </c>
    </row>
  </sheetData>
  <mergeCells count="5">
    <mergeCell ref="A8:C8"/>
    <mergeCell ref="A19:E19"/>
    <mergeCell ref="A16:D16"/>
    <mergeCell ref="A1:H1"/>
    <mergeCell ref="A3:C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8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NPC Card</t>
        </is>
      </c>
      <c r="B1" s="8" t="n"/>
      <c r="C1" s="8" t="n"/>
      <c r="D1" s="8" t="n"/>
      <c r="E1" s="8" t="n"/>
      <c r="F1" s="8" t="n"/>
      <c r="G1" s="8" t="n"/>
      <c r="H1" s="9" t="n"/>
    </row>
    <row r="2"/>
    <row r="3">
      <c r="A3" s="2" t="inlineStr">
        <is>
          <t>Character Portrait</t>
        </is>
      </c>
      <c r="B3" s="10" t="n"/>
      <c r="C3" s="11" t="n"/>
      <c r="D3" s="3" t="inlineStr">
        <is>
          <t>Name</t>
        </is>
      </c>
      <c r="E3" s="4" t="inlineStr">
        <is>
          <t>Cheng Guiyao</t>
        </is>
      </c>
    </row>
    <row r="4">
      <c r="A4" s="12" t="n"/>
      <c r="C4" s="13" t="n"/>
      <c r="D4" s="3" t="inlineStr">
        <is>
          <t>Identity</t>
        </is>
      </c>
      <c r="E4" s="4" t="inlineStr">
        <is>
          <t>Ghost Collector Guild Council Chair</t>
        </is>
      </c>
    </row>
    <row r="5">
      <c r="A5" s="12" t="n"/>
      <c r="C5" s="13" t="n"/>
      <c r="D5" s="3" t="inlineStr">
        <is>
          <t>Lineage / Faction</t>
        </is>
      </c>
      <c r="E5" s="4" t="inlineStr">
        <is>
          <t>Folk Eclectic School</t>
        </is>
      </c>
    </row>
    <row r="6">
      <c r="A6" s="14" t="n"/>
      <c r="B6" s="15" t="n"/>
      <c r="C6" s="16" t="n"/>
      <c r="D6" s="3" t="inlineStr">
        <is>
          <t>Motivation</t>
        </is>
      </c>
      <c r="E6" s="5" t="inlineStr">
        <is>
          <t>Coordinates the lineages and sets conduct rules to prevent infighting among Ghost Collectors.</t>
        </is>
      </c>
    </row>
    <row r="7"/>
    <row r="8">
      <c r="A8" s="3" t="inlineStr">
        <is>
          <t>Attributes / Modifier</t>
        </is>
      </c>
      <c r="B8" s="8" t="n"/>
      <c r="C8" s="9" t="n"/>
    </row>
    <row r="9">
      <c r="A9" s="6" t="inlineStr">
        <is>
          <t>Attributes</t>
        </is>
      </c>
      <c r="B9" s="6" t="inlineStr">
        <is>
          <t>Value</t>
        </is>
      </c>
      <c r="C9" s="6" t="inlineStr">
        <is>
          <t>Modifier</t>
        </is>
      </c>
    </row>
    <row r="10">
      <c r="A10" s="4" t="inlineStr">
        <is>
          <t>Prowess (PHS)</t>
        </is>
      </c>
      <c r="B10" s="4" t="n">
        <v>4</v>
      </c>
      <c r="C10" s="4">
        <f>FLOOR((B10-5)/2, 1)</f>
        <v/>
      </c>
    </row>
    <row r="11">
      <c r="A11" s="4" t="inlineStr">
        <is>
          <t>Dao Attainment (DOW)</t>
        </is>
      </c>
      <c r="B11" s="4" t="n">
        <v>6</v>
      </c>
      <c r="C11" s="4">
        <f>FLOOR((B11-5)/2, 1)</f>
        <v/>
      </c>
    </row>
    <row r="12">
      <c r="A12" s="4" t="inlineStr">
        <is>
          <t>Intuition (INS)</t>
        </is>
      </c>
      <c r="B12" s="4" t="n">
        <v>6</v>
      </c>
      <c r="C12" s="4">
        <f>FLOOR((B12-5)/2, 1)</f>
        <v/>
      </c>
    </row>
    <row r="13">
      <c r="A13" s="4" t="inlineStr">
        <is>
          <t>Knowledge (KNW)</t>
        </is>
      </c>
      <c r="B13" s="4" t="n">
        <v>8</v>
      </c>
      <c r="C13" s="4">
        <f>FLOOR((B13-5)/2, 1)</f>
        <v/>
      </c>
    </row>
    <row r="14">
      <c r="A14" s="4" t="inlineStr">
        <is>
          <t>Composure (CMP)</t>
        </is>
      </c>
      <c r="B14" s="4" t="n">
        <v>6</v>
      </c>
      <c r="C14" s="4">
        <f>FLOOR((B14-5)/2, 1)</f>
        <v/>
      </c>
    </row>
    <row r="15"/>
    <row r="16">
      <c r="A16" s="3" t="inlineStr">
        <is>
          <t>Derived</t>
        </is>
      </c>
      <c r="B16" s="8" t="n"/>
      <c r="C16" s="8" t="n"/>
      <c r="D16" s="9" t="n"/>
    </row>
    <row r="17">
      <c r="A17" s="7" t="inlineStr">
        <is>
          <t>Health Points (HP) Max</t>
        </is>
      </c>
      <c r="B17" s="4">
        <f>B10*3+10</f>
        <v/>
      </c>
    </row>
    <row r="18"/>
    <row r="19">
      <c r="A19" s="3" t="inlineStr">
        <is>
          <t>Skills (several)</t>
        </is>
      </c>
      <c r="B19" s="8" t="n"/>
      <c r="C19" s="8" t="n"/>
      <c r="D19" s="8" t="n"/>
      <c r="E19" s="9" t="n"/>
    </row>
    <row r="20">
      <c r="A20" s="6" t="inlineStr">
        <is>
          <t>Skills</t>
        </is>
      </c>
      <c r="B20" s="6" t="inlineStr">
        <is>
          <t>Attributes</t>
        </is>
      </c>
      <c r="C20" s="6" t="inlineStr">
        <is>
          <t>Level</t>
        </is>
      </c>
      <c r="D20" s="6" t="inlineStr">
        <is>
          <t>Attribute Modifier</t>
        </is>
      </c>
      <c r="E20" s="6" t="inlineStr">
        <is>
          <t>Total Bonus</t>
        </is>
      </c>
    </row>
    <row r="21">
      <c r="A21" s="4" t="inlineStr">
        <is>
          <t>Folklore</t>
        </is>
      </c>
      <c r="B21" s="4" t="inlineStr">
        <is>
          <t>KNW</t>
        </is>
      </c>
      <c r="C21" s="4" t="n">
        <v>2</v>
      </c>
      <c r="D21" s="4">
        <f>C13</f>
        <v/>
      </c>
      <c r="E21" s="4">
        <f>D21+C21</f>
        <v/>
      </c>
    </row>
    <row r="22">
      <c r="A22" s="4" t="inlineStr">
        <is>
          <t>Documentation</t>
        </is>
      </c>
      <c r="B22" s="4" t="inlineStr">
        <is>
          <t>KNW</t>
        </is>
      </c>
      <c r="C22" s="4" t="n">
        <v>2</v>
      </c>
      <c r="D22" s="4">
        <f>C13</f>
        <v/>
      </c>
      <c r="E22" s="4">
        <f>D22+C22</f>
        <v/>
      </c>
    </row>
    <row r="23">
      <c r="A23" s="4" t="inlineStr">
        <is>
          <t>Communication</t>
        </is>
      </c>
      <c r="B23" s="4" t="inlineStr">
        <is>
          <t>INS</t>
        </is>
      </c>
      <c r="C23" s="4" t="n">
        <v>1</v>
      </c>
      <c r="D23" s="4">
        <f>C12</f>
        <v/>
      </c>
      <c r="E23" s="4">
        <f>D23+C23</f>
        <v/>
      </c>
    </row>
    <row r="24">
      <c r="A24" s="4" t="inlineStr">
        <is>
          <t>Calm</t>
        </is>
      </c>
      <c r="B24" s="4" t="inlineStr">
        <is>
          <t>CMP</t>
        </is>
      </c>
      <c r="C24" s="4" t="n">
        <v>1</v>
      </c>
      <c r="D24" s="4">
        <f>C14</f>
        <v/>
      </c>
      <c r="E24" s="4">
        <f>D24+C24</f>
        <v/>
      </c>
    </row>
    <row r="25"/>
    <row r="26">
      <c r="A26" s="3" t="inlineStr">
        <is>
          <t>Dialogue Example</t>
        </is>
      </c>
      <c r="B26" s="5" t="inlineStr">
        <is>
          <t>"Rules set the boundary; only then ghosts dare not cross. Hold to your duty."</t>
        </is>
      </c>
    </row>
    <row r="27">
      <c r="A27" s="3" t="inlineStr">
        <is>
          <t>Motivation</t>
        </is>
      </c>
      <c r="B27" s="5" t="inlineStr">
        <is>
          <t>Coordinates the lineages and sets conduct rules to prevent infighting among Ghost Collectors.</t>
        </is>
      </c>
    </row>
  </sheetData>
  <mergeCells count="5">
    <mergeCell ref="A8:C8"/>
    <mergeCell ref="A19:E19"/>
    <mergeCell ref="A16:D16"/>
    <mergeCell ref="A1:H1"/>
    <mergeCell ref="A3:C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8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NPC Card</t>
        </is>
      </c>
      <c r="B1" s="8" t="n"/>
      <c r="C1" s="8" t="n"/>
      <c r="D1" s="8" t="n"/>
      <c r="E1" s="8" t="n"/>
      <c r="F1" s="8" t="n"/>
      <c r="G1" s="8" t="n"/>
      <c r="H1" s="9" t="n"/>
    </row>
    <row r="2"/>
    <row r="3">
      <c r="A3" s="2" t="inlineStr">
        <is>
          <t>Character Portrait</t>
        </is>
      </c>
      <c r="B3" s="10" t="n"/>
      <c r="C3" s="11" t="n"/>
      <c r="D3" s="3" t="inlineStr">
        <is>
          <t>Name</t>
        </is>
      </c>
      <c r="E3" s="4" t="inlineStr">
        <is>
          <t>Master Wu</t>
        </is>
      </c>
    </row>
    <row r="4">
      <c r="A4" s="12" t="n"/>
      <c r="C4" s="13" t="n"/>
      <c r="D4" s="3" t="inlineStr">
        <is>
          <t>Identity</t>
        </is>
      </c>
      <c r="E4" s="4" t="inlineStr">
        <is>
          <t>Liuren Representative</t>
        </is>
      </c>
    </row>
    <row r="5">
      <c r="A5" s="12" t="n"/>
      <c r="C5" s="13" t="n"/>
      <c r="D5" s="3" t="inlineStr">
        <is>
          <t>Lineage / Faction</t>
        </is>
      </c>
      <c r="E5" s="4" t="inlineStr">
        <is>
          <t>Liuren</t>
        </is>
      </c>
    </row>
    <row r="6">
      <c r="A6" s="14" t="n"/>
      <c r="B6" s="15" t="n"/>
      <c r="C6" s="16" t="n"/>
      <c r="D6" s="3" t="inlineStr">
        <is>
          <t>Motivation</t>
        </is>
      </c>
      <c r="E6" s="5" t="inlineStr">
        <is>
          <t>Promotes Liuren's Iron-Plate Soul-Hiding warding method so even weak heirs can protect themselves.</t>
        </is>
      </c>
    </row>
    <row r="7"/>
    <row r="8">
      <c r="A8" s="3" t="inlineStr">
        <is>
          <t>Attributes / Modifier</t>
        </is>
      </c>
      <c r="B8" s="8" t="n"/>
      <c r="C8" s="9" t="n"/>
    </row>
    <row r="9">
      <c r="A9" s="6" t="inlineStr">
        <is>
          <t>Attributes</t>
        </is>
      </c>
      <c r="B9" s="6" t="inlineStr">
        <is>
          <t>Value</t>
        </is>
      </c>
      <c r="C9" s="6" t="inlineStr">
        <is>
          <t>Modifier</t>
        </is>
      </c>
    </row>
    <row r="10">
      <c r="A10" s="4" t="inlineStr">
        <is>
          <t>Prowess (PHS)</t>
        </is>
      </c>
      <c r="B10" s="4" t="n">
        <v>3</v>
      </c>
      <c r="C10" s="4">
        <f>FLOOR((B10-5)/2, 1)</f>
        <v/>
      </c>
    </row>
    <row r="11">
      <c r="A11" s="4" t="inlineStr">
        <is>
          <t>Dao Attainment (DOW)</t>
        </is>
      </c>
      <c r="B11" s="4" t="n">
        <v>7</v>
      </c>
      <c r="C11" s="4">
        <f>FLOOR((B11-5)/2, 1)</f>
        <v/>
      </c>
    </row>
    <row r="12">
      <c r="A12" s="4" t="inlineStr">
        <is>
          <t>Intuition (INS)</t>
        </is>
      </c>
      <c r="B12" s="4" t="n">
        <v>4</v>
      </c>
      <c r="C12" s="4">
        <f>FLOOR((B12-5)/2, 1)</f>
        <v/>
      </c>
    </row>
    <row r="13">
      <c r="A13" s="4" t="inlineStr">
        <is>
          <t>Knowledge (KNW)</t>
        </is>
      </c>
      <c r="B13" s="4" t="n">
        <v>3</v>
      </c>
      <c r="C13" s="4">
        <f>FLOOR((B13-5)/2, 1)</f>
        <v/>
      </c>
    </row>
    <row r="14">
      <c r="A14" s="4" t="inlineStr">
        <is>
          <t>Composure (CMP)</t>
        </is>
      </c>
      <c r="B14" s="4" t="n">
        <v>8</v>
      </c>
      <c r="C14" s="4">
        <f>FLOOR((B14-5)/2, 1)</f>
        <v/>
      </c>
    </row>
    <row r="15"/>
    <row r="16">
      <c r="A16" s="3" t="inlineStr">
        <is>
          <t>Derived</t>
        </is>
      </c>
      <c r="B16" s="8" t="n"/>
      <c r="C16" s="8" t="n"/>
      <c r="D16" s="9" t="n"/>
    </row>
    <row r="17">
      <c r="A17" s="7" t="inlineStr">
        <is>
          <t>Health Points (HP) Max</t>
        </is>
      </c>
      <c r="B17" s="4">
        <f>B10*3+10</f>
        <v/>
      </c>
    </row>
    <row r="18"/>
    <row r="19">
      <c r="A19" s="3" t="inlineStr">
        <is>
          <t>Skills (several)</t>
        </is>
      </c>
      <c r="B19" s="8" t="n"/>
      <c r="C19" s="8" t="n"/>
      <c r="D19" s="8" t="n"/>
      <c r="E19" s="9" t="n"/>
    </row>
    <row r="20">
      <c r="A20" s="6" t="inlineStr">
        <is>
          <t>Skills</t>
        </is>
      </c>
      <c r="B20" s="6" t="inlineStr">
        <is>
          <t>Attributes</t>
        </is>
      </c>
      <c r="C20" s="6" t="inlineStr">
        <is>
          <t>Level</t>
        </is>
      </c>
      <c r="D20" s="6" t="inlineStr">
        <is>
          <t>Attribute Modifier</t>
        </is>
      </c>
      <c r="E20" s="6" t="inlineStr">
        <is>
          <t>Total Bonus</t>
        </is>
      </c>
    </row>
    <row r="21">
      <c r="A21" s="4" t="inlineStr">
        <is>
          <t>Talisman Drawing</t>
        </is>
      </c>
      <c r="B21" s="4" t="inlineStr">
        <is>
          <t>DOW</t>
        </is>
      </c>
      <c r="C21" s="4" t="n">
        <v>1</v>
      </c>
      <c r="D21" s="4">
        <f>C11</f>
        <v/>
      </c>
      <c r="E21" s="4">
        <f>D21+C21</f>
        <v/>
      </c>
    </row>
    <row r="22">
      <c r="A22" s="4" t="inlineStr">
        <is>
          <t>Warding</t>
        </is>
      </c>
      <c r="B22" s="4" t="inlineStr">
        <is>
          <t>DOW</t>
        </is>
      </c>
      <c r="C22" s="4" t="n">
        <v>1</v>
      </c>
      <c r="D22" s="4">
        <f>C11</f>
        <v/>
      </c>
      <c r="E22" s="4">
        <f>D22+C22</f>
        <v/>
      </c>
    </row>
    <row r="23">
      <c r="A23" s="4" t="inlineStr">
        <is>
          <t>Will</t>
        </is>
      </c>
      <c r="B23" s="4" t="inlineStr">
        <is>
          <t>CMP</t>
        </is>
      </c>
      <c r="C23" s="4" t="n">
        <v>2</v>
      </c>
      <c r="D23" s="4">
        <f>C14</f>
        <v/>
      </c>
      <c r="E23" s="4">
        <f>D23+C23</f>
        <v/>
      </c>
    </row>
    <row r="24">
      <c r="A24" s="4" t="inlineStr">
        <is>
          <t>Warding Talisman-related</t>
        </is>
      </c>
      <c r="B24" s="4" t="inlineStr">
        <is>
          <t>DOW</t>
        </is>
      </c>
      <c r="C24" s="4" t="n">
        <v>1</v>
      </c>
      <c r="D24" s="4">
        <f>C11</f>
        <v/>
      </c>
      <c r="E24" s="4">
        <f>D24+C24</f>
        <v/>
      </c>
    </row>
    <row r="25"/>
    <row r="26">
      <c r="A26" s="3" t="inlineStr">
        <is>
          <t>Dialogue Example</t>
        </is>
      </c>
      <c r="B26" s="5" t="inlineStr">
        <is>
          <t>"One slap of the iron plate, the soul is hidden. No rush—draw the talisman and it answers at once."</t>
        </is>
      </c>
    </row>
    <row r="27">
      <c r="A27" s="3" t="inlineStr">
        <is>
          <t>Motivation</t>
        </is>
      </c>
      <c r="B27" s="5" t="inlineStr">
        <is>
          <t>Promotes Liuren's Iron-Plate Soul-Hiding warding method so even weak heirs can protect themselves.</t>
        </is>
      </c>
    </row>
  </sheetData>
  <mergeCells count="5">
    <mergeCell ref="A8:C8"/>
    <mergeCell ref="A19:E19"/>
    <mergeCell ref="A16:D16"/>
    <mergeCell ref="A1:H1"/>
    <mergeCell ref="A3:C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8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NPC Card</t>
        </is>
      </c>
      <c r="B1" s="8" t="n"/>
      <c r="C1" s="8" t="n"/>
      <c r="D1" s="8" t="n"/>
      <c r="E1" s="8" t="n"/>
      <c r="F1" s="8" t="n"/>
      <c r="G1" s="8" t="n"/>
      <c r="H1" s="9" t="n"/>
    </row>
    <row r="2"/>
    <row r="3">
      <c r="A3" s="2" t="inlineStr">
        <is>
          <t>Character Portrait</t>
        </is>
      </c>
      <c r="B3" s="10" t="n"/>
      <c r="C3" s="11" t="n"/>
      <c r="D3" s="3" t="inlineStr">
        <is>
          <t>Name</t>
        </is>
      </c>
      <c r="E3" s="4" t="inlineStr">
        <is>
          <t>Chen Faqing</t>
        </is>
      </c>
    </row>
    <row r="4">
      <c r="A4" s="12" t="n"/>
      <c r="C4" s="13" t="n"/>
      <c r="D4" s="3" t="inlineStr">
        <is>
          <t>Identity</t>
        </is>
      </c>
      <c r="E4" s="4" t="inlineStr">
        <is>
          <t>Lushan Representative</t>
        </is>
      </c>
    </row>
    <row r="5">
      <c r="A5" s="12" t="n"/>
      <c r="C5" s="13" t="n"/>
      <c r="D5" s="3" t="inlineStr">
        <is>
          <t>Lineage / Faction</t>
        </is>
      </c>
      <c r="E5" s="4" t="inlineStr">
        <is>
          <t>Lushan</t>
        </is>
      </c>
    </row>
    <row r="6">
      <c r="A6" s="14" t="n"/>
      <c r="B6" s="15" t="n"/>
      <c r="C6" s="16" t="n"/>
      <c r="D6" s="3" t="inlineStr">
        <is>
          <t>Motivation</t>
        </is>
      </c>
      <c r="E6" s="5" t="inlineStr">
        <is>
          <t>Uses spirit-tools and shamanic rites to subdue evil, proving Lushan can pin down ghosts even in close quarters.</t>
        </is>
      </c>
    </row>
    <row r="7"/>
    <row r="8">
      <c r="A8" s="3" t="inlineStr">
        <is>
          <t>Attributes / Modifier</t>
        </is>
      </c>
      <c r="B8" s="8" t="n"/>
      <c r="C8" s="9" t="n"/>
    </row>
    <row r="9">
      <c r="A9" s="6" t="inlineStr">
        <is>
          <t>Attributes</t>
        </is>
      </c>
      <c r="B9" s="6" t="inlineStr">
        <is>
          <t>Value</t>
        </is>
      </c>
      <c r="C9" s="6" t="inlineStr">
        <is>
          <t>Modifier</t>
        </is>
      </c>
    </row>
    <row r="10">
      <c r="A10" s="4" t="inlineStr">
        <is>
          <t>Prowess (PHS)</t>
        </is>
      </c>
      <c r="B10" s="4" t="n">
        <v>6</v>
      </c>
      <c r="C10" s="4">
        <f>FLOOR((B10-5)/2, 1)</f>
        <v/>
      </c>
    </row>
    <row r="11">
      <c r="A11" s="4" t="inlineStr">
        <is>
          <t>Dao Attainment (DOW)</t>
        </is>
      </c>
      <c r="B11" s="4" t="n">
        <v>6</v>
      </c>
      <c r="C11" s="4">
        <f>FLOOR((B11-5)/2, 1)</f>
        <v/>
      </c>
    </row>
    <row r="12">
      <c r="A12" s="4" t="inlineStr">
        <is>
          <t>Intuition (INS)</t>
        </is>
      </c>
      <c r="B12" s="4" t="n">
        <v>6</v>
      </c>
      <c r="C12" s="4">
        <f>FLOOR((B12-5)/2, 1)</f>
        <v/>
      </c>
    </row>
    <row r="13">
      <c r="A13" s="4" t="inlineStr">
        <is>
          <t>Knowledge (KNW)</t>
        </is>
      </c>
      <c r="B13" s="4" t="n">
        <v>4</v>
      </c>
      <c r="C13" s="4">
        <f>FLOOR((B13-5)/2, 1)</f>
        <v/>
      </c>
    </row>
    <row r="14">
      <c r="A14" s="4" t="inlineStr">
        <is>
          <t>Composure (CMP)</t>
        </is>
      </c>
      <c r="B14" s="4" t="n">
        <v>3</v>
      </c>
      <c r="C14" s="4">
        <f>FLOOR((B14-5)/2, 1)</f>
        <v/>
      </c>
    </row>
    <row r="15"/>
    <row r="16">
      <c r="A16" s="3" t="inlineStr">
        <is>
          <t>Derived</t>
        </is>
      </c>
      <c r="B16" s="8" t="n"/>
      <c r="C16" s="8" t="n"/>
      <c r="D16" s="9" t="n"/>
    </row>
    <row r="17">
      <c r="A17" s="7" t="inlineStr">
        <is>
          <t>Health Points (HP) Max</t>
        </is>
      </c>
      <c r="B17" s="4">
        <f>B10*3+10</f>
        <v/>
      </c>
    </row>
    <row r="18"/>
    <row r="19">
      <c r="A19" s="3" t="inlineStr">
        <is>
          <t>Skills (several)</t>
        </is>
      </c>
      <c r="B19" s="8" t="n"/>
      <c r="C19" s="8" t="n"/>
      <c r="D19" s="8" t="n"/>
      <c r="E19" s="9" t="n"/>
    </row>
    <row r="20">
      <c r="A20" s="6" t="inlineStr">
        <is>
          <t>Skills</t>
        </is>
      </c>
      <c r="B20" s="6" t="inlineStr">
        <is>
          <t>Attributes</t>
        </is>
      </c>
      <c r="C20" s="6" t="inlineStr">
        <is>
          <t>Level</t>
        </is>
      </c>
      <c r="D20" s="6" t="inlineStr">
        <is>
          <t>Attribute Modifier</t>
        </is>
      </c>
      <c r="E20" s="6" t="inlineStr">
        <is>
          <t>Total Bonus</t>
        </is>
      </c>
    </row>
    <row r="21">
      <c r="A21" s="4" t="inlineStr">
        <is>
          <t>Melee Combat</t>
        </is>
      </c>
      <c r="B21" s="4" t="inlineStr">
        <is>
          <t>PHS</t>
        </is>
      </c>
      <c r="C21" s="4" t="n">
        <v>2</v>
      </c>
      <c r="D21" s="4">
        <f>C10</f>
        <v/>
      </c>
      <c r="E21" s="4">
        <f>D21+C21</f>
        <v/>
      </c>
    </row>
    <row r="22">
      <c r="A22" s="4" t="inlineStr">
        <is>
          <t>Hand Seals</t>
        </is>
      </c>
      <c r="B22" s="4" t="inlineStr">
        <is>
          <t>DOW</t>
        </is>
      </c>
      <c r="C22" s="4" t="n">
        <v>1</v>
      </c>
      <c r="D22" s="4">
        <f>C11</f>
        <v/>
      </c>
      <c r="E22" s="4">
        <f>D22+C22</f>
        <v/>
      </c>
    </row>
    <row r="23">
      <c r="A23" s="4" t="inlineStr">
        <is>
          <t>Climb</t>
        </is>
      </c>
      <c r="B23" s="4" t="inlineStr">
        <is>
          <t>PHS</t>
        </is>
      </c>
      <c r="C23" s="4" t="n">
        <v>1</v>
      </c>
      <c r="D23" s="4">
        <f>C10</f>
        <v/>
      </c>
      <c r="E23" s="4">
        <f>D23+C23</f>
        <v/>
      </c>
    </row>
    <row r="24">
      <c r="A24" s="4" t="inlineStr">
        <is>
          <t>Poison Resistance</t>
        </is>
      </c>
      <c r="B24" s="4" t="inlineStr">
        <is>
          <t>CMP</t>
        </is>
      </c>
      <c r="C24" s="4" t="n">
        <v>1</v>
      </c>
      <c r="D24" s="4">
        <f>C14</f>
        <v/>
      </c>
      <c r="E24" s="4">
        <f>D24+C24</f>
        <v/>
      </c>
    </row>
    <row r="25"/>
    <row r="26">
      <c r="A26" s="3" t="inlineStr">
        <is>
          <t>Dialogue Example</t>
        </is>
      </c>
      <c r="B26" s="5" t="inlineStr">
        <is>
          <t>"Red-Head exorcises, Black-Head delivers; with spirit-tools in hand, no ghost comes near."</t>
        </is>
      </c>
    </row>
    <row r="27">
      <c r="A27" s="3" t="inlineStr">
        <is>
          <t>Motivation</t>
        </is>
      </c>
      <c r="B27" s="5" t="inlineStr">
        <is>
          <t>Uses spirit-tools and shamanic rites to subdue evil, proving Lushan can pin down ghosts even in close quarters.</t>
        </is>
      </c>
    </row>
  </sheetData>
  <mergeCells count="5">
    <mergeCell ref="A8:C8"/>
    <mergeCell ref="A19:E19"/>
    <mergeCell ref="A16:D16"/>
    <mergeCell ref="A1:H1"/>
    <mergeCell ref="A3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2026-07-25T08:41:31Z</dcterms:created>
  <dcterms:modified xsi:type="dcterms:W3CDTF">2026-08-10T04:32:31Z</dcterms:modified>
</cp:coreProperties>
</file>