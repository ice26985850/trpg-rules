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Characte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2F5496"/>
      <sz val="18"/>
    </font>
    <font>
      <name val="微軟正黑體"/>
      <b val="1"/>
      <color rgb="002F5496"/>
      <sz val="12"/>
    </font>
    <font>
      <name val="微軟正黑體"/>
      <b val="1"/>
      <sz val="11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I7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2" customWidth="1" min="4" max="4"/>
    <col width="18" customWidth="1" min="5" max="5"/>
    <col width="12" customWidth="1" min="6" max="6"/>
    <col width="18" customWidth="1" min="7" max="7"/>
    <col width="12" customWidth="1" min="8" max="8"/>
  </cols>
  <sheetData>
    <row r="1">
      <c r="A1" s="1" t="inlineStr">
        <is>
          <t>Last Stand TRPG — Player Character Sheet</t>
        </is>
      </c>
      <c r="B1" s="8" t="n"/>
      <c r="C1" s="8" t="n"/>
      <c r="D1" s="8" t="n"/>
      <c r="E1" s="8" t="n"/>
      <c r="F1" s="8" t="n"/>
      <c r="G1" s="8" t="n"/>
      <c r="H1" s="9" t="n"/>
    </row>
    <row r="2">
      <c r="A2" s="3" t="inlineStr">
        <is>
          <t>Basic Info</t>
        </is>
      </c>
      <c r="B2" s="8" t="n"/>
      <c r="C2" s="8" t="n"/>
      <c r="D2" s="8" t="n"/>
      <c r="E2" s="8" t="n"/>
      <c r="F2" s="8" t="n"/>
      <c r="G2" s="8" t="n"/>
      <c r="H2" s="9" t="n"/>
    </row>
    <row r="3">
      <c r="A3" s="5" t="inlineStr">
        <is>
          <t>Player Name</t>
        </is>
      </c>
      <c r="B3" s="6" t="inlineStr"/>
      <c r="C3" s="5" t="inlineStr">
        <is>
          <t>Character Name</t>
        </is>
      </c>
      <c r="D3" s="6" t="inlineStr"/>
      <c r="E3" s="5" t="inlineStr">
        <is>
          <t>Codename (Nickname)</t>
        </is>
      </c>
      <c r="F3" s="6" t="inlineStr"/>
      <c r="G3" s="5" t="inlineStr">
        <is>
          <t>Level</t>
        </is>
      </c>
      <c r="H3" s="6" t="inlineStr"/>
    </row>
    <row r="4">
      <c r="A4" s="5" t="inlineStr">
        <is>
          <t>Background</t>
        </is>
      </c>
      <c r="B4" s="6" t="inlineStr"/>
      <c r="C4" s="5" t="inlineStr">
        <is>
          <t>Experience Points (XP)</t>
        </is>
      </c>
      <c r="D4" s="6" t="inlineStr"/>
      <c r="E4" s="5" t="inlineStr">
        <is>
          <t>Age</t>
        </is>
      </c>
      <c r="F4" s="6" t="inlineStr"/>
      <c r="G4" s="5" t="inlineStr">
        <is>
          <t>Gender</t>
        </is>
      </c>
      <c r="H4" s="6" t="inlineStr"/>
    </row>
    <row r="5">
      <c r="A5" s="5" t="inlineStr">
        <is>
          <t>Height / Weight</t>
        </is>
      </c>
      <c r="B5" s="6" t="inlineStr"/>
      <c r="C5" s="5" t="inlineStr">
        <is>
          <t>Contest Motivation</t>
        </is>
      </c>
      <c r="D5" s="6" t="inlineStr"/>
    </row>
    <row r="6">
      <c r="A6" s="3" t="inlineStr">
        <is>
          <t>Core Attributes</t>
        </is>
      </c>
      <c r="B6" s="8" t="n"/>
      <c r="C6" s="8" t="n"/>
      <c r="D6" s="8" t="n"/>
      <c r="E6" s="8" t="n"/>
      <c r="F6" s="8" t="n"/>
      <c r="G6" s="8" t="n"/>
      <c r="H6" s="9" t="n"/>
    </row>
    <row r="7">
      <c r="A7" s="5" t="inlineStr">
        <is>
          <t>Attribute Name</t>
        </is>
      </c>
      <c r="C7" s="5" t="inlineStr">
        <is>
          <t>Attribute Value</t>
        </is>
      </c>
      <c r="E7" s="5" t="inlineStr">
        <is>
          <t>Attribute Modifier (AM)</t>
        </is>
      </c>
      <c r="G7" s="5" t="inlineStr">
        <is>
          <t>Formula</t>
        </is>
      </c>
    </row>
    <row r="8">
      <c r="A8" s="5" t="inlineStr">
        <is>
          <t>Aim (AIM)</t>
        </is>
      </c>
      <c r="C8" s="6" t="inlineStr"/>
      <c r="E8" s="6">
        <f>FLOOR.MATH((C8-10)/2)</f>
        <v/>
      </c>
      <c r="G8" s="6">
        <f>FLOOR((槍法-10)/2)</f>
        <v/>
      </c>
    </row>
    <row r="9">
      <c r="A9" s="5" t="inlineStr">
        <is>
          <t>Physique (PHY)</t>
        </is>
      </c>
      <c r="C9" s="6" t="inlineStr"/>
      <c r="E9" s="6">
        <f>FLOOR.MATH((C9-10)/2)</f>
        <v/>
      </c>
      <c r="G9" s="6">
        <f>FLOOR((體能-10)/2)</f>
        <v/>
      </c>
    </row>
    <row r="10">
      <c r="A10" s="5" t="inlineStr">
        <is>
          <t>Tactics (TAC)</t>
        </is>
      </c>
      <c r="C10" s="6" t="inlineStr"/>
      <c r="E10" s="6">
        <f>FLOOR.MATH((C10-10)/2)</f>
        <v/>
      </c>
      <c r="G10" s="6">
        <f>FLOOR((戰術-10)/2)</f>
        <v/>
      </c>
    </row>
    <row r="11">
      <c r="A11" s="5" t="inlineStr">
        <is>
          <t>Driving (DRV)</t>
        </is>
      </c>
      <c r="C11" s="6" t="inlineStr"/>
      <c r="E11" s="6">
        <f>FLOOR.MATH((C11-10)/2)</f>
        <v/>
      </c>
      <c r="G11" s="6">
        <f>FLOOR((駕駛-10)/2)</f>
        <v/>
      </c>
    </row>
    <row r="12">
      <c r="A12" s="5" t="inlineStr">
        <is>
          <t>Calm (CLM)</t>
        </is>
      </c>
      <c r="C12" s="6" t="inlineStr"/>
      <c r="E12" s="6">
        <f>FLOOR.MATH((C12-10)/2)</f>
        <v/>
      </c>
      <c r="G12" s="6">
        <f>FLOOR((冷靜-10)/2)</f>
        <v/>
      </c>
    </row>
    <row r="13">
      <c r="A13" s="3" t="inlineStr">
        <is>
          <t>Derived Stats</t>
        </is>
      </c>
      <c r="B13" s="8" t="n"/>
      <c r="C13" s="8" t="n"/>
      <c r="D13" s="8" t="n"/>
      <c r="E13" s="8" t="n"/>
      <c r="F13" s="8" t="n"/>
      <c r="G13" s="8" t="n"/>
      <c r="H13" s="9" t="n"/>
    </row>
    <row r="14">
      <c r="A14" s="5" t="inlineStr">
        <is>
          <t>Max Hit Points (HP)</t>
        </is>
      </c>
      <c r="B14" s="6">
        <f>10+E9+IF(D4&gt;1,(D4-1)*(5+E9),0)</f>
        <v/>
      </c>
      <c r="C14" s="5" t="inlineStr">
        <is>
          <t>Current HP (HP)</t>
        </is>
      </c>
      <c r="E14" s="5" t="inlineStr">
        <is>
          <t>Temporary HP (THP)</t>
        </is>
      </c>
    </row>
    <row r="15">
      <c r="A15" s="5" t="inlineStr">
        <is>
          <t>Carry Capacity (kg)</t>
        </is>
      </c>
      <c r="B15" s="6">
        <f>C9*3+5</f>
        <v/>
      </c>
      <c r="C15" s="5" t="inlineStr">
        <is>
          <t>Current Load (kg)</t>
        </is>
      </c>
      <c r="E15" s="5" t="inlineStr">
        <is>
          <t>Movement Speed (m / round)</t>
        </is>
      </c>
      <c r="F15" s="6" t="n">
        <v>30</v>
      </c>
    </row>
    <row r="16">
      <c r="A16" s="5" t="inlineStr">
        <is>
          <t>Initiative Bonus</t>
        </is>
      </c>
      <c r="B16" s="6">
        <f>E10+FLOOR.MATH(MAX(E8,0)/2)</f>
        <v/>
      </c>
      <c r="C16" s="5" t="inlineStr">
        <is>
          <t>Hearing Range (m)</t>
        </is>
      </c>
      <c r="D16" s="6">
        <f>C10*10</f>
        <v/>
      </c>
      <c r="E16" s="5" t="inlineStr">
        <is>
          <t>Stress Threshold</t>
        </is>
      </c>
      <c r="F16" s="6">
        <f>C12*2+5</f>
        <v/>
      </c>
      <c r="G16" s="5" t="inlineStr">
        <is>
          <t>Current Stress</t>
        </is>
      </c>
    </row>
    <row r="17">
      <c r="A17" s="5" t="inlineStr">
        <is>
          <t>Proficiency Bonus (PB)</t>
        </is>
      </c>
      <c r="B17" s="6">
        <f>IF(D4&gt;=9,4,IF(D4&gt;=5,3,2))</f>
        <v/>
      </c>
      <c r="C17" s="5" t="inlineStr">
        <is>
          <t>Downed Timer</t>
        </is>
      </c>
      <c r="D17" s="6" t="n">
        <v>3</v>
      </c>
      <c r="E17" s="5" t="inlineStr">
        <is>
          <t>Self-Revive Syringe (Remaining)</t>
        </is>
      </c>
      <c r="F17" s="6" t="n">
        <v>1</v>
      </c>
      <c r="G17" s="5" t="inlineStr">
        <is>
          <t>Defense Bonus (from Armor)</t>
        </is>
      </c>
    </row>
    <row r="18">
      <c r="A18" s="3" t="inlineStr">
        <is>
          <t>Skill Proficiencies</t>
        </is>
      </c>
      <c r="B18" s="8" t="n"/>
      <c r="C18" s="8" t="n"/>
      <c r="D18" s="8" t="n"/>
      <c r="E18" s="8" t="n"/>
      <c r="F18" s="8" t="n"/>
      <c r="G18" s="8" t="n"/>
      <c r="H18" s="9" t="n"/>
    </row>
    <row r="19">
      <c r="A19" s="5" t="inlineStr">
        <is>
          <t>Skill Name</t>
        </is>
      </c>
      <c r="C19" s="5" t="inlineStr">
        <is>
          <t>Attributes</t>
        </is>
      </c>
      <c r="D19" s="5" t="inlineStr">
        <is>
          <t>Proficient? (check)</t>
        </is>
      </c>
      <c r="E19" s="5" t="inlineStr">
        <is>
          <t>Total Bonus</t>
        </is>
      </c>
      <c r="G19" s="5" t="inlineStr">
        <is>
          <t>Skill Name</t>
        </is>
      </c>
      <c r="H19" s="5" t="inlineStr">
        <is>
          <t>Proficient?</t>
        </is>
      </c>
    </row>
    <row r="20">
      <c r="A20" s="5" t="inlineStr">
        <is>
          <t>Pistol</t>
        </is>
      </c>
      <c r="C20" s="6" t="inlineStr">
        <is>
          <t>AIM</t>
        </is>
      </c>
      <c r="D20" s="6" t="inlineStr"/>
      <c r="E20" s="5" t="inlineStr">
        <is>
          <t>Track</t>
        </is>
      </c>
      <c r="G20" s="6" t="inlineStr">
        <is>
          <t>TAC</t>
        </is>
      </c>
      <c r="H20" s="6" t="inlineStr"/>
      <c r="I20" s="6">
        <f>AM(TAC)+PB(if ✓)</f>
        <v/>
      </c>
    </row>
    <row r="21">
      <c r="A21" s="5" t="inlineStr">
        <is>
          <t>SMG</t>
        </is>
      </c>
      <c r="C21" s="6" t="inlineStr">
        <is>
          <t>AIM</t>
        </is>
      </c>
      <c r="D21" s="6" t="inlineStr"/>
      <c r="E21" s="5" t="inlineStr">
        <is>
          <t>Zone Prediction</t>
        </is>
      </c>
      <c r="G21" s="6" t="inlineStr">
        <is>
          <t>TAC</t>
        </is>
      </c>
      <c r="H21" s="6" t="inlineStr"/>
      <c r="I21" s="6">
        <f>AM(TAC)+PB(if ✓)</f>
        <v/>
      </c>
    </row>
    <row r="22">
      <c r="A22" s="5" t="inlineStr">
        <is>
          <t>Rifle</t>
        </is>
      </c>
      <c r="C22" s="6" t="inlineStr">
        <is>
          <t>AIM</t>
        </is>
      </c>
      <c r="D22" s="6" t="inlineStr"/>
      <c r="E22" s="5" t="inlineStr">
        <is>
          <t>Tactical Command</t>
        </is>
      </c>
      <c r="G22" s="6" t="inlineStr">
        <is>
          <t>TAC</t>
        </is>
      </c>
      <c r="H22" s="6" t="inlineStr"/>
      <c r="I22" s="6">
        <f>AM(TAC)+PB(if ✓)</f>
        <v/>
      </c>
    </row>
    <row r="23">
      <c r="A23" s="5" t="inlineStr">
        <is>
          <t>Sniper</t>
        </is>
      </c>
      <c r="C23" s="6" t="inlineStr">
        <is>
          <t>AIM</t>
        </is>
      </c>
      <c r="D23" s="6" t="inlineStr"/>
      <c r="E23" s="5" t="inlineStr">
        <is>
          <t>First Strike</t>
        </is>
      </c>
      <c r="G23" s="6" t="inlineStr">
        <is>
          <t>TAC</t>
        </is>
      </c>
      <c r="H23" s="6" t="inlineStr"/>
      <c r="I23" s="6">
        <f>AM(TAC)+PB(if ✓)</f>
        <v/>
      </c>
    </row>
    <row r="24">
      <c r="A24" s="5" t="inlineStr">
        <is>
          <t>Shotgun</t>
        </is>
      </c>
      <c r="C24" s="6" t="inlineStr">
        <is>
          <t>AIM</t>
        </is>
      </c>
      <c r="D24" s="6" t="inlineStr"/>
      <c r="E24" s="5" t="inlineStr">
        <is>
          <t>Acoustic Location</t>
        </is>
      </c>
      <c r="G24" s="6" t="inlineStr">
        <is>
          <t>TAC</t>
        </is>
      </c>
      <c r="H24" s="6" t="inlineStr"/>
      <c r="I24" s="6">
        <f>AM(TAC)+PB(if ✓)</f>
        <v/>
      </c>
    </row>
    <row r="25">
      <c r="A25" s="5" t="inlineStr">
        <is>
          <t>LMG</t>
        </is>
      </c>
      <c r="C25" s="6" t="inlineStr">
        <is>
          <t>AIM</t>
        </is>
      </c>
      <c r="D25" s="6" t="inlineStr"/>
      <c r="E25" s="5" t="inlineStr">
        <is>
          <t>Land Driving</t>
        </is>
      </c>
      <c r="G25" s="6" t="inlineStr">
        <is>
          <t>DRV</t>
        </is>
      </c>
      <c r="H25" s="6" t="inlineStr"/>
      <c r="I25" s="6">
        <f>AM(DRV)+PB(if ✓)</f>
        <v/>
      </c>
    </row>
    <row r="26">
      <c r="A26" s="5" t="inlineStr">
        <is>
          <t>Crossbow</t>
        </is>
      </c>
      <c r="C26" s="6" t="inlineStr">
        <is>
          <t>AIM</t>
        </is>
      </c>
      <c r="D26" s="6" t="inlineStr"/>
      <c r="E26" s="5" t="inlineStr">
        <is>
          <t>Water Driving</t>
        </is>
      </c>
      <c r="G26" s="6" t="inlineStr">
        <is>
          <t>DRV</t>
        </is>
      </c>
      <c r="H26" s="6" t="inlineStr"/>
      <c r="I26" s="6">
        <f>AM(DRV)+PB(if ✓)</f>
        <v/>
      </c>
    </row>
    <row r="27">
      <c r="A27" s="5" t="inlineStr">
        <is>
          <t>Dual-Wield</t>
        </is>
      </c>
      <c r="C27" s="6" t="inlineStr">
        <is>
          <t>AIM</t>
        </is>
      </c>
      <c r="D27" s="6" t="inlineStr"/>
      <c r="E27" s="5" t="inlineStr">
        <is>
          <t>Flight Driving</t>
        </is>
      </c>
      <c r="G27" s="6" t="inlineStr">
        <is>
          <t>DRV</t>
        </is>
      </c>
      <c r="H27" s="6" t="inlineStr"/>
      <c r="I27" s="6">
        <f>AM(DRV)+PB(if ✓)</f>
        <v/>
      </c>
    </row>
    <row r="28">
      <c r="A28" s="5" t="inlineStr">
        <is>
          <t>Melee</t>
        </is>
      </c>
      <c r="C28" s="6" t="inlineStr">
        <is>
          <t>PHY</t>
        </is>
      </c>
      <c r="D28" s="6" t="inlineStr"/>
      <c r="E28" s="5" t="inlineStr">
        <is>
          <t>Vehicle Repair</t>
        </is>
      </c>
      <c r="G28" s="6" t="inlineStr">
        <is>
          <t>DRV</t>
        </is>
      </c>
      <c r="H28" s="6" t="inlineStr"/>
      <c r="I28" s="6">
        <f>AM(DRV)+PB(if ✓)</f>
        <v/>
      </c>
    </row>
    <row r="29">
      <c r="A29" s="5" t="inlineStr">
        <is>
          <t>Sprint</t>
        </is>
      </c>
      <c r="C29" s="6" t="inlineStr">
        <is>
          <t>PHY</t>
        </is>
      </c>
      <c r="D29" s="6" t="inlineStr"/>
      <c r="E29" s="5" t="inlineStr">
        <is>
          <t>Off-Road Driving</t>
        </is>
      </c>
      <c r="G29" s="6" t="inlineStr">
        <is>
          <t>DRV</t>
        </is>
      </c>
      <c r="H29" s="6" t="inlineStr"/>
      <c r="I29" s="6">
        <f>AM(DRV)+PB(if ✓)</f>
        <v/>
      </c>
    </row>
    <row r="30">
      <c r="A30" s="5" t="inlineStr">
        <is>
          <t>Climb</t>
        </is>
      </c>
      <c r="C30" s="6" t="inlineStr">
        <is>
          <t>PHY</t>
        </is>
      </c>
      <c r="D30" s="6" t="inlineStr"/>
      <c r="E30" s="5" t="inlineStr">
        <is>
          <t>Stress Resistance</t>
        </is>
      </c>
      <c r="G30" s="6" t="inlineStr">
        <is>
          <t>CLM</t>
        </is>
      </c>
      <c r="H30" s="6" t="inlineStr"/>
      <c r="I30" s="6">
        <f>AM(CLM)+PB(if ✓)</f>
        <v/>
      </c>
    </row>
    <row r="31">
      <c r="A31" s="5" t="inlineStr">
        <is>
          <t>Swim</t>
        </is>
      </c>
      <c r="C31" s="6" t="inlineStr">
        <is>
          <t>PHY</t>
        </is>
      </c>
      <c r="D31" s="6" t="inlineStr"/>
      <c r="E31" s="5" t="inlineStr">
        <is>
          <t>Ambush Reaction</t>
        </is>
      </c>
      <c r="G31" s="6" t="inlineStr">
        <is>
          <t>CLM</t>
        </is>
      </c>
      <c r="H31" s="6" t="inlineStr"/>
      <c r="I31" s="6">
        <f>AM(CLM)+PB(if ✓)</f>
        <v/>
      </c>
    </row>
    <row r="32">
      <c r="A32" s="5" t="inlineStr">
        <is>
          <t>Carry</t>
        </is>
      </c>
      <c r="C32" s="6" t="inlineStr">
        <is>
          <t>PHY</t>
        </is>
      </c>
      <c r="D32" s="6" t="inlineStr"/>
      <c r="E32" s="5" t="inlineStr">
        <is>
          <t>Final-Circle Composure</t>
        </is>
      </c>
      <c r="G32" s="6" t="inlineStr">
        <is>
          <t>CLM</t>
        </is>
      </c>
      <c r="H32" s="6" t="inlineStr"/>
      <c r="I32" s="6">
        <f>AM(CLM)+PB(if ✓)</f>
        <v/>
      </c>
    </row>
    <row r="33">
      <c r="A33" s="5" t="inlineStr">
        <is>
          <t>Perception</t>
        </is>
      </c>
      <c r="C33" s="6" t="inlineStr">
        <is>
          <t>TAC</t>
        </is>
      </c>
      <c r="D33" s="6" t="inlineStr"/>
      <c r="E33" s="5" t="inlineStr">
        <is>
          <t>First Aid</t>
        </is>
      </c>
      <c r="G33" s="6" t="inlineStr">
        <is>
          <t>CLM</t>
        </is>
      </c>
      <c r="H33" s="6" t="inlineStr"/>
      <c r="I33" s="6">
        <f>AM(CLM)+PB(if ✓)</f>
        <v/>
      </c>
    </row>
    <row r="34">
      <c r="A34" s="5" t="inlineStr">
        <is>
          <t>Stealth</t>
        </is>
      </c>
      <c r="C34" s="6" t="inlineStr">
        <is>
          <t>TAC</t>
        </is>
      </c>
      <c r="D34" s="6" t="inlineStr"/>
      <c r="E34" s="5" t="inlineStr">
        <is>
          <t>Persuade / Intimidate</t>
        </is>
      </c>
      <c r="G34" s="6" t="inlineStr">
        <is>
          <t>CLM</t>
        </is>
      </c>
      <c r="H34" s="6" t="inlineStr"/>
      <c r="I34" s="6">
        <f>AM(CLM)+PB(if ✓)</f>
        <v/>
      </c>
    </row>
    <row r="35"/>
    <row r="36">
      <c r="A36" s="3" t="inlineStr">
        <is>
          <t>Weapons &amp; Equipment</t>
        </is>
      </c>
      <c r="B36" s="8" t="n"/>
      <c r="C36" s="8" t="n"/>
      <c r="D36" s="8" t="n"/>
      <c r="E36" s="8" t="n"/>
      <c r="F36" s="8" t="n"/>
      <c r="G36" s="8" t="n"/>
      <c r="H36" s="9" t="n"/>
    </row>
    <row r="37">
      <c r="A37" s="5" t="inlineStr">
        <is>
          <t>Weapon Name</t>
        </is>
      </c>
      <c r="B37" s="5" t="inlineStr">
        <is>
          <t>Type</t>
        </is>
      </c>
      <c r="C37" s="5" t="inlineStr">
        <is>
          <t>Damage</t>
        </is>
      </c>
      <c r="D37" s="5" t="inlineStr">
        <is>
          <t>Range</t>
        </is>
      </c>
      <c r="E37" s="5" t="inlineStr">
        <is>
          <t>Magazine Capacity</t>
        </is>
      </c>
      <c r="F37" s="5" t="inlineStr">
        <is>
          <t>Current Ammo</t>
        </is>
      </c>
      <c r="G37" s="5" t="inlineStr">
        <is>
          <t>Weight</t>
        </is>
      </c>
      <c r="H37" s="5" t="inlineStr">
        <is>
          <t>Attachments</t>
        </is>
      </c>
    </row>
    <row r="38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  <c r="H38" s="6" t="inlineStr"/>
    </row>
    <row r="39">
      <c r="A39" s="6" t="inlineStr"/>
      <c r="B39" s="6" t="inlineStr"/>
      <c r="C39" s="6" t="inlineStr"/>
      <c r="D39" s="6" t="inlineStr"/>
      <c r="E39" s="6" t="inlineStr"/>
      <c r="F39" s="6" t="inlineStr"/>
      <c r="G39" s="6" t="inlineStr"/>
      <c r="H39" s="6" t="inlineStr"/>
    </row>
    <row r="40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</row>
    <row r="41">
      <c r="A41" s="6" t="inlineStr"/>
      <c r="B41" s="6" t="inlineStr"/>
      <c r="C41" s="6" t="inlineStr"/>
      <c r="D41" s="6" t="inlineStr"/>
      <c r="E41" s="6" t="inlineStr"/>
      <c r="F41" s="6" t="inlineStr"/>
      <c r="G41" s="6" t="inlineStr"/>
      <c r="H41" s="6" t="inlineStr"/>
    </row>
    <row r="42">
      <c r="A42" s="3" t="inlineStr">
        <is>
          <t>Armor</t>
        </is>
      </c>
      <c r="B42" s="8" t="n"/>
      <c r="C42" s="8" t="n"/>
      <c r="D42" s="8" t="n"/>
      <c r="E42" s="8" t="n"/>
      <c r="F42" s="8" t="n"/>
      <c r="G42" s="8" t="n"/>
      <c r="H42" s="9" t="n"/>
    </row>
    <row r="43">
      <c r="A43" s="5" t="inlineStr">
        <is>
          <t>Helmet</t>
        </is>
      </c>
      <c r="B43" s="6" t="inlineStr"/>
      <c r="C43" s="5" t="inlineStr">
        <is>
          <t>Level</t>
        </is>
      </c>
      <c r="D43" s="6" t="inlineStr"/>
      <c r="E43" s="5" t="inlineStr">
        <is>
          <t>Damage Reduction</t>
        </is>
      </c>
      <c r="F43" s="6" t="inlineStr"/>
      <c r="G43" s="5" t="inlineStr">
        <is>
          <t>Durability</t>
        </is>
      </c>
      <c r="H43" s="6" t="inlineStr"/>
    </row>
    <row r="44">
      <c r="A44" s="5" t="inlineStr">
        <is>
          <t>Vest</t>
        </is>
      </c>
      <c r="B44" s="6" t="inlineStr"/>
      <c r="C44" s="5" t="inlineStr">
        <is>
          <t>Level</t>
        </is>
      </c>
      <c r="D44" s="6" t="inlineStr"/>
      <c r="E44" s="5" t="inlineStr">
        <is>
          <t>Damage Reduction</t>
        </is>
      </c>
      <c r="F44" s="6" t="inlineStr"/>
      <c r="G44" s="5" t="inlineStr">
        <is>
          <t>Durability</t>
        </is>
      </c>
      <c r="H44" s="6" t="inlineStr"/>
    </row>
    <row r="45"/>
    <row r="46">
      <c r="A46" s="3" t="inlineStr">
        <is>
          <t>Consumables &amp; Backpack</t>
        </is>
      </c>
      <c r="B46" s="8" t="n"/>
      <c r="C46" s="8" t="n"/>
      <c r="D46" s="8" t="n"/>
      <c r="E46" s="8" t="n"/>
      <c r="F46" s="8" t="n"/>
      <c r="G46" s="8" t="n"/>
      <c r="H46" s="9" t="n"/>
    </row>
    <row r="47">
      <c r="A47" s="5" t="inlineStr">
        <is>
          <t>Items</t>
        </is>
      </c>
      <c r="C47" s="5" t="inlineStr">
        <is>
          <t>Qty</t>
        </is>
      </c>
      <c r="D47" s="5" t="inlineStr">
        <is>
          <t>Weight (kg)</t>
        </is>
      </c>
      <c r="E47" s="5" t="inlineStr">
        <is>
          <t>Items</t>
        </is>
      </c>
      <c r="G47" s="5" t="inlineStr">
        <is>
          <t>Qty</t>
        </is>
      </c>
    </row>
    <row r="48">
      <c r="A48" s="5" t="inlineStr">
        <is>
          <t>Bandage</t>
        </is>
      </c>
      <c r="C48" s="6" t="n">
        <v>0</v>
      </c>
      <c r="E48" s="5" t="inlineStr">
        <is>
          <t>Adrenaline</t>
        </is>
      </c>
      <c r="G48" s="6" t="n">
        <v>0</v>
      </c>
    </row>
    <row r="49">
      <c r="A49" s="5" t="inlineStr">
        <is>
          <t>First Aid Kit</t>
        </is>
      </c>
      <c r="C49" s="6" t="n">
        <v>0</v>
      </c>
      <c r="E49" s="5" t="inlineStr">
        <is>
          <t>Smoke Grenade</t>
        </is>
      </c>
      <c r="G49" s="6" t="n">
        <v>0</v>
      </c>
    </row>
    <row r="50">
      <c r="A50" s="5" t="inlineStr">
        <is>
          <t>Med Kit</t>
        </is>
      </c>
      <c r="C50" s="6" t="n">
        <v>0</v>
      </c>
      <c r="E50" s="5" t="inlineStr">
        <is>
          <t>Frag Grenade</t>
        </is>
      </c>
      <c r="G50" s="6" t="n">
        <v>0</v>
      </c>
    </row>
    <row r="51">
      <c r="A51" s="5" t="inlineStr">
        <is>
          <t>Energy Drink</t>
        </is>
      </c>
      <c r="C51" s="6" t="n">
        <v>0</v>
      </c>
      <c r="E51" s="5" t="inlineStr">
        <is>
          <t>Molotov</t>
        </is>
      </c>
      <c r="G51" s="6" t="n">
        <v>0</v>
      </c>
    </row>
    <row r="52">
      <c r="A52" s="5" t="inlineStr">
        <is>
          <t>Painkillers</t>
        </is>
      </c>
      <c r="C52" s="6" t="n">
        <v>0</v>
      </c>
      <c r="E52" s="5" t="inlineStr">
        <is>
          <t>Flashbang</t>
        </is>
      </c>
      <c r="G52" s="6" t="n">
        <v>0</v>
      </c>
    </row>
    <row r="53"/>
    <row r="54">
      <c r="A54" s="3" t="inlineStr">
        <is>
          <t>Feats &amp; Abilities</t>
        </is>
      </c>
      <c r="B54" s="8" t="n"/>
      <c r="C54" s="8" t="n"/>
      <c r="D54" s="8" t="n"/>
      <c r="E54" s="8" t="n"/>
      <c r="F54" s="8" t="n"/>
      <c r="G54" s="8" t="n"/>
      <c r="H54" s="9" t="n"/>
    </row>
    <row r="55">
      <c r="A55" s="5" t="inlineStr">
        <is>
          <t>Feat 1</t>
        </is>
      </c>
      <c r="B55" s="6" t="inlineStr"/>
      <c r="C55" s="8" t="n"/>
      <c r="D55" s="8" t="n"/>
      <c r="E55" s="9" t="n"/>
      <c r="F55" s="6" t="inlineStr">
        <is>
          <t xml:space="preserve">Effect: </t>
        </is>
      </c>
    </row>
    <row r="56">
      <c r="A56" s="5" t="inlineStr">
        <is>
          <t>Feat 2</t>
        </is>
      </c>
      <c r="B56" s="6" t="inlineStr"/>
      <c r="C56" s="8" t="n"/>
      <c r="D56" s="8" t="n"/>
      <c r="E56" s="9" t="n"/>
      <c r="F56" s="6" t="inlineStr">
        <is>
          <t xml:space="preserve">Effect: </t>
        </is>
      </c>
    </row>
    <row r="57">
      <c r="A57" s="5" t="inlineStr">
        <is>
          <t>Feat 3</t>
        </is>
      </c>
      <c r="B57" s="6" t="inlineStr"/>
      <c r="C57" s="8" t="n"/>
      <c r="D57" s="8" t="n"/>
      <c r="E57" s="9" t="n"/>
      <c r="F57" s="6" t="inlineStr">
        <is>
          <t xml:space="preserve">Effect: </t>
        </is>
      </c>
    </row>
    <row r="58">
      <c r="A58" s="5" t="inlineStr">
        <is>
          <t>Feat 4</t>
        </is>
      </c>
      <c r="B58" s="6" t="inlineStr"/>
      <c r="C58" s="8" t="n"/>
      <c r="D58" s="8" t="n"/>
      <c r="E58" s="9" t="n"/>
      <c r="F58" s="6" t="inlineStr">
        <is>
          <t xml:space="preserve">Effect: </t>
        </is>
      </c>
    </row>
    <row r="59">
      <c r="A59" s="5" t="inlineStr">
        <is>
          <t>Feat 5</t>
        </is>
      </c>
      <c r="B59" s="6" t="inlineStr"/>
      <c r="C59" s="8" t="n"/>
      <c r="D59" s="8" t="n"/>
      <c r="E59" s="9" t="n"/>
      <c r="F59" s="6" t="inlineStr">
        <is>
          <t xml:space="preserve">Effect: </t>
        </is>
      </c>
    </row>
    <row r="60">
      <c r="A60" s="5" t="inlineStr">
        <is>
          <t>Feat 6</t>
        </is>
      </c>
      <c r="B60" s="6" t="inlineStr"/>
      <c r="C60" s="8" t="n"/>
      <c r="D60" s="8" t="n"/>
      <c r="E60" s="9" t="n"/>
      <c r="F60" s="6" t="inlineStr">
        <is>
          <t xml:space="preserve">Effect: </t>
        </is>
      </c>
    </row>
    <row r="61">
      <c r="A61" s="5" t="inlineStr">
        <is>
          <t>Feat 7</t>
        </is>
      </c>
      <c r="B61" s="6" t="inlineStr"/>
      <c r="C61" s="8" t="n"/>
      <c r="D61" s="8" t="n"/>
      <c r="E61" s="9" t="n"/>
      <c r="F61" s="6" t="inlineStr">
        <is>
          <t xml:space="preserve">Effect: </t>
        </is>
      </c>
    </row>
    <row r="62">
      <c r="A62" s="5" t="inlineStr">
        <is>
          <t>Feat 8</t>
        </is>
      </c>
      <c r="B62" s="6" t="inlineStr"/>
      <c r="C62" s="8" t="n"/>
      <c r="D62" s="8" t="n"/>
      <c r="E62" s="9" t="n"/>
      <c r="F62" s="6" t="inlineStr">
        <is>
          <t xml:space="preserve">Effect: </t>
        </is>
      </c>
    </row>
    <row r="63">
      <c r="A63" s="5" t="inlineStr">
        <is>
          <t>Feat 9</t>
        </is>
      </c>
      <c r="B63" s="6" t="inlineStr"/>
      <c r="C63" s="8" t="n"/>
      <c r="D63" s="8" t="n"/>
      <c r="E63" s="9" t="n"/>
      <c r="F63" s="6" t="inlineStr">
        <is>
          <t xml:space="preserve">Effect: </t>
        </is>
      </c>
    </row>
    <row r="64">
      <c r="A64" s="5" t="inlineStr">
        <is>
          <t>Feat 10</t>
        </is>
      </c>
      <c r="B64" s="6" t="inlineStr"/>
      <c r="C64" s="8" t="n"/>
      <c r="D64" s="8" t="n"/>
      <c r="E64" s="9" t="n"/>
      <c r="F64" s="6" t="inlineStr">
        <is>
          <t xml:space="preserve">Effect: </t>
        </is>
      </c>
    </row>
    <row r="65"/>
    <row r="66">
      <c r="A66" s="3" t="inlineStr">
        <is>
          <t>Backstory &amp; Notes</t>
        </is>
      </c>
      <c r="B66" s="8" t="n"/>
      <c r="C66" s="8" t="n"/>
      <c r="D66" s="8" t="n"/>
      <c r="E66" s="8" t="n"/>
      <c r="F66" s="8" t="n"/>
      <c r="G66" s="8" t="n"/>
      <c r="H66" s="9" t="n"/>
    </row>
    <row r="67">
      <c r="A67" s="7" t="inlineStr"/>
      <c r="B67" s="8" t="n"/>
      <c r="C67" s="8" t="n"/>
      <c r="D67" s="8" t="n"/>
      <c r="E67" s="8" t="n"/>
      <c r="F67" s="8" t="n"/>
      <c r="G67" s="8" t="n"/>
      <c r="H67" s="9" t="n"/>
    </row>
    <row r="68">
      <c r="A68" s="7" t="inlineStr"/>
      <c r="B68" s="8" t="n"/>
      <c r="C68" s="8" t="n"/>
      <c r="D68" s="8" t="n"/>
      <c r="E68" s="8" t="n"/>
      <c r="F68" s="8" t="n"/>
      <c r="G68" s="8" t="n"/>
      <c r="H68" s="9" t="n"/>
    </row>
    <row r="69">
      <c r="A69" s="7" t="inlineStr"/>
      <c r="B69" s="8" t="n"/>
      <c r="C69" s="8" t="n"/>
      <c r="D69" s="8" t="n"/>
      <c r="E69" s="8" t="n"/>
      <c r="F69" s="8" t="n"/>
      <c r="G69" s="8" t="n"/>
      <c r="H69" s="9" t="n"/>
    </row>
    <row r="70">
      <c r="A70" s="7" t="inlineStr"/>
      <c r="B70" s="8" t="n"/>
      <c r="C70" s="8" t="n"/>
      <c r="D70" s="8" t="n"/>
      <c r="E70" s="8" t="n"/>
      <c r="F70" s="8" t="n"/>
      <c r="G70" s="8" t="n"/>
      <c r="H70" s="9" t="n"/>
    </row>
    <row r="71">
      <c r="A71" s="7" t="inlineStr"/>
      <c r="B71" s="8" t="n"/>
      <c r="C71" s="8" t="n"/>
      <c r="D71" s="8" t="n"/>
      <c r="E71" s="8" t="n"/>
      <c r="F71" s="8" t="n"/>
      <c r="G71" s="8" t="n"/>
      <c r="H71" s="9" t="n"/>
    </row>
    <row r="72">
      <c r="A72" s="7" t="inlineStr"/>
      <c r="B72" s="8" t="n"/>
      <c r="C72" s="8" t="n"/>
      <c r="D72" s="8" t="n"/>
      <c r="E72" s="8" t="n"/>
      <c r="F72" s="8" t="n"/>
      <c r="G72" s="8" t="n"/>
      <c r="H72" s="9" t="n"/>
    </row>
  </sheetData>
  <mergeCells count="36">
    <mergeCell ref="G59:H59"/>
    <mergeCell ref="A67:H67"/>
    <mergeCell ref="B64:E64"/>
    <mergeCell ref="A36:H36"/>
    <mergeCell ref="B55:E55"/>
    <mergeCell ref="G61:H61"/>
    <mergeCell ref="A1:H1"/>
    <mergeCell ref="A6:H6"/>
    <mergeCell ref="A70:H70"/>
    <mergeCell ref="B63:E63"/>
    <mergeCell ref="A69:H69"/>
    <mergeCell ref="A54:H54"/>
    <mergeCell ref="B62:E62"/>
    <mergeCell ref="G57:H57"/>
    <mergeCell ref="A66:H66"/>
    <mergeCell ref="B59:E59"/>
    <mergeCell ref="G62:H62"/>
    <mergeCell ref="A46:H46"/>
    <mergeCell ref="A18:H18"/>
    <mergeCell ref="B56:E56"/>
    <mergeCell ref="B58:E58"/>
    <mergeCell ref="A2:H2"/>
    <mergeCell ref="A71:H71"/>
    <mergeCell ref="A42:H42"/>
    <mergeCell ref="G58:H58"/>
    <mergeCell ref="G64:H64"/>
    <mergeCell ref="B60:E60"/>
    <mergeCell ref="G55:H55"/>
    <mergeCell ref="B61:E61"/>
    <mergeCell ref="B57:E57"/>
    <mergeCell ref="G63:H63"/>
    <mergeCell ref="A72:H72"/>
    <mergeCell ref="A13:H13"/>
    <mergeCell ref="A68:H68"/>
    <mergeCell ref="G60:H60"/>
    <mergeCell ref="G56:H56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2026-07-13T05:46:48Z</dcterms:created>
  <dcterms:modified xsi:type="dcterms:W3CDTF">2026-08-11T06:44:47Z</dcterms:modified>
</cp:coreProperties>
</file>