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kie Squad" sheetId="1" state="visible" r:id="rId1"/>
    <sheet name="Steady Squad" sheetId="2" state="visible" r:id="rId2"/>
    <sheet name="Assault Squad" sheetId="3" state="visible" r:id="rId3"/>
    <sheet name="Ambush Squad" sheetId="4" state="visible" r:id="rId4"/>
    <sheet name="Professional Squad" sheetId="5" state="visible" r:id="rId5"/>
    <sheet name="Champion Ti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2F5496"/>
      <sz val="18"/>
    </font>
    <font>
      <name val="微軟正黑體"/>
      <b val="1"/>
      <color rgb="002F5496"/>
      <sz val="12"/>
    </font>
    <font>
      <name val="微軟正黑體"/>
      <b val="1"/>
      <sz val="11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Enemy: Rookie Squad Member (Rookie Squad)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Type</t>
        </is>
      </c>
      <c r="B3" s="5" t="inlineStr">
        <is>
          <t>Rookie Squad</t>
        </is>
      </c>
      <c r="C3" s="4" t="inlineStr">
        <is>
          <t>Difficulty</t>
        </is>
      </c>
      <c r="D3" s="5" t="inlineStr">
        <is>
          <t>★</t>
        </is>
      </c>
    </row>
    <row r="4">
      <c r="A4" s="4" t="inlineStr">
        <is>
          <t>Armor</t>
        </is>
      </c>
      <c r="B4" s="5" t="inlineStr">
        <is>
          <t>Level-1 Helmet + Level-1 Vest</t>
        </is>
      </c>
      <c r="C4" s="6" t="n"/>
      <c r="D4" s="7" t="n"/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10</v>
      </c>
      <c r="C6" s="5">
        <f>FLOOR.MATH((B6-10)/2)</f>
        <v/>
      </c>
    </row>
    <row r="7">
      <c r="A7" s="4" t="inlineStr">
        <is>
          <t>Physique (PHY)</t>
        </is>
      </c>
      <c r="B7" s="5" t="n">
        <v>10</v>
      </c>
      <c r="C7" s="5">
        <f>FLOOR.MATH((B7-10)/2)</f>
        <v/>
      </c>
    </row>
    <row r="8">
      <c r="A8" s="4" t="inlineStr">
        <is>
          <t>Tactics (TAC)</t>
        </is>
      </c>
      <c r="B8" s="5" t="n">
        <v>8</v>
      </c>
      <c r="C8" s="5">
        <f>FLOOR.MATH((B8-10)/2)</f>
        <v/>
      </c>
    </row>
    <row r="9">
      <c r="A9" s="4" t="inlineStr">
        <is>
          <t>Driving (DRV)</t>
        </is>
      </c>
      <c r="B9" s="5" t="n">
        <v>8</v>
      </c>
      <c r="C9" s="5">
        <f>FLOOR.MATH((B9-10)/2)</f>
        <v/>
      </c>
    </row>
    <row r="10">
      <c r="A10" s="4" t="inlineStr">
        <is>
          <t>Calm (CLM)</t>
        </is>
      </c>
      <c r="B10" s="5" t="n">
        <v>8</v>
      </c>
      <c r="C10" s="5">
        <f>FLOOR.MATH((B10-10)/2)</f>
        <v/>
      </c>
    </row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 (Estimated)</t>
        </is>
      </c>
      <c r="B12" s="5">
        <f>10+C7+4*(5+C7)</f>
        <v/>
      </c>
      <c r="C12" s="4" t="inlineStr">
        <is>
          <t>Initiative Bonus</t>
        </is>
      </c>
      <c r="D12" s="5">
        <f>C8+FLOOR.MATH(MAX(C6,0)/2)</f>
        <v/>
      </c>
    </row>
    <row r="13">
      <c r="A13" s="4" t="inlineStr">
        <is>
          <t>Hearing Range (m)</t>
        </is>
      </c>
      <c r="B13" s="5">
        <f>B8*10</f>
        <v/>
      </c>
      <c r="C13" s="4" t="inlineStr">
        <is>
          <t>Stress Threshold</t>
        </is>
      </c>
      <c r="D13" s="5">
        <f>B10*2+5</f>
        <v/>
      </c>
    </row>
    <row r="14"/>
    <row r="15">
      <c r="A15" s="2" t="inlineStr">
        <is>
          <t>Weapons</t>
        </is>
      </c>
      <c r="B15" s="6" t="n"/>
      <c r="C15" s="6" t="n"/>
      <c r="D15" s="6" t="n"/>
      <c r="E15" s="6" t="n"/>
      <c r="F15" s="7" t="n"/>
    </row>
    <row r="16">
      <c r="A16" s="5" t="inlineStr">
        <is>
          <t>P92 Pistol</t>
        </is>
      </c>
      <c r="B16" s="6" t="n"/>
      <c r="C16" s="7" t="n"/>
    </row>
    <row r="17">
      <c r="A17" s="5" t="inlineStr">
        <is>
          <t>UMP45 SMG</t>
        </is>
      </c>
      <c r="B17" s="6" t="n"/>
      <c r="C17" s="7" t="n"/>
    </row>
    <row r="18"/>
    <row r="19"/>
    <row r="20">
      <c r="A20" s="2" t="inlineStr">
        <is>
          <t>AI Behavior Logic</t>
        </is>
      </c>
      <c r="B20" s="6" t="n"/>
      <c r="C20" s="6" t="n"/>
      <c r="D20" s="6" t="n"/>
      <c r="E20" s="6" t="n"/>
      <c r="F20" s="7" t="n"/>
    </row>
    <row r="21">
      <c r="A21" s="8" t="inlineStr">
        <is>
          <t>Behavior pattern: Scatters to loot, hides at gunfire, passively waits for the Circle to shrink. Poor reload timing. Will not revive allies.</t>
        </is>
      </c>
      <c r="B21" s="9" t="n"/>
      <c r="C21" s="9" t="n"/>
      <c r="D21" s="9" t="n"/>
      <c r="E21" s="9" t="n"/>
      <c r="F21" s="10" t="n"/>
    </row>
    <row r="22">
      <c r="A22" s="11" t="n"/>
      <c r="F22" s="12" t="n"/>
    </row>
    <row r="23">
      <c r="A23" s="13" t="n"/>
      <c r="B23" s="14" t="n"/>
      <c r="C23" s="14" t="n"/>
      <c r="D23" s="14" t="n"/>
      <c r="E23" s="14" t="n"/>
      <c r="F23" s="15" t="n"/>
    </row>
    <row r="24">
      <c r="A24" s="2" t="inlineStr">
        <is>
          <t>Tactical Notes</t>
        </is>
      </c>
      <c r="B24" s="6" t="n"/>
      <c r="C24" s="6" t="n"/>
      <c r="D24" s="6" t="n"/>
      <c r="E24" s="6" t="n"/>
      <c r="F24" s="7" t="n"/>
    </row>
    <row r="25">
      <c r="A25" s="8" t="inlineStr">
        <is>
          <t>Panicked shooting. Does not actively change cover.</t>
        </is>
      </c>
      <c r="B25" s="9" t="n"/>
      <c r="C25" s="9" t="n"/>
      <c r="D25" s="9" t="n"/>
      <c r="E25" s="9" t="n"/>
      <c r="F25" s="10" t="n"/>
    </row>
    <row r="26">
      <c r="A26" s="13" t="n"/>
      <c r="B26" s="14" t="n"/>
      <c r="C26" s="14" t="n"/>
      <c r="D26" s="14" t="n"/>
      <c r="E26" s="14" t="n"/>
      <c r="F26" s="15" t="n"/>
    </row>
  </sheetData>
  <mergeCells count="12">
    <mergeCell ref="A24:F24"/>
    <mergeCell ref="A2:F2"/>
    <mergeCell ref="A11:F11"/>
    <mergeCell ref="A1:F1"/>
    <mergeCell ref="A5:F5"/>
    <mergeCell ref="B4:D4"/>
    <mergeCell ref="A17:C17"/>
    <mergeCell ref="A21:F23"/>
    <mergeCell ref="A25:F26"/>
    <mergeCell ref="A20:F20"/>
    <mergeCell ref="A15:F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Enemy: Steady Squad Member (Steady Squad)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Type</t>
        </is>
      </c>
      <c r="B3" s="5" t="inlineStr">
        <is>
          <t>Steady Squad</t>
        </is>
      </c>
      <c r="C3" s="4" t="inlineStr">
        <is>
          <t>Difficulty</t>
        </is>
      </c>
      <c r="D3" s="5" t="inlineStr">
        <is>
          <t>★★</t>
        </is>
      </c>
    </row>
    <row r="4">
      <c r="A4" s="4" t="inlineStr">
        <is>
          <t>Armor</t>
        </is>
      </c>
      <c r="B4" s="5" t="inlineStr">
        <is>
          <t>Level-2 Helmet + Level-1 Vest</t>
        </is>
      </c>
      <c r="C4" s="6" t="n"/>
      <c r="D4" s="7" t="n"/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13</v>
      </c>
      <c r="C6" s="5">
        <f>FLOOR.MATH((B6-10)/2)</f>
        <v/>
      </c>
    </row>
    <row r="7">
      <c r="A7" s="4" t="inlineStr">
        <is>
          <t>Physique (PHY)</t>
        </is>
      </c>
      <c r="B7" s="5" t="n">
        <v>12</v>
      </c>
      <c r="C7" s="5">
        <f>FLOOR.MATH((B7-10)/2)</f>
        <v/>
      </c>
    </row>
    <row r="8">
      <c r="A8" s="4" t="inlineStr">
        <is>
          <t>Tactics (TAC)</t>
        </is>
      </c>
      <c r="B8" s="5" t="n">
        <v>12</v>
      </c>
      <c r="C8" s="5">
        <f>FLOOR.MATH((B8-10)/2)</f>
        <v/>
      </c>
    </row>
    <row r="9">
      <c r="A9" s="4" t="inlineStr">
        <is>
          <t>Driving (DRV)</t>
        </is>
      </c>
      <c r="B9" s="5" t="n">
        <v>10</v>
      </c>
      <c r="C9" s="5">
        <f>FLOOR.MATH((B9-10)/2)</f>
        <v/>
      </c>
    </row>
    <row r="10">
      <c r="A10" s="4" t="inlineStr">
        <is>
          <t>Calm (CLM)</t>
        </is>
      </c>
      <c r="B10" s="5" t="n">
        <v>11</v>
      </c>
      <c r="C10" s="5">
        <f>FLOOR.MATH((B10-10)/2)</f>
        <v/>
      </c>
    </row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 (Estimated)</t>
        </is>
      </c>
      <c r="B12" s="5">
        <f>10+C7+4*(5+C7)</f>
        <v/>
      </c>
      <c r="C12" s="4" t="inlineStr">
        <is>
          <t>Initiative Bonus</t>
        </is>
      </c>
      <c r="D12" s="5">
        <f>C8+FLOOR.MATH(MAX(C6,0)/2)</f>
        <v/>
      </c>
    </row>
    <row r="13">
      <c r="A13" s="4" t="inlineStr">
        <is>
          <t>Hearing Range (m)</t>
        </is>
      </c>
      <c r="B13" s="5">
        <f>B8*10</f>
        <v/>
      </c>
      <c r="C13" s="4" t="inlineStr">
        <is>
          <t>Stress Threshold</t>
        </is>
      </c>
      <c r="D13" s="5">
        <f>B10*2+5</f>
        <v/>
      </c>
    </row>
    <row r="14"/>
    <row r="15">
      <c r="A15" s="2" t="inlineStr">
        <is>
          <t>Weapons</t>
        </is>
      </c>
      <c r="B15" s="6" t="n"/>
      <c r="C15" s="6" t="n"/>
      <c r="D15" s="6" t="n"/>
      <c r="E15" s="6" t="n"/>
      <c r="F15" s="7" t="n"/>
    </row>
    <row r="16">
      <c r="A16" s="5" t="inlineStr">
        <is>
          <t>M16A4 Assault Rifle</t>
        </is>
      </c>
      <c r="B16" s="6" t="n"/>
      <c r="C16" s="7" t="n"/>
    </row>
    <row r="17">
      <c r="A17" s="5" t="inlineStr">
        <is>
          <t>P92 Pistol</t>
        </is>
      </c>
      <c r="B17" s="6" t="n"/>
      <c r="C17" s="7" t="n"/>
    </row>
    <row r="18"/>
    <row r="19"/>
    <row r="20">
      <c r="A20" s="2" t="inlineStr">
        <is>
          <t>AI Behavior Logic</t>
        </is>
      </c>
      <c r="B20" s="6" t="n"/>
      <c r="C20" s="6" t="n"/>
      <c r="D20" s="6" t="n"/>
      <c r="E20" s="6" t="n"/>
      <c r="F20" s="7" t="n"/>
    </row>
    <row r="21">
      <c r="A21" s="8" t="inlineStr">
        <is>
          <t>Behavior pattern: Moves as a group, holds the high ground. Uses smoke grenades sensibly. Will revive downed allies (one covers, one revives).</t>
        </is>
      </c>
      <c r="B21" s="9" t="n"/>
      <c r="C21" s="9" t="n"/>
      <c r="D21" s="9" t="n"/>
      <c r="E21" s="9" t="n"/>
      <c r="F21" s="10" t="n"/>
    </row>
    <row r="22">
      <c r="A22" s="11" t="n"/>
      <c r="F22" s="12" t="n"/>
    </row>
    <row r="23">
      <c r="A23" s="13" t="n"/>
      <c r="B23" s="14" t="n"/>
      <c r="C23" s="14" t="n"/>
      <c r="D23" s="14" t="n"/>
      <c r="E23" s="14" t="n"/>
      <c r="F23" s="15" t="n"/>
    </row>
    <row r="24">
      <c r="A24" s="2" t="inlineStr">
        <is>
          <t>Tactical Notes</t>
        </is>
      </c>
      <c r="B24" s="6" t="n"/>
      <c r="C24" s="6" t="n"/>
      <c r="D24" s="6" t="n"/>
      <c r="E24" s="6" t="n"/>
      <c r="F24" s="7" t="n"/>
    </row>
    <row r="25">
      <c r="A25" s="8" t="inlineStr">
        <is>
          <t>Takes turns firing from behind cover. Smoke grenades cover the retreat.</t>
        </is>
      </c>
      <c r="B25" s="9" t="n"/>
      <c r="C25" s="9" t="n"/>
      <c r="D25" s="9" t="n"/>
      <c r="E25" s="9" t="n"/>
      <c r="F25" s="10" t="n"/>
    </row>
    <row r="26">
      <c r="A26" s="13" t="n"/>
      <c r="B26" s="14" t="n"/>
      <c r="C26" s="14" t="n"/>
      <c r="D26" s="14" t="n"/>
      <c r="E26" s="14" t="n"/>
      <c r="F26" s="15" t="n"/>
    </row>
  </sheetData>
  <mergeCells count="12">
    <mergeCell ref="A24:F24"/>
    <mergeCell ref="A2:F2"/>
    <mergeCell ref="A11:F11"/>
    <mergeCell ref="A1:F1"/>
    <mergeCell ref="A5:F5"/>
    <mergeCell ref="B4:D4"/>
    <mergeCell ref="A17:C17"/>
    <mergeCell ref="A21:F23"/>
    <mergeCell ref="A25:F26"/>
    <mergeCell ref="A20:F20"/>
    <mergeCell ref="A15:F15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Enemy: Assault Squad Member (Assault Squad)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Type</t>
        </is>
      </c>
      <c r="B3" s="5" t="inlineStr">
        <is>
          <t>Assault Squad</t>
        </is>
      </c>
      <c r="C3" s="4" t="inlineStr">
        <is>
          <t>Difficulty</t>
        </is>
      </c>
      <c r="D3" s="5" t="inlineStr">
        <is>
          <t>★★★</t>
        </is>
      </c>
    </row>
    <row r="4">
      <c r="A4" s="4" t="inlineStr">
        <is>
          <t>Armor</t>
        </is>
      </c>
      <c r="B4" s="5" t="inlineStr">
        <is>
          <t>Level-2 Helmet + Level-2 Vest</t>
        </is>
      </c>
      <c r="C4" s="6" t="n"/>
      <c r="D4" s="7" t="n"/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15</v>
      </c>
      <c r="C6" s="5">
        <f>FLOOR.MATH((B6-10)/2)</f>
        <v/>
      </c>
    </row>
    <row r="7">
      <c r="A7" s="4" t="inlineStr">
        <is>
          <t>Physique (PHY)</t>
        </is>
      </c>
      <c r="B7" s="5" t="n">
        <v>14</v>
      </c>
      <c r="C7" s="5">
        <f>FLOOR.MATH((B7-10)/2)</f>
        <v/>
      </c>
    </row>
    <row r="8">
      <c r="A8" s="4" t="inlineStr">
        <is>
          <t>Tactics (TAC)</t>
        </is>
      </c>
      <c r="B8" s="5" t="n">
        <v>12</v>
      </c>
      <c r="C8" s="5">
        <f>FLOOR.MATH((B8-10)/2)</f>
        <v/>
      </c>
    </row>
    <row r="9">
      <c r="A9" s="4" t="inlineStr">
        <is>
          <t>Driving (DRV)</t>
        </is>
      </c>
      <c r="B9" s="5" t="n">
        <v>12</v>
      </c>
      <c r="C9" s="5">
        <f>FLOOR.MATH((B9-10)/2)</f>
        <v/>
      </c>
    </row>
    <row r="10">
      <c r="A10" s="4" t="inlineStr">
        <is>
          <t>Calm (CLM)</t>
        </is>
      </c>
      <c r="B10" s="5" t="n">
        <v>11</v>
      </c>
      <c r="C10" s="5">
        <f>FLOOR.MATH((B10-10)/2)</f>
        <v/>
      </c>
    </row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 (Estimated)</t>
        </is>
      </c>
      <c r="B12" s="5">
        <f>10+C7+4*(5+C7)</f>
        <v/>
      </c>
      <c r="C12" s="4" t="inlineStr">
        <is>
          <t>Initiative Bonus</t>
        </is>
      </c>
      <c r="D12" s="5">
        <f>C8+FLOOR.MATH(MAX(C6,0)/2)</f>
        <v/>
      </c>
    </row>
    <row r="13">
      <c r="A13" s="4" t="inlineStr">
        <is>
          <t>Hearing Range (m)</t>
        </is>
      </c>
      <c r="B13" s="5">
        <f>B8*10</f>
        <v/>
      </c>
      <c r="C13" s="4" t="inlineStr">
        <is>
          <t>Stress Threshold</t>
        </is>
      </c>
      <c r="D13" s="5">
        <f>B10*2+5</f>
        <v/>
      </c>
    </row>
    <row r="14"/>
    <row r="15">
      <c r="A15" s="2" t="inlineStr">
        <is>
          <t>Weapons</t>
        </is>
      </c>
      <c r="B15" s="6" t="n"/>
      <c r="C15" s="6" t="n"/>
      <c r="D15" s="6" t="n"/>
      <c r="E15" s="6" t="n"/>
      <c r="F15" s="7" t="n"/>
    </row>
    <row r="16">
      <c r="A16" s="5" t="inlineStr">
        <is>
          <t>AKM Assault Rifle</t>
        </is>
      </c>
      <c r="B16" s="6" t="n"/>
      <c r="C16" s="7" t="n"/>
    </row>
    <row r="17">
      <c r="A17" s="5" t="inlineStr">
        <is>
          <t>Vector SMG</t>
        </is>
      </c>
      <c r="B17" s="6" t="n"/>
      <c r="C17" s="7" t="n"/>
    </row>
    <row r="18"/>
    <row r="19"/>
    <row r="20">
      <c r="A20" s="2" t="inlineStr">
        <is>
          <t>AI Behavior Logic</t>
        </is>
      </c>
      <c r="B20" s="6" t="n"/>
      <c r="C20" s="6" t="n"/>
      <c r="D20" s="6" t="n"/>
      <c r="E20" s="6" t="n"/>
      <c r="F20" s="7" t="n"/>
    </row>
    <row r="21">
      <c r="A21" s="8" t="inlineStr">
        <is>
          <t>Behavior pattern: Chases gunfire, aggressively grabs airdrops. Uses vehicles for rapid relocation. Coordinated tactics of suppressing fire and flanking by teammates.</t>
        </is>
      </c>
      <c r="B21" s="9" t="n"/>
      <c r="C21" s="9" t="n"/>
      <c r="D21" s="9" t="n"/>
      <c r="E21" s="9" t="n"/>
      <c r="F21" s="10" t="n"/>
    </row>
    <row r="22">
      <c r="A22" s="11" t="n"/>
      <c r="F22" s="12" t="n"/>
    </row>
    <row r="23">
      <c r="A23" s="13" t="n"/>
      <c r="B23" s="14" t="n"/>
      <c r="C23" s="14" t="n"/>
      <c r="D23" s="14" t="n"/>
      <c r="E23" s="14" t="n"/>
      <c r="F23" s="15" t="n"/>
    </row>
    <row r="24">
      <c r="A24" s="2" t="inlineStr">
        <is>
          <t>Tactical Notes</t>
        </is>
      </c>
      <c r="B24" s="6" t="n"/>
      <c r="C24" s="6" t="n"/>
      <c r="D24" s="6" t="n"/>
      <c r="E24" s="6" t="n"/>
      <c r="F24" s="7" t="n"/>
    </row>
    <row r="25">
      <c r="A25" s="8" t="inlineStr">
        <is>
          <t>Flank maneuver. Vehicle charge. Burst-fire suppression.</t>
        </is>
      </c>
      <c r="B25" s="9" t="n"/>
      <c r="C25" s="9" t="n"/>
      <c r="D25" s="9" t="n"/>
      <c r="E25" s="9" t="n"/>
      <c r="F25" s="10" t="n"/>
    </row>
    <row r="26">
      <c r="A26" s="13" t="n"/>
      <c r="B26" s="14" t="n"/>
      <c r="C26" s="14" t="n"/>
      <c r="D26" s="14" t="n"/>
      <c r="E26" s="14" t="n"/>
      <c r="F26" s="15" t="n"/>
    </row>
  </sheetData>
  <mergeCells count="12">
    <mergeCell ref="A24:F24"/>
    <mergeCell ref="A2:F2"/>
    <mergeCell ref="A11:F11"/>
    <mergeCell ref="A1:F1"/>
    <mergeCell ref="A5:F5"/>
    <mergeCell ref="B4:D4"/>
    <mergeCell ref="A17:C17"/>
    <mergeCell ref="A21:F23"/>
    <mergeCell ref="A25:F26"/>
    <mergeCell ref="A20:F20"/>
    <mergeCell ref="A15:F15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Enemy: Ambush Squad Member (Ambush Squad)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Type</t>
        </is>
      </c>
      <c r="B3" s="5" t="inlineStr">
        <is>
          <t>Ambush Squad</t>
        </is>
      </c>
      <c r="C3" s="4" t="inlineStr">
        <is>
          <t>Difficulty</t>
        </is>
      </c>
      <c r="D3" s="5" t="inlineStr">
        <is>
          <t>★★★</t>
        </is>
      </c>
    </row>
    <row r="4">
      <c r="A4" s="4" t="inlineStr">
        <is>
          <t>Armor</t>
        </is>
      </c>
      <c r="B4" s="5" t="inlineStr">
        <is>
          <t>Level-2 Helmet + Level-1 Vest</t>
        </is>
      </c>
      <c r="C4" s="6" t="n"/>
      <c r="D4" s="7" t="n"/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14</v>
      </c>
      <c r="C6" s="5">
        <f>FLOOR.MATH((B6-10)/2)</f>
        <v/>
      </c>
    </row>
    <row r="7">
      <c r="A7" s="4" t="inlineStr">
        <is>
          <t>Physique (PHY)</t>
        </is>
      </c>
      <c r="B7" s="5" t="n">
        <v>12</v>
      </c>
      <c r="C7" s="5">
        <f>FLOOR.MATH((B7-10)/2)</f>
        <v/>
      </c>
    </row>
    <row r="8">
      <c r="A8" s="4" t="inlineStr">
        <is>
          <t>Tactics (TAC)</t>
        </is>
      </c>
      <c r="B8" s="5" t="n">
        <v>16</v>
      </c>
      <c r="C8" s="5">
        <f>FLOOR.MATH((B8-10)/2)</f>
        <v/>
      </c>
    </row>
    <row r="9">
      <c r="A9" s="4" t="inlineStr">
        <is>
          <t>Driving (DRV)</t>
        </is>
      </c>
      <c r="B9" s="5" t="n">
        <v>10</v>
      </c>
      <c r="C9" s="5">
        <f>FLOOR.MATH((B9-10)/2)</f>
        <v/>
      </c>
    </row>
    <row r="10">
      <c r="A10" s="4" t="inlineStr">
        <is>
          <t>Calm (CLM)</t>
        </is>
      </c>
      <c r="B10" s="5" t="n">
        <v>13</v>
      </c>
      <c r="C10" s="5">
        <f>FLOOR.MATH((B10-10)/2)</f>
        <v/>
      </c>
    </row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 (Estimated)</t>
        </is>
      </c>
      <c r="B12" s="5">
        <f>10+C7+4*(5+C7)</f>
        <v/>
      </c>
      <c r="C12" s="4" t="inlineStr">
        <is>
          <t>Initiative Bonus</t>
        </is>
      </c>
      <c r="D12" s="5">
        <f>C8+FLOOR.MATH(MAX(C6,0)/2)</f>
        <v/>
      </c>
    </row>
    <row r="13">
      <c r="A13" s="4" t="inlineStr">
        <is>
          <t>Hearing Range (m)</t>
        </is>
      </c>
      <c r="B13" s="5">
        <f>B8*10</f>
        <v/>
      </c>
      <c r="C13" s="4" t="inlineStr">
        <is>
          <t>Stress Threshold</t>
        </is>
      </c>
      <c r="D13" s="5">
        <f>B10*2+5</f>
        <v/>
      </c>
    </row>
    <row r="14"/>
    <row r="15">
      <c r="A15" s="2" t="inlineStr">
        <is>
          <t>Weapons</t>
        </is>
      </c>
      <c r="B15" s="6" t="n"/>
      <c r="C15" s="6" t="n"/>
      <c r="D15" s="6" t="n"/>
      <c r="E15" s="6" t="n"/>
      <c r="F15" s="7" t="n"/>
    </row>
    <row r="16">
      <c r="A16" s="5" t="inlineStr">
        <is>
          <t>Kar98k Sniper Rifle</t>
        </is>
      </c>
      <c r="B16" s="6" t="n"/>
      <c r="C16" s="7" t="n"/>
    </row>
    <row r="17">
      <c r="A17" s="5" t="inlineStr">
        <is>
          <t>MP5K SMG</t>
        </is>
      </c>
      <c r="B17" s="6" t="n"/>
      <c r="C17" s="7" t="n"/>
    </row>
    <row r="18">
      <c r="A18" s="5" t="inlineStr">
        <is>
          <t>Frag Grenade x3</t>
        </is>
      </c>
      <c r="B18" s="6" t="n"/>
      <c r="C18" s="7" t="n"/>
    </row>
    <row r="19"/>
    <row r="20"/>
    <row r="21">
      <c r="A21" s="2" t="inlineStr">
        <is>
          <t>AI Behavior Logic</t>
        </is>
      </c>
      <c r="B21" s="6" t="n"/>
      <c r="C21" s="6" t="n"/>
      <c r="D21" s="6" t="n"/>
      <c r="E21" s="6" t="n"/>
      <c r="F21" s="7" t="n"/>
    </row>
    <row r="22">
      <c r="A22" s="8" t="inlineStr">
        <is>
          <t>Behavior pattern: Ambushes on must-pass routes (bridgeheads, building entrances). First round fires at full force, focusing fire on the same target. Uses grenades to force targets out of cover.</t>
        </is>
      </c>
      <c r="B22" s="9" t="n"/>
      <c r="C22" s="9" t="n"/>
      <c r="D22" s="9" t="n"/>
      <c r="E22" s="9" t="n"/>
      <c r="F22" s="10" t="n"/>
    </row>
    <row r="23">
      <c r="A23" s="11" t="n"/>
      <c r="F23" s="12" t="n"/>
    </row>
    <row r="24">
      <c r="A24" s="13" t="n"/>
      <c r="B24" s="14" t="n"/>
      <c r="C24" s="14" t="n"/>
      <c r="D24" s="14" t="n"/>
      <c r="E24" s="14" t="n"/>
      <c r="F24" s="15" t="n"/>
    </row>
    <row r="25">
      <c r="A25" s="2" t="inlineStr">
        <is>
          <t>Tactical Notes</t>
        </is>
      </c>
      <c r="B25" s="6" t="n"/>
      <c r="C25" s="6" t="n"/>
      <c r="D25" s="6" t="n"/>
      <c r="E25" s="6" t="n"/>
      <c r="F25" s="7" t="n"/>
    </row>
    <row r="26">
      <c r="A26" s="8" t="inlineStr">
        <is>
          <t>Ambush focus-fire. Grenades block the path. Prioritize attacking vehicles.</t>
        </is>
      </c>
      <c r="B26" s="9" t="n"/>
      <c r="C26" s="9" t="n"/>
      <c r="D26" s="9" t="n"/>
      <c r="E26" s="9" t="n"/>
      <c r="F26" s="10" t="n"/>
    </row>
    <row r="27">
      <c r="A27" s="13" t="n"/>
      <c r="B27" s="14" t="n"/>
      <c r="C27" s="14" t="n"/>
      <c r="D27" s="14" t="n"/>
      <c r="E27" s="14" t="n"/>
      <c r="F27" s="15" t="n"/>
    </row>
  </sheetData>
  <mergeCells count="13">
    <mergeCell ref="A2:F2"/>
    <mergeCell ref="A11:F11"/>
    <mergeCell ref="A22:F24"/>
    <mergeCell ref="A1:F1"/>
    <mergeCell ref="A5:F5"/>
    <mergeCell ref="B4:D4"/>
    <mergeCell ref="A17:C17"/>
    <mergeCell ref="A18:C18"/>
    <mergeCell ref="A21:F21"/>
    <mergeCell ref="A26:F27"/>
    <mergeCell ref="A15:F15"/>
    <mergeCell ref="A16:C16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Enemy: Professional Squad Member (Professional Squad)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Type</t>
        </is>
      </c>
      <c r="B3" s="5" t="inlineStr">
        <is>
          <t>Professional Squad</t>
        </is>
      </c>
      <c r="C3" s="4" t="inlineStr">
        <is>
          <t>Difficulty</t>
        </is>
      </c>
      <c r="D3" s="5" t="inlineStr">
        <is>
          <t>★★★★</t>
        </is>
      </c>
    </row>
    <row r="4">
      <c r="A4" s="4" t="inlineStr">
        <is>
          <t>Armor</t>
        </is>
      </c>
      <c r="B4" s="5" t="inlineStr">
        <is>
          <t>Level-3 Helmet + Level-3 Vest</t>
        </is>
      </c>
      <c r="C4" s="6" t="n"/>
      <c r="D4" s="7" t="n"/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16</v>
      </c>
      <c r="C6" s="5">
        <f>FLOOR.MATH((B6-10)/2)</f>
        <v/>
      </c>
    </row>
    <row r="7">
      <c r="A7" s="4" t="inlineStr">
        <is>
          <t>Physique (PHY)</t>
        </is>
      </c>
      <c r="B7" s="5" t="n">
        <v>14</v>
      </c>
      <c r="C7" s="5">
        <f>FLOOR.MATH((B7-10)/2)</f>
        <v/>
      </c>
    </row>
    <row r="8">
      <c r="A8" s="4" t="inlineStr">
        <is>
          <t>Tactics (TAC)</t>
        </is>
      </c>
      <c r="B8" s="5" t="n">
        <v>15</v>
      </c>
      <c r="C8" s="5">
        <f>FLOOR.MATH((B8-10)/2)</f>
        <v/>
      </c>
    </row>
    <row r="9">
      <c r="A9" s="4" t="inlineStr">
        <is>
          <t>Driving (DRV)</t>
        </is>
      </c>
      <c r="B9" s="5" t="n">
        <v>13</v>
      </c>
      <c r="C9" s="5">
        <f>FLOOR.MATH((B9-10)/2)</f>
        <v/>
      </c>
    </row>
    <row r="10">
      <c r="A10" s="4" t="inlineStr">
        <is>
          <t>Calm (CLM)</t>
        </is>
      </c>
      <c r="B10" s="5" t="n">
        <v>14</v>
      </c>
      <c r="C10" s="5">
        <f>FLOOR.MATH((B10-10)/2)</f>
        <v/>
      </c>
    </row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 (Estimated)</t>
        </is>
      </c>
      <c r="B12" s="5">
        <f>10+C7+4*(5+C7)</f>
        <v/>
      </c>
      <c r="C12" s="4" t="inlineStr">
        <is>
          <t>Initiative Bonus</t>
        </is>
      </c>
      <c r="D12" s="5">
        <f>C8+FLOOR.MATH(MAX(C6,0)/2)</f>
        <v/>
      </c>
    </row>
    <row r="13">
      <c r="A13" s="4" t="inlineStr">
        <is>
          <t>Hearing Range (m)</t>
        </is>
      </c>
      <c r="B13" s="5">
        <f>B8*10</f>
        <v/>
      </c>
      <c r="C13" s="4" t="inlineStr">
        <is>
          <t>Stress Threshold</t>
        </is>
      </c>
      <c r="D13" s="5">
        <f>B10*2+5</f>
        <v/>
      </c>
    </row>
    <row r="14"/>
    <row r="15">
      <c r="A15" s="2" t="inlineStr">
        <is>
          <t>Weapons</t>
        </is>
      </c>
      <c r="B15" s="6" t="n"/>
      <c r="C15" s="6" t="n"/>
      <c r="D15" s="6" t="n"/>
      <c r="E15" s="6" t="n"/>
      <c r="F15" s="7" t="n"/>
    </row>
    <row r="16">
      <c r="A16" s="5" t="inlineStr">
        <is>
          <t>M416 (Fully Kitted)</t>
        </is>
      </c>
      <c r="B16" s="6" t="n"/>
      <c r="C16" s="7" t="n"/>
    </row>
    <row r="17">
      <c r="A17" s="5" t="inlineStr">
        <is>
          <t>M24 Sniper Rifle + Suppressor</t>
        </is>
      </c>
      <c r="B17" s="6" t="n"/>
      <c r="C17" s="7" t="n"/>
    </row>
    <row r="18"/>
    <row r="19"/>
    <row r="20">
      <c r="A20" s="2" t="inlineStr">
        <is>
          <t>AI Behavior Logic</t>
        </is>
      </c>
      <c r="B20" s="6" t="n"/>
      <c r="C20" s="6" t="n"/>
      <c r="D20" s="6" t="n"/>
      <c r="E20" s="6" t="n"/>
      <c r="F20" s="7" t="n"/>
    </row>
    <row r="21">
      <c r="A21" s="8" t="inlineStr">
        <is>
          <t>Behavior pattern: Front-line tank (Lvl-3 vest + LMG), back-line sniper (Lvl-3 helmet + suppressed SR), support/logistics (smoke + medical + grenades). Precisely calculates Circle-shrink timing. Optimally allocates resources.</t>
        </is>
      </c>
      <c r="B21" s="9" t="n"/>
      <c r="C21" s="9" t="n"/>
      <c r="D21" s="9" t="n"/>
      <c r="E21" s="9" t="n"/>
      <c r="F21" s="10" t="n"/>
    </row>
    <row r="22">
      <c r="A22" s="11" t="n"/>
      <c r="F22" s="12" t="n"/>
    </row>
    <row r="23">
      <c r="A23" s="13" t="n"/>
      <c r="B23" s="14" t="n"/>
      <c r="C23" s="14" t="n"/>
      <c r="D23" s="14" t="n"/>
      <c r="E23" s="14" t="n"/>
      <c r="F23" s="15" t="n"/>
    </row>
    <row r="24">
      <c r="A24" s="2" t="inlineStr">
        <is>
          <t>Tactical Notes</t>
        </is>
      </c>
      <c r="B24" s="6" t="n"/>
      <c r="C24" s="6" t="n"/>
      <c r="D24" s="6" t="n"/>
      <c r="E24" s="6" t="n"/>
      <c r="F24" s="7" t="n"/>
    </row>
    <row r="25">
      <c r="A25" s="8" t="inlineStr">
        <is>
          <t>Front line marks → back line focus-fires. Vehicles relocate as a group. Attacks the moment you reload.</t>
        </is>
      </c>
      <c r="B25" s="9" t="n"/>
      <c r="C25" s="9" t="n"/>
      <c r="D25" s="9" t="n"/>
      <c r="E25" s="9" t="n"/>
      <c r="F25" s="10" t="n"/>
    </row>
    <row r="26">
      <c r="A26" s="13" t="n"/>
      <c r="B26" s="14" t="n"/>
      <c r="C26" s="14" t="n"/>
      <c r="D26" s="14" t="n"/>
      <c r="E26" s="14" t="n"/>
      <c r="F26" s="15" t="n"/>
    </row>
  </sheetData>
  <mergeCells count="12">
    <mergeCell ref="A24:F24"/>
    <mergeCell ref="A2:F2"/>
    <mergeCell ref="A11:F11"/>
    <mergeCell ref="A1:F1"/>
    <mergeCell ref="A5:F5"/>
    <mergeCell ref="B4:D4"/>
    <mergeCell ref="A17:C17"/>
    <mergeCell ref="A21:F23"/>
    <mergeCell ref="A25:F26"/>
    <mergeCell ref="A20:F20"/>
    <mergeCell ref="A15:F15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</cols>
  <sheetData>
    <row r="1">
      <c r="A1" s="1" t="inlineStr">
        <is>
          <t>Enemy: Champion-Tier (Champion Tier)</t>
        </is>
      </c>
      <c r="B1" s="6" t="n"/>
      <c r="C1" s="6" t="n"/>
      <c r="D1" s="6" t="n"/>
      <c r="E1" s="6" t="n"/>
      <c r="F1" s="7" t="n"/>
    </row>
    <row r="2">
      <c r="A2" s="2" t="inlineStr">
        <is>
          <t>Basic Info</t>
        </is>
      </c>
      <c r="B2" s="6" t="n"/>
      <c r="C2" s="6" t="n"/>
      <c r="D2" s="6" t="n"/>
      <c r="E2" s="6" t="n"/>
      <c r="F2" s="7" t="n"/>
    </row>
    <row r="3">
      <c r="A3" s="4" t="inlineStr">
        <is>
          <t>Type</t>
        </is>
      </c>
      <c r="B3" s="5" t="inlineStr">
        <is>
          <t>Champion Tier</t>
        </is>
      </c>
      <c r="C3" s="4" t="inlineStr">
        <is>
          <t>Difficulty</t>
        </is>
      </c>
      <c r="D3" s="5" t="inlineStr">
        <is>
          <t>★★★★★</t>
        </is>
      </c>
    </row>
    <row r="4">
      <c r="A4" s="4" t="inlineStr">
        <is>
          <t>Armor</t>
        </is>
      </c>
      <c r="B4" s="5" t="inlineStr">
        <is>
          <t>Level-3 Helmet + Level-3 Vest</t>
        </is>
      </c>
      <c r="C4" s="6" t="n"/>
      <c r="D4" s="7" t="n"/>
    </row>
    <row r="5">
      <c r="A5" s="2" t="inlineStr">
        <is>
          <t>Attributes</t>
        </is>
      </c>
      <c r="B5" s="6" t="n"/>
      <c r="C5" s="6" t="n"/>
      <c r="D5" s="6" t="n"/>
      <c r="E5" s="6" t="n"/>
      <c r="F5" s="7" t="n"/>
    </row>
    <row r="6">
      <c r="A6" s="4" t="inlineStr">
        <is>
          <t>Aim (AIM)</t>
        </is>
      </c>
      <c r="B6" s="5" t="n">
        <v>18</v>
      </c>
      <c r="C6" s="5">
        <f>FLOOR.MATH((B6-10)/2)</f>
        <v/>
      </c>
    </row>
    <row r="7">
      <c r="A7" s="4" t="inlineStr">
        <is>
          <t>Physique (PHY)</t>
        </is>
      </c>
      <c r="B7" s="5" t="n">
        <v>16</v>
      </c>
      <c r="C7" s="5">
        <f>FLOOR.MATH((B7-10)/2)</f>
        <v/>
      </c>
    </row>
    <row r="8">
      <c r="A8" s="4" t="inlineStr">
        <is>
          <t>Tactics (TAC)</t>
        </is>
      </c>
      <c r="B8" s="5" t="n">
        <v>17</v>
      </c>
      <c r="C8" s="5">
        <f>FLOOR.MATH((B8-10)/2)</f>
        <v/>
      </c>
    </row>
    <row r="9">
      <c r="A9" s="4" t="inlineStr">
        <is>
          <t>Driving (DRV)</t>
        </is>
      </c>
      <c r="B9" s="5" t="n">
        <v>14</v>
      </c>
      <c r="C9" s="5">
        <f>FLOOR.MATH((B9-10)/2)</f>
        <v/>
      </c>
    </row>
    <row r="10">
      <c r="A10" s="4" t="inlineStr">
        <is>
          <t>Calm (CLM)</t>
        </is>
      </c>
      <c r="B10" s="5" t="n">
        <v>18</v>
      </c>
      <c r="C10" s="5">
        <f>FLOOR.MATH((B10-10)/2)</f>
        <v/>
      </c>
    </row>
    <row r="11">
      <c r="A11" s="2" t="inlineStr">
        <is>
          <t>Derived Stats</t>
        </is>
      </c>
      <c r="B11" s="6" t="n"/>
      <c r="C11" s="6" t="n"/>
      <c r="D11" s="6" t="n"/>
      <c r="E11" s="6" t="n"/>
      <c r="F11" s="7" t="n"/>
    </row>
    <row r="12">
      <c r="A12" s="4" t="inlineStr">
        <is>
          <t>HP (Estimated)</t>
        </is>
      </c>
      <c r="B12" s="5">
        <f>10+C7+4*(5+C7)</f>
        <v/>
      </c>
      <c r="C12" s="4" t="inlineStr">
        <is>
          <t>Initiative Bonus</t>
        </is>
      </c>
      <c r="D12" s="5">
        <f>C8+FLOOR.MATH(MAX(C6,0)/2)</f>
        <v/>
      </c>
    </row>
    <row r="13">
      <c r="A13" s="4" t="inlineStr">
        <is>
          <t>Hearing Range (m)</t>
        </is>
      </c>
      <c r="B13" s="5">
        <f>B8*10</f>
        <v/>
      </c>
      <c r="C13" s="4" t="inlineStr">
        <is>
          <t>Stress Threshold</t>
        </is>
      </c>
      <c r="D13" s="5">
        <f>B10*2+5</f>
        <v/>
      </c>
    </row>
    <row r="14"/>
    <row r="15">
      <c r="A15" s="2" t="inlineStr">
        <is>
          <t>Weapons</t>
        </is>
      </c>
      <c r="B15" s="6" t="n"/>
      <c r="C15" s="6" t="n"/>
      <c r="D15" s="6" t="n"/>
      <c r="E15" s="6" t="n"/>
      <c r="F15" s="7" t="n"/>
    </row>
    <row r="16">
      <c r="A16" s="5" t="inlineStr">
        <is>
          <t>AWM Sniper Rifle + 8x Scope</t>
        </is>
      </c>
      <c r="B16" s="6" t="n"/>
      <c r="C16" s="7" t="n"/>
    </row>
    <row r="17">
      <c r="A17" s="5" t="inlineStr">
        <is>
          <t>AUG Assault Rifle</t>
        </is>
      </c>
      <c r="B17" s="6" t="n"/>
      <c r="C17" s="7" t="n"/>
    </row>
    <row r="18">
      <c r="A18" s="5" t="inlineStr">
        <is>
          <t>Desert Eagle</t>
        </is>
      </c>
      <c r="B18" s="6" t="n"/>
      <c r="C18" s="7" t="n"/>
    </row>
    <row r="19"/>
    <row r="20"/>
    <row r="21">
      <c r="A21" s="2" t="inlineStr">
        <is>
          <t>AI Behavior Logic</t>
        </is>
      </c>
      <c r="B21" s="6" t="n"/>
      <c r="C21" s="6" t="n"/>
      <c r="D21" s="6" t="n"/>
      <c r="E21" s="6" t="n"/>
      <c r="F21" s="7" t="n"/>
    </row>
    <row r="22">
      <c r="A22" s="8" t="inlineStr">
        <is>
          <t>Behavior pattern: 'I foresee every step you take.' May wait on your must-pass route, dash out of cover the moment you reload, or charge the instant you pull the pin to throw a grenade. Weakness: overconfidence — takes high-risk actions.</t>
        </is>
      </c>
      <c r="B22" s="9" t="n"/>
      <c r="C22" s="9" t="n"/>
      <c r="D22" s="9" t="n"/>
      <c r="E22" s="9" t="n"/>
      <c r="F22" s="10" t="n"/>
    </row>
    <row r="23">
      <c r="A23" s="11" t="n"/>
      <c r="F23" s="12" t="n"/>
    </row>
    <row r="24">
      <c r="A24" s="13" t="n"/>
      <c r="B24" s="14" t="n"/>
      <c r="C24" s="14" t="n"/>
      <c r="D24" s="14" t="n"/>
      <c r="E24" s="14" t="n"/>
      <c r="F24" s="15" t="n"/>
    </row>
    <row r="25">
      <c r="A25" s="2" t="inlineStr">
        <is>
          <t>Tactical Notes</t>
        </is>
      </c>
      <c r="B25" s="6" t="n"/>
      <c r="C25" s="6" t="n"/>
      <c r="D25" s="6" t="n"/>
      <c r="E25" s="6" t="n"/>
      <c r="F25" s="7" t="n"/>
    </row>
    <row r="26">
      <c r="A26" s="8" t="inlineStr">
        <is>
          <t>Perfect prediction. Psychological pressure. Exploits every environmental factor.</t>
        </is>
      </c>
      <c r="B26" s="9" t="n"/>
      <c r="C26" s="9" t="n"/>
      <c r="D26" s="9" t="n"/>
      <c r="E26" s="9" t="n"/>
      <c r="F26" s="10" t="n"/>
    </row>
    <row r="27">
      <c r="A27" s="13" t="n"/>
      <c r="B27" s="14" t="n"/>
      <c r="C27" s="14" t="n"/>
      <c r="D27" s="14" t="n"/>
      <c r="E27" s="14" t="n"/>
      <c r="F27" s="15" t="n"/>
    </row>
  </sheetData>
  <mergeCells count="13">
    <mergeCell ref="A2:F2"/>
    <mergeCell ref="A11:F11"/>
    <mergeCell ref="A22:F24"/>
    <mergeCell ref="A1:F1"/>
    <mergeCell ref="A5:F5"/>
    <mergeCell ref="B4:D4"/>
    <mergeCell ref="A17:C17"/>
    <mergeCell ref="A18:C18"/>
    <mergeCell ref="A21:F21"/>
    <mergeCell ref="A26:F27"/>
    <mergeCell ref="A15:F15"/>
    <mergeCell ref="A16:C16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2026-07-13T05:46:49Z</dcterms:created>
  <dcterms:modified xsi:type="dcterms:W3CDTF">2026-08-11T06:44:47Z</dcterms:modified>
</cp:coreProperties>
</file>