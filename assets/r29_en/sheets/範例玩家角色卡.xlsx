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on Wall" sheetId="1" state="visible" r:id="rId1"/>
    <sheet name="Angel" sheetId="2" state="visible" r:id="rId2"/>
    <sheet name="Lone Wolf" sheetId="3" state="visible" r:id="rId3"/>
    <sheet name="Lightning" sheetId="4" state="visible" r:id="rId4"/>
    <sheet name="Wre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Last Stand TRPG — Example Character: Veteran Example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6" t="n"/>
      <c r="G2" s="6" t="n"/>
      <c r="H2" s="7" t="n"/>
    </row>
    <row r="3">
      <c r="A3" s="4" t="inlineStr">
        <is>
          <t>Character Name</t>
        </is>
      </c>
      <c r="B3" s="5" t="inlineStr">
        <is>
          <t>Veteran Example</t>
        </is>
      </c>
      <c r="C3" s="4" t="inlineStr">
        <is>
          <t>Codename</t>
        </is>
      </c>
      <c r="D3" s="5" t="inlineStr">
        <is>
          <t>Iron Wall</t>
        </is>
      </c>
      <c r="E3" s="4" t="inlineStr">
        <is>
          <t>Level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Background</t>
        </is>
      </c>
      <c r="B4" s="5" t="inlineStr">
        <is>
          <t>Veteran (AIM+2, TAC+1)</t>
        </is>
      </c>
      <c r="C4" s="6" t="n"/>
      <c r="D4" s="7" t="n"/>
    </row>
    <row r="5">
      <c r="A5" s="2" t="inlineStr">
        <is>
          <t>Core Attributes</t>
        </is>
      </c>
      <c r="B5" s="6" t="n"/>
      <c r="C5" s="6" t="n"/>
      <c r="D5" s="6" t="n"/>
      <c r="E5" s="6" t="n"/>
      <c r="F5" s="6" t="n"/>
      <c r="G5" s="6" t="n"/>
      <c r="H5" s="7" t="n"/>
    </row>
    <row r="6">
      <c r="A6" s="4" t="inlineStr">
        <is>
          <t>Attributes</t>
        </is>
      </c>
      <c r="C6" s="4" t="inlineStr">
        <is>
          <t>Value</t>
        </is>
      </c>
      <c r="E6" s="4" t="inlineStr">
        <is>
          <t>Bonus</t>
        </is>
      </c>
    </row>
    <row r="7">
      <c r="A7" s="4" t="inlineStr">
        <is>
          <t>Aim (AIM)</t>
        </is>
      </c>
      <c r="C7" s="5" t="n">
        <v>17</v>
      </c>
      <c r="E7" s="5">
        <f>FLOOR.MATH((C7-10)/2)</f>
        <v/>
      </c>
    </row>
    <row r="8">
      <c r="A8" s="4" t="inlineStr">
        <is>
          <t>Physique (PHY)</t>
        </is>
      </c>
      <c r="C8" s="5" t="n">
        <v>13</v>
      </c>
      <c r="E8" s="5">
        <f>FLOOR.MATH((C8-10)/2)</f>
        <v/>
      </c>
    </row>
    <row r="9">
      <c r="A9" s="4" t="inlineStr">
        <is>
          <t>Tactics (TAC)</t>
        </is>
      </c>
      <c r="C9" s="5" t="n">
        <v>15</v>
      </c>
      <c r="E9" s="5">
        <f>FLOOR.MATH((C9-10)/2)</f>
        <v/>
      </c>
    </row>
    <row r="10">
      <c r="A10" s="4" t="inlineStr">
        <is>
          <t>Driving (DRV)</t>
        </is>
      </c>
      <c r="C10" s="5" t="n">
        <v>10</v>
      </c>
      <c r="E10" s="5">
        <f>FLOOR.MATH((C10-10)/2)</f>
        <v/>
      </c>
    </row>
    <row r="11">
      <c r="A11" s="4" t="inlineStr">
        <is>
          <t>Calm (CLM)</t>
        </is>
      </c>
      <c r="C11" s="5" t="n">
        <v>12</v>
      </c>
      <c r="E11" s="5">
        <f>FLOOR.MATH((C11-10)/2)</f>
        <v/>
      </c>
    </row>
    <row r="12">
      <c r="A12" s="2" t="inlineStr">
        <is>
          <t>Derived Stats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4" t="inlineStr">
        <is>
          <t>Hit Points (HP)</t>
        </is>
      </c>
      <c r="B13" s="5" t="n">
        <v>11</v>
      </c>
      <c r="C13" s="4" t="inlineStr">
        <is>
          <t>Carry Capacity (kg)</t>
        </is>
      </c>
      <c r="D13" s="5">
        <f>C8*3+5</f>
        <v/>
      </c>
      <c r="E13" s="4" t="inlineStr">
        <is>
          <t>Initiative Bonus</t>
        </is>
      </c>
      <c r="F13" s="5">
        <f>E9+FLOOR.MATH(MAX(E7,0)/2)</f>
        <v/>
      </c>
      <c r="G13" s="4" t="inlineStr">
        <is>
          <t>Hearing Range (m)</t>
        </is>
      </c>
      <c r="H13" s="5">
        <f>C9*10</f>
        <v/>
      </c>
    </row>
    <row r="14">
      <c r="A14" s="4" t="inlineStr">
        <is>
          <t>Stress Threshold</t>
        </is>
      </c>
      <c r="B14" s="5">
        <f>C11*2+5</f>
        <v/>
      </c>
      <c r="C14" s="4" t="inlineStr">
        <is>
          <t>Proficiency Bonus (PB)</t>
        </is>
      </c>
      <c r="D14" s="5" t="n">
        <v>2</v>
      </c>
      <c r="E14" s="4" t="inlineStr">
        <is>
          <t>Movement Speed</t>
        </is>
      </c>
      <c r="F14" s="5" t="n">
        <v>30</v>
      </c>
    </row>
    <row r="15"/>
    <row r="16">
      <c r="A16" s="2" t="inlineStr">
        <is>
          <t>Weapons &amp; Equipment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4" t="inlineStr">
        <is>
          <t>Weapon 1</t>
        </is>
      </c>
      <c r="B17" s="5" t="inlineStr">
        <is>
          <t>M16A4 Assault Rifle</t>
        </is>
      </c>
      <c r="C17" s="6" t="n"/>
      <c r="D17" s="6" t="n"/>
      <c r="E17" s="7" t="n"/>
    </row>
    <row r="18">
      <c r="A18" s="4" t="inlineStr">
        <is>
          <t>Weapon 2</t>
        </is>
      </c>
      <c r="B18" s="5" t="inlineStr">
        <is>
          <t>P92 Pistol</t>
        </is>
      </c>
      <c r="C18" s="6" t="n"/>
      <c r="D18" s="6" t="n"/>
      <c r="E18" s="7" t="n"/>
    </row>
    <row r="19"/>
    <row r="20">
      <c r="A20" s="4" t="inlineStr">
        <is>
          <t>Helmet</t>
        </is>
      </c>
      <c r="B20" s="5" t="inlineStr">
        <is>
          <t>Level-2 Helmet</t>
        </is>
      </c>
      <c r="C20" s="4" t="inlineStr">
        <is>
          <t>Vest</t>
        </is>
      </c>
      <c r="D20" s="5" t="inlineStr">
        <is>
          <t>Level-2 Vest</t>
        </is>
      </c>
    </row>
    <row r="21"/>
    <row r="22">
      <c r="A22" s="2" t="inlineStr">
        <is>
          <t>Feats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5" t="inlineStr">
        <is>
          <t>Rifle Specialization (G1)</t>
        </is>
      </c>
      <c r="B23" s="6" t="n"/>
      <c r="C23" s="6" t="n"/>
      <c r="D23" s="7" t="n"/>
    </row>
    <row r="24"/>
    <row r="25"/>
    <row r="26">
      <c r="A26" s="2" t="inlineStr">
        <is>
          <t>Skill Proficiencies</t>
        </is>
      </c>
      <c r="B26" s="6" t="n"/>
      <c r="C26" s="6" t="n"/>
      <c r="D26" s="6" t="n"/>
      <c r="E26" s="6" t="n"/>
      <c r="F26" s="6" t="n"/>
      <c r="G26" s="6" t="n"/>
      <c r="H26" s="7" t="n"/>
    </row>
    <row r="27">
      <c r="A27" s="5" t="inlineStr">
        <is>
          <t>Rifle ✓</t>
        </is>
      </c>
      <c r="B27" s="6" t="n"/>
      <c r="C27" s="7" t="n"/>
    </row>
    <row r="28">
      <c r="A28" s="5" t="inlineStr">
        <is>
          <t>Sniper ✓</t>
        </is>
      </c>
      <c r="B28" s="6" t="n"/>
      <c r="C28" s="7" t="n"/>
    </row>
    <row r="29">
      <c r="A29" s="5" t="inlineStr">
        <is>
          <t>Tactical Command ✓</t>
        </is>
      </c>
      <c r="B29" s="6" t="n"/>
      <c r="C29" s="7" t="n"/>
    </row>
    <row r="30">
      <c r="A30" s="5" t="inlineStr">
        <is>
          <t>First Strike ✓</t>
        </is>
      </c>
      <c r="B30" s="6" t="n"/>
      <c r="C30" s="7" t="n"/>
    </row>
    <row r="31"/>
    <row r="32"/>
    <row r="33">
      <c r="A33" s="2" t="inlineStr">
        <is>
          <t>Backstory</t>
        </is>
      </c>
      <c r="B33" s="6" t="n"/>
      <c r="C33" s="6" t="n"/>
      <c r="D33" s="6" t="n"/>
      <c r="E33" s="6" t="n"/>
      <c r="F33" s="6" t="n"/>
      <c r="G33" s="6" t="n"/>
      <c r="H33" s="7" t="n"/>
    </row>
    <row r="34">
      <c r="A34" s="8" t="inlineStr">
        <is>
          <t>Former army sergeant. After retirement he couldn't find his place — until he came here. The gunfire makes him feel like he's home.</t>
        </is>
      </c>
      <c r="B34" s="9" t="n"/>
      <c r="C34" s="9" t="n"/>
      <c r="D34" s="9" t="n"/>
      <c r="E34" s="9" t="n"/>
      <c r="F34" s="9" t="n"/>
      <c r="G34" s="9" t="n"/>
      <c r="H34" s="10" t="n"/>
    </row>
    <row r="35">
      <c r="A35" s="11" t="n"/>
      <c r="H35" s="12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</sheetData>
  <mergeCells count="17">
    <mergeCell ref="A12:H12"/>
    <mergeCell ref="A28:C28"/>
    <mergeCell ref="A23:D23"/>
    <mergeCell ref="B18:E18"/>
    <mergeCell ref="B17:E17"/>
    <mergeCell ref="A26:H26"/>
    <mergeCell ref="A34:H36"/>
    <mergeCell ref="A1:H1"/>
    <mergeCell ref="A2:H2"/>
    <mergeCell ref="A16:H16"/>
    <mergeCell ref="B4:D4"/>
    <mergeCell ref="A27:C27"/>
    <mergeCell ref="A33:H33"/>
    <mergeCell ref="A30:C30"/>
    <mergeCell ref="A5:H5"/>
    <mergeCell ref="A29:C29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Last Stand TRPG — Example Character: Medic Example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6" t="n"/>
      <c r="G2" s="6" t="n"/>
      <c r="H2" s="7" t="n"/>
    </row>
    <row r="3">
      <c r="A3" s="4" t="inlineStr">
        <is>
          <t>Character Name</t>
        </is>
      </c>
      <c r="B3" s="5" t="inlineStr">
        <is>
          <t>Medic Example</t>
        </is>
      </c>
      <c r="C3" s="4" t="inlineStr">
        <is>
          <t>Codename</t>
        </is>
      </c>
      <c r="D3" s="5" t="inlineStr">
        <is>
          <t>Angel</t>
        </is>
      </c>
      <c r="E3" s="4" t="inlineStr">
        <is>
          <t>Level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Background</t>
        </is>
      </c>
      <c r="B4" s="5" t="inlineStr">
        <is>
          <t>Medic (CLM+2)</t>
        </is>
      </c>
      <c r="C4" s="6" t="n"/>
      <c r="D4" s="7" t="n"/>
    </row>
    <row r="5">
      <c r="A5" s="2" t="inlineStr">
        <is>
          <t>Core Attributes</t>
        </is>
      </c>
      <c r="B5" s="6" t="n"/>
      <c r="C5" s="6" t="n"/>
      <c r="D5" s="6" t="n"/>
      <c r="E5" s="6" t="n"/>
      <c r="F5" s="6" t="n"/>
      <c r="G5" s="6" t="n"/>
      <c r="H5" s="7" t="n"/>
    </row>
    <row r="6">
      <c r="A6" s="4" t="inlineStr">
        <is>
          <t>Attributes</t>
        </is>
      </c>
      <c r="C6" s="4" t="inlineStr">
        <is>
          <t>Value</t>
        </is>
      </c>
      <c r="E6" s="4" t="inlineStr">
        <is>
          <t>Bonus</t>
        </is>
      </c>
    </row>
    <row r="7">
      <c r="A7" s="4" t="inlineStr">
        <is>
          <t>Aim (AIM)</t>
        </is>
      </c>
      <c r="C7" s="5" t="n">
        <v>14</v>
      </c>
      <c r="E7" s="5">
        <f>FLOOR.MATH((C7-10)/2)</f>
        <v/>
      </c>
    </row>
    <row r="8">
      <c r="A8" s="4" t="inlineStr">
        <is>
          <t>Physique (PHY)</t>
        </is>
      </c>
      <c r="C8" s="5" t="n">
        <v>12</v>
      </c>
      <c r="E8" s="5">
        <f>FLOOR.MATH((C8-10)/2)</f>
        <v/>
      </c>
    </row>
    <row r="9">
      <c r="A9" s="4" t="inlineStr">
        <is>
          <t>Tactics (TAC)</t>
        </is>
      </c>
      <c r="C9" s="5" t="n">
        <v>13</v>
      </c>
      <c r="E9" s="5">
        <f>FLOOR.MATH((C9-10)/2)</f>
        <v/>
      </c>
    </row>
    <row r="10">
      <c r="A10" s="4" t="inlineStr">
        <is>
          <t>Driving (DRV)</t>
        </is>
      </c>
      <c r="C10" s="5" t="n">
        <v>10</v>
      </c>
      <c r="E10" s="5">
        <f>FLOOR.MATH((C10-10)/2)</f>
        <v/>
      </c>
    </row>
    <row r="11">
      <c r="A11" s="4" t="inlineStr">
        <is>
          <t>Calm (CLM)</t>
        </is>
      </c>
      <c r="C11" s="5" t="n">
        <v>17</v>
      </c>
      <c r="E11" s="5">
        <f>FLOOR.MATH((C11-10)/2)</f>
        <v/>
      </c>
    </row>
    <row r="12">
      <c r="A12" s="2" t="inlineStr">
        <is>
          <t>Derived Stats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4" t="inlineStr">
        <is>
          <t>Hit Points (HP)</t>
        </is>
      </c>
      <c r="B13" s="5" t="n">
        <v>11</v>
      </c>
      <c r="C13" s="4" t="inlineStr">
        <is>
          <t>Carry Capacity (kg)</t>
        </is>
      </c>
      <c r="D13" s="5">
        <f>C8*3+5</f>
        <v/>
      </c>
      <c r="E13" s="4" t="inlineStr">
        <is>
          <t>Initiative Bonus</t>
        </is>
      </c>
      <c r="F13" s="5">
        <f>E9+FLOOR.MATH(MAX(E7,0)/2)</f>
        <v/>
      </c>
      <c r="G13" s="4" t="inlineStr">
        <is>
          <t>Hearing Range (m)</t>
        </is>
      </c>
      <c r="H13" s="5">
        <f>C9*10</f>
        <v/>
      </c>
    </row>
    <row r="14">
      <c r="A14" s="4" t="inlineStr">
        <is>
          <t>Stress Threshold</t>
        </is>
      </c>
      <c r="B14" s="5">
        <f>C11*2+5</f>
        <v/>
      </c>
      <c r="C14" s="4" t="inlineStr">
        <is>
          <t>Proficiency Bonus (PB)</t>
        </is>
      </c>
      <c r="D14" s="5" t="n">
        <v>2</v>
      </c>
      <c r="E14" s="4" t="inlineStr">
        <is>
          <t>Movement Speed</t>
        </is>
      </c>
      <c r="F14" s="5" t="n">
        <v>30</v>
      </c>
    </row>
    <row r="15"/>
    <row r="16">
      <c r="A16" s="2" t="inlineStr">
        <is>
          <t>Weapons &amp; Equipment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4" t="inlineStr">
        <is>
          <t>Weapon 1</t>
        </is>
      </c>
      <c r="B17" s="5" t="inlineStr">
        <is>
          <t>MP5K SMG</t>
        </is>
      </c>
      <c r="C17" s="6" t="n"/>
      <c r="D17" s="6" t="n"/>
      <c r="E17" s="7" t="n"/>
    </row>
    <row r="18">
      <c r="A18" s="4" t="inlineStr">
        <is>
          <t>Weapon 2</t>
        </is>
      </c>
      <c r="B18" s="5" t="inlineStr">
        <is>
          <t>P92 Pistol</t>
        </is>
      </c>
      <c r="C18" s="6" t="n"/>
      <c r="D18" s="6" t="n"/>
      <c r="E18" s="7" t="n"/>
    </row>
    <row r="19"/>
    <row r="20">
      <c r="A20" s="4" t="inlineStr">
        <is>
          <t>Helmet</t>
        </is>
      </c>
      <c r="B20" s="5" t="inlineStr">
        <is>
          <t>Level-1 Helmet</t>
        </is>
      </c>
      <c r="C20" s="4" t="inlineStr">
        <is>
          <t>Vest</t>
        </is>
      </c>
      <c r="D20" s="5" t="inlineStr">
        <is>
          <t>Level-1 Vest</t>
        </is>
      </c>
    </row>
    <row r="21"/>
    <row r="22">
      <c r="A22" s="2" t="inlineStr">
        <is>
          <t>Feats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5" t="inlineStr">
        <is>
          <t>Potent Medicine (S2)</t>
        </is>
      </c>
      <c r="B23" s="6" t="n"/>
      <c r="C23" s="6" t="n"/>
      <c r="D23" s="7" t="n"/>
    </row>
    <row r="24"/>
    <row r="25"/>
    <row r="26">
      <c r="A26" s="2" t="inlineStr">
        <is>
          <t>Skill Proficiencies</t>
        </is>
      </c>
      <c r="B26" s="6" t="n"/>
      <c r="C26" s="6" t="n"/>
      <c r="D26" s="6" t="n"/>
      <c r="E26" s="6" t="n"/>
      <c r="F26" s="6" t="n"/>
      <c r="G26" s="6" t="n"/>
      <c r="H26" s="7" t="n"/>
    </row>
    <row r="27">
      <c r="A27" s="5" t="inlineStr">
        <is>
          <t>First Aid ✓</t>
        </is>
      </c>
      <c r="B27" s="6" t="n"/>
      <c r="C27" s="7" t="n"/>
    </row>
    <row r="28">
      <c r="A28" s="5" t="inlineStr">
        <is>
          <t>Stress Resistance ✓</t>
        </is>
      </c>
      <c r="B28" s="6" t="n"/>
      <c r="C28" s="7" t="n"/>
    </row>
    <row r="29">
      <c r="A29" s="5" t="inlineStr">
        <is>
          <t>Ambush Reaction ✓</t>
        </is>
      </c>
      <c r="B29" s="6" t="n"/>
      <c r="C29" s="7" t="n"/>
    </row>
    <row r="30">
      <c r="A30" s="5" t="inlineStr">
        <is>
          <t>Perception ✓</t>
        </is>
      </c>
      <c r="B30" s="6" t="n"/>
      <c r="C30" s="7" t="n"/>
    </row>
    <row r="31"/>
    <row r="32"/>
    <row r="33">
      <c r="A33" s="2" t="inlineStr">
        <is>
          <t>Backstory</t>
        </is>
      </c>
      <c r="B33" s="6" t="n"/>
      <c r="C33" s="6" t="n"/>
      <c r="D33" s="6" t="n"/>
      <c r="E33" s="6" t="n"/>
      <c r="F33" s="6" t="n"/>
      <c r="G33" s="6" t="n"/>
      <c r="H33" s="7" t="n"/>
    </row>
    <row r="34">
      <c r="A34" s="8" t="inlineStr">
        <is>
          <t>A battlefield surgeon. She has seen too much death — yet she never gives up on any patient. Including herself.</t>
        </is>
      </c>
      <c r="B34" s="9" t="n"/>
      <c r="C34" s="9" t="n"/>
      <c r="D34" s="9" t="n"/>
      <c r="E34" s="9" t="n"/>
      <c r="F34" s="9" t="n"/>
      <c r="G34" s="9" t="n"/>
      <c r="H34" s="10" t="n"/>
    </row>
    <row r="35">
      <c r="A35" s="11" t="n"/>
      <c r="H35" s="12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</sheetData>
  <mergeCells count="17">
    <mergeCell ref="A12:H12"/>
    <mergeCell ref="A28:C28"/>
    <mergeCell ref="A23:D23"/>
    <mergeCell ref="B18:E18"/>
    <mergeCell ref="B17:E17"/>
    <mergeCell ref="A26:H26"/>
    <mergeCell ref="A34:H36"/>
    <mergeCell ref="A1:H1"/>
    <mergeCell ref="A2:H2"/>
    <mergeCell ref="A16:H16"/>
    <mergeCell ref="B4:D4"/>
    <mergeCell ref="A27:C27"/>
    <mergeCell ref="A33:H33"/>
    <mergeCell ref="A30:C30"/>
    <mergeCell ref="A5:H5"/>
    <mergeCell ref="A29:C29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Last Stand TRPG — Example Character: Hunter Example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6" t="n"/>
      <c r="G2" s="6" t="n"/>
      <c r="H2" s="7" t="n"/>
    </row>
    <row r="3">
      <c r="A3" s="4" t="inlineStr">
        <is>
          <t>Character Name</t>
        </is>
      </c>
      <c r="B3" s="5" t="inlineStr">
        <is>
          <t>Hunter Example</t>
        </is>
      </c>
      <c r="C3" s="4" t="inlineStr">
        <is>
          <t>Codename</t>
        </is>
      </c>
      <c r="D3" s="5" t="inlineStr">
        <is>
          <t>Lone Wolf</t>
        </is>
      </c>
      <c r="E3" s="4" t="inlineStr">
        <is>
          <t>Level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Background</t>
        </is>
      </c>
      <c r="B4" s="5" t="inlineStr">
        <is>
          <t>Hunter (AIM+1, PHY+1, TAC+1)</t>
        </is>
      </c>
      <c r="C4" s="6" t="n"/>
      <c r="D4" s="7" t="n"/>
    </row>
    <row r="5">
      <c r="A5" s="2" t="inlineStr">
        <is>
          <t>Core Attributes</t>
        </is>
      </c>
      <c r="B5" s="6" t="n"/>
      <c r="C5" s="6" t="n"/>
      <c r="D5" s="6" t="n"/>
      <c r="E5" s="6" t="n"/>
      <c r="F5" s="6" t="n"/>
      <c r="G5" s="6" t="n"/>
      <c r="H5" s="7" t="n"/>
    </row>
    <row r="6">
      <c r="A6" s="4" t="inlineStr">
        <is>
          <t>Attributes</t>
        </is>
      </c>
      <c r="C6" s="4" t="inlineStr">
        <is>
          <t>Value</t>
        </is>
      </c>
      <c r="E6" s="4" t="inlineStr">
        <is>
          <t>Bonus</t>
        </is>
      </c>
    </row>
    <row r="7">
      <c r="A7" s="4" t="inlineStr">
        <is>
          <t>Aim (AIM)</t>
        </is>
      </c>
      <c r="C7" s="5" t="n">
        <v>15</v>
      </c>
      <c r="E7" s="5">
        <f>FLOOR.MATH((C7-10)/2)</f>
        <v/>
      </c>
    </row>
    <row r="8">
      <c r="A8" s="4" t="inlineStr">
        <is>
          <t>Physique (PHY)</t>
        </is>
      </c>
      <c r="C8" s="5" t="n">
        <v>14</v>
      </c>
      <c r="E8" s="5">
        <f>FLOOR.MATH((C8-10)/2)</f>
        <v/>
      </c>
    </row>
    <row r="9">
      <c r="A9" s="4" t="inlineStr">
        <is>
          <t>Tactics (TAC)</t>
        </is>
      </c>
      <c r="C9" s="5" t="n">
        <v>15</v>
      </c>
      <c r="E9" s="5">
        <f>FLOOR.MATH((C9-10)/2)</f>
        <v/>
      </c>
    </row>
    <row r="10">
      <c r="A10" s="4" t="inlineStr">
        <is>
          <t>Driving (DRV)</t>
        </is>
      </c>
      <c r="C10" s="5" t="n">
        <v>10</v>
      </c>
      <c r="E10" s="5">
        <f>FLOOR.MATH((C10-10)/2)</f>
        <v/>
      </c>
    </row>
    <row r="11">
      <c r="A11" s="4" t="inlineStr">
        <is>
          <t>Calm (CLM)</t>
        </is>
      </c>
      <c r="C11" s="5" t="n">
        <v>12</v>
      </c>
      <c r="E11" s="5">
        <f>FLOOR.MATH((C11-10)/2)</f>
        <v/>
      </c>
    </row>
    <row r="12">
      <c r="A12" s="2" t="inlineStr">
        <is>
          <t>Derived Stats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4" t="inlineStr">
        <is>
          <t>Hit Points (HP)</t>
        </is>
      </c>
      <c r="B13" s="5" t="n">
        <v>12</v>
      </c>
      <c r="C13" s="4" t="inlineStr">
        <is>
          <t>Carry Capacity (kg)</t>
        </is>
      </c>
      <c r="D13" s="5">
        <f>C8*3+5</f>
        <v/>
      </c>
      <c r="E13" s="4" t="inlineStr">
        <is>
          <t>Initiative Bonus</t>
        </is>
      </c>
      <c r="F13" s="5">
        <f>E9+FLOOR.MATH(MAX(E7,0)/2)</f>
        <v/>
      </c>
      <c r="G13" s="4" t="inlineStr">
        <is>
          <t>Hearing Range (m)</t>
        </is>
      </c>
      <c r="H13" s="5">
        <f>C9*10</f>
        <v/>
      </c>
    </row>
    <row r="14">
      <c r="A14" s="4" t="inlineStr">
        <is>
          <t>Stress Threshold</t>
        </is>
      </c>
      <c r="B14" s="5">
        <f>C11*2+5</f>
        <v/>
      </c>
      <c r="C14" s="4" t="inlineStr">
        <is>
          <t>Proficiency Bonus (PB)</t>
        </is>
      </c>
      <c r="D14" s="5" t="n">
        <v>2</v>
      </c>
      <c r="E14" s="4" t="inlineStr">
        <is>
          <t>Movement Speed</t>
        </is>
      </c>
      <c r="F14" s="5" t="n">
        <v>30</v>
      </c>
    </row>
    <row r="15"/>
    <row r="16">
      <c r="A16" s="2" t="inlineStr">
        <is>
          <t>Weapons &amp; Equipment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4" t="inlineStr">
        <is>
          <t>Weapon 1</t>
        </is>
      </c>
      <c r="B17" s="5" t="inlineStr">
        <is>
          <t>SKS Sniper Rifle (with 4x Scope)</t>
        </is>
      </c>
      <c r="C17" s="6" t="n"/>
      <c r="D17" s="6" t="n"/>
      <c r="E17" s="7" t="n"/>
    </row>
    <row r="18">
      <c r="A18" s="4" t="inlineStr">
        <is>
          <t>Weapon 2</t>
        </is>
      </c>
      <c r="B18" s="5" t="inlineStr">
        <is>
          <t>P1911 Pistol</t>
        </is>
      </c>
      <c r="C18" s="6" t="n"/>
      <c r="D18" s="6" t="n"/>
      <c r="E18" s="7" t="n"/>
    </row>
    <row r="19"/>
    <row r="20">
      <c r="A20" s="4" t="inlineStr">
        <is>
          <t>Helmet</t>
        </is>
      </c>
      <c r="B20" s="5" t="inlineStr">
        <is>
          <t>Level-1 Helmet</t>
        </is>
      </c>
      <c r="C20" s="4" t="inlineStr">
        <is>
          <t>Vest</t>
        </is>
      </c>
      <c r="D20" s="5" t="inlineStr">
        <is>
          <t>Level-2 Vest</t>
        </is>
      </c>
    </row>
    <row r="21"/>
    <row r="22">
      <c r="A22" s="2" t="inlineStr">
        <is>
          <t>Feats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5" t="inlineStr">
        <is>
          <t>Sniper Elite (G2)</t>
        </is>
      </c>
      <c r="B23" s="6" t="n"/>
      <c r="C23" s="6" t="n"/>
      <c r="D23" s="7" t="n"/>
    </row>
    <row r="24"/>
    <row r="25"/>
    <row r="26">
      <c r="A26" s="2" t="inlineStr">
        <is>
          <t>Skill Proficiencies</t>
        </is>
      </c>
      <c r="B26" s="6" t="n"/>
      <c r="C26" s="6" t="n"/>
      <c r="D26" s="6" t="n"/>
      <c r="E26" s="6" t="n"/>
      <c r="F26" s="6" t="n"/>
      <c r="G26" s="6" t="n"/>
      <c r="H26" s="7" t="n"/>
    </row>
    <row r="27">
      <c r="A27" s="5" t="inlineStr">
        <is>
          <t>Sniper ✓</t>
        </is>
      </c>
      <c r="B27" s="6" t="n"/>
      <c r="C27" s="7" t="n"/>
    </row>
    <row r="28">
      <c r="A28" s="5" t="inlineStr">
        <is>
          <t>Shotgun ✓</t>
        </is>
      </c>
      <c r="B28" s="6" t="n"/>
      <c r="C28" s="7" t="n"/>
    </row>
    <row r="29">
      <c r="A29" s="5" t="inlineStr">
        <is>
          <t>Track ✓</t>
        </is>
      </c>
      <c r="B29" s="6" t="n"/>
      <c r="C29" s="7" t="n"/>
    </row>
    <row r="30">
      <c r="A30" s="5" t="inlineStr">
        <is>
          <t>Stealth ✓</t>
        </is>
      </c>
      <c r="B30" s="6" t="n"/>
      <c r="C30" s="7" t="n"/>
    </row>
    <row r="31">
      <c r="A31" s="5" t="inlineStr">
        <is>
          <t>Perception ✓</t>
        </is>
      </c>
      <c r="B31" s="6" t="n"/>
      <c r="C31" s="7" t="n"/>
    </row>
    <row r="32"/>
    <row r="33"/>
    <row r="34">
      <c r="A34" s="2" t="inlineStr">
        <is>
          <t>Backstory</t>
        </is>
      </c>
      <c r="B34" s="6" t="n"/>
      <c r="C34" s="6" t="n"/>
      <c r="D34" s="6" t="n"/>
      <c r="E34" s="6" t="n"/>
      <c r="F34" s="6" t="n"/>
      <c r="G34" s="6" t="n"/>
      <c r="H34" s="7" t="n"/>
    </row>
    <row r="35">
      <c r="A35" s="8" t="inlineStr">
        <is>
          <t>Raised in the forests of Siberia. Tracking matters more than shooting — finding the target is harder than hitting it.</t>
        </is>
      </c>
      <c r="B35" s="9" t="n"/>
      <c r="C35" s="9" t="n"/>
      <c r="D35" s="9" t="n"/>
      <c r="E35" s="9" t="n"/>
      <c r="F35" s="9" t="n"/>
      <c r="G35" s="9" t="n"/>
      <c r="H35" s="10" t="n"/>
    </row>
    <row r="36">
      <c r="A36" s="11" t="n"/>
      <c r="H36" s="12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</sheetData>
  <mergeCells count="18">
    <mergeCell ref="A12:H12"/>
    <mergeCell ref="A28:C28"/>
    <mergeCell ref="A23:D23"/>
    <mergeCell ref="B18:E18"/>
    <mergeCell ref="B17:E17"/>
    <mergeCell ref="A26:H26"/>
    <mergeCell ref="A1:H1"/>
    <mergeCell ref="A35:H37"/>
    <mergeCell ref="A2:H2"/>
    <mergeCell ref="A16:H16"/>
    <mergeCell ref="B4:D4"/>
    <mergeCell ref="A31:C31"/>
    <mergeCell ref="A27:C27"/>
    <mergeCell ref="A30:C30"/>
    <mergeCell ref="A5:H5"/>
    <mergeCell ref="A29:C29"/>
    <mergeCell ref="A22:H22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Last Stand TRPG — Example Character: Racer Example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6" t="n"/>
      <c r="G2" s="6" t="n"/>
      <c r="H2" s="7" t="n"/>
    </row>
    <row r="3">
      <c r="A3" s="4" t="inlineStr">
        <is>
          <t>Character Name</t>
        </is>
      </c>
      <c r="B3" s="5" t="inlineStr">
        <is>
          <t>Racer Example</t>
        </is>
      </c>
      <c r="C3" s="4" t="inlineStr">
        <is>
          <t>Codename</t>
        </is>
      </c>
      <c r="D3" s="5" t="inlineStr">
        <is>
          <t>Lightning</t>
        </is>
      </c>
      <c r="E3" s="4" t="inlineStr">
        <is>
          <t>Level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Background</t>
        </is>
      </c>
      <c r="B4" s="5" t="inlineStr">
        <is>
          <t>Racer (DRV+2, CLM+1)</t>
        </is>
      </c>
      <c r="C4" s="6" t="n"/>
      <c r="D4" s="7" t="n"/>
    </row>
    <row r="5">
      <c r="A5" s="2" t="inlineStr">
        <is>
          <t>Core Attributes</t>
        </is>
      </c>
      <c r="B5" s="6" t="n"/>
      <c r="C5" s="6" t="n"/>
      <c r="D5" s="6" t="n"/>
      <c r="E5" s="6" t="n"/>
      <c r="F5" s="6" t="n"/>
      <c r="G5" s="6" t="n"/>
      <c r="H5" s="7" t="n"/>
    </row>
    <row r="6">
      <c r="A6" s="4" t="inlineStr">
        <is>
          <t>Attributes</t>
        </is>
      </c>
      <c r="C6" s="4" t="inlineStr">
        <is>
          <t>Value</t>
        </is>
      </c>
      <c r="E6" s="4" t="inlineStr">
        <is>
          <t>Bonus</t>
        </is>
      </c>
    </row>
    <row r="7">
      <c r="A7" s="4" t="inlineStr">
        <is>
          <t>Aim (AIM)</t>
        </is>
      </c>
      <c r="C7" s="5" t="n">
        <v>11</v>
      </c>
      <c r="E7" s="5">
        <f>FLOOR.MATH((C7-10)/2)</f>
        <v/>
      </c>
    </row>
    <row r="8">
      <c r="A8" s="4" t="inlineStr">
        <is>
          <t>Physique (PHY)</t>
        </is>
      </c>
      <c r="C8" s="5" t="n">
        <v>12</v>
      </c>
      <c r="E8" s="5">
        <f>FLOOR.MATH((C8-10)/2)</f>
        <v/>
      </c>
    </row>
    <row r="9">
      <c r="A9" s="4" t="inlineStr">
        <is>
          <t>Tactics (TAC)</t>
        </is>
      </c>
      <c r="C9" s="5" t="n">
        <v>14</v>
      </c>
      <c r="E9" s="5">
        <f>FLOOR.MATH((C9-10)/2)</f>
        <v/>
      </c>
    </row>
    <row r="10">
      <c r="A10" s="4" t="inlineStr">
        <is>
          <t>Driving (DRV)</t>
        </is>
      </c>
      <c r="C10" s="5" t="n">
        <v>17</v>
      </c>
      <c r="E10" s="5">
        <f>FLOOR.MATH((C10-10)/2)</f>
        <v/>
      </c>
    </row>
    <row r="11">
      <c r="A11" s="4" t="inlineStr">
        <is>
          <t>Calm (CLM)</t>
        </is>
      </c>
      <c r="C11" s="5" t="n">
        <v>13</v>
      </c>
      <c r="E11" s="5">
        <f>FLOOR.MATH((C11-10)/2)</f>
        <v/>
      </c>
    </row>
    <row r="12">
      <c r="A12" s="2" t="inlineStr">
        <is>
          <t>Derived Stats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4" t="inlineStr">
        <is>
          <t>Hit Points (HP)</t>
        </is>
      </c>
      <c r="B13" s="5" t="n">
        <v>11</v>
      </c>
      <c r="C13" s="4" t="inlineStr">
        <is>
          <t>Carry Capacity (kg)</t>
        </is>
      </c>
      <c r="D13" s="5">
        <f>C8*3+5</f>
        <v/>
      </c>
      <c r="E13" s="4" t="inlineStr">
        <is>
          <t>Initiative Bonus</t>
        </is>
      </c>
      <c r="F13" s="5">
        <f>E9+FLOOR.MATH(MAX(E7,0)/2)</f>
        <v/>
      </c>
      <c r="G13" s="4" t="inlineStr">
        <is>
          <t>Hearing Range (m)</t>
        </is>
      </c>
      <c r="H13" s="5">
        <f>C9*10</f>
        <v/>
      </c>
    </row>
    <row r="14">
      <c r="A14" s="4" t="inlineStr">
        <is>
          <t>Stress Threshold</t>
        </is>
      </c>
      <c r="B14" s="5">
        <f>C11*2+5</f>
        <v/>
      </c>
      <c r="C14" s="4" t="inlineStr">
        <is>
          <t>Proficiency Bonus (PB)</t>
        </is>
      </c>
      <c r="D14" s="5" t="n">
        <v>2</v>
      </c>
      <c r="E14" s="4" t="inlineStr">
        <is>
          <t>Movement Speed</t>
        </is>
      </c>
      <c r="F14" s="5" t="n">
        <v>30</v>
      </c>
    </row>
    <row r="15"/>
    <row r="16">
      <c r="A16" s="2" t="inlineStr">
        <is>
          <t>Weapons &amp; Equipment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4" t="inlineStr">
        <is>
          <t>Weapon 1</t>
        </is>
      </c>
      <c r="B17" s="5" t="inlineStr">
        <is>
          <t>UMP45 SMG</t>
        </is>
      </c>
      <c r="C17" s="6" t="n"/>
      <c r="D17" s="6" t="n"/>
      <c r="E17" s="7" t="n"/>
    </row>
    <row r="18">
      <c r="A18" s="4" t="inlineStr">
        <is>
          <t>Weapon 2</t>
        </is>
      </c>
      <c r="B18" s="5" t="inlineStr">
        <is>
          <t>P92 Pistol</t>
        </is>
      </c>
      <c r="C18" s="6" t="n"/>
      <c r="D18" s="6" t="n"/>
      <c r="E18" s="7" t="n"/>
    </row>
    <row r="19"/>
    <row r="20">
      <c r="A20" s="4" t="inlineStr">
        <is>
          <t>Helmet</t>
        </is>
      </c>
      <c r="B20" s="5" t="inlineStr">
        <is>
          <t>Level-1 Helmet</t>
        </is>
      </c>
      <c r="C20" s="4" t="inlineStr">
        <is>
          <t>Vest</t>
        </is>
      </c>
      <c r="D20" s="5" t="inlineStr">
        <is>
          <t>Level-1 Vest</t>
        </is>
      </c>
    </row>
    <row r="21"/>
    <row r="22">
      <c r="A22" s="2" t="inlineStr">
        <is>
          <t>Feats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5" t="inlineStr">
        <is>
          <t>Off-Road Driving (D1)</t>
        </is>
      </c>
      <c r="B23" s="6" t="n"/>
      <c r="C23" s="6" t="n"/>
      <c r="D23" s="7" t="n"/>
    </row>
    <row r="24"/>
    <row r="25"/>
    <row r="26">
      <c r="A26" s="2" t="inlineStr">
        <is>
          <t>Skill Proficiencies</t>
        </is>
      </c>
      <c r="B26" s="6" t="n"/>
      <c r="C26" s="6" t="n"/>
      <c r="D26" s="6" t="n"/>
      <c r="E26" s="6" t="n"/>
      <c r="F26" s="6" t="n"/>
      <c r="G26" s="6" t="n"/>
      <c r="H26" s="7" t="n"/>
    </row>
    <row r="27">
      <c r="A27" s="5" t="inlineStr">
        <is>
          <t>Land Driving ✓</t>
        </is>
      </c>
      <c r="B27" s="6" t="n"/>
      <c r="C27" s="7" t="n"/>
    </row>
    <row r="28">
      <c r="A28" s="5" t="inlineStr">
        <is>
          <t>Off-Road Driving ✓</t>
        </is>
      </c>
      <c r="B28" s="6" t="n"/>
      <c r="C28" s="7" t="n"/>
    </row>
    <row r="29">
      <c r="A29" s="5" t="inlineStr">
        <is>
          <t>Vehicle Repair ✓</t>
        </is>
      </c>
      <c r="B29" s="6" t="n"/>
      <c r="C29" s="7" t="n"/>
    </row>
    <row r="30">
      <c r="A30" s="5" t="inlineStr">
        <is>
          <t>Water Driving ✓</t>
        </is>
      </c>
      <c r="B30" s="6" t="n"/>
      <c r="C30" s="7" t="n"/>
    </row>
    <row r="31"/>
    <row r="32"/>
    <row r="33">
      <c r="A33" s="2" t="inlineStr">
        <is>
          <t>Backstory</t>
        </is>
      </c>
      <c r="B33" s="6" t="n"/>
      <c r="C33" s="6" t="n"/>
      <c r="D33" s="6" t="n"/>
      <c r="E33" s="6" t="n"/>
      <c r="F33" s="6" t="n"/>
      <c r="G33" s="6" t="n"/>
      <c r="H33" s="7" t="n"/>
    </row>
    <row r="34">
      <c r="A34" s="8" t="inlineStr">
        <is>
          <t>An underground racing champion. When the track lost its thrill — the battlefield became the new track. So fast that even the Reaper can't keep up.</t>
        </is>
      </c>
      <c r="B34" s="9" t="n"/>
      <c r="C34" s="9" t="n"/>
      <c r="D34" s="9" t="n"/>
      <c r="E34" s="9" t="n"/>
      <c r="F34" s="9" t="n"/>
      <c r="G34" s="9" t="n"/>
      <c r="H34" s="10" t="n"/>
    </row>
    <row r="35">
      <c r="A35" s="11" t="n"/>
      <c r="H35" s="12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</sheetData>
  <mergeCells count="17">
    <mergeCell ref="A12:H12"/>
    <mergeCell ref="A28:C28"/>
    <mergeCell ref="A23:D23"/>
    <mergeCell ref="B18:E18"/>
    <mergeCell ref="B17:E17"/>
    <mergeCell ref="A26:H26"/>
    <mergeCell ref="A34:H36"/>
    <mergeCell ref="A1:H1"/>
    <mergeCell ref="A2:H2"/>
    <mergeCell ref="A16:H16"/>
    <mergeCell ref="B4:D4"/>
    <mergeCell ref="A27:C27"/>
    <mergeCell ref="A33:H33"/>
    <mergeCell ref="A30:C30"/>
    <mergeCell ref="A5:H5"/>
    <mergeCell ref="A29:C29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Last Stand TRPG — Example Character: Technician Example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6" t="n"/>
      <c r="G2" s="6" t="n"/>
      <c r="H2" s="7" t="n"/>
    </row>
    <row r="3">
      <c r="A3" s="4" t="inlineStr">
        <is>
          <t>Character Name</t>
        </is>
      </c>
      <c r="B3" s="5" t="inlineStr">
        <is>
          <t>Technician Example</t>
        </is>
      </c>
      <c r="C3" s="4" t="inlineStr">
        <is>
          <t>Codename</t>
        </is>
      </c>
      <c r="D3" s="5" t="inlineStr">
        <is>
          <t>Wrench</t>
        </is>
      </c>
      <c r="E3" s="4" t="inlineStr">
        <is>
          <t>Level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Background</t>
        </is>
      </c>
      <c r="B4" s="5" t="inlineStr">
        <is>
          <t>Technician (DRV+1, TAC+1)</t>
        </is>
      </c>
      <c r="C4" s="6" t="n"/>
      <c r="D4" s="7" t="n"/>
    </row>
    <row r="5">
      <c r="A5" s="2" t="inlineStr">
        <is>
          <t>Core Attributes</t>
        </is>
      </c>
      <c r="B5" s="6" t="n"/>
      <c r="C5" s="6" t="n"/>
      <c r="D5" s="6" t="n"/>
      <c r="E5" s="6" t="n"/>
      <c r="F5" s="6" t="n"/>
      <c r="G5" s="6" t="n"/>
      <c r="H5" s="7" t="n"/>
    </row>
    <row r="6">
      <c r="A6" s="4" t="inlineStr">
        <is>
          <t>Attributes</t>
        </is>
      </c>
      <c r="C6" s="4" t="inlineStr">
        <is>
          <t>Value</t>
        </is>
      </c>
      <c r="E6" s="4" t="inlineStr">
        <is>
          <t>Bonus</t>
        </is>
      </c>
    </row>
    <row r="7">
      <c r="A7" s="4" t="inlineStr">
        <is>
          <t>Aim (AIM)</t>
        </is>
      </c>
      <c r="C7" s="5" t="n">
        <v>13</v>
      </c>
      <c r="E7" s="5">
        <f>FLOOR.MATH((C7-10)/2)</f>
        <v/>
      </c>
    </row>
    <row r="8">
      <c r="A8" s="4" t="inlineStr">
        <is>
          <t>Physique (PHY)</t>
        </is>
      </c>
      <c r="C8" s="5" t="n">
        <v>12</v>
      </c>
      <c r="E8" s="5">
        <f>FLOOR.MATH((C8-10)/2)</f>
        <v/>
      </c>
    </row>
    <row r="9">
      <c r="A9" s="4" t="inlineStr">
        <is>
          <t>Tactics (TAC)</t>
        </is>
      </c>
      <c r="C9" s="5" t="n">
        <v>15</v>
      </c>
      <c r="E9" s="5">
        <f>FLOOR.MATH((C9-10)/2)</f>
        <v/>
      </c>
    </row>
    <row r="10">
      <c r="A10" s="4" t="inlineStr">
        <is>
          <t>Driving (DRV)</t>
        </is>
      </c>
      <c r="C10" s="5" t="n">
        <v>15</v>
      </c>
      <c r="E10" s="5">
        <f>FLOOR.MATH((C10-10)/2)</f>
        <v/>
      </c>
    </row>
    <row r="11">
      <c r="A11" s="4" t="inlineStr">
        <is>
          <t>Calm (CLM)</t>
        </is>
      </c>
      <c r="C11" s="5" t="n">
        <v>12</v>
      </c>
      <c r="E11" s="5">
        <f>FLOOR.MATH((C11-10)/2)</f>
        <v/>
      </c>
    </row>
    <row r="12">
      <c r="A12" s="2" t="inlineStr">
        <is>
          <t>Derived Stats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4" t="inlineStr">
        <is>
          <t>Hit Points (HP)</t>
        </is>
      </c>
      <c r="B13" s="5" t="n">
        <v>11</v>
      </c>
      <c r="C13" s="4" t="inlineStr">
        <is>
          <t>Carry Capacity (kg)</t>
        </is>
      </c>
      <c r="D13" s="5">
        <f>C8*3+5</f>
        <v/>
      </c>
      <c r="E13" s="4" t="inlineStr">
        <is>
          <t>Initiative Bonus</t>
        </is>
      </c>
      <c r="F13" s="5">
        <f>E9+FLOOR.MATH(MAX(E7,0)/2)</f>
        <v/>
      </c>
      <c r="G13" s="4" t="inlineStr">
        <is>
          <t>Hearing Range (m)</t>
        </is>
      </c>
      <c r="H13" s="5">
        <f>C9*10</f>
        <v/>
      </c>
    </row>
    <row r="14">
      <c r="A14" s="4" t="inlineStr">
        <is>
          <t>Stress Threshold</t>
        </is>
      </c>
      <c r="B14" s="5">
        <f>C11*2+5</f>
        <v/>
      </c>
      <c r="C14" s="4" t="inlineStr">
        <is>
          <t>Proficiency Bonus (PB)</t>
        </is>
      </c>
      <c r="D14" s="5" t="n">
        <v>2</v>
      </c>
      <c r="E14" s="4" t="inlineStr">
        <is>
          <t>Movement Speed</t>
        </is>
      </c>
      <c r="F14" s="5" t="n">
        <v>30</v>
      </c>
    </row>
    <row r="15"/>
    <row r="16">
      <c r="A16" s="2" t="inlineStr">
        <is>
          <t>Weapons &amp; Equipment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4" t="inlineStr">
        <is>
          <t>Weapon 1</t>
        </is>
      </c>
      <c r="B17" s="5" t="inlineStr">
        <is>
          <t>SCAR-L Assault Rifle</t>
        </is>
      </c>
      <c r="C17" s="6" t="n"/>
      <c r="D17" s="6" t="n"/>
      <c r="E17" s="7" t="n"/>
    </row>
    <row r="18">
      <c r="A18" s="4" t="inlineStr">
        <is>
          <t>Weapon 2</t>
        </is>
      </c>
      <c r="B18" s="5" t="inlineStr">
        <is>
          <t>P92 Pistol</t>
        </is>
      </c>
      <c r="C18" s="6" t="n"/>
      <c r="D18" s="6" t="n"/>
      <c r="E18" s="7" t="n"/>
    </row>
    <row r="19">
      <c r="A19" s="4" t="inlineStr">
        <is>
          <t>Weapon 3</t>
        </is>
      </c>
      <c r="B19" s="5" t="inlineStr">
        <is>
          <t>C4 Explosive x2</t>
        </is>
      </c>
      <c r="C19" s="6" t="n"/>
      <c r="D19" s="6" t="n"/>
      <c r="E19" s="7" t="n"/>
    </row>
    <row r="20"/>
    <row r="21">
      <c r="A21" s="4" t="inlineStr">
        <is>
          <t>Helmet</t>
        </is>
      </c>
      <c r="B21" s="5" t="inlineStr">
        <is>
          <t>Level-2 Helmet</t>
        </is>
      </c>
      <c r="C21" s="4" t="inlineStr">
        <is>
          <t>Vest</t>
        </is>
      </c>
      <c r="D21" s="5" t="inlineStr">
        <is>
          <t>Level-2 Vest</t>
        </is>
      </c>
    </row>
    <row r="22"/>
    <row r="23">
      <c r="A23" s="2" t="inlineStr">
        <is>
          <t>Feats</t>
        </is>
      </c>
      <c r="B23" s="6" t="n"/>
      <c r="C23" s="6" t="n"/>
      <c r="D23" s="6" t="n"/>
      <c r="E23" s="6" t="n"/>
      <c r="F23" s="6" t="n"/>
      <c r="G23" s="6" t="n"/>
      <c r="H23" s="7" t="n"/>
    </row>
    <row r="24">
      <c r="A24" s="5" t="inlineStr">
        <is>
          <t>Vehicle Repair (D2)</t>
        </is>
      </c>
      <c r="B24" s="6" t="n"/>
      <c r="C24" s="6" t="n"/>
      <c r="D24" s="7" t="n"/>
    </row>
    <row r="25"/>
    <row r="26"/>
    <row r="27">
      <c r="A27" s="2" t="inlineStr">
        <is>
          <t>Skill Proficiencies</t>
        </is>
      </c>
      <c r="B27" s="6" t="n"/>
      <c r="C27" s="6" t="n"/>
      <c r="D27" s="6" t="n"/>
      <c r="E27" s="6" t="n"/>
      <c r="F27" s="6" t="n"/>
      <c r="G27" s="6" t="n"/>
      <c r="H27" s="7" t="n"/>
    </row>
    <row r="28">
      <c r="A28" s="5" t="inlineStr">
        <is>
          <t>Vehicle Repair ✓</t>
        </is>
      </c>
      <c r="B28" s="6" t="n"/>
      <c r="C28" s="7" t="n"/>
    </row>
    <row r="29">
      <c r="A29" s="5" t="inlineStr">
        <is>
          <t>Perception ✓</t>
        </is>
      </c>
      <c r="B29" s="6" t="n"/>
      <c r="C29" s="7" t="n"/>
    </row>
    <row r="30">
      <c r="A30" s="5" t="inlineStr">
        <is>
          <t>Land Driving ✓</t>
        </is>
      </c>
      <c r="B30" s="6" t="n"/>
      <c r="C30" s="7" t="n"/>
    </row>
    <row r="31">
      <c r="A31" s="5" t="inlineStr">
        <is>
          <t>Zone Prediction ✓</t>
        </is>
      </c>
      <c r="B31" s="6" t="n"/>
      <c r="C31" s="7" t="n"/>
    </row>
    <row r="32"/>
    <row r="33"/>
    <row r="34">
      <c r="A34" s="2" t="inlineStr">
        <is>
          <t>Backstory</t>
        </is>
      </c>
      <c r="B34" s="6" t="n"/>
      <c r="C34" s="6" t="n"/>
      <c r="D34" s="6" t="n"/>
      <c r="E34" s="6" t="n"/>
      <c r="F34" s="6" t="n"/>
      <c r="G34" s="6" t="n"/>
      <c r="H34" s="7" t="n"/>
    </row>
    <row r="35">
      <c r="A35" s="8" t="inlineStr">
        <is>
          <t>A mechanical genius from the arms factory. There's nothing he can't fix — and nothing he can't blow up.</t>
        </is>
      </c>
      <c r="B35" s="9" t="n"/>
      <c r="C35" s="9" t="n"/>
      <c r="D35" s="9" t="n"/>
      <c r="E35" s="9" t="n"/>
      <c r="F35" s="9" t="n"/>
      <c r="G35" s="9" t="n"/>
      <c r="H35" s="10" t="n"/>
    </row>
    <row r="36">
      <c r="A36" s="11" t="n"/>
      <c r="H36" s="12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</sheetData>
  <mergeCells count="18">
    <mergeCell ref="A12:H12"/>
    <mergeCell ref="A28:C28"/>
    <mergeCell ref="B17:E17"/>
    <mergeCell ref="B18:E18"/>
    <mergeCell ref="A1:H1"/>
    <mergeCell ref="A35:H37"/>
    <mergeCell ref="A2:H2"/>
    <mergeCell ref="A16:H16"/>
    <mergeCell ref="B4:D4"/>
    <mergeCell ref="A31:C31"/>
    <mergeCell ref="A24:D24"/>
    <mergeCell ref="B19:E19"/>
    <mergeCell ref="A5:H5"/>
    <mergeCell ref="A23:H23"/>
    <mergeCell ref="A30:C30"/>
    <mergeCell ref="A27:H27"/>
    <mergeCell ref="A29:C29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2026-08-11T06:44:48Z</dcterms:modified>
</cp:coreProperties>
</file>