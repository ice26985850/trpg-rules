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my Character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2F5496"/>
      <sz val="18"/>
    </font>
    <font>
      <name val="微軟正黑體"/>
      <b val="1"/>
      <color rgb="002F5496"/>
      <sz val="12"/>
    </font>
    <font>
      <name val="微軟正黑體"/>
      <b val="1"/>
      <sz val="11"/>
    </font>
    <font>
      <name val="微軟正黑體"/>
      <sz val="11"/>
    </font>
  </fonts>
  <fills count="3">
    <fill>
      <patternFill/>
    </fill>
    <fill>
      <patternFill patternType="gray125"/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0" customWidth="1" min="4" max="4"/>
    <col width="12" customWidth="1" min="5" max="5"/>
    <col width="10" customWidth="1" min="6" max="6"/>
  </cols>
  <sheetData>
    <row r="1">
      <c r="A1" s="1" t="inlineStr">
        <is>
          <t>Last Stand TRPG — Enemy / Monster Character Sheet</t>
        </is>
      </c>
      <c r="B1" s="6" t="n"/>
      <c r="C1" s="6" t="n"/>
      <c r="D1" s="6" t="n"/>
      <c r="E1" s="6" t="n"/>
      <c r="F1" s="7" t="n"/>
    </row>
    <row r="2">
      <c r="A2" s="2" t="inlineStr">
        <is>
          <t>Basic Info</t>
        </is>
      </c>
      <c r="B2" s="6" t="n"/>
      <c r="C2" s="6" t="n"/>
      <c r="D2" s="6" t="n"/>
      <c r="E2" s="6" t="n"/>
      <c r="F2" s="7" t="n"/>
    </row>
    <row r="3">
      <c r="A3" s="4" t="inlineStr">
        <is>
          <t>Enemy / Codename</t>
        </is>
      </c>
      <c r="B3" s="5" t="inlineStr"/>
      <c r="C3" s="4" t="inlineStr">
        <is>
          <t>Difficulty Tier</t>
        </is>
      </c>
      <c r="D3" s="5" t="inlineStr"/>
    </row>
    <row r="4">
      <c r="A4" s="4" t="inlineStr">
        <is>
          <t>Squad Type</t>
        </is>
      </c>
      <c r="B4" s="5" t="inlineStr"/>
      <c r="C4" s="4" t="inlineStr">
        <is>
          <t>Source Scenario</t>
        </is>
      </c>
      <c r="D4" s="5" t="inlineStr"/>
    </row>
    <row r="5">
      <c r="A5" s="4" t="inlineStr">
        <is>
          <t>Tactical Style</t>
        </is>
      </c>
      <c r="B5" s="5" t="inlineStr"/>
      <c r="C5" s="4" t="inlineStr">
        <is>
          <t>Challenge Level (EL)</t>
        </is>
      </c>
      <c r="D5" s="5" t="inlineStr"/>
    </row>
    <row r="6">
      <c r="A6" s="2" t="inlineStr">
        <is>
          <t>Attributes</t>
        </is>
      </c>
      <c r="B6" s="6" t="n"/>
      <c r="C6" s="6" t="n"/>
      <c r="D6" s="6" t="n"/>
      <c r="E6" s="6" t="n"/>
      <c r="F6" s="7" t="n"/>
    </row>
    <row r="7">
      <c r="A7" s="4" t="inlineStr">
        <is>
          <t>Attributes</t>
        </is>
      </c>
      <c r="B7" s="4" t="inlineStr">
        <is>
          <t>Value</t>
        </is>
      </c>
      <c r="C7" s="4" t="inlineStr">
        <is>
          <t>Bonus</t>
        </is>
      </c>
    </row>
    <row r="8">
      <c r="A8" s="4" t="inlineStr">
        <is>
          <t>Aim (AIM)</t>
        </is>
      </c>
      <c r="B8" s="5" t="inlineStr"/>
      <c r="C8" s="5">
        <f>FLOOR.MATH((B8-10)/2)</f>
        <v/>
      </c>
    </row>
    <row r="9">
      <c r="A9" s="4" t="inlineStr">
        <is>
          <t>Physique (PHY)</t>
        </is>
      </c>
      <c r="B9" s="5" t="inlineStr"/>
      <c r="C9" s="5">
        <f>FLOOR.MATH((B9-10)/2)</f>
        <v/>
      </c>
    </row>
    <row r="10">
      <c r="A10" s="4" t="inlineStr">
        <is>
          <t>Tactics (TAC)</t>
        </is>
      </c>
      <c r="B10" s="5" t="inlineStr"/>
      <c r="C10" s="5">
        <f>FLOOR.MATH((B10-10)/2)</f>
        <v/>
      </c>
    </row>
    <row r="11">
      <c r="A11" s="4" t="inlineStr">
        <is>
          <t>Driving (DRV)</t>
        </is>
      </c>
      <c r="B11" s="5" t="inlineStr"/>
      <c r="C11" s="5">
        <f>FLOOR.MATH((B11-10)/2)</f>
        <v/>
      </c>
    </row>
    <row r="12">
      <c r="A12" s="4" t="inlineStr">
        <is>
          <t>Calm (CLM)</t>
        </is>
      </c>
      <c r="B12" s="5" t="inlineStr"/>
      <c r="C12" s="5">
        <f>FLOOR.MATH((B12-10)/2)</f>
        <v/>
      </c>
    </row>
    <row r="13">
      <c r="A13" s="2" t="inlineStr">
        <is>
          <t>Derived Stats</t>
        </is>
      </c>
      <c r="B13" s="6" t="n"/>
      <c r="C13" s="6" t="n"/>
      <c r="D13" s="6" t="n"/>
      <c r="E13" s="6" t="n"/>
      <c r="F13" s="7" t="n"/>
    </row>
    <row r="14">
      <c r="A14" s="4" t="inlineStr">
        <is>
          <t>Hit Points (HP)</t>
        </is>
      </c>
      <c r="B14" s="5" t="inlineStr"/>
      <c r="C14" s="4" t="inlineStr">
        <is>
          <t>Initiative Bonus</t>
        </is>
      </c>
      <c r="D14" s="5">
        <f>C10+FLOOR.MATH(MAX(C8,0)/2)</f>
        <v/>
      </c>
    </row>
    <row r="15">
      <c r="A15" s="4" t="inlineStr">
        <is>
          <t>Carry Capacity (kg)</t>
        </is>
      </c>
      <c r="B15" s="5">
        <f>B9*3+5</f>
        <v/>
      </c>
      <c r="C15" s="4" t="inlineStr">
        <is>
          <t>Hearing Range (m)</t>
        </is>
      </c>
      <c r="D15" s="5">
        <f>B10*10</f>
        <v/>
      </c>
    </row>
    <row r="16">
      <c r="A16" s="4" t="inlineStr">
        <is>
          <t>Stress Threshold</t>
        </is>
      </c>
      <c r="B16" s="5">
        <f>B12*2+5</f>
        <v/>
      </c>
      <c r="C16" s="4" t="inlineStr">
        <is>
          <t>Movement Speed</t>
        </is>
      </c>
      <c r="D16" s="5" t="n">
        <v>30</v>
      </c>
    </row>
    <row r="17"/>
    <row r="18">
      <c r="A18" s="2" t="inlineStr">
        <is>
          <t>Weapons &amp; Equipment</t>
        </is>
      </c>
      <c r="B18" s="6" t="n"/>
      <c r="C18" s="6" t="n"/>
      <c r="D18" s="6" t="n"/>
      <c r="E18" s="6" t="n"/>
      <c r="F18" s="7" t="n"/>
    </row>
    <row r="19">
      <c r="A19" s="4" t="inlineStr">
        <is>
          <t>Weapon Name</t>
        </is>
      </c>
      <c r="B19" s="4" t="inlineStr">
        <is>
          <t>Damage</t>
        </is>
      </c>
      <c r="C19" s="4" t="inlineStr">
        <is>
          <t>Range</t>
        </is>
      </c>
      <c r="D19" s="4" t="inlineStr">
        <is>
          <t>Magazine</t>
        </is>
      </c>
      <c r="E19" s="4" t="inlineStr">
        <is>
          <t>Special Property</t>
        </is>
      </c>
      <c r="F19" s="4" t="inlineStr">
        <is>
          <t>Weight</t>
        </is>
      </c>
    </row>
    <row r="20">
      <c r="A20" s="5" t="inlineStr"/>
      <c r="B20" s="5" t="inlineStr"/>
      <c r="C20" s="5" t="inlineStr"/>
      <c r="D20" s="5" t="inlineStr"/>
      <c r="E20" s="5" t="inlineStr"/>
      <c r="F20" s="5" t="inlineStr"/>
    </row>
    <row r="21">
      <c r="A21" s="5" t="inlineStr"/>
      <c r="B21" s="5" t="inlineStr"/>
      <c r="C21" s="5" t="inlineStr"/>
      <c r="D21" s="5" t="inlineStr"/>
      <c r="E21" s="5" t="inlineStr"/>
      <c r="F21" s="5" t="inlineStr"/>
    </row>
    <row r="22">
      <c r="A22" s="5" t="inlineStr"/>
      <c r="B22" s="5" t="inlineStr"/>
      <c r="C22" s="5" t="inlineStr"/>
      <c r="D22" s="5" t="inlineStr"/>
      <c r="E22" s="5" t="inlineStr"/>
      <c r="F22" s="5" t="inlineStr"/>
    </row>
    <row r="23"/>
    <row r="24">
      <c r="A24" s="2" t="inlineStr">
        <is>
          <t>Special Abilities</t>
        </is>
      </c>
      <c r="B24" s="6" t="n"/>
      <c r="C24" s="6" t="n"/>
      <c r="D24" s="6" t="n"/>
      <c r="E24" s="6" t="n"/>
      <c r="F24" s="7" t="n"/>
    </row>
    <row r="25">
      <c r="A25" s="5" t="inlineStr"/>
      <c r="B25" s="6" t="n"/>
      <c r="C25" s="6" t="n"/>
      <c r="D25" s="6" t="n"/>
      <c r="E25" s="6" t="n"/>
      <c r="F25" s="7" t="n"/>
    </row>
    <row r="26">
      <c r="A26" s="5" t="inlineStr"/>
      <c r="B26" s="6" t="n"/>
      <c r="C26" s="6" t="n"/>
      <c r="D26" s="6" t="n"/>
      <c r="E26" s="6" t="n"/>
      <c r="F26" s="7" t="n"/>
    </row>
    <row r="27">
      <c r="A27" s="5" t="inlineStr"/>
      <c r="B27" s="6" t="n"/>
      <c r="C27" s="6" t="n"/>
      <c r="D27" s="6" t="n"/>
      <c r="E27" s="6" t="n"/>
      <c r="F27" s="7" t="n"/>
    </row>
    <row r="28"/>
    <row r="29">
      <c r="A29" s="2" t="inlineStr">
        <is>
          <t>AI Behavior Logic</t>
        </is>
      </c>
      <c r="B29" s="6" t="n"/>
      <c r="C29" s="6" t="n"/>
      <c r="D29" s="6" t="n"/>
      <c r="E29" s="6" t="n"/>
      <c r="F29" s="7" t="n"/>
    </row>
    <row r="30">
      <c r="A30" s="5" t="inlineStr"/>
      <c r="B30" s="6" t="n"/>
      <c r="C30" s="6" t="n"/>
      <c r="D30" s="6" t="n"/>
      <c r="E30" s="6" t="n"/>
      <c r="F30" s="7" t="n"/>
    </row>
    <row r="31">
      <c r="A31" s="5" t="inlineStr"/>
      <c r="B31" s="6" t="n"/>
      <c r="C31" s="6" t="n"/>
      <c r="D31" s="6" t="n"/>
      <c r="E31" s="6" t="n"/>
      <c r="F31" s="7" t="n"/>
    </row>
    <row r="32">
      <c r="A32" s="5" t="inlineStr"/>
      <c r="B32" s="6" t="n"/>
      <c r="C32" s="6" t="n"/>
      <c r="D32" s="6" t="n"/>
      <c r="E32" s="6" t="n"/>
      <c r="F32" s="7" t="n"/>
    </row>
    <row r="33">
      <c r="A33" s="5" t="inlineStr"/>
      <c r="B33" s="6" t="n"/>
      <c r="C33" s="6" t="n"/>
      <c r="D33" s="6" t="n"/>
      <c r="E33" s="6" t="n"/>
      <c r="F33" s="7" t="n"/>
    </row>
  </sheetData>
  <mergeCells count="14">
    <mergeCell ref="A24:F24"/>
    <mergeCell ref="A2:F2"/>
    <mergeCell ref="A33:F33"/>
    <mergeCell ref="A13:F13"/>
    <mergeCell ref="A1:F1"/>
    <mergeCell ref="A32:F32"/>
    <mergeCell ref="A27:F27"/>
    <mergeCell ref="A31:F31"/>
    <mergeCell ref="A6:F6"/>
    <mergeCell ref="A18:F18"/>
    <mergeCell ref="A26:F26"/>
    <mergeCell ref="A30:F30"/>
    <mergeCell ref="A29:F29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2026-07-13T05:46:49Z</dcterms:created>
  <dcterms:modified xsi:type="dcterms:W3CDTF">2026-08-11T06:44:47Z</dcterms:modified>
</cp:coreProperties>
</file>