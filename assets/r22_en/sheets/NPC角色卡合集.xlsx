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yor Aldric Fane" sheetId="1" state="visible" r:id="rId1"/>
    <sheet name="Guard Captain Kael" sheetId="2" state="visible" r:id="rId2"/>
    <sheet name="Widow Vera" sheetId="3" state="visible" r:id="rId3"/>
    <sheet name="Scholar Old Finley" sheetId="4" state="visible" r:id="rId4"/>
    <sheet name="Shadow Contact Shadow" sheetId="5" state="visible" r:id="rId5"/>
    <sheet name="Sister Li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4"/>
    </font>
    <font>
      <name val="微軟正黑體"/>
      <b val="1"/>
      <color rgb="00FFFFFF"/>
    </font>
    <font>
      <name val="微軟正黑體"/>
      <b val="1"/>
    </font>
    <font>
      <name val="微軟正黑體"/>
    </font>
  </fonts>
  <fills count="8">
    <fill>
      <patternFill/>
    </fill>
    <fill>
      <patternFill patternType="gray125"/>
    </fill>
    <fill>
      <patternFill patternType="solid">
        <fgColor rgb="004B2E83"/>
      </patternFill>
    </fill>
    <fill>
      <patternFill patternType="solid">
        <fgColor rgb="001F7A8C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DE7F6"/>
      </patternFill>
    </fill>
    <fill>
      <patternFill patternType="solid">
        <fgColor rgb="00DDEBF7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34" customWidth="1" min="4" max="4"/>
  </cols>
  <sheetData>
    <row r="1">
      <c r="A1" s="1" t="inlineStr">
        <is>
          <t>NPC: Mayor Aldric Fane</t>
        </is>
      </c>
    </row>
    <row r="2"/>
    <row r="3">
      <c r="A3" s="2" t="inlineStr">
        <is>
          <t>I. Basic Information</t>
        </is>
      </c>
    </row>
    <row r="4">
      <c r="A4" s="3" t="inlineStr">
        <is>
          <t>Type</t>
        </is>
      </c>
      <c r="B4" s="4" t="inlineStr">
        <is>
          <t>Human</t>
        </is>
      </c>
      <c r="C4" s="10" t="n"/>
      <c r="D4" s="11" t="n"/>
    </row>
    <row r="5">
      <c r="A5" s="3" t="inlineStr">
        <is>
          <t>AI Tier</t>
        </is>
      </c>
      <c r="B5" s="4" t="inlineStr">
        <is>
          <t>Cunning</t>
        </is>
      </c>
      <c r="C5" s="10" t="n"/>
      <c r="D5" s="11" t="n"/>
    </row>
    <row r="6">
      <c r="A6" s="3" t="inlineStr">
        <is>
          <t>Key Information</t>
        </is>
      </c>
      <c r="B6" s="4" t="inlineStr">
        <is>
          <t>Heads the Ash Council; a covert insider who knows of the Serpent's Blood mark.</t>
        </is>
      </c>
      <c r="C6" s="10" t="n"/>
      <c r="D6" s="11" t="n"/>
    </row>
    <row r="7">
      <c r="A7" s="3" t="inlineStr">
        <is>
          <t>Attitude Toward Players</t>
        </is>
      </c>
      <c r="B7" s="4" t="inlineStr">
        <is>
          <t>Knows the truth of the Returners; his memory resets each loop after death.</t>
        </is>
      </c>
      <c r="C7" s="10" t="n"/>
      <c r="D7" s="11" t="n"/>
    </row>
    <row r="8">
      <c r="A8" s="2" t="inlineStr">
        <is>
          <t>II. Five Attributes</t>
        </is>
      </c>
    </row>
    <row r="9">
      <c r="A9" s="3" t="inlineStr">
        <is>
          <t>Attribute</t>
        </is>
      </c>
      <c r="B9" s="5" t="inlineStr">
        <is>
          <t>Value</t>
        </is>
      </c>
      <c r="C9" s="5" t="inlineStr">
        <is>
          <t>Abbrev.</t>
        </is>
      </c>
    </row>
    <row r="10">
      <c r="A10" s="6" t="inlineStr">
        <is>
          <t>Insight (INS)</t>
        </is>
      </c>
      <c r="B10" s="7" t="n">
        <v>6</v>
      </c>
      <c r="C10" s="8" t="inlineStr">
        <is>
          <t>INS</t>
        </is>
      </c>
    </row>
    <row r="11">
      <c r="A11" s="6" t="inlineStr">
        <is>
          <t>Memory (MEM)</t>
        </is>
      </c>
      <c r="B11" s="7" t="n">
        <v>9</v>
      </c>
      <c r="C11" s="8" t="inlineStr">
        <is>
          <t>MEM</t>
        </is>
      </c>
    </row>
    <row r="12">
      <c r="A12" s="6" t="inlineStr">
        <is>
          <t>Execution (EXE)</t>
        </is>
      </c>
      <c r="B12" s="7" t="n">
        <v>4</v>
      </c>
      <c r="C12" s="8" t="inlineStr">
        <is>
          <t>EXE</t>
        </is>
      </c>
    </row>
    <row r="13">
      <c r="A13" s="6" t="inlineStr">
        <is>
          <t>Social (SOC)</t>
        </is>
      </c>
      <c r="B13" s="7" t="n">
        <v>8</v>
      </c>
      <c r="C13" s="8" t="inlineStr">
        <is>
          <t>SOC</t>
        </is>
      </c>
    </row>
    <row r="14">
      <c r="A14" s="6" t="inlineStr">
        <is>
          <t>Will (WIL)</t>
        </is>
      </c>
      <c r="B14" s="7" t="n">
        <v>7</v>
      </c>
      <c r="C14" s="8" t="inlineStr">
        <is>
          <t>WIL</t>
        </is>
      </c>
    </row>
    <row r="15"/>
    <row r="16">
      <c r="A16" s="2" t="inlineStr">
        <is>
          <t>III. Derived Attributes (Auto)</t>
        </is>
      </c>
    </row>
    <row r="17">
      <c r="A17" s="6" t="inlineStr">
        <is>
          <t>Hit Points (HP)</t>
        </is>
      </c>
      <c r="B17" s="9">
        <f>B12+B14+5</f>
        <v/>
      </c>
    </row>
    <row r="18">
      <c r="A18" s="6" t="inlineStr">
        <is>
          <t>Mind Points (MP)</t>
        </is>
      </c>
      <c r="B18" s="9">
        <f>B14+B11+3</f>
        <v/>
      </c>
    </row>
    <row r="19">
      <c r="A19" s="6" t="inlineStr">
        <is>
          <t>Armor Value (AV)</t>
        </is>
      </c>
      <c r="B19" s="7" t="n">
        <v>0</v>
      </c>
    </row>
    <row r="20">
      <c r="A20" s="6" t="inlineStr">
        <is>
          <t>Damage Tolerance (TOL)</t>
        </is>
      </c>
      <c r="B20" s="9">
        <f>B19+MIN(9,FLOOR((B12+B14)/4,1))</f>
        <v/>
      </c>
    </row>
    <row r="21"/>
    <row r="22">
      <c r="A22" s="2" t="inlineStr">
        <is>
          <t>IV. Behavior &amp; Weaknesses</t>
        </is>
      </c>
    </row>
    <row r="23">
      <c r="A23" s="3" t="inlineStr">
        <is>
          <t>AI Behavior</t>
        </is>
      </c>
      <c r="B23" s="4" t="inlineStr">
        <is>
          <t>Keeps a polite distance, trades information via Social / Persuasion; direct confrontation alerts the guards.</t>
        </is>
      </c>
      <c r="C23" s="10" t="n"/>
      <c r="D23" s="11" t="n"/>
    </row>
    <row r="24">
      <c r="A24" s="3" t="inlineStr">
        <is>
          <t>Weakness</t>
        </is>
      </c>
      <c r="B24" s="4" t="inlineStr">
        <is>
          <t>Arrogance: can be broken by "exposing his incompetence"; relies on the Eternal Well save point.</t>
        </is>
      </c>
      <c r="C24" s="10" t="n"/>
      <c r="D24" s="11" t="n"/>
    </row>
  </sheetData>
  <mergeCells count="11">
    <mergeCell ref="A1:D1"/>
    <mergeCell ref="B5:D5"/>
    <mergeCell ref="A8:D8"/>
    <mergeCell ref="A22:D22"/>
    <mergeCell ref="B23:D23"/>
    <mergeCell ref="A3:D3"/>
    <mergeCell ref="B4:D4"/>
    <mergeCell ref="A16:D16"/>
    <mergeCell ref="B7:D7"/>
    <mergeCell ref="B6:D6"/>
    <mergeCell ref="B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34" customWidth="1" min="4" max="4"/>
  </cols>
  <sheetData>
    <row r="1">
      <c r="A1" s="1" t="inlineStr">
        <is>
          <t>NPC: Guard Captain Kael</t>
        </is>
      </c>
    </row>
    <row r="2"/>
    <row r="3">
      <c r="A3" s="2" t="inlineStr">
        <is>
          <t>I. Basic Information</t>
        </is>
      </c>
    </row>
    <row r="4">
      <c r="A4" s="3" t="inlineStr">
        <is>
          <t>Type</t>
        </is>
      </c>
      <c r="B4" s="4" t="inlineStr">
        <is>
          <t>Human</t>
        </is>
      </c>
      <c r="C4" s="10" t="n"/>
      <c r="D4" s="11" t="n"/>
    </row>
    <row r="5">
      <c r="A5" s="3" t="inlineStr">
        <is>
          <t>AI Tier</t>
        </is>
      </c>
      <c r="B5" s="4" t="inlineStr">
        <is>
          <t>Trained</t>
        </is>
      </c>
      <c r="C5" s="10" t="n"/>
      <c r="D5" s="11" t="n"/>
    </row>
    <row r="6">
      <c r="A6" s="3" t="inlineStr">
        <is>
          <t>Key Information</t>
        </is>
      </c>
      <c r="B6" s="4" t="inlineStr">
        <is>
          <t>Commander of the mayor's private guard; loyal and efficient.</t>
        </is>
      </c>
      <c r="C6" s="10" t="n"/>
      <c r="D6" s="11" t="n"/>
    </row>
    <row r="7">
      <c r="A7" s="3" t="inlineStr">
        <is>
          <t>Attitude Toward Players</t>
        </is>
      </c>
      <c r="B7" s="4" t="inlineStr">
        <is>
          <t>Knows the mansion's layout and shift changes; can be an ally or obstacle.</t>
        </is>
      </c>
      <c r="C7" s="10" t="n"/>
      <c r="D7" s="11" t="n"/>
    </row>
    <row r="8">
      <c r="A8" s="2" t="inlineStr">
        <is>
          <t>II. Five Attributes</t>
        </is>
      </c>
    </row>
    <row r="9">
      <c r="A9" s="3" t="inlineStr">
        <is>
          <t>Attribute</t>
        </is>
      </c>
      <c r="B9" s="5" t="inlineStr">
        <is>
          <t>Value</t>
        </is>
      </c>
      <c r="C9" s="5" t="inlineStr">
        <is>
          <t>Abbrev.</t>
        </is>
      </c>
    </row>
    <row r="10">
      <c r="A10" s="6" t="inlineStr">
        <is>
          <t>Insight (INS)</t>
        </is>
      </c>
      <c r="B10" s="7" t="n">
        <v>5</v>
      </c>
      <c r="C10" s="8" t="inlineStr">
        <is>
          <t>INS</t>
        </is>
      </c>
    </row>
    <row r="11">
      <c r="A11" s="6" t="inlineStr">
        <is>
          <t>Memory (MEM)</t>
        </is>
      </c>
      <c r="B11" s="7" t="n">
        <v>4</v>
      </c>
      <c r="C11" s="8" t="inlineStr">
        <is>
          <t>MEM</t>
        </is>
      </c>
    </row>
    <row r="12">
      <c r="A12" s="6" t="inlineStr">
        <is>
          <t>Execution (EXE)</t>
        </is>
      </c>
      <c r="B12" s="7" t="n">
        <v>7</v>
      </c>
      <c r="C12" s="8" t="inlineStr">
        <is>
          <t>EXE</t>
        </is>
      </c>
    </row>
    <row r="13">
      <c r="A13" s="6" t="inlineStr">
        <is>
          <t>Social (SOC)</t>
        </is>
      </c>
      <c r="B13" s="7" t="n">
        <v>5</v>
      </c>
      <c r="C13" s="8" t="inlineStr">
        <is>
          <t>SOC</t>
        </is>
      </c>
    </row>
    <row r="14">
      <c r="A14" s="6" t="inlineStr">
        <is>
          <t>Will (WIL)</t>
        </is>
      </c>
      <c r="B14" s="7" t="n">
        <v>6</v>
      </c>
      <c r="C14" s="8" t="inlineStr">
        <is>
          <t>WIL</t>
        </is>
      </c>
    </row>
    <row r="15"/>
    <row r="16">
      <c r="A16" s="2" t="inlineStr">
        <is>
          <t>III. Derived Attributes (Auto)</t>
        </is>
      </c>
    </row>
    <row r="17">
      <c r="A17" s="6" t="inlineStr">
        <is>
          <t>Hit Points (HP)</t>
        </is>
      </c>
      <c r="B17" s="9">
        <f>B12+B14+5</f>
        <v/>
      </c>
    </row>
    <row r="18">
      <c r="A18" s="6" t="inlineStr">
        <is>
          <t>Mind Points (MP)</t>
        </is>
      </c>
      <c r="B18" s="9">
        <f>B14+B11+3</f>
        <v/>
      </c>
    </row>
    <row r="19">
      <c r="A19" s="6" t="inlineStr">
        <is>
          <t>Armor Value (AV)</t>
        </is>
      </c>
      <c r="B19" s="7" t="n">
        <v>0</v>
      </c>
    </row>
    <row r="20">
      <c r="A20" s="6" t="inlineStr">
        <is>
          <t>Damage Tolerance (TOL)</t>
        </is>
      </c>
      <c r="B20" s="9">
        <f>B19+MIN(9,FLOOR((B12+B14)/4,1))</f>
        <v/>
      </c>
    </row>
    <row r="21"/>
    <row r="22">
      <c r="A22" s="2" t="inlineStr">
        <is>
          <t>IV. Behavior &amp; Weaknesses</t>
        </is>
      </c>
    </row>
    <row r="23">
      <c r="A23" s="3" t="inlineStr">
        <is>
          <t>AI Behavior</t>
        </is>
      </c>
      <c r="B23" s="4" t="inlineStr">
        <is>
          <t>Flanking tactics (+2); retreats in order and calls reinforcements when HP &lt; 60%.</t>
        </is>
      </c>
      <c r="C23" s="10" t="n"/>
      <c r="D23" s="11" t="n"/>
    </row>
    <row r="24">
      <c r="A24" s="3" t="inlineStr">
        <is>
          <t>Weakness</t>
        </is>
      </c>
      <c r="B24" s="4" t="inlineStr">
        <is>
          <t>Sense of honor: won't ambush in a fair duel; the gap between shifts can be exploited one by one.</t>
        </is>
      </c>
      <c r="C24" s="10" t="n"/>
      <c r="D24" s="11" t="n"/>
    </row>
  </sheetData>
  <mergeCells count="11">
    <mergeCell ref="A1:D1"/>
    <mergeCell ref="B5:D5"/>
    <mergeCell ref="A8:D8"/>
    <mergeCell ref="A22:D22"/>
    <mergeCell ref="B23:D23"/>
    <mergeCell ref="A3:D3"/>
    <mergeCell ref="B4:D4"/>
    <mergeCell ref="A16:D16"/>
    <mergeCell ref="B7:D7"/>
    <mergeCell ref="B6:D6"/>
    <mergeCell ref="B24:D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34" customWidth="1" min="4" max="4"/>
  </cols>
  <sheetData>
    <row r="1">
      <c r="A1" s="1" t="inlineStr">
        <is>
          <t>NPC: Widow Vera</t>
        </is>
      </c>
    </row>
    <row r="2"/>
    <row r="3">
      <c r="A3" s="2" t="inlineStr">
        <is>
          <t>I. Basic Information</t>
        </is>
      </c>
    </row>
    <row r="4">
      <c r="A4" s="3" t="inlineStr">
        <is>
          <t>Type</t>
        </is>
      </c>
      <c r="B4" s="4" t="inlineStr">
        <is>
          <t>Human</t>
        </is>
      </c>
      <c r="C4" s="10" t="n"/>
      <c r="D4" s="11" t="n"/>
    </row>
    <row r="5">
      <c r="A5" s="3" t="inlineStr">
        <is>
          <t>AI Tier</t>
        </is>
      </c>
      <c r="B5" s="4" t="inlineStr">
        <is>
          <t>Cunning</t>
        </is>
      </c>
      <c r="C5" s="10" t="n"/>
      <c r="D5" s="11" t="n"/>
    </row>
    <row r="6">
      <c r="A6" s="3" t="inlineStr">
        <is>
          <t>Key Information</t>
        </is>
      </c>
      <c r="B6" s="4" t="inlineStr">
        <is>
          <t>Hearth District merchant, information broker, debtor to the mayor.</t>
        </is>
      </c>
      <c r="C6" s="10" t="n"/>
      <c r="D6" s="11" t="n"/>
    </row>
    <row r="7">
      <c r="A7" s="3" t="inlineStr">
        <is>
          <t>Attitude Toward Players</t>
        </is>
      </c>
      <c r="B7" s="4" t="inlineStr">
        <is>
          <t>Controls money flows and the underground information network.</t>
        </is>
      </c>
      <c r="C7" s="10" t="n"/>
      <c r="D7" s="11" t="n"/>
    </row>
    <row r="8">
      <c r="A8" s="2" t="inlineStr">
        <is>
          <t>II. Five Attributes</t>
        </is>
      </c>
    </row>
    <row r="9">
      <c r="A9" s="3" t="inlineStr">
        <is>
          <t>Attribute</t>
        </is>
      </c>
      <c r="B9" s="5" t="inlineStr">
        <is>
          <t>Value</t>
        </is>
      </c>
      <c r="C9" s="5" t="inlineStr">
        <is>
          <t>Abbrev.</t>
        </is>
      </c>
    </row>
    <row r="10">
      <c r="A10" s="6" t="inlineStr">
        <is>
          <t>Insight (INS)</t>
        </is>
      </c>
      <c r="B10" s="7" t="n">
        <v>5</v>
      </c>
      <c r="C10" s="8" t="inlineStr">
        <is>
          <t>INS</t>
        </is>
      </c>
    </row>
    <row r="11">
      <c r="A11" s="6" t="inlineStr">
        <is>
          <t>Memory (MEM)</t>
        </is>
      </c>
      <c r="B11" s="7" t="n">
        <v>6</v>
      </c>
      <c r="C11" s="8" t="inlineStr">
        <is>
          <t>MEM</t>
        </is>
      </c>
    </row>
    <row r="12">
      <c r="A12" s="6" t="inlineStr">
        <is>
          <t>Execution (EXE)</t>
        </is>
      </c>
      <c r="B12" s="7" t="n">
        <v>4</v>
      </c>
      <c r="C12" s="8" t="inlineStr">
        <is>
          <t>EXE</t>
        </is>
      </c>
    </row>
    <row r="13">
      <c r="A13" s="6" t="inlineStr">
        <is>
          <t>Social (SOC)</t>
        </is>
      </c>
      <c r="B13" s="7" t="n">
        <v>8</v>
      </c>
      <c r="C13" s="8" t="inlineStr">
        <is>
          <t>SOC</t>
        </is>
      </c>
    </row>
    <row r="14">
      <c r="A14" s="6" t="inlineStr">
        <is>
          <t>Will (WIL)</t>
        </is>
      </c>
      <c r="B14" s="7" t="n">
        <v>5</v>
      </c>
      <c r="C14" s="8" t="inlineStr">
        <is>
          <t>WIL</t>
        </is>
      </c>
    </row>
    <row r="15"/>
    <row r="16">
      <c r="A16" s="2" t="inlineStr">
        <is>
          <t>III. Derived Attributes (Auto)</t>
        </is>
      </c>
    </row>
    <row r="17">
      <c r="A17" s="6" t="inlineStr">
        <is>
          <t>Hit Points (HP)</t>
        </is>
      </c>
      <c r="B17" s="9">
        <f>B12+B14+5</f>
        <v/>
      </c>
    </row>
    <row r="18">
      <c r="A18" s="6" t="inlineStr">
        <is>
          <t>Mind Points (MP)</t>
        </is>
      </c>
      <c r="B18" s="9">
        <f>B14+B11+3</f>
        <v/>
      </c>
    </row>
    <row r="19">
      <c r="A19" s="6" t="inlineStr">
        <is>
          <t>Armor Value (AV)</t>
        </is>
      </c>
      <c r="B19" s="7" t="n">
        <v>0</v>
      </c>
    </row>
    <row r="20">
      <c r="A20" s="6" t="inlineStr">
        <is>
          <t>Damage Tolerance (TOL)</t>
        </is>
      </c>
      <c r="B20" s="9">
        <f>B19+MIN(9,FLOOR((B12+B14)/4,1))</f>
        <v/>
      </c>
    </row>
    <row r="21"/>
    <row r="22">
      <c r="A22" s="2" t="inlineStr">
        <is>
          <t>IV. Behavior &amp; Weaknesses</t>
        </is>
      </c>
    </row>
    <row r="23">
      <c r="A23" s="3" t="inlineStr">
        <is>
          <t>AI Behavior</t>
        </is>
      </c>
      <c r="B23" s="4" t="inlineStr">
        <is>
          <t>Trades information for profit; Persuasion DC medium-high.</t>
        </is>
      </c>
      <c r="C23" s="10" t="n"/>
      <c r="D23" s="11" t="n"/>
    </row>
    <row r="24">
      <c r="A24" s="3" t="inlineStr">
        <is>
          <t>Weakness</t>
        </is>
      </c>
      <c r="B24" s="4" t="inlineStr">
        <is>
          <t>Greedy: can be bribed with money or rare fragments; fears losing the shop.</t>
        </is>
      </c>
      <c r="C24" s="10" t="n"/>
      <c r="D24" s="11" t="n"/>
    </row>
  </sheetData>
  <mergeCells count="11">
    <mergeCell ref="A1:D1"/>
    <mergeCell ref="B5:D5"/>
    <mergeCell ref="A8:D8"/>
    <mergeCell ref="A22:D22"/>
    <mergeCell ref="B23:D23"/>
    <mergeCell ref="A3:D3"/>
    <mergeCell ref="B4:D4"/>
    <mergeCell ref="A16:D16"/>
    <mergeCell ref="B7:D7"/>
    <mergeCell ref="B6:D6"/>
    <mergeCell ref="B24:D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34" customWidth="1" min="4" max="4"/>
  </cols>
  <sheetData>
    <row r="1">
      <c r="A1" s="1" t="inlineStr">
        <is>
          <t>NPC: Scholar Old Finley</t>
        </is>
      </c>
    </row>
    <row r="2"/>
    <row r="3">
      <c r="A3" s="2" t="inlineStr">
        <is>
          <t>I. Basic Information</t>
        </is>
      </c>
    </row>
    <row r="4">
      <c r="A4" s="3" t="inlineStr">
        <is>
          <t>Type</t>
        </is>
      </c>
      <c r="B4" s="4" t="inlineStr">
        <is>
          <t>Human</t>
        </is>
      </c>
      <c r="C4" s="10" t="n"/>
      <c r="D4" s="11" t="n"/>
    </row>
    <row r="5">
      <c r="A5" s="3" t="inlineStr">
        <is>
          <t>AI Tier</t>
        </is>
      </c>
      <c r="B5" s="4" t="inlineStr">
        <is>
          <t>Cunning</t>
        </is>
      </c>
      <c r="C5" s="10" t="n"/>
      <c r="D5" s="11" t="n"/>
    </row>
    <row r="6">
      <c r="A6" s="3" t="inlineStr">
        <is>
          <t>Key Information</t>
        </is>
      </c>
      <c r="B6" s="4" t="inlineStr">
        <is>
          <t>Researcher at the Tower of Time, specializing in temporal anomalies.</t>
        </is>
      </c>
      <c r="C6" s="10" t="n"/>
      <c r="D6" s="11" t="n"/>
    </row>
    <row r="7">
      <c r="A7" s="3" t="inlineStr">
        <is>
          <t>Attitude Toward Players</t>
        </is>
      </c>
      <c r="B7" s="4" t="inlineStr">
        <is>
          <t>Explains the time-loop mechanism; provides weakness knowledge.</t>
        </is>
      </c>
      <c r="C7" s="10" t="n"/>
      <c r="D7" s="11" t="n"/>
    </row>
    <row r="8">
      <c r="A8" s="2" t="inlineStr">
        <is>
          <t>II. Five Attributes</t>
        </is>
      </c>
    </row>
    <row r="9">
      <c r="A9" s="3" t="inlineStr">
        <is>
          <t>Attribute</t>
        </is>
      </c>
      <c r="B9" s="5" t="inlineStr">
        <is>
          <t>Value</t>
        </is>
      </c>
      <c r="C9" s="5" t="inlineStr">
        <is>
          <t>Abbrev.</t>
        </is>
      </c>
    </row>
    <row r="10">
      <c r="A10" s="6" t="inlineStr">
        <is>
          <t>Insight (INS)</t>
        </is>
      </c>
      <c r="B10" s="7" t="n">
        <v>8</v>
      </c>
      <c r="C10" s="8" t="inlineStr">
        <is>
          <t>INS</t>
        </is>
      </c>
    </row>
    <row r="11">
      <c r="A11" s="6" t="inlineStr">
        <is>
          <t>Memory (MEM)</t>
        </is>
      </c>
      <c r="B11" s="7" t="n">
        <v>7</v>
      </c>
      <c r="C11" s="8" t="inlineStr">
        <is>
          <t>MEM</t>
        </is>
      </c>
    </row>
    <row r="12">
      <c r="A12" s="6" t="inlineStr">
        <is>
          <t>Execution (EXE)</t>
        </is>
      </c>
      <c r="B12" s="7" t="n">
        <v>4</v>
      </c>
      <c r="C12" s="8" t="inlineStr">
        <is>
          <t>EXE</t>
        </is>
      </c>
    </row>
    <row r="13">
      <c r="A13" s="6" t="inlineStr">
        <is>
          <t>Social (SOC)</t>
        </is>
      </c>
      <c r="B13" s="7" t="n">
        <v>5</v>
      </c>
      <c r="C13" s="8" t="inlineStr">
        <is>
          <t>SOC</t>
        </is>
      </c>
    </row>
    <row r="14">
      <c r="A14" s="6" t="inlineStr">
        <is>
          <t>Will (WIL)</t>
        </is>
      </c>
      <c r="B14" s="7" t="n">
        <v>6</v>
      </c>
      <c r="C14" s="8" t="inlineStr">
        <is>
          <t>WIL</t>
        </is>
      </c>
    </row>
    <row r="15"/>
    <row r="16">
      <c r="A16" s="2" t="inlineStr">
        <is>
          <t>III. Derived Attributes (Auto)</t>
        </is>
      </c>
    </row>
    <row r="17">
      <c r="A17" s="6" t="inlineStr">
        <is>
          <t>Hit Points (HP)</t>
        </is>
      </c>
      <c r="B17" s="9">
        <f>B12+B14+5</f>
        <v/>
      </c>
    </row>
    <row r="18">
      <c r="A18" s="6" t="inlineStr">
        <is>
          <t>Mind Points (MP)</t>
        </is>
      </c>
      <c r="B18" s="9">
        <f>B14+B11+3</f>
        <v/>
      </c>
    </row>
    <row r="19">
      <c r="A19" s="6" t="inlineStr">
        <is>
          <t>Armor Value (AV)</t>
        </is>
      </c>
      <c r="B19" s="7" t="n">
        <v>0</v>
      </c>
    </row>
    <row r="20">
      <c r="A20" s="6" t="inlineStr">
        <is>
          <t>Damage Tolerance (TOL)</t>
        </is>
      </c>
      <c r="B20" s="9">
        <f>B19+MIN(9,FLOOR((B12+B14)/4,1))</f>
        <v/>
      </c>
    </row>
    <row r="21"/>
    <row r="22">
      <c r="A22" s="2" t="inlineStr">
        <is>
          <t>IV. Behavior &amp; Weaknesses</t>
        </is>
      </c>
    </row>
    <row r="23">
      <c r="A23" s="3" t="inlineStr">
        <is>
          <t>AI Behavior</t>
        </is>
      </c>
      <c r="B23" s="4" t="inlineStr">
        <is>
          <t>Prefers Conversation Mining and Reconnaissance; weak in combat.</t>
        </is>
      </c>
      <c r="C23" s="10" t="n"/>
      <c r="D23" s="11" t="n"/>
    </row>
    <row r="24">
      <c r="A24" s="3" t="inlineStr">
        <is>
          <t>Weakness</t>
        </is>
      </c>
      <c r="B24" s="4" t="inlineStr">
        <is>
          <t>Curious: can be lured into revealing secrets with new anomaly samples.</t>
        </is>
      </c>
      <c r="C24" s="10" t="n"/>
      <c r="D24" s="11" t="n"/>
    </row>
  </sheetData>
  <mergeCells count="11">
    <mergeCell ref="A1:D1"/>
    <mergeCell ref="B5:D5"/>
    <mergeCell ref="A8:D8"/>
    <mergeCell ref="A22:D22"/>
    <mergeCell ref="B23:D23"/>
    <mergeCell ref="A3:D3"/>
    <mergeCell ref="B4:D4"/>
    <mergeCell ref="A16:D16"/>
    <mergeCell ref="B7:D7"/>
    <mergeCell ref="B6:D6"/>
    <mergeCell ref="B24:D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34" customWidth="1" min="4" max="4"/>
  </cols>
  <sheetData>
    <row r="1">
      <c r="A1" s="1" t="inlineStr">
        <is>
          <t>NPC: Shadow Contact Shadow</t>
        </is>
      </c>
    </row>
    <row r="2"/>
    <row r="3">
      <c r="A3" s="2" t="inlineStr">
        <is>
          <t>I. Basic Information</t>
        </is>
      </c>
    </row>
    <row r="4">
      <c r="A4" s="3" t="inlineStr">
        <is>
          <t>Type</t>
        </is>
      </c>
      <c r="B4" s="4" t="inlineStr">
        <is>
          <t>Human</t>
        </is>
      </c>
      <c r="C4" s="10" t="n"/>
      <c r="D4" s="11" t="n"/>
    </row>
    <row r="5">
      <c r="A5" s="3" t="inlineStr">
        <is>
          <t>AI Tier</t>
        </is>
      </c>
      <c r="B5" s="4" t="inlineStr">
        <is>
          <t>Cunning</t>
        </is>
      </c>
      <c r="C5" s="10" t="n"/>
      <c r="D5" s="11" t="n"/>
    </row>
    <row r="6">
      <c r="A6" s="3" t="inlineStr">
        <is>
          <t>Key Information</t>
        </is>
      </c>
      <c r="B6" s="4" t="inlineStr">
        <is>
          <t>Outer member of the Shadow Guild; broker of information and assassination.</t>
        </is>
      </c>
      <c r="C6" s="10" t="n"/>
      <c r="D6" s="11" t="n"/>
    </row>
    <row r="7">
      <c r="A7" s="3" t="inlineStr">
        <is>
          <t>Attitude Toward Players</t>
        </is>
      </c>
      <c r="B7" s="4" t="inlineStr">
        <is>
          <t>Provides black-market and guild contracts; can be hired.</t>
        </is>
      </c>
      <c r="C7" s="10" t="n"/>
      <c r="D7" s="11" t="n"/>
    </row>
    <row r="8">
      <c r="A8" s="2" t="inlineStr">
        <is>
          <t>II. Five Attributes</t>
        </is>
      </c>
    </row>
    <row r="9">
      <c r="A9" s="3" t="inlineStr">
        <is>
          <t>Attribute</t>
        </is>
      </c>
      <c r="B9" s="5" t="inlineStr">
        <is>
          <t>Value</t>
        </is>
      </c>
      <c r="C9" s="5" t="inlineStr">
        <is>
          <t>Abbrev.</t>
        </is>
      </c>
    </row>
    <row r="10">
      <c r="A10" s="6" t="inlineStr">
        <is>
          <t>Insight (INS)</t>
        </is>
      </c>
      <c r="B10" s="7" t="n">
        <v>7</v>
      </c>
      <c r="C10" s="8" t="inlineStr">
        <is>
          <t>INS</t>
        </is>
      </c>
    </row>
    <row r="11">
      <c r="A11" s="6" t="inlineStr">
        <is>
          <t>Memory (MEM)</t>
        </is>
      </c>
      <c r="B11" s="7" t="n">
        <v>5</v>
      </c>
      <c r="C11" s="8" t="inlineStr">
        <is>
          <t>MEM</t>
        </is>
      </c>
    </row>
    <row r="12">
      <c r="A12" s="6" t="inlineStr">
        <is>
          <t>Execution (EXE)</t>
        </is>
      </c>
      <c r="B12" s="7" t="n">
        <v>8</v>
      </c>
      <c r="C12" s="8" t="inlineStr">
        <is>
          <t>EXE</t>
        </is>
      </c>
    </row>
    <row r="13">
      <c r="A13" s="6" t="inlineStr">
        <is>
          <t>Social (SOC)</t>
        </is>
      </c>
      <c r="B13" s="7" t="n">
        <v>6</v>
      </c>
      <c r="C13" s="8" t="inlineStr">
        <is>
          <t>SOC</t>
        </is>
      </c>
    </row>
    <row r="14">
      <c r="A14" s="6" t="inlineStr">
        <is>
          <t>Will (WIL)</t>
        </is>
      </c>
      <c r="B14" s="7" t="n">
        <v>5</v>
      </c>
      <c r="C14" s="8" t="inlineStr">
        <is>
          <t>WIL</t>
        </is>
      </c>
    </row>
    <row r="15"/>
    <row r="16">
      <c r="A16" s="2" t="inlineStr">
        <is>
          <t>III. Derived Attributes (Auto)</t>
        </is>
      </c>
    </row>
    <row r="17">
      <c r="A17" s="6" t="inlineStr">
        <is>
          <t>Hit Points (HP)</t>
        </is>
      </c>
      <c r="B17" s="9">
        <f>B12+B14+5</f>
        <v/>
      </c>
    </row>
    <row r="18">
      <c r="A18" s="6" t="inlineStr">
        <is>
          <t>Mind Points (MP)</t>
        </is>
      </c>
      <c r="B18" s="9">
        <f>B14+B11+3</f>
        <v/>
      </c>
    </row>
    <row r="19">
      <c r="A19" s="6" t="inlineStr">
        <is>
          <t>Armor Value (AV)</t>
        </is>
      </c>
      <c r="B19" s="7" t="n">
        <v>0</v>
      </c>
    </row>
    <row r="20">
      <c r="A20" s="6" t="inlineStr">
        <is>
          <t>Damage Tolerance (TOL)</t>
        </is>
      </c>
      <c r="B20" s="9">
        <f>B19+MIN(9,FLOOR((B12+B14)/4,1))</f>
        <v/>
      </c>
    </row>
    <row r="21"/>
    <row r="22">
      <c r="A22" s="2" t="inlineStr">
        <is>
          <t>IV. Behavior &amp; Weaknesses</t>
        </is>
      </c>
    </row>
    <row r="23">
      <c r="A23" s="3" t="inlineStr">
        <is>
          <t>AI Behavior</t>
        </is>
      </c>
      <c r="B23" s="4" t="inlineStr">
        <is>
          <t>Stealth and ambush; strong first-strike advantage.</t>
        </is>
      </c>
      <c r="C23" s="10" t="n"/>
      <c r="D23" s="11" t="n"/>
    </row>
    <row r="24">
      <c r="A24" s="3" t="inlineStr">
        <is>
          <t>Weakness</t>
        </is>
      </c>
      <c r="B24" s="4" t="inlineStr">
        <is>
          <t>Anonymous: exposing his true name strips his cover; fears guild punishment.</t>
        </is>
      </c>
      <c r="C24" s="10" t="n"/>
      <c r="D24" s="11" t="n"/>
    </row>
  </sheetData>
  <mergeCells count="11">
    <mergeCell ref="A1:D1"/>
    <mergeCell ref="B5:D5"/>
    <mergeCell ref="A8:D8"/>
    <mergeCell ref="A22:D22"/>
    <mergeCell ref="B23:D23"/>
    <mergeCell ref="A3:D3"/>
    <mergeCell ref="B4:D4"/>
    <mergeCell ref="A16:D16"/>
    <mergeCell ref="B7:D7"/>
    <mergeCell ref="B6:D6"/>
    <mergeCell ref="B24:D2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34" customWidth="1" min="4" max="4"/>
  </cols>
  <sheetData>
    <row r="1">
      <c r="A1" s="1" t="inlineStr">
        <is>
          <t>NPC: Sister Lia</t>
        </is>
      </c>
    </row>
    <row r="2"/>
    <row r="3">
      <c r="A3" s="2" t="inlineStr">
        <is>
          <t>I. Basic Information</t>
        </is>
      </c>
    </row>
    <row r="4">
      <c r="A4" s="3" t="inlineStr">
        <is>
          <t>Type</t>
        </is>
      </c>
      <c r="B4" s="4" t="inlineStr">
        <is>
          <t>Human</t>
        </is>
      </c>
      <c r="C4" s="10" t="n"/>
      <c r="D4" s="11" t="n"/>
    </row>
    <row r="5">
      <c r="A5" s="3" t="inlineStr">
        <is>
          <t>AI Tier</t>
        </is>
      </c>
      <c r="B5" s="4" t="inlineStr">
        <is>
          <t>Trained</t>
        </is>
      </c>
      <c r="C5" s="10" t="n"/>
      <c r="D5" s="11" t="n"/>
    </row>
    <row r="6">
      <c r="A6" s="3" t="inlineStr">
        <is>
          <t>Key Information</t>
        </is>
      </c>
      <c r="B6" s="4" t="inlineStr">
        <is>
          <t>Nun of the Holy Relic Cathedral; cares for Returners.</t>
        </is>
      </c>
      <c r="C6" s="10" t="n"/>
      <c r="D6" s="11" t="n"/>
    </row>
    <row r="7">
      <c r="A7" s="3" t="inlineStr">
        <is>
          <t>Attitude Toward Players</t>
        </is>
      </c>
      <c r="B7" s="4" t="inlineStr">
        <is>
          <t>Guides players to understand Rift Marks; provides healing.</t>
        </is>
      </c>
      <c r="C7" s="10" t="n"/>
      <c r="D7" s="11" t="n"/>
    </row>
    <row r="8">
      <c r="A8" s="2" t="inlineStr">
        <is>
          <t>II. Five Attributes</t>
        </is>
      </c>
    </row>
    <row r="9">
      <c r="A9" s="3" t="inlineStr">
        <is>
          <t>Attribute</t>
        </is>
      </c>
      <c r="B9" s="5" t="inlineStr">
        <is>
          <t>Value</t>
        </is>
      </c>
      <c r="C9" s="5" t="inlineStr">
        <is>
          <t>Abbrev.</t>
        </is>
      </c>
    </row>
    <row r="10">
      <c r="A10" s="6" t="inlineStr">
        <is>
          <t>Insight (INS)</t>
        </is>
      </c>
      <c r="B10" s="7" t="n">
        <v>4</v>
      </c>
      <c r="C10" s="8" t="inlineStr">
        <is>
          <t>INS</t>
        </is>
      </c>
    </row>
    <row r="11">
      <c r="A11" s="6" t="inlineStr">
        <is>
          <t>Memory (MEM)</t>
        </is>
      </c>
      <c r="B11" s="7" t="n">
        <v>5</v>
      </c>
      <c r="C11" s="8" t="inlineStr">
        <is>
          <t>MEM</t>
        </is>
      </c>
    </row>
    <row r="12">
      <c r="A12" s="6" t="inlineStr">
        <is>
          <t>Execution (EXE)</t>
        </is>
      </c>
      <c r="B12" s="7" t="n">
        <v>4</v>
      </c>
      <c r="C12" s="8" t="inlineStr">
        <is>
          <t>EXE</t>
        </is>
      </c>
    </row>
    <row r="13">
      <c r="A13" s="6" t="inlineStr">
        <is>
          <t>Social (SOC)</t>
        </is>
      </c>
      <c r="B13" s="7" t="n">
        <v>6</v>
      </c>
      <c r="C13" s="8" t="inlineStr">
        <is>
          <t>SOC</t>
        </is>
      </c>
    </row>
    <row r="14">
      <c r="A14" s="6" t="inlineStr">
        <is>
          <t>Will (WIL)</t>
        </is>
      </c>
      <c r="B14" s="7" t="n">
        <v>8</v>
      </c>
      <c r="C14" s="8" t="inlineStr">
        <is>
          <t>WIL</t>
        </is>
      </c>
    </row>
    <row r="15"/>
    <row r="16">
      <c r="A16" s="2" t="inlineStr">
        <is>
          <t>III. Derived Attributes (Auto)</t>
        </is>
      </c>
    </row>
    <row r="17">
      <c r="A17" s="6" t="inlineStr">
        <is>
          <t>Hit Points (HP)</t>
        </is>
      </c>
      <c r="B17" s="9">
        <f>B12+B14+5</f>
        <v/>
      </c>
    </row>
    <row r="18">
      <c r="A18" s="6" t="inlineStr">
        <is>
          <t>Mind Points (MP)</t>
        </is>
      </c>
      <c r="B18" s="9">
        <f>B14+B11+3</f>
        <v/>
      </c>
    </row>
    <row r="19">
      <c r="A19" s="6" t="inlineStr">
        <is>
          <t>Armor Value (AV)</t>
        </is>
      </c>
      <c r="B19" s="7" t="n">
        <v>0</v>
      </c>
    </row>
    <row r="20">
      <c r="A20" s="6" t="inlineStr">
        <is>
          <t>Damage Tolerance (TOL)</t>
        </is>
      </c>
      <c r="B20" s="9">
        <f>B19+MIN(9,FLOOR((B12+B14)/4,1))</f>
        <v/>
      </c>
    </row>
    <row r="21"/>
    <row r="22">
      <c r="A22" s="2" t="inlineStr">
        <is>
          <t>IV. Behavior &amp; Weaknesses</t>
        </is>
      </c>
    </row>
    <row r="23">
      <c r="A23" s="3" t="inlineStr">
        <is>
          <t>AI Behavior</t>
        </is>
      </c>
      <c r="B23" s="4" t="inlineStr">
        <is>
          <t>Sustained by Will and faith; non-combat type.</t>
        </is>
      </c>
      <c r="C23" s="10" t="n"/>
      <c r="D23" s="11" t="n"/>
    </row>
    <row r="24">
      <c r="A24" s="3" t="inlineStr">
        <is>
          <t>Weakness</t>
        </is>
      </c>
      <c r="B24" s="4" t="inlineStr">
        <is>
          <t>Pious: desecrating doctrine enrages her; can be moved by emotion to assist.</t>
        </is>
      </c>
      <c r="C24" s="10" t="n"/>
      <c r="D24" s="11" t="n"/>
    </row>
  </sheetData>
  <mergeCells count="11">
    <mergeCell ref="A1:D1"/>
    <mergeCell ref="B5:D5"/>
    <mergeCell ref="A8:D8"/>
    <mergeCell ref="A22:D22"/>
    <mergeCell ref="B23:D23"/>
    <mergeCell ref="A3:D3"/>
    <mergeCell ref="B4:D4"/>
    <mergeCell ref="A16:D16"/>
    <mergeCell ref="B7:D7"/>
    <mergeCell ref="B6:D6"/>
    <mergeCell ref="B24:D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2026-07-17T01:08:35Z</dcterms:created>
  <dcterms:modified xsi:type="dcterms:W3CDTF">2026-08-10T07:49:23Z</dcterms:modified>
</cp:coreProperties>
</file>