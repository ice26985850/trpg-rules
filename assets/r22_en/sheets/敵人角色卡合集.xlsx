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et Thug" sheetId="1" state="visible" r:id="rId1"/>
    <sheet name="Guard" sheetId="2" state="visible" r:id="rId2"/>
    <sheet name="Twisted Beast" sheetId="3" state="visible" r:id="rId3"/>
    <sheet name="Renegade Knight" sheetId="4" state="visible" r:id="rId4"/>
    <sheet name="Guild Assassin" sheetId="5" state="visible" r:id="rId5"/>
    <sheet name="Temporal Echo" sheetId="6" state="visible" r:id="rId6"/>
    <sheet name="Lady Viper" sheetId="7" state="visible" r:id="rId7"/>
    <sheet name="Time Devourer Prototype" sheetId="8" state="visible" r:id="rId8"/>
    <sheet name="Undead Sentinel" sheetId="9" state="visible" r:id="rId9"/>
    <sheet name="Immortal Inquisito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</font>
    <font>
      <name val="微軟正黑體"/>
      <b val="1"/>
    </font>
    <font>
      <name val="微軟正黑體"/>
    </font>
  </fonts>
  <fills count="8">
    <fill>
      <patternFill/>
    </fill>
    <fill>
      <patternFill patternType="gray125"/>
    </fill>
    <fill>
      <patternFill patternType="solid">
        <fgColor rgb="004B2E83"/>
      </patternFill>
    </fill>
    <fill>
      <patternFill patternType="solid">
        <fgColor rgb="001F7A8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0" customWidth="1" min="4" max="4"/>
  </cols>
  <sheetData>
    <row r="1">
      <c r="A1" s="1" t="inlineStr">
        <is>
          <t>Enemy: Street Thug (CR 2)</t>
        </is>
      </c>
    </row>
    <row r="2"/>
    <row r="3">
      <c r="A3" s="2" t="inlineStr">
        <is>
          <t>I. Basic Information</t>
        </is>
      </c>
    </row>
    <row r="4">
      <c r="A4" s="3" t="inlineStr">
        <is>
          <t>Type</t>
        </is>
      </c>
      <c r="B4" s="4" t="inlineStr">
        <is>
          <t>Human</t>
        </is>
      </c>
      <c r="C4" s="11" t="n"/>
      <c r="D4" s="12" t="n"/>
    </row>
    <row r="5">
      <c r="A5" s="3" t="inlineStr">
        <is>
          <t>Difficulty</t>
        </is>
      </c>
      <c r="B5" s="4" t="inlineStr">
        <is>
          <t>Minion</t>
        </is>
      </c>
      <c r="C5" s="11" t="n"/>
      <c r="D5" s="12" t="n"/>
    </row>
    <row r="6">
      <c r="A6" s="3" t="inlineStr">
        <is>
          <t>AI Tier</t>
        </is>
      </c>
      <c r="B6" s="4" t="inlineStr">
        <is>
          <t>Ordinary</t>
        </is>
      </c>
      <c r="C6" s="11" t="n"/>
      <c r="D6" s="12" t="n"/>
    </row>
    <row r="7">
      <c r="A7" s="3" t="inlineStr">
        <is>
          <t>CR</t>
        </is>
      </c>
      <c r="B7" s="4" t="n">
        <v>2</v>
      </c>
      <c r="C7" s="11" t="n"/>
      <c r="D7" s="12" t="n"/>
    </row>
    <row r="8">
      <c r="A8" s="2" t="inlineStr">
        <is>
          <t>II. Five Attributes</t>
        </is>
      </c>
    </row>
    <row r="9">
      <c r="A9" s="3" t="inlineStr">
        <is>
          <t>Attribute</t>
        </is>
      </c>
      <c r="B9" s="5" t="inlineStr">
        <is>
          <t>Value</t>
        </is>
      </c>
      <c r="C9" s="5" t="inlineStr">
        <is>
          <t>Abbrev.</t>
        </is>
      </c>
    </row>
    <row r="10">
      <c r="A10" s="6" t="inlineStr">
        <is>
          <t>Insight (INS)</t>
        </is>
      </c>
      <c r="B10" s="7" t="n">
        <v>2</v>
      </c>
      <c r="C10" s="8" t="inlineStr">
        <is>
          <t>INS</t>
        </is>
      </c>
    </row>
    <row r="11">
      <c r="A11" s="6" t="inlineStr">
        <is>
          <t>Memory (MEM)</t>
        </is>
      </c>
      <c r="B11" s="7" t="n">
        <v>1</v>
      </c>
      <c r="C11" s="8" t="inlineStr">
        <is>
          <t>MEM</t>
        </is>
      </c>
    </row>
    <row r="12">
      <c r="A12" s="6" t="inlineStr">
        <is>
          <t>Execution (EXE)</t>
        </is>
      </c>
      <c r="B12" s="7" t="n">
        <v>3</v>
      </c>
      <c r="C12" s="8" t="inlineStr">
        <is>
          <t>EXE</t>
        </is>
      </c>
    </row>
    <row r="13">
      <c r="A13" s="6" t="inlineStr">
        <is>
          <t>Social (SOC)</t>
        </is>
      </c>
      <c r="B13" s="7" t="n">
        <v>2</v>
      </c>
      <c r="C13" s="8" t="inlineStr">
        <is>
          <t>SOC</t>
        </is>
      </c>
    </row>
    <row r="14">
      <c r="A14" s="6" t="inlineStr">
        <is>
          <t>Will (WIL)</t>
        </is>
      </c>
      <c r="B14" s="7" t="n">
        <v>2</v>
      </c>
      <c r="C14" s="8" t="inlineStr">
        <is>
          <t>WIL</t>
        </is>
      </c>
    </row>
    <row r="15"/>
    <row r="16">
      <c r="A16" s="2" t="inlineStr">
        <is>
          <t>III. Combat Values</t>
        </is>
      </c>
    </row>
    <row r="17">
      <c r="A17" s="3" t="inlineStr">
        <is>
          <t>Value</t>
        </is>
      </c>
      <c r="B17" s="5" t="inlineStr">
        <is>
          <t>Value</t>
        </is>
      </c>
      <c r="C17" s="3" t="inlineStr">
        <is>
          <t>Notes</t>
        </is>
      </c>
    </row>
    <row r="18">
      <c r="A18" s="6" t="inlineStr">
        <is>
          <t>Hit Points (HP)</t>
        </is>
      </c>
      <c r="B18" s="7" t="n">
        <v>9</v>
      </c>
      <c r="C18" s="9" t="inlineStr">
        <is>
          <t>Codex Value</t>
        </is>
      </c>
      <c r="D18" s="12" t="n"/>
    </row>
    <row r="19">
      <c r="A19" s="6" t="inlineStr">
        <is>
          <t>Damage Tolerance (TOL)</t>
        </is>
      </c>
      <c r="B19" s="7" t="n">
        <v>1</v>
      </c>
      <c r="C19" s="9" t="inlineStr">
        <is>
          <t>Final=Base-TOL</t>
        </is>
      </c>
      <c r="D19" s="12" t="n"/>
    </row>
    <row r="20">
      <c r="A20" s="6" t="inlineStr">
        <is>
          <t>Armor Value (AV)</t>
        </is>
      </c>
      <c r="B20" s="7" t="n">
        <v>0</v>
      </c>
      <c r="C20" s="9" t="inlineStr">
        <is>
          <t>Hide/Armor</t>
        </is>
      </c>
      <c r="D20" s="12" t="n"/>
    </row>
    <row r="21">
      <c r="A21" s="6" t="inlineStr">
        <is>
          <t>Initiative Bonus</t>
        </is>
      </c>
      <c r="B21" s="7" t="n">
        <v>0</v>
      </c>
      <c r="C21" s="9" t="inlineStr">
        <is>
          <t>Initiative=INS+1d10+this value</t>
        </is>
      </c>
      <c r="D21" s="12" t="n"/>
    </row>
    <row r="22">
      <c r="A22" s="6" t="inlineStr">
        <is>
          <t>Attack</t>
        </is>
      </c>
      <c r="B22" s="7" t="inlineStr">
        <is>
          <t>Fist 1d4 / Knife 1d6</t>
        </is>
      </c>
      <c r="C22" s="9" t="inlineStr">
        <is>
          <t>See Item Codex for damage</t>
        </is>
      </c>
      <c r="D22" s="12" t="n"/>
    </row>
    <row r="23"/>
    <row r="24">
      <c r="A24" s="2" t="inlineStr">
        <is>
          <t>IV. HP Tracking</t>
        </is>
      </c>
    </row>
    <row r="25">
      <c r="A25" s="6" t="inlineStr">
        <is>
          <t>Max HP</t>
        </is>
      </c>
      <c r="B25" s="7" t="n">
        <v>9</v>
      </c>
    </row>
    <row r="26">
      <c r="A26" s="6" t="inlineStr">
        <is>
          <t>Current HP</t>
        </is>
      </c>
      <c r="B26" s="7">
        <f>B25</f>
        <v/>
      </c>
    </row>
    <row r="27">
      <c r="A27" s="6" t="inlineStr">
        <is>
          <t>Remaining Ratio</t>
        </is>
      </c>
      <c r="B27" s="10">
        <f>IF(B25&gt;0,B26/B25,0)</f>
        <v/>
      </c>
    </row>
    <row r="28">
      <c r="A28" s="6" t="inlineStr">
        <is>
          <t>Wound Level</t>
        </is>
      </c>
      <c r="B28" s="10">
        <f>IF(B26&lt;=0,"5 Death",IF(B27&lt;=0.25,"4 Fatal Wound",IF(B27&lt;=0.5,"3 Severe Wound",IF(B27&lt;=0.75,"2 Moderate Wound",IF(B27&lt;=0.99,"1 Light Wound","0 No Wound")))))</f>
        <v/>
      </c>
    </row>
    <row r="29"/>
    <row r="30">
      <c r="A30" s="2" t="inlineStr">
        <is>
          <t>V. Special / Weakness / AI</t>
        </is>
      </c>
    </row>
    <row r="31">
      <c r="A31" s="3" t="inlineStr">
        <is>
          <t>Special Ability</t>
        </is>
      </c>
      <c r="B31" s="4" t="inlineStr">
        <is>
          <t>Numerical Advantage (2-4 present)</t>
        </is>
      </c>
      <c r="C31" s="11" t="n"/>
      <c r="D31" s="12" t="n"/>
    </row>
    <row r="32">
      <c r="A32" s="3" t="inlineStr">
        <is>
          <t>Weakness</t>
        </is>
      </c>
      <c r="B32" s="4" t="inlineStr">
        <is>
          <t>None</t>
        </is>
      </c>
      <c r="C32" s="11" t="n"/>
      <c r="D32" s="12" t="n"/>
    </row>
    <row r="33">
      <c r="A33" s="3" t="inlineStr">
        <is>
          <t>AI Behavior</t>
        </is>
      </c>
      <c r="B33" s="4" t="inlineStr">
        <is>
          <t>Attacks nearest; flees when HP &lt; 4 (Will DC 10); when a companion falls, Will DC 12</t>
        </is>
      </c>
      <c r="C33" s="11" t="n"/>
      <c r="D33" s="12" t="n"/>
    </row>
  </sheetData>
  <mergeCells count="18">
    <mergeCell ref="B33:D33"/>
    <mergeCell ref="A1:D1"/>
    <mergeCell ref="C20:D20"/>
    <mergeCell ref="B5:D5"/>
    <mergeCell ref="A8:D8"/>
    <mergeCell ref="C21:D21"/>
    <mergeCell ref="B31:D31"/>
    <mergeCell ref="A3:D3"/>
    <mergeCell ref="B4:D4"/>
    <mergeCell ref="C19:D19"/>
    <mergeCell ref="A30:D30"/>
    <mergeCell ref="B32:D32"/>
    <mergeCell ref="C22:D22"/>
    <mergeCell ref="A16:D16"/>
    <mergeCell ref="C18:D18"/>
    <mergeCell ref="A24:D2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0" customWidth="1" min="4" max="4"/>
  </cols>
  <sheetData>
    <row r="1">
      <c r="A1" s="1" t="inlineStr">
        <is>
          <t>Enemy: Guard (CR 3)</t>
        </is>
      </c>
    </row>
    <row r="2"/>
    <row r="3">
      <c r="A3" s="2" t="inlineStr">
        <is>
          <t>I. Basic Information</t>
        </is>
      </c>
    </row>
    <row r="4">
      <c r="A4" s="3" t="inlineStr">
        <is>
          <t>Type</t>
        </is>
      </c>
      <c r="B4" s="4" t="inlineStr">
        <is>
          <t>Human</t>
        </is>
      </c>
      <c r="C4" s="11" t="n"/>
      <c r="D4" s="12" t="n"/>
    </row>
    <row r="5">
      <c r="A5" s="3" t="inlineStr">
        <is>
          <t>Difficulty</t>
        </is>
      </c>
      <c r="B5" s="4" t="inlineStr">
        <is>
          <t>Minion</t>
        </is>
      </c>
      <c r="C5" s="11" t="n"/>
      <c r="D5" s="12" t="n"/>
    </row>
    <row r="6">
      <c r="A6" s="3" t="inlineStr">
        <is>
          <t>AI Tier</t>
        </is>
      </c>
      <c r="B6" s="4" t="inlineStr">
        <is>
          <t>Trained</t>
        </is>
      </c>
      <c r="C6" s="11" t="n"/>
      <c r="D6" s="12" t="n"/>
    </row>
    <row r="7">
      <c r="A7" s="3" t="inlineStr">
        <is>
          <t>CR</t>
        </is>
      </c>
      <c r="B7" s="4" t="n">
        <v>3</v>
      </c>
      <c r="C7" s="11" t="n"/>
      <c r="D7" s="12" t="n"/>
    </row>
    <row r="8">
      <c r="A8" s="2" t="inlineStr">
        <is>
          <t>II. Five Attributes</t>
        </is>
      </c>
    </row>
    <row r="9">
      <c r="A9" s="3" t="inlineStr">
        <is>
          <t>Attribute</t>
        </is>
      </c>
      <c r="B9" s="5" t="inlineStr">
        <is>
          <t>Value</t>
        </is>
      </c>
      <c r="C9" s="5" t="inlineStr">
        <is>
          <t>Abbrev.</t>
        </is>
      </c>
    </row>
    <row r="10">
      <c r="A10" s="6" t="inlineStr">
        <is>
          <t>Insight (INS)</t>
        </is>
      </c>
      <c r="B10" s="7" t="n">
        <v>3</v>
      </c>
      <c r="C10" s="8" t="inlineStr">
        <is>
          <t>INS</t>
        </is>
      </c>
    </row>
    <row r="11">
      <c r="A11" s="6" t="inlineStr">
        <is>
          <t>Memory (MEM)</t>
        </is>
      </c>
      <c r="B11" s="7" t="n">
        <v>2</v>
      </c>
      <c r="C11" s="8" t="inlineStr">
        <is>
          <t>MEM</t>
        </is>
      </c>
    </row>
    <row r="12">
      <c r="A12" s="6" t="inlineStr">
        <is>
          <t>Execution (EXE)</t>
        </is>
      </c>
      <c r="B12" s="7" t="n">
        <v>4</v>
      </c>
      <c r="C12" s="8" t="inlineStr">
        <is>
          <t>EXE</t>
        </is>
      </c>
    </row>
    <row r="13">
      <c r="A13" s="6" t="inlineStr">
        <is>
          <t>Social (SOC)</t>
        </is>
      </c>
      <c r="B13" s="7" t="n">
        <v>3</v>
      </c>
      <c r="C13" s="8" t="inlineStr">
        <is>
          <t>SOC</t>
        </is>
      </c>
    </row>
    <row r="14">
      <c r="A14" s="6" t="inlineStr">
        <is>
          <t>Will (WIL)</t>
        </is>
      </c>
      <c r="B14" s="7" t="n">
        <v>3</v>
      </c>
      <c r="C14" s="8" t="inlineStr">
        <is>
          <t>WIL</t>
        </is>
      </c>
    </row>
    <row r="15"/>
    <row r="16">
      <c r="A16" s="2" t="inlineStr">
        <is>
          <t>III. Combat Values</t>
        </is>
      </c>
    </row>
    <row r="17">
      <c r="A17" s="3" t="inlineStr">
        <is>
          <t>Value</t>
        </is>
      </c>
      <c r="B17" s="5" t="inlineStr">
        <is>
          <t>Value</t>
        </is>
      </c>
      <c r="C17" s="3" t="inlineStr">
        <is>
          <t>Notes</t>
        </is>
      </c>
    </row>
    <row r="18">
      <c r="A18" s="6" t="inlineStr">
        <is>
          <t>Hit Points (HP)</t>
        </is>
      </c>
      <c r="B18" s="7" t="n">
        <v>10</v>
      </c>
      <c r="C18" s="9" t="inlineStr">
        <is>
          <t>Codex Value</t>
        </is>
      </c>
      <c r="D18" s="12" t="n"/>
    </row>
    <row r="19">
      <c r="A19" s="6" t="inlineStr">
        <is>
          <t>Damage Tolerance (TOL)</t>
        </is>
      </c>
      <c r="B19" s="7" t="n">
        <v>3</v>
      </c>
      <c r="C19" s="9" t="inlineStr">
        <is>
          <t>Final=Base-TOL</t>
        </is>
      </c>
      <c r="D19" s="12" t="n"/>
    </row>
    <row r="20">
      <c r="A20" s="6" t="inlineStr">
        <is>
          <t>Armor Value (AV)</t>
        </is>
      </c>
      <c r="B20" s="7" t="n">
        <v>2</v>
      </c>
      <c r="C20" s="9" t="inlineStr">
        <is>
          <t>Hide/Armor</t>
        </is>
      </c>
      <c r="D20" s="12" t="n"/>
    </row>
    <row r="21">
      <c r="A21" s="6" t="inlineStr">
        <is>
          <t>Initiative Bonus</t>
        </is>
      </c>
      <c r="B21" s="7" t="n">
        <v>0</v>
      </c>
      <c r="C21" s="9" t="inlineStr">
        <is>
          <t>Initiative=INS+1d10+this value</t>
        </is>
      </c>
      <c r="D21" s="12" t="n"/>
    </row>
    <row r="22">
      <c r="A22" s="6" t="inlineStr">
        <is>
          <t>Attack</t>
        </is>
      </c>
      <c r="B22" s="7" t="inlineStr">
        <is>
          <t>Long Club 1d6+1 / Short Sword 1d6</t>
        </is>
      </c>
      <c r="C22" s="9" t="inlineStr">
        <is>
          <t>See Item Codex for damage</t>
        </is>
      </c>
      <c r="D22" s="12" t="n"/>
    </row>
    <row r="23"/>
    <row r="24">
      <c r="A24" s="2" t="inlineStr">
        <is>
          <t>IV. HP Tracking</t>
        </is>
      </c>
    </row>
    <row r="25">
      <c r="A25" s="6" t="inlineStr">
        <is>
          <t>Max HP</t>
        </is>
      </c>
      <c r="B25" s="7" t="n">
        <v>10</v>
      </c>
    </row>
    <row r="26">
      <c r="A26" s="6" t="inlineStr">
        <is>
          <t>Current HP</t>
        </is>
      </c>
      <c r="B26" s="7">
        <f>B25</f>
        <v/>
      </c>
    </row>
    <row r="27">
      <c r="A27" s="6" t="inlineStr">
        <is>
          <t>Remaining Ratio</t>
        </is>
      </c>
      <c r="B27" s="10">
        <f>IF(B25&gt;0,B26/B25,0)</f>
        <v/>
      </c>
    </row>
    <row r="28">
      <c r="A28" s="6" t="inlineStr">
        <is>
          <t>Wound Level</t>
        </is>
      </c>
      <c r="B28" s="10">
        <f>IF(B26&lt;=0,"5 Death",IF(B27&lt;=0.25,"4 Fatal Wound",IF(B27&lt;=0.5,"3 Severe Wound",IF(B27&lt;=0.75,"2 Moderate Wound",IF(B27&lt;=0.99,"1 Light Wound","0 No Wound")))))</f>
        <v/>
      </c>
    </row>
    <row r="29"/>
    <row r="30">
      <c r="A30" s="2" t="inlineStr">
        <is>
          <t>V. Special / Weakness / AI</t>
        </is>
      </c>
    </row>
    <row r="31">
      <c r="A31" s="3" t="inlineStr">
        <is>
          <t>Special Ability</t>
        </is>
      </c>
      <c r="B31" s="4" t="inlineStr">
        <is>
          <t>Calls reinforcements; Flanking +2</t>
        </is>
      </c>
      <c r="C31" s="11" t="n"/>
      <c r="D31" s="12" t="n"/>
    </row>
    <row r="32">
      <c r="A32" s="3" t="inlineStr">
        <is>
          <t>Weakness</t>
        </is>
      </c>
      <c r="B32" s="4" t="inlineStr">
        <is>
          <t>Fixed shift changes can be observed; alone, can be picked off one by one</t>
        </is>
      </c>
      <c r="C32" s="11" t="n"/>
      <c r="D32" s="12" t="n"/>
    </row>
    <row r="33">
      <c r="A33" s="3" t="inlineStr">
        <is>
          <t>AI Behavior</t>
        </is>
      </c>
      <c r="B33" s="4" t="inlineStr">
        <is>
          <t>Flanking +2; orderly combat; calls reinforcements after being ambushed</t>
        </is>
      </c>
      <c r="C33" s="11" t="n"/>
      <c r="D33" s="12" t="n"/>
    </row>
  </sheetData>
  <mergeCells count="18">
    <mergeCell ref="B33:D33"/>
    <mergeCell ref="A1:D1"/>
    <mergeCell ref="C20:D20"/>
    <mergeCell ref="B5:D5"/>
    <mergeCell ref="A8:D8"/>
    <mergeCell ref="C21:D21"/>
    <mergeCell ref="B31:D31"/>
    <mergeCell ref="A3:D3"/>
    <mergeCell ref="B4:D4"/>
    <mergeCell ref="C19:D19"/>
    <mergeCell ref="A30:D30"/>
    <mergeCell ref="B32:D32"/>
    <mergeCell ref="C22:D22"/>
    <mergeCell ref="A16:D16"/>
    <mergeCell ref="C18:D18"/>
    <mergeCell ref="A24:D24"/>
    <mergeCell ref="B7:D7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0" customWidth="1" min="4" max="4"/>
  </cols>
  <sheetData>
    <row r="1">
      <c r="A1" s="1" t="inlineStr">
        <is>
          <t>Enemy: Twisted Beast (CR 4)</t>
        </is>
      </c>
    </row>
    <row r="2"/>
    <row r="3">
      <c r="A3" s="2" t="inlineStr">
        <is>
          <t>I. Basic Information</t>
        </is>
      </c>
    </row>
    <row r="4">
      <c r="A4" s="3" t="inlineStr">
        <is>
          <t>Type</t>
        </is>
      </c>
      <c r="B4" s="4" t="inlineStr">
        <is>
          <t>Monster</t>
        </is>
      </c>
      <c r="C4" s="11" t="n"/>
      <c r="D4" s="12" t="n"/>
    </row>
    <row r="5">
      <c r="A5" s="3" t="inlineStr">
        <is>
          <t>Difficulty</t>
        </is>
      </c>
      <c r="B5" s="4" t="inlineStr">
        <is>
          <t>Elite</t>
        </is>
      </c>
      <c r="C5" s="11" t="n"/>
      <c r="D5" s="12" t="n"/>
    </row>
    <row r="6">
      <c r="A6" s="3" t="inlineStr">
        <is>
          <t>AI Tier</t>
        </is>
      </c>
      <c r="B6" s="4" t="inlineStr">
        <is>
          <t>Instinctive</t>
        </is>
      </c>
      <c r="C6" s="11" t="n"/>
      <c r="D6" s="12" t="n"/>
    </row>
    <row r="7">
      <c r="A7" s="3" t="inlineStr">
        <is>
          <t>CR</t>
        </is>
      </c>
      <c r="B7" s="4" t="n">
        <v>4</v>
      </c>
      <c r="C7" s="11" t="n"/>
      <c r="D7" s="12" t="n"/>
    </row>
    <row r="8">
      <c r="A8" s="2" t="inlineStr">
        <is>
          <t>II. Five Attributes</t>
        </is>
      </c>
    </row>
    <row r="9">
      <c r="A9" s="3" t="inlineStr">
        <is>
          <t>Attribute</t>
        </is>
      </c>
      <c r="B9" s="5" t="inlineStr">
        <is>
          <t>Value</t>
        </is>
      </c>
      <c r="C9" s="5" t="inlineStr">
        <is>
          <t>Abbrev.</t>
        </is>
      </c>
    </row>
    <row r="10">
      <c r="A10" s="6" t="inlineStr">
        <is>
          <t>Insight (INS)</t>
        </is>
      </c>
      <c r="B10" s="7" t="n">
        <v>4</v>
      </c>
      <c r="C10" s="8" t="inlineStr">
        <is>
          <t>INS</t>
        </is>
      </c>
    </row>
    <row r="11">
      <c r="A11" s="6" t="inlineStr">
        <is>
          <t>Memory (MEM)</t>
        </is>
      </c>
      <c r="B11" s="7" t="n">
        <v>1</v>
      </c>
      <c r="C11" s="8" t="inlineStr">
        <is>
          <t>MEM</t>
        </is>
      </c>
    </row>
    <row r="12">
      <c r="A12" s="6" t="inlineStr">
        <is>
          <t>Execution (EXE)</t>
        </is>
      </c>
      <c r="B12" s="7" t="n">
        <v>5</v>
      </c>
      <c r="C12" s="8" t="inlineStr">
        <is>
          <t>EXE</t>
        </is>
      </c>
    </row>
    <row r="13">
      <c r="A13" s="6" t="inlineStr">
        <is>
          <t>Social (SOC)</t>
        </is>
      </c>
      <c r="B13" s="7" t="n">
        <v>1</v>
      </c>
      <c r="C13" s="8" t="inlineStr">
        <is>
          <t>SOC</t>
        </is>
      </c>
    </row>
    <row r="14">
      <c r="A14" s="6" t="inlineStr">
        <is>
          <t>Will (WIL)</t>
        </is>
      </c>
      <c r="B14" s="7" t="n">
        <v>3</v>
      </c>
      <c r="C14" s="8" t="inlineStr">
        <is>
          <t>WIL</t>
        </is>
      </c>
    </row>
    <row r="15"/>
    <row r="16">
      <c r="A16" s="2" t="inlineStr">
        <is>
          <t>III. Combat Values</t>
        </is>
      </c>
    </row>
    <row r="17">
      <c r="A17" s="3" t="inlineStr">
        <is>
          <t>Value</t>
        </is>
      </c>
      <c r="B17" s="5" t="inlineStr">
        <is>
          <t>Value</t>
        </is>
      </c>
      <c r="C17" s="3" t="inlineStr">
        <is>
          <t>Notes</t>
        </is>
      </c>
    </row>
    <row r="18">
      <c r="A18" s="6" t="inlineStr">
        <is>
          <t>Hit Points (HP)</t>
        </is>
      </c>
      <c r="B18" s="7" t="n">
        <v>16</v>
      </c>
      <c r="C18" s="9" t="inlineStr">
        <is>
          <t>Codex Value</t>
        </is>
      </c>
      <c r="D18" s="12" t="n"/>
    </row>
    <row r="19">
      <c r="A19" s="6" t="inlineStr">
        <is>
          <t>Damage Tolerance (TOL)</t>
        </is>
      </c>
      <c r="B19" s="7" t="n">
        <v>5</v>
      </c>
      <c r="C19" s="9" t="inlineStr">
        <is>
          <t>Final=Base-TOL</t>
        </is>
      </c>
      <c r="D19" s="12" t="n"/>
    </row>
    <row r="20">
      <c r="A20" s="6" t="inlineStr">
        <is>
          <t>Armor Value (AV)</t>
        </is>
      </c>
      <c r="B20" s="7" t="n">
        <v>3</v>
      </c>
      <c r="C20" s="9" t="inlineStr">
        <is>
          <t>Hide/Armor</t>
        </is>
      </c>
      <c r="D20" s="12" t="n"/>
    </row>
    <row r="21">
      <c r="A21" s="6" t="inlineStr">
        <is>
          <t>Initiative Bonus</t>
        </is>
      </c>
      <c r="B21" s="7" t="n">
        <v>0</v>
      </c>
      <c r="C21" s="9" t="inlineStr">
        <is>
          <t>Initiative=INS+1d10+this value</t>
        </is>
      </c>
      <c r="D21" s="12" t="n"/>
    </row>
    <row r="22">
      <c r="A22" s="6" t="inlineStr">
        <is>
          <t>Attack</t>
        </is>
      </c>
      <c r="B22" s="7" t="inlineStr">
        <is>
          <t>Rake 1d10 / Bite 1d8</t>
        </is>
      </c>
      <c r="C22" s="9" t="inlineStr">
        <is>
          <t>See Item Codex for damage</t>
        </is>
      </c>
      <c r="D22" s="12" t="n"/>
    </row>
    <row r="23"/>
    <row r="24">
      <c r="A24" s="2" t="inlineStr">
        <is>
          <t>IV. HP Tracking</t>
        </is>
      </c>
    </row>
    <row r="25">
      <c r="A25" s="6" t="inlineStr">
        <is>
          <t>Max HP</t>
        </is>
      </c>
      <c r="B25" s="7" t="n">
        <v>16</v>
      </c>
    </row>
    <row r="26">
      <c r="A26" s="6" t="inlineStr">
        <is>
          <t>Current HP</t>
        </is>
      </c>
      <c r="B26" s="7">
        <f>B25</f>
        <v/>
      </c>
    </row>
    <row r="27">
      <c r="A27" s="6" t="inlineStr">
        <is>
          <t>Remaining Ratio</t>
        </is>
      </c>
      <c r="B27" s="10">
        <f>IF(B25&gt;0,B26/B25,0)</f>
        <v/>
      </c>
    </row>
    <row r="28">
      <c r="A28" s="6" t="inlineStr">
        <is>
          <t>Wound Level</t>
        </is>
      </c>
      <c r="B28" s="10">
        <f>IF(B26&lt;=0,"5 Death",IF(B27&lt;=0.25,"4 Fatal Wound",IF(B27&lt;=0.5,"3 Severe Wound",IF(B27&lt;=0.75,"2 Moderate Wound",IF(B27&lt;=0.99,"1 Light Wound","0 No Wound")))))</f>
        <v/>
      </c>
    </row>
    <row r="29"/>
    <row r="30">
      <c r="A30" s="2" t="inlineStr">
        <is>
          <t>V. Special / Weakness / AI</t>
        </is>
      </c>
    </row>
    <row r="31">
      <c r="A31" s="3" t="inlineStr">
        <is>
          <t>Special Ability</t>
        </is>
      </c>
      <c r="B31" s="4" t="inlineStr">
        <is>
          <t>Bestial Rage (Attack Advantage after Moderate Wound); Terrifying Howl (enemy Will DC 13 loses free reaction)</t>
        </is>
      </c>
      <c r="C31" s="11" t="n"/>
      <c r="D31" s="12" t="n"/>
    </row>
    <row r="32">
      <c r="A32" s="3" t="inlineStr">
        <is>
          <t>Weakness</t>
        </is>
      </c>
      <c r="B32" s="4" t="inlineStr">
        <is>
          <t>Panic 1 round after Fire Damage; sensitive to sound</t>
        </is>
      </c>
      <c r="C32" s="11" t="n"/>
      <c r="D32" s="12" t="n"/>
    </row>
    <row r="33">
      <c r="A33" s="3" t="inlineStr">
        <is>
          <t>AI Behavior</t>
        </is>
      </c>
      <c r="B33" s="4" t="inlineStr">
        <is>
          <t>Instinctively chases nearest; goes berserk after Moderate Wound</t>
        </is>
      </c>
      <c r="C33" s="11" t="n"/>
      <c r="D33" s="12" t="n"/>
    </row>
  </sheetData>
  <mergeCells count="18">
    <mergeCell ref="B33:D33"/>
    <mergeCell ref="A1:D1"/>
    <mergeCell ref="C20:D20"/>
    <mergeCell ref="B5:D5"/>
    <mergeCell ref="A8:D8"/>
    <mergeCell ref="C21:D21"/>
    <mergeCell ref="B31:D31"/>
    <mergeCell ref="A3:D3"/>
    <mergeCell ref="B4:D4"/>
    <mergeCell ref="C19:D19"/>
    <mergeCell ref="A30:D30"/>
    <mergeCell ref="B32:D32"/>
    <mergeCell ref="C22:D22"/>
    <mergeCell ref="A16:D16"/>
    <mergeCell ref="C18:D18"/>
    <mergeCell ref="A24:D24"/>
    <mergeCell ref="B7:D7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0" customWidth="1" min="4" max="4"/>
  </cols>
  <sheetData>
    <row r="1">
      <c r="A1" s="1" t="inlineStr">
        <is>
          <t>Enemy: Renegade Knight (CR 5)</t>
        </is>
      </c>
    </row>
    <row r="2"/>
    <row r="3">
      <c r="A3" s="2" t="inlineStr">
        <is>
          <t>I. Basic Information</t>
        </is>
      </c>
    </row>
    <row r="4">
      <c r="A4" s="3" t="inlineStr">
        <is>
          <t>Type</t>
        </is>
      </c>
      <c r="B4" s="4" t="inlineStr">
        <is>
          <t>Human</t>
        </is>
      </c>
      <c r="C4" s="11" t="n"/>
      <c r="D4" s="12" t="n"/>
    </row>
    <row r="5">
      <c r="A5" s="3" t="inlineStr">
        <is>
          <t>Difficulty</t>
        </is>
      </c>
      <c r="B5" s="4" t="inlineStr">
        <is>
          <t>Elite</t>
        </is>
      </c>
      <c r="C5" s="11" t="n"/>
      <c r="D5" s="12" t="n"/>
    </row>
    <row r="6">
      <c r="A6" s="3" t="inlineStr">
        <is>
          <t>AI Tier</t>
        </is>
      </c>
      <c r="B6" s="4" t="inlineStr">
        <is>
          <t>Trained</t>
        </is>
      </c>
      <c r="C6" s="11" t="n"/>
      <c r="D6" s="12" t="n"/>
    </row>
    <row r="7">
      <c r="A7" s="3" t="inlineStr">
        <is>
          <t>CR</t>
        </is>
      </c>
      <c r="B7" s="4" t="n">
        <v>5</v>
      </c>
      <c r="C7" s="11" t="n"/>
      <c r="D7" s="12" t="n"/>
    </row>
    <row r="8">
      <c r="A8" s="2" t="inlineStr">
        <is>
          <t>II. Five Attributes</t>
        </is>
      </c>
    </row>
    <row r="9">
      <c r="A9" s="3" t="inlineStr">
        <is>
          <t>Attribute</t>
        </is>
      </c>
      <c r="B9" s="5" t="inlineStr">
        <is>
          <t>Value</t>
        </is>
      </c>
      <c r="C9" s="5" t="inlineStr">
        <is>
          <t>Abbrev.</t>
        </is>
      </c>
    </row>
    <row r="10">
      <c r="A10" s="6" t="inlineStr">
        <is>
          <t>Insight (INS)</t>
        </is>
      </c>
      <c r="B10" s="7" t="n">
        <v>4</v>
      </c>
      <c r="C10" s="8" t="inlineStr">
        <is>
          <t>INS</t>
        </is>
      </c>
    </row>
    <row r="11">
      <c r="A11" s="6" t="inlineStr">
        <is>
          <t>Memory (MEM)</t>
        </is>
      </c>
      <c r="B11" s="7" t="n">
        <v>3</v>
      </c>
      <c r="C11" s="8" t="inlineStr">
        <is>
          <t>MEM</t>
        </is>
      </c>
    </row>
    <row r="12">
      <c r="A12" s="6" t="inlineStr">
        <is>
          <t>Execution (EXE)</t>
        </is>
      </c>
      <c r="B12" s="7" t="n">
        <v>6</v>
      </c>
      <c r="C12" s="8" t="inlineStr">
        <is>
          <t>EXE</t>
        </is>
      </c>
    </row>
    <row r="13">
      <c r="A13" s="6" t="inlineStr">
        <is>
          <t>Social (SOC)</t>
        </is>
      </c>
      <c r="B13" s="7" t="n">
        <v>3</v>
      </c>
      <c r="C13" s="8" t="inlineStr">
        <is>
          <t>SOC</t>
        </is>
      </c>
    </row>
    <row r="14">
      <c r="A14" s="6" t="inlineStr">
        <is>
          <t>Will (WIL)</t>
        </is>
      </c>
      <c r="B14" s="7" t="n">
        <v>5</v>
      </c>
      <c r="C14" s="8" t="inlineStr">
        <is>
          <t>WIL</t>
        </is>
      </c>
    </row>
    <row r="15"/>
    <row r="16">
      <c r="A16" s="2" t="inlineStr">
        <is>
          <t>III. Combat Values</t>
        </is>
      </c>
    </row>
    <row r="17">
      <c r="A17" s="3" t="inlineStr">
        <is>
          <t>Value</t>
        </is>
      </c>
      <c r="B17" s="5" t="inlineStr">
        <is>
          <t>Value</t>
        </is>
      </c>
      <c r="C17" s="3" t="inlineStr">
        <is>
          <t>Notes</t>
        </is>
      </c>
    </row>
    <row r="18">
      <c r="A18" s="6" t="inlineStr">
        <is>
          <t>Hit Points (HP)</t>
        </is>
      </c>
      <c r="B18" s="7" t="n">
        <v>14</v>
      </c>
      <c r="C18" s="9" t="inlineStr">
        <is>
          <t>Codex Value</t>
        </is>
      </c>
      <c r="D18" s="12" t="n"/>
    </row>
    <row r="19">
      <c r="A19" s="6" t="inlineStr">
        <is>
          <t>Damage Tolerance (TOL)</t>
        </is>
      </c>
      <c r="B19" s="7" t="n">
        <v>6</v>
      </c>
      <c r="C19" s="9" t="inlineStr">
        <is>
          <t>Final=Base-TOL</t>
        </is>
      </c>
      <c r="D19" s="12" t="n"/>
    </row>
    <row r="20">
      <c r="A20" s="6" t="inlineStr">
        <is>
          <t>Armor Value (AV)</t>
        </is>
      </c>
      <c r="B20" s="7" t="n">
        <v>4</v>
      </c>
      <c r="C20" s="9" t="inlineStr">
        <is>
          <t>Hide/Armor</t>
        </is>
      </c>
      <c r="D20" s="12" t="n"/>
    </row>
    <row r="21">
      <c r="A21" s="6" t="inlineStr">
        <is>
          <t>Initiative Bonus</t>
        </is>
      </c>
      <c r="B21" s="7" t="n">
        <v>0</v>
      </c>
      <c r="C21" s="9" t="inlineStr">
        <is>
          <t>Initiative=INS+1d10+this value</t>
        </is>
      </c>
      <c r="D21" s="12" t="n"/>
    </row>
    <row r="22">
      <c r="A22" s="6" t="inlineStr">
        <is>
          <t>Attack</t>
        </is>
      </c>
      <c r="B22" s="7" t="inlineStr">
        <is>
          <t>Long Sword 1d8+2 / Shield Bash 1d4+1</t>
        </is>
      </c>
      <c r="C22" s="9" t="inlineStr">
        <is>
          <t>See Item Codex for damage</t>
        </is>
      </c>
      <c r="D22" s="12" t="n"/>
    </row>
    <row r="23"/>
    <row r="24">
      <c r="A24" s="2" t="inlineStr">
        <is>
          <t>IV. HP Tracking</t>
        </is>
      </c>
    </row>
    <row r="25">
      <c r="A25" s="6" t="inlineStr">
        <is>
          <t>Max HP</t>
        </is>
      </c>
      <c r="B25" s="7" t="n">
        <v>14</v>
      </c>
    </row>
    <row r="26">
      <c r="A26" s="6" t="inlineStr">
        <is>
          <t>Current HP</t>
        </is>
      </c>
      <c r="B26" s="7">
        <f>B25</f>
        <v/>
      </c>
    </row>
    <row r="27">
      <c r="A27" s="6" t="inlineStr">
        <is>
          <t>Remaining Ratio</t>
        </is>
      </c>
      <c r="B27" s="10">
        <f>IF(B25&gt;0,B26/B25,0)</f>
        <v/>
      </c>
    </row>
    <row r="28">
      <c r="A28" s="6" t="inlineStr">
        <is>
          <t>Wound Level</t>
        </is>
      </c>
      <c r="B28" s="10">
        <f>IF(B26&lt;=0,"5 Death",IF(B27&lt;=0.25,"4 Fatal Wound",IF(B27&lt;=0.5,"3 Severe Wound",IF(B27&lt;=0.75,"2 Moderate Wound",IF(B27&lt;=0.99,"1 Light Wound","0 No Wound")))))</f>
        <v/>
      </c>
    </row>
    <row r="29"/>
    <row r="30">
      <c r="A30" s="2" t="inlineStr">
        <is>
          <t>V. Special / Weakness / AI</t>
        </is>
      </c>
    </row>
    <row r="31">
      <c r="A31" s="3" t="inlineStr">
        <is>
          <t>Special Ability</t>
        </is>
      </c>
      <c r="B31" s="4" t="inlineStr">
        <is>
          <t>Knight's Pride (Fatal Wound becomes Severe); Tactical Cover +2</t>
        </is>
      </c>
      <c r="C31" s="11" t="n"/>
      <c r="D31" s="12" t="n"/>
    </row>
    <row r="32">
      <c r="A32" s="3" t="inlineStr">
        <is>
          <t>Weakness</t>
        </is>
      </c>
      <c r="B32" s="4" t="inlineStr">
        <is>
          <t>Old wound on left shoulder (ignores armor); sense of honor, no backstab</t>
        </is>
      </c>
      <c r="C32" s="11" t="n"/>
      <c r="D32" s="12" t="n"/>
    </row>
    <row r="33">
      <c r="A33" s="3" t="inlineStr">
        <is>
          <t>AI Behavior</t>
        </is>
      </c>
      <c r="B33" s="4" t="inlineStr">
        <is>
          <t>Flanking +2; orderly retreat when HP &lt; 6; protects companions</t>
        </is>
      </c>
      <c r="C33" s="11" t="n"/>
      <c r="D33" s="12" t="n"/>
    </row>
  </sheetData>
  <mergeCells count="18">
    <mergeCell ref="B33:D33"/>
    <mergeCell ref="A1:D1"/>
    <mergeCell ref="C20:D20"/>
    <mergeCell ref="B5:D5"/>
    <mergeCell ref="A8:D8"/>
    <mergeCell ref="C21:D21"/>
    <mergeCell ref="B31:D31"/>
    <mergeCell ref="A3:D3"/>
    <mergeCell ref="B4:D4"/>
    <mergeCell ref="C19:D19"/>
    <mergeCell ref="A30:D30"/>
    <mergeCell ref="B32:D32"/>
    <mergeCell ref="C22:D22"/>
    <mergeCell ref="A16:D16"/>
    <mergeCell ref="C18:D18"/>
    <mergeCell ref="A24:D24"/>
    <mergeCell ref="B7:D7"/>
    <mergeCell ref="B6:D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0" customWidth="1" min="4" max="4"/>
  </cols>
  <sheetData>
    <row r="1">
      <c r="A1" s="1" t="inlineStr">
        <is>
          <t>Enemy: Guild Assassin (CR 6)</t>
        </is>
      </c>
    </row>
    <row r="2"/>
    <row r="3">
      <c r="A3" s="2" t="inlineStr">
        <is>
          <t>I. Basic Information</t>
        </is>
      </c>
    </row>
    <row r="4">
      <c r="A4" s="3" t="inlineStr">
        <is>
          <t>Type</t>
        </is>
      </c>
      <c r="B4" s="4" t="inlineStr">
        <is>
          <t>Human</t>
        </is>
      </c>
      <c r="C4" s="11" t="n"/>
      <c r="D4" s="12" t="n"/>
    </row>
    <row r="5">
      <c r="A5" s="3" t="inlineStr">
        <is>
          <t>Difficulty</t>
        </is>
      </c>
      <c r="B5" s="4" t="inlineStr">
        <is>
          <t>Elite</t>
        </is>
      </c>
      <c r="C5" s="11" t="n"/>
      <c r="D5" s="12" t="n"/>
    </row>
    <row r="6">
      <c r="A6" s="3" t="inlineStr">
        <is>
          <t>AI Tier</t>
        </is>
      </c>
      <c r="B6" s="4" t="inlineStr">
        <is>
          <t>Cunning</t>
        </is>
      </c>
      <c r="C6" s="11" t="n"/>
      <c r="D6" s="12" t="n"/>
    </row>
    <row r="7">
      <c r="A7" s="3" t="inlineStr">
        <is>
          <t>CR</t>
        </is>
      </c>
      <c r="B7" s="4" t="n">
        <v>6</v>
      </c>
      <c r="C7" s="11" t="n"/>
      <c r="D7" s="12" t="n"/>
    </row>
    <row r="8">
      <c r="A8" s="2" t="inlineStr">
        <is>
          <t>II. Five Attributes</t>
        </is>
      </c>
    </row>
    <row r="9">
      <c r="A9" s="3" t="inlineStr">
        <is>
          <t>Attribute</t>
        </is>
      </c>
      <c r="B9" s="5" t="inlineStr">
        <is>
          <t>Value</t>
        </is>
      </c>
      <c r="C9" s="5" t="inlineStr">
        <is>
          <t>Abbrev.</t>
        </is>
      </c>
    </row>
    <row r="10">
      <c r="A10" s="6" t="inlineStr">
        <is>
          <t>Insight (INS)</t>
        </is>
      </c>
      <c r="B10" s="7" t="n">
        <v>5</v>
      </c>
      <c r="C10" s="8" t="inlineStr">
        <is>
          <t>INS</t>
        </is>
      </c>
    </row>
    <row r="11">
      <c r="A11" s="6" t="inlineStr">
        <is>
          <t>Memory (MEM)</t>
        </is>
      </c>
      <c r="B11" s="7" t="n">
        <v>3</v>
      </c>
      <c r="C11" s="8" t="inlineStr">
        <is>
          <t>MEM</t>
        </is>
      </c>
    </row>
    <row r="12">
      <c r="A12" s="6" t="inlineStr">
        <is>
          <t>Execution (EXE)</t>
        </is>
      </c>
      <c r="B12" s="7" t="n">
        <v>7</v>
      </c>
      <c r="C12" s="8" t="inlineStr">
        <is>
          <t>EXE</t>
        </is>
      </c>
    </row>
    <row r="13">
      <c r="A13" s="6" t="inlineStr">
        <is>
          <t>Social (SOC)</t>
        </is>
      </c>
      <c r="B13" s="7" t="n">
        <v>4</v>
      </c>
      <c r="C13" s="8" t="inlineStr">
        <is>
          <t>SOC</t>
        </is>
      </c>
    </row>
    <row r="14">
      <c r="A14" s="6" t="inlineStr">
        <is>
          <t>Will (WIL)</t>
        </is>
      </c>
      <c r="B14" s="7" t="n">
        <v>4</v>
      </c>
      <c r="C14" s="8" t="inlineStr">
        <is>
          <t>WIL</t>
        </is>
      </c>
    </row>
    <row r="15"/>
    <row r="16">
      <c r="A16" s="2" t="inlineStr">
        <is>
          <t>III. Combat Values</t>
        </is>
      </c>
    </row>
    <row r="17">
      <c r="A17" s="3" t="inlineStr">
        <is>
          <t>Value</t>
        </is>
      </c>
      <c r="B17" s="5" t="inlineStr">
        <is>
          <t>Value</t>
        </is>
      </c>
      <c r="C17" s="3" t="inlineStr">
        <is>
          <t>Notes</t>
        </is>
      </c>
    </row>
    <row r="18">
      <c r="A18" s="6" t="inlineStr">
        <is>
          <t>Hit Points (HP)</t>
        </is>
      </c>
      <c r="B18" s="7" t="n">
        <v>9</v>
      </c>
      <c r="C18" s="9" t="inlineStr">
        <is>
          <t>Codex Value</t>
        </is>
      </c>
      <c r="D18" s="12" t="n"/>
    </row>
    <row r="19">
      <c r="A19" s="6" t="inlineStr">
        <is>
          <t>Damage Tolerance (TOL)</t>
        </is>
      </c>
      <c r="B19" s="7" t="n">
        <v>3</v>
      </c>
      <c r="C19" s="9" t="inlineStr">
        <is>
          <t>Final=Base-TOL</t>
        </is>
      </c>
      <c r="D19" s="12" t="n"/>
    </row>
    <row r="20">
      <c r="A20" s="6" t="inlineStr">
        <is>
          <t>Armor Value (AV)</t>
        </is>
      </c>
      <c r="B20" s="7" t="n">
        <v>1</v>
      </c>
      <c r="C20" s="9" t="inlineStr">
        <is>
          <t>Hide/Armor</t>
        </is>
      </c>
      <c r="D20" s="12" t="n"/>
    </row>
    <row r="21">
      <c r="A21" s="6" t="inlineStr">
        <is>
          <t>Initiative Bonus</t>
        </is>
      </c>
      <c r="B21" s="7" t="n">
        <v>2</v>
      </c>
      <c r="C21" s="9" t="inlineStr">
        <is>
          <t>Initiative=INS+1d10+this value</t>
        </is>
      </c>
      <c r="D21" s="12" t="n"/>
    </row>
    <row r="22">
      <c r="A22" s="6" t="inlineStr">
        <is>
          <t>Attack</t>
        </is>
      </c>
      <c r="B22" s="7" t="inlineStr">
        <is>
          <t>Poison Dagger 1d8+3 / Hand Crossbow 1d6</t>
        </is>
      </c>
      <c r="C22" s="9" t="inlineStr">
        <is>
          <t>See Item Codex for damage</t>
        </is>
      </c>
      <c r="D22" s="12" t="n"/>
    </row>
    <row r="23"/>
    <row r="24">
      <c r="A24" s="2" t="inlineStr">
        <is>
          <t>IV. HP Tracking</t>
        </is>
      </c>
    </row>
    <row r="25">
      <c r="A25" s="6" t="inlineStr">
        <is>
          <t>Max HP</t>
        </is>
      </c>
      <c r="B25" s="7" t="n">
        <v>9</v>
      </c>
    </row>
    <row r="26">
      <c r="A26" s="6" t="inlineStr">
        <is>
          <t>Current HP</t>
        </is>
      </c>
      <c r="B26" s="7">
        <f>B25</f>
        <v/>
      </c>
    </row>
    <row r="27">
      <c r="A27" s="6" t="inlineStr">
        <is>
          <t>Remaining Ratio</t>
        </is>
      </c>
      <c r="B27" s="10">
        <f>IF(B25&gt;0,B26/B25,0)</f>
        <v/>
      </c>
    </row>
    <row r="28">
      <c r="A28" s="6" t="inlineStr">
        <is>
          <t>Wound Level</t>
        </is>
      </c>
      <c r="B28" s="10">
        <f>IF(B26&lt;=0,"5 Death",IF(B27&lt;=0.25,"4 Fatal Wound",IF(B27&lt;=0.5,"3 Severe Wound",IF(B27&lt;=0.75,"2 Moderate Wound",IF(B27&lt;=0.99,"1 Light Wound","0 No Wound")))))</f>
        <v/>
      </c>
    </row>
    <row r="29"/>
    <row r="30">
      <c r="A30" s="2" t="inlineStr">
        <is>
          <t>V. Special / Weakness / AI</t>
        </is>
      </c>
    </row>
    <row r="31">
      <c r="A31" s="3" t="inlineStr">
        <is>
          <t>Special Ability</t>
        </is>
      </c>
      <c r="B31" s="4" t="inlineStr">
        <is>
          <t>Assassination Ambush (first round Precision +1 level); Poison; Smoke Bomb</t>
        </is>
      </c>
      <c r="C31" s="11" t="n"/>
      <c r="D31" s="12" t="n"/>
    </row>
    <row r="32">
      <c r="A32" s="3" t="inlineStr">
        <is>
          <t>Weakness</t>
        </is>
      </c>
      <c r="B32" s="4" t="inlineStr">
        <is>
          <t>Low HP (9) easily knocked down; loses ambush advantage in bright light</t>
        </is>
      </c>
      <c r="C32" s="11" t="n"/>
      <c r="D32" s="12" t="n"/>
    </row>
    <row r="33">
      <c r="A33" s="3" t="inlineStr">
        <is>
          <t>AI Behavior</t>
        </is>
      </c>
      <c r="B33" s="4" t="inlineStr">
        <is>
          <t>Stays hidden; negotiates or flees when HP &lt; 3</t>
        </is>
      </c>
      <c r="C33" s="11" t="n"/>
      <c r="D33" s="12" t="n"/>
    </row>
  </sheetData>
  <mergeCells count="18">
    <mergeCell ref="B33:D33"/>
    <mergeCell ref="A1:D1"/>
    <mergeCell ref="C20:D20"/>
    <mergeCell ref="B5:D5"/>
    <mergeCell ref="A8:D8"/>
    <mergeCell ref="C21:D21"/>
    <mergeCell ref="B31:D31"/>
    <mergeCell ref="A3:D3"/>
    <mergeCell ref="B4:D4"/>
    <mergeCell ref="C19:D19"/>
    <mergeCell ref="A30:D30"/>
    <mergeCell ref="B32:D32"/>
    <mergeCell ref="C22:D22"/>
    <mergeCell ref="A16:D16"/>
    <mergeCell ref="C18:D18"/>
    <mergeCell ref="A24:D24"/>
    <mergeCell ref="B7:D7"/>
    <mergeCell ref="B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0" customWidth="1" min="4" max="4"/>
  </cols>
  <sheetData>
    <row r="1">
      <c r="A1" s="1" t="inlineStr">
        <is>
          <t>Enemy: Temporal Echo (CR 7)</t>
        </is>
      </c>
    </row>
    <row r="2"/>
    <row r="3">
      <c r="A3" s="2" t="inlineStr">
        <is>
          <t>I. Basic Information</t>
        </is>
      </c>
    </row>
    <row r="4">
      <c r="A4" s="3" t="inlineStr">
        <is>
          <t>Type</t>
        </is>
      </c>
      <c r="B4" s="4" t="inlineStr">
        <is>
          <t>Anomaly Entity</t>
        </is>
      </c>
      <c r="C4" s="11" t="n"/>
      <c r="D4" s="12" t="n"/>
    </row>
    <row r="5">
      <c r="A5" s="3" t="inlineStr">
        <is>
          <t>Difficulty</t>
        </is>
      </c>
      <c r="B5" s="4" t="inlineStr">
        <is>
          <t>Elite</t>
        </is>
      </c>
      <c r="C5" s="11" t="n"/>
      <c r="D5" s="12" t="n"/>
    </row>
    <row r="6">
      <c r="A6" s="3" t="inlineStr">
        <is>
          <t>AI Tier</t>
        </is>
      </c>
      <c r="B6" s="4" t="inlineStr">
        <is>
          <t>Cunning</t>
        </is>
      </c>
      <c r="C6" s="11" t="n"/>
      <c r="D6" s="12" t="n"/>
    </row>
    <row r="7">
      <c r="A7" s="3" t="inlineStr">
        <is>
          <t>CR</t>
        </is>
      </c>
      <c r="B7" s="4" t="n">
        <v>7</v>
      </c>
      <c r="C7" s="11" t="n"/>
      <c r="D7" s="12" t="n"/>
    </row>
    <row r="8">
      <c r="A8" s="2" t="inlineStr">
        <is>
          <t>II. Five Attributes</t>
        </is>
      </c>
    </row>
    <row r="9">
      <c r="A9" s="3" t="inlineStr">
        <is>
          <t>Attribute</t>
        </is>
      </c>
      <c r="B9" s="5" t="inlineStr">
        <is>
          <t>Value</t>
        </is>
      </c>
      <c r="C9" s="5" t="inlineStr">
        <is>
          <t>Abbrev.</t>
        </is>
      </c>
    </row>
    <row r="10">
      <c r="A10" s="6" t="inlineStr">
        <is>
          <t>Insight (INS)</t>
        </is>
      </c>
      <c r="B10" s="7" t="n">
        <v>6</v>
      </c>
      <c r="C10" s="8" t="inlineStr">
        <is>
          <t>INS</t>
        </is>
      </c>
    </row>
    <row r="11">
      <c r="A11" s="6" t="inlineStr">
        <is>
          <t>Memory (MEM)</t>
        </is>
      </c>
      <c r="B11" s="7" t="n">
        <v>3</v>
      </c>
      <c r="C11" s="8" t="inlineStr">
        <is>
          <t>MEM</t>
        </is>
      </c>
    </row>
    <row r="12">
      <c r="A12" s="6" t="inlineStr">
        <is>
          <t>Execution (EXE)</t>
        </is>
      </c>
      <c r="B12" s="7" t="n">
        <v>5</v>
      </c>
      <c r="C12" s="8" t="inlineStr">
        <is>
          <t>EXE</t>
        </is>
      </c>
    </row>
    <row r="13">
      <c r="A13" s="6" t="inlineStr">
        <is>
          <t>Social (SOC)</t>
        </is>
      </c>
      <c r="B13" s="7" t="n">
        <v>1</v>
      </c>
      <c r="C13" s="8" t="inlineStr">
        <is>
          <t>SOC</t>
        </is>
      </c>
    </row>
    <row r="14">
      <c r="A14" s="6" t="inlineStr">
        <is>
          <t>Will (WIL)</t>
        </is>
      </c>
      <c r="B14" s="7" t="n">
        <v>2</v>
      </c>
      <c r="C14" s="8" t="inlineStr">
        <is>
          <t>WIL</t>
        </is>
      </c>
    </row>
    <row r="15"/>
    <row r="16">
      <c r="A16" s="2" t="inlineStr">
        <is>
          <t>III. Combat Values</t>
        </is>
      </c>
    </row>
    <row r="17">
      <c r="A17" s="3" t="inlineStr">
        <is>
          <t>Value</t>
        </is>
      </c>
      <c r="B17" s="5" t="inlineStr">
        <is>
          <t>Value</t>
        </is>
      </c>
      <c r="C17" s="3" t="inlineStr">
        <is>
          <t>Notes</t>
        </is>
      </c>
    </row>
    <row r="18">
      <c r="A18" s="6" t="inlineStr">
        <is>
          <t>Hit Points (HP)</t>
        </is>
      </c>
      <c r="B18" s="7" t="n">
        <v>12</v>
      </c>
      <c r="C18" s="9" t="inlineStr">
        <is>
          <t>Codex Value</t>
        </is>
      </c>
      <c r="D18" s="12" t="n"/>
    </row>
    <row r="19">
      <c r="A19" s="6" t="inlineStr">
        <is>
          <t>Damage Tolerance (TOL)</t>
        </is>
      </c>
      <c r="B19" s="7" t="n">
        <v>7</v>
      </c>
      <c r="C19" s="9" t="inlineStr">
        <is>
          <t>Final=Base-TOL</t>
        </is>
      </c>
      <c r="D19" s="12" t="n"/>
    </row>
    <row r="20">
      <c r="A20" s="6" t="inlineStr">
        <is>
          <t>Armor Value (AV)</t>
        </is>
      </c>
      <c r="B20" s="7" t="n">
        <v>0</v>
      </c>
      <c r="C20" s="9" t="inlineStr">
        <is>
          <t>Hide/Armor</t>
        </is>
      </c>
      <c r="D20" s="12" t="n"/>
    </row>
    <row r="21">
      <c r="A21" s="6" t="inlineStr">
        <is>
          <t>Initiative Bonus</t>
        </is>
      </c>
      <c r="B21" s="7" t="n">
        <v>3</v>
      </c>
      <c r="C21" s="9" t="inlineStr">
        <is>
          <t>Initiative=INS+1d10+this value</t>
        </is>
      </c>
      <c r="D21" s="12" t="n"/>
    </row>
    <row r="22">
      <c r="A22" s="6" t="inlineStr">
        <is>
          <t>Attack</t>
        </is>
      </c>
      <c r="B22" s="7" t="inlineStr">
        <is>
          <t>Time Erosion 1d8 (Mental)</t>
        </is>
      </c>
      <c r="C22" s="9" t="inlineStr">
        <is>
          <t>See Item Codex for damage</t>
        </is>
      </c>
      <c r="D22" s="12" t="n"/>
    </row>
    <row r="23"/>
    <row r="24">
      <c r="A24" s="2" t="inlineStr">
        <is>
          <t>IV. HP Tracking</t>
        </is>
      </c>
    </row>
    <row r="25">
      <c r="A25" s="6" t="inlineStr">
        <is>
          <t>Max HP</t>
        </is>
      </c>
      <c r="B25" s="7" t="n">
        <v>12</v>
      </c>
    </row>
    <row r="26">
      <c r="A26" s="6" t="inlineStr">
        <is>
          <t>Current HP</t>
        </is>
      </c>
      <c r="B26" s="7">
        <f>B25</f>
        <v/>
      </c>
    </row>
    <row r="27">
      <c r="A27" s="6" t="inlineStr">
        <is>
          <t>Remaining Ratio</t>
        </is>
      </c>
      <c r="B27" s="10">
        <f>IF(B25&gt;0,B26/B25,0)</f>
        <v/>
      </c>
    </row>
    <row r="28">
      <c r="A28" s="6" t="inlineStr">
        <is>
          <t>Wound Level</t>
        </is>
      </c>
      <c r="B28" s="10">
        <f>IF(B26&lt;=0,"5 Death",IF(B27&lt;=0.25,"4 Fatal Wound",IF(B27&lt;=0.5,"3 Severe Wound",IF(B27&lt;=0.75,"2 Moderate Wound",IF(B27&lt;=0.99,"1 Light Wound","0 No Wound")))))</f>
        <v/>
      </c>
    </row>
    <row r="29"/>
    <row r="30">
      <c r="A30" s="2" t="inlineStr">
        <is>
          <t>V. Special / Weakness / AI</t>
        </is>
      </c>
    </row>
    <row r="31">
      <c r="A31" s="3" t="inlineStr">
        <is>
          <t>Special Ability</t>
        </is>
      </c>
      <c r="B31" s="4" t="inlineStr">
        <is>
          <t>Ethereal (physical halved); Time Acceleration (12 TU); Time Drain (-1 time)</t>
        </is>
      </c>
      <c r="C31" s="11" t="n"/>
      <c r="D31" s="12" t="n"/>
    </row>
    <row r="32">
      <c r="A32" s="3" t="inlineStr">
        <is>
          <t>Weakness</t>
        </is>
      </c>
      <c r="B32" s="4" t="inlineStr">
        <is>
          <t>Time Crystal can stabilize; cannot pass solid Time Anchor</t>
        </is>
      </c>
      <c r="C32" s="11" t="n"/>
      <c r="D32" s="12" t="n"/>
    </row>
    <row r="33">
      <c r="A33" s="3" t="inlineStr">
        <is>
          <t>AI Behavior</t>
        </is>
      </c>
      <c r="B33" s="4" t="inlineStr">
        <is>
          <t>Kiting; maintains distance; prioritizes interrupting casters</t>
        </is>
      </c>
      <c r="C33" s="11" t="n"/>
      <c r="D33" s="12" t="n"/>
    </row>
  </sheetData>
  <mergeCells count="18">
    <mergeCell ref="B33:D33"/>
    <mergeCell ref="A1:D1"/>
    <mergeCell ref="C20:D20"/>
    <mergeCell ref="B5:D5"/>
    <mergeCell ref="A8:D8"/>
    <mergeCell ref="C21:D21"/>
    <mergeCell ref="B31:D31"/>
    <mergeCell ref="A3:D3"/>
    <mergeCell ref="B4:D4"/>
    <mergeCell ref="C19:D19"/>
    <mergeCell ref="A30:D30"/>
    <mergeCell ref="B32:D32"/>
    <mergeCell ref="C22:D22"/>
    <mergeCell ref="A16:D16"/>
    <mergeCell ref="C18:D18"/>
    <mergeCell ref="A24:D24"/>
    <mergeCell ref="B7:D7"/>
    <mergeCell ref="B6:D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0" customWidth="1" min="4" max="4"/>
  </cols>
  <sheetData>
    <row r="1">
      <c r="A1" s="1" t="inlineStr">
        <is>
          <t>Enemy: Lady Viper (CR 9)</t>
        </is>
      </c>
    </row>
    <row r="2"/>
    <row r="3">
      <c r="A3" s="2" t="inlineStr">
        <is>
          <t>I. Basic Information</t>
        </is>
      </c>
    </row>
    <row r="4">
      <c r="A4" s="3" t="inlineStr">
        <is>
          <t>Type</t>
        </is>
      </c>
      <c r="B4" s="4" t="inlineStr">
        <is>
          <t>Human</t>
        </is>
      </c>
      <c r="C4" s="11" t="n"/>
      <c r="D4" s="12" t="n"/>
    </row>
    <row r="5">
      <c r="A5" s="3" t="inlineStr">
        <is>
          <t>Difficulty</t>
        </is>
      </c>
      <c r="B5" s="4" t="inlineStr">
        <is>
          <t>Boss</t>
        </is>
      </c>
      <c r="C5" s="11" t="n"/>
      <c r="D5" s="12" t="n"/>
    </row>
    <row r="6">
      <c r="A6" s="3" t="inlineStr">
        <is>
          <t>AI Tier</t>
        </is>
      </c>
      <c r="B6" s="4" t="inlineStr">
        <is>
          <t>Cunning</t>
        </is>
      </c>
      <c r="C6" s="11" t="n"/>
      <c r="D6" s="12" t="n"/>
    </row>
    <row r="7">
      <c r="A7" s="3" t="inlineStr">
        <is>
          <t>CR</t>
        </is>
      </c>
      <c r="B7" s="4" t="n">
        <v>9</v>
      </c>
      <c r="C7" s="11" t="n"/>
      <c r="D7" s="12" t="n"/>
    </row>
    <row r="8">
      <c r="A8" s="2" t="inlineStr">
        <is>
          <t>II. Five Attributes</t>
        </is>
      </c>
    </row>
    <row r="9">
      <c r="A9" s="3" t="inlineStr">
        <is>
          <t>Attribute</t>
        </is>
      </c>
      <c r="B9" s="5" t="inlineStr">
        <is>
          <t>Value</t>
        </is>
      </c>
      <c r="C9" s="5" t="inlineStr">
        <is>
          <t>Abbrev.</t>
        </is>
      </c>
    </row>
    <row r="10">
      <c r="A10" s="6" t="inlineStr">
        <is>
          <t>Insight (INS)</t>
        </is>
      </c>
      <c r="B10" s="7" t="n">
        <v>7</v>
      </c>
      <c r="C10" s="8" t="inlineStr">
        <is>
          <t>INS</t>
        </is>
      </c>
    </row>
    <row r="11">
      <c r="A11" s="6" t="inlineStr">
        <is>
          <t>Memory (MEM)</t>
        </is>
      </c>
      <c r="B11" s="7" t="n">
        <v>5</v>
      </c>
      <c r="C11" s="8" t="inlineStr">
        <is>
          <t>MEM</t>
        </is>
      </c>
    </row>
    <row r="12">
      <c r="A12" s="6" t="inlineStr">
        <is>
          <t>Execution (EXE)</t>
        </is>
      </c>
      <c r="B12" s="7" t="n">
        <v>6</v>
      </c>
      <c r="C12" s="8" t="inlineStr">
        <is>
          <t>EXE</t>
        </is>
      </c>
    </row>
    <row r="13">
      <c r="A13" s="6" t="inlineStr">
        <is>
          <t>Social (SOC)</t>
        </is>
      </c>
      <c r="B13" s="7" t="n">
        <v>8</v>
      </c>
      <c r="C13" s="8" t="inlineStr">
        <is>
          <t>SOC</t>
        </is>
      </c>
    </row>
    <row r="14">
      <c r="A14" s="6" t="inlineStr">
        <is>
          <t>Will (WIL)</t>
        </is>
      </c>
      <c r="B14" s="7" t="n">
        <v>6</v>
      </c>
      <c r="C14" s="8" t="inlineStr">
        <is>
          <t>WIL</t>
        </is>
      </c>
    </row>
    <row r="15"/>
    <row r="16">
      <c r="A16" s="2" t="inlineStr">
        <is>
          <t>III. Combat Values</t>
        </is>
      </c>
    </row>
    <row r="17">
      <c r="A17" s="3" t="inlineStr">
        <is>
          <t>Value</t>
        </is>
      </c>
      <c r="B17" s="5" t="inlineStr">
        <is>
          <t>Value</t>
        </is>
      </c>
      <c r="C17" s="3" t="inlineStr">
        <is>
          <t>Notes</t>
        </is>
      </c>
    </row>
    <row r="18">
      <c r="A18" s="6" t="inlineStr">
        <is>
          <t>Hit Points (HP)</t>
        </is>
      </c>
      <c r="B18" s="7" t="n">
        <v>20</v>
      </c>
      <c r="C18" s="9" t="inlineStr">
        <is>
          <t>Codex Value</t>
        </is>
      </c>
      <c r="D18" s="12" t="n"/>
    </row>
    <row r="19">
      <c r="A19" s="6" t="inlineStr">
        <is>
          <t>Damage Tolerance (TOL)</t>
        </is>
      </c>
      <c r="B19" s="7" t="n">
        <v>5</v>
      </c>
      <c r="C19" s="9" t="inlineStr">
        <is>
          <t>Final=Base-TOL</t>
        </is>
      </c>
      <c r="D19" s="12" t="n"/>
    </row>
    <row r="20">
      <c r="A20" s="6" t="inlineStr">
        <is>
          <t>Armor Value (AV)</t>
        </is>
      </c>
      <c r="B20" s="7" t="n">
        <v>2</v>
      </c>
      <c r="C20" s="9" t="inlineStr">
        <is>
          <t>Hide/Armor</t>
        </is>
      </c>
      <c r="D20" s="12" t="n"/>
    </row>
    <row r="21">
      <c r="A21" s="6" t="inlineStr">
        <is>
          <t>Initiative Bonus</t>
        </is>
      </c>
      <c r="B21" s="7" t="n">
        <v>0</v>
      </c>
      <c r="C21" s="9" t="inlineStr">
        <is>
          <t>Initiative=INS+1d10+this value</t>
        </is>
      </c>
      <c r="D21" s="12" t="n"/>
    </row>
    <row r="22">
      <c r="A22" s="6" t="inlineStr">
        <is>
          <t>Attack</t>
        </is>
      </c>
      <c r="B22" s="7" t="inlineStr">
        <is>
          <t>Poison Needle 1d6 / Poison Dagger 1d8</t>
        </is>
      </c>
      <c r="C22" s="9" t="inlineStr">
        <is>
          <t>See Item Codex for damage</t>
        </is>
      </c>
      <c r="D22" s="12" t="n"/>
    </row>
    <row r="23"/>
    <row r="24">
      <c r="A24" s="2" t="inlineStr">
        <is>
          <t>IV. HP Tracking</t>
        </is>
      </c>
    </row>
    <row r="25">
      <c r="A25" s="6" t="inlineStr">
        <is>
          <t>Max HP</t>
        </is>
      </c>
      <c r="B25" s="7" t="n">
        <v>20</v>
      </c>
    </row>
    <row r="26">
      <c r="A26" s="6" t="inlineStr">
        <is>
          <t>Current HP</t>
        </is>
      </c>
      <c r="B26" s="7">
        <f>B25</f>
        <v/>
      </c>
    </row>
    <row r="27">
      <c r="A27" s="6" t="inlineStr">
        <is>
          <t>Remaining Ratio</t>
        </is>
      </c>
      <c r="B27" s="10">
        <f>IF(B25&gt;0,B26/B25,0)</f>
        <v/>
      </c>
    </row>
    <row r="28">
      <c r="A28" s="6" t="inlineStr">
        <is>
          <t>Wound Level</t>
        </is>
      </c>
      <c r="B28" s="10">
        <f>IF(B26&lt;=0,"5 Death",IF(B27&lt;=0.25,"4 Fatal Wound",IF(B27&lt;=0.5,"3 Severe Wound",IF(B27&lt;=0.75,"2 Moderate Wound",IF(B27&lt;=0.99,"1 Light Wound","0 No Wound")))))</f>
        <v/>
      </c>
    </row>
    <row r="29"/>
    <row r="30">
      <c r="A30" s="2" t="inlineStr">
        <is>
          <t>V. Special / Weakness / AI</t>
        </is>
      </c>
    </row>
    <row r="31">
      <c r="A31" s="3" t="inlineStr">
        <is>
          <t>Special Ability</t>
        </is>
      </c>
      <c r="B31" s="4" t="inlineStr">
        <is>
          <t>Three-Phase (Charm / Snake Swarm / Poison Fog); Charm Gaze</t>
        </is>
      </c>
      <c r="C31" s="11" t="n"/>
      <c r="D31" s="12" t="n"/>
    </row>
    <row r="32">
      <c r="A32" s="3" t="inlineStr">
        <is>
          <t>Weakness</t>
        </is>
      </c>
      <c r="B32" s="4" t="inlineStr">
        <is>
          <t>Fire Fear (Fire +1 level); Narcissism (fails Social contest by 1)</t>
        </is>
      </c>
      <c r="C32" s="11" t="n"/>
      <c r="D32" s="12" t="n"/>
    </row>
    <row r="33">
      <c r="A33" s="3" t="inlineStr">
        <is>
          <t>AI Behavior</t>
        </is>
      </c>
      <c r="B33" s="4" t="inlineStr">
        <is>
          <t>Keeps distance; sows discord; eliminates wounded; negotiates when HP &lt; 3</t>
        </is>
      </c>
      <c r="C33" s="11" t="n"/>
      <c r="D33" s="12" t="n"/>
    </row>
  </sheetData>
  <mergeCells count="18">
    <mergeCell ref="B33:D33"/>
    <mergeCell ref="A1:D1"/>
    <mergeCell ref="C20:D20"/>
    <mergeCell ref="B5:D5"/>
    <mergeCell ref="A8:D8"/>
    <mergeCell ref="C21:D21"/>
    <mergeCell ref="B31:D31"/>
    <mergeCell ref="A3:D3"/>
    <mergeCell ref="B4:D4"/>
    <mergeCell ref="C19:D19"/>
    <mergeCell ref="A30:D30"/>
    <mergeCell ref="B32:D32"/>
    <mergeCell ref="C22:D22"/>
    <mergeCell ref="A16:D16"/>
    <mergeCell ref="C18:D18"/>
    <mergeCell ref="A24:D24"/>
    <mergeCell ref="B7:D7"/>
    <mergeCell ref="B6:D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0" customWidth="1" min="4" max="4"/>
  </cols>
  <sheetData>
    <row r="1">
      <c r="A1" s="1" t="inlineStr">
        <is>
          <t>Enemy: Time Devourer Prototype (CR 12)</t>
        </is>
      </c>
    </row>
    <row r="2"/>
    <row r="3">
      <c r="A3" s="2" t="inlineStr">
        <is>
          <t>I. Basic Information</t>
        </is>
      </c>
    </row>
    <row r="4">
      <c r="A4" s="3" t="inlineStr">
        <is>
          <t>Type</t>
        </is>
      </c>
      <c r="B4" s="4" t="inlineStr">
        <is>
          <t>Anomaly Entity</t>
        </is>
      </c>
      <c r="C4" s="11" t="n"/>
      <c r="D4" s="12" t="n"/>
    </row>
    <row r="5">
      <c r="A5" s="3" t="inlineStr">
        <is>
          <t>Difficulty</t>
        </is>
      </c>
      <c r="B5" s="4" t="inlineStr">
        <is>
          <t>Boss</t>
        </is>
      </c>
      <c r="C5" s="11" t="n"/>
      <c r="D5" s="12" t="n"/>
    </row>
    <row r="6">
      <c r="A6" s="3" t="inlineStr">
        <is>
          <t>AI Tier</t>
        </is>
      </c>
      <c r="B6" s="4" t="inlineStr">
        <is>
          <t>Cunning</t>
        </is>
      </c>
      <c r="C6" s="11" t="n"/>
      <c r="D6" s="12" t="n"/>
    </row>
    <row r="7">
      <c r="A7" s="3" t="inlineStr">
        <is>
          <t>CR</t>
        </is>
      </c>
      <c r="B7" s="4" t="n">
        <v>12</v>
      </c>
      <c r="C7" s="11" t="n"/>
      <c r="D7" s="12" t="n"/>
    </row>
    <row r="8">
      <c r="A8" s="2" t="inlineStr">
        <is>
          <t>II. Five Attributes</t>
        </is>
      </c>
    </row>
    <row r="9">
      <c r="A9" s="3" t="inlineStr">
        <is>
          <t>Attribute</t>
        </is>
      </c>
      <c r="B9" s="5" t="inlineStr">
        <is>
          <t>Value</t>
        </is>
      </c>
      <c r="C9" s="5" t="inlineStr">
        <is>
          <t>Abbrev.</t>
        </is>
      </c>
    </row>
    <row r="10">
      <c r="A10" s="6" t="inlineStr">
        <is>
          <t>Insight (INS)</t>
        </is>
      </c>
      <c r="B10" s="7" t="n">
        <v>8</v>
      </c>
      <c r="C10" s="8" t="inlineStr">
        <is>
          <t>INS</t>
        </is>
      </c>
    </row>
    <row r="11">
      <c r="A11" s="6" t="inlineStr">
        <is>
          <t>Memory (MEM)</t>
        </is>
      </c>
      <c r="B11" s="7" t="n">
        <v>10</v>
      </c>
      <c r="C11" s="8" t="inlineStr">
        <is>
          <t>MEM</t>
        </is>
      </c>
    </row>
    <row r="12">
      <c r="A12" s="6" t="inlineStr">
        <is>
          <t>Execution (EXE)</t>
        </is>
      </c>
      <c r="B12" s="7" t="n">
        <v>5</v>
      </c>
      <c r="C12" s="8" t="inlineStr">
        <is>
          <t>EXE</t>
        </is>
      </c>
    </row>
    <row r="13">
      <c r="A13" s="6" t="inlineStr">
        <is>
          <t>Social (SOC)</t>
        </is>
      </c>
      <c r="B13" s="7" t="n">
        <v>1</v>
      </c>
      <c r="C13" s="8" t="inlineStr">
        <is>
          <t>SOC</t>
        </is>
      </c>
    </row>
    <row r="14">
      <c r="A14" s="6" t="inlineStr">
        <is>
          <t>Will (WIL)</t>
        </is>
      </c>
      <c r="B14" s="7" t="n">
        <v>4</v>
      </c>
      <c r="C14" s="8" t="inlineStr">
        <is>
          <t>WIL</t>
        </is>
      </c>
    </row>
    <row r="15"/>
    <row r="16">
      <c r="A16" s="2" t="inlineStr">
        <is>
          <t>III. Combat Values</t>
        </is>
      </c>
    </row>
    <row r="17">
      <c r="A17" s="3" t="inlineStr">
        <is>
          <t>Value</t>
        </is>
      </c>
      <c r="B17" s="5" t="inlineStr">
        <is>
          <t>Value</t>
        </is>
      </c>
      <c r="C17" s="3" t="inlineStr">
        <is>
          <t>Notes</t>
        </is>
      </c>
    </row>
    <row r="18">
      <c r="A18" s="6" t="inlineStr">
        <is>
          <t>Hit Points (HP)</t>
        </is>
      </c>
      <c r="B18" s="7" t="n">
        <v>18</v>
      </c>
      <c r="C18" s="9" t="inlineStr">
        <is>
          <t>Codex Value</t>
        </is>
      </c>
      <c r="D18" s="12" t="n"/>
    </row>
    <row r="19">
      <c r="A19" s="6" t="inlineStr">
        <is>
          <t>Damage Tolerance (TOL)</t>
        </is>
      </c>
      <c r="B19" s="7" t="n">
        <v>2</v>
      </c>
      <c r="C19" s="9" t="inlineStr">
        <is>
          <t>Final=Base-TOL</t>
        </is>
      </c>
      <c r="D19" s="12" t="n"/>
    </row>
    <row r="20">
      <c r="A20" s="6" t="inlineStr">
        <is>
          <t>Armor Value (AV)</t>
        </is>
      </c>
      <c r="B20" s="7" t="n">
        <v>0</v>
      </c>
      <c r="C20" s="9" t="inlineStr">
        <is>
          <t>Hide/Armor</t>
        </is>
      </c>
      <c r="D20" s="12" t="n"/>
    </row>
    <row r="21">
      <c r="A21" s="6" t="inlineStr">
        <is>
          <t>Initiative Bonus</t>
        </is>
      </c>
      <c r="B21" s="7" t="n">
        <v>5</v>
      </c>
      <c r="C21" s="9" t="inlineStr">
        <is>
          <t>Initiative=INS+1d10+this value</t>
        </is>
      </c>
      <c r="D21" s="12" t="n"/>
    </row>
    <row r="22">
      <c r="A22" s="6" t="inlineStr">
        <is>
          <t>Attack</t>
        </is>
      </c>
      <c r="B22" s="7" t="inlineStr">
        <is>
          <t>Time Erosion 2d6 / Memory Drain</t>
        </is>
      </c>
      <c r="C22" s="9" t="inlineStr">
        <is>
          <t>See Item Codex for damage</t>
        </is>
      </c>
      <c r="D22" s="12" t="n"/>
    </row>
    <row r="23"/>
    <row r="24">
      <c r="A24" s="2" t="inlineStr">
        <is>
          <t>IV. HP Tracking</t>
        </is>
      </c>
    </row>
    <row r="25">
      <c r="A25" s="6" t="inlineStr">
        <is>
          <t>Max HP</t>
        </is>
      </c>
      <c r="B25" s="7" t="n">
        <v>18</v>
      </c>
    </row>
    <row r="26">
      <c r="A26" s="6" t="inlineStr">
        <is>
          <t>Current HP</t>
        </is>
      </c>
      <c r="B26" s="7">
        <f>B25</f>
        <v/>
      </c>
    </row>
    <row r="27">
      <c r="A27" s="6" t="inlineStr">
        <is>
          <t>Remaining Ratio</t>
        </is>
      </c>
      <c r="B27" s="10">
        <f>IF(B25&gt;0,B26/B25,0)</f>
        <v/>
      </c>
    </row>
    <row r="28">
      <c r="A28" s="6" t="inlineStr">
        <is>
          <t>Wound Level</t>
        </is>
      </c>
      <c r="B28" s="10">
        <f>IF(B26&lt;=0,"5 Death",IF(B27&lt;=0.25,"4 Fatal Wound",IF(B27&lt;=0.5,"3 Severe Wound",IF(B27&lt;=0.75,"2 Moderate Wound",IF(B27&lt;=0.99,"1 Light Wound","0 No Wound")))))</f>
        <v/>
      </c>
    </row>
    <row r="29"/>
    <row r="30">
      <c r="A30" s="2" t="inlineStr">
        <is>
          <t>V. Special / Weakness / AI</t>
        </is>
      </c>
    </row>
    <row r="31">
      <c r="A31" s="3" t="inlineStr">
        <is>
          <t>Special Ability</t>
        </is>
      </c>
      <c r="B31" s="4" t="inlineStr">
        <is>
          <t>Time Devour (lose 1d4 fragments); Time Corridor; Predictive Dodge; Memory Echo</t>
        </is>
      </c>
      <c r="C31" s="11" t="n"/>
      <c r="D31" s="12" t="n"/>
    </row>
    <row r="32">
      <c r="A32" s="3" t="inlineStr">
        <is>
          <t>Weakness</t>
        </is>
      </c>
      <c r="B32" s="4" t="inlineStr">
        <is>
          <t>Time Anchor failure; Memory Overload; can be moved by emotion</t>
        </is>
      </c>
      <c r="C32" s="11" t="n"/>
      <c r="D32" s="12" t="n"/>
    </row>
    <row r="33">
      <c r="A33" s="3" t="inlineStr">
        <is>
          <t>AI Behavior</t>
        </is>
      </c>
      <c r="B33" s="4" t="inlineStr">
        <is>
          <t>Anticipates player tactics; counters repeated actions</t>
        </is>
      </c>
      <c r="C33" s="11" t="n"/>
      <c r="D33" s="12" t="n"/>
    </row>
  </sheetData>
  <mergeCells count="18">
    <mergeCell ref="B33:D33"/>
    <mergeCell ref="A1:D1"/>
    <mergeCell ref="C20:D20"/>
    <mergeCell ref="B5:D5"/>
    <mergeCell ref="A8:D8"/>
    <mergeCell ref="C21:D21"/>
    <mergeCell ref="B31:D31"/>
    <mergeCell ref="A3:D3"/>
    <mergeCell ref="B4:D4"/>
    <mergeCell ref="C19:D19"/>
    <mergeCell ref="A30:D30"/>
    <mergeCell ref="B32:D32"/>
    <mergeCell ref="C22:D22"/>
    <mergeCell ref="A16:D16"/>
    <mergeCell ref="C18:D18"/>
    <mergeCell ref="A24:D24"/>
    <mergeCell ref="B7:D7"/>
    <mergeCell ref="B6:D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0" customWidth="1" min="4" max="4"/>
  </cols>
  <sheetData>
    <row r="1">
      <c r="A1" s="1" t="inlineStr">
        <is>
          <t>Enemy: Undead Sentinel (CR 4)</t>
        </is>
      </c>
    </row>
    <row r="2"/>
    <row r="3">
      <c r="A3" s="2" t="inlineStr">
        <is>
          <t>I. Basic Information</t>
        </is>
      </c>
    </row>
    <row r="4">
      <c r="A4" s="3" t="inlineStr">
        <is>
          <t>Type</t>
        </is>
      </c>
      <c r="B4" s="4" t="inlineStr">
        <is>
          <t>Undead</t>
        </is>
      </c>
      <c r="C4" s="11" t="n"/>
      <c r="D4" s="12" t="n"/>
    </row>
    <row r="5">
      <c r="A5" s="3" t="inlineStr">
        <is>
          <t>Difficulty</t>
        </is>
      </c>
      <c r="B5" s="4" t="inlineStr">
        <is>
          <t>Minion</t>
        </is>
      </c>
      <c r="C5" s="11" t="n"/>
      <c r="D5" s="12" t="n"/>
    </row>
    <row r="6">
      <c r="A6" s="3" t="inlineStr">
        <is>
          <t>AI Tier</t>
        </is>
      </c>
      <c r="B6" s="4" t="inlineStr">
        <is>
          <t>Instinctive</t>
        </is>
      </c>
      <c r="C6" s="11" t="n"/>
      <c r="D6" s="12" t="n"/>
    </row>
    <row r="7">
      <c r="A7" s="3" t="inlineStr">
        <is>
          <t>CR</t>
        </is>
      </c>
      <c r="B7" s="4" t="n">
        <v>4</v>
      </c>
      <c r="C7" s="11" t="n"/>
      <c r="D7" s="12" t="n"/>
    </row>
    <row r="8">
      <c r="A8" s="2" t="inlineStr">
        <is>
          <t>II. Five Attributes</t>
        </is>
      </c>
    </row>
    <row r="9">
      <c r="A9" s="3" t="inlineStr">
        <is>
          <t>Attribute</t>
        </is>
      </c>
      <c r="B9" s="5" t="inlineStr">
        <is>
          <t>Value</t>
        </is>
      </c>
      <c r="C9" s="5" t="inlineStr">
        <is>
          <t>Abbrev.</t>
        </is>
      </c>
    </row>
    <row r="10">
      <c r="A10" s="6" t="inlineStr">
        <is>
          <t>Insight (INS)</t>
        </is>
      </c>
      <c r="B10" s="7" t="n">
        <v>3</v>
      </c>
      <c r="C10" s="8" t="inlineStr">
        <is>
          <t>INS</t>
        </is>
      </c>
    </row>
    <row r="11">
      <c r="A11" s="6" t="inlineStr">
        <is>
          <t>Memory (MEM)</t>
        </is>
      </c>
      <c r="B11" s="7" t="n">
        <v>1</v>
      </c>
      <c r="C11" s="8" t="inlineStr">
        <is>
          <t>MEM</t>
        </is>
      </c>
    </row>
    <row r="12">
      <c r="A12" s="6" t="inlineStr">
        <is>
          <t>Execution (EXE)</t>
        </is>
      </c>
      <c r="B12" s="7" t="n">
        <v>5</v>
      </c>
      <c r="C12" s="8" t="inlineStr">
        <is>
          <t>EXE</t>
        </is>
      </c>
    </row>
    <row r="13">
      <c r="A13" s="6" t="inlineStr">
        <is>
          <t>Social (SOC)</t>
        </is>
      </c>
      <c r="B13" s="7" t="n">
        <v>1</v>
      </c>
      <c r="C13" s="8" t="inlineStr">
        <is>
          <t>SOC</t>
        </is>
      </c>
    </row>
    <row r="14">
      <c r="A14" s="6" t="inlineStr">
        <is>
          <t>Will (WIL)</t>
        </is>
      </c>
      <c r="B14" s="7" t="n">
        <v>4</v>
      </c>
      <c r="C14" s="8" t="inlineStr">
        <is>
          <t>WIL</t>
        </is>
      </c>
    </row>
    <row r="15"/>
    <row r="16">
      <c r="A16" s="2" t="inlineStr">
        <is>
          <t>III. Combat Values</t>
        </is>
      </c>
    </row>
    <row r="17">
      <c r="A17" s="3" t="inlineStr">
        <is>
          <t>Value</t>
        </is>
      </c>
      <c r="B17" s="5" t="inlineStr">
        <is>
          <t>Value</t>
        </is>
      </c>
      <c r="C17" s="3" t="inlineStr">
        <is>
          <t>Notes</t>
        </is>
      </c>
    </row>
    <row r="18">
      <c r="A18" s="6" t="inlineStr">
        <is>
          <t>Hit Points (HP)</t>
        </is>
      </c>
      <c r="B18" s="7" t="n">
        <v>13</v>
      </c>
      <c r="C18" s="9" t="inlineStr">
        <is>
          <t>Codex Value</t>
        </is>
      </c>
      <c r="D18" s="12" t="n"/>
    </row>
    <row r="19">
      <c r="A19" s="6" t="inlineStr">
        <is>
          <t>Damage Tolerance (TOL)</t>
        </is>
      </c>
      <c r="B19" s="7" t="n">
        <v>4</v>
      </c>
      <c r="C19" s="9" t="inlineStr">
        <is>
          <t>Final=Base-TOL</t>
        </is>
      </c>
      <c r="D19" s="12" t="n"/>
    </row>
    <row r="20">
      <c r="A20" s="6" t="inlineStr">
        <is>
          <t>Armor Value (AV)</t>
        </is>
      </c>
      <c r="B20" s="7" t="n">
        <v>2</v>
      </c>
      <c r="C20" s="9" t="inlineStr">
        <is>
          <t>Hide/Armor</t>
        </is>
      </c>
      <c r="D20" s="12" t="n"/>
    </row>
    <row r="21">
      <c r="A21" s="6" t="inlineStr">
        <is>
          <t>Initiative Bonus</t>
        </is>
      </c>
      <c r="B21" s="7" t="n">
        <v>0</v>
      </c>
      <c r="C21" s="9" t="inlineStr">
        <is>
          <t>Initiative=INS+1d10+this value</t>
        </is>
      </c>
      <c r="D21" s="12" t="n"/>
    </row>
    <row r="22">
      <c r="A22" s="6" t="inlineStr">
        <is>
          <t>Attack</t>
        </is>
      </c>
      <c r="B22" s="7" t="inlineStr">
        <is>
          <t>Bone Greatsword 1d10</t>
        </is>
      </c>
      <c r="C22" s="9" t="inlineStr">
        <is>
          <t>See Item Codex for damage</t>
        </is>
      </c>
      <c r="D22" s="12" t="n"/>
    </row>
    <row r="23"/>
    <row r="24">
      <c r="A24" s="2" t="inlineStr">
        <is>
          <t>IV. HP Tracking</t>
        </is>
      </c>
    </row>
    <row r="25">
      <c r="A25" s="6" t="inlineStr">
        <is>
          <t>Max HP</t>
        </is>
      </c>
      <c r="B25" s="7" t="n">
        <v>13</v>
      </c>
    </row>
    <row r="26">
      <c r="A26" s="6" t="inlineStr">
        <is>
          <t>Current HP</t>
        </is>
      </c>
      <c r="B26" s="7">
        <f>B25</f>
        <v/>
      </c>
    </row>
    <row r="27">
      <c r="A27" s="6" t="inlineStr">
        <is>
          <t>Remaining Ratio</t>
        </is>
      </c>
      <c r="B27" s="10">
        <f>IF(B25&gt;0,B26/B25,0)</f>
        <v/>
      </c>
    </row>
    <row r="28">
      <c r="A28" s="6" t="inlineStr">
        <is>
          <t>Wound Level</t>
        </is>
      </c>
      <c r="B28" s="10">
        <f>IF(B26&lt;=0,"5 Death",IF(B27&lt;=0.25,"4 Fatal Wound",IF(B27&lt;=0.5,"3 Severe Wound",IF(B27&lt;=0.75,"2 Moderate Wound",IF(B27&lt;=0.99,"1 Light Wound","0 No Wound")))))</f>
        <v/>
      </c>
    </row>
    <row r="29"/>
    <row r="30">
      <c r="A30" s="2" t="inlineStr">
        <is>
          <t>V. Special / Weakness / AI</t>
        </is>
      </c>
    </row>
    <row r="31">
      <c r="A31" s="3" t="inlineStr">
        <is>
          <t>Special Ability</t>
        </is>
      </c>
      <c r="B31" s="4" t="inlineStr">
        <is>
          <t>Relentless (unyielding); Light Aversion (light -2 Attack)</t>
        </is>
      </c>
      <c r="C31" s="11" t="n"/>
      <c r="D31" s="12" t="n"/>
    </row>
    <row r="32">
      <c r="A32" s="3" t="inlineStr">
        <is>
          <t>Weakness</t>
        </is>
      </c>
      <c r="B32" s="4" t="inlineStr">
        <is>
          <t>Holy Water / Fire extra damage; fears Exorcism</t>
        </is>
      </c>
      <c r="C32" s="11" t="n"/>
      <c r="D32" s="12" t="n"/>
    </row>
    <row r="33">
      <c r="A33" s="3" t="inlineStr">
        <is>
          <t>AI Behavior</t>
        </is>
      </c>
      <c r="B33" s="4" t="inlineStr">
        <is>
          <t>Advances in straight line; ignores fear</t>
        </is>
      </c>
      <c r="C33" s="11" t="n"/>
      <c r="D33" s="12" t="n"/>
    </row>
  </sheetData>
  <mergeCells count="18">
    <mergeCell ref="B33:D33"/>
    <mergeCell ref="A1:D1"/>
    <mergeCell ref="C20:D20"/>
    <mergeCell ref="B5:D5"/>
    <mergeCell ref="A8:D8"/>
    <mergeCell ref="C21:D21"/>
    <mergeCell ref="B31:D31"/>
    <mergeCell ref="A3:D3"/>
    <mergeCell ref="B4:D4"/>
    <mergeCell ref="C19:D19"/>
    <mergeCell ref="A30:D30"/>
    <mergeCell ref="B32:D32"/>
    <mergeCell ref="C22:D22"/>
    <mergeCell ref="A16:D16"/>
    <mergeCell ref="C18:D18"/>
    <mergeCell ref="A24:D24"/>
    <mergeCell ref="B7:D7"/>
    <mergeCell ref="B6:D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0" customWidth="1" min="4" max="4"/>
  </cols>
  <sheetData>
    <row r="1">
      <c r="A1" s="1" t="inlineStr">
        <is>
          <t>Enemy: Immortal Inquisitor (CR 14)</t>
        </is>
      </c>
    </row>
    <row r="2"/>
    <row r="3">
      <c r="A3" s="2" t="inlineStr">
        <is>
          <t>I. Basic Information</t>
        </is>
      </c>
    </row>
    <row r="4">
      <c r="A4" s="3" t="inlineStr">
        <is>
          <t>Type</t>
        </is>
      </c>
      <c r="B4" s="4" t="inlineStr">
        <is>
          <t>Human</t>
        </is>
      </c>
      <c r="C4" s="11" t="n"/>
      <c r="D4" s="12" t="n"/>
    </row>
    <row r="5">
      <c r="A5" s="3" t="inlineStr">
        <is>
          <t>Difficulty</t>
        </is>
      </c>
      <c r="B5" s="4" t="inlineStr">
        <is>
          <t>Legendary</t>
        </is>
      </c>
      <c r="C5" s="11" t="n"/>
      <c r="D5" s="12" t="n"/>
    </row>
    <row r="6">
      <c r="A6" s="3" t="inlineStr">
        <is>
          <t>AI Tier</t>
        </is>
      </c>
      <c r="B6" s="4" t="inlineStr">
        <is>
          <t>Genius</t>
        </is>
      </c>
      <c r="C6" s="11" t="n"/>
      <c r="D6" s="12" t="n"/>
    </row>
    <row r="7">
      <c r="A7" s="3" t="inlineStr">
        <is>
          <t>CR</t>
        </is>
      </c>
      <c r="B7" s="4" t="n">
        <v>14</v>
      </c>
      <c r="C7" s="11" t="n"/>
      <c r="D7" s="12" t="n"/>
    </row>
    <row r="8">
      <c r="A8" s="2" t="inlineStr">
        <is>
          <t>II. Five Attributes</t>
        </is>
      </c>
    </row>
    <row r="9">
      <c r="A9" s="3" t="inlineStr">
        <is>
          <t>Attribute</t>
        </is>
      </c>
      <c r="B9" s="5" t="inlineStr">
        <is>
          <t>Value</t>
        </is>
      </c>
      <c r="C9" s="5" t="inlineStr">
        <is>
          <t>Abbrev.</t>
        </is>
      </c>
    </row>
    <row r="10">
      <c r="A10" s="6" t="inlineStr">
        <is>
          <t>Insight (INS)</t>
        </is>
      </c>
      <c r="B10" s="7" t="n">
        <v>9</v>
      </c>
      <c r="C10" s="8" t="inlineStr">
        <is>
          <t>INS</t>
        </is>
      </c>
    </row>
    <row r="11">
      <c r="A11" s="6" t="inlineStr">
        <is>
          <t>Memory (MEM)</t>
        </is>
      </c>
      <c r="B11" s="7" t="n">
        <v>8</v>
      </c>
      <c r="C11" s="8" t="inlineStr">
        <is>
          <t>MEM</t>
        </is>
      </c>
    </row>
    <row r="12">
      <c r="A12" s="6" t="inlineStr">
        <is>
          <t>Execution (EXE)</t>
        </is>
      </c>
      <c r="B12" s="7" t="n">
        <v>8</v>
      </c>
      <c r="C12" s="8" t="inlineStr">
        <is>
          <t>EXE</t>
        </is>
      </c>
    </row>
    <row r="13">
      <c r="A13" s="6" t="inlineStr">
        <is>
          <t>Social (SOC)</t>
        </is>
      </c>
      <c r="B13" s="7" t="n">
        <v>4</v>
      </c>
      <c r="C13" s="8" t="inlineStr">
        <is>
          <t>SOC</t>
        </is>
      </c>
    </row>
    <row r="14">
      <c r="A14" s="6" t="inlineStr">
        <is>
          <t>Will (WIL)</t>
        </is>
      </c>
      <c r="B14" s="7" t="n">
        <v>10</v>
      </c>
      <c r="C14" s="8" t="inlineStr">
        <is>
          <t>WIL</t>
        </is>
      </c>
    </row>
    <row r="15"/>
    <row r="16">
      <c r="A16" s="2" t="inlineStr">
        <is>
          <t>III. Combat Values</t>
        </is>
      </c>
    </row>
    <row r="17">
      <c r="A17" s="3" t="inlineStr">
        <is>
          <t>Value</t>
        </is>
      </c>
      <c r="B17" s="5" t="inlineStr">
        <is>
          <t>Value</t>
        </is>
      </c>
      <c r="C17" s="3" t="inlineStr">
        <is>
          <t>Notes</t>
        </is>
      </c>
    </row>
    <row r="18">
      <c r="A18" s="6" t="inlineStr">
        <is>
          <t>Hit Points (HP)</t>
        </is>
      </c>
      <c r="B18" s="7" t="n">
        <v>26</v>
      </c>
      <c r="C18" s="9" t="inlineStr">
        <is>
          <t>Codex Value</t>
        </is>
      </c>
      <c r="D18" s="12" t="n"/>
    </row>
    <row r="19">
      <c r="A19" s="6" t="inlineStr">
        <is>
          <t>Damage Tolerance (TOL)</t>
        </is>
      </c>
      <c r="B19" s="7" t="n">
        <v>9</v>
      </c>
      <c r="C19" s="9" t="inlineStr">
        <is>
          <t>Final=Base-TOL</t>
        </is>
      </c>
      <c r="D19" s="12" t="n"/>
    </row>
    <row r="20">
      <c r="A20" s="6" t="inlineStr">
        <is>
          <t>Armor Value (AV)</t>
        </is>
      </c>
      <c r="B20" s="7" t="n">
        <v>6</v>
      </c>
      <c r="C20" s="9" t="inlineStr">
        <is>
          <t>Hide/Armor</t>
        </is>
      </c>
      <c r="D20" s="12" t="n"/>
    </row>
    <row r="21">
      <c r="A21" s="6" t="inlineStr">
        <is>
          <t>Initiative Bonus</t>
        </is>
      </c>
      <c r="B21" s="7" t="n">
        <v>2</v>
      </c>
      <c r="C21" s="9" t="inlineStr">
        <is>
          <t>Initiative=INS+1d10+this value</t>
        </is>
      </c>
      <c r="D21" s="12" t="n"/>
    </row>
    <row r="22">
      <c r="A22" s="6" t="inlineStr">
        <is>
          <t>Attack</t>
        </is>
      </c>
      <c r="B22" s="7" t="inlineStr">
        <is>
          <t>Greatsword 2d6+3 + Fire 1d4</t>
        </is>
      </c>
      <c r="C22" s="9" t="inlineStr">
        <is>
          <t>See Item Codex for damage</t>
        </is>
      </c>
      <c r="D22" s="12" t="n"/>
    </row>
    <row r="23"/>
    <row r="24">
      <c r="A24" s="2" t="inlineStr">
        <is>
          <t>IV. HP Tracking</t>
        </is>
      </c>
    </row>
    <row r="25">
      <c r="A25" s="6" t="inlineStr">
        <is>
          <t>Max HP</t>
        </is>
      </c>
      <c r="B25" s="7" t="n">
        <v>26</v>
      </c>
    </row>
    <row r="26">
      <c r="A26" s="6" t="inlineStr">
        <is>
          <t>Current HP</t>
        </is>
      </c>
      <c r="B26" s="7">
        <f>B25</f>
        <v/>
      </c>
    </row>
    <row r="27">
      <c r="A27" s="6" t="inlineStr">
        <is>
          <t>Remaining Ratio</t>
        </is>
      </c>
      <c r="B27" s="10">
        <f>IF(B25&gt;0,B26/B25,0)</f>
        <v/>
      </c>
    </row>
    <row r="28">
      <c r="A28" s="6" t="inlineStr">
        <is>
          <t>Wound Level</t>
        </is>
      </c>
      <c r="B28" s="10">
        <f>IF(B26&lt;=0,"5 Death",IF(B27&lt;=0.25,"4 Fatal Wound",IF(B27&lt;=0.5,"3 Severe Wound",IF(B27&lt;=0.75,"2 Moderate Wound",IF(B27&lt;=0.99,"1 Light Wound","0 No Wound")))))</f>
        <v/>
      </c>
    </row>
    <row r="29"/>
    <row r="30">
      <c r="A30" s="2" t="inlineStr">
        <is>
          <t>V. Special / Weakness / AI</t>
        </is>
      </c>
    </row>
    <row r="31">
      <c r="A31" s="3" t="inlineStr">
        <is>
          <t>Special Ability</t>
        </is>
      </c>
      <c r="B31" s="4" t="inlineStr">
        <is>
          <t>2 reactions per turn; immune to fear; revives once on death; Four-Phase</t>
        </is>
      </c>
      <c r="C31" s="11" t="n"/>
      <c r="D31" s="12" t="n"/>
    </row>
    <row r="32">
      <c r="A32" s="3" t="inlineStr">
        <is>
          <t>Weakness</t>
        </is>
      </c>
      <c r="B32" s="4" t="inlineStr">
        <is>
          <t>Holy Emblem (destroying it loses Legendary trait); Doctrinal Contradiction; Embers of Flame can extinguish</t>
        </is>
      </c>
      <c r="C32" s="11" t="n"/>
      <c r="D32" s="12" t="n"/>
    </row>
    <row r="33">
      <c r="A33" s="3" t="inlineStr">
        <is>
          <t>AI Behavior</t>
        </is>
      </c>
      <c r="B33" s="4" t="inlineStr">
        <is>
          <t>Remembers player tactics across loops; auto-counters repeated tactics</t>
        </is>
      </c>
      <c r="C33" s="11" t="n"/>
      <c r="D33" s="12" t="n"/>
    </row>
  </sheetData>
  <mergeCells count="18">
    <mergeCell ref="B33:D33"/>
    <mergeCell ref="A1:D1"/>
    <mergeCell ref="C20:D20"/>
    <mergeCell ref="B5:D5"/>
    <mergeCell ref="A8:D8"/>
    <mergeCell ref="C21:D21"/>
    <mergeCell ref="B31:D31"/>
    <mergeCell ref="A3:D3"/>
    <mergeCell ref="B4:D4"/>
    <mergeCell ref="C19:D19"/>
    <mergeCell ref="A30:D30"/>
    <mergeCell ref="B32:D32"/>
    <mergeCell ref="C22:D22"/>
    <mergeCell ref="A16:D16"/>
    <mergeCell ref="C18:D18"/>
    <mergeCell ref="A24:D24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2026-07-17T01:08:35Z</dcterms:created>
  <dcterms:modified xsi:type="dcterms:W3CDTF">2026-08-10T07:49:24Z</dcterms:modified>
</cp:coreProperties>
</file>