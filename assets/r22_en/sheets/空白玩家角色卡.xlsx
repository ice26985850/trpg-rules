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12" customWidth="1" min="5" max="5"/>
  </cols>
  <sheetData>
    <row r="1">
      <c r="A1" s="1" t="inlineStr">
        <is>
          <t>Death Return TRPG — Player Character Card (Blank) v2.1</t>
        </is>
      </c>
    </row>
    <row r="2"/>
    <row r="3">
      <c r="A3" s="2" t="inlineStr">
        <is>
          <t>I. Basic Information</t>
        </is>
      </c>
    </row>
    <row r="4">
      <c r="A4" s="3" t="inlineStr">
        <is>
          <t>Name</t>
        </is>
      </c>
      <c r="B4" s="4" t="inlineStr"/>
      <c r="C4" s="15" t="n"/>
      <c r="D4" s="15" t="n"/>
      <c r="E4" s="16" t="n"/>
    </row>
    <row r="5">
      <c r="A5" s="3" t="inlineStr">
        <is>
          <t>Background</t>
        </is>
      </c>
      <c r="B5" s="4" t="inlineStr">
        <is>
          <t>(Scholar / Soldier / Thief / Doctor / Wanderer / Merchant / Performer / Detective)</t>
        </is>
      </c>
      <c r="C5" s="15" t="n"/>
      <c r="D5" s="15" t="n"/>
      <c r="E5" s="16" t="n"/>
    </row>
    <row r="6">
      <c r="A6" s="3" t="inlineStr">
        <is>
          <t>Return Source</t>
        </is>
      </c>
      <c r="B6" s="4" t="inlineStr">
        <is>
          <t>(Curse / Experiment / Innate Gift / Unknown)</t>
        </is>
      </c>
      <c r="C6" s="15" t="n"/>
      <c r="D6" s="15" t="n"/>
      <c r="E6" s="16" t="n"/>
    </row>
    <row r="7">
      <c r="A7" s="3" t="inlineStr">
        <is>
          <t>Psychological Trauma</t>
        </is>
      </c>
      <c r="B7" s="4" t="inlineStr">
        <is>
          <t>(see Rulebook Step Four)</t>
        </is>
      </c>
      <c r="C7" s="15" t="n"/>
      <c r="D7" s="15" t="n"/>
      <c r="E7" s="16" t="n"/>
    </row>
    <row r="8">
      <c r="A8" s="3" t="inlineStr">
        <is>
          <t>Core Relationship</t>
        </is>
      </c>
      <c r="B8" s="4" t="inlineStr">
        <is>
          <t>(Bond / Debt / Mystery / Mirror)</t>
        </is>
      </c>
      <c r="C8" s="15" t="n"/>
      <c r="D8" s="15" t="n"/>
      <c r="E8" s="16" t="n"/>
    </row>
    <row r="9">
      <c r="A9" s="3" t="inlineStr">
        <is>
          <t>Default Save Point</t>
        </is>
      </c>
      <c r="B9" s="4" t="inlineStr">
        <is>
          <t>(Location / Moment / Event)</t>
        </is>
      </c>
      <c r="C9" s="15" t="n"/>
      <c r="D9" s="15" t="n"/>
      <c r="E9" s="16" t="n"/>
    </row>
    <row r="10">
      <c r="A10" s="2" t="inlineStr">
        <is>
          <t>II. Five Attributes (range 4-9, base 4 free, 18-point buy with increasing cost)</t>
        </is>
      </c>
    </row>
    <row r="11">
      <c r="A11" s="3" t="inlineStr">
        <is>
          <t>Attribute</t>
        </is>
      </c>
      <c r="B11" s="5" t="inlineStr">
        <is>
          <t>Value</t>
        </is>
      </c>
      <c r="C11" s="5" t="inlineStr">
        <is>
          <t>Abbrev.</t>
        </is>
      </c>
      <c r="D11" s="3" t="inlineStr">
        <is>
          <t>Allocation Advice</t>
        </is>
      </c>
      <c r="E11" s="5" t="inlineStr">
        <is>
          <t>Point-Buy Cost</t>
        </is>
      </c>
    </row>
    <row r="12">
      <c r="A12" s="6" t="inlineStr">
        <is>
          <t>Insight (INS)</t>
        </is>
      </c>
      <c r="B12" s="7" t="n">
        <v>4</v>
      </c>
      <c r="C12" s="8" t="inlineStr">
        <is>
          <t>INS</t>
        </is>
      </c>
      <c r="D12" s="9" t="inlineStr">
        <is>
          <t>Observe / Reconnaissance / Sense Anomaly</t>
        </is>
      </c>
      <c r="E12" s="10">
        <f>IF(B12&lt;=4,0,IF(B12=5,1,IF(B12=6,2,IF(B12=7,4,IF(B12=8,6,9)))))</f>
        <v/>
      </c>
    </row>
    <row r="13">
      <c r="A13" s="6" t="inlineStr">
        <is>
          <t>Memory (MEM)</t>
        </is>
      </c>
      <c r="B13" s="7" t="n">
        <v>4</v>
      </c>
      <c r="C13" s="8" t="inlineStr">
        <is>
          <t>MEM</t>
        </is>
      </c>
      <c r="D13" s="9" t="inlineStr">
        <is>
          <t>Carry Memory Fragments / Recall</t>
        </is>
      </c>
      <c r="E13" s="10">
        <f>IF(B13&lt;=4,0,IF(B13=5,1,IF(B13=6,2,IF(B13=7,4,IF(B13=8,6,9)))))</f>
        <v/>
      </c>
    </row>
    <row r="14">
      <c r="A14" s="6" t="inlineStr">
        <is>
          <t>Execution (EXE)</t>
        </is>
      </c>
      <c r="B14" s="7" t="n">
        <v>4</v>
      </c>
      <c r="C14" s="8" t="inlineStr">
        <is>
          <t>EXE</t>
        </is>
      </c>
      <c r="D14" s="9" t="inlineStr">
        <is>
          <t>Combat / Stealth / Operation</t>
        </is>
      </c>
      <c r="E14" s="10">
        <f>IF(B14&lt;=4,0,IF(B14=5,1,IF(B14=6,2,IF(B14=7,4,IF(B14=8,6,9)))))</f>
        <v/>
      </c>
    </row>
    <row r="15">
      <c r="A15" s="6" t="inlineStr">
        <is>
          <t>Social (SOC)</t>
        </is>
      </c>
      <c r="B15" s="7" t="n">
        <v>4</v>
      </c>
      <c r="C15" s="8" t="inlineStr">
        <is>
          <t>SOC</t>
        </is>
      </c>
      <c r="D15" s="9" t="inlineStr">
        <is>
          <t>Persuasion / Relationships</t>
        </is>
      </c>
      <c r="E15" s="10">
        <f>IF(B15&lt;=4,0,IF(B15=5,1,IF(B15=6,2,IF(B15=7,4,IF(B15=8,6,9)))))</f>
        <v/>
      </c>
    </row>
    <row r="16">
      <c r="A16" s="6" t="inlineStr">
        <is>
          <t>Will (WIL)</t>
        </is>
      </c>
      <c r="B16" s="7" t="n">
        <v>4</v>
      </c>
      <c r="C16" s="8" t="inlineStr">
        <is>
          <t>WIL</t>
        </is>
      </c>
      <c r="D16" s="9" t="inlineStr">
        <is>
          <t>Resist Fear / Endure Rift Marks</t>
        </is>
      </c>
      <c r="E16" s="10">
        <f>IF(B16&lt;=4,0,IF(B16=5,1,IF(B16=6,2,IF(B16=7,4,IF(B16=8,6,9)))))</f>
        <v/>
      </c>
    </row>
    <row r="17">
      <c r="A17" s="3" t="inlineStr">
        <is>
          <t>Total Point-Buy Cost (Cap 18)</t>
        </is>
      </c>
      <c r="E17" s="11">
        <f>SUM(E12:E16)</f>
        <v/>
      </c>
    </row>
    <row r="18">
      <c r="A18" s="3" t="inlineStr">
        <is>
          <t>Allocation Check</t>
        </is>
      </c>
      <c r="B18" s="11">
        <f>IF(E17&gt;18,"Exceeds point-buy cap!","OK (left " &amp;(18-E17) &amp; " pts)")</f>
        <v/>
      </c>
      <c r="C18" s="12" t="inlineStr">
        <is>
          <t>Incremental cost: 4→5:1 / 5→6:1 / 6→7:2 / 7→8:2 / 8→9:3 (Cause of Death / Background +1 not counted in point-buy)</t>
        </is>
      </c>
      <c r="D18" s="15" t="n"/>
      <c r="E18" s="16" t="n"/>
    </row>
    <row r="19"/>
    <row r="20">
      <c r="A20" s="2" t="inlineStr">
        <is>
          <t>III. Derived Attributes (Auto)</t>
        </is>
      </c>
    </row>
    <row r="21">
      <c r="A21" s="3" t="inlineStr">
        <is>
          <t>Derived Attribute</t>
        </is>
      </c>
      <c r="B21" s="5" t="inlineStr">
        <is>
          <t>Value</t>
        </is>
      </c>
      <c r="C21" s="3" t="inlineStr">
        <is>
          <t>Formula</t>
        </is>
      </c>
    </row>
    <row r="22">
      <c r="A22" s="6" t="inlineStr">
        <is>
          <t>Hit Points (HP)</t>
        </is>
      </c>
      <c r="B22" s="10">
        <f>B14+B16+5</f>
        <v/>
      </c>
      <c r="C22" s="9" t="inlineStr">
        <is>
          <t>EXE + WIL + 5 (total damage capacity)</t>
        </is>
      </c>
    </row>
    <row r="23">
      <c r="A23" s="6" t="inlineStr">
        <is>
          <t>Mind Points (MP)</t>
        </is>
      </c>
      <c r="B23" s="10">
        <f>B16+B13+3</f>
        <v/>
      </c>
      <c r="C23" s="9" t="inlineStr">
        <is>
          <t>WIL + MEM + 3 (social / mental expenditure)</t>
        </is>
      </c>
    </row>
    <row r="24">
      <c r="A24" s="6" t="inlineStr">
        <is>
          <t>Stamina Points (SP)</t>
        </is>
      </c>
      <c r="B24" s="10">
        <f>B14+B16+3</f>
        <v/>
      </c>
      <c r="C24" s="9" t="inlineStr">
        <is>
          <t>EXE + WIL + 3 (action resource, not HP)</t>
        </is>
      </c>
    </row>
    <row r="25">
      <c r="A25" s="6" t="inlineStr">
        <is>
          <t>Armor Value (AV)</t>
        </is>
      </c>
      <c r="B25" s="7" t="n">
        <v>0</v>
      </c>
      <c r="C25" s="9" t="inlineStr">
        <is>
          <t>From equipment (input)</t>
        </is>
      </c>
    </row>
    <row r="26">
      <c r="A26" s="6" t="inlineStr">
        <is>
          <t>Damage Tolerance (TOL)</t>
        </is>
      </c>
      <c r="B26" s="10">
        <f>B25+MIN(9,FLOOR((B14+B16)/4,1))</f>
        <v/>
      </c>
      <c r="C26" s="9" t="inlineStr">
        <is>
          <t>AV + floor((EXE+WIL)/4), soft cap 9</t>
        </is>
      </c>
    </row>
    <row r="27">
      <c r="A27" s="6" t="inlineStr">
        <is>
          <t>Memory Fragment Capacity</t>
        </is>
      </c>
      <c r="B27" s="10">
        <f>B13*2+5</f>
        <v/>
      </c>
      <c r="C27" s="9" t="inlineStr">
        <is>
          <t>MEM × 2 + 5 (+ source bonus)</t>
        </is>
      </c>
    </row>
    <row r="28">
      <c r="A28" s="6" t="inlineStr">
        <is>
          <t>Rift Threshold</t>
        </is>
      </c>
      <c r="B28" s="7" t="n">
        <v>10</v>
      </c>
      <c r="C28" s="9" t="inlineStr">
        <is>
          <t>Fixed 10 (Unbalanced start, narrative hint only)</t>
        </is>
      </c>
    </row>
    <row r="29">
      <c r="A29" s="6" t="inlineStr">
        <is>
          <t>Relationship-Rebuild Base</t>
        </is>
      </c>
      <c r="B29" s="10">
        <f>FLOOR(B15/2,1)</f>
        <v/>
      </c>
      <c r="C29" s="9" t="inlineStr">
        <is>
          <t>floor(SOC/2)</t>
        </is>
      </c>
    </row>
    <row r="30"/>
    <row r="31">
      <c r="A31" s="2" t="inlineStr">
        <is>
          <t>IV. Skills(11, Level 0-5, creation cap 3, permanently kept, not reset on death)</t>
        </is>
      </c>
    </row>
    <row r="32">
      <c r="A32" s="3" t="inlineStr">
        <is>
          <t>Skills</t>
        </is>
      </c>
      <c r="B32" s="3" t="inlineStr">
        <is>
          <t>Linked Attribute</t>
        </is>
      </c>
      <c r="C32" s="5" t="inlineStr">
        <is>
          <t>Level</t>
        </is>
      </c>
      <c r="D32" s="3" t="inlineStr">
        <is>
          <t>Check Base (MOD + Level)</t>
        </is>
      </c>
    </row>
    <row r="33">
      <c r="A33" s="13" t="inlineStr">
        <is>
          <t>Reconnaissance (REC)</t>
        </is>
      </c>
      <c r="B33" s="8" t="inlineStr">
        <is>
          <t>12</t>
        </is>
      </c>
      <c r="C33" s="7" t="n">
        <v>0</v>
      </c>
      <c r="D33" s="10">
        <f>FLOOR(B12/2,1)+C33</f>
        <v/>
      </c>
    </row>
    <row r="34">
      <c r="A34" s="13" t="inlineStr">
        <is>
          <t>Conversation Mining (DIA)</t>
        </is>
      </c>
      <c r="B34" s="8" t="inlineStr">
        <is>
          <t>15</t>
        </is>
      </c>
      <c r="C34" s="7" t="n">
        <v>0</v>
      </c>
      <c r="D34" s="10">
        <f>FLOOR(B15/2,1)+C34</f>
        <v/>
      </c>
    </row>
    <row r="35">
      <c r="A35" s="13" t="inlineStr">
        <is>
          <t>Anomaly Sense (ANO)</t>
        </is>
      </c>
      <c r="B35" s="8" t="inlineStr">
        <is>
          <t>12</t>
        </is>
      </c>
      <c r="C35" s="7" t="n">
        <v>0</v>
      </c>
      <c r="D35" s="10">
        <f>FLOOR(B12/2,1)+C35</f>
        <v/>
      </c>
    </row>
    <row r="36">
      <c r="A36" s="13" t="inlineStr">
        <is>
          <t>Cause-of-Death Analysis (DEA)</t>
        </is>
      </c>
      <c r="B36" s="8" t="inlineStr">
        <is>
          <t>16</t>
        </is>
      </c>
      <c r="C36" s="7" t="n">
        <v>0</v>
      </c>
      <c r="D36" s="10">
        <f>FLOOR(B16/2,1)+C36</f>
        <v/>
      </c>
    </row>
    <row r="37">
      <c r="A37" s="13" t="inlineStr">
        <is>
          <t>Combat (COM)</t>
        </is>
      </c>
      <c r="B37" s="8" t="inlineStr">
        <is>
          <t>14</t>
        </is>
      </c>
      <c r="C37" s="7" t="n">
        <v>0</v>
      </c>
      <c r="D37" s="10">
        <f>FLOOR(B14/2,1)+C37</f>
        <v/>
      </c>
    </row>
    <row r="38">
      <c r="A38" s="13" t="inlineStr">
        <is>
          <t>Stealth (STE)</t>
        </is>
      </c>
      <c r="B38" s="8" t="inlineStr">
        <is>
          <t>14</t>
        </is>
      </c>
      <c r="C38" s="7" t="n">
        <v>0</v>
      </c>
      <c r="D38" s="10">
        <f>FLOOR(B14/2,1)+C38</f>
        <v/>
      </c>
    </row>
    <row r="39">
      <c r="A39" s="13" t="inlineStr">
        <is>
          <t>Mechanics (MEC)</t>
        </is>
      </c>
      <c r="B39" s="8" t="inlineStr">
        <is>
          <t>14</t>
        </is>
      </c>
      <c r="C39" s="7" t="n">
        <v>0</v>
      </c>
      <c r="D39" s="10">
        <f>FLOOR(B14/2,1)+C39</f>
        <v/>
      </c>
    </row>
    <row r="40">
      <c r="A40" s="13" t="inlineStr">
        <is>
          <t>Persuasion (PER)</t>
        </is>
      </c>
      <c r="B40" s="8" t="inlineStr">
        <is>
          <t>15</t>
        </is>
      </c>
      <c r="C40" s="7" t="n">
        <v>0</v>
      </c>
      <c r="D40" s="10">
        <f>FLOOR(B15/2,1)+C40</f>
        <v/>
      </c>
    </row>
    <row r="41">
      <c r="A41" s="13" t="inlineStr">
        <is>
          <t>Memory Recall (RECALL)</t>
        </is>
      </c>
      <c r="B41" s="8" t="inlineStr">
        <is>
          <t>13</t>
        </is>
      </c>
      <c r="C41" s="7" t="n">
        <v>0</v>
      </c>
      <c r="D41" s="10">
        <f>FLOOR(B13/2,1)+C41</f>
        <v/>
      </c>
    </row>
    <row r="42">
      <c r="A42" s="13" t="inlineStr">
        <is>
          <t>Mental Resistance (RES)</t>
        </is>
      </c>
      <c r="B42" s="8" t="inlineStr">
        <is>
          <t>16</t>
        </is>
      </c>
      <c r="C42" s="7" t="n">
        <v>0</v>
      </c>
      <c r="D42" s="10">
        <f>FLOOR(B16/2,1)+C42</f>
        <v/>
      </c>
    </row>
    <row r="43">
      <c r="A43" s="13" t="inlineStr">
        <is>
          <t>Alchemy (ALC)</t>
        </is>
      </c>
      <c r="B43" s="8" t="inlineStr">
        <is>
          <t>14</t>
        </is>
      </c>
      <c r="C43" s="7" t="n">
        <v>0</v>
      </c>
      <c r="D43" s="10">
        <f>FLOOR(B14/2,1)+C43</f>
        <v/>
      </c>
    </row>
    <row r="44"/>
    <row r="45">
      <c r="A45" s="2" t="inlineStr">
        <is>
          <t>V. Combat Quick Reference (Auto)</t>
        </is>
      </c>
    </row>
    <row r="46">
      <c r="A46" s="3" t="inlineStr">
        <is>
          <t>Item</t>
        </is>
      </c>
      <c r="B46" s="5" t="inlineStr">
        <is>
          <t>Value</t>
        </is>
      </c>
      <c r="C46" s="3" t="inlineStr">
        <is>
          <t>Notes</t>
        </is>
      </c>
    </row>
    <row r="47">
      <c r="A47" s="13" t="inlineStr">
        <is>
          <t>Cover Modifier (input)</t>
        </is>
      </c>
      <c r="B47" s="7" t="n">
        <v>0</v>
      </c>
      <c r="C47" s="9" t="inlineStr">
        <is>
          <t>In cover +2</t>
        </is>
      </c>
    </row>
    <row r="48">
      <c r="A48" s="13" t="inlineStr">
        <is>
          <t>Initiative</t>
        </is>
      </c>
      <c r="B48" s="10">
        <f>B12</f>
        <v/>
      </c>
      <c r="C48" s="9" t="inlineStr">
        <is>
          <t>Initiative = INS + 1d10</t>
        </is>
      </c>
    </row>
    <row r="49">
      <c r="A49" s="13" t="inlineStr">
        <is>
          <t>Defense Value</t>
        </is>
      </c>
      <c r="B49" s="10">
        <f>10+FLOOR(B14/2,1)+B25+B47</f>
        <v/>
      </c>
      <c r="C49" s="9" t="inlineStr">
        <is>
          <t>Defense = 10 + MOD(EXE) + AV + Cover</t>
        </is>
      </c>
    </row>
    <row r="50">
      <c r="A50" s="13" t="inlineStr">
        <is>
          <t>Attack Bonus (MOD(EXE) + COM)</t>
        </is>
      </c>
      <c r="B50" s="10">
        <f>FLOOR(B14/2,1)+C37</f>
        <v/>
      </c>
      <c r="C50" s="9" t="inlineStr">
        <is>
          <t>Attack Value = d20 + MOD(EXE) + COM + Memory Bonus</t>
        </is>
      </c>
    </row>
    <row r="51">
      <c r="A51" s="13" t="inlineStr">
        <is>
          <t>Damage Bonus MOD(EXE)</t>
        </is>
      </c>
      <c r="B51" s="10">
        <f>FLOOR(B14/2,1)</f>
        <v/>
      </c>
      <c r="C51" s="9" t="inlineStr">
        <is>
          <t>Base Damage = Weapon Damage + MOD(EXE) + Weakness; Final = max(0, Base - TOL)</t>
        </is>
      </c>
    </row>
    <row r="52"/>
    <row r="53">
      <c r="A53" s="2" t="inlineStr">
        <is>
          <t>VI. HP / Wound Tracking</t>
        </is>
      </c>
    </row>
    <row r="54">
      <c r="A54" s="3" t="inlineStr">
        <is>
          <t>Item</t>
        </is>
      </c>
      <c r="B54" s="5" t="inlineStr">
        <is>
          <t>Value</t>
        </is>
      </c>
      <c r="C54" s="3" t="inlineStr">
        <is>
          <t>Notes</t>
        </is>
      </c>
    </row>
    <row r="55">
      <c r="A55" s="13" t="inlineStr">
        <is>
          <t>Max HP</t>
        </is>
      </c>
      <c r="B55" s="10">
        <f>B14+B16+5</f>
        <v/>
      </c>
      <c r="C55" s="9" t="inlineStr">
        <is>
          <t>HP (HP) Cap</t>
        </is>
      </c>
    </row>
    <row r="56">
      <c r="A56" s="13" t="inlineStr">
        <is>
          <t>Current HP (input)</t>
        </is>
      </c>
      <c r="B56" s="7">
        <f>B55</f>
        <v/>
      </c>
      <c r="C56" s="9" t="inlineStr">
        <is>
          <t>Enter current value after injury</t>
        </is>
      </c>
    </row>
    <row r="57">
      <c r="A57" s="13" t="inlineStr">
        <is>
          <t>Remaining Ratio</t>
        </is>
      </c>
      <c r="B57" s="10">
        <f>IF(B55&gt;0,B56/B55,0)</f>
        <v/>
      </c>
      <c r="C57" s="9" t="inlineStr">
        <is>
          <t>Current / Cap</t>
        </is>
      </c>
    </row>
    <row r="58">
      <c r="A58" s="13" t="inlineStr">
        <is>
          <t>Wound Level (Auto)</t>
        </is>
      </c>
      <c r="B58" s="10">
        <f>IF(B56&lt;=0,"5 Death",IF(B57&lt;=0.25,"4 Fatal Wound",IF(B57&lt;=0.5,"3 Severe Wound",IF(B57&lt;=0.75,"2 Moderate Wound",IF(B57&lt;=0.99,"1 Light Wound","0 No Wound")))))</f>
        <v/>
      </c>
      <c r="C58" s="9" t="inlineStr">
        <is>
          <t>Calculated from remaining ratio(see 4.4.1)</t>
        </is>
      </c>
    </row>
    <row r="59"/>
    <row r="60">
      <c r="A60" s="2" t="inlineStr">
        <is>
          <t>VII. Rift Mark Tracking (accumulates across loops, never resets)</t>
        </is>
      </c>
    </row>
    <row r="61">
      <c r="A61" s="13" t="inlineStr">
        <is>
          <t>Current Rift Mark (input)</t>
        </is>
      </c>
      <c r="B61" s="7" t="n">
        <v>0</v>
      </c>
      <c r="C61" s="9" t="inlineStr">
        <is>
          <t>Accumulate by cause of death (see 3.3); roll 1d6 initially</t>
        </is>
      </c>
    </row>
    <row r="62">
      <c r="A62" s="13" t="inlineStr">
        <is>
          <t>Rift Mark Stage (Auto)</t>
        </is>
      </c>
      <c r="B62" s="10">
        <f>IF(B61&gt;=40,"V Uncontrolled",IF(B61&gt;=30,"IV Critical",IF(B61&gt;=20,"III Shattered",IF(B61&gt;=10,"II Unbalanced","I Calm")))))</f>
        <v/>
      </c>
      <c r="C62" s="9" t="inlineStr">
        <is>
          <t>See 3.3 Rift Mark Stage table (fixed thresholds 10/20/30/40)</t>
        </is>
      </c>
    </row>
    <row r="63"/>
    <row r="64">
      <c r="A64" s="2" t="inlineStr">
        <is>
          <t>VIII. Memory Fragments Carried This Loop</t>
        </is>
      </c>
    </row>
    <row r="65">
      <c r="A65" s="3" t="inlineStr">
        <is>
          <t>Fragment Type</t>
        </is>
      </c>
      <c r="B65" s="5" t="inlineStr">
        <is>
          <t>Cost</t>
        </is>
      </c>
      <c r="C65" s="5" t="inlineStr">
        <is>
          <t>Quantity (input)</t>
        </is>
      </c>
      <c r="D65" s="3" t="inlineStr">
        <is>
          <t>Subtotal</t>
        </is>
      </c>
    </row>
    <row r="66">
      <c r="A66" s="13" t="inlineStr">
        <is>
          <t>Event Fragment</t>
        </is>
      </c>
      <c r="B66" s="8" t="n">
        <v>1</v>
      </c>
      <c r="C66" s="7" t="n">
        <v>0</v>
      </c>
      <c r="D66" s="10">
        <f>B66*C66</f>
        <v/>
      </c>
    </row>
    <row r="67">
      <c r="A67" s="13" t="inlineStr">
        <is>
          <t>Character Fragment</t>
        </is>
      </c>
      <c r="B67" s="8" t="n">
        <v>1</v>
      </c>
      <c r="C67" s="7" t="n">
        <v>0</v>
      </c>
      <c r="D67" s="10">
        <f>B67*C67</f>
        <v/>
      </c>
    </row>
    <row r="68">
      <c r="A68" s="13" t="inlineStr">
        <is>
          <t>Location Fragment</t>
        </is>
      </c>
      <c r="B68" s="8" t="n">
        <v>2</v>
      </c>
      <c r="C68" s="7" t="n">
        <v>0</v>
      </c>
      <c r="D68" s="10">
        <f>B68*C68</f>
        <v/>
      </c>
    </row>
    <row r="69">
      <c r="A69" s="13" t="inlineStr">
        <is>
          <t>Skill Fragment</t>
        </is>
      </c>
      <c r="B69" s="8" t="n">
        <v>2</v>
      </c>
      <c r="C69" s="7" t="n">
        <v>0</v>
      </c>
      <c r="D69" s="10">
        <f>B69*C69</f>
        <v/>
      </c>
    </row>
    <row r="70">
      <c r="A70" s="13" t="inlineStr">
        <is>
          <t>Fate Fragment</t>
        </is>
      </c>
      <c r="B70" s="8" t="n">
        <v>5</v>
      </c>
      <c r="C70" s="7" t="n">
        <v>0</v>
      </c>
      <c r="D70" s="10">
        <f>B70*C70</f>
        <v/>
      </c>
    </row>
    <row r="71">
      <c r="A71" s="3" t="inlineStr">
        <is>
          <t>Total Cost</t>
        </is>
      </c>
      <c r="B71" s="14" t="inlineStr"/>
      <c r="C71" s="14" t="inlineStr"/>
      <c r="D71" s="11">
        <f>SUM(D66:D70)</f>
        <v/>
      </c>
    </row>
    <row r="72">
      <c r="A72" s="3" t="inlineStr">
        <is>
          <t>Over Cap?</t>
        </is>
      </c>
      <c r="B72" s="11">
        <f>IF(D71&gt;=B13*2+5,"Over!","OK")</f>
        <v/>
      </c>
      <c r="C72" s="12" t="inlineStr">
        <is>
          <t>Cap = MEM×2+5 = B13*2+5; Character Fragments carry cap 3 per loop</t>
        </is>
      </c>
      <c r="D72" s="15" t="n"/>
      <c r="E72" s="16" t="n"/>
    </row>
  </sheetData>
  <mergeCells count="17">
    <mergeCell ref="C72:E72"/>
    <mergeCell ref="A53:E53"/>
    <mergeCell ref="B9:E9"/>
    <mergeCell ref="B8:E8"/>
    <mergeCell ref="A20:E20"/>
    <mergeCell ref="B4:E4"/>
    <mergeCell ref="A64:E64"/>
    <mergeCell ref="A10:E10"/>
    <mergeCell ref="B6:E6"/>
    <mergeCell ref="A60:E60"/>
    <mergeCell ref="C18:E18"/>
    <mergeCell ref="B7:E7"/>
    <mergeCell ref="A1:E1"/>
    <mergeCell ref="A45:E45"/>
    <mergeCell ref="B5:E5"/>
    <mergeCell ref="A31:E31"/>
    <mergeCell ref="A3:E3"/>
  </mergeCells>
  <dataValidations count="1">
    <dataValidation sqref="B6:B10" showDropDown="0" showInputMessage="0" showErrorMessage="0" allowBlank="0" errorTitle="範圍錯誤" error="屬性值必須介於 4 與 9 之間" prompt="請輸入 4-9 的整數" type="whole" operator="between">
      <formula1>4</formula1>
      <formula2>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2026-08-10T07:49:24Z</dcterms:modified>
</cp:coreProperties>
</file>