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範例1_均衡型探險家" sheetId="1" state="visible" r:id="rId1"/>
    <sheet name="範例2_戰鬥指揮官" sheetId="2" state="visible" r:id="rId2"/>
    <sheet name="範例3_破產商人" sheetId="3" state="visible" r:id="rId3"/>
    <sheet name="範例4_學術流亡者" sheetId="4" state="visible" r:id="rId4"/>
    <sheet name="範例5_走私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e94560"/>
      <sz val="16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sz val="11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4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⚓ 範例1_均衡型探險家</t>
        </is>
      </c>
      <c r="B1" s="7" t="n"/>
      <c r="C1" s="7" t="n"/>
      <c r="D1" s="7" t="n"/>
      <c r="E1" s="7" t="n"/>
      <c r="F1" s="7" t="n"/>
      <c r="G1" s="8" t="n"/>
    </row>
    <row r="2"/>
    <row r="3">
      <c r="A3" s="2" t="inlineStr">
        <is>
          <t>■ 基本資料</t>
        </is>
      </c>
      <c r="B3" s="7" t="n"/>
      <c r="C3" s="7" t="n"/>
      <c r="D3" s="7" t="n"/>
      <c r="E3" s="7" t="n"/>
      <c r="F3" s="8" t="n"/>
    </row>
    <row r="4">
      <c r="A4" s="3" t="inlineStr">
        <is>
          <t>船長姓名</t>
        </is>
      </c>
      <c r="B4" s="4" t="inlineStr">
        <is>
          <t>星野 蓮</t>
        </is>
      </c>
      <c r="C4" s="3" t="inlineStr">
        <is>
          <t>背景</t>
        </is>
      </c>
      <c r="D4" s="4" t="inlineStr">
        <is>
          <t>探險家</t>
        </is>
      </c>
    </row>
    <row r="5">
      <c r="A5" s="3" t="inlineStr">
        <is>
          <t>船名</t>
        </is>
      </c>
      <c r="B5" s="4" t="inlineStr">
        <is>
          <t>星海飄流者</t>
        </is>
      </c>
      <c r="C5" s="3" t="inlineStr">
        <is>
          <t>船型</t>
        </is>
      </c>
      <c r="D5" s="4" t="inlineStr">
        <is>
          <t>星巡者級</t>
        </is>
      </c>
    </row>
    <row r="6"/>
    <row r="7">
      <c r="A7" s="2" t="inlineStr">
        <is>
          <t>■ 船長屬性</t>
        </is>
      </c>
      <c r="B7" s="7" t="n"/>
      <c r="C7" s="7" t="n"/>
      <c r="D7" s="7" t="n"/>
      <c r="E7" s="7" t="n"/>
      <c r="F7" s="8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>
        <is>
          <t>總計</t>
        </is>
      </c>
    </row>
    <row r="9">
      <c r="A9" s="4" t="n">
        <v>4</v>
      </c>
      <c r="B9" s="4" t="n">
        <v>5</v>
      </c>
      <c r="C9" s="4" t="n">
        <v>7</v>
      </c>
      <c r="D9" s="4" t="n">
        <v>4</v>
      </c>
      <c r="E9" s="4" t="n">
        <v>5</v>
      </c>
      <c r="F9" s="5">
        <f>SUM(A9:E9)</f>
        <v/>
      </c>
    </row>
    <row r="10"/>
    <row r="11">
      <c r="A11" s="2" t="inlineStr">
        <is>
          <t>■ 背景能力</t>
        </is>
      </c>
      <c r="B11" s="7" t="n"/>
      <c r="C11" s="7" t="n"/>
      <c r="D11" s="7" t="n"/>
      <c r="E11" s="7" t="n"/>
      <c r="F11" s="8" t="n"/>
    </row>
    <row r="12">
      <c r="A12" s="3" t="inlineStr">
        <is>
          <t>專精優勢</t>
        </is>
      </c>
      <c r="B12" s="4" t="inlineStr">
        <is>
          <t>航導（NAV） 檢定優勢（躍遷導航、星圖測繪、未知探索）</t>
        </is>
      </c>
      <c r="C12" s="7" t="n"/>
      <c r="D12" s="7" t="n"/>
      <c r="E12" s="7" t="n"/>
      <c r="F12" s="8" t="n"/>
    </row>
    <row r="13">
      <c r="A13" s="3" t="inlineStr">
        <is>
          <t>起始裝備</t>
        </is>
      </c>
      <c r="B13" s="4" t="inlineStr">
        <is>
          <t>先驅者躍遷數據 + 高級星圖測繪儀</t>
        </is>
      </c>
      <c r="C13" s="7" t="n"/>
      <c r="D13" s="7" t="n"/>
      <c r="E13" s="7" t="n"/>
      <c r="F13" s="8" t="n"/>
    </row>
    <row r="14">
      <c r="A14" s="3" t="inlineStr">
        <is>
          <t>勢力關係</t>
        </is>
      </c>
      <c r="B14" s="4" t="inlineStr">
        <is>
          <t>探險家協會 +2 / 某礦業公司 -1</t>
        </is>
      </c>
      <c r="C14" s="7" t="n"/>
      <c r="D14" s="7" t="n"/>
      <c r="E14" s="7" t="n"/>
      <c r="F14" s="8" t="n"/>
    </row>
    <row r="15"/>
    <row r="16">
      <c r="A16" s="2" t="inlineStr">
        <is>
          <t>■ 船體屬性</t>
        </is>
      </c>
      <c r="B16" s="7" t="n"/>
      <c r="C16" s="7" t="n"/>
      <c r="D16" s="7" t="n"/>
      <c r="E16" s="7" t="n"/>
      <c r="F16" s="8" t="n"/>
    </row>
    <row r="17">
      <c r="A17" s="3" t="inlineStr">
        <is>
          <t>引擎（ENG-S）</t>
        </is>
      </c>
      <c r="B17" s="3" t="inlineStr">
        <is>
          <t>裝甲（ARM）</t>
        </is>
      </c>
      <c r="C17" s="3" t="inlineStr">
        <is>
          <t>火力（WPN）</t>
        </is>
      </c>
      <c r="D17" s="3" t="inlineStr">
        <is>
          <t>感測器（SEN）</t>
        </is>
      </c>
      <c r="E17" s="3" t="inlineStr">
        <is>
          <t>貨倉（CRG）</t>
        </is>
      </c>
      <c r="F17" s="3" t="inlineStr"/>
    </row>
    <row r="18">
      <c r="A18" s="4" t="n">
        <v>4</v>
      </c>
      <c r="B18" s="4" t="n">
        <v>1</v>
      </c>
      <c r="C18" s="4" t="n">
        <v>2</v>
      </c>
      <c r="D18" s="4" t="n">
        <v>4</v>
      </c>
      <c r="E18" s="4" t="n">
        <v>2</v>
      </c>
    </row>
    <row r="19"/>
    <row r="20">
      <c r="A20" s="2" t="inlineStr">
        <is>
          <t>■ 衍生（自動計算）</t>
        </is>
      </c>
      <c r="B20" s="7" t="n"/>
      <c r="C20" s="7" t="n"/>
      <c r="D20" s="7" t="n"/>
      <c r="E20" s="7" t="n"/>
      <c r="F20" s="8" t="n"/>
    </row>
    <row r="21">
      <c r="A21" s="3" t="inlineStr">
        <is>
          <t>船體生命值（HP）</t>
        </is>
      </c>
      <c r="B21" s="3" t="inlineStr">
        <is>
          <t>迴避等級（AC）</t>
        </is>
      </c>
      <c r="C21" s="3" t="inlineStr">
        <is>
          <t>能量上限</t>
        </is>
      </c>
      <c r="D21" s="3" t="inlineStr">
        <is>
          <t>回復</t>
        </is>
      </c>
      <c r="E21" s="3" t="inlineStr">
        <is>
          <t>貨倉 標準貨倉單位（SCU）</t>
        </is>
      </c>
      <c r="F21" s="3" t="inlineStr">
        <is>
          <t>減傷值（DR）</t>
        </is>
      </c>
    </row>
    <row r="22">
      <c r="A22" s="5">
        <f>B18*10+20</f>
        <v/>
      </c>
      <c r="B22" s="5">
        <f>10+A18</f>
        <v/>
      </c>
      <c r="C22" s="5">
        <f>A18*5+10</f>
        <v/>
      </c>
      <c r="D22" s="5">
        <f>A18</f>
        <v/>
      </c>
      <c r="E22" s="5">
        <f>E18*20</f>
        <v/>
      </c>
      <c r="F22" s="5">
        <f>B18*2</f>
        <v/>
      </c>
    </row>
    <row r="23"/>
    <row r="24">
      <c r="A24" s="2" t="inlineStr">
        <is>
          <t>■ 武器</t>
        </is>
      </c>
      <c r="B24" s="7" t="n"/>
      <c r="C24" s="7" t="n"/>
      <c r="D24" s="7" t="n"/>
      <c r="E24" s="7" t="n"/>
      <c r="F24" s="8" t="n"/>
    </row>
    <row r="25">
      <c r="A25" s="3" t="inlineStr">
        <is>
          <t>武器名稱</t>
        </is>
      </c>
      <c r="B25" s="3" t="inlineStr">
        <is>
          <t>傷害骰</t>
        </is>
      </c>
      <c r="C25" s="3" t="inlineStr">
        <is>
          <t>特性</t>
        </is>
      </c>
      <c r="D25" s="3" t="inlineStr"/>
      <c r="E25" s="3" t="inlineStr"/>
      <c r="F25" s="3" t="inlineStr"/>
    </row>
    <row r="26">
      <c r="A26" s="4" t="inlineStr">
        <is>
          <t>輕型激光炮</t>
        </is>
      </c>
      <c r="B26" s="4" t="inlineStr">
        <is>
          <t>2d6</t>
        </is>
      </c>
      <c r="C26" s="4" t="inlineStr">
        <is>
          <t>精準+1</t>
        </is>
      </c>
    </row>
    <row r="27"/>
    <row r="28"/>
    <row r="29">
      <c r="A29" s="2" t="inlineStr">
        <is>
          <t>■ 船員</t>
        </is>
      </c>
      <c r="B29" s="7" t="n"/>
      <c r="C29" s="7" t="n"/>
      <c r="D29" s="7" t="n"/>
      <c r="E29" s="7" t="n"/>
      <c r="F29" s="8" t="n"/>
    </row>
    <row r="30">
      <c r="A30" s="3" t="inlineStr">
        <is>
          <t>角色</t>
        </is>
      </c>
      <c r="B30" s="3" t="inlineStr">
        <is>
          <t>姓名</t>
        </is>
      </c>
      <c r="C30" s="3" t="inlineStr">
        <is>
          <t>忠誠</t>
        </is>
      </c>
      <c r="D30" s="3" t="inlineStr">
        <is>
          <t>狀態</t>
        </is>
      </c>
      <c r="E30" s="3" t="inlineStr"/>
      <c r="F30" s="3" t="inlineStr"/>
    </row>
    <row r="31">
      <c r="A31" s="4" t="inlineStr">
        <is>
          <t>大副</t>
        </is>
      </c>
      <c r="B31" s="4" t="inlineStr">
        <is>
          <t>卡蘭·沃斯</t>
        </is>
      </c>
      <c r="C31" s="4" t="n">
        <v>7</v>
      </c>
      <c r="D31" s="4" t="inlineStr">
        <is>
          <t>正常</t>
        </is>
      </c>
    </row>
    <row r="32">
      <c r="A32" s="4" t="inlineStr">
        <is>
          <t>導航官</t>
        </is>
      </c>
      <c r="B32" s="4" t="inlineStr">
        <is>
          <t>星語者·歐林</t>
        </is>
      </c>
      <c r="C32" s="4" t="n">
        <v>5</v>
      </c>
      <c r="D32" s="4" t="inlineStr">
        <is>
          <t>正常</t>
        </is>
      </c>
    </row>
    <row r="33">
      <c r="A33" s="4" t="inlineStr">
        <is>
          <t>通訊官</t>
        </is>
      </c>
      <c r="B33" s="4" t="inlineStr">
        <is>
          <t>暗碼·諾娃</t>
        </is>
      </c>
      <c r="C33" s="4" t="n">
        <v>3</v>
      </c>
      <c r="D33" s="4" t="inlineStr">
        <is>
          <t>正常</t>
        </is>
      </c>
    </row>
    <row r="34"/>
    <row r="35"/>
    <row r="36"/>
    <row r="37">
      <c r="A37" s="2" t="inlineStr">
        <is>
          <t>■ 主持人（GM） 備註</t>
        </is>
      </c>
      <c r="B37" s="7" t="n"/>
      <c r="C37" s="7" t="n"/>
      <c r="D37" s="7" t="n"/>
      <c r="E37" s="7" t="n"/>
      <c r="F37" s="8" t="n"/>
    </row>
    <row r="38">
      <c r="A38" s="6" t="inlineStr">
        <is>
          <t>均衡發展的探險家。星巡者級提供優秀探索能力，航導（NAV） 7 確保導航檢定高成功率。暗碼·諾娃忠誠度低——主持人（GM） 已記錄她的隱藏目標。</t>
        </is>
      </c>
      <c r="B38" s="9" t="n"/>
      <c r="C38" s="9" t="n"/>
      <c r="D38" s="9" t="n"/>
      <c r="E38" s="9" t="n"/>
      <c r="F38" s="10" t="n"/>
    </row>
    <row r="39">
      <c r="A39" s="11" t="n"/>
      <c r="B39" s="12" t="n"/>
      <c r="C39" s="12" t="n"/>
      <c r="D39" s="12" t="n"/>
      <c r="E39" s="12" t="n"/>
      <c r="F39" s="13" t="n"/>
    </row>
  </sheetData>
  <mergeCells count="13">
    <mergeCell ref="A24:F24"/>
    <mergeCell ref="A16:F16"/>
    <mergeCell ref="A11:F11"/>
    <mergeCell ref="B12:F12"/>
    <mergeCell ref="A1:G1"/>
    <mergeCell ref="A37:F37"/>
    <mergeCell ref="A38:F39"/>
    <mergeCell ref="B14:F14"/>
    <mergeCell ref="A3:F3"/>
    <mergeCell ref="A20:F20"/>
    <mergeCell ref="B13:F13"/>
    <mergeCell ref="A29:F2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⚓ 範例2_戰鬥指揮官</t>
        </is>
      </c>
      <c r="B1" s="7" t="n"/>
      <c r="C1" s="7" t="n"/>
      <c r="D1" s="7" t="n"/>
      <c r="E1" s="7" t="n"/>
      <c r="F1" s="7" t="n"/>
      <c r="G1" s="8" t="n"/>
    </row>
    <row r="2"/>
    <row r="3">
      <c r="A3" s="2" t="inlineStr">
        <is>
          <t>■ 基本資料</t>
        </is>
      </c>
      <c r="B3" s="7" t="n"/>
      <c r="C3" s="7" t="n"/>
      <c r="D3" s="7" t="n"/>
      <c r="E3" s="7" t="n"/>
      <c r="F3" s="8" t="n"/>
    </row>
    <row r="4">
      <c r="A4" s="3" t="inlineStr">
        <is>
          <t>船長姓名</t>
        </is>
      </c>
      <c r="B4" s="4" t="inlineStr">
        <is>
          <t>雷克斯·鐵壁</t>
        </is>
      </c>
      <c r="C4" s="3" t="inlineStr">
        <is>
          <t>背景</t>
        </is>
      </c>
      <c r="D4" s="4" t="inlineStr">
        <is>
          <t>叛逃軍官</t>
        </is>
      </c>
    </row>
    <row r="5">
      <c r="A5" s="3" t="inlineStr">
        <is>
          <t>船名</t>
        </is>
      </c>
      <c r="B5" s="4" t="inlineStr">
        <is>
          <t>審判之錘</t>
        </is>
      </c>
      <c r="C5" s="3" t="inlineStr">
        <is>
          <t>船型</t>
        </is>
      </c>
      <c r="D5" s="4" t="inlineStr">
        <is>
          <t>劍魚級</t>
        </is>
      </c>
    </row>
    <row r="6"/>
    <row r="7">
      <c r="A7" s="2" t="inlineStr">
        <is>
          <t>■ 船長屬性</t>
        </is>
      </c>
      <c r="B7" s="7" t="n"/>
      <c r="C7" s="7" t="n"/>
      <c r="D7" s="7" t="n"/>
      <c r="E7" s="7" t="n"/>
      <c r="F7" s="8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>
        <is>
          <t>總計</t>
        </is>
      </c>
    </row>
    <row r="9">
      <c r="A9" s="4" t="n">
        <v>7</v>
      </c>
      <c r="B9" s="4" t="n">
        <v>4</v>
      </c>
      <c r="C9" s="4" t="n">
        <v>5</v>
      </c>
      <c r="D9" s="4" t="n">
        <v>6</v>
      </c>
      <c r="E9" s="4" t="n">
        <v>3</v>
      </c>
      <c r="F9" s="5">
        <f>SUM(A9:E9)</f>
        <v/>
      </c>
    </row>
    <row r="10"/>
    <row r="11">
      <c r="A11" s="2" t="inlineStr">
        <is>
          <t>■ 背景能力</t>
        </is>
      </c>
      <c r="B11" s="7" t="n"/>
      <c r="C11" s="7" t="n"/>
      <c r="D11" s="7" t="n"/>
      <c r="E11" s="7" t="n"/>
      <c r="F11" s="8" t="n"/>
    </row>
    <row r="12">
      <c r="A12" s="3" t="inlineStr">
        <is>
          <t>專精優勢</t>
        </is>
      </c>
      <c r="B12" s="4" t="inlineStr">
        <is>
          <t>指揮（CMD） 檢定優勢（戰術分析、軍事知識、艦隊識別）</t>
        </is>
      </c>
      <c r="C12" s="7" t="n"/>
      <c r="D12" s="7" t="n"/>
      <c r="E12" s="7" t="n"/>
      <c r="F12" s="8" t="n"/>
    </row>
    <row r="13">
      <c r="A13" s="3" t="inlineStr">
        <is>
          <t>起始裝備</t>
        </is>
      </c>
      <c r="B13" s="4" t="inlineStr">
        <is>
          <t>等離子手槍 + 加密數據晶片 + 懸賞 15,000 信用點（Cr）</t>
        </is>
      </c>
      <c r="C13" s="7" t="n"/>
      <c r="D13" s="7" t="n"/>
      <c r="E13" s="7" t="n"/>
      <c r="F13" s="8" t="n"/>
    </row>
    <row r="14">
      <c r="A14" s="3" t="inlineStr">
        <is>
          <t>勢力關係</t>
        </is>
      </c>
      <c r="B14" s="4" t="inlineStr">
        <is>
          <t>帝國海軍 -3 / 自由星域抵抗組織 +2</t>
        </is>
      </c>
      <c r="C14" s="7" t="n"/>
      <c r="D14" s="7" t="n"/>
      <c r="E14" s="7" t="n"/>
      <c r="F14" s="8" t="n"/>
    </row>
    <row r="15"/>
    <row r="16">
      <c r="A16" s="2" t="inlineStr">
        <is>
          <t>■ 船體屬性</t>
        </is>
      </c>
      <c r="B16" s="7" t="n"/>
      <c r="C16" s="7" t="n"/>
      <c r="D16" s="7" t="n"/>
      <c r="E16" s="7" t="n"/>
      <c r="F16" s="8" t="n"/>
    </row>
    <row r="17">
      <c r="A17" s="3" t="inlineStr">
        <is>
          <t>引擎（ENG-S）</t>
        </is>
      </c>
      <c r="B17" s="3" t="inlineStr">
        <is>
          <t>裝甲（ARM）</t>
        </is>
      </c>
      <c r="C17" s="3" t="inlineStr">
        <is>
          <t>火力（WPN）</t>
        </is>
      </c>
      <c r="D17" s="3" t="inlineStr">
        <is>
          <t>感測器（SEN）</t>
        </is>
      </c>
      <c r="E17" s="3" t="inlineStr">
        <is>
          <t>貨倉（CRG）</t>
        </is>
      </c>
      <c r="F17" s="3" t="inlineStr"/>
    </row>
    <row r="18">
      <c r="A18" s="4" t="n">
        <v>3</v>
      </c>
      <c r="B18" s="4" t="n">
        <v>4</v>
      </c>
      <c r="C18" s="4" t="n">
        <v>4</v>
      </c>
      <c r="D18" s="4" t="n">
        <v>3</v>
      </c>
      <c r="E18" s="4" t="n">
        <v>1</v>
      </c>
    </row>
    <row r="19"/>
    <row r="20">
      <c r="A20" s="2" t="inlineStr">
        <is>
          <t>■ 衍生（自動計算）</t>
        </is>
      </c>
      <c r="B20" s="7" t="n"/>
      <c r="C20" s="7" t="n"/>
      <c r="D20" s="7" t="n"/>
      <c r="E20" s="7" t="n"/>
      <c r="F20" s="8" t="n"/>
    </row>
    <row r="21">
      <c r="A21" s="3" t="inlineStr">
        <is>
          <t>船體生命值（HP）</t>
        </is>
      </c>
      <c r="B21" s="3" t="inlineStr">
        <is>
          <t>迴避等級（AC）</t>
        </is>
      </c>
      <c r="C21" s="3" t="inlineStr">
        <is>
          <t>能量上限</t>
        </is>
      </c>
      <c r="D21" s="3" t="inlineStr">
        <is>
          <t>回復</t>
        </is>
      </c>
      <c r="E21" s="3" t="inlineStr">
        <is>
          <t>貨倉 標準貨倉單位（SCU）</t>
        </is>
      </c>
      <c r="F21" s="3" t="inlineStr">
        <is>
          <t>減傷值（DR）</t>
        </is>
      </c>
    </row>
    <row r="22">
      <c r="A22" s="5">
        <f>B18*10+20</f>
        <v/>
      </c>
      <c r="B22" s="5">
        <f>10+A18</f>
        <v/>
      </c>
      <c r="C22" s="5">
        <f>A18*5+10</f>
        <v/>
      </c>
      <c r="D22" s="5">
        <f>A18</f>
        <v/>
      </c>
      <c r="E22" s="5">
        <f>E18*20</f>
        <v/>
      </c>
      <c r="F22" s="5">
        <f>B18*2</f>
        <v/>
      </c>
    </row>
    <row r="23"/>
    <row r="24">
      <c r="A24" s="2" t="inlineStr">
        <is>
          <t>■ 武器</t>
        </is>
      </c>
      <c r="B24" s="7" t="n"/>
      <c r="C24" s="7" t="n"/>
      <c r="D24" s="7" t="n"/>
      <c r="E24" s="7" t="n"/>
      <c r="F24" s="8" t="n"/>
    </row>
    <row r="25">
      <c r="A25" s="3" t="inlineStr">
        <is>
          <t>武器名稱</t>
        </is>
      </c>
      <c r="B25" s="3" t="inlineStr">
        <is>
          <t>傷害骰</t>
        </is>
      </c>
      <c r="C25" s="3" t="inlineStr">
        <is>
          <t>特性</t>
        </is>
      </c>
      <c r="D25" s="3" t="inlineStr"/>
      <c r="E25" s="3" t="inlineStr"/>
      <c r="F25" s="3" t="inlineStr"/>
    </row>
    <row r="26">
      <c r="A26" s="4" t="inlineStr">
        <is>
          <t>重型磁軌炮</t>
        </is>
      </c>
      <c r="B26" s="4" t="inlineStr">
        <is>
          <t>3d8</t>
        </is>
      </c>
      <c r="C26" s="4" t="inlineStr">
        <is>
          <t>貫穿2</t>
        </is>
      </c>
    </row>
    <row r="27">
      <c r="A27" s="4" t="inlineStr">
        <is>
          <t>中型等離子炮</t>
        </is>
      </c>
      <c r="B27" s="4" t="inlineStr">
        <is>
          <t>2d8</t>
        </is>
      </c>
      <c r="C27" s="4" t="inlineStr">
        <is>
          <t>均衡</t>
        </is>
      </c>
    </row>
    <row r="28">
      <c r="A28" s="4" t="inlineStr">
        <is>
          <t>點防禦系統</t>
        </is>
      </c>
      <c r="B28" s="4" t="inlineStr">
        <is>
          <t>1d8</t>
        </is>
      </c>
      <c r="C28" s="4" t="inlineStr">
        <is>
          <t>反應攔截</t>
        </is>
      </c>
    </row>
    <row r="29">
      <c r="A29" s="2" t="inlineStr">
        <is>
          <t>■ 船員</t>
        </is>
      </c>
      <c r="B29" s="7" t="n"/>
      <c r="C29" s="7" t="n"/>
      <c r="D29" s="7" t="n"/>
      <c r="E29" s="7" t="n"/>
      <c r="F29" s="8" t="n"/>
    </row>
    <row r="30">
      <c r="A30" s="3" t="inlineStr">
        <is>
          <t>角色</t>
        </is>
      </c>
      <c r="B30" s="3" t="inlineStr">
        <is>
          <t>姓名</t>
        </is>
      </c>
      <c r="C30" s="3" t="inlineStr">
        <is>
          <t>忠誠</t>
        </is>
      </c>
      <c r="D30" s="3" t="inlineStr">
        <is>
          <t>狀態</t>
        </is>
      </c>
      <c r="E30" s="3" t="inlineStr"/>
      <c r="F30" s="3" t="inlineStr"/>
    </row>
    <row r="31">
      <c r="A31" s="4" t="inlineStr">
        <is>
          <t>大副</t>
        </is>
      </c>
      <c r="B31" s="4" t="inlineStr">
        <is>
          <t>莉娜·賽克斯</t>
        </is>
      </c>
      <c r="C31" s="4" t="n">
        <v>5</v>
      </c>
      <c r="D31" s="4" t="inlineStr">
        <is>
          <t>正常</t>
        </is>
      </c>
    </row>
    <row r="32">
      <c r="A32" s="4" t="inlineStr">
        <is>
          <t>首席工程師</t>
        </is>
      </c>
      <c r="B32" s="4" t="inlineStr">
        <is>
          <t>鐵手·馬克西姆</t>
        </is>
      </c>
      <c r="C32" s="4" t="n">
        <v>6</v>
      </c>
      <c r="D32" s="4" t="inlineStr">
        <is>
          <t>正常</t>
        </is>
      </c>
    </row>
    <row r="33">
      <c r="A33" s="4" t="inlineStr">
        <is>
          <t>通訊官</t>
        </is>
      </c>
      <c r="B33" s="4" t="inlineStr">
        <is>
          <t>雙子·凱與萊</t>
        </is>
      </c>
      <c r="C33" s="4" t="n">
        <v>6</v>
      </c>
      <c r="D33" s="4" t="inlineStr">
        <is>
          <t>正常</t>
        </is>
      </c>
    </row>
    <row r="34"/>
    <row r="35"/>
    <row r="36"/>
    <row r="37">
      <c r="A37" s="2" t="inlineStr">
        <is>
          <t>■ 主持人（GM） 備註</t>
        </is>
      </c>
      <c r="B37" s="7" t="n"/>
      <c r="C37" s="7" t="n"/>
      <c r="D37" s="7" t="n"/>
      <c r="E37" s="7" t="n"/>
      <c r="F37" s="8" t="n"/>
    </row>
    <row r="38">
      <c r="A38" s="6" t="inlineStr">
        <is>
          <t>純戰鬥型船長。劍魚級+指揮（CMD） 7+戰術優勢=船團最強火力輸出。但頭頂有懸賞，每次停靠港口都有被認出的風險。莉娜·賽克斯野心勃勃——注意她的隱藏目標。</t>
        </is>
      </c>
      <c r="B38" s="9" t="n"/>
      <c r="C38" s="9" t="n"/>
      <c r="D38" s="9" t="n"/>
      <c r="E38" s="9" t="n"/>
      <c r="F38" s="10" t="n"/>
    </row>
    <row r="39">
      <c r="A39" s="11" t="n"/>
      <c r="B39" s="12" t="n"/>
      <c r="C39" s="12" t="n"/>
      <c r="D39" s="12" t="n"/>
      <c r="E39" s="12" t="n"/>
      <c r="F39" s="13" t="n"/>
    </row>
  </sheetData>
  <mergeCells count="13">
    <mergeCell ref="A24:F24"/>
    <mergeCell ref="A16:F16"/>
    <mergeCell ref="A11:F11"/>
    <mergeCell ref="B12:F12"/>
    <mergeCell ref="A1:G1"/>
    <mergeCell ref="A37:F37"/>
    <mergeCell ref="A38:F39"/>
    <mergeCell ref="B14:F14"/>
    <mergeCell ref="A3:F3"/>
    <mergeCell ref="A20:F20"/>
    <mergeCell ref="B13:F13"/>
    <mergeCell ref="A29:F29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⚓ 範例3_破產商人</t>
        </is>
      </c>
      <c r="B1" s="7" t="n"/>
      <c r="C1" s="7" t="n"/>
      <c r="D1" s="7" t="n"/>
      <c r="E1" s="7" t="n"/>
      <c r="F1" s="7" t="n"/>
      <c r="G1" s="8" t="n"/>
    </row>
    <row r="2"/>
    <row r="3">
      <c r="A3" s="2" t="inlineStr">
        <is>
          <t>■ 基本資料</t>
        </is>
      </c>
      <c r="B3" s="7" t="n"/>
      <c r="C3" s="7" t="n"/>
      <c r="D3" s="7" t="n"/>
      <c r="E3" s="7" t="n"/>
      <c r="F3" s="8" t="n"/>
    </row>
    <row r="4">
      <c r="A4" s="3" t="inlineStr">
        <is>
          <t>船長姓名</t>
        </is>
      </c>
      <c r="B4" s="4" t="inlineStr">
        <is>
          <t>伊芙琳·星塵</t>
        </is>
      </c>
      <c r="C4" s="3" t="inlineStr">
        <is>
          <t>背景</t>
        </is>
      </c>
      <c r="D4" s="4" t="inlineStr">
        <is>
          <t>破產商人</t>
        </is>
      </c>
    </row>
    <row r="5">
      <c r="A5" s="3" t="inlineStr">
        <is>
          <t>船名</t>
        </is>
      </c>
      <c r="B5" s="4" t="inlineStr">
        <is>
          <t>最後一票</t>
        </is>
      </c>
      <c r="C5" s="3" t="inlineStr">
        <is>
          <t>船型</t>
        </is>
      </c>
      <c r="D5" s="4" t="inlineStr">
        <is>
          <t>商旅級</t>
        </is>
      </c>
    </row>
    <row r="6"/>
    <row r="7">
      <c r="A7" s="2" t="inlineStr">
        <is>
          <t>■ 船長屬性</t>
        </is>
      </c>
      <c r="B7" s="7" t="n"/>
      <c r="C7" s="7" t="n"/>
      <c r="D7" s="7" t="n"/>
      <c r="E7" s="7" t="n"/>
      <c r="F7" s="8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>
        <is>
          <t>總計</t>
        </is>
      </c>
    </row>
    <row r="9">
      <c r="A9" s="4" t="n">
        <v>3</v>
      </c>
      <c r="B9" s="4" t="n">
        <v>5</v>
      </c>
      <c r="C9" s="4" t="n">
        <v>6</v>
      </c>
      <c r="D9" s="4" t="n">
        <v>7</v>
      </c>
      <c r="E9" s="4" t="n">
        <v>4</v>
      </c>
      <c r="F9" s="5">
        <f>SUM(A9:E9)</f>
        <v/>
      </c>
    </row>
    <row r="10"/>
    <row r="11">
      <c r="A11" s="2" t="inlineStr">
        <is>
          <t>■ 背景能力</t>
        </is>
      </c>
      <c r="B11" s="7" t="n"/>
      <c r="C11" s="7" t="n"/>
      <c r="D11" s="7" t="n"/>
      <c r="E11" s="7" t="n"/>
      <c r="F11" s="8" t="n"/>
    </row>
    <row r="12">
      <c r="A12" s="3" t="inlineStr">
        <is>
          <t>專精優勢</t>
        </is>
      </c>
      <c r="B12" s="4" t="inlineStr">
        <is>
          <t>交涉（DIP） 檢定優勢（價格評估、貿易談判、貨物鑑定）</t>
        </is>
      </c>
      <c r="C12" s="7" t="n"/>
      <c r="D12" s="7" t="n"/>
      <c r="E12" s="7" t="n"/>
      <c r="F12" s="8" t="n"/>
    </row>
    <row r="13">
      <c r="A13" s="3" t="inlineStr">
        <is>
          <t>起始裝備</t>
        </is>
      </c>
      <c r="B13" s="4" t="inlineStr">
        <is>
          <t>5,000 信用點（Cr） + 貿易分析終端 + 負債 20,000 信用點（Cr）（月息5%）</t>
        </is>
      </c>
      <c r="C13" s="7" t="n"/>
      <c r="D13" s="7" t="n"/>
      <c r="E13" s="7" t="n"/>
      <c r="F13" s="8" t="n"/>
    </row>
    <row r="14">
      <c r="A14" s="3" t="inlineStr">
        <is>
          <t>勢力關係</t>
        </is>
      </c>
      <c r="B14" s="4" t="inlineStr">
        <is>
          <t>礦業公會 -2 / 商人聯盟 +1</t>
        </is>
      </c>
      <c r="C14" s="7" t="n"/>
      <c r="D14" s="7" t="n"/>
      <c r="E14" s="7" t="n"/>
      <c r="F14" s="8" t="n"/>
    </row>
    <row r="15"/>
    <row r="16">
      <c r="A16" s="2" t="inlineStr">
        <is>
          <t>■ 船體屬性</t>
        </is>
      </c>
      <c r="B16" s="7" t="n"/>
      <c r="C16" s="7" t="n"/>
      <c r="D16" s="7" t="n"/>
      <c r="E16" s="7" t="n"/>
      <c r="F16" s="8" t="n"/>
    </row>
    <row r="17">
      <c r="A17" s="3" t="inlineStr">
        <is>
          <t>引擎（ENG-S）</t>
        </is>
      </c>
      <c r="B17" s="3" t="inlineStr">
        <is>
          <t>裝甲（ARM）</t>
        </is>
      </c>
      <c r="C17" s="3" t="inlineStr">
        <is>
          <t>火力（WPN）</t>
        </is>
      </c>
      <c r="D17" s="3" t="inlineStr">
        <is>
          <t>感測器（SEN）</t>
        </is>
      </c>
      <c r="E17" s="3" t="inlineStr">
        <is>
          <t>貨倉（CRG）</t>
        </is>
      </c>
      <c r="F17" s="3" t="inlineStr"/>
    </row>
    <row r="18">
      <c r="A18" s="4" t="n">
        <v>2</v>
      </c>
      <c r="B18" s="4" t="n">
        <v>2</v>
      </c>
      <c r="C18" s="4" t="n">
        <v>1</v>
      </c>
      <c r="D18" s="4" t="n">
        <v>2</v>
      </c>
      <c r="E18" s="4" t="n">
        <v>5</v>
      </c>
    </row>
    <row r="19"/>
    <row r="20">
      <c r="A20" s="2" t="inlineStr">
        <is>
          <t>■ 衍生（自動計算）</t>
        </is>
      </c>
      <c r="B20" s="7" t="n"/>
      <c r="C20" s="7" t="n"/>
      <c r="D20" s="7" t="n"/>
      <c r="E20" s="7" t="n"/>
      <c r="F20" s="8" t="n"/>
    </row>
    <row r="21">
      <c r="A21" s="3" t="inlineStr">
        <is>
          <t>船體生命值（HP）</t>
        </is>
      </c>
      <c r="B21" s="3" t="inlineStr">
        <is>
          <t>迴避等級（AC）</t>
        </is>
      </c>
      <c r="C21" s="3" t="inlineStr">
        <is>
          <t>能量上限</t>
        </is>
      </c>
      <c r="D21" s="3" t="inlineStr">
        <is>
          <t>回復</t>
        </is>
      </c>
      <c r="E21" s="3" t="inlineStr">
        <is>
          <t>貨倉 標準貨倉單位（SCU）</t>
        </is>
      </c>
      <c r="F21" s="3" t="inlineStr">
        <is>
          <t>減傷值（DR）</t>
        </is>
      </c>
    </row>
    <row r="22">
      <c r="A22" s="5">
        <f>B18*10+20</f>
        <v/>
      </c>
      <c r="B22" s="5">
        <f>10+A18</f>
        <v/>
      </c>
      <c r="C22" s="5">
        <f>A18*5+10</f>
        <v/>
      </c>
      <c r="D22" s="5">
        <f>A18</f>
        <v/>
      </c>
      <c r="E22" s="5">
        <f>E18*20</f>
        <v/>
      </c>
      <c r="F22" s="5">
        <f>B18*2</f>
        <v/>
      </c>
    </row>
    <row r="23"/>
    <row r="24">
      <c r="A24" s="2" t="inlineStr">
        <is>
          <t>■ 武器</t>
        </is>
      </c>
      <c r="B24" s="7" t="n"/>
      <c r="C24" s="7" t="n"/>
      <c r="D24" s="7" t="n"/>
      <c r="E24" s="7" t="n"/>
      <c r="F24" s="8" t="n"/>
    </row>
    <row r="25">
      <c r="A25" s="3" t="inlineStr">
        <is>
          <t>武器名稱</t>
        </is>
      </c>
      <c r="B25" s="3" t="inlineStr">
        <is>
          <t>傷害骰</t>
        </is>
      </c>
      <c r="C25" s="3" t="inlineStr">
        <is>
          <t>特性</t>
        </is>
      </c>
      <c r="D25" s="3" t="inlineStr"/>
      <c r="E25" s="3" t="inlineStr"/>
      <c r="F25" s="3" t="inlineStr"/>
    </row>
    <row r="26">
      <c r="A26" s="4" t="inlineStr">
        <is>
          <t>輕型激光炮</t>
        </is>
      </c>
      <c r="B26" s="4" t="inlineStr">
        <is>
          <t>2d6</t>
        </is>
      </c>
      <c r="C26" s="4" t="inlineStr">
        <is>
          <t>精準+1</t>
        </is>
      </c>
    </row>
    <row r="27"/>
    <row r="28"/>
    <row r="29">
      <c r="A29" s="2" t="inlineStr">
        <is>
          <t>■ 船員</t>
        </is>
      </c>
      <c r="B29" s="7" t="n"/>
      <c r="C29" s="7" t="n"/>
      <c r="D29" s="7" t="n"/>
      <c r="E29" s="7" t="n"/>
      <c r="F29" s="8" t="n"/>
    </row>
    <row r="30">
      <c r="A30" s="3" t="inlineStr">
        <is>
          <t>角色</t>
        </is>
      </c>
      <c r="B30" s="3" t="inlineStr">
        <is>
          <t>姓名</t>
        </is>
      </c>
      <c r="C30" s="3" t="inlineStr">
        <is>
          <t>忠誠</t>
        </is>
      </c>
      <c r="D30" s="3" t="inlineStr">
        <is>
          <t>狀態</t>
        </is>
      </c>
      <c r="E30" s="3" t="inlineStr"/>
      <c r="F30" s="3" t="inlineStr"/>
    </row>
    <row r="31">
      <c r="A31" s="4" t="inlineStr">
        <is>
          <t>大副</t>
        </is>
      </c>
      <c r="B31" s="4" t="inlineStr">
        <is>
          <t>"老狗"巴托克</t>
        </is>
      </c>
      <c r="C31" s="4" t="n">
        <v>6</v>
      </c>
      <c r="D31" s="4" t="inlineStr">
        <is>
          <t>正常</t>
        </is>
      </c>
    </row>
    <row r="32">
      <c r="A32" s="4" t="inlineStr">
        <is>
          <t>首席工程師</t>
        </is>
      </c>
      <c r="B32" s="4" t="inlineStr">
        <is>
          <t>澤菲爾·奎恩</t>
        </is>
      </c>
      <c r="C32" s="4" t="n">
        <v>4</v>
      </c>
      <c r="D32" s="4" t="inlineStr">
        <is>
          <t>正常</t>
        </is>
      </c>
    </row>
    <row r="33">
      <c r="A33" s="4" t="inlineStr">
        <is>
          <t>通訊官</t>
        </is>
      </c>
      <c r="B33" s="4" t="inlineStr">
        <is>
          <t>"廣播"薩米</t>
        </is>
      </c>
      <c r="C33" s="4" t="n">
        <v>5</v>
      </c>
      <c r="D33" s="4" t="inlineStr">
        <is>
          <t>正常</t>
        </is>
      </c>
    </row>
    <row r="34"/>
    <row r="35"/>
    <row r="36"/>
    <row r="37">
      <c r="A37" s="2" t="inlineStr">
        <is>
          <t>■ 主持人（GM） 備註</t>
        </is>
      </c>
      <c r="B37" s="7" t="n"/>
      <c r="C37" s="7" t="n"/>
      <c r="D37" s="7" t="n"/>
      <c r="E37" s="7" t="n"/>
      <c r="F37" s="8" t="n"/>
    </row>
    <row r="38">
      <c r="A38" s="6" t="inlineStr">
        <is>
          <t>貿易專精船長。商旅級最大貨倉配合 交涉（DIP） 7 的議價能力——賺錢最快。但每月要還利息，壓力不小。澤菲爾的酒精和薩米的嘴都是潛在風險。</t>
        </is>
      </c>
      <c r="B38" s="9" t="n"/>
      <c r="C38" s="9" t="n"/>
      <c r="D38" s="9" t="n"/>
      <c r="E38" s="9" t="n"/>
      <c r="F38" s="10" t="n"/>
    </row>
    <row r="39">
      <c r="A39" s="11" t="n"/>
      <c r="B39" s="12" t="n"/>
      <c r="C39" s="12" t="n"/>
      <c r="D39" s="12" t="n"/>
      <c r="E39" s="12" t="n"/>
      <c r="F39" s="13" t="n"/>
    </row>
  </sheetData>
  <mergeCells count="13">
    <mergeCell ref="A24:F24"/>
    <mergeCell ref="A16:F16"/>
    <mergeCell ref="A11:F11"/>
    <mergeCell ref="B12:F12"/>
    <mergeCell ref="A1:G1"/>
    <mergeCell ref="A37:F37"/>
    <mergeCell ref="A38:F39"/>
    <mergeCell ref="B14:F14"/>
    <mergeCell ref="A3:F3"/>
    <mergeCell ref="A20:F20"/>
    <mergeCell ref="B13:F13"/>
    <mergeCell ref="A29:F29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⚓ 範例4_學術流亡者</t>
        </is>
      </c>
      <c r="B1" s="7" t="n"/>
      <c r="C1" s="7" t="n"/>
      <c r="D1" s="7" t="n"/>
      <c r="E1" s="7" t="n"/>
      <c r="F1" s="7" t="n"/>
      <c r="G1" s="8" t="n"/>
    </row>
    <row r="2"/>
    <row r="3">
      <c r="A3" s="2" t="inlineStr">
        <is>
          <t>■ 基本資料</t>
        </is>
      </c>
      <c r="B3" s="7" t="n"/>
      <c r="C3" s="7" t="n"/>
      <c r="D3" s="7" t="n"/>
      <c r="E3" s="7" t="n"/>
      <c r="F3" s="8" t="n"/>
    </row>
    <row r="4">
      <c r="A4" s="3" t="inlineStr">
        <is>
          <t>船長姓名</t>
        </is>
      </c>
      <c r="B4" s="4" t="inlineStr">
        <is>
          <t>博士·零</t>
        </is>
      </c>
      <c r="C4" s="3" t="inlineStr">
        <is>
          <t>背景</t>
        </is>
      </c>
      <c r="D4" s="4" t="inlineStr">
        <is>
          <t>學術流亡者</t>
        </is>
      </c>
    </row>
    <row r="5">
      <c r="A5" s="3" t="inlineStr">
        <is>
          <t>船名</t>
        </is>
      </c>
      <c r="B5" s="4" t="inlineStr">
        <is>
          <t>認知號</t>
        </is>
      </c>
      <c r="C5" s="3" t="inlineStr">
        <is>
          <t>船型</t>
        </is>
      </c>
      <c r="D5" s="4" t="inlineStr">
        <is>
          <t>幽靈級</t>
        </is>
      </c>
    </row>
    <row r="6"/>
    <row r="7">
      <c r="A7" s="2" t="inlineStr">
        <is>
          <t>■ 船長屬性</t>
        </is>
      </c>
      <c r="B7" s="7" t="n"/>
      <c r="C7" s="7" t="n"/>
      <c r="D7" s="7" t="n"/>
      <c r="E7" s="7" t="n"/>
      <c r="F7" s="8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>
        <is>
          <t>總計</t>
        </is>
      </c>
    </row>
    <row r="9">
      <c r="A9" s="4" t="n">
        <v>3</v>
      </c>
      <c r="B9" s="4" t="n">
        <v>7</v>
      </c>
      <c r="C9" s="4" t="n">
        <v>5</v>
      </c>
      <c r="D9" s="4" t="n">
        <v>4</v>
      </c>
      <c r="E9" s="4" t="n">
        <v>6</v>
      </c>
      <c r="F9" s="5">
        <f>SUM(A9:E9)</f>
        <v/>
      </c>
    </row>
    <row r="10"/>
    <row r="11">
      <c r="A11" s="2" t="inlineStr">
        <is>
          <t>■ 背景能力</t>
        </is>
      </c>
      <c r="B11" s="7" t="n"/>
      <c r="C11" s="7" t="n"/>
      <c r="D11" s="7" t="n"/>
      <c r="E11" s="7" t="n"/>
      <c r="F11" s="8" t="n"/>
    </row>
    <row r="12">
      <c r="A12" s="3" t="inlineStr">
        <is>
          <t>專精優勢</t>
        </is>
      </c>
      <c r="B12" s="4" t="inlineStr">
        <is>
          <t>工程（ENG） 檢定優勢（異星科技分析、遺跡解讀、異常識別）</t>
        </is>
      </c>
      <c r="C12" s="7" t="n"/>
      <c r="D12" s="7" t="n"/>
      <c r="E12" s="7" t="n"/>
      <c r="F12" s="8" t="n"/>
    </row>
    <row r="13">
      <c r="A13" s="3" t="inlineStr">
        <is>
          <t>起始裝備</t>
        </is>
      </c>
      <c r="B13" s="4" t="inlineStr">
        <is>
          <t>異星遺物分析儀 + 先驅者星圖碎片 + 研究數據庫後門</t>
        </is>
      </c>
      <c r="C13" s="7" t="n"/>
      <c r="D13" s="7" t="n"/>
      <c r="E13" s="7" t="n"/>
      <c r="F13" s="8" t="n"/>
    </row>
    <row r="14">
      <c r="A14" s="3" t="inlineStr">
        <is>
          <t>勢力關係</t>
        </is>
      </c>
      <c r="B14" s="4" t="inlineStr">
        <is>
          <t>星域大學 -1 / 獨立學者網絡 +1</t>
        </is>
      </c>
      <c r="C14" s="7" t="n"/>
      <c r="D14" s="7" t="n"/>
      <c r="E14" s="7" t="n"/>
      <c r="F14" s="8" t="n"/>
    </row>
    <row r="15"/>
    <row r="16">
      <c r="A16" s="2" t="inlineStr">
        <is>
          <t>■ 船體屬性</t>
        </is>
      </c>
      <c r="B16" s="7" t="n"/>
      <c r="C16" s="7" t="n"/>
      <c r="D16" s="7" t="n"/>
      <c r="E16" s="7" t="n"/>
      <c r="F16" s="8" t="n"/>
    </row>
    <row r="17">
      <c r="A17" s="3" t="inlineStr">
        <is>
          <t>引擎（ENG-S）</t>
        </is>
      </c>
      <c r="B17" s="3" t="inlineStr">
        <is>
          <t>裝甲（ARM）</t>
        </is>
      </c>
      <c r="C17" s="3" t="inlineStr">
        <is>
          <t>火力（WPN）</t>
        </is>
      </c>
      <c r="D17" s="3" t="inlineStr">
        <is>
          <t>感測器（SEN）</t>
        </is>
      </c>
      <c r="E17" s="3" t="inlineStr">
        <is>
          <t>貨倉（CRG）</t>
        </is>
      </c>
      <c r="F17" s="3" t="inlineStr"/>
    </row>
    <row r="18">
      <c r="A18" s="4" t="n">
        <v>4</v>
      </c>
      <c r="B18" s="4" t="n">
        <v>1</v>
      </c>
      <c r="C18" s="4" t="n">
        <v>2</v>
      </c>
      <c r="D18" s="4" t="n">
        <v>5</v>
      </c>
      <c r="E18" s="4" t="n">
        <v>1</v>
      </c>
    </row>
    <row r="19"/>
    <row r="20">
      <c r="A20" s="2" t="inlineStr">
        <is>
          <t>■ 衍生（自動計算）</t>
        </is>
      </c>
      <c r="B20" s="7" t="n"/>
      <c r="C20" s="7" t="n"/>
      <c r="D20" s="7" t="n"/>
      <c r="E20" s="7" t="n"/>
      <c r="F20" s="8" t="n"/>
    </row>
    <row r="21">
      <c r="A21" s="3" t="inlineStr">
        <is>
          <t>船體生命值（HP）</t>
        </is>
      </c>
      <c r="B21" s="3" t="inlineStr">
        <is>
          <t>迴避等級（AC）</t>
        </is>
      </c>
      <c r="C21" s="3" t="inlineStr">
        <is>
          <t>能量上限</t>
        </is>
      </c>
      <c r="D21" s="3" t="inlineStr">
        <is>
          <t>回復</t>
        </is>
      </c>
      <c r="E21" s="3" t="inlineStr">
        <is>
          <t>貨倉 標準貨倉單位（SCU）</t>
        </is>
      </c>
      <c r="F21" s="3" t="inlineStr">
        <is>
          <t>減傷值（DR）</t>
        </is>
      </c>
    </row>
    <row r="22">
      <c r="A22" s="5">
        <f>B18*10+20</f>
        <v/>
      </c>
      <c r="B22" s="5">
        <f>10+A18</f>
        <v/>
      </c>
      <c r="C22" s="5">
        <f>A18*5+10</f>
        <v/>
      </c>
      <c r="D22" s="5">
        <f>A18</f>
        <v/>
      </c>
      <c r="E22" s="5">
        <f>E18*20</f>
        <v/>
      </c>
      <c r="F22" s="5">
        <f>B18*2</f>
        <v/>
      </c>
    </row>
    <row r="23"/>
    <row r="24">
      <c r="A24" s="2" t="inlineStr">
        <is>
          <t>■ 武器</t>
        </is>
      </c>
      <c r="B24" s="7" t="n"/>
      <c r="C24" s="7" t="n"/>
      <c r="D24" s="7" t="n"/>
      <c r="E24" s="7" t="n"/>
      <c r="F24" s="8" t="n"/>
    </row>
    <row r="25">
      <c r="A25" s="3" t="inlineStr">
        <is>
          <t>武器名稱</t>
        </is>
      </c>
      <c r="B25" s="3" t="inlineStr">
        <is>
          <t>傷害骰</t>
        </is>
      </c>
      <c r="C25" s="3" t="inlineStr">
        <is>
          <t>特性</t>
        </is>
      </c>
      <c r="D25" s="3" t="inlineStr"/>
      <c r="E25" s="3" t="inlineStr"/>
      <c r="F25" s="3" t="inlineStr"/>
    </row>
    <row r="26">
      <c r="A26" s="4" t="inlineStr">
        <is>
          <t>輕型激光炮</t>
        </is>
      </c>
      <c r="B26" s="4" t="inlineStr">
        <is>
          <t>2d6</t>
        </is>
      </c>
      <c r="C26" s="4" t="inlineStr">
        <is>
          <t>精準+1</t>
        </is>
      </c>
    </row>
    <row r="27">
      <c r="A27" s="4" t="inlineStr">
        <is>
          <t>採礦激光</t>
        </is>
      </c>
      <c r="B27" s="4" t="inlineStr">
        <is>
          <t>2d4</t>
        </is>
      </c>
      <c r="C27" s="4" t="inlineStr">
        <is>
          <t>貫穿3/攻擊-2</t>
        </is>
      </c>
    </row>
    <row r="28"/>
    <row r="29">
      <c r="A29" s="2" t="inlineStr">
        <is>
          <t>■ 船員</t>
        </is>
      </c>
      <c r="B29" s="7" t="n"/>
      <c r="C29" s="7" t="n"/>
      <c r="D29" s="7" t="n"/>
      <c r="E29" s="7" t="n"/>
      <c r="F29" s="8" t="n"/>
    </row>
    <row r="30">
      <c r="A30" s="3" t="inlineStr">
        <is>
          <t>角色</t>
        </is>
      </c>
      <c r="B30" s="3" t="inlineStr">
        <is>
          <t>姓名</t>
        </is>
      </c>
      <c r="C30" s="3" t="inlineStr">
        <is>
          <t>忠誠</t>
        </is>
      </c>
      <c r="D30" s="3" t="inlineStr">
        <is>
          <t>狀態</t>
        </is>
      </c>
      <c r="E30" s="3" t="inlineStr"/>
      <c r="F30" s="3" t="inlineStr"/>
    </row>
    <row r="31">
      <c r="A31" s="4" t="inlineStr">
        <is>
          <t>大副</t>
        </is>
      </c>
      <c r="B31" s="4" t="inlineStr">
        <is>
          <t>卡蘭·沃斯</t>
        </is>
      </c>
      <c r="C31" s="4" t="n">
        <v>7</v>
      </c>
      <c r="D31" s="4" t="inlineStr">
        <is>
          <t>正常</t>
        </is>
      </c>
    </row>
    <row r="32">
      <c r="A32" s="4" t="inlineStr">
        <is>
          <t>首席工程師</t>
        </is>
      </c>
      <c r="B32" s="4" t="inlineStr">
        <is>
          <t>"火花"塔莉亞</t>
        </is>
      </c>
      <c r="C32" s="4" t="n">
        <v>5</v>
      </c>
      <c r="D32" s="4" t="inlineStr">
        <is>
          <t>正常</t>
        </is>
      </c>
    </row>
    <row r="33">
      <c r="A33" s="4" t="inlineStr">
        <is>
          <t>導航官</t>
        </is>
      </c>
      <c r="B33" s="4" t="inlineStr">
        <is>
          <t>沉默者·六號</t>
        </is>
      </c>
      <c r="C33" s="4" t="n">
        <v>6</v>
      </c>
      <c r="D33" s="4" t="inlineStr">
        <is>
          <t>正常</t>
        </is>
      </c>
    </row>
    <row r="34"/>
    <row r="35"/>
    <row r="36"/>
    <row r="37">
      <c r="A37" s="2" t="inlineStr">
        <is>
          <t>■ 主持人（GM） 備註</t>
        </is>
      </c>
      <c r="B37" s="7" t="n"/>
      <c r="C37" s="7" t="n"/>
      <c r="D37" s="7" t="n"/>
      <c r="E37" s="7" t="n"/>
      <c r="F37" s="8" t="n"/>
    </row>
    <row r="38">
      <c r="A38" s="6" t="inlineStr">
        <is>
          <t>科技專精。幽靈級的隱形+工程（ENG） 7=所有科技相關檢定的王者。可以破解幾乎任何外星終端。前僱主在追殺——低調行事。沉默者·六號的過去是定時炸彈。</t>
        </is>
      </c>
      <c r="B38" s="9" t="n"/>
      <c r="C38" s="9" t="n"/>
      <c r="D38" s="9" t="n"/>
      <c r="E38" s="9" t="n"/>
      <c r="F38" s="10" t="n"/>
    </row>
    <row r="39">
      <c r="A39" s="11" t="n"/>
      <c r="B39" s="12" t="n"/>
      <c r="C39" s="12" t="n"/>
      <c r="D39" s="12" t="n"/>
      <c r="E39" s="12" t="n"/>
      <c r="F39" s="13" t="n"/>
    </row>
  </sheetData>
  <mergeCells count="13">
    <mergeCell ref="A24:F24"/>
    <mergeCell ref="A16:F16"/>
    <mergeCell ref="A11:F11"/>
    <mergeCell ref="B12:F12"/>
    <mergeCell ref="A1:G1"/>
    <mergeCell ref="A37:F37"/>
    <mergeCell ref="A38:F39"/>
    <mergeCell ref="B14:F14"/>
    <mergeCell ref="A3:F3"/>
    <mergeCell ref="A20:F20"/>
    <mergeCell ref="B13:F13"/>
    <mergeCell ref="A29:F29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⚓ 範例5_走私犯</t>
        </is>
      </c>
      <c r="B1" s="7" t="n"/>
      <c r="C1" s="7" t="n"/>
      <c r="D1" s="7" t="n"/>
      <c r="E1" s="7" t="n"/>
      <c r="F1" s="7" t="n"/>
      <c r="G1" s="8" t="n"/>
    </row>
    <row r="2"/>
    <row r="3">
      <c r="A3" s="2" t="inlineStr">
        <is>
          <t>■ 基本資料</t>
        </is>
      </c>
      <c r="B3" s="7" t="n"/>
      <c r="C3" s="7" t="n"/>
      <c r="D3" s="7" t="n"/>
      <c r="E3" s="7" t="n"/>
      <c r="F3" s="8" t="n"/>
    </row>
    <row r="4">
      <c r="A4" s="3" t="inlineStr">
        <is>
          <t>船長姓名</t>
        </is>
      </c>
      <c r="B4" s="4" t="inlineStr">
        <is>
          <t>影·無名</t>
        </is>
      </c>
      <c r="C4" s="3" t="inlineStr">
        <is>
          <t>背景</t>
        </is>
      </c>
      <c r="D4" s="4" t="inlineStr">
        <is>
          <t>星際走私犯</t>
        </is>
      </c>
    </row>
    <row r="5">
      <c r="A5" s="3" t="inlineStr">
        <is>
          <t>船名</t>
        </is>
      </c>
      <c r="B5" s="4" t="inlineStr">
        <is>
          <t>暗流</t>
        </is>
      </c>
      <c r="C5" s="3" t="inlineStr">
        <is>
          <t>船型</t>
        </is>
      </c>
      <c r="D5" s="4" t="inlineStr">
        <is>
          <t>遊牧民級</t>
        </is>
      </c>
    </row>
    <row r="6"/>
    <row r="7">
      <c r="A7" s="2" t="inlineStr">
        <is>
          <t>■ 船長屬性</t>
        </is>
      </c>
      <c r="B7" s="7" t="n"/>
      <c r="C7" s="7" t="n"/>
      <c r="D7" s="7" t="n"/>
      <c r="E7" s="7" t="n"/>
      <c r="F7" s="8" t="n"/>
    </row>
    <row r="8">
      <c r="A8" s="3" t="inlineStr">
        <is>
          <t>指揮（CMD）</t>
        </is>
      </c>
      <c r="B8" s="3" t="inlineStr">
        <is>
          <t>工程（ENG）</t>
        </is>
      </c>
      <c r="C8" s="3" t="inlineStr">
        <is>
          <t>航導（NAV）</t>
        </is>
      </c>
      <c r="D8" s="3" t="inlineStr">
        <is>
          <t>交涉（DIP）</t>
        </is>
      </c>
      <c r="E8" s="3" t="inlineStr">
        <is>
          <t>直覺（INT）</t>
        </is>
      </c>
      <c r="F8" s="3" t="inlineStr">
        <is>
          <t>總計</t>
        </is>
      </c>
    </row>
    <row r="9">
      <c r="A9" s="4" t="n">
        <v>4</v>
      </c>
      <c r="B9" s="4" t="n">
        <v>5</v>
      </c>
      <c r="C9" s="4" t="n">
        <v>6</v>
      </c>
      <c r="D9" s="4" t="n">
        <v>3</v>
      </c>
      <c r="E9" s="4" t="n">
        <v>7</v>
      </c>
      <c r="F9" s="5">
        <f>SUM(A9:E9)</f>
        <v/>
      </c>
    </row>
    <row r="10"/>
    <row r="11">
      <c r="A11" s="2" t="inlineStr">
        <is>
          <t>■ 背景能力</t>
        </is>
      </c>
      <c r="B11" s="7" t="n"/>
      <c r="C11" s="7" t="n"/>
      <c r="D11" s="7" t="n"/>
      <c r="E11" s="7" t="n"/>
      <c r="F11" s="8" t="n"/>
    </row>
    <row r="12">
      <c r="A12" s="3" t="inlineStr">
        <is>
          <t>專精優勢</t>
        </is>
      </c>
      <c r="B12" s="4" t="inlineStr">
        <is>
          <t>直覺（INT） 檢定優勢（潛行、藏匿、規避檢查、黑市交易）</t>
        </is>
      </c>
      <c r="C12" s="7" t="n"/>
      <c r="D12" s="7" t="n"/>
      <c r="E12" s="7" t="n"/>
      <c r="F12" s="8" t="n"/>
    </row>
    <row r="13">
      <c r="A13" s="3" t="inlineStr">
        <is>
          <t>起始裝備</t>
        </is>
      </c>
      <c r="B13" s="4" t="inlineStr">
        <is>
          <t>隱藏貨倉（+1CRG僅非法貨物）+ 偽造船籍ID + 黑市聯絡人</t>
        </is>
      </c>
      <c r="C13" s="7" t="n"/>
      <c r="D13" s="7" t="n"/>
      <c r="E13" s="7" t="n"/>
      <c r="F13" s="8" t="n"/>
    </row>
    <row r="14">
      <c r="A14" s="3" t="inlineStr">
        <is>
          <t>勢力關係</t>
        </is>
      </c>
      <c r="B14" s="4" t="inlineStr">
        <is>
          <t>走私者公會 +1 / 星域海關 -1</t>
        </is>
      </c>
      <c r="C14" s="7" t="n"/>
      <c r="D14" s="7" t="n"/>
      <c r="E14" s="7" t="n"/>
      <c r="F14" s="8" t="n"/>
    </row>
    <row r="15"/>
    <row r="16">
      <c r="A16" s="2" t="inlineStr">
        <is>
          <t>■ 船體屬性</t>
        </is>
      </c>
      <c r="B16" s="7" t="n"/>
      <c r="C16" s="7" t="n"/>
      <c r="D16" s="7" t="n"/>
      <c r="E16" s="7" t="n"/>
      <c r="F16" s="8" t="n"/>
    </row>
    <row r="17">
      <c r="A17" s="3" t="inlineStr">
        <is>
          <t>引擎（ENG-S）</t>
        </is>
      </c>
      <c r="B17" s="3" t="inlineStr">
        <is>
          <t>裝甲（ARM）</t>
        </is>
      </c>
      <c r="C17" s="3" t="inlineStr">
        <is>
          <t>火力（WPN）</t>
        </is>
      </c>
      <c r="D17" s="3" t="inlineStr">
        <is>
          <t>感測器（SEN）</t>
        </is>
      </c>
      <c r="E17" s="3" t="inlineStr">
        <is>
          <t>貨倉（CRG）</t>
        </is>
      </c>
      <c r="F17" s="3" t="inlineStr"/>
    </row>
    <row r="18">
      <c r="A18" s="4" t="n">
        <v>3</v>
      </c>
      <c r="B18" s="4" t="n">
        <v>3</v>
      </c>
      <c r="C18" s="4" t="n">
        <v>3</v>
      </c>
      <c r="D18" s="4" t="n">
        <v>3</v>
      </c>
      <c r="E18" s="4" t="n">
        <v>3</v>
      </c>
    </row>
    <row r="19"/>
    <row r="20">
      <c r="A20" s="2" t="inlineStr">
        <is>
          <t>■ 衍生（自動計算）</t>
        </is>
      </c>
      <c r="B20" s="7" t="n"/>
      <c r="C20" s="7" t="n"/>
      <c r="D20" s="7" t="n"/>
      <c r="E20" s="7" t="n"/>
      <c r="F20" s="8" t="n"/>
    </row>
    <row r="21">
      <c r="A21" s="3" t="inlineStr">
        <is>
          <t>船體生命值（HP）</t>
        </is>
      </c>
      <c r="B21" s="3" t="inlineStr">
        <is>
          <t>迴避等級（AC）</t>
        </is>
      </c>
      <c r="C21" s="3" t="inlineStr">
        <is>
          <t>能量上限</t>
        </is>
      </c>
      <c r="D21" s="3" t="inlineStr">
        <is>
          <t>回復</t>
        </is>
      </c>
      <c r="E21" s="3" t="inlineStr">
        <is>
          <t>貨倉 標準貨倉單位（SCU）</t>
        </is>
      </c>
      <c r="F21" s="3" t="inlineStr">
        <is>
          <t>減傷值（DR）</t>
        </is>
      </c>
    </row>
    <row r="22">
      <c r="A22" s="5">
        <f>B18*10+20</f>
        <v/>
      </c>
      <c r="B22" s="5">
        <f>10+A18</f>
        <v/>
      </c>
      <c r="C22" s="5">
        <f>A18*5+10</f>
        <v/>
      </c>
      <c r="D22" s="5">
        <f>A18</f>
        <v/>
      </c>
      <c r="E22" s="5">
        <f>E18*20</f>
        <v/>
      </c>
      <c r="F22" s="5">
        <f>B18*2</f>
        <v/>
      </c>
    </row>
    <row r="23"/>
    <row r="24">
      <c r="A24" s="2" t="inlineStr">
        <is>
          <t>■ 武器</t>
        </is>
      </c>
      <c r="B24" s="7" t="n"/>
      <c r="C24" s="7" t="n"/>
      <c r="D24" s="7" t="n"/>
      <c r="E24" s="7" t="n"/>
      <c r="F24" s="8" t="n"/>
    </row>
    <row r="25">
      <c r="A25" s="3" t="inlineStr">
        <is>
          <t>武器名稱</t>
        </is>
      </c>
      <c r="B25" s="3" t="inlineStr">
        <is>
          <t>傷害骰</t>
        </is>
      </c>
      <c r="C25" s="3" t="inlineStr">
        <is>
          <t>特性</t>
        </is>
      </c>
      <c r="D25" s="3" t="inlineStr"/>
      <c r="E25" s="3" t="inlineStr"/>
      <c r="F25" s="3" t="inlineStr"/>
    </row>
    <row r="26">
      <c r="A26" s="4" t="inlineStr">
        <is>
          <t>中型等離子炮</t>
        </is>
      </c>
      <c r="B26" s="4" t="inlineStr">
        <is>
          <t>2d8</t>
        </is>
      </c>
      <c r="C26" s="4" t="inlineStr">
        <is>
          <t>均衡</t>
        </is>
      </c>
    </row>
    <row r="27">
      <c r="A27" s="4" t="inlineStr">
        <is>
          <t>離子干擾炮</t>
        </is>
      </c>
      <c r="B27" s="4" t="inlineStr">
        <is>
          <t>1d6</t>
        </is>
      </c>
      <c r="C27" s="4" t="inlineStr">
        <is>
          <t>命中後敵-2攻擊</t>
        </is>
      </c>
    </row>
    <row r="28"/>
    <row r="29">
      <c r="A29" s="2" t="inlineStr">
        <is>
          <t>■ 船員</t>
        </is>
      </c>
      <c r="B29" s="7" t="n"/>
      <c r="C29" s="7" t="n"/>
      <c r="D29" s="7" t="n"/>
      <c r="E29" s="7" t="n"/>
      <c r="F29" s="8" t="n"/>
    </row>
    <row r="30">
      <c r="A30" s="3" t="inlineStr">
        <is>
          <t>角色</t>
        </is>
      </c>
      <c r="B30" s="3" t="inlineStr">
        <is>
          <t>姓名</t>
        </is>
      </c>
      <c r="C30" s="3" t="inlineStr">
        <is>
          <t>忠誠</t>
        </is>
      </c>
      <c r="D30" s="3" t="inlineStr">
        <is>
          <t>狀態</t>
        </is>
      </c>
      <c r="E30" s="3" t="inlineStr"/>
      <c r="F30" s="3" t="inlineStr"/>
    </row>
    <row r="31">
      <c r="A31" s="4" t="inlineStr">
        <is>
          <t>大副</t>
        </is>
      </c>
      <c r="B31" s="4" t="inlineStr">
        <is>
          <t>莉娜·賽克斯</t>
        </is>
      </c>
      <c r="C31" s="4" t="n">
        <v>5</v>
      </c>
      <c r="D31" s="4" t="inlineStr">
        <is>
          <t>正常</t>
        </is>
      </c>
    </row>
    <row r="32">
      <c r="A32" s="4" t="inlineStr">
        <is>
          <t>導航官</t>
        </is>
      </c>
      <c r="B32" s="4" t="inlineStr">
        <is>
          <t>"狂飆"蕾娜</t>
        </is>
      </c>
      <c r="C32" s="4" t="n">
        <v>4</v>
      </c>
      <c r="D32" s="4" t="inlineStr">
        <is>
          <t>正常</t>
        </is>
      </c>
    </row>
    <row r="33">
      <c r="A33" s="4" t="inlineStr">
        <is>
          <t>醫官</t>
        </is>
      </c>
      <c r="B33" s="4" t="inlineStr">
        <is>
          <t>"庸醫"蓋奇</t>
        </is>
      </c>
      <c r="C33" s="4" t="n">
        <v>4</v>
      </c>
      <c r="D33" s="4" t="inlineStr">
        <is>
          <t>正常</t>
        </is>
      </c>
    </row>
    <row r="34"/>
    <row r="35"/>
    <row r="36"/>
    <row r="37">
      <c r="A37" s="2" t="inlineStr">
        <is>
          <t>■ 主持人（GM） 備註</t>
        </is>
      </c>
      <c r="B37" s="7" t="n"/>
      <c r="C37" s="7" t="n"/>
      <c r="D37" s="7" t="n"/>
      <c r="E37" s="7" t="n"/>
      <c r="F37" s="8" t="n"/>
    </row>
    <row r="38">
      <c r="A38" s="6" t="inlineStr">
        <is>
          <t>生存專家。直覺（INT） 7 + 隱藏貨倉 + 偽造ID = 最難被抓到的船長。遊牧民級可安裝任意船型專屬裝備——後期靈活性最高。蕾娜的冒險傾向和蓋奇的道德灰色都是雙面刃。</t>
        </is>
      </c>
      <c r="B38" s="9" t="n"/>
      <c r="C38" s="9" t="n"/>
      <c r="D38" s="9" t="n"/>
      <c r="E38" s="9" t="n"/>
      <c r="F38" s="10" t="n"/>
    </row>
    <row r="39">
      <c r="A39" s="11" t="n"/>
      <c r="B39" s="12" t="n"/>
      <c r="C39" s="12" t="n"/>
      <c r="D39" s="12" t="n"/>
      <c r="E39" s="12" t="n"/>
      <c r="F39" s="13" t="n"/>
    </row>
  </sheetData>
  <mergeCells count="13">
    <mergeCell ref="A24:F24"/>
    <mergeCell ref="A16:F16"/>
    <mergeCell ref="A11:F11"/>
    <mergeCell ref="B12:F12"/>
    <mergeCell ref="A1:G1"/>
    <mergeCell ref="A37:F37"/>
    <mergeCell ref="A38:F39"/>
    <mergeCell ref="B14:F14"/>
    <mergeCell ref="A3:F3"/>
    <mergeCell ref="A20:F20"/>
    <mergeCell ref="B13:F13"/>
    <mergeCell ref="A29:F29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2026-06-28T16:57:00Z</dcterms:created>
  <dcterms:modified xsi:type="dcterms:W3CDTF">2026-07-18T09:55:08Z</dcterms:modified>
</cp:coreProperties>
</file>