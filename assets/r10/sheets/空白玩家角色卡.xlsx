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玩家船艦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b val="1"/>
      <color rgb="00e94560"/>
      <sz val="16"/>
    </font>
    <font>
      <name val="Microsoft JhengHei"/>
      <b val="1"/>
      <color rgb="00FFFFFF"/>
      <sz val="11"/>
    </font>
    <font>
      <name val="Microsoft JhengHei"/>
      <b val="1"/>
      <sz val="10"/>
    </font>
    <font>
      <name val="Consolas"/>
      <sz val="11"/>
    </font>
    <font>
      <name val="Microsoft JhengHei"/>
      <sz val="9"/>
    </font>
  </fonts>
  <fills count="6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0f3460"/>
        <bgColor rgb="000f3460"/>
      </patternFill>
    </fill>
    <fill>
      <patternFill patternType="solid">
        <fgColor rgb="00e8f5e9"/>
        <bgColor rgb="00e8f5e9"/>
      </patternFill>
    </fill>
    <fill>
      <patternFill patternType="solid">
        <fgColor rgb="00fff8e1"/>
        <bgColor rgb="00fff8e1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pivotButton="0" quotePrefix="0" xfId="0"/>
    <xf numFmtId="0" fontId="2" fillId="3" borderId="1" pivotButton="0" quotePrefix="0" xfId="0"/>
    <xf numFmtId="0" fontId="3" fillId="0" borderId="1" pivotButton="0" quotePrefix="0" xfId="0"/>
    <xf numFmtId="0" fontId="4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5" fillId="0" borderId="1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5" customWidth="1" min="7" max="7"/>
    <col width="14" customWidth="1" min="8" max="8"/>
  </cols>
  <sheetData>
    <row r="1">
      <c r="A1" s="1" t="inlineStr">
        <is>
          <t>⚓ 宇宙船團經營TRPG — 玩家與船艦角色卡</t>
        </is>
      </c>
      <c r="B1" s="7" t="n"/>
      <c r="C1" s="7" t="n"/>
      <c r="D1" s="7" t="n"/>
      <c r="E1" s="7" t="n"/>
      <c r="F1" s="7" t="n"/>
      <c r="G1" s="7" t="n"/>
      <c r="H1" s="8" t="n"/>
    </row>
    <row r="2"/>
    <row r="3">
      <c r="A3" s="2" t="inlineStr">
        <is>
          <t>■ 基本資料</t>
        </is>
      </c>
      <c r="B3" s="7" t="n"/>
      <c r="C3" s="7" t="n"/>
      <c r="D3" s="7" t="n"/>
      <c r="E3" s="7" t="n"/>
      <c r="F3" s="8" t="n"/>
    </row>
    <row r="4">
      <c r="A4" s="3" t="inlineStr">
        <is>
          <t>船長姓名</t>
        </is>
      </c>
      <c r="B4" s="3" t="inlineStr">
        <is>
          <t>背景</t>
        </is>
      </c>
      <c r="C4" s="3" t="inlineStr">
        <is>
          <t>船名</t>
        </is>
      </c>
      <c r="D4" s="3" t="inlineStr">
        <is>
          <t>船型</t>
        </is>
      </c>
      <c r="E4" s="3" t="inlineStr">
        <is>
          <t>等級</t>
        </is>
      </c>
      <c r="F4" s="3" t="inlineStr">
        <is>
          <t>經驗值（XP）</t>
        </is>
      </c>
    </row>
    <row r="5">
      <c r="A5" s="4" t="n"/>
      <c r="B5" s="4" t="n"/>
      <c r="C5" s="4" t="n"/>
      <c r="D5" s="4" t="n"/>
      <c r="E5" s="4" t="n"/>
      <c r="F5" s="4" t="n"/>
    </row>
    <row r="6"/>
    <row r="7">
      <c r="A7" s="2" t="inlineStr">
        <is>
          <t>■ 船長屬性 (屬性值=加值)</t>
        </is>
      </c>
      <c r="B7" s="7" t="n"/>
      <c r="C7" s="7" t="n"/>
      <c r="D7" s="7" t="n"/>
      <c r="E7" s="7" t="n"/>
      <c r="F7" s="8" t="n"/>
    </row>
    <row r="8">
      <c r="A8" s="3" t="inlineStr">
        <is>
          <t>指揮 指揮（CMD）</t>
        </is>
      </c>
      <c r="B8" s="3" t="inlineStr">
        <is>
          <t>工程 工程（ENG）</t>
        </is>
      </c>
      <c r="C8" s="3" t="inlineStr">
        <is>
          <t>航導 航導（NAV）</t>
        </is>
      </c>
      <c r="D8" s="3" t="inlineStr">
        <is>
          <t>交涉 交涉（DIP）</t>
        </is>
      </c>
      <c r="E8" s="3" t="inlineStr">
        <is>
          <t>直覺 直覺（INT）</t>
        </is>
      </c>
      <c r="F8" s="3" t="inlineStr">
        <is>
          <t>總計</t>
        </is>
      </c>
    </row>
    <row r="9">
      <c r="A9" s="4" t="n"/>
      <c r="B9" s="4" t="n"/>
      <c r="C9" s="4" t="n"/>
      <c r="D9" s="4" t="n"/>
      <c r="E9" s="4" t="n"/>
      <c r="F9" s="5">
        <f>SUM(A9:E9)</f>
        <v/>
      </c>
    </row>
    <row r="10"/>
    <row r="11">
      <c r="A11" s="2" t="inlineStr">
        <is>
          <t>■ 背景能力</t>
        </is>
      </c>
      <c r="B11" s="7" t="n"/>
      <c r="C11" s="7" t="n"/>
      <c r="D11" s="7" t="n"/>
      <c r="E11" s="7" t="n"/>
      <c r="F11" s="8" t="n"/>
    </row>
    <row r="12">
      <c r="A12" s="3" t="inlineStr">
        <is>
          <t>專精優勢</t>
        </is>
      </c>
      <c r="B12" s="4" t="n"/>
      <c r="C12" s="7" t="n"/>
      <c r="D12" s="7" t="n"/>
      <c r="E12" s="7" t="n"/>
      <c r="F12" s="8" t="n"/>
    </row>
    <row r="13">
      <c r="A13" s="3" t="inlineStr">
        <is>
          <t>起始裝備/資源</t>
        </is>
      </c>
      <c r="B13" s="4" t="n"/>
      <c r="C13" s="7" t="n"/>
      <c r="D13" s="7" t="n"/>
      <c r="E13" s="7" t="n"/>
      <c r="F13" s="8" t="n"/>
    </row>
    <row r="14"/>
    <row r="15">
      <c r="A15" s="2" t="inlineStr">
        <is>
          <t>■ 船體屬性</t>
        </is>
      </c>
      <c r="B15" s="7" t="n"/>
      <c r="C15" s="7" t="n"/>
      <c r="D15" s="7" t="n"/>
      <c r="E15" s="7" t="n"/>
      <c r="F15" s="8" t="n"/>
    </row>
    <row r="16">
      <c r="A16" s="3" t="inlineStr">
        <is>
          <t>引擎 引擎（ENG-S）</t>
        </is>
      </c>
      <c r="B16" s="3" t="inlineStr">
        <is>
          <t>裝甲 裝甲（ARM）</t>
        </is>
      </c>
      <c r="C16" s="3" t="inlineStr">
        <is>
          <t>火力 火力（WPN）</t>
        </is>
      </c>
      <c r="D16" s="3" t="inlineStr">
        <is>
          <t>感測器 感測器（SEN）</t>
        </is>
      </c>
      <c r="E16" s="3" t="inlineStr">
        <is>
          <t>貨倉 貨倉（CRG）</t>
        </is>
      </c>
      <c r="F16" s="3" t="inlineStr">
        <is>
          <t>升級點數</t>
        </is>
      </c>
    </row>
    <row r="17">
      <c r="A17" s="4" t="n"/>
      <c r="B17" s="4" t="n"/>
      <c r="C17" s="4" t="n"/>
      <c r="D17" s="4" t="n"/>
      <c r="E17" s="4" t="n"/>
      <c r="F17" s="4" t="n">
        <v>10</v>
      </c>
    </row>
    <row r="18"/>
    <row r="19">
      <c r="A19" s="2" t="inlineStr">
        <is>
          <t>■ 船體衍生屬性（自動計算）</t>
        </is>
      </c>
      <c r="B19" s="7" t="n"/>
      <c r="C19" s="7" t="n"/>
      <c r="D19" s="7" t="n"/>
      <c r="E19" s="7" t="n"/>
      <c r="F19" s="8" t="n"/>
    </row>
    <row r="20">
      <c r="A20" s="3" t="inlineStr">
        <is>
          <t>船體 船體生命值（HP）</t>
        </is>
      </c>
      <c r="B20" s="3" t="inlineStr">
        <is>
          <t>迴避等級（AC） (迴避)</t>
        </is>
      </c>
      <c r="C20" s="3" t="inlineStr">
        <is>
          <t>能量上限</t>
        </is>
      </c>
      <c r="D20" s="3" t="inlineStr">
        <is>
          <t>能量回復</t>
        </is>
      </c>
      <c r="E20" s="3" t="inlineStr">
        <is>
          <t>貨倉容量(SCU)</t>
        </is>
      </c>
      <c r="F20" s="3" t="inlineStr">
        <is>
          <t>裝甲減傷(DR)</t>
        </is>
      </c>
    </row>
    <row r="21">
      <c r="A21" s="5">
        <f>B17*10+20</f>
        <v/>
      </c>
      <c r="B21" s="5">
        <f>10+A17</f>
        <v/>
      </c>
      <c r="C21" s="5">
        <f>A17*5+10</f>
        <v/>
      </c>
      <c r="D21" s="5">
        <f>A17</f>
        <v/>
      </c>
      <c r="E21" s="5">
        <f>E17*20</f>
        <v/>
      </c>
      <c r="F21" s="5">
        <f>B17*2</f>
        <v/>
      </c>
    </row>
    <row r="22"/>
    <row r="23">
      <c r="A23" s="2" t="inlineStr">
        <is>
          <t>■ 武器配置</t>
        </is>
      </c>
      <c r="B23" s="7" t="n"/>
      <c r="C23" s="7" t="n"/>
      <c r="D23" s="7" t="n"/>
      <c r="E23" s="7" t="n"/>
      <c r="F23" s="8" t="n"/>
    </row>
    <row r="24">
      <c r="A24" s="3" t="inlineStr">
        <is>
          <t>武器名稱</t>
        </is>
      </c>
      <c r="B24" s="3" t="inlineStr">
        <is>
          <t>傷害骰</t>
        </is>
      </c>
      <c r="C24" s="3" t="inlineStr">
        <is>
          <t>特性</t>
        </is>
      </c>
      <c r="D24" s="3" t="inlineStr">
        <is>
          <t>消耗</t>
        </is>
      </c>
      <c r="E24" s="3" t="inlineStr"/>
      <c r="F24" s="3" t="inlineStr"/>
    </row>
    <row r="25">
      <c r="A25" s="4" t="n"/>
      <c r="B25" s="4" t="n"/>
      <c r="C25" s="4" t="n"/>
      <c r="D25" s="4" t="n"/>
    </row>
    <row r="26">
      <c r="A26" s="4" t="n"/>
      <c r="B26" s="4" t="n"/>
      <c r="C26" s="4" t="n"/>
      <c r="D26" s="4" t="n"/>
    </row>
    <row r="27">
      <c r="A27" s="4" t="n"/>
      <c r="B27" s="4" t="n"/>
      <c r="C27" s="4" t="n"/>
      <c r="D27" s="4" t="n"/>
    </row>
    <row r="28"/>
    <row r="29">
      <c r="A29" s="2" t="inlineStr">
        <is>
          <t>■ 船員</t>
        </is>
      </c>
      <c r="B29" s="7" t="n"/>
      <c r="C29" s="7" t="n"/>
      <c r="D29" s="7" t="n"/>
      <c r="E29" s="7" t="n"/>
      <c r="F29" s="8" t="n"/>
    </row>
    <row r="30">
      <c r="A30" s="3" t="inlineStr">
        <is>
          <t>角色</t>
        </is>
      </c>
      <c r="B30" s="3" t="inlineStr">
        <is>
          <t>姓名</t>
        </is>
      </c>
      <c r="C30" s="3" t="inlineStr">
        <is>
          <t>忠誠 (1-10)</t>
        </is>
      </c>
      <c r="D30" s="3" t="inlineStr">
        <is>
          <t>狀態</t>
        </is>
      </c>
      <c r="E30" s="3" t="inlineStr">
        <is>
          <t>隱藏目標</t>
        </is>
      </c>
      <c r="F30" s="3" t="inlineStr"/>
    </row>
    <row r="31">
      <c r="A31" s="3" t="inlineStr">
        <is>
          <t>大副</t>
        </is>
      </c>
      <c r="B31" s="4" t="n"/>
      <c r="C31" s="4" t="n"/>
      <c r="D31" s="4" t="n"/>
      <c r="E31" s="4" t="n"/>
    </row>
    <row r="32">
      <c r="A32" s="3" t="inlineStr">
        <is>
          <t>首席工程師</t>
        </is>
      </c>
      <c r="B32" s="4" t="n"/>
      <c r="C32" s="4" t="n"/>
      <c r="D32" s="4" t="n"/>
      <c r="E32" s="4" t="n"/>
    </row>
    <row r="33">
      <c r="A33" s="3" t="inlineStr">
        <is>
          <t>導航官</t>
        </is>
      </c>
      <c r="B33" s="4" t="n"/>
      <c r="C33" s="4" t="n"/>
      <c r="D33" s="4" t="n"/>
      <c r="E33" s="4" t="n"/>
    </row>
    <row r="34">
      <c r="A34" s="3" t="inlineStr">
        <is>
          <t>醫官</t>
        </is>
      </c>
      <c r="B34" s="4" t="n"/>
      <c r="C34" s="4" t="n"/>
      <c r="D34" s="4" t="n"/>
      <c r="E34" s="4" t="n"/>
    </row>
    <row r="35">
      <c r="A35" s="3" t="inlineStr">
        <is>
          <t>通訊官</t>
        </is>
      </c>
      <c r="B35" s="4" t="n"/>
      <c r="C35" s="4" t="n"/>
      <c r="D35" s="4" t="n"/>
      <c r="E35" s="4" t="n"/>
    </row>
    <row r="36"/>
    <row r="37">
      <c r="A37" s="2" t="inlineStr">
        <is>
          <t>■ 資源與資金</t>
        </is>
      </c>
      <c r="B37" s="7" t="n"/>
      <c r="C37" s="7" t="n"/>
      <c r="D37" s="7" t="n"/>
      <c r="E37" s="7" t="n"/>
      <c r="F37" s="8" t="n"/>
    </row>
    <row r="38">
      <c r="A38" s="3" t="inlineStr">
        <is>
          <t>燃料</t>
        </is>
      </c>
      <c r="B38" s="3" t="inlineStr">
        <is>
          <t>食物</t>
        </is>
      </c>
      <c r="C38" s="3" t="inlineStr">
        <is>
          <t>零件</t>
        </is>
      </c>
      <c r="D38" s="3" t="inlineStr">
        <is>
          <t>彈藥</t>
        </is>
      </c>
      <c r="E38" s="3" t="inlineStr">
        <is>
          <t>藥物</t>
        </is>
      </c>
      <c r="F38" s="3" t="inlineStr">
        <is>
          <t>信用點 (Cr)</t>
        </is>
      </c>
    </row>
    <row r="39">
      <c r="A39" s="4" t="n"/>
      <c r="B39" s="4" t="n"/>
      <c r="C39" s="4" t="n"/>
      <c r="D39" s="4" t="n"/>
      <c r="E39" s="4" t="n"/>
      <c r="F39" s="4" t="n"/>
    </row>
    <row r="40"/>
    <row r="41">
      <c r="A41" s="2" t="inlineStr">
        <is>
          <t>■ 勢力關係 (-3~+3)</t>
        </is>
      </c>
      <c r="B41" s="7" t="n"/>
      <c r="C41" s="7" t="n"/>
      <c r="D41" s="7" t="n"/>
      <c r="E41" s="7" t="n"/>
      <c r="F41" s="8" t="n"/>
    </row>
    <row r="42">
      <c r="A42" s="3" t="inlineStr">
        <is>
          <t>天鉤集團</t>
        </is>
      </c>
      <c r="B42" s="3" t="inlineStr">
        <is>
          <t>漂泊者同盟</t>
        </is>
      </c>
      <c r="C42" s="3" t="inlineStr">
        <is>
          <t>遺物守望者</t>
        </is>
      </c>
      <c r="D42" s="3" t="inlineStr">
        <is>
          <t>裂谷海盜</t>
        </is>
      </c>
      <c r="E42" s="3" t="inlineStr">
        <is>
          <t>商人聯盟</t>
        </is>
      </c>
      <c r="F42" s="3" t="inlineStr">
        <is>
          <t>星空聖殿</t>
        </is>
      </c>
    </row>
    <row r="43">
      <c r="A43" s="4" t="n"/>
      <c r="B43" s="4" t="n"/>
      <c r="C43" s="4" t="n"/>
      <c r="D43" s="4" t="n"/>
      <c r="E43" s="4" t="n"/>
      <c r="F43" s="4" t="n"/>
    </row>
    <row r="44"/>
    <row r="45">
      <c r="A45" s="2" t="inlineStr">
        <is>
          <t>■ 船團內關係 (-3~+3)</t>
        </is>
      </c>
      <c r="B45" s="7" t="n"/>
      <c r="C45" s="7" t="n"/>
      <c r="D45" s="7" t="n"/>
      <c r="E45" s="7" t="n"/>
      <c r="F45" s="8" t="n"/>
    </row>
    <row r="46">
      <c r="A46" s="3" t="inlineStr">
        <is>
          <t>PC船長1</t>
        </is>
      </c>
      <c r="B46" s="3" t="inlineStr">
        <is>
          <t>PC船長2</t>
        </is>
      </c>
      <c r="C46" s="3" t="inlineStr">
        <is>
          <t>PC船長3</t>
        </is>
      </c>
      <c r="D46" s="3" t="inlineStr">
        <is>
          <t>PC船長4</t>
        </is>
      </c>
      <c r="E46" s="3" t="inlineStr">
        <is>
          <t>關係小結</t>
        </is>
      </c>
      <c r="F46" s="3" t="inlineStr"/>
    </row>
    <row r="47">
      <c r="A47" s="3" t="inlineStr">
        <is>
          <t>姓名</t>
        </is>
      </c>
      <c r="B47" s="4" t="n"/>
      <c r="C47" s="3" t="inlineStr">
        <is>
          <t>關係值</t>
        </is>
      </c>
      <c r="D47" s="4" t="n"/>
    </row>
    <row r="48">
      <c r="A48" s="3" t="inlineStr">
        <is>
          <t>姓名</t>
        </is>
      </c>
      <c r="B48" s="4" t="n"/>
      <c r="C48" s="3" t="inlineStr">
        <is>
          <t>關係值</t>
        </is>
      </c>
      <c r="D48" s="4" t="n"/>
    </row>
    <row r="49">
      <c r="A49" s="3" t="inlineStr">
        <is>
          <t>姓名</t>
        </is>
      </c>
      <c r="B49" s="4" t="n"/>
      <c r="C49" s="3" t="inlineStr">
        <is>
          <t>關係值</t>
        </is>
      </c>
      <c r="D49" s="4" t="n"/>
    </row>
    <row r="50">
      <c r="A50" s="3" t="inlineStr">
        <is>
          <t>姓名</t>
        </is>
      </c>
      <c r="B50" s="4" t="n"/>
      <c r="C50" s="3" t="inlineStr">
        <is>
          <t>關係值</t>
        </is>
      </c>
      <c r="D50" s="4" t="n"/>
    </row>
    <row r="51"/>
    <row r="52">
      <c r="A52" s="2" t="inlineStr">
        <is>
          <t>■ 專長與能力</t>
        </is>
      </c>
      <c r="B52" s="7" t="n"/>
      <c r="C52" s="7" t="n"/>
      <c r="D52" s="7" t="n"/>
      <c r="E52" s="7" t="n"/>
      <c r="F52" s="8" t="n"/>
    </row>
    <row r="53">
      <c r="A53" s="3" t="inlineStr">
        <is>
          <t>專長名稱</t>
        </is>
      </c>
      <c r="B53" s="3" t="inlineStr">
        <is>
          <t>效果</t>
        </is>
      </c>
      <c r="C53" s="3" t="inlineStr"/>
      <c r="D53" s="3" t="inlineStr"/>
      <c r="E53" s="3" t="inlineStr"/>
      <c r="F53" s="3" t="inlineStr"/>
    </row>
    <row r="54">
      <c r="A54" s="4" t="n"/>
      <c r="B54" s="4" t="n"/>
    </row>
    <row r="55">
      <c r="A55" s="4" t="n"/>
      <c r="B55" s="4" t="n"/>
    </row>
    <row r="56">
      <c r="A56" s="4" t="n"/>
      <c r="B56" s="4" t="n"/>
    </row>
    <row r="57">
      <c r="A57" s="4" t="n"/>
      <c r="B57" s="4" t="n"/>
    </row>
    <row r="58"/>
    <row r="59"/>
    <row r="60">
      <c r="A60" s="6" t="inlineStr">
        <is>
          <t>🟢 綠色格 = 手動輸入</t>
        </is>
      </c>
      <c r="C60" s="6" t="inlineStr">
        <is>
          <t>🟡 黃色格 = 公式自動計算</t>
        </is>
      </c>
    </row>
  </sheetData>
  <mergeCells count="14">
    <mergeCell ref="A41:F41"/>
    <mergeCell ref="A11:F11"/>
    <mergeCell ref="B12:F12"/>
    <mergeCell ref="A52:F52"/>
    <mergeCell ref="A19:F19"/>
    <mergeCell ref="A45:F45"/>
    <mergeCell ref="A23:F23"/>
    <mergeCell ref="A37:F37"/>
    <mergeCell ref="A29:F29"/>
    <mergeCell ref="A1:H1"/>
    <mergeCell ref="A3:F3"/>
    <mergeCell ref="B13:F13"/>
    <mergeCell ref="A15:F15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2026-06-28T16:57:00Z</dcterms:created>
  <dcterms:modified xsi:type="dcterms:W3CDTF">2026-07-18T09:55:08Z</dcterms:modified>
</cp:coreProperties>
</file>