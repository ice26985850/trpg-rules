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👾 敵方單位卡</t>
        </is>
      </c>
      <c r="B1" s="6" t="n"/>
      <c r="C1" s="6" t="n"/>
      <c r="D1" s="6" t="n"/>
      <c r="E1" s="6" t="n"/>
      <c r="F1" s="6" t="n"/>
      <c r="G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單位名稱</t>
        </is>
      </c>
      <c r="B4" s="3" t="inlineStr">
        <is>
          <t>類型</t>
        </is>
      </c>
      <c r="C4" s="3" t="inlineStr">
        <is>
          <t>威脅等級 威脅等級（TL）</t>
        </is>
      </c>
      <c r="D4" s="3" t="inlineStr"/>
      <c r="E4" s="3" t="inlineStr"/>
      <c r="F4" s="3" t="inlineStr"/>
      <c r="G4" s="3" t="inlineStr"/>
    </row>
    <row r="5">
      <c r="A5" s="4" t="n"/>
      <c r="B5" s="4" t="n"/>
      <c r="C5" s="4" t="n"/>
    </row>
    <row r="6"/>
    <row r="7">
      <c r="A7" s="2" t="inlineStr">
        <is>
          <t>■ 船體屬性 (1-5)</t>
        </is>
      </c>
      <c r="B7" s="6" t="n"/>
      <c r="C7" s="6" t="n"/>
      <c r="D7" s="6" t="n"/>
      <c r="E7" s="6" t="n"/>
      <c r="F7" s="7" t="n"/>
    </row>
    <row r="8">
      <c r="A8" s="3" t="inlineStr">
        <is>
          <t>引擎 引擎（ENG-S）</t>
        </is>
      </c>
      <c r="B8" s="3" t="inlineStr">
        <is>
          <t>裝甲 裝甲（ARM）</t>
        </is>
      </c>
      <c r="C8" s="3" t="inlineStr">
        <is>
          <t>火力 火力（WPN）</t>
        </is>
      </c>
      <c r="D8" s="3" t="inlineStr">
        <is>
          <t>感測器 感測器（SEN）</t>
        </is>
      </c>
      <c r="E8" s="3" t="inlineStr">
        <is>
          <t>特殊</t>
        </is>
      </c>
      <c r="F8" s="3" t="inlineStr"/>
    </row>
    <row r="9">
      <c r="A9" s="4" t="n"/>
      <c r="B9" s="4" t="n"/>
      <c r="C9" s="4" t="n"/>
      <c r="D9" s="4" t="n"/>
      <c r="E9" s="4" t="n"/>
    </row>
    <row r="10"/>
    <row r="11">
      <c r="A11" s="2" t="inlineStr">
        <is>
          <t>■ 衍生屬性（自動計算）</t>
        </is>
      </c>
      <c r="B11" s="6" t="n"/>
      <c r="C11" s="6" t="n"/>
      <c r="D11" s="6" t="n"/>
      <c r="E11" s="6" t="n"/>
      <c r="F11" s="7" t="n"/>
    </row>
    <row r="12">
      <c r="A12" s="3" t="inlineStr">
        <is>
          <t>船體生命值（HP）</t>
        </is>
      </c>
      <c r="B12" s="3" t="inlineStr">
        <is>
          <t>迴避等級（AC） (迴避)</t>
        </is>
      </c>
      <c r="C12" s="3" t="inlineStr">
        <is>
          <t>能量上限</t>
        </is>
      </c>
      <c r="D12" s="3" t="inlineStr">
        <is>
          <t>能量回復</t>
        </is>
      </c>
      <c r="E12" s="3" t="inlineStr">
        <is>
          <t>減傷值（DR） (裝甲減傷)</t>
        </is>
      </c>
      <c r="F12" s="3" t="inlineStr"/>
    </row>
    <row r="13">
      <c r="A13" s="5">
        <f>B9*10+20</f>
        <v/>
      </c>
      <c r="B13" s="5">
        <f>10+A9</f>
        <v/>
      </c>
      <c r="C13" s="5">
        <f>A9*5+10</f>
        <v/>
      </c>
      <c r="D13" s="5">
        <f>A9</f>
        <v/>
      </c>
      <c r="E13" s="5">
        <f>B9*2</f>
        <v/>
      </c>
    </row>
    <row r="14"/>
    <row r="15">
      <c r="A15" s="2" t="inlineStr">
        <is>
          <t>■ 武器</t>
        </is>
      </c>
      <c r="B15" s="6" t="n"/>
      <c r="C15" s="6" t="n"/>
      <c r="D15" s="6" t="n"/>
      <c r="E15" s="6" t="n"/>
      <c r="F15" s="7" t="n"/>
    </row>
    <row r="16">
      <c r="A16" s="3" t="inlineStr">
        <is>
          <t>武器名稱</t>
        </is>
      </c>
      <c r="B16" s="3" t="inlineStr">
        <is>
          <t>傷害骰</t>
        </is>
      </c>
      <c r="C16" s="3" t="inlineStr">
        <is>
          <t>特性(貫穿等)</t>
        </is>
      </c>
      <c r="D16" s="3" t="inlineStr">
        <is>
          <t>消耗</t>
        </is>
      </c>
      <c r="E16" s="3" t="inlineStr"/>
      <c r="F16" s="3" t="inlineStr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/>
    <row r="21">
      <c r="A21" s="2" t="inlineStr">
        <is>
          <t>■ 特殊能力</t>
        </is>
      </c>
      <c r="B21" s="6" t="n"/>
      <c r="C21" s="6" t="n"/>
      <c r="D21" s="6" t="n"/>
      <c r="E21" s="6" t="n"/>
      <c r="F21" s="7" t="n"/>
    </row>
    <row r="22">
      <c r="A22" s="4" t="n"/>
      <c r="B22" s="6" t="n"/>
      <c r="C22" s="6" t="n"/>
      <c r="D22" s="6" t="n"/>
      <c r="E22" s="6" t="n"/>
      <c r="F22" s="7" t="n"/>
    </row>
    <row r="23">
      <c r="A23" s="4" t="n"/>
      <c r="B23" s="6" t="n"/>
      <c r="C23" s="6" t="n"/>
      <c r="D23" s="6" t="n"/>
      <c r="E23" s="6" t="n"/>
      <c r="F23" s="7" t="n"/>
    </row>
    <row r="24">
      <c r="A24" s="4" t="n"/>
      <c r="B24" s="6" t="n"/>
      <c r="C24" s="6" t="n"/>
      <c r="D24" s="6" t="n"/>
      <c r="E24" s="6" t="n"/>
      <c r="F24" s="7" t="n"/>
    </row>
    <row r="25"/>
    <row r="26">
      <c r="A26" s="2" t="inlineStr">
        <is>
          <t>■ 戰術腳本</t>
        </is>
      </c>
      <c r="B26" s="6" t="n"/>
      <c r="C26" s="6" t="n"/>
      <c r="D26" s="6" t="n"/>
      <c r="E26" s="6" t="n"/>
      <c r="F26" s="7" t="n"/>
    </row>
    <row r="27">
      <c r="A27" s="4" t="n"/>
      <c r="B27" s="8" t="n"/>
      <c r="C27" s="8" t="n"/>
      <c r="D27" s="8" t="n"/>
      <c r="E27" s="8" t="n"/>
      <c r="F27" s="9" t="n"/>
    </row>
    <row r="28">
      <c r="A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/>
    <row r="31">
      <c r="A31" s="2" t="inlineStr">
        <is>
          <t>■ 戰利品</t>
        </is>
      </c>
      <c r="B31" s="6" t="n"/>
      <c r="C31" s="6" t="n"/>
      <c r="D31" s="6" t="n"/>
      <c r="E31" s="6" t="n"/>
      <c r="F31" s="7" t="n"/>
    </row>
    <row r="32">
      <c r="A32" s="4" t="n"/>
      <c r="B32" s="6" t="n"/>
      <c r="C32" s="6" t="n"/>
      <c r="D32" s="6" t="n"/>
      <c r="E32" s="6" t="n"/>
      <c r="F32" s="7" t="n"/>
    </row>
  </sheetData>
  <mergeCells count="13">
    <mergeCell ref="A24:F24"/>
    <mergeCell ref="A11:F11"/>
    <mergeCell ref="A1:G1"/>
    <mergeCell ref="A27:F29"/>
    <mergeCell ref="A23:F23"/>
    <mergeCell ref="A32:F32"/>
    <mergeCell ref="A31:F31"/>
    <mergeCell ref="A26:F26"/>
    <mergeCell ref="A22:F22"/>
    <mergeCell ref="A3:F3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