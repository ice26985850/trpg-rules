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ault_Kai" sheetId="1" state="visible" r:id="rId1"/>
    <sheet name="Engineer_Ada" sheetId="2" state="visible" r:id="rId2"/>
    <sheet name="Medic_Lin" sheetId="3" state="visible" r:id="rId3"/>
    <sheet name="Scout_Ghost" sheetId="4" state="visible" r:id="rId4"/>
    <sheet name="Heavy_Gunner_Bas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b val="1"/>
      <color rgb="001F3864"/>
      <sz val="12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/>
    </xf>
    <xf numFmtId="0" fontId="0" fillId="3" borderId="0" pivotButton="0" quotePrefix="0" xfId="0"/>
    <xf numFmtId="0" fontId="3" fillId="0" borderId="1" pivotButton="0" quotePrefix="0" xfId="0"/>
    <xf numFmtId="0" fontId="4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Starship Boarding Assault TRPG — Example: Assault_Kai</t>
        </is>
      </c>
      <c r="B1" s="7" t="n"/>
      <c r="C1" s="7" t="n"/>
      <c r="D1" s="7" t="n"/>
      <c r="E1" s="7" t="n"/>
      <c r="F1" s="7" t="n"/>
      <c r="G1" s="7" t="n"/>
      <c r="H1" s="7" t="n"/>
      <c r="I1" s="8" t="n"/>
    </row>
    <row r="2"/>
    <row r="3">
      <c r="A3" s="3" t="inlineStr">
        <is>
          <t>I. Basic Info</t>
        </is>
      </c>
      <c r="B3" s="7" t="n"/>
      <c r="C3" s="7" t="n"/>
      <c r="D3" s="7" t="n"/>
      <c r="E3" s="7" t="n"/>
      <c r="F3" s="7" t="n"/>
      <c r="G3" s="7" t="n"/>
      <c r="H3" s="7" t="n"/>
      <c r="I3" s="8" t="n"/>
    </row>
    <row r="4">
      <c r="A4" s="5" t="inlineStr">
        <is>
          <t>Name</t>
        </is>
      </c>
      <c r="B4" s="6" t="inlineStr">
        <is>
          <t>Assault_Kai</t>
        </is>
      </c>
      <c r="C4" s="7" t="n"/>
      <c r="D4" s="8" t="n"/>
    </row>
    <row r="5">
      <c r="A5" s="5" t="inlineStr">
        <is>
          <t>Class</t>
        </is>
      </c>
      <c r="B5" s="6" t="inlineStr">
        <is>
          <t>Assault</t>
        </is>
      </c>
      <c r="C5" s="7" t="n"/>
      <c r="D5" s="8" t="n"/>
    </row>
    <row r="6">
      <c r="A6" s="5" t="inlineStr">
        <is>
          <t>Background</t>
        </is>
      </c>
      <c r="B6" s="6" t="inlineStr">
        <is>
          <t>Regular military background</t>
        </is>
      </c>
      <c r="C6" s="7" t="n"/>
      <c r="D6" s="8" t="n"/>
    </row>
    <row r="7">
      <c r="A7" s="5" t="inlineStr">
        <is>
          <t>Level</t>
        </is>
      </c>
      <c r="B7" s="6" t="n">
        <v>1</v>
      </c>
      <c r="C7" s="7" t="n"/>
      <c r="D7" s="8" t="n"/>
    </row>
    <row r="8">
      <c r="A8" s="5" t="inlineStr">
        <is>
          <t>Reputation Tier</t>
        </is>
      </c>
      <c r="B8" s="6" t="inlineStr">
        <is>
          <t>Unknown</t>
        </is>
      </c>
      <c r="C8" s="7" t="n"/>
      <c r="D8" s="8" t="n"/>
    </row>
    <row r="9">
      <c r="A9" s="5" t="inlineStr">
        <is>
          <t>Dread Vessel</t>
        </is>
      </c>
      <c r="B9" s="6" t="inlineStr">
        <is>
          <t>Human Alliance Destroyer</t>
        </is>
      </c>
      <c r="C9" s="7" t="n"/>
      <c r="D9" s="8" t="n"/>
    </row>
    <row r="10">
      <c r="A10" s="5" t="inlineStr">
        <is>
          <t>Dread Vessel Modifier</t>
        </is>
      </c>
      <c r="B10" s="6" t="inlineStr">
        <is>
          <t>See rulebook Step 6</t>
        </is>
      </c>
      <c r="C10" s="7" t="n"/>
      <c r="D10" s="8" t="n"/>
    </row>
    <row r="11">
      <c r="A11" s="3" t="inlineStr">
        <is>
          <t>II. Five Attributes (base 8; modifiers auto-calculated)</t>
        </is>
      </c>
      <c r="B11" s="7" t="n"/>
      <c r="C11" s="7" t="n"/>
      <c r="D11" s="7" t="n"/>
      <c r="E11" s="7" t="n"/>
      <c r="F11" s="7" t="n"/>
      <c r="G11" s="7" t="n"/>
      <c r="H11" s="7" t="n"/>
      <c r="I11" s="8" t="n"/>
    </row>
    <row r="12">
      <c r="A12" s="9" t="inlineStr">
        <is>
          <t>Attribute</t>
        </is>
      </c>
      <c r="B12" s="9" t="inlineStr">
        <is>
          <t>Attribute Value</t>
        </is>
      </c>
      <c r="C12" s="9" t="inlineStr">
        <is>
          <t>Modifier</t>
        </is>
      </c>
      <c r="D12" s="9" t="inlineStr">
        <is>
          <t>Notes</t>
        </is>
      </c>
    </row>
    <row r="13">
      <c r="A13" s="5" t="inlineStr">
        <is>
          <t>Tactics (TAC)</t>
        </is>
      </c>
      <c r="B13" s="10" t="n">
        <v>19</v>
      </c>
      <c r="C13" s="11">
        <f>INT((B13-9)/2)</f>
        <v/>
      </c>
      <c r="D13" s="12" t="inlineStr">
        <is>
          <t>Modifier = (Attr Value−9)÷2 round down</t>
        </is>
      </c>
    </row>
    <row r="14">
      <c r="A14" s="5" t="inlineStr">
        <is>
          <t>Engineering (ENG)</t>
        </is>
      </c>
      <c r="B14" s="10" t="n">
        <v>10</v>
      </c>
      <c r="C14" s="11">
        <f>INT((B14-9)/2)</f>
        <v/>
      </c>
      <c r="D14" s="12" t="inlineStr">
        <is>
          <t>Modifier = (Attr Value−9)÷2 round down</t>
        </is>
      </c>
    </row>
    <row r="15">
      <c r="A15" s="5" t="inlineStr">
        <is>
          <t>Mobility (MOB)</t>
        </is>
      </c>
      <c r="B15" s="10" t="n">
        <v>14</v>
      </c>
      <c r="C15" s="11">
        <f>INT((B15-9)/2)</f>
        <v/>
      </c>
      <c r="D15" s="12" t="inlineStr">
        <is>
          <t>Modifier = (Attr Value−9)÷2 round down</t>
        </is>
      </c>
    </row>
    <row r="16">
      <c r="A16" s="5" t="inlineStr">
        <is>
          <t>Perception (PER)</t>
        </is>
      </c>
      <c r="B16" s="10" t="n">
        <v>13</v>
      </c>
      <c r="C16" s="11">
        <f>INT((B16-9)/2)</f>
        <v/>
      </c>
      <c r="D16" s="12" t="inlineStr">
        <is>
          <t>Modifier = (Attr Value−9)÷2 round down</t>
        </is>
      </c>
    </row>
    <row r="17">
      <c r="A17" s="5" t="inlineStr">
        <is>
          <t>Resilience (RES)</t>
        </is>
      </c>
      <c r="B17" s="10" t="n">
        <v>12</v>
      </c>
      <c r="C17" s="11">
        <f>INT((B17-9)/2)</f>
        <v/>
      </c>
      <c r="D17" s="12" t="inlineStr">
        <is>
          <t>Modifier = (Attr Value−9)÷2 round down</t>
        </is>
      </c>
    </row>
    <row r="18"/>
    <row r="19">
      <c r="A19" s="3" t="inlineStr">
        <is>
          <t>III. Derived Attributes (auto-calculated; * items require input below)</t>
        </is>
      </c>
      <c r="B19" s="7" t="n"/>
      <c r="C19" s="7" t="n"/>
      <c r="D19" s="7" t="n"/>
      <c r="E19" s="7" t="n"/>
      <c r="F19" s="7" t="n"/>
      <c r="G19" s="7" t="n"/>
      <c r="H19" s="7" t="n"/>
      <c r="I19" s="8" t="n"/>
    </row>
    <row r="20">
      <c r="A20" s="9" t="inlineStr">
        <is>
          <t>Derived Attributes</t>
        </is>
      </c>
      <c r="B20" s="9" t="inlineStr">
        <is>
          <t>Calc. Value</t>
        </is>
      </c>
      <c r="C20" s="9" t="inlineStr">
        <is>
          <t>Formula / Notes</t>
        </is>
      </c>
    </row>
    <row r="21">
      <c r="A21" s="5" t="inlineStr">
        <is>
          <t>Hit Points (HP)</t>
        </is>
      </c>
      <c r="B21" s="11">
        <f>B17*2+B28</f>
        <v/>
      </c>
      <c r="C21" s="12">
        <f> RES×2 + Class Base HP(B28)</f>
        <v/>
      </c>
    </row>
    <row r="22">
      <c r="A22" s="5" t="inlineStr">
        <is>
          <t>Oxygen Reserve</t>
        </is>
      </c>
      <c r="B22" s="11">
        <f>B17*2+5</f>
        <v/>
      </c>
      <c r="C22" s="12">
        <f> RES×2 + 5 (rounds)</f>
        <v/>
      </c>
    </row>
    <row r="23">
      <c r="A23" s="5" t="inlineStr">
        <is>
          <t>Armor Integrity (ARMR)</t>
        </is>
      </c>
      <c r="B23" s="11">
        <f>INT(B17*1.5)+B29</f>
        <v/>
      </c>
      <c r="C23" s="12">
        <f> ⌊RES×1.5⌋ + Equipment Armor Bonus(B29)</f>
        <v/>
      </c>
    </row>
    <row r="24">
      <c r="A24" s="5" t="inlineStr">
        <is>
          <t>Hack Limit</t>
        </is>
      </c>
      <c r="B24" s="11">
        <f>ROUNDUP(B14*0.5,0)</f>
        <v/>
      </c>
      <c r="C24" s="12">
        <f> ⌈ENG×0.5⌉ (round up)</f>
        <v/>
      </c>
    </row>
    <row r="25">
      <c r="A25" s="5" t="inlineStr">
        <is>
          <t>Carry Capacity</t>
        </is>
      </c>
      <c r="B25" s="11">
        <f>(B13+B17)*2</f>
        <v/>
      </c>
      <c r="C25" s="12">
        <f> (TAC+RES)×2 (kg)</f>
        <v/>
      </c>
    </row>
    <row r="26">
      <c r="A26" s="5" t="inlineStr">
        <is>
          <t>Defense Class (DEF)</t>
        </is>
      </c>
      <c r="B26" s="11">
        <f>10+C15+B30</f>
        <v/>
      </c>
      <c r="C26" s="12">
        <f> 10 + Mobility Mod + Armor Bonus(B30)</f>
        <v/>
      </c>
    </row>
    <row r="27">
      <c r="A27" s="5" t="inlineStr">
        <is>
          <t>Initiative (INIT)</t>
        </is>
      </c>
      <c r="B27" s="11">
        <f>C15&amp;"+1d10"</f>
        <v/>
      </c>
      <c r="C27" s="12">
        <f> Mobility Mod + 1d10</f>
        <v/>
      </c>
    </row>
    <row r="28">
      <c r="A28" s="5" t="inlineStr">
        <is>
          <t>Class Base HP (input) *</t>
        </is>
      </c>
      <c r="B28" s="10" t="n">
        <v>12</v>
      </c>
      <c r="C28" s="12" t="inlineStr">
        <is>
          <t>Filled by player/GM per class &amp; gear</t>
        </is>
      </c>
    </row>
    <row r="29">
      <c r="A29" s="5" t="inlineStr">
        <is>
          <t>Equipment Armor Bonus (input) *</t>
        </is>
      </c>
      <c r="B29" s="10" t="n">
        <v>4</v>
      </c>
      <c r="C29" s="12" t="inlineStr">
        <is>
          <t>Filled by player/GM per class &amp; gear</t>
        </is>
      </c>
    </row>
    <row r="30">
      <c r="A30" s="5" t="inlineStr">
        <is>
          <t>Armor Bonus (input) *</t>
        </is>
      </c>
      <c r="B30" s="10" t="n">
        <v>4</v>
      </c>
      <c r="C30" s="12" t="inlineStr">
        <is>
          <t>Filled by player/GM per class &amp; gear</t>
        </is>
      </c>
    </row>
    <row r="31"/>
    <row r="32">
      <c r="A32" s="3" t="inlineStr">
        <is>
          <t>IV. Skill Proficiency (20 skills; Skill Total = Attr Mod + Proficiency Bonus)</t>
        </is>
      </c>
      <c r="B32" s="7" t="n"/>
      <c r="C32" s="7" t="n"/>
      <c r="D32" s="7" t="n"/>
      <c r="E32" s="7" t="n"/>
      <c r="F32" s="7" t="n"/>
      <c r="G32" s="7" t="n"/>
      <c r="H32" s="7" t="n"/>
      <c r="I32" s="8" t="n"/>
    </row>
    <row r="33">
      <c r="A33" s="9" t="inlineStr">
        <is>
          <t>Skill</t>
        </is>
      </c>
      <c r="B33" s="9" t="inlineStr">
        <is>
          <t>Linked Attribute</t>
        </is>
      </c>
      <c r="C33" s="9" t="inlineStr">
        <is>
          <t>Attr. Modifier</t>
        </is>
      </c>
      <c r="D33" s="9" t="inlineStr">
        <is>
          <t>Proficiency Level</t>
        </is>
      </c>
      <c r="E33" s="9" t="inlineStr">
        <is>
          <t>Proficiency Bonus</t>
        </is>
      </c>
      <c r="F33" s="9" t="inlineStr">
        <is>
          <t>Skill Total</t>
        </is>
      </c>
    </row>
    <row r="34">
      <c r="A34" s="5" t="inlineStr">
        <is>
          <t>Melee Attack</t>
        </is>
      </c>
      <c r="B34" s="13" t="inlineStr">
        <is>
          <t>TAC</t>
        </is>
      </c>
      <c r="C34" s="11">
        <f>C13</f>
        <v/>
      </c>
      <c r="D34" s="10" t="inlineStr">
        <is>
          <t>Proficient</t>
        </is>
      </c>
      <c r="E34" s="11">
        <f>IF(D34="","",IF(D34="Untrained",0,IF(D34="Proficient",2,IF(D34="Expert",4,6))))</f>
        <v/>
      </c>
      <c r="F34" s="11">
        <f>C34+E34</f>
        <v/>
      </c>
    </row>
    <row r="35">
      <c r="A35" s="5" t="inlineStr">
        <is>
          <t>Ranged Fire</t>
        </is>
      </c>
      <c r="B35" s="13" t="inlineStr">
        <is>
          <t>TAC</t>
        </is>
      </c>
      <c r="C35" s="11">
        <f>C13</f>
        <v/>
      </c>
      <c r="D35" s="10" t="inlineStr">
        <is>
          <t>Proficient</t>
        </is>
      </c>
      <c r="E35" s="11">
        <f>IF(D35="","",IF(D35="Untrained",0,IF(D35="Proficient",2,IF(D35="Expert",4,6))))</f>
        <v/>
      </c>
      <c r="F35" s="11">
        <f>C35+E35</f>
        <v/>
      </c>
    </row>
    <row r="36">
      <c r="A36" s="5" t="inlineStr">
        <is>
          <t>Demolition</t>
        </is>
      </c>
      <c r="B36" s="13" t="inlineStr">
        <is>
          <t>TAC</t>
        </is>
      </c>
      <c r="C36" s="11">
        <f>C13</f>
        <v/>
      </c>
      <c r="D36" s="10" t="inlineStr">
        <is>
          <t>Untrained</t>
        </is>
      </c>
      <c r="E36" s="11">
        <f>IF(D36="","",IF(D36="Untrained",0,IF(D36="Proficient",2,IF(D36="Expert",4,6))))</f>
        <v/>
      </c>
      <c r="F36" s="11">
        <f>C36+E36</f>
        <v/>
      </c>
    </row>
    <row r="37">
      <c r="A37" s="5" t="inlineStr">
        <is>
          <t>Tactical Command</t>
        </is>
      </c>
      <c r="B37" s="13" t="inlineStr">
        <is>
          <t>TAC</t>
        </is>
      </c>
      <c r="C37" s="11">
        <f>C13</f>
        <v/>
      </c>
      <c r="D37" s="10" t="inlineStr">
        <is>
          <t>Proficient</t>
        </is>
      </c>
      <c r="E37" s="11">
        <f>IF(D37="","",IF(D37="Untrained",0,IF(D37="Proficient",2,IF(D37="Expert",4,6))))</f>
        <v/>
      </c>
      <c r="F37" s="11">
        <f>C37+E37</f>
        <v/>
      </c>
    </row>
    <row r="38">
      <c r="A38" s="5" t="inlineStr">
        <is>
          <t>System Hack</t>
        </is>
      </c>
      <c r="B38" s="13" t="inlineStr">
        <is>
          <t>ENG</t>
        </is>
      </c>
      <c r="C38" s="11">
        <f>C14</f>
        <v/>
      </c>
      <c r="D38" s="10" t="inlineStr">
        <is>
          <t>Untrained</t>
        </is>
      </c>
      <c r="E38" s="11">
        <f>IF(D38="","",IF(D38="Untrained",0,IF(D38="Proficient",2,IF(D38="Expert",4,6))))</f>
        <v/>
      </c>
      <c r="F38" s="11">
        <f>C38+E38</f>
        <v/>
      </c>
    </row>
    <row r="39">
      <c r="A39" s="5" t="inlineStr">
        <is>
          <t>Equipment Repair</t>
        </is>
      </c>
      <c r="B39" s="13" t="inlineStr">
        <is>
          <t>ENG</t>
        </is>
      </c>
      <c r="C39" s="11">
        <f>C14</f>
        <v/>
      </c>
      <c r="D39" s="10" t="inlineStr">
        <is>
          <t>Untrained</t>
        </is>
      </c>
      <c r="E39" s="11">
        <f>IF(D39="","",IF(D39="Untrained",0,IF(D39="Proficient",2,IF(D39="Expert",4,6))))</f>
        <v/>
      </c>
      <c r="F39" s="11">
        <f>C39+E39</f>
        <v/>
      </c>
    </row>
    <row r="40">
      <c r="A40" s="5" t="inlineStr">
        <is>
          <t>Electronic Warfare</t>
        </is>
      </c>
      <c r="B40" s="13" t="inlineStr">
        <is>
          <t>ENG</t>
        </is>
      </c>
      <c r="C40" s="11">
        <f>C14</f>
        <v/>
      </c>
      <c r="D40" s="10" t="inlineStr">
        <is>
          <t>Untrained</t>
        </is>
      </c>
      <c r="E40" s="11">
        <f>IF(D40="","",IF(D40="Untrained",0,IF(D40="Proficient",2,IF(D40="Expert",4,6))))</f>
        <v/>
      </c>
      <c r="F40" s="11">
        <f>C40+E40</f>
        <v/>
      </c>
    </row>
    <row r="41">
      <c r="A41" s="5" t="inlineStr">
        <is>
          <t>Vessel Engineering</t>
        </is>
      </c>
      <c r="B41" s="13" t="inlineStr">
        <is>
          <t>ENG</t>
        </is>
      </c>
      <c r="C41" s="11">
        <f>C14</f>
        <v/>
      </c>
      <c r="D41" s="10" t="inlineStr">
        <is>
          <t>Untrained</t>
        </is>
      </c>
      <c r="E41" s="11">
        <f>IF(D41="","",IF(D41="Untrained",0,IF(D41="Proficient",2,IF(D41="Expert",4,6))))</f>
        <v/>
      </c>
      <c r="F41" s="11">
        <f>C41+E41</f>
        <v/>
      </c>
    </row>
    <row r="42">
      <c r="A42" s="5" t="inlineStr">
        <is>
          <t>Zero-G Movement</t>
        </is>
      </c>
      <c r="B42" s="13" t="inlineStr">
        <is>
          <t>MOB</t>
        </is>
      </c>
      <c r="C42" s="11">
        <f>C15</f>
        <v/>
      </c>
      <c r="D42" s="10" t="inlineStr">
        <is>
          <t>Untrained</t>
        </is>
      </c>
      <c r="E42" s="11">
        <f>IF(D42="","",IF(D42="Untrained",0,IF(D42="Proficient",2,IF(D42="Expert",4,6))))</f>
        <v/>
      </c>
      <c r="F42" s="11">
        <f>C42+E42</f>
        <v/>
      </c>
    </row>
    <row r="43">
      <c r="A43" s="5" t="inlineStr">
        <is>
          <t>Evasion</t>
        </is>
      </c>
      <c r="B43" s="13" t="inlineStr">
        <is>
          <t>MOB</t>
        </is>
      </c>
      <c r="C43" s="11">
        <f>C15</f>
        <v/>
      </c>
      <c r="D43" s="10" t="inlineStr">
        <is>
          <t>Untrained</t>
        </is>
      </c>
      <c r="E43" s="11">
        <f>IF(D43="","",IF(D43="Untrained",0,IF(D43="Proficient",2,IF(D43="Expert",4,6))))</f>
        <v/>
      </c>
      <c r="F43" s="11">
        <f>C43+E43</f>
        <v/>
      </c>
    </row>
    <row r="44">
      <c r="A44" s="5" t="inlineStr">
        <is>
          <t>Stealth</t>
        </is>
      </c>
      <c r="B44" s="13" t="inlineStr">
        <is>
          <t>MOB</t>
        </is>
      </c>
      <c r="C44" s="11">
        <f>C15</f>
        <v/>
      </c>
      <c r="D44" s="10" t="inlineStr">
        <is>
          <t>Untrained</t>
        </is>
      </c>
      <c r="E44" s="11">
        <f>IF(D44="","",IF(D44="Untrained",0,IF(D44="Proficient",2,IF(D44="Expert",4,6))))</f>
        <v/>
      </c>
      <c r="F44" s="11">
        <f>C44+E44</f>
        <v/>
      </c>
    </row>
    <row r="45">
      <c r="A45" s="5" t="inlineStr">
        <is>
          <t>Jump Charge</t>
        </is>
      </c>
      <c r="B45" s="13" t="inlineStr">
        <is>
          <t>MOB</t>
        </is>
      </c>
      <c r="C45" s="11">
        <f>C15</f>
        <v/>
      </c>
      <c r="D45" s="10" t="inlineStr">
        <is>
          <t>Untrained</t>
        </is>
      </c>
      <c r="E45" s="11">
        <f>IF(D45="","",IF(D45="Untrained",0,IF(D45="Proficient",2,IF(D45="Expert",4,6))))</f>
        <v/>
      </c>
      <c r="F45" s="11">
        <f>C45+E45</f>
        <v/>
      </c>
    </row>
    <row r="46">
      <c r="A46" s="5" t="inlineStr">
        <is>
          <t>Environment Scan</t>
        </is>
      </c>
      <c r="B46" s="13" t="inlineStr">
        <is>
          <t>PER</t>
        </is>
      </c>
      <c r="C46" s="11">
        <f>C16</f>
        <v/>
      </c>
      <c r="D46" s="10" t="inlineStr">
        <is>
          <t>Untrained</t>
        </is>
      </c>
      <c r="E46" s="11">
        <f>IF(D46="","",IF(D46="Untrained",0,IF(D46="Proficient",2,IF(D46="Expert",4,6))))</f>
        <v/>
      </c>
      <c r="F46" s="11">
        <f>C46+E46</f>
        <v/>
      </c>
    </row>
    <row r="47">
      <c r="A47" s="5" t="inlineStr">
        <is>
          <t>Threat Detection</t>
        </is>
      </c>
      <c r="B47" s="13" t="inlineStr">
        <is>
          <t>PER</t>
        </is>
      </c>
      <c r="C47" s="11">
        <f>C16</f>
        <v/>
      </c>
      <c r="D47" s="10" t="inlineStr">
        <is>
          <t>Untrained</t>
        </is>
      </c>
      <c r="E47" s="11">
        <f>IF(D47="","",IF(D47="Untrained",0,IF(D47="Proficient",2,IF(D47="Expert",4,6))))</f>
        <v/>
      </c>
      <c r="F47" s="11">
        <f>C47+E47</f>
        <v/>
      </c>
    </row>
    <row r="48">
      <c r="A48" s="5" t="inlineStr">
        <is>
          <t>Tracking</t>
        </is>
      </c>
      <c r="B48" s="13" t="inlineStr">
        <is>
          <t>PER</t>
        </is>
      </c>
      <c r="C48" s="11">
        <f>C16</f>
        <v/>
      </c>
      <c r="D48" s="10" t="inlineStr">
        <is>
          <t>Untrained</t>
        </is>
      </c>
      <c r="E48" s="11">
        <f>IF(D48="","",IF(D48="Untrained",0,IF(D48="Proficient",2,IF(D48="Expert",4,6))))</f>
        <v/>
      </c>
      <c r="F48" s="11">
        <f>C48+E48</f>
        <v/>
      </c>
    </row>
    <row r="49">
      <c r="A49" s="5" t="inlineStr">
        <is>
          <t>First Strike</t>
        </is>
      </c>
      <c r="B49" s="13" t="inlineStr">
        <is>
          <t>PER</t>
        </is>
      </c>
      <c r="C49" s="11">
        <f>C16</f>
        <v/>
      </c>
      <c r="D49" s="10" t="inlineStr">
        <is>
          <t>Untrained</t>
        </is>
      </c>
      <c r="E49" s="11">
        <f>IF(D49="","",IF(D49="Untrained",0,IF(D49="Proficient",2,IF(D49="Expert",4,6))))</f>
        <v/>
      </c>
      <c r="F49" s="11">
        <f>C49+E49</f>
        <v/>
      </c>
    </row>
    <row r="50">
      <c r="A50" s="5" t="inlineStr">
        <is>
          <t>Damage Endurance</t>
        </is>
      </c>
      <c r="B50" s="13" t="inlineStr">
        <is>
          <t>RES</t>
        </is>
      </c>
      <c r="C50" s="11">
        <f>C17</f>
        <v/>
      </c>
      <c r="D50" s="10" t="inlineStr">
        <is>
          <t>Untrained</t>
        </is>
      </c>
      <c r="E50" s="11">
        <f>IF(D50="","",IF(D50="Untrained",0,IF(D50="Proficient",2,IF(D50="Expert",4,6))))</f>
        <v/>
      </c>
      <c r="F50" s="11">
        <f>C50+E50</f>
        <v/>
      </c>
    </row>
    <row r="51">
      <c r="A51" s="5" t="inlineStr">
        <is>
          <t>Willpower</t>
        </is>
      </c>
      <c r="B51" s="13" t="inlineStr">
        <is>
          <t>RES</t>
        </is>
      </c>
      <c r="C51" s="11">
        <f>C17</f>
        <v/>
      </c>
      <c r="D51" s="10" t="inlineStr">
        <is>
          <t>Untrained</t>
        </is>
      </c>
      <c r="E51" s="11">
        <f>IF(D51="","",IF(D51="Untrained",0,IF(D51="Proficient",2,IF(D51="Expert",4,6))))</f>
        <v/>
      </c>
      <c r="F51" s="11">
        <f>C51+E51</f>
        <v/>
      </c>
    </row>
    <row r="52">
      <c r="A52" s="5" t="inlineStr">
        <is>
          <t>Hypoxia Tolerance</t>
        </is>
      </c>
      <c r="B52" s="13" t="inlineStr">
        <is>
          <t>RES</t>
        </is>
      </c>
      <c r="C52" s="11">
        <f>C17</f>
        <v/>
      </c>
      <c r="D52" s="10" t="inlineStr">
        <is>
          <t>Untrained</t>
        </is>
      </c>
      <c r="E52" s="11">
        <f>IF(D52="","",IF(D52="Untrained",0,IF(D52="Proficient",2,IF(D52="Expert",4,6))))</f>
        <v/>
      </c>
      <c r="F52" s="11">
        <f>C52+E52</f>
        <v/>
      </c>
    </row>
    <row r="53">
      <c r="A53" s="5" t="inlineStr">
        <is>
          <t>Overload Limit</t>
        </is>
      </c>
      <c r="B53" s="13" t="inlineStr">
        <is>
          <t>RES</t>
        </is>
      </c>
      <c r="C53" s="11">
        <f>C17</f>
        <v/>
      </c>
      <c r="D53" s="10" t="inlineStr">
        <is>
          <t>Untrained</t>
        </is>
      </c>
      <c r="E53" s="11">
        <f>IF(D53="","",IF(D53="Untrained",0,IF(D53="Proficient",2,IF(D53="Expert",4,6))))</f>
        <v/>
      </c>
      <c r="F53" s="11">
        <f>C53+E53</f>
        <v/>
      </c>
    </row>
  </sheetData>
  <mergeCells count="12">
    <mergeCell ref="B10:D10"/>
    <mergeCell ref="B5:D5"/>
    <mergeCell ref="A19:I19"/>
    <mergeCell ref="A11:I11"/>
    <mergeCell ref="A32:I32"/>
    <mergeCell ref="B8:D8"/>
    <mergeCell ref="B4:D4"/>
    <mergeCell ref="A1:I1"/>
    <mergeCell ref="B9:D9"/>
    <mergeCell ref="A3:I3"/>
    <mergeCell ref="B7:D7"/>
    <mergeCell ref="B6:D6"/>
  </mergeCells>
  <dataValidations count="1">
    <dataValidation sqref="D34 D35 D36 D37 D38 D39 D40 D41 D42 D43 D44 D45 D46 D47 D48 D49 D50 D51 D52 D53" showDropDown="0" showInputMessage="0" showErrorMessage="0" allowBlank="1" type="list">
      <formula1>"未受訓,熟練,專家,大師"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Starship Boarding Assault TRPG — Example: Engineer_Ada</t>
        </is>
      </c>
      <c r="B1" s="7" t="n"/>
      <c r="C1" s="7" t="n"/>
      <c r="D1" s="7" t="n"/>
      <c r="E1" s="7" t="n"/>
      <c r="F1" s="7" t="n"/>
      <c r="G1" s="7" t="n"/>
      <c r="H1" s="7" t="n"/>
      <c r="I1" s="8" t="n"/>
    </row>
    <row r="2"/>
    <row r="3">
      <c r="A3" s="3" t="inlineStr">
        <is>
          <t>I. Basic Info</t>
        </is>
      </c>
      <c r="B3" s="7" t="n"/>
      <c r="C3" s="7" t="n"/>
      <c r="D3" s="7" t="n"/>
      <c r="E3" s="7" t="n"/>
      <c r="F3" s="7" t="n"/>
      <c r="G3" s="7" t="n"/>
      <c r="H3" s="7" t="n"/>
      <c r="I3" s="8" t="n"/>
    </row>
    <row r="4">
      <c r="A4" s="5" t="inlineStr">
        <is>
          <t>Name</t>
        </is>
      </c>
      <c r="B4" s="6" t="inlineStr">
        <is>
          <t>Engineer_Ada</t>
        </is>
      </c>
      <c r="C4" s="7" t="n"/>
      <c r="D4" s="8" t="n"/>
    </row>
    <row r="5">
      <c r="A5" s="5" t="inlineStr">
        <is>
          <t>Class</t>
        </is>
      </c>
      <c r="B5" s="6" t="inlineStr">
        <is>
          <t>Engineer</t>
        </is>
      </c>
      <c r="C5" s="7" t="n"/>
      <c r="D5" s="8" t="n"/>
    </row>
    <row r="6">
      <c r="A6" s="5" t="inlineStr">
        <is>
          <t>Background</t>
        </is>
      </c>
      <c r="B6" s="6" t="inlineStr">
        <is>
          <t>Colony miner</t>
        </is>
      </c>
      <c r="C6" s="7" t="n"/>
      <c r="D6" s="8" t="n"/>
    </row>
    <row r="7">
      <c r="A7" s="5" t="inlineStr">
        <is>
          <t>Level</t>
        </is>
      </c>
      <c r="B7" s="6" t="n">
        <v>1</v>
      </c>
      <c r="C7" s="7" t="n"/>
      <c r="D7" s="8" t="n"/>
    </row>
    <row r="8">
      <c r="A8" s="5" t="inlineStr">
        <is>
          <t>Reputation Tier</t>
        </is>
      </c>
      <c r="B8" s="6" t="inlineStr">
        <is>
          <t>Unknown</t>
        </is>
      </c>
      <c r="C8" s="7" t="n"/>
      <c r="D8" s="8" t="n"/>
    </row>
    <row r="9">
      <c r="A9" s="5" t="inlineStr">
        <is>
          <t>Dread Vessel</t>
        </is>
      </c>
      <c r="B9" s="6" t="inlineStr">
        <is>
          <t>Insectoid Bio-Ship</t>
        </is>
      </c>
      <c r="C9" s="7" t="n"/>
      <c r="D9" s="8" t="n"/>
    </row>
    <row r="10">
      <c r="A10" s="5" t="inlineStr">
        <is>
          <t>Dread Vessel Modifier</t>
        </is>
      </c>
      <c r="B10" s="6" t="inlineStr">
        <is>
          <t>See rulebook Step 6</t>
        </is>
      </c>
      <c r="C10" s="7" t="n"/>
      <c r="D10" s="8" t="n"/>
    </row>
    <row r="11">
      <c r="A11" s="3" t="inlineStr">
        <is>
          <t>II. Five Attributes (base 8; modifiers auto-calculated)</t>
        </is>
      </c>
      <c r="B11" s="7" t="n"/>
      <c r="C11" s="7" t="n"/>
      <c r="D11" s="7" t="n"/>
      <c r="E11" s="7" t="n"/>
      <c r="F11" s="7" t="n"/>
      <c r="G11" s="7" t="n"/>
      <c r="H11" s="7" t="n"/>
      <c r="I11" s="8" t="n"/>
    </row>
    <row r="12">
      <c r="A12" s="9" t="inlineStr">
        <is>
          <t>Attribute</t>
        </is>
      </c>
      <c r="B12" s="9" t="inlineStr">
        <is>
          <t>Attribute Value</t>
        </is>
      </c>
      <c r="C12" s="9" t="inlineStr">
        <is>
          <t>Modifier</t>
        </is>
      </c>
      <c r="D12" s="9" t="inlineStr">
        <is>
          <t>Notes</t>
        </is>
      </c>
    </row>
    <row r="13">
      <c r="A13" s="5" t="inlineStr">
        <is>
          <t>Tactics (TAC)</t>
        </is>
      </c>
      <c r="B13" s="10" t="n">
        <v>10</v>
      </c>
      <c r="C13" s="11">
        <f>INT((B13-9)/2)</f>
        <v/>
      </c>
      <c r="D13" s="12" t="inlineStr">
        <is>
          <t>Modifier = (Attr Value−9)÷2 round down</t>
        </is>
      </c>
    </row>
    <row r="14">
      <c r="A14" s="5" t="inlineStr">
        <is>
          <t>Engineering (ENG)</t>
        </is>
      </c>
      <c r="B14" s="10" t="n">
        <v>19</v>
      </c>
      <c r="C14" s="11">
        <f>INT((B14-9)/2)</f>
        <v/>
      </c>
      <c r="D14" s="12" t="inlineStr">
        <is>
          <t>Modifier = (Attr Value−9)÷2 round down</t>
        </is>
      </c>
    </row>
    <row r="15">
      <c r="A15" s="5" t="inlineStr">
        <is>
          <t>Mobility (MOB)</t>
        </is>
      </c>
      <c r="B15" s="10" t="n">
        <v>12</v>
      </c>
      <c r="C15" s="11">
        <f>INT((B15-9)/2)</f>
        <v/>
      </c>
      <c r="D15" s="12" t="inlineStr">
        <is>
          <t>Modifier = (Attr Value−9)÷2 round down</t>
        </is>
      </c>
    </row>
    <row r="16">
      <c r="A16" s="5" t="inlineStr">
        <is>
          <t>Perception (PER)</t>
        </is>
      </c>
      <c r="B16" s="10" t="n">
        <v>13</v>
      </c>
      <c r="C16" s="11">
        <f>INT((B16-9)/2)</f>
        <v/>
      </c>
      <c r="D16" s="12" t="inlineStr">
        <is>
          <t>Modifier = (Attr Value−9)÷2 round down</t>
        </is>
      </c>
    </row>
    <row r="17">
      <c r="A17" s="5" t="inlineStr">
        <is>
          <t>Resilience (RES)</t>
        </is>
      </c>
      <c r="B17" s="10" t="n">
        <v>14</v>
      </c>
      <c r="C17" s="11">
        <f>INT((B17-9)/2)</f>
        <v/>
      </c>
      <c r="D17" s="12" t="inlineStr">
        <is>
          <t>Modifier = (Attr Value−9)÷2 round down</t>
        </is>
      </c>
    </row>
    <row r="18"/>
    <row r="19">
      <c r="A19" s="3" t="inlineStr">
        <is>
          <t>III. Derived Attributes (auto-calculated; * items require input below)</t>
        </is>
      </c>
      <c r="B19" s="7" t="n"/>
      <c r="C19" s="7" t="n"/>
      <c r="D19" s="7" t="n"/>
      <c r="E19" s="7" t="n"/>
      <c r="F19" s="7" t="n"/>
      <c r="G19" s="7" t="n"/>
      <c r="H19" s="7" t="n"/>
      <c r="I19" s="8" t="n"/>
    </row>
    <row r="20">
      <c r="A20" s="9" t="inlineStr">
        <is>
          <t>Derived Attributes</t>
        </is>
      </c>
      <c r="B20" s="9" t="inlineStr">
        <is>
          <t>Calc. Value</t>
        </is>
      </c>
      <c r="C20" s="9" t="inlineStr">
        <is>
          <t>Formula / Notes</t>
        </is>
      </c>
    </row>
    <row r="21">
      <c r="A21" s="5" t="inlineStr">
        <is>
          <t>Hit Points (HP)</t>
        </is>
      </c>
      <c r="B21" s="11">
        <f>B17*2+B28</f>
        <v/>
      </c>
      <c r="C21" s="12">
        <f> RES×2 + Class Base HP(B28)</f>
        <v/>
      </c>
    </row>
    <row r="22">
      <c r="A22" s="5" t="inlineStr">
        <is>
          <t>Oxygen Reserve</t>
        </is>
      </c>
      <c r="B22" s="11">
        <f>B17*2+5</f>
        <v/>
      </c>
      <c r="C22" s="12">
        <f> RES×2 + 5 (rounds)</f>
        <v/>
      </c>
    </row>
    <row r="23">
      <c r="A23" s="5" t="inlineStr">
        <is>
          <t>Armor Integrity (ARMR)</t>
        </is>
      </c>
      <c r="B23" s="11">
        <f>INT(B17*1.5)+B29</f>
        <v/>
      </c>
      <c r="C23" s="12">
        <f> ⌊RES×1.5⌋ + Equipment Armor Bonus(B29)</f>
        <v/>
      </c>
    </row>
    <row r="24">
      <c r="A24" s="5" t="inlineStr">
        <is>
          <t>Hack Limit</t>
        </is>
      </c>
      <c r="B24" s="11">
        <f>ROUNDUP(B14*0.5,0)</f>
        <v/>
      </c>
      <c r="C24" s="12">
        <f> ⌈ENG×0.5⌉ (round up)</f>
        <v/>
      </c>
    </row>
    <row r="25">
      <c r="A25" s="5" t="inlineStr">
        <is>
          <t>Carry Capacity</t>
        </is>
      </c>
      <c r="B25" s="11">
        <f>(B13+B17)*2</f>
        <v/>
      </c>
      <c r="C25" s="12">
        <f> (TAC+RES)×2 (kg)</f>
        <v/>
      </c>
    </row>
    <row r="26">
      <c r="A26" s="5" t="inlineStr">
        <is>
          <t>Defense Class (DEF)</t>
        </is>
      </c>
      <c r="B26" s="11">
        <f>10+C15+B30</f>
        <v/>
      </c>
      <c r="C26" s="12">
        <f> 10 + Mobility Mod + Armor Bonus(B30)</f>
        <v/>
      </c>
    </row>
    <row r="27">
      <c r="A27" s="5" t="inlineStr">
        <is>
          <t>Initiative (INIT)</t>
        </is>
      </c>
      <c r="B27" s="11">
        <f>C15&amp;"+1d10"</f>
        <v/>
      </c>
      <c r="C27" s="12">
        <f> Mobility Mod + 1d10</f>
        <v/>
      </c>
    </row>
    <row r="28">
      <c r="A28" s="5" t="inlineStr">
        <is>
          <t>Class Base HP (input) *</t>
        </is>
      </c>
      <c r="B28" s="10" t="n">
        <v>8</v>
      </c>
      <c r="C28" s="12" t="inlineStr">
        <is>
          <t>Filled by player/GM per class &amp; gear</t>
        </is>
      </c>
    </row>
    <row r="29">
      <c r="A29" s="5" t="inlineStr">
        <is>
          <t>Equipment Armor Bonus (input) *</t>
        </is>
      </c>
      <c r="B29" s="10" t="n">
        <v>2</v>
      </c>
      <c r="C29" s="12" t="inlineStr">
        <is>
          <t>Filled by player/GM per class &amp; gear</t>
        </is>
      </c>
    </row>
    <row r="30">
      <c r="A30" s="5" t="inlineStr">
        <is>
          <t>Armor Bonus (input) *</t>
        </is>
      </c>
      <c r="B30" s="10" t="n">
        <v>2</v>
      </c>
      <c r="C30" s="12" t="inlineStr">
        <is>
          <t>Filled by player/GM per class &amp; gear</t>
        </is>
      </c>
    </row>
    <row r="31"/>
    <row r="32">
      <c r="A32" s="3" t="inlineStr">
        <is>
          <t>IV. Skill Proficiency (20 skills; Skill Total = Attr Mod + Proficiency Bonus)</t>
        </is>
      </c>
      <c r="B32" s="7" t="n"/>
      <c r="C32" s="7" t="n"/>
      <c r="D32" s="7" t="n"/>
      <c r="E32" s="7" t="n"/>
      <c r="F32" s="7" t="n"/>
      <c r="G32" s="7" t="n"/>
      <c r="H32" s="7" t="n"/>
      <c r="I32" s="8" t="n"/>
    </row>
    <row r="33">
      <c r="A33" s="9" t="inlineStr">
        <is>
          <t>Skill</t>
        </is>
      </c>
      <c r="B33" s="9" t="inlineStr">
        <is>
          <t>Linked Attribute</t>
        </is>
      </c>
      <c r="C33" s="9" t="inlineStr">
        <is>
          <t>Attr. Modifier</t>
        </is>
      </c>
      <c r="D33" s="9" t="inlineStr">
        <is>
          <t>Proficiency Level</t>
        </is>
      </c>
      <c r="E33" s="9" t="inlineStr">
        <is>
          <t>Proficiency Bonus</t>
        </is>
      </c>
      <c r="F33" s="9" t="inlineStr">
        <is>
          <t>Skill Total</t>
        </is>
      </c>
    </row>
    <row r="34">
      <c r="A34" s="5" t="inlineStr">
        <is>
          <t>Melee Attack</t>
        </is>
      </c>
      <c r="B34" s="13" t="inlineStr">
        <is>
          <t>TAC</t>
        </is>
      </c>
      <c r="C34" s="11">
        <f>C13</f>
        <v/>
      </c>
      <c r="D34" s="10" t="inlineStr">
        <is>
          <t>Untrained</t>
        </is>
      </c>
      <c r="E34" s="11">
        <f>IF(D34="","",IF(D34="Untrained",0,IF(D34="Proficient",2,IF(D34="Expert",4,6))))</f>
        <v/>
      </c>
      <c r="F34" s="11">
        <f>C34+E34</f>
        <v/>
      </c>
    </row>
    <row r="35">
      <c r="A35" s="5" t="inlineStr">
        <is>
          <t>Ranged Fire</t>
        </is>
      </c>
      <c r="B35" s="13" t="inlineStr">
        <is>
          <t>TAC</t>
        </is>
      </c>
      <c r="C35" s="11">
        <f>C13</f>
        <v/>
      </c>
      <c r="D35" s="10" t="inlineStr">
        <is>
          <t>Untrained</t>
        </is>
      </c>
      <c r="E35" s="11">
        <f>IF(D35="","",IF(D35="Untrained",0,IF(D35="Proficient",2,IF(D35="Expert",4,6))))</f>
        <v/>
      </c>
      <c r="F35" s="11">
        <f>C35+E35</f>
        <v/>
      </c>
    </row>
    <row r="36">
      <c r="A36" s="5" t="inlineStr">
        <is>
          <t>Demolition</t>
        </is>
      </c>
      <c r="B36" s="13" t="inlineStr">
        <is>
          <t>TAC</t>
        </is>
      </c>
      <c r="C36" s="11">
        <f>C13</f>
        <v/>
      </c>
      <c r="D36" s="10" t="inlineStr">
        <is>
          <t>Untrained</t>
        </is>
      </c>
      <c r="E36" s="11">
        <f>IF(D36="","",IF(D36="Untrained",0,IF(D36="Proficient",2,IF(D36="Expert",4,6))))</f>
        <v/>
      </c>
      <c r="F36" s="11">
        <f>C36+E36</f>
        <v/>
      </c>
    </row>
    <row r="37">
      <c r="A37" s="5" t="inlineStr">
        <is>
          <t>Tactical Command</t>
        </is>
      </c>
      <c r="B37" s="13" t="inlineStr">
        <is>
          <t>TAC</t>
        </is>
      </c>
      <c r="C37" s="11">
        <f>C13</f>
        <v/>
      </c>
      <c r="D37" s="10" t="inlineStr">
        <is>
          <t>Untrained</t>
        </is>
      </c>
      <c r="E37" s="11">
        <f>IF(D37="","",IF(D37="Untrained",0,IF(D37="Proficient",2,IF(D37="Expert",4,6))))</f>
        <v/>
      </c>
      <c r="F37" s="11">
        <f>C37+E37</f>
        <v/>
      </c>
    </row>
    <row r="38">
      <c r="A38" s="5" t="inlineStr">
        <is>
          <t>System Hack</t>
        </is>
      </c>
      <c r="B38" s="13" t="inlineStr">
        <is>
          <t>ENG</t>
        </is>
      </c>
      <c r="C38" s="11">
        <f>C14</f>
        <v/>
      </c>
      <c r="D38" s="10" t="inlineStr">
        <is>
          <t>Proficient</t>
        </is>
      </c>
      <c r="E38" s="11">
        <f>IF(D38="","",IF(D38="Untrained",0,IF(D38="Proficient",2,IF(D38="Expert",4,6))))</f>
        <v/>
      </c>
      <c r="F38" s="11">
        <f>C38+E38</f>
        <v/>
      </c>
    </row>
    <row r="39">
      <c r="A39" s="5" t="inlineStr">
        <is>
          <t>Equipment Repair</t>
        </is>
      </c>
      <c r="B39" s="13" t="inlineStr">
        <is>
          <t>ENG</t>
        </is>
      </c>
      <c r="C39" s="11">
        <f>C14</f>
        <v/>
      </c>
      <c r="D39" s="10" t="inlineStr">
        <is>
          <t>Proficient</t>
        </is>
      </c>
      <c r="E39" s="11">
        <f>IF(D39="","",IF(D39="Untrained",0,IF(D39="Proficient",2,IF(D39="Expert",4,6))))</f>
        <v/>
      </c>
      <c r="F39" s="11">
        <f>C39+E39</f>
        <v/>
      </c>
    </row>
    <row r="40">
      <c r="A40" s="5" t="inlineStr">
        <is>
          <t>Electronic Warfare</t>
        </is>
      </c>
      <c r="B40" s="13" t="inlineStr">
        <is>
          <t>ENG</t>
        </is>
      </c>
      <c r="C40" s="11">
        <f>C14</f>
        <v/>
      </c>
      <c r="D40" s="10" t="inlineStr">
        <is>
          <t>Proficient</t>
        </is>
      </c>
      <c r="E40" s="11">
        <f>IF(D40="","",IF(D40="Untrained",0,IF(D40="Proficient",2,IF(D40="Expert",4,6))))</f>
        <v/>
      </c>
      <c r="F40" s="11">
        <f>C40+E40</f>
        <v/>
      </c>
    </row>
    <row r="41">
      <c r="A41" s="5" t="inlineStr">
        <is>
          <t>Vessel Engineering</t>
        </is>
      </c>
      <c r="B41" s="13" t="inlineStr">
        <is>
          <t>ENG</t>
        </is>
      </c>
      <c r="C41" s="11">
        <f>C14</f>
        <v/>
      </c>
      <c r="D41" s="10" t="inlineStr">
        <is>
          <t>Untrained</t>
        </is>
      </c>
      <c r="E41" s="11">
        <f>IF(D41="","",IF(D41="Untrained",0,IF(D41="Proficient",2,IF(D41="Expert",4,6))))</f>
        <v/>
      </c>
      <c r="F41" s="11">
        <f>C41+E41</f>
        <v/>
      </c>
    </row>
    <row r="42">
      <c r="A42" s="5" t="inlineStr">
        <is>
          <t>Zero-G Movement</t>
        </is>
      </c>
      <c r="B42" s="13" t="inlineStr">
        <is>
          <t>MOB</t>
        </is>
      </c>
      <c r="C42" s="11">
        <f>C15</f>
        <v/>
      </c>
      <c r="D42" s="10" t="inlineStr">
        <is>
          <t>Untrained</t>
        </is>
      </c>
      <c r="E42" s="11">
        <f>IF(D42="","",IF(D42="Untrained",0,IF(D42="Proficient",2,IF(D42="Expert",4,6))))</f>
        <v/>
      </c>
      <c r="F42" s="11">
        <f>C42+E42</f>
        <v/>
      </c>
    </row>
    <row r="43">
      <c r="A43" s="5" t="inlineStr">
        <is>
          <t>Evasion</t>
        </is>
      </c>
      <c r="B43" s="13" t="inlineStr">
        <is>
          <t>MOB</t>
        </is>
      </c>
      <c r="C43" s="11">
        <f>C15</f>
        <v/>
      </c>
      <c r="D43" s="10" t="inlineStr">
        <is>
          <t>Untrained</t>
        </is>
      </c>
      <c r="E43" s="11">
        <f>IF(D43="","",IF(D43="Untrained",0,IF(D43="Proficient",2,IF(D43="Expert",4,6))))</f>
        <v/>
      </c>
      <c r="F43" s="11">
        <f>C43+E43</f>
        <v/>
      </c>
    </row>
    <row r="44">
      <c r="A44" s="5" t="inlineStr">
        <is>
          <t>Stealth</t>
        </is>
      </c>
      <c r="B44" s="13" t="inlineStr">
        <is>
          <t>MOB</t>
        </is>
      </c>
      <c r="C44" s="11">
        <f>C15</f>
        <v/>
      </c>
      <c r="D44" s="10" t="inlineStr">
        <is>
          <t>Untrained</t>
        </is>
      </c>
      <c r="E44" s="11">
        <f>IF(D44="","",IF(D44="Untrained",0,IF(D44="Proficient",2,IF(D44="Expert",4,6))))</f>
        <v/>
      </c>
      <c r="F44" s="11">
        <f>C44+E44</f>
        <v/>
      </c>
    </row>
    <row r="45">
      <c r="A45" s="5" t="inlineStr">
        <is>
          <t>Jump Charge</t>
        </is>
      </c>
      <c r="B45" s="13" t="inlineStr">
        <is>
          <t>MOB</t>
        </is>
      </c>
      <c r="C45" s="11">
        <f>C15</f>
        <v/>
      </c>
      <c r="D45" s="10" t="inlineStr">
        <is>
          <t>Untrained</t>
        </is>
      </c>
      <c r="E45" s="11">
        <f>IF(D45="","",IF(D45="Untrained",0,IF(D45="Proficient",2,IF(D45="Expert",4,6))))</f>
        <v/>
      </c>
      <c r="F45" s="11">
        <f>C45+E45</f>
        <v/>
      </c>
    </row>
    <row r="46">
      <c r="A46" s="5" t="inlineStr">
        <is>
          <t>Environment Scan</t>
        </is>
      </c>
      <c r="B46" s="13" t="inlineStr">
        <is>
          <t>PER</t>
        </is>
      </c>
      <c r="C46" s="11">
        <f>C16</f>
        <v/>
      </c>
      <c r="D46" s="10" t="inlineStr">
        <is>
          <t>Untrained</t>
        </is>
      </c>
      <c r="E46" s="11">
        <f>IF(D46="","",IF(D46="Untrained",0,IF(D46="Proficient",2,IF(D46="Expert",4,6))))</f>
        <v/>
      </c>
      <c r="F46" s="11">
        <f>C46+E46</f>
        <v/>
      </c>
    </row>
    <row r="47">
      <c r="A47" s="5" t="inlineStr">
        <is>
          <t>Threat Detection</t>
        </is>
      </c>
      <c r="B47" s="13" t="inlineStr">
        <is>
          <t>PER</t>
        </is>
      </c>
      <c r="C47" s="11">
        <f>C16</f>
        <v/>
      </c>
      <c r="D47" s="10" t="inlineStr">
        <is>
          <t>Untrained</t>
        </is>
      </c>
      <c r="E47" s="11">
        <f>IF(D47="","",IF(D47="Untrained",0,IF(D47="Proficient",2,IF(D47="Expert",4,6))))</f>
        <v/>
      </c>
      <c r="F47" s="11">
        <f>C47+E47</f>
        <v/>
      </c>
    </row>
    <row r="48">
      <c r="A48" s="5" t="inlineStr">
        <is>
          <t>Tracking</t>
        </is>
      </c>
      <c r="B48" s="13" t="inlineStr">
        <is>
          <t>PER</t>
        </is>
      </c>
      <c r="C48" s="11">
        <f>C16</f>
        <v/>
      </c>
      <c r="D48" s="10" t="inlineStr">
        <is>
          <t>Untrained</t>
        </is>
      </c>
      <c r="E48" s="11">
        <f>IF(D48="","",IF(D48="Untrained",0,IF(D48="Proficient",2,IF(D48="Expert",4,6))))</f>
        <v/>
      </c>
      <c r="F48" s="11">
        <f>C48+E48</f>
        <v/>
      </c>
    </row>
    <row r="49">
      <c r="A49" s="5" t="inlineStr">
        <is>
          <t>First Strike</t>
        </is>
      </c>
      <c r="B49" s="13" t="inlineStr">
        <is>
          <t>PER</t>
        </is>
      </c>
      <c r="C49" s="11">
        <f>C16</f>
        <v/>
      </c>
      <c r="D49" s="10" t="inlineStr">
        <is>
          <t>Untrained</t>
        </is>
      </c>
      <c r="E49" s="11">
        <f>IF(D49="","",IF(D49="Untrained",0,IF(D49="Proficient",2,IF(D49="Expert",4,6))))</f>
        <v/>
      </c>
      <c r="F49" s="11">
        <f>C49+E49</f>
        <v/>
      </c>
    </row>
    <row r="50">
      <c r="A50" s="5" t="inlineStr">
        <is>
          <t>Damage Endurance</t>
        </is>
      </c>
      <c r="B50" s="13" t="inlineStr">
        <is>
          <t>RES</t>
        </is>
      </c>
      <c r="C50" s="11">
        <f>C17</f>
        <v/>
      </c>
      <c r="D50" s="10" t="inlineStr">
        <is>
          <t>Untrained</t>
        </is>
      </c>
      <c r="E50" s="11">
        <f>IF(D50="","",IF(D50="Untrained",0,IF(D50="Proficient",2,IF(D50="Expert",4,6))))</f>
        <v/>
      </c>
      <c r="F50" s="11">
        <f>C50+E50</f>
        <v/>
      </c>
    </row>
    <row r="51">
      <c r="A51" s="5" t="inlineStr">
        <is>
          <t>Willpower</t>
        </is>
      </c>
      <c r="B51" s="13" t="inlineStr">
        <is>
          <t>RES</t>
        </is>
      </c>
      <c r="C51" s="11">
        <f>C17</f>
        <v/>
      </c>
      <c r="D51" s="10" t="inlineStr">
        <is>
          <t>Untrained</t>
        </is>
      </c>
      <c r="E51" s="11">
        <f>IF(D51="","",IF(D51="Untrained",0,IF(D51="Proficient",2,IF(D51="Expert",4,6))))</f>
        <v/>
      </c>
      <c r="F51" s="11">
        <f>C51+E51</f>
        <v/>
      </c>
    </row>
    <row r="52">
      <c r="A52" s="5" t="inlineStr">
        <is>
          <t>Hypoxia Tolerance</t>
        </is>
      </c>
      <c r="B52" s="13" t="inlineStr">
        <is>
          <t>RES</t>
        </is>
      </c>
      <c r="C52" s="11">
        <f>C17</f>
        <v/>
      </c>
      <c r="D52" s="10" t="inlineStr">
        <is>
          <t>Untrained</t>
        </is>
      </c>
      <c r="E52" s="11">
        <f>IF(D52="","",IF(D52="Untrained",0,IF(D52="Proficient",2,IF(D52="Expert",4,6))))</f>
        <v/>
      </c>
      <c r="F52" s="11">
        <f>C52+E52</f>
        <v/>
      </c>
    </row>
    <row r="53">
      <c r="A53" s="5" t="inlineStr">
        <is>
          <t>Overload Limit</t>
        </is>
      </c>
      <c r="B53" s="13" t="inlineStr">
        <is>
          <t>RES</t>
        </is>
      </c>
      <c r="C53" s="11">
        <f>C17</f>
        <v/>
      </c>
      <c r="D53" s="10" t="inlineStr">
        <is>
          <t>Untrained</t>
        </is>
      </c>
      <c r="E53" s="11">
        <f>IF(D53="","",IF(D53="Untrained",0,IF(D53="Proficient",2,IF(D53="Expert",4,6))))</f>
        <v/>
      </c>
      <c r="F53" s="11">
        <f>C53+E53</f>
        <v/>
      </c>
    </row>
  </sheetData>
  <mergeCells count="12">
    <mergeCell ref="B10:D10"/>
    <mergeCell ref="B5:D5"/>
    <mergeCell ref="A19:I19"/>
    <mergeCell ref="A11:I11"/>
    <mergeCell ref="A32:I32"/>
    <mergeCell ref="B8:D8"/>
    <mergeCell ref="B4:D4"/>
    <mergeCell ref="A1:I1"/>
    <mergeCell ref="B9:D9"/>
    <mergeCell ref="A3:I3"/>
    <mergeCell ref="B7:D7"/>
    <mergeCell ref="B6:D6"/>
  </mergeCells>
  <dataValidations count="1">
    <dataValidation sqref="D34 D35 D36 D37 D38 D39 D40 D41 D42 D43 D44 D45 D46 D47 D48 D49 D50 D51 D52 D53" showDropDown="0" showInputMessage="0" showErrorMessage="0" allowBlank="1" type="list">
      <formula1>"未受訓,熟練,專家,大師"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Starship Boarding Assault TRPG — Example: Medic_Lin</t>
        </is>
      </c>
      <c r="B1" s="7" t="n"/>
      <c r="C1" s="7" t="n"/>
      <c r="D1" s="7" t="n"/>
      <c r="E1" s="7" t="n"/>
      <c r="F1" s="7" t="n"/>
      <c r="G1" s="7" t="n"/>
      <c r="H1" s="7" t="n"/>
      <c r="I1" s="8" t="n"/>
    </row>
    <row r="2"/>
    <row r="3">
      <c r="A3" s="3" t="inlineStr">
        <is>
          <t>I. Basic Info</t>
        </is>
      </c>
      <c r="B3" s="7" t="n"/>
      <c r="C3" s="7" t="n"/>
      <c r="D3" s="7" t="n"/>
      <c r="E3" s="7" t="n"/>
      <c r="F3" s="7" t="n"/>
      <c r="G3" s="7" t="n"/>
      <c r="H3" s="7" t="n"/>
      <c r="I3" s="8" t="n"/>
    </row>
    <row r="4">
      <c r="A4" s="5" t="inlineStr">
        <is>
          <t>Name</t>
        </is>
      </c>
      <c r="B4" s="6" t="inlineStr">
        <is>
          <t>Medic_Lin</t>
        </is>
      </c>
      <c r="C4" s="7" t="n"/>
      <c r="D4" s="8" t="n"/>
    </row>
    <row r="5">
      <c r="A5" s="5" t="inlineStr">
        <is>
          <t>Class</t>
        </is>
      </c>
      <c r="B5" s="6" t="inlineStr">
        <is>
          <t>Medic</t>
        </is>
      </c>
      <c r="C5" s="7" t="n"/>
      <c r="D5" s="8" t="n"/>
    </row>
    <row r="6">
      <c r="A6" s="5" t="inlineStr">
        <is>
          <t>Background</t>
        </is>
      </c>
      <c r="B6" s="6" t="inlineStr">
        <is>
          <t>Alien survivor</t>
        </is>
      </c>
      <c r="C6" s="7" t="n"/>
      <c r="D6" s="8" t="n"/>
    </row>
    <row r="7">
      <c r="A7" s="5" t="inlineStr">
        <is>
          <t>Level</t>
        </is>
      </c>
      <c r="B7" s="6" t="n">
        <v>1</v>
      </c>
      <c r="C7" s="7" t="n"/>
      <c r="D7" s="8" t="n"/>
    </row>
    <row r="8">
      <c r="A8" s="5" t="inlineStr">
        <is>
          <t>Reputation Tier</t>
        </is>
      </c>
      <c r="B8" s="6" t="inlineStr">
        <is>
          <t>Unknown</t>
        </is>
      </c>
      <c r="C8" s="7" t="n"/>
      <c r="D8" s="8" t="n"/>
    </row>
    <row r="9">
      <c r="A9" s="5" t="inlineStr">
        <is>
          <t>Dread Vessel</t>
        </is>
      </c>
      <c r="B9" s="6" t="inlineStr">
        <is>
          <t>Silicon Crystal Ship</t>
        </is>
      </c>
      <c r="C9" s="7" t="n"/>
      <c r="D9" s="8" t="n"/>
    </row>
    <row r="10">
      <c r="A10" s="5" t="inlineStr">
        <is>
          <t>Dread Vessel Modifier</t>
        </is>
      </c>
      <c r="B10" s="6" t="inlineStr">
        <is>
          <t>See rulebook Step 6</t>
        </is>
      </c>
      <c r="C10" s="7" t="n"/>
      <c r="D10" s="8" t="n"/>
    </row>
    <row r="11">
      <c r="A11" s="3" t="inlineStr">
        <is>
          <t>II. Five Attributes (base 8; modifiers auto-calculated)</t>
        </is>
      </c>
      <c r="B11" s="7" t="n"/>
      <c r="C11" s="7" t="n"/>
      <c r="D11" s="7" t="n"/>
      <c r="E11" s="7" t="n"/>
      <c r="F11" s="7" t="n"/>
      <c r="G11" s="7" t="n"/>
      <c r="H11" s="7" t="n"/>
      <c r="I11" s="8" t="n"/>
    </row>
    <row r="12">
      <c r="A12" s="9" t="inlineStr">
        <is>
          <t>Attribute</t>
        </is>
      </c>
      <c r="B12" s="9" t="inlineStr">
        <is>
          <t>Attribute Value</t>
        </is>
      </c>
      <c r="C12" s="9" t="inlineStr">
        <is>
          <t>Modifier</t>
        </is>
      </c>
      <c r="D12" s="9" t="inlineStr">
        <is>
          <t>Notes</t>
        </is>
      </c>
    </row>
    <row r="13">
      <c r="A13" s="5" t="inlineStr">
        <is>
          <t>Tactics (TAC)</t>
        </is>
      </c>
      <c r="B13" s="10" t="n">
        <v>12</v>
      </c>
      <c r="C13" s="11">
        <f>INT((B13-9)/2)</f>
        <v/>
      </c>
      <c r="D13" s="12" t="inlineStr">
        <is>
          <t>Modifier = (Attr Value−9)÷2 round down</t>
        </is>
      </c>
    </row>
    <row r="14">
      <c r="A14" s="5" t="inlineStr">
        <is>
          <t>Engineering (ENG)</t>
        </is>
      </c>
      <c r="B14" s="10" t="n">
        <v>12</v>
      </c>
      <c r="C14" s="11">
        <f>INT((B14-9)/2)</f>
        <v/>
      </c>
      <c r="D14" s="12" t="inlineStr">
        <is>
          <t>Modifier = (Attr Value−9)÷2 round down</t>
        </is>
      </c>
    </row>
    <row r="15">
      <c r="A15" s="5" t="inlineStr">
        <is>
          <t>Mobility (MOB)</t>
        </is>
      </c>
      <c r="B15" s="10" t="n">
        <v>12</v>
      </c>
      <c r="C15" s="11">
        <f>INT((B15-9)/2)</f>
        <v/>
      </c>
      <c r="D15" s="12" t="inlineStr">
        <is>
          <t>Modifier = (Attr Value−9)÷2 round down</t>
        </is>
      </c>
    </row>
    <row r="16">
      <c r="A16" s="5" t="inlineStr">
        <is>
          <t>Perception (PER)</t>
        </is>
      </c>
      <c r="B16" s="10" t="n">
        <v>13</v>
      </c>
      <c r="C16" s="11">
        <f>INT((B16-9)/2)</f>
        <v/>
      </c>
      <c r="D16" s="12" t="inlineStr">
        <is>
          <t>Modifier = (Attr Value−9)÷2 round down</t>
        </is>
      </c>
    </row>
    <row r="17">
      <c r="A17" s="5" t="inlineStr">
        <is>
          <t>Resilience (RES)</t>
        </is>
      </c>
      <c r="B17" s="10" t="n">
        <v>19</v>
      </c>
      <c r="C17" s="11">
        <f>INT((B17-9)/2)</f>
        <v/>
      </c>
      <c r="D17" s="12" t="inlineStr">
        <is>
          <t>Modifier = (Attr Value−9)÷2 round down</t>
        </is>
      </c>
    </row>
    <row r="18"/>
    <row r="19">
      <c r="A19" s="3" t="inlineStr">
        <is>
          <t>III. Derived Attributes (auto-calculated; * items require input below)</t>
        </is>
      </c>
      <c r="B19" s="7" t="n"/>
      <c r="C19" s="7" t="n"/>
      <c r="D19" s="7" t="n"/>
      <c r="E19" s="7" t="n"/>
      <c r="F19" s="7" t="n"/>
      <c r="G19" s="7" t="n"/>
      <c r="H19" s="7" t="n"/>
      <c r="I19" s="8" t="n"/>
    </row>
    <row r="20">
      <c r="A20" s="9" t="inlineStr">
        <is>
          <t>Derived Attributes</t>
        </is>
      </c>
      <c r="B20" s="9" t="inlineStr">
        <is>
          <t>Calc. Value</t>
        </is>
      </c>
      <c r="C20" s="9" t="inlineStr">
        <is>
          <t>Formula / Notes</t>
        </is>
      </c>
    </row>
    <row r="21">
      <c r="A21" s="5" t="inlineStr">
        <is>
          <t>Hit Points (HP)</t>
        </is>
      </c>
      <c r="B21" s="11">
        <f>B17*2+B28</f>
        <v/>
      </c>
      <c r="C21" s="12">
        <f> RES×2 + Class Base HP(B28)</f>
        <v/>
      </c>
    </row>
    <row r="22">
      <c r="A22" s="5" t="inlineStr">
        <is>
          <t>Oxygen Reserve</t>
        </is>
      </c>
      <c r="B22" s="11">
        <f>B17*2+5</f>
        <v/>
      </c>
      <c r="C22" s="12">
        <f> RES×2 + 5 (rounds)</f>
        <v/>
      </c>
    </row>
    <row r="23">
      <c r="A23" s="5" t="inlineStr">
        <is>
          <t>Armor Integrity (ARMR)</t>
        </is>
      </c>
      <c r="B23" s="11">
        <f>INT(B17*1.5)+B29</f>
        <v/>
      </c>
      <c r="C23" s="12">
        <f> ⌊RES×1.5⌋ + Equipment Armor Bonus(B29)</f>
        <v/>
      </c>
    </row>
    <row r="24">
      <c r="A24" s="5" t="inlineStr">
        <is>
          <t>Hack Limit</t>
        </is>
      </c>
      <c r="B24" s="11">
        <f>ROUNDUP(B14*0.5,0)</f>
        <v/>
      </c>
      <c r="C24" s="12">
        <f> ⌈ENG×0.5⌉ (round up)</f>
        <v/>
      </c>
    </row>
    <row r="25">
      <c r="A25" s="5" t="inlineStr">
        <is>
          <t>Carry Capacity</t>
        </is>
      </c>
      <c r="B25" s="11">
        <f>(B13+B17)*2</f>
        <v/>
      </c>
      <c r="C25" s="12">
        <f> (TAC+RES)×2 (kg)</f>
        <v/>
      </c>
    </row>
    <row r="26">
      <c r="A26" s="5" t="inlineStr">
        <is>
          <t>Defense Class (DEF)</t>
        </is>
      </c>
      <c r="B26" s="11">
        <f>10+C15+B30</f>
        <v/>
      </c>
      <c r="C26" s="12">
        <f> 10 + Mobility Mod + Armor Bonus(B30)</f>
        <v/>
      </c>
    </row>
    <row r="27">
      <c r="A27" s="5" t="inlineStr">
        <is>
          <t>Initiative (INIT)</t>
        </is>
      </c>
      <c r="B27" s="11">
        <f>C15&amp;"+1d10"</f>
        <v/>
      </c>
      <c r="C27" s="12">
        <f> Mobility Mod + 1d10</f>
        <v/>
      </c>
    </row>
    <row r="28">
      <c r="A28" s="5" t="inlineStr">
        <is>
          <t>Class Base HP (input) *</t>
        </is>
      </c>
      <c r="B28" s="10" t="n">
        <v>10</v>
      </c>
      <c r="C28" s="12" t="inlineStr">
        <is>
          <t>Filled by player/GM per class &amp; gear</t>
        </is>
      </c>
    </row>
    <row r="29">
      <c r="A29" s="5" t="inlineStr">
        <is>
          <t>Equipment Armor Bonus (input) *</t>
        </is>
      </c>
      <c r="B29" s="10" t="n">
        <v>2</v>
      </c>
      <c r="C29" s="12" t="inlineStr">
        <is>
          <t>Filled by player/GM per class &amp; gear</t>
        </is>
      </c>
    </row>
    <row r="30">
      <c r="A30" s="5" t="inlineStr">
        <is>
          <t>Armor Bonus (input) *</t>
        </is>
      </c>
      <c r="B30" s="10" t="n">
        <v>2</v>
      </c>
      <c r="C30" s="12" t="inlineStr">
        <is>
          <t>Filled by player/GM per class &amp; gear</t>
        </is>
      </c>
    </row>
    <row r="31"/>
    <row r="32">
      <c r="A32" s="3" t="inlineStr">
        <is>
          <t>IV. Skill Proficiency (20 skills; Skill Total = Attr Mod + Proficiency Bonus)</t>
        </is>
      </c>
      <c r="B32" s="7" t="n"/>
      <c r="C32" s="7" t="n"/>
      <c r="D32" s="7" t="n"/>
      <c r="E32" s="7" t="n"/>
      <c r="F32" s="7" t="n"/>
      <c r="G32" s="7" t="n"/>
      <c r="H32" s="7" t="n"/>
      <c r="I32" s="8" t="n"/>
    </row>
    <row r="33">
      <c r="A33" s="9" t="inlineStr">
        <is>
          <t>Skill</t>
        </is>
      </c>
      <c r="B33" s="9" t="inlineStr">
        <is>
          <t>Linked Attribute</t>
        </is>
      </c>
      <c r="C33" s="9" t="inlineStr">
        <is>
          <t>Attr. Modifier</t>
        </is>
      </c>
      <c r="D33" s="9" t="inlineStr">
        <is>
          <t>Proficiency Level</t>
        </is>
      </c>
      <c r="E33" s="9" t="inlineStr">
        <is>
          <t>Proficiency Bonus</t>
        </is>
      </c>
      <c r="F33" s="9" t="inlineStr">
        <is>
          <t>Skill Total</t>
        </is>
      </c>
    </row>
    <row r="34">
      <c r="A34" s="5" t="inlineStr">
        <is>
          <t>Melee Attack</t>
        </is>
      </c>
      <c r="B34" s="13" t="inlineStr">
        <is>
          <t>TAC</t>
        </is>
      </c>
      <c r="C34" s="11">
        <f>C13</f>
        <v/>
      </c>
      <c r="D34" s="10" t="inlineStr">
        <is>
          <t>Untrained</t>
        </is>
      </c>
      <c r="E34" s="11">
        <f>IF(D34="","",IF(D34="Untrained",0,IF(D34="Proficient",2,IF(D34="Expert",4,6))))</f>
        <v/>
      </c>
      <c r="F34" s="11">
        <f>C34+E34</f>
        <v/>
      </c>
    </row>
    <row r="35">
      <c r="A35" s="5" t="inlineStr">
        <is>
          <t>Ranged Fire</t>
        </is>
      </c>
      <c r="B35" s="13" t="inlineStr">
        <is>
          <t>TAC</t>
        </is>
      </c>
      <c r="C35" s="11">
        <f>C13</f>
        <v/>
      </c>
      <c r="D35" s="10" t="inlineStr">
        <is>
          <t>Untrained</t>
        </is>
      </c>
      <c r="E35" s="11">
        <f>IF(D35="","",IF(D35="Untrained",0,IF(D35="Proficient",2,IF(D35="Expert",4,6))))</f>
        <v/>
      </c>
      <c r="F35" s="11">
        <f>C35+E35</f>
        <v/>
      </c>
    </row>
    <row r="36">
      <c r="A36" s="5" t="inlineStr">
        <is>
          <t>Demolition</t>
        </is>
      </c>
      <c r="B36" s="13" t="inlineStr">
        <is>
          <t>TAC</t>
        </is>
      </c>
      <c r="C36" s="11">
        <f>C13</f>
        <v/>
      </c>
      <c r="D36" s="10" t="inlineStr">
        <is>
          <t>Untrained</t>
        </is>
      </c>
      <c r="E36" s="11">
        <f>IF(D36="","",IF(D36="Untrained",0,IF(D36="Proficient",2,IF(D36="Expert",4,6))))</f>
        <v/>
      </c>
      <c r="F36" s="11">
        <f>C36+E36</f>
        <v/>
      </c>
    </row>
    <row r="37">
      <c r="A37" s="5" t="inlineStr">
        <is>
          <t>Tactical Command</t>
        </is>
      </c>
      <c r="B37" s="13" t="inlineStr">
        <is>
          <t>TAC</t>
        </is>
      </c>
      <c r="C37" s="11">
        <f>C13</f>
        <v/>
      </c>
      <c r="D37" s="10" t="inlineStr">
        <is>
          <t>Untrained</t>
        </is>
      </c>
      <c r="E37" s="11">
        <f>IF(D37="","",IF(D37="Untrained",0,IF(D37="Proficient",2,IF(D37="Expert",4,6))))</f>
        <v/>
      </c>
      <c r="F37" s="11">
        <f>C37+E37</f>
        <v/>
      </c>
    </row>
    <row r="38">
      <c r="A38" s="5" t="inlineStr">
        <is>
          <t>System Hack</t>
        </is>
      </c>
      <c r="B38" s="13" t="inlineStr">
        <is>
          <t>ENG</t>
        </is>
      </c>
      <c r="C38" s="11">
        <f>C14</f>
        <v/>
      </c>
      <c r="D38" s="10" t="inlineStr">
        <is>
          <t>Untrained</t>
        </is>
      </c>
      <c r="E38" s="11">
        <f>IF(D38="","",IF(D38="Untrained",0,IF(D38="Proficient",2,IF(D38="Expert",4,6))))</f>
        <v/>
      </c>
      <c r="F38" s="11">
        <f>C38+E38</f>
        <v/>
      </c>
    </row>
    <row r="39">
      <c r="A39" s="5" t="inlineStr">
        <is>
          <t>Equipment Repair</t>
        </is>
      </c>
      <c r="B39" s="13" t="inlineStr">
        <is>
          <t>ENG</t>
        </is>
      </c>
      <c r="C39" s="11">
        <f>C14</f>
        <v/>
      </c>
      <c r="D39" s="10" t="inlineStr">
        <is>
          <t>Untrained</t>
        </is>
      </c>
      <c r="E39" s="11">
        <f>IF(D39="","",IF(D39="Untrained",0,IF(D39="Proficient",2,IF(D39="Expert",4,6))))</f>
        <v/>
      </c>
      <c r="F39" s="11">
        <f>C39+E39</f>
        <v/>
      </c>
    </row>
    <row r="40">
      <c r="A40" s="5" t="inlineStr">
        <is>
          <t>Electronic Warfare</t>
        </is>
      </c>
      <c r="B40" s="13" t="inlineStr">
        <is>
          <t>ENG</t>
        </is>
      </c>
      <c r="C40" s="11">
        <f>C14</f>
        <v/>
      </c>
      <c r="D40" s="10" t="inlineStr">
        <is>
          <t>Untrained</t>
        </is>
      </c>
      <c r="E40" s="11">
        <f>IF(D40="","",IF(D40="Untrained",0,IF(D40="Proficient",2,IF(D40="Expert",4,6))))</f>
        <v/>
      </c>
      <c r="F40" s="11">
        <f>C40+E40</f>
        <v/>
      </c>
    </row>
    <row r="41">
      <c r="A41" s="5" t="inlineStr">
        <is>
          <t>Vessel Engineering</t>
        </is>
      </c>
      <c r="B41" s="13" t="inlineStr">
        <is>
          <t>ENG</t>
        </is>
      </c>
      <c r="C41" s="11">
        <f>C14</f>
        <v/>
      </c>
      <c r="D41" s="10" t="inlineStr">
        <is>
          <t>Untrained</t>
        </is>
      </c>
      <c r="E41" s="11">
        <f>IF(D41="","",IF(D41="Untrained",0,IF(D41="Proficient",2,IF(D41="Expert",4,6))))</f>
        <v/>
      </c>
      <c r="F41" s="11">
        <f>C41+E41</f>
        <v/>
      </c>
    </row>
    <row r="42">
      <c r="A42" s="5" t="inlineStr">
        <is>
          <t>Zero-G Movement</t>
        </is>
      </c>
      <c r="B42" s="13" t="inlineStr">
        <is>
          <t>MOB</t>
        </is>
      </c>
      <c r="C42" s="11">
        <f>C15</f>
        <v/>
      </c>
      <c r="D42" s="10" t="inlineStr">
        <is>
          <t>Untrained</t>
        </is>
      </c>
      <c r="E42" s="11">
        <f>IF(D42="","",IF(D42="Untrained",0,IF(D42="Proficient",2,IF(D42="Expert",4,6))))</f>
        <v/>
      </c>
      <c r="F42" s="11">
        <f>C42+E42</f>
        <v/>
      </c>
    </row>
    <row r="43">
      <c r="A43" s="5" t="inlineStr">
        <is>
          <t>Evasion</t>
        </is>
      </c>
      <c r="B43" s="13" t="inlineStr">
        <is>
          <t>MOB</t>
        </is>
      </c>
      <c r="C43" s="11">
        <f>C15</f>
        <v/>
      </c>
      <c r="D43" s="10" t="inlineStr">
        <is>
          <t>Untrained</t>
        </is>
      </c>
      <c r="E43" s="11">
        <f>IF(D43="","",IF(D43="Untrained",0,IF(D43="Proficient",2,IF(D43="Expert",4,6))))</f>
        <v/>
      </c>
      <c r="F43" s="11">
        <f>C43+E43</f>
        <v/>
      </c>
    </row>
    <row r="44">
      <c r="A44" s="5" t="inlineStr">
        <is>
          <t>Stealth</t>
        </is>
      </c>
      <c r="B44" s="13" t="inlineStr">
        <is>
          <t>MOB</t>
        </is>
      </c>
      <c r="C44" s="11">
        <f>C15</f>
        <v/>
      </c>
      <c r="D44" s="10" t="inlineStr">
        <is>
          <t>Untrained</t>
        </is>
      </c>
      <c r="E44" s="11">
        <f>IF(D44="","",IF(D44="Untrained",0,IF(D44="Proficient",2,IF(D44="Expert",4,6))))</f>
        <v/>
      </c>
      <c r="F44" s="11">
        <f>C44+E44</f>
        <v/>
      </c>
    </row>
    <row r="45">
      <c r="A45" s="5" t="inlineStr">
        <is>
          <t>Jump Charge</t>
        </is>
      </c>
      <c r="B45" s="13" t="inlineStr">
        <is>
          <t>MOB</t>
        </is>
      </c>
      <c r="C45" s="11">
        <f>C15</f>
        <v/>
      </c>
      <c r="D45" s="10" t="inlineStr">
        <is>
          <t>Untrained</t>
        </is>
      </c>
      <c r="E45" s="11">
        <f>IF(D45="","",IF(D45="Untrained",0,IF(D45="Proficient",2,IF(D45="Expert",4,6))))</f>
        <v/>
      </c>
      <c r="F45" s="11">
        <f>C45+E45</f>
        <v/>
      </c>
    </row>
    <row r="46">
      <c r="A46" s="5" t="inlineStr">
        <is>
          <t>Environment Scan</t>
        </is>
      </c>
      <c r="B46" s="13" t="inlineStr">
        <is>
          <t>PER</t>
        </is>
      </c>
      <c r="C46" s="11">
        <f>C16</f>
        <v/>
      </c>
      <c r="D46" s="10" t="inlineStr">
        <is>
          <t>Untrained</t>
        </is>
      </c>
      <c r="E46" s="11">
        <f>IF(D46="","",IF(D46="Untrained",0,IF(D46="Proficient",2,IF(D46="Expert",4,6))))</f>
        <v/>
      </c>
      <c r="F46" s="11">
        <f>C46+E46</f>
        <v/>
      </c>
    </row>
    <row r="47">
      <c r="A47" s="5" t="inlineStr">
        <is>
          <t>Threat Detection</t>
        </is>
      </c>
      <c r="B47" s="13" t="inlineStr">
        <is>
          <t>PER</t>
        </is>
      </c>
      <c r="C47" s="11">
        <f>C16</f>
        <v/>
      </c>
      <c r="D47" s="10" t="inlineStr">
        <is>
          <t>Untrained</t>
        </is>
      </c>
      <c r="E47" s="11">
        <f>IF(D47="","",IF(D47="Untrained",0,IF(D47="Proficient",2,IF(D47="Expert",4,6))))</f>
        <v/>
      </c>
      <c r="F47" s="11">
        <f>C47+E47</f>
        <v/>
      </c>
    </row>
    <row r="48">
      <c r="A48" s="5" t="inlineStr">
        <is>
          <t>Tracking</t>
        </is>
      </c>
      <c r="B48" s="13" t="inlineStr">
        <is>
          <t>PER</t>
        </is>
      </c>
      <c r="C48" s="11">
        <f>C16</f>
        <v/>
      </c>
      <c r="D48" s="10" t="inlineStr">
        <is>
          <t>Untrained</t>
        </is>
      </c>
      <c r="E48" s="11">
        <f>IF(D48="","",IF(D48="Untrained",0,IF(D48="Proficient",2,IF(D48="Expert",4,6))))</f>
        <v/>
      </c>
      <c r="F48" s="11">
        <f>C48+E48</f>
        <v/>
      </c>
    </row>
    <row r="49">
      <c r="A49" s="5" t="inlineStr">
        <is>
          <t>First Strike</t>
        </is>
      </c>
      <c r="B49" s="13" t="inlineStr">
        <is>
          <t>PER</t>
        </is>
      </c>
      <c r="C49" s="11">
        <f>C16</f>
        <v/>
      </c>
      <c r="D49" s="10" t="inlineStr">
        <is>
          <t>Untrained</t>
        </is>
      </c>
      <c r="E49" s="11">
        <f>IF(D49="","",IF(D49="Untrained",0,IF(D49="Proficient",2,IF(D49="Expert",4,6))))</f>
        <v/>
      </c>
      <c r="F49" s="11">
        <f>C49+E49</f>
        <v/>
      </c>
    </row>
    <row r="50">
      <c r="A50" s="5" t="inlineStr">
        <is>
          <t>Damage Endurance</t>
        </is>
      </c>
      <c r="B50" s="13" t="inlineStr">
        <is>
          <t>RES</t>
        </is>
      </c>
      <c r="C50" s="11">
        <f>C17</f>
        <v/>
      </c>
      <c r="D50" s="10" t="inlineStr">
        <is>
          <t>Proficient</t>
        </is>
      </c>
      <c r="E50" s="11">
        <f>IF(D50="","",IF(D50="Untrained",0,IF(D50="Proficient",2,IF(D50="Expert",4,6))))</f>
        <v/>
      </c>
      <c r="F50" s="11">
        <f>C50+E50</f>
        <v/>
      </c>
    </row>
    <row r="51">
      <c r="A51" s="5" t="inlineStr">
        <is>
          <t>Willpower</t>
        </is>
      </c>
      <c r="B51" s="13" t="inlineStr">
        <is>
          <t>RES</t>
        </is>
      </c>
      <c r="C51" s="11">
        <f>C17</f>
        <v/>
      </c>
      <c r="D51" s="10" t="inlineStr">
        <is>
          <t>Proficient</t>
        </is>
      </c>
      <c r="E51" s="11">
        <f>IF(D51="","",IF(D51="Untrained",0,IF(D51="Proficient",2,IF(D51="Expert",4,6))))</f>
        <v/>
      </c>
      <c r="F51" s="11">
        <f>C51+E51</f>
        <v/>
      </c>
    </row>
    <row r="52">
      <c r="A52" s="5" t="inlineStr">
        <is>
          <t>Hypoxia Tolerance</t>
        </is>
      </c>
      <c r="B52" s="13" t="inlineStr">
        <is>
          <t>RES</t>
        </is>
      </c>
      <c r="C52" s="11">
        <f>C17</f>
        <v/>
      </c>
      <c r="D52" s="10" t="inlineStr">
        <is>
          <t>Proficient</t>
        </is>
      </c>
      <c r="E52" s="11">
        <f>IF(D52="","",IF(D52="Untrained",0,IF(D52="Proficient",2,IF(D52="Expert",4,6))))</f>
        <v/>
      </c>
      <c r="F52" s="11">
        <f>C52+E52</f>
        <v/>
      </c>
    </row>
    <row r="53">
      <c r="A53" s="5" t="inlineStr">
        <is>
          <t>Overload Limit</t>
        </is>
      </c>
      <c r="B53" s="13" t="inlineStr">
        <is>
          <t>RES</t>
        </is>
      </c>
      <c r="C53" s="11">
        <f>C17</f>
        <v/>
      </c>
      <c r="D53" s="10" t="inlineStr">
        <is>
          <t>Untrained</t>
        </is>
      </c>
      <c r="E53" s="11">
        <f>IF(D53="","",IF(D53="Untrained",0,IF(D53="Proficient",2,IF(D53="Expert",4,6))))</f>
        <v/>
      </c>
      <c r="F53" s="11">
        <f>C53+E53</f>
        <v/>
      </c>
    </row>
  </sheetData>
  <mergeCells count="12">
    <mergeCell ref="B10:D10"/>
    <mergeCell ref="B5:D5"/>
    <mergeCell ref="A19:I19"/>
    <mergeCell ref="A11:I11"/>
    <mergeCell ref="A32:I32"/>
    <mergeCell ref="B8:D8"/>
    <mergeCell ref="B4:D4"/>
    <mergeCell ref="A1:I1"/>
    <mergeCell ref="B9:D9"/>
    <mergeCell ref="A3:I3"/>
    <mergeCell ref="B7:D7"/>
    <mergeCell ref="B6:D6"/>
  </mergeCells>
  <dataValidations count="1">
    <dataValidation sqref="D34 D35 D36 D37 D38 D39 D40 D41 D42 D43 D44 D45 D46 D47 D48 D49 D50 D51 D52 D53" showDropDown="0" showInputMessage="0" showErrorMessage="0" allowBlank="1" type="list">
      <formula1>"未受訓,熟練,專家,大師"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Starship Boarding Assault TRPG — Example: Scout_Ghost</t>
        </is>
      </c>
      <c r="B1" s="7" t="n"/>
      <c r="C1" s="7" t="n"/>
      <c r="D1" s="7" t="n"/>
      <c r="E1" s="7" t="n"/>
      <c r="F1" s="7" t="n"/>
      <c r="G1" s="7" t="n"/>
      <c r="H1" s="7" t="n"/>
      <c r="I1" s="8" t="n"/>
    </row>
    <row r="2"/>
    <row r="3">
      <c r="A3" s="3" t="inlineStr">
        <is>
          <t>I. Basic Info</t>
        </is>
      </c>
      <c r="B3" s="7" t="n"/>
      <c r="C3" s="7" t="n"/>
      <c r="D3" s="7" t="n"/>
      <c r="E3" s="7" t="n"/>
      <c r="F3" s="7" t="n"/>
      <c r="G3" s="7" t="n"/>
      <c r="H3" s="7" t="n"/>
      <c r="I3" s="8" t="n"/>
    </row>
    <row r="4">
      <c r="A4" s="5" t="inlineStr">
        <is>
          <t>Name</t>
        </is>
      </c>
      <c r="B4" s="6" t="inlineStr">
        <is>
          <t>Scout_Ghost</t>
        </is>
      </c>
      <c r="C4" s="7" t="n"/>
      <c r="D4" s="8" t="n"/>
    </row>
    <row r="5">
      <c r="A5" s="5" t="inlineStr">
        <is>
          <t>Class</t>
        </is>
      </c>
      <c r="B5" s="6" t="inlineStr">
        <is>
          <t>Scout</t>
        </is>
      </c>
      <c r="C5" s="7" t="n"/>
      <c r="D5" s="8" t="n"/>
    </row>
    <row r="6">
      <c r="A6" s="5" t="inlineStr">
        <is>
          <t>Background</t>
        </is>
      </c>
      <c r="B6" s="6" t="inlineStr">
        <is>
          <t>Colony police</t>
        </is>
      </c>
      <c r="C6" s="7" t="n"/>
      <c r="D6" s="8" t="n"/>
    </row>
    <row r="7">
      <c r="A7" s="5" t="inlineStr">
        <is>
          <t>Level</t>
        </is>
      </c>
      <c r="B7" s="6" t="n">
        <v>1</v>
      </c>
      <c r="C7" s="7" t="n"/>
      <c r="D7" s="8" t="n"/>
    </row>
    <row r="8">
      <c r="A8" s="5" t="inlineStr">
        <is>
          <t>Reputation Tier</t>
        </is>
      </c>
      <c r="B8" s="6" t="inlineStr">
        <is>
          <t>Unknown</t>
        </is>
      </c>
      <c r="C8" s="7" t="n"/>
      <c r="D8" s="8" t="n"/>
    </row>
    <row r="9">
      <c r="A9" s="5" t="inlineStr">
        <is>
          <t>Dread Vessel</t>
        </is>
      </c>
      <c r="B9" s="6" t="inlineStr">
        <is>
          <t>Energy Being Ship</t>
        </is>
      </c>
      <c r="C9" s="7" t="n"/>
      <c r="D9" s="8" t="n"/>
    </row>
    <row r="10">
      <c r="A10" s="5" t="inlineStr">
        <is>
          <t>Dread Vessel Modifier</t>
        </is>
      </c>
      <c r="B10" s="6" t="inlineStr">
        <is>
          <t>See rulebook Step 6</t>
        </is>
      </c>
      <c r="C10" s="7" t="n"/>
      <c r="D10" s="8" t="n"/>
    </row>
    <row r="11">
      <c r="A11" s="3" t="inlineStr">
        <is>
          <t>II. Five Attributes (base 8; modifiers auto-calculated)</t>
        </is>
      </c>
      <c r="B11" s="7" t="n"/>
      <c r="C11" s="7" t="n"/>
      <c r="D11" s="7" t="n"/>
      <c r="E11" s="7" t="n"/>
      <c r="F11" s="7" t="n"/>
      <c r="G11" s="7" t="n"/>
      <c r="H11" s="7" t="n"/>
      <c r="I11" s="8" t="n"/>
    </row>
    <row r="12">
      <c r="A12" s="9" t="inlineStr">
        <is>
          <t>Attribute</t>
        </is>
      </c>
      <c r="B12" s="9" t="inlineStr">
        <is>
          <t>Attribute Value</t>
        </is>
      </c>
      <c r="C12" s="9" t="inlineStr">
        <is>
          <t>Modifier</t>
        </is>
      </c>
      <c r="D12" s="9" t="inlineStr">
        <is>
          <t>Notes</t>
        </is>
      </c>
    </row>
    <row r="13">
      <c r="A13" s="5" t="inlineStr">
        <is>
          <t>Tactics (TAC)</t>
        </is>
      </c>
      <c r="B13" s="10" t="n">
        <v>12</v>
      </c>
      <c r="C13" s="11">
        <f>INT((B13-9)/2)</f>
        <v/>
      </c>
      <c r="D13" s="12" t="inlineStr">
        <is>
          <t>Modifier = (Attr Value−9)÷2 round down</t>
        </is>
      </c>
    </row>
    <row r="14">
      <c r="A14" s="5" t="inlineStr">
        <is>
          <t>Engineering (ENG)</t>
        </is>
      </c>
      <c r="B14" s="10" t="n">
        <v>12</v>
      </c>
      <c r="C14" s="11">
        <f>INT((B14-9)/2)</f>
        <v/>
      </c>
      <c r="D14" s="12" t="inlineStr">
        <is>
          <t>Modifier = (Attr Value−9)÷2 round down</t>
        </is>
      </c>
    </row>
    <row r="15">
      <c r="A15" s="5" t="inlineStr">
        <is>
          <t>Mobility (MOB)</t>
        </is>
      </c>
      <c r="B15" s="10" t="n">
        <v>16</v>
      </c>
      <c r="C15" s="11">
        <f>INT((B15-9)/2)</f>
        <v/>
      </c>
      <c r="D15" s="12" t="inlineStr">
        <is>
          <t>Modifier = (Attr Value−9)÷2 round down</t>
        </is>
      </c>
    </row>
    <row r="16">
      <c r="A16" s="5" t="inlineStr">
        <is>
          <t>Perception (PER)</t>
        </is>
      </c>
      <c r="B16" s="10" t="n">
        <v>17</v>
      </c>
      <c r="C16" s="11">
        <f>INT((B16-9)/2)</f>
        <v/>
      </c>
      <c r="D16" s="12" t="inlineStr">
        <is>
          <t>Modifier = (Attr Value−9)÷2 round down</t>
        </is>
      </c>
    </row>
    <row r="17">
      <c r="A17" s="5" t="inlineStr">
        <is>
          <t>Resilience (RES)</t>
        </is>
      </c>
      <c r="B17" s="10" t="n">
        <v>11</v>
      </c>
      <c r="C17" s="11">
        <f>INT((B17-9)/2)</f>
        <v/>
      </c>
      <c r="D17" s="12" t="inlineStr">
        <is>
          <t>Modifier = (Attr Value−9)÷2 round down</t>
        </is>
      </c>
    </row>
    <row r="18"/>
    <row r="19">
      <c r="A19" s="3" t="inlineStr">
        <is>
          <t>III. Derived Attributes (auto-calculated; * items require input below)</t>
        </is>
      </c>
      <c r="B19" s="7" t="n"/>
      <c r="C19" s="7" t="n"/>
      <c r="D19" s="7" t="n"/>
      <c r="E19" s="7" t="n"/>
      <c r="F19" s="7" t="n"/>
      <c r="G19" s="7" t="n"/>
      <c r="H19" s="7" t="n"/>
      <c r="I19" s="8" t="n"/>
    </row>
    <row r="20">
      <c r="A20" s="9" t="inlineStr">
        <is>
          <t>Derived Attributes</t>
        </is>
      </c>
      <c r="B20" s="9" t="inlineStr">
        <is>
          <t>Calc. Value</t>
        </is>
      </c>
      <c r="C20" s="9" t="inlineStr">
        <is>
          <t>Formula / Notes</t>
        </is>
      </c>
    </row>
    <row r="21">
      <c r="A21" s="5" t="inlineStr">
        <is>
          <t>Hit Points (HP)</t>
        </is>
      </c>
      <c r="B21" s="11">
        <f>B17*2+B28</f>
        <v/>
      </c>
      <c r="C21" s="12">
        <f> RES×2 + Class Base HP(B28)</f>
        <v/>
      </c>
    </row>
    <row r="22">
      <c r="A22" s="5" t="inlineStr">
        <is>
          <t>Oxygen Reserve</t>
        </is>
      </c>
      <c r="B22" s="11">
        <f>B17*2+5</f>
        <v/>
      </c>
      <c r="C22" s="12">
        <f> RES×2 + 5 (rounds)</f>
        <v/>
      </c>
    </row>
    <row r="23">
      <c r="A23" s="5" t="inlineStr">
        <is>
          <t>Armor Integrity (ARMR)</t>
        </is>
      </c>
      <c r="B23" s="11">
        <f>INT(B17*1.5)+B29</f>
        <v/>
      </c>
      <c r="C23" s="12">
        <f> ⌊RES×1.5⌋ + Equipment Armor Bonus(B29)</f>
        <v/>
      </c>
    </row>
    <row r="24">
      <c r="A24" s="5" t="inlineStr">
        <is>
          <t>Hack Limit</t>
        </is>
      </c>
      <c r="B24" s="11">
        <f>ROUNDUP(B14*0.5,0)</f>
        <v/>
      </c>
      <c r="C24" s="12">
        <f> ⌈ENG×0.5⌉ (round up)</f>
        <v/>
      </c>
    </row>
    <row r="25">
      <c r="A25" s="5" t="inlineStr">
        <is>
          <t>Carry Capacity</t>
        </is>
      </c>
      <c r="B25" s="11">
        <f>(B13+B17)*2</f>
        <v/>
      </c>
      <c r="C25" s="12">
        <f> (TAC+RES)×2 (kg)</f>
        <v/>
      </c>
    </row>
    <row r="26">
      <c r="A26" s="5" t="inlineStr">
        <is>
          <t>Defense Class (DEF)</t>
        </is>
      </c>
      <c r="B26" s="11">
        <f>10+C15+B30</f>
        <v/>
      </c>
      <c r="C26" s="12">
        <f> 10 + Mobility Mod + Armor Bonus(B30)</f>
        <v/>
      </c>
    </row>
    <row r="27">
      <c r="A27" s="5" t="inlineStr">
        <is>
          <t>Initiative (INIT)</t>
        </is>
      </c>
      <c r="B27" s="11">
        <f>C15&amp;"+1d10"</f>
        <v/>
      </c>
      <c r="C27" s="12">
        <f> Mobility Mod + 1d10</f>
        <v/>
      </c>
    </row>
    <row r="28">
      <c r="A28" s="5" t="inlineStr">
        <is>
          <t>Class Base HP (input) *</t>
        </is>
      </c>
      <c r="B28" s="10" t="n">
        <v>8</v>
      </c>
      <c r="C28" s="12" t="inlineStr">
        <is>
          <t>Filled by player/GM per class &amp; gear</t>
        </is>
      </c>
    </row>
    <row r="29">
      <c r="A29" s="5" t="inlineStr">
        <is>
          <t>Equipment Armor Bonus (input) *</t>
        </is>
      </c>
      <c r="B29" s="10" t="n">
        <v>2</v>
      </c>
      <c r="C29" s="12" t="inlineStr">
        <is>
          <t>Filled by player/GM per class &amp; gear</t>
        </is>
      </c>
    </row>
    <row r="30">
      <c r="A30" s="5" t="inlineStr">
        <is>
          <t>Armor Bonus (input) *</t>
        </is>
      </c>
      <c r="B30" s="10" t="n">
        <v>2</v>
      </c>
      <c r="C30" s="12" t="inlineStr">
        <is>
          <t>Filled by player/GM per class &amp; gear</t>
        </is>
      </c>
    </row>
    <row r="31"/>
    <row r="32">
      <c r="A32" s="3" t="inlineStr">
        <is>
          <t>IV. Skill Proficiency (20 skills; Skill Total = Attr Mod + Proficiency Bonus)</t>
        </is>
      </c>
      <c r="B32" s="7" t="n"/>
      <c r="C32" s="7" t="n"/>
      <c r="D32" s="7" t="n"/>
      <c r="E32" s="7" t="n"/>
      <c r="F32" s="7" t="n"/>
      <c r="G32" s="7" t="n"/>
      <c r="H32" s="7" t="n"/>
      <c r="I32" s="8" t="n"/>
    </row>
    <row r="33">
      <c r="A33" s="9" t="inlineStr">
        <is>
          <t>Skill</t>
        </is>
      </c>
      <c r="B33" s="9" t="inlineStr">
        <is>
          <t>Linked Attribute</t>
        </is>
      </c>
      <c r="C33" s="9" t="inlineStr">
        <is>
          <t>Attr. Modifier</t>
        </is>
      </c>
      <c r="D33" s="9" t="inlineStr">
        <is>
          <t>Proficiency Level</t>
        </is>
      </c>
      <c r="E33" s="9" t="inlineStr">
        <is>
          <t>Proficiency Bonus</t>
        </is>
      </c>
      <c r="F33" s="9" t="inlineStr">
        <is>
          <t>Skill Total</t>
        </is>
      </c>
    </row>
    <row r="34">
      <c r="A34" s="5" t="inlineStr">
        <is>
          <t>Melee Attack</t>
        </is>
      </c>
      <c r="B34" s="13" t="inlineStr">
        <is>
          <t>TAC</t>
        </is>
      </c>
      <c r="C34" s="11">
        <f>C13</f>
        <v/>
      </c>
      <c r="D34" s="10" t="inlineStr">
        <is>
          <t>Untrained</t>
        </is>
      </c>
      <c r="E34" s="11">
        <f>IF(D34="","",IF(D34="Untrained",0,IF(D34="Proficient",2,IF(D34="Expert",4,6))))</f>
        <v/>
      </c>
      <c r="F34" s="11">
        <f>C34+E34</f>
        <v/>
      </c>
    </row>
    <row r="35">
      <c r="A35" s="5" t="inlineStr">
        <is>
          <t>Ranged Fire</t>
        </is>
      </c>
      <c r="B35" s="13" t="inlineStr">
        <is>
          <t>TAC</t>
        </is>
      </c>
      <c r="C35" s="11">
        <f>C13</f>
        <v/>
      </c>
      <c r="D35" s="10" t="inlineStr">
        <is>
          <t>Untrained</t>
        </is>
      </c>
      <c r="E35" s="11">
        <f>IF(D35="","",IF(D35="Untrained",0,IF(D35="Proficient",2,IF(D35="Expert",4,6))))</f>
        <v/>
      </c>
      <c r="F35" s="11">
        <f>C35+E35</f>
        <v/>
      </c>
    </row>
    <row r="36">
      <c r="A36" s="5" t="inlineStr">
        <is>
          <t>Demolition</t>
        </is>
      </c>
      <c r="B36" s="13" t="inlineStr">
        <is>
          <t>TAC</t>
        </is>
      </c>
      <c r="C36" s="11">
        <f>C13</f>
        <v/>
      </c>
      <c r="D36" s="10" t="inlineStr">
        <is>
          <t>Untrained</t>
        </is>
      </c>
      <c r="E36" s="11">
        <f>IF(D36="","",IF(D36="Untrained",0,IF(D36="Proficient",2,IF(D36="Expert",4,6))))</f>
        <v/>
      </c>
      <c r="F36" s="11">
        <f>C36+E36</f>
        <v/>
      </c>
    </row>
    <row r="37">
      <c r="A37" s="5" t="inlineStr">
        <is>
          <t>Tactical Command</t>
        </is>
      </c>
      <c r="B37" s="13" t="inlineStr">
        <is>
          <t>TAC</t>
        </is>
      </c>
      <c r="C37" s="11">
        <f>C13</f>
        <v/>
      </c>
      <c r="D37" s="10" t="inlineStr">
        <is>
          <t>Untrained</t>
        </is>
      </c>
      <c r="E37" s="11">
        <f>IF(D37="","",IF(D37="Untrained",0,IF(D37="Proficient",2,IF(D37="Expert",4,6))))</f>
        <v/>
      </c>
      <c r="F37" s="11">
        <f>C37+E37</f>
        <v/>
      </c>
    </row>
    <row r="38">
      <c r="A38" s="5" t="inlineStr">
        <is>
          <t>System Hack</t>
        </is>
      </c>
      <c r="B38" s="13" t="inlineStr">
        <is>
          <t>ENG</t>
        </is>
      </c>
      <c r="C38" s="11">
        <f>C14</f>
        <v/>
      </c>
      <c r="D38" s="10" t="inlineStr">
        <is>
          <t>Untrained</t>
        </is>
      </c>
      <c r="E38" s="11">
        <f>IF(D38="","",IF(D38="Untrained",0,IF(D38="Proficient",2,IF(D38="Expert",4,6))))</f>
        <v/>
      </c>
      <c r="F38" s="11">
        <f>C38+E38</f>
        <v/>
      </c>
    </row>
    <row r="39">
      <c r="A39" s="5" t="inlineStr">
        <is>
          <t>Equipment Repair</t>
        </is>
      </c>
      <c r="B39" s="13" t="inlineStr">
        <is>
          <t>ENG</t>
        </is>
      </c>
      <c r="C39" s="11">
        <f>C14</f>
        <v/>
      </c>
      <c r="D39" s="10" t="inlineStr">
        <is>
          <t>Untrained</t>
        </is>
      </c>
      <c r="E39" s="11">
        <f>IF(D39="","",IF(D39="Untrained",0,IF(D39="Proficient",2,IF(D39="Expert",4,6))))</f>
        <v/>
      </c>
      <c r="F39" s="11">
        <f>C39+E39</f>
        <v/>
      </c>
    </row>
    <row r="40">
      <c r="A40" s="5" t="inlineStr">
        <is>
          <t>Electronic Warfare</t>
        </is>
      </c>
      <c r="B40" s="13" t="inlineStr">
        <is>
          <t>ENG</t>
        </is>
      </c>
      <c r="C40" s="11">
        <f>C14</f>
        <v/>
      </c>
      <c r="D40" s="10" t="inlineStr">
        <is>
          <t>Untrained</t>
        </is>
      </c>
      <c r="E40" s="11">
        <f>IF(D40="","",IF(D40="Untrained",0,IF(D40="Proficient",2,IF(D40="Expert",4,6))))</f>
        <v/>
      </c>
      <c r="F40" s="11">
        <f>C40+E40</f>
        <v/>
      </c>
    </row>
    <row r="41">
      <c r="A41" s="5" t="inlineStr">
        <is>
          <t>Vessel Engineering</t>
        </is>
      </c>
      <c r="B41" s="13" t="inlineStr">
        <is>
          <t>ENG</t>
        </is>
      </c>
      <c r="C41" s="11">
        <f>C14</f>
        <v/>
      </c>
      <c r="D41" s="10" t="inlineStr">
        <is>
          <t>Untrained</t>
        </is>
      </c>
      <c r="E41" s="11">
        <f>IF(D41="","",IF(D41="Untrained",0,IF(D41="Proficient",2,IF(D41="Expert",4,6))))</f>
        <v/>
      </c>
      <c r="F41" s="11">
        <f>C41+E41</f>
        <v/>
      </c>
    </row>
    <row r="42">
      <c r="A42" s="5" t="inlineStr">
        <is>
          <t>Zero-G Movement</t>
        </is>
      </c>
      <c r="B42" s="13" t="inlineStr">
        <is>
          <t>MOB</t>
        </is>
      </c>
      <c r="C42" s="11">
        <f>C15</f>
        <v/>
      </c>
      <c r="D42" s="10" t="inlineStr">
        <is>
          <t>Untrained</t>
        </is>
      </c>
      <c r="E42" s="11">
        <f>IF(D42="","",IF(D42="Untrained",0,IF(D42="Proficient",2,IF(D42="Expert",4,6))))</f>
        <v/>
      </c>
      <c r="F42" s="11">
        <f>C42+E42</f>
        <v/>
      </c>
    </row>
    <row r="43">
      <c r="A43" s="5" t="inlineStr">
        <is>
          <t>Evasion</t>
        </is>
      </c>
      <c r="B43" s="13" t="inlineStr">
        <is>
          <t>MOB</t>
        </is>
      </c>
      <c r="C43" s="11">
        <f>C15</f>
        <v/>
      </c>
      <c r="D43" s="10" t="inlineStr">
        <is>
          <t>Untrained</t>
        </is>
      </c>
      <c r="E43" s="11">
        <f>IF(D43="","",IF(D43="Untrained",0,IF(D43="Proficient",2,IF(D43="Expert",4,6))))</f>
        <v/>
      </c>
      <c r="F43" s="11">
        <f>C43+E43</f>
        <v/>
      </c>
    </row>
    <row r="44">
      <c r="A44" s="5" t="inlineStr">
        <is>
          <t>Stealth</t>
        </is>
      </c>
      <c r="B44" s="13" t="inlineStr">
        <is>
          <t>MOB</t>
        </is>
      </c>
      <c r="C44" s="11">
        <f>C15</f>
        <v/>
      </c>
      <c r="D44" s="10" t="inlineStr">
        <is>
          <t>Untrained</t>
        </is>
      </c>
      <c r="E44" s="11">
        <f>IF(D44="","",IF(D44="Untrained",0,IF(D44="Proficient",2,IF(D44="Expert",4,6))))</f>
        <v/>
      </c>
      <c r="F44" s="11">
        <f>C44+E44</f>
        <v/>
      </c>
    </row>
    <row r="45">
      <c r="A45" s="5" t="inlineStr">
        <is>
          <t>Jump Charge</t>
        </is>
      </c>
      <c r="B45" s="13" t="inlineStr">
        <is>
          <t>MOB</t>
        </is>
      </c>
      <c r="C45" s="11">
        <f>C15</f>
        <v/>
      </c>
      <c r="D45" s="10" t="inlineStr">
        <is>
          <t>Untrained</t>
        </is>
      </c>
      <c r="E45" s="11">
        <f>IF(D45="","",IF(D45="Untrained",0,IF(D45="Proficient",2,IF(D45="Expert",4,6))))</f>
        <v/>
      </c>
      <c r="F45" s="11">
        <f>C45+E45</f>
        <v/>
      </c>
    </row>
    <row r="46">
      <c r="A46" s="5" t="inlineStr">
        <is>
          <t>Environment Scan</t>
        </is>
      </c>
      <c r="B46" s="13" t="inlineStr">
        <is>
          <t>PER</t>
        </is>
      </c>
      <c r="C46" s="11">
        <f>C16</f>
        <v/>
      </c>
      <c r="D46" s="10" t="inlineStr">
        <is>
          <t>Proficient</t>
        </is>
      </c>
      <c r="E46" s="11">
        <f>IF(D46="","",IF(D46="Untrained",0,IF(D46="Proficient",2,IF(D46="Expert",4,6))))</f>
        <v/>
      </c>
      <c r="F46" s="11">
        <f>C46+E46</f>
        <v/>
      </c>
    </row>
    <row r="47">
      <c r="A47" s="5" t="inlineStr">
        <is>
          <t>Threat Detection</t>
        </is>
      </c>
      <c r="B47" s="13" t="inlineStr">
        <is>
          <t>PER</t>
        </is>
      </c>
      <c r="C47" s="11">
        <f>C16</f>
        <v/>
      </c>
      <c r="D47" s="10" t="inlineStr">
        <is>
          <t>Proficient</t>
        </is>
      </c>
      <c r="E47" s="11">
        <f>IF(D47="","",IF(D47="Untrained",0,IF(D47="Proficient",2,IF(D47="Expert",4,6))))</f>
        <v/>
      </c>
      <c r="F47" s="11">
        <f>C47+E47</f>
        <v/>
      </c>
    </row>
    <row r="48">
      <c r="A48" s="5" t="inlineStr">
        <is>
          <t>Tracking</t>
        </is>
      </c>
      <c r="B48" s="13" t="inlineStr">
        <is>
          <t>PER</t>
        </is>
      </c>
      <c r="C48" s="11">
        <f>C16</f>
        <v/>
      </c>
      <c r="D48" s="10" t="inlineStr">
        <is>
          <t>Proficient</t>
        </is>
      </c>
      <c r="E48" s="11">
        <f>IF(D48="","",IF(D48="Untrained",0,IF(D48="Proficient",2,IF(D48="Expert",4,6))))</f>
        <v/>
      </c>
      <c r="F48" s="11">
        <f>C48+E48</f>
        <v/>
      </c>
    </row>
    <row r="49">
      <c r="A49" s="5" t="inlineStr">
        <is>
          <t>First Strike</t>
        </is>
      </c>
      <c r="B49" s="13" t="inlineStr">
        <is>
          <t>PER</t>
        </is>
      </c>
      <c r="C49" s="11">
        <f>C16</f>
        <v/>
      </c>
      <c r="D49" s="10" t="inlineStr">
        <is>
          <t>Untrained</t>
        </is>
      </c>
      <c r="E49" s="11">
        <f>IF(D49="","",IF(D49="Untrained",0,IF(D49="Proficient",2,IF(D49="Expert",4,6))))</f>
        <v/>
      </c>
      <c r="F49" s="11">
        <f>C49+E49</f>
        <v/>
      </c>
    </row>
    <row r="50">
      <c r="A50" s="5" t="inlineStr">
        <is>
          <t>Damage Endurance</t>
        </is>
      </c>
      <c r="B50" s="13" t="inlineStr">
        <is>
          <t>RES</t>
        </is>
      </c>
      <c r="C50" s="11">
        <f>C17</f>
        <v/>
      </c>
      <c r="D50" s="10" t="inlineStr">
        <is>
          <t>Untrained</t>
        </is>
      </c>
      <c r="E50" s="11">
        <f>IF(D50="","",IF(D50="Untrained",0,IF(D50="Proficient",2,IF(D50="Expert",4,6))))</f>
        <v/>
      </c>
      <c r="F50" s="11">
        <f>C50+E50</f>
        <v/>
      </c>
    </row>
    <row r="51">
      <c r="A51" s="5" t="inlineStr">
        <is>
          <t>Willpower</t>
        </is>
      </c>
      <c r="B51" s="13" t="inlineStr">
        <is>
          <t>RES</t>
        </is>
      </c>
      <c r="C51" s="11">
        <f>C17</f>
        <v/>
      </c>
      <c r="D51" s="10" t="inlineStr">
        <is>
          <t>Untrained</t>
        </is>
      </c>
      <c r="E51" s="11">
        <f>IF(D51="","",IF(D51="Untrained",0,IF(D51="Proficient",2,IF(D51="Expert",4,6))))</f>
        <v/>
      </c>
      <c r="F51" s="11">
        <f>C51+E51</f>
        <v/>
      </c>
    </row>
    <row r="52">
      <c r="A52" s="5" t="inlineStr">
        <is>
          <t>Hypoxia Tolerance</t>
        </is>
      </c>
      <c r="B52" s="13" t="inlineStr">
        <is>
          <t>RES</t>
        </is>
      </c>
      <c r="C52" s="11">
        <f>C17</f>
        <v/>
      </c>
      <c r="D52" s="10" t="inlineStr">
        <is>
          <t>Untrained</t>
        </is>
      </c>
      <c r="E52" s="11">
        <f>IF(D52="","",IF(D52="Untrained",0,IF(D52="Proficient",2,IF(D52="Expert",4,6))))</f>
        <v/>
      </c>
      <c r="F52" s="11">
        <f>C52+E52</f>
        <v/>
      </c>
    </row>
    <row r="53">
      <c r="A53" s="5" t="inlineStr">
        <is>
          <t>Overload Limit</t>
        </is>
      </c>
      <c r="B53" s="13" t="inlineStr">
        <is>
          <t>RES</t>
        </is>
      </c>
      <c r="C53" s="11">
        <f>C17</f>
        <v/>
      </c>
      <c r="D53" s="10" t="inlineStr">
        <is>
          <t>Untrained</t>
        </is>
      </c>
      <c r="E53" s="11">
        <f>IF(D53="","",IF(D53="Untrained",0,IF(D53="Proficient",2,IF(D53="Expert",4,6))))</f>
        <v/>
      </c>
      <c r="F53" s="11">
        <f>C53+E53</f>
        <v/>
      </c>
    </row>
  </sheetData>
  <mergeCells count="12">
    <mergeCell ref="B10:D10"/>
    <mergeCell ref="B5:D5"/>
    <mergeCell ref="A19:I19"/>
    <mergeCell ref="A11:I11"/>
    <mergeCell ref="A32:I32"/>
    <mergeCell ref="B8:D8"/>
    <mergeCell ref="B4:D4"/>
    <mergeCell ref="A1:I1"/>
    <mergeCell ref="B9:D9"/>
    <mergeCell ref="A3:I3"/>
    <mergeCell ref="B7:D7"/>
    <mergeCell ref="B6:D6"/>
  </mergeCells>
  <dataValidations count="1">
    <dataValidation sqref="D34 D35 D36 D37 D38 D39 D40 D41 D42 D43 D44 D45 D46 D47 D48 D49 D50 D51 D52 D53" showDropDown="0" showInputMessage="0" showErrorMessage="0" allowBlank="1" type="list">
      <formula1>"未受訓,熟練,專家,大師"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Starship Boarding Assault TRPG — Example: Heavy_Gunner_Bastion</t>
        </is>
      </c>
      <c r="B1" s="7" t="n"/>
      <c r="C1" s="7" t="n"/>
      <c r="D1" s="7" t="n"/>
      <c r="E1" s="7" t="n"/>
      <c r="F1" s="7" t="n"/>
      <c r="G1" s="7" t="n"/>
      <c r="H1" s="7" t="n"/>
      <c r="I1" s="8" t="n"/>
    </row>
    <row r="2"/>
    <row r="3">
      <c r="A3" s="3" t="inlineStr">
        <is>
          <t>I. Basic Info</t>
        </is>
      </c>
      <c r="B3" s="7" t="n"/>
      <c r="C3" s="7" t="n"/>
      <c r="D3" s="7" t="n"/>
      <c r="E3" s="7" t="n"/>
      <c r="F3" s="7" t="n"/>
      <c r="G3" s="7" t="n"/>
      <c r="H3" s="7" t="n"/>
      <c r="I3" s="8" t="n"/>
    </row>
    <row r="4">
      <c r="A4" s="5" t="inlineStr">
        <is>
          <t>Name</t>
        </is>
      </c>
      <c r="B4" s="6" t="inlineStr">
        <is>
          <t>Heavy_Gunner_Bastion</t>
        </is>
      </c>
      <c r="C4" s="7" t="n"/>
      <c r="D4" s="8" t="n"/>
    </row>
    <row r="5">
      <c r="A5" s="5" t="inlineStr">
        <is>
          <t>Class</t>
        </is>
      </c>
      <c r="B5" s="6" t="inlineStr">
        <is>
          <t>Heavy Gunner</t>
        </is>
      </c>
      <c r="C5" s="7" t="n"/>
      <c r="D5" s="8" t="n"/>
    </row>
    <row r="6">
      <c r="A6" s="5" t="inlineStr">
        <is>
          <t>Background</t>
        </is>
      </c>
      <c r="B6" s="6" t="inlineStr">
        <is>
          <t>Merchant-ship escort</t>
        </is>
      </c>
      <c r="C6" s="7" t="n"/>
      <c r="D6" s="8" t="n"/>
    </row>
    <row r="7">
      <c r="A7" s="5" t="inlineStr">
        <is>
          <t>Level</t>
        </is>
      </c>
      <c r="B7" s="6" t="n">
        <v>1</v>
      </c>
      <c r="C7" s="7" t="n"/>
      <c r="D7" s="8" t="n"/>
    </row>
    <row r="8">
      <c r="A8" s="5" t="inlineStr">
        <is>
          <t>Reputation Tier</t>
        </is>
      </c>
      <c r="B8" s="6" t="inlineStr">
        <is>
          <t>Unknown</t>
        </is>
      </c>
      <c r="C8" s="7" t="n"/>
      <c r="D8" s="8" t="n"/>
    </row>
    <row r="9">
      <c r="A9" s="5" t="inlineStr">
        <is>
          <t>Dread Vessel</t>
        </is>
      </c>
      <c r="B9" s="6" t="inlineStr">
        <is>
          <t>Interstellar Derelict</t>
        </is>
      </c>
      <c r="C9" s="7" t="n"/>
      <c r="D9" s="8" t="n"/>
    </row>
    <row r="10">
      <c r="A10" s="5" t="inlineStr">
        <is>
          <t>Dread Vessel Modifier</t>
        </is>
      </c>
      <c r="B10" s="6" t="inlineStr">
        <is>
          <t>See rulebook Step 6</t>
        </is>
      </c>
      <c r="C10" s="7" t="n"/>
      <c r="D10" s="8" t="n"/>
    </row>
    <row r="11">
      <c r="A11" s="3" t="inlineStr">
        <is>
          <t>II. Five Attributes (base 8; modifiers auto-calculated)</t>
        </is>
      </c>
      <c r="B11" s="7" t="n"/>
      <c r="C11" s="7" t="n"/>
      <c r="D11" s="7" t="n"/>
      <c r="E11" s="7" t="n"/>
      <c r="F11" s="7" t="n"/>
      <c r="G11" s="7" t="n"/>
      <c r="H11" s="7" t="n"/>
      <c r="I11" s="8" t="n"/>
    </row>
    <row r="12">
      <c r="A12" s="9" t="inlineStr">
        <is>
          <t>Attribute</t>
        </is>
      </c>
      <c r="B12" s="9" t="inlineStr">
        <is>
          <t>Attribute Value</t>
        </is>
      </c>
      <c r="C12" s="9" t="inlineStr">
        <is>
          <t>Modifier</t>
        </is>
      </c>
      <c r="D12" s="9" t="inlineStr">
        <is>
          <t>Notes</t>
        </is>
      </c>
    </row>
    <row r="13">
      <c r="A13" s="5" t="inlineStr">
        <is>
          <t>Tactics (TAC)</t>
        </is>
      </c>
      <c r="B13" s="10" t="n">
        <v>18</v>
      </c>
      <c r="C13" s="11">
        <f>INT((B13-9)/2)</f>
        <v/>
      </c>
      <c r="D13" s="12" t="inlineStr">
        <is>
          <t>Modifier = (Attr Value−9)÷2 round down</t>
        </is>
      </c>
    </row>
    <row r="14">
      <c r="A14" s="5" t="inlineStr">
        <is>
          <t>Engineering (ENG)</t>
        </is>
      </c>
      <c r="B14" s="10" t="n">
        <v>10</v>
      </c>
      <c r="C14" s="11">
        <f>INT((B14-9)/2)</f>
        <v/>
      </c>
      <c r="D14" s="12" t="inlineStr">
        <is>
          <t>Modifier = (Attr Value−9)÷2 round down</t>
        </is>
      </c>
    </row>
    <row r="15">
      <c r="A15" s="5" t="inlineStr">
        <is>
          <t>Mobility (MOB)</t>
        </is>
      </c>
      <c r="B15" s="10" t="n">
        <v>13</v>
      </c>
      <c r="C15" s="11">
        <f>INT((B15-9)/2)</f>
        <v/>
      </c>
      <c r="D15" s="12" t="inlineStr">
        <is>
          <t>Modifier = (Attr Value−9)÷2 round down</t>
        </is>
      </c>
    </row>
    <row r="16">
      <c r="A16" s="5" t="inlineStr">
        <is>
          <t>Perception (PER)</t>
        </is>
      </c>
      <c r="B16" s="10" t="n">
        <v>13</v>
      </c>
      <c r="C16" s="11">
        <f>INT((B16-9)/2)</f>
        <v/>
      </c>
      <c r="D16" s="12" t="inlineStr">
        <is>
          <t>Modifier = (Attr Value−9)÷2 round down</t>
        </is>
      </c>
    </row>
    <row r="17">
      <c r="A17" s="5" t="inlineStr">
        <is>
          <t>Resilience (RES)</t>
        </is>
      </c>
      <c r="B17" s="10" t="n">
        <v>14</v>
      </c>
      <c r="C17" s="11">
        <f>INT((B17-9)/2)</f>
        <v/>
      </c>
      <c r="D17" s="12" t="inlineStr">
        <is>
          <t>Modifier = (Attr Value−9)÷2 round down</t>
        </is>
      </c>
    </row>
    <row r="18"/>
    <row r="19">
      <c r="A19" s="3" t="inlineStr">
        <is>
          <t>III. Derived Attributes (auto-calculated; * items require input below)</t>
        </is>
      </c>
      <c r="B19" s="7" t="n"/>
      <c r="C19" s="7" t="n"/>
      <c r="D19" s="7" t="n"/>
      <c r="E19" s="7" t="n"/>
      <c r="F19" s="7" t="n"/>
      <c r="G19" s="7" t="n"/>
      <c r="H19" s="7" t="n"/>
      <c r="I19" s="8" t="n"/>
    </row>
    <row r="20">
      <c r="A20" s="9" t="inlineStr">
        <is>
          <t>Derived Attributes</t>
        </is>
      </c>
      <c r="B20" s="9" t="inlineStr">
        <is>
          <t>Calc. Value</t>
        </is>
      </c>
      <c r="C20" s="9" t="inlineStr">
        <is>
          <t>Formula / Notes</t>
        </is>
      </c>
    </row>
    <row r="21">
      <c r="A21" s="5" t="inlineStr">
        <is>
          <t>Hit Points (HP)</t>
        </is>
      </c>
      <c r="B21" s="11">
        <f>B17*2+B28</f>
        <v/>
      </c>
      <c r="C21" s="12">
        <f> RES×2 + Class Base HP(B28)</f>
        <v/>
      </c>
    </row>
    <row r="22">
      <c r="A22" s="5" t="inlineStr">
        <is>
          <t>Oxygen Reserve</t>
        </is>
      </c>
      <c r="B22" s="11">
        <f>B17*2+5</f>
        <v/>
      </c>
      <c r="C22" s="12">
        <f> RES×2 + 5 (rounds)</f>
        <v/>
      </c>
    </row>
    <row r="23">
      <c r="A23" s="5" t="inlineStr">
        <is>
          <t>Armor Integrity (ARMR)</t>
        </is>
      </c>
      <c r="B23" s="11">
        <f>INT(B17*1.5)+B29</f>
        <v/>
      </c>
      <c r="C23" s="12">
        <f> ⌊RES×1.5⌋ + Equipment Armor Bonus(B29)</f>
        <v/>
      </c>
    </row>
    <row r="24">
      <c r="A24" s="5" t="inlineStr">
        <is>
          <t>Hack Limit</t>
        </is>
      </c>
      <c r="B24" s="11">
        <f>ROUNDUP(B14*0.5,0)</f>
        <v/>
      </c>
      <c r="C24" s="12">
        <f> ⌈ENG×0.5⌉ (round up)</f>
        <v/>
      </c>
    </row>
    <row r="25">
      <c r="A25" s="5" t="inlineStr">
        <is>
          <t>Carry Capacity</t>
        </is>
      </c>
      <c r="B25" s="11">
        <f>(B13+B17)*2</f>
        <v/>
      </c>
      <c r="C25" s="12">
        <f> (TAC+RES)×2 (kg)</f>
        <v/>
      </c>
    </row>
    <row r="26">
      <c r="A26" s="5" t="inlineStr">
        <is>
          <t>Defense Class (DEF)</t>
        </is>
      </c>
      <c r="B26" s="11">
        <f>10+C15+B30</f>
        <v/>
      </c>
      <c r="C26" s="12">
        <f> 10 + Mobility Mod + Armor Bonus(B30)</f>
        <v/>
      </c>
    </row>
    <row r="27">
      <c r="A27" s="5" t="inlineStr">
        <is>
          <t>Initiative (INIT)</t>
        </is>
      </c>
      <c r="B27" s="11">
        <f>C15&amp;"+1d10"</f>
        <v/>
      </c>
      <c r="C27" s="12">
        <f> Mobility Mod + 1d10</f>
        <v/>
      </c>
    </row>
    <row r="28">
      <c r="A28" s="5" t="inlineStr">
        <is>
          <t>Class Base HP (input) *</t>
        </is>
      </c>
      <c r="B28" s="10" t="n">
        <v>14</v>
      </c>
      <c r="C28" s="12" t="inlineStr">
        <is>
          <t>Filled by player/GM per class &amp; gear</t>
        </is>
      </c>
    </row>
    <row r="29">
      <c r="A29" s="5" t="inlineStr">
        <is>
          <t>Equipment Armor Bonus (input) *</t>
        </is>
      </c>
      <c r="B29" s="10" t="n">
        <v>6</v>
      </c>
      <c r="C29" s="12" t="inlineStr">
        <is>
          <t>Filled by player/GM per class &amp; gear</t>
        </is>
      </c>
    </row>
    <row r="30">
      <c r="A30" s="5" t="inlineStr">
        <is>
          <t>Armor Bonus (input) *</t>
        </is>
      </c>
      <c r="B30" s="10" t="n">
        <v>6</v>
      </c>
      <c r="C30" s="12" t="inlineStr">
        <is>
          <t>Filled by player/GM per class &amp; gear</t>
        </is>
      </c>
    </row>
    <row r="31"/>
    <row r="32">
      <c r="A32" s="3" t="inlineStr">
        <is>
          <t>IV. Skill Proficiency (20 skills; Skill Total = Attr Mod + Proficiency Bonus)</t>
        </is>
      </c>
      <c r="B32" s="7" t="n"/>
      <c r="C32" s="7" t="n"/>
      <c r="D32" s="7" t="n"/>
      <c r="E32" s="7" t="n"/>
      <c r="F32" s="7" t="n"/>
      <c r="G32" s="7" t="n"/>
      <c r="H32" s="7" t="n"/>
      <c r="I32" s="8" t="n"/>
    </row>
    <row r="33">
      <c r="A33" s="9" t="inlineStr">
        <is>
          <t>Skill</t>
        </is>
      </c>
      <c r="B33" s="9" t="inlineStr">
        <is>
          <t>Linked Attribute</t>
        </is>
      </c>
      <c r="C33" s="9" t="inlineStr">
        <is>
          <t>Attr. Modifier</t>
        </is>
      </c>
      <c r="D33" s="9" t="inlineStr">
        <is>
          <t>Proficiency Level</t>
        </is>
      </c>
      <c r="E33" s="9" t="inlineStr">
        <is>
          <t>Proficiency Bonus</t>
        </is>
      </c>
      <c r="F33" s="9" t="inlineStr">
        <is>
          <t>Skill Total</t>
        </is>
      </c>
    </row>
    <row r="34">
      <c r="A34" s="5" t="inlineStr">
        <is>
          <t>Melee Attack</t>
        </is>
      </c>
      <c r="B34" s="13" t="inlineStr">
        <is>
          <t>TAC</t>
        </is>
      </c>
      <c r="C34" s="11">
        <f>C13</f>
        <v/>
      </c>
      <c r="D34" s="10" t="inlineStr">
        <is>
          <t>Untrained</t>
        </is>
      </c>
      <c r="E34" s="11">
        <f>IF(D34="","",IF(D34="Untrained",0,IF(D34="Proficient",2,IF(D34="Expert",4,6))))</f>
        <v/>
      </c>
      <c r="F34" s="11">
        <f>C34+E34</f>
        <v/>
      </c>
    </row>
    <row r="35">
      <c r="A35" s="5" t="inlineStr">
        <is>
          <t>Ranged Fire</t>
        </is>
      </c>
      <c r="B35" s="13" t="inlineStr">
        <is>
          <t>TAC</t>
        </is>
      </c>
      <c r="C35" s="11">
        <f>C13</f>
        <v/>
      </c>
      <c r="D35" s="10" t="inlineStr">
        <is>
          <t>Proficient</t>
        </is>
      </c>
      <c r="E35" s="11">
        <f>IF(D35="","",IF(D35="Untrained",0,IF(D35="Proficient",2,IF(D35="Expert",4,6))))</f>
        <v/>
      </c>
      <c r="F35" s="11">
        <f>C35+E35</f>
        <v/>
      </c>
    </row>
    <row r="36">
      <c r="A36" s="5" t="inlineStr">
        <is>
          <t>Demolition</t>
        </is>
      </c>
      <c r="B36" s="13" t="inlineStr">
        <is>
          <t>TAC</t>
        </is>
      </c>
      <c r="C36" s="11">
        <f>C13</f>
        <v/>
      </c>
      <c r="D36" s="10" t="inlineStr">
        <is>
          <t>Proficient</t>
        </is>
      </c>
      <c r="E36" s="11">
        <f>IF(D36="","",IF(D36="Untrained",0,IF(D36="Proficient",2,IF(D36="Expert",4,6))))</f>
        <v/>
      </c>
      <c r="F36" s="11">
        <f>C36+E36</f>
        <v/>
      </c>
    </row>
    <row r="37">
      <c r="A37" s="5" t="inlineStr">
        <is>
          <t>Tactical Command</t>
        </is>
      </c>
      <c r="B37" s="13" t="inlineStr">
        <is>
          <t>TAC</t>
        </is>
      </c>
      <c r="C37" s="11">
        <f>C13</f>
        <v/>
      </c>
      <c r="D37" s="10" t="inlineStr">
        <is>
          <t>Untrained</t>
        </is>
      </c>
      <c r="E37" s="11">
        <f>IF(D37="","",IF(D37="Untrained",0,IF(D37="Proficient",2,IF(D37="Expert",4,6))))</f>
        <v/>
      </c>
      <c r="F37" s="11">
        <f>C37+E37</f>
        <v/>
      </c>
    </row>
    <row r="38">
      <c r="A38" s="5" t="inlineStr">
        <is>
          <t>System Hack</t>
        </is>
      </c>
      <c r="B38" s="13" t="inlineStr">
        <is>
          <t>ENG</t>
        </is>
      </c>
      <c r="C38" s="11">
        <f>C14</f>
        <v/>
      </c>
      <c r="D38" s="10" t="inlineStr">
        <is>
          <t>Untrained</t>
        </is>
      </c>
      <c r="E38" s="11">
        <f>IF(D38="","",IF(D38="Untrained",0,IF(D38="Proficient",2,IF(D38="Expert",4,6))))</f>
        <v/>
      </c>
      <c r="F38" s="11">
        <f>C38+E38</f>
        <v/>
      </c>
    </row>
    <row r="39">
      <c r="A39" s="5" t="inlineStr">
        <is>
          <t>Equipment Repair</t>
        </is>
      </c>
      <c r="B39" s="13" t="inlineStr">
        <is>
          <t>ENG</t>
        </is>
      </c>
      <c r="C39" s="11">
        <f>C14</f>
        <v/>
      </c>
      <c r="D39" s="10" t="inlineStr">
        <is>
          <t>Untrained</t>
        </is>
      </c>
      <c r="E39" s="11">
        <f>IF(D39="","",IF(D39="Untrained",0,IF(D39="Proficient",2,IF(D39="Expert",4,6))))</f>
        <v/>
      </c>
      <c r="F39" s="11">
        <f>C39+E39</f>
        <v/>
      </c>
    </row>
    <row r="40">
      <c r="A40" s="5" t="inlineStr">
        <is>
          <t>Electronic Warfare</t>
        </is>
      </c>
      <c r="B40" s="13" t="inlineStr">
        <is>
          <t>ENG</t>
        </is>
      </c>
      <c r="C40" s="11">
        <f>C14</f>
        <v/>
      </c>
      <c r="D40" s="10" t="inlineStr">
        <is>
          <t>Untrained</t>
        </is>
      </c>
      <c r="E40" s="11">
        <f>IF(D40="","",IF(D40="Untrained",0,IF(D40="Proficient",2,IF(D40="Expert",4,6))))</f>
        <v/>
      </c>
      <c r="F40" s="11">
        <f>C40+E40</f>
        <v/>
      </c>
    </row>
    <row r="41">
      <c r="A41" s="5" t="inlineStr">
        <is>
          <t>Vessel Engineering</t>
        </is>
      </c>
      <c r="B41" s="13" t="inlineStr">
        <is>
          <t>ENG</t>
        </is>
      </c>
      <c r="C41" s="11">
        <f>C14</f>
        <v/>
      </c>
      <c r="D41" s="10" t="inlineStr">
        <is>
          <t>Untrained</t>
        </is>
      </c>
      <c r="E41" s="11">
        <f>IF(D41="","",IF(D41="Untrained",0,IF(D41="Proficient",2,IF(D41="Expert",4,6))))</f>
        <v/>
      </c>
      <c r="F41" s="11">
        <f>C41+E41</f>
        <v/>
      </c>
    </row>
    <row r="42">
      <c r="A42" s="5" t="inlineStr">
        <is>
          <t>Zero-G Movement</t>
        </is>
      </c>
      <c r="B42" s="13" t="inlineStr">
        <is>
          <t>MOB</t>
        </is>
      </c>
      <c r="C42" s="11">
        <f>C15</f>
        <v/>
      </c>
      <c r="D42" s="10" t="inlineStr">
        <is>
          <t>Untrained</t>
        </is>
      </c>
      <c r="E42" s="11">
        <f>IF(D42="","",IF(D42="Untrained",0,IF(D42="Proficient",2,IF(D42="Expert",4,6))))</f>
        <v/>
      </c>
      <c r="F42" s="11">
        <f>C42+E42</f>
        <v/>
      </c>
    </row>
    <row r="43">
      <c r="A43" s="5" t="inlineStr">
        <is>
          <t>Evasion</t>
        </is>
      </c>
      <c r="B43" s="13" t="inlineStr">
        <is>
          <t>MOB</t>
        </is>
      </c>
      <c r="C43" s="11">
        <f>C15</f>
        <v/>
      </c>
      <c r="D43" s="10" t="inlineStr">
        <is>
          <t>Proficient</t>
        </is>
      </c>
      <c r="E43" s="11">
        <f>IF(D43="","",IF(D43="Untrained",0,IF(D43="Proficient",2,IF(D43="Expert",4,6))))</f>
        <v/>
      </c>
      <c r="F43" s="11">
        <f>C43+E43</f>
        <v/>
      </c>
    </row>
    <row r="44">
      <c r="A44" s="5" t="inlineStr">
        <is>
          <t>Stealth</t>
        </is>
      </c>
      <c r="B44" s="13" t="inlineStr">
        <is>
          <t>MOB</t>
        </is>
      </c>
      <c r="C44" s="11">
        <f>C15</f>
        <v/>
      </c>
      <c r="D44" s="10" t="inlineStr">
        <is>
          <t>Untrained</t>
        </is>
      </c>
      <c r="E44" s="11">
        <f>IF(D44="","",IF(D44="Untrained",0,IF(D44="Proficient",2,IF(D44="Expert",4,6))))</f>
        <v/>
      </c>
      <c r="F44" s="11">
        <f>C44+E44</f>
        <v/>
      </c>
    </row>
    <row r="45">
      <c r="A45" s="5" t="inlineStr">
        <is>
          <t>Jump Charge</t>
        </is>
      </c>
      <c r="B45" s="13" t="inlineStr">
        <is>
          <t>MOB</t>
        </is>
      </c>
      <c r="C45" s="11">
        <f>C15</f>
        <v/>
      </c>
      <c r="D45" s="10" t="inlineStr">
        <is>
          <t>Untrained</t>
        </is>
      </c>
      <c r="E45" s="11">
        <f>IF(D45="","",IF(D45="Untrained",0,IF(D45="Proficient",2,IF(D45="Expert",4,6))))</f>
        <v/>
      </c>
      <c r="F45" s="11">
        <f>C45+E45</f>
        <v/>
      </c>
    </row>
    <row r="46">
      <c r="A46" s="5" t="inlineStr">
        <is>
          <t>Environment Scan</t>
        </is>
      </c>
      <c r="B46" s="13" t="inlineStr">
        <is>
          <t>PER</t>
        </is>
      </c>
      <c r="C46" s="11">
        <f>C16</f>
        <v/>
      </c>
      <c r="D46" s="10" t="inlineStr">
        <is>
          <t>Untrained</t>
        </is>
      </c>
      <c r="E46" s="11">
        <f>IF(D46="","",IF(D46="Untrained",0,IF(D46="Proficient",2,IF(D46="Expert",4,6))))</f>
        <v/>
      </c>
      <c r="F46" s="11">
        <f>C46+E46</f>
        <v/>
      </c>
    </row>
    <row r="47">
      <c r="A47" s="5" t="inlineStr">
        <is>
          <t>Threat Detection</t>
        </is>
      </c>
      <c r="B47" s="13" t="inlineStr">
        <is>
          <t>PER</t>
        </is>
      </c>
      <c r="C47" s="11">
        <f>C16</f>
        <v/>
      </c>
      <c r="D47" s="10" t="inlineStr">
        <is>
          <t>Untrained</t>
        </is>
      </c>
      <c r="E47" s="11">
        <f>IF(D47="","",IF(D47="Untrained",0,IF(D47="Proficient",2,IF(D47="Expert",4,6))))</f>
        <v/>
      </c>
      <c r="F47" s="11">
        <f>C47+E47</f>
        <v/>
      </c>
    </row>
    <row r="48">
      <c r="A48" s="5" t="inlineStr">
        <is>
          <t>Tracking</t>
        </is>
      </c>
      <c r="B48" s="13" t="inlineStr">
        <is>
          <t>PER</t>
        </is>
      </c>
      <c r="C48" s="11">
        <f>C16</f>
        <v/>
      </c>
      <c r="D48" s="10" t="inlineStr">
        <is>
          <t>Untrained</t>
        </is>
      </c>
      <c r="E48" s="11">
        <f>IF(D48="","",IF(D48="Untrained",0,IF(D48="Proficient",2,IF(D48="Expert",4,6))))</f>
        <v/>
      </c>
      <c r="F48" s="11">
        <f>C48+E48</f>
        <v/>
      </c>
    </row>
    <row r="49">
      <c r="A49" s="5" t="inlineStr">
        <is>
          <t>First Strike</t>
        </is>
      </c>
      <c r="B49" s="13" t="inlineStr">
        <is>
          <t>PER</t>
        </is>
      </c>
      <c r="C49" s="11">
        <f>C16</f>
        <v/>
      </c>
      <c r="D49" s="10" t="inlineStr">
        <is>
          <t>Untrained</t>
        </is>
      </c>
      <c r="E49" s="11">
        <f>IF(D49="","",IF(D49="Untrained",0,IF(D49="Proficient",2,IF(D49="Expert",4,6))))</f>
        <v/>
      </c>
      <c r="F49" s="11">
        <f>C49+E49</f>
        <v/>
      </c>
    </row>
    <row r="50">
      <c r="A50" s="5" t="inlineStr">
        <is>
          <t>Damage Endurance</t>
        </is>
      </c>
      <c r="B50" s="13" t="inlineStr">
        <is>
          <t>RES</t>
        </is>
      </c>
      <c r="C50" s="11">
        <f>C17</f>
        <v/>
      </c>
      <c r="D50" s="10" t="inlineStr">
        <is>
          <t>Untrained</t>
        </is>
      </c>
      <c r="E50" s="11">
        <f>IF(D50="","",IF(D50="Untrained",0,IF(D50="Proficient",2,IF(D50="Expert",4,6))))</f>
        <v/>
      </c>
      <c r="F50" s="11">
        <f>C50+E50</f>
        <v/>
      </c>
    </row>
    <row r="51">
      <c r="A51" s="5" t="inlineStr">
        <is>
          <t>Willpower</t>
        </is>
      </c>
      <c r="B51" s="13" t="inlineStr">
        <is>
          <t>RES</t>
        </is>
      </c>
      <c r="C51" s="11">
        <f>C17</f>
        <v/>
      </c>
      <c r="D51" s="10" t="inlineStr">
        <is>
          <t>Untrained</t>
        </is>
      </c>
      <c r="E51" s="11">
        <f>IF(D51="","",IF(D51="Untrained",0,IF(D51="Proficient",2,IF(D51="Expert",4,6))))</f>
        <v/>
      </c>
      <c r="F51" s="11">
        <f>C51+E51</f>
        <v/>
      </c>
    </row>
    <row r="52">
      <c r="A52" s="5" t="inlineStr">
        <is>
          <t>Hypoxia Tolerance</t>
        </is>
      </c>
      <c r="B52" s="13" t="inlineStr">
        <is>
          <t>RES</t>
        </is>
      </c>
      <c r="C52" s="11">
        <f>C17</f>
        <v/>
      </c>
      <c r="D52" s="10" t="inlineStr">
        <is>
          <t>Untrained</t>
        </is>
      </c>
      <c r="E52" s="11">
        <f>IF(D52="","",IF(D52="Untrained",0,IF(D52="Proficient",2,IF(D52="Expert",4,6))))</f>
        <v/>
      </c>
      <c r="F52" s="11">
        <f>C52+E52</f>
        <v/>
      </c>
    </row>
    <row r="53">
      <c r="A53" s="5" t="inlineStr">
        <is>
          <t>Overload Limit</t>
        </is>
      </c>
      <c r="B53" s="13" t="inlineStr">
        <is>
          <t>RES</t>
        </is>
      </c>
      <c r="C53" s="11">
        <f>C17</f>
        <v/>
      </c>
      <c r="D53" s="10" t="inlineStr">
        <is>
          <t>Untrained</t>
        </is>
      </c>
      <c r="E53" s="11">
        <f>IF(D53="","",IF(D53="Untrained",0,IF(D53="Proficient",2,IF(D53="Expert",4,6))))</f>
        <v/>
      </c>
      <c r="F53" s="11">
        <f>C53+E53</f>
        <v/>
      </c>
    </row>
  </sheetData>
  <mergeCells count="12">
    <mergeCell ref="B10:D10"/>
    <mergeCell ref="B5:D5"/>
    <mergeCell ref="A19:I19"/>
    <mergeCell ref="A11:I11"/>
    <mergeCell ref="A32:I32"/>
    <mergeCell ref="B8:D8"/>
    <mergeCell ref="B4:D4"/>
    <mergeCell ref="A1:I1"/>
    <mergeCell ref="B9:D9"/>
    <mergeCell ref="A3:I3"/>
    <mergeCell ref="B7:D7"/>
    <mergeCell ref="B6:D6"/>
  </mergeCells>
  <dataValidations count="1">
    <dataValidation sqref="D34 D35 D36 D37 D38 D39 D40 D41 D42 D43 D44 D45 D46 D47 D48 D49 D50 D51 D52 D53" showDropDown="0" showInputMessage="0" showErrorMessage="0" allowBlank="1" type="list">
      <formula1>"未受訓,熟練,專家,大師"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2026-07-13T18:53:06Z</dcterms:created>
  <dcterms:modified xsi:type="dcterms:W3CDTF">2026-08-10T06:08:37Z</dcterms:modified>
</cp:coreProperties>
</file>