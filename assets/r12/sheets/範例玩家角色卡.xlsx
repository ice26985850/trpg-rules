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師安娜" sheetId="1" state="visible" r:id="rId1"/>
    <sheet name="麵包師傅馬可" sheetId="2" state="visible" r:id="rId2"/>
    <sheet name="醫護人員莉娜" sheetId="3" state="visible" r:id="rId3"/>
    <sheet name="學生伊凡" sheetId="4" state="visible" r:id="rId4"/>
    <sheet name="水電工彼得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JhengHei"/>
      <b val="1"/>
      <sz val="16"/>
    </font>
    <font>
      <name val="Microsoft JhengHei"/>
      <b val="1"/>
      <sz val="10"/>
    </font>
    <font>
      <name val="Microsoft JhengHei"/>
      <sz val="10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3" fillId="0" borderId="1" pivotButton="0" quotePrefix="0" xfId="0"/>
    <xf numFmtId="0" fontId="2" fillId="0" borderId="0" pivotButton="0" quotePrefix="0" xfId="0"/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市井倖存者 ── 範例角色：教師安娜</t>
        </is>
      </c>
    </row>
    <row r="3">
      <c r="A3" s="2" t="inlineStr">
        <is>
          <t>姓名</t>
        </is>
      </c>
      <c r="B3" s="3" t="inlineStr">
        <is>
          <t>安娜·彼得羅娃</t>
        </is>
      </c>
      <c r="C3" s="2" t="inlineStr">
        <is>
          <t>年齡</t>
        </is>
      </c>
      <c r="D3" s="3" t="inlineStr">
        <is>
          <t>42</t>
        </is>
      </c>
      <c r="E3" s="2" t="inlineStr">
        <is>
          <t>戰前職業</t>
        </is>
      </c>
      <c r="F3" s="3" t="inlineStr">
        <is>
          <t>教師</t>
        </is>
      </c>
      <c r="G3" s="2" t="inlineStr">
        <is>
          <t>綽號</t>
        </is>
      </c>
      <c r="H3" s="3" t="inlineStr">
        <is>
          <t>安娜老師</t>
        </is>
      </c>
    </row>
    <row r="5">
      <c r="A5" s="4" t="inlineStr">
        <is>
          <t>屬性</t>
        </is>
      </c>
      <c r="B5" s="4" t="inlineStr">
        <is>
          <t>數值</t>
        </is>
      </c>
    </row>
    <row r="6">
      <c r="A6" s="5" t="inlineStr">
        <is>
          <t>體魄（身體）</t>
        </is>
      </c>
      <c r="B6" s="6" t="n">
        <v>2</v>
      </c>
    </row>
    <row r="7">
      <c r="A7" s="5" t="inlineStr">
        <is>
          <t>機敏（敏捷）</t>
        </is>
      </c>
      <c r="B7" s="6" t="n">
        <v>3</v>
      </c>
    </row>
    <row r="8">
      <c r="A8" s="5" t="inlineStr">
        <is>
          <t>意志（意志）</t>
        </is>
      </c>
      <c r="B8" s="6" t="n">
        <v>5</v>
      </c>
    </row>
    <row r="9">
      <c r="A9" s="5" t="inlineStr">
        <is>
          <t>社交（社交）</t>
        </is>
      </c>
      <c r="B9" s="6" t="n">
        <v>5</v>
      </c>
    </row>
    <row r="10">
      <c r="A10" s="5" t="inlineStr">
        <is>
          <t>手藝（手藝）</t>
        </is>
      </c>
      <c r="B10" s="6" t="n">
        <v>5</v>
      </c>
    </row>
    <row r="12">
      <c r="A12" s="4" t="inlineStr">
        <is>
          <t>衍生屬性（自動計算）</t>
        </is>
      </c>
    </row>
    <row r="13">
      <c r="A13" s="5" t="inlineStr">
        <is>
          <t>體力</t>
        </is>
      </c>
      <c r="B13" s="6">
        <f>B6*2+5</f>
        <v/>
      </c>
    </row>
    <row r="14">
      <c r="A14" s="5" t="inlineStr">
        <is>
          <t>精神狀態</t>
        </is>
      </c>
      <c r="B14" s="6">
        <f>B8*2</f>
        <v/>
      </c>
    </row>
    <row r="15">
      <c r="A15" s="5" t="inlineStr">
        <is>
          <t>隱蔽值</t>
        </is>
      </c>
      <c r="B15" s="6">
        <f>B7</f>
        <v/>
      </c>
    </row>
    <row r="16">
      <c r="A16" s="5" t="inlineStr">
        <is>
          <t>負重槽位</t>
        </is>
      </c>
      <c r="B16" s="6">
        <f>MAX(B6*2,2)</f>
        <v/>
      </c>
    </row>
    <row r="18">
      <c r="A18" s="4" t="inlineStr">
        <is>
          <t>主要技能</t>
        </is>
      </c>
      <c r="B18" s="4" t="inlineStr">
        <is>
          <t>熟練度</t>
        </is>
      </c>
    </row>
    <row r="19">
      <c r="A19" s="7" t="inlineStr">
        <is>
          <t>安撫</t>
        </is>
      </c>
      <c r="B19" s="6" t="n">
        <v>3</v>
      </c>
    </row>
    <row r="20">
      <c r="A20" s="7" t="inlineStr">
        <is>
          <t>說服</t>
        </is>
      </c>
      <c r="B20" s="6" t="n">
        <v>2</v>
      </c>
    </row>
    <row r="21">
      <c r="A21" s="7" t="inlineStr">
        <is>
          <t>知識</t>
        </is>
      </c>
      <c r="B21" s="6" t="n">
        <v>1</v>
      </c>
    </row>
    <row r="22">
      <c r="A22" s="7" t="inlineStr">
        <is>
          <t>急救</t>
        </is>
      </c>
      <c r="B22" s="6" t="n">
        <v>1</v>
      </c>
    </row>
    <row r="23">
      <c r="A23" s="7" t="inlineStr">
        <is>
          <t>潛行</t>
        </is>
      </c>
      <c r="B23" s="6" t="n">
        <v>1</v>
      </c>
    </row>
    <row r="25">
      <c r="A25" s="4" t="inlineStr">
        <is>
          <t>避難所</t>
        </is>
      </c>
    </row>
    <row r="26">
      <c r="A26" s="5" t="inlineStr">
        <is>
          <t>位置</t>
        </is>
      </c>
      <c r="B26" s="6" t="inlineStr">
        <is>
          <t>舊城區中學地下室</t>
        </is>
      </c>
    </row>
    <row r="27">
      <c r="A27" s="5" t="inlineStr">
        <is>
          <t>結構</t>
        </is>
      </c>
      <c r="B27" s="6" t="n">
        <v>1</v>
      </c>
    </row>
    <row r="28">
      <c r="A28" s="5" t="inlineStr">
        <is>
          <t>密封</t>
        </is>
      </c>
      <c r="B28" s="6" t="n">
        <v>1</v>
      </c>
    </row>
    <row r="29">
      <c r="A29" s="5" t="inlineStr">
        <is>
          <t>舒適度</t>
        </is>
      </c>
      <c r="B29" s="6" t="n">
        <v>1</v>
      </c>
    </row>
    <row r="31">
      <c r="A31" s="4" t="inlineStr">
        <is>
          <t>創傷與羈絆</t>
        </is>
      </c>
    </row>
    <row r="32">
      <c r="A32" s="5" t="inlineStr">
        <is>
          <t>創傷累積</t>
        </is>
      </c>
      <c r="B32" s="7" t="n">
        <v>1</v>
      </c>
    </row>
    <row r="33">
      <c r="A33" s="5" t="inlineStr">
        <is>
          <t>命運點</t>
        </is>
      </c>
      <c r="B33" s="7" t="n">
        <v>3</v>
      </c>
    </row>
    <row r="34">
      <c r="A34" s="5" t="inlineStr">
        <is>
          <t>失去</t>
        </is>
      </c>
      <c r="B34" s="7" t="inlineStr">
        <is>
          <t>丈夫——圍城第一天外出後未歸</t>
        </is>
      </c>
    </row>
    <row r="35">
      <c r="A35" s="5" t="inlineStr">
        <is>
          <t>保護</t>
        </is>
      </c>
      <c r="B35" s="7" t="inlineStr">
        <is>
          <t>她教室裡的魚缸（現在養著最後一株植物）</t>
        </is>
      </c>
    </row>
    <row r="37">
      <c r="A37" s="4" t="inlineStr">
        <is>
          <t>隨身物品</t>
        </is>
      </c>
      <c r="B37" s="7" t="inlineStr">
        <is>
          <t>罐頭食品×2, 瓶裝水×1, 紙筆, 書, 蠟燭×2, 打火機, 相片</t>
        </is>
      </c>
      <c r="C37" s="8" t="n"/>
      <c r="D37" s="8" t="n"/>
      <c r="E37" s="8" t="n"/>
      <c r="F37" s="9" t="n"/>
    </row>
    <row r="39">
      <c r="A39" s="4" t="inlineStr">
        <is>
          <t>背景故事</t>
        </is>
      </c>
      <c r="B39" s="7" t="inlineStr">
        <is>
          <t>圍城前在舊城區中學教了二十年歷史。圍城那天，她正在給九年級上課。警報響起時，她讓所有孩子躲到桌子底下——這和演習時一樣。但這次不是演習。</t>
        </is>
      </c>
      <c r="C39" s="10" t="n"/>
      <c r="D39" s="10" t="n"/>
      <c r="E39" s="10" t="n"/>
      <c r="F39" s="11" t="n"/>
    </row>
    <row r="40">
      <c r="B40" s="12" t="n"/>
      <c r="F40" s="13" t="n"/>
    </row>
    <row r="41">
      <c r="B41" s="14" t="n"/>
      <c r="C41" s="15" t="n"/>
      <c r="D41" s="15" t="n"/>
      <c r="E41" s="15" t="n"/>
      <c r="F41" s="16" t="n"/>
    </row>
  </sheetData>
  <mergeCells count="3">
    <mergeCell ref="B37:F37"/>
    <mergeCell ref="B39:F41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市井倖存者 ── 範例角色：麵包師傅馬可</t>
        </is>
      </c>
    </row>
    <row r="3">
      <c r="A3" s="2" t="inlineStr">
        <is>
          <t>姓名</t>
        </is>
      </c>
      <c r="B3" s="3" t="inlineStr">
        <is>
          <t>馬可·維塔利</t>
        </is>
      </c>
      <c r="C3" s="2" t="inlineStr">
        <is>
          <t>年齡</t>
        </is>
      </c>
      <c r="D3" s="3" t="inlineStr">
        <is>
          <t>35</t>
        </is>
      </c>
      <c r="E3" s="2" t="inlineStr">
        <is>
          <t>戰前職業</t>
        </is>
      </c>
      <c r="F3" s="3" t="inlineStr">
        <is>
          <t>麵包師傅／廚師</t>
        </is>
      </c>
      <c r="G3" s="2" t="inlineStr">
        <is>
          <t>綽號</t>
        </is>
      </c>
      <c r="H3" s="3" t="inlineStr">
        <is>
          <t>馬可</t>
        </is>
      </c>
    </row>
    <row r="5">
      <c r="A5" s="4" t="inlineStr">
        <is>
          <t>屬性</t>
        </is>
      </c>
      <c r="B5" s="4" t="inlineStr">
        <is>
          <t>數值</t>
        </is>
      </c>
    </row>
    <row r="6">
      <c r="A6" s="5" t="inlineStr">
        <is>
          <t>體魄（身體）</t>
        </is>
      </c>
      <c r="B6" s="6" t="n">
        <v>5</v>
      </c>
    </row>
    <row r="7">
      <c r="A7" s="5" t="inlineStr">
        <is>
          <t>機敏（敏捷）</t>
        </is>
      </c>
      <c r="B7" s="6" t="n">
        <v>3</v>
      </c>
    </row>
    <row r="8">
      <c r="A8" s="5" t="inlineStr">
        <is>
          <t>意志（意志）</t>
        </is>
      </c>
      <c r="B8" s="6" t="n">
        <v>3</v>
      </c>
    </row>
    <row r="9">
      <c r="A9" s="5" t="inlineStr">
        <is>
          <t>社交（社交）</t>
        </is>
      </c>
      <c r="B9" s="6" t="n">
        <v>4</v>
      </c>
    </row>
    <row r="10">
      <c r="A10" s="5" t="inlineStr">
        <is>
          <t>手藝（手藝）</t>
        </is>
      </c>
      <c r="B10" s="6" t="n">
        <v>5</v>
      </c>
    </row>
    <row r="11"/>
    <row r="12">
      <c r="A12" s="4" t="inlineStr">
        <is>
          <t>衍生屬性（自動計算）</t>
        </is>
      </c>
    </row>
    <row r="13">
      <c r="A13" s="5" t="inlineStr">
        <is>
          <t>體力</t>
        </is>
      </c>
      <c r="B13" s="6">
        <f>B6*2+5</f>
        <v/>
      </c>
    </row>
    <row r="14">
      <c r="A14" s="5" t="inlineStr">
        <is>
          <t>精神狀態</t>
        </is>
      </c>
      <c r="B14" s="6">
        <f>B8*2</f>
        <v/>
      </c>
    </row>
    <row r="15">
      <c r="A15" s="5" t="inlineStr">
        <is>
          <t>隱蔽值</t>
        </is>
      </c>
      <c r="B15" s="6">
        <f>B7</f>
        <v/>
      </c>
    </row>
    <row r="16">
      <c r="A16" s="5" t="inlineStr">
        <is>
          <t>負重槽位</t>
        </is>
      </c>
      <c r="B16" s="6">
        <f>MAX(B6*2,2)</f>
        <v/>
      </c>
    </row>
    <row r="18">
      <c r="A18" s="4" t="inlineStr">
        <is>
          <t>主要技能</t>
        </is>
      </c>
      <c r="B18" s="4" t="inlineStr">
        <is>
          <t>熟練度</t>
        </is>
      </c>
    </row>
    <row r="19">
      <c r="A19" s="7" t="inlineStr">
        <is>
          <t>烹飪</t>
        </is>
      </c>
      <c r="B19" s="6" t="n">
        <v>3</v>
      </c>
    </row>
    <row r="20">
      <c r="A20" s="7" t="inlineStr">
        <is>
          <t>耐力</t>
        </is>
      </c>
      <c r="B20" s="6" t="n">
        <v>2</v>
      </c>
    </row>
    <row r="21">
      <c r="A21" s="7" t="inlineStr">
        <is>
          <t>議價</t>
        </is>
      </c>
      <c r="B21" s="6" t="n">
        <v>1</v>
      </c>
    </row>
    <row r="22">
      <c r="A22" s="7" t="inlineStr">
        <is>
          <t>搜索</t>
        </is>
      </c>
      <c r="B22" s="6" t="n">
        <v>1</v>
      </c>
    </row>
    <row r="23">
      <c r="A23" s="7" t="inlineStr">
        <is>
          <t>承受</t>
        </is>
      </c>
      <c r="B23" s="6" t="n">
        <v>1</v>
      </c>
    </row>
    <row r="25">
      <c r="A25" s="4" t="inlineStr">
        <is>
          <t>避難所</t>
        </is>
      </c>
    </row>
    <row r="26">
      <c r="A26" s="5" t="inlineStr">
        <is>
          <t>位置</t>
        </is>
      </c>
      <c r="B26" s="6" t="inlineStr">
        <is>
          <t>自家麵包店的地下儲藏室</t>
        </is>
      </c>
    </row>
    <row r="27">
      <c r="A27" s="5" t="inlineStr">
        <is>
          <t>結構</t>
        </is>
      </c>
      <c r="B27" s="6" t="n">
        <v>1</v>
      </c>
    </row>
    <row r="28">
      <c r="A28" s="5" t="inlineStr">
        <is>
          <t>密封</t>
        </is>
      </c>
      <c r="B28" s="6" t="n">
        <v>2</v>
      </c>
    </row>
    <row r="29">
      <c r="A29" s="5" t="inlineStr">
        <is>
          <t>舒適度</t>
        </is>
      </c>
      <c r="B29" s="6" t="n">
        <v>0</v>
      </c>
    </row>
    <row r="31">
      <c r="A31" s="4" t="inlineStr">
        <is>
          <t>創傷與羈絆</t>
        </is>
      </c>
    </row>
    <row r="32">
      <c r="A32" s="5" t="inlineStr">
        <is>
          <t>創傷累積</t>
        </is>
      </c>
      <c r="B32" s="7" t="n">
        <v>1</v>
      </c>
    </row>
    <row r="33">
      <c r="A33" s="5" t="inlineStr">
        <is>
          <t>命運點</t>
        </is>
      </c>
      <c r="B33" s="7" t="n">
        <v>3</v>
      </c>
    </row>
    <row r="34">
      <c r="A34" s="5" t="inlineStr">
        <is>
          <t>失去</t>
        </is>
      </c>
      <c r="B34" s="7" t="inlineStr">
        <is>
          <t>學徒——一個十七歲的男孩，在第一批砲擊中</t>
        </is>
      </c>
    </row>
    <row r="35">
      <c r="A35" s="5" t="inlineStr">
        <is>
          <t>保護</t>
        </is>
      </c>
      <c r="B35" s="7" t="inlineStr">
        <is>
          <t>他的擀麵棍（母親留給他的）</t>
        </is>
      </c>
    </row>
    <row r="37">
      <c r="A37" s="4" t="inlineStr">
        <is>
          <t>隨身物品</t>
        </is>
      </c>
      <c r="B37" s="7" t="inlineStr">
        <is>
          <t>罐頭食品×3, 瓶裝水×2, 鹽, 糖, 多功能工具刀, 打火機, 蠟燭</t>
        </is>
      </c>
      <c r="C37" s="8" t="n"/>
      <c r="D37" s="8" t="n"/>
      <c r="E37" s="8" t="n"/>
      <c r="F37" s="9" t="n"/>
    </row>
    <row r="39">
      <c r="A39" s="4" t="inlineStr">
        <is>
          <t>背景故事</t>
        </is>
      </c>
      <c r="B39" s="7" t="inlineStr">
        <is>
          <t>他家三代都是麵包師傅。圍城那天凌晨四點，他和平常一樣開始揉麵團。到了早上八點，麵包還在烤箱裡，但街上已經滿是逃難的人群。他關了烤箱，鎖了店門，但沒有離開。</t>
        </is>
      </c>
      <c r="C39" s="10" t="n"/>
      <c r="D39" s="10" t="n"/>
      <c r="E39" s="10" t="n"/>
      <c r="F39" s="11" t="n"/>
    </row>
    <row r="40">
      <c r="B40" s="12" t="n"/>
      <c r="F40" s="13" t="n"/>
    </row>
    <row r="41">
      <c r="B41" s="14" t="n"/>
      <c r="C41" s="15" t="n"/>
      <c r="D41" s="15" t="n"/>
      <c r="E41" s="15" t="n"/>
      <c r="F41" s="16" t="n"/>
    </row>
  </sheetData>
  <mergeCells count="3">
    <mergeCell ref="B37:F37"/>
    <mergeCell ref="B39:F41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市井倖存者 ── 範例角色：醫護人員莉娜</t>
        </is>
      </c>
    </row>
    <row r="3">
      <c r="A3" s="2" t="inlineStr">
        <is>
          <t>姓名</t>
        </is>
      </c>
      <c r="B3" s="3" t="inlineStr">
        <is>
          <t>莉娜·科瓦奇</t>
        </is>
      </c>
      <c r="C3" s="2" t="inlineStr">
        <is>
          <t>年齡</t>
        </is>
      </c>
      <c r="D3" s="3" t="inlineStr">
        <is>
          <t>29</t>
        </is>
      </c>
      <c r="E3" s="2" t="inlineStr">
        <is>
          <t>戰前職業</t>
        </is>
      </c>
      <c r="F3" s="3" t="inlineStr">
        <is>
          <t>醫護人員</t>
        </is>
      </c>
      <c r="G3" s="2" t="inlineStr">
        <is>
          <t>綽號</t>
        </is>
      </c>
      <c r="H3" s="3" t="inlineStr">
        <is>
          <t>莉娜</t>
        </is>
      </c>
    </row>
    <row r="5">
      <c r="A5" s="4" t="inlineStr">
        <is>
          <t>屬性</t>
        </is>
      </c>
      <c r="B5" s="4" t="inlineStr">
        <is>
          <t>數值</t>
        </is>
      </c>
    </row>
    <row r="6">
      <c r="A6" s="5" t="inlineStr">
        <is>
          <t>體魄（身體）</t>
        </is>
      </c>
      <c r="B6" s="6" t="n">
        <v>3</v>
      </c>
    </row>
    <row r="7">
      <c r="A7" s="5" t="inlineStr">
        <is>
          <t>機敏（敏捷）</t>
        </is>
      </c>
      <c r="B7" s="6" t="n">
        <v>4</v>
      </c>
    </row>
    <row r="8">
      <c r="A8" s="5" t="inlineStr">
        <is>
          <t>意志（意志）</t>
        </is>
      </c>
      <c r="B8" s="6" t="n">
        <v>5</v>
      </c>
    </row>
    <row r="9">
      <c r="A9" s="5" t="inlineStr">
        <is>
          <t>社交（社交）</t>
        </is>
      </c>
      <c r="B9" s="6" t="n">
        <v>3</v>
      </c>
    </row>
    <row r="10">
      <c r="A10" s="5" t="inlineStr">
        <is>
          <t>手藝（手藝）</t>
        </is>
      </c>
      <c r="B10" s="6" t="n">
        <v>5</v>
      </c>
    </row>
    <row r="12">
      <c r="A12" s="4" t="inlineStr">
        <is>
          <t>衍生屬性（自動計算）</t>
        </is>
      </c>
    </row>
    <row r="13">
      <c r="A13" s="5" t="inlineStr">
        <is>
          <t>體力</t>
        </is>
      </c>
      <c r="B13" s="6">
        <f>B6*2+5</f>
        <v/>
      </c>
    </row>
    <row r="14">
      <c r="A14" s="5" t="inlineStr">
        <is>
          <t>精神狀態</t>
        </is>
      </c>
      <c r="B14" s="6">
        <f>B8*2</f>
        <v/>
      </c>
    </row>
    <row r="15">
      <c r="A15" s="5" t="inlineStr">
        <is>
          <t>隱蔽值</t>
        </is>
      </c>
      <c r="B15" s="6">
        <f>B7</f>
        <v/>
      </c>
    </row>
    <row r="16">
      <c r="A16" s="5" t="inlineStr">
        <is>
          <t>負重槽位</t>
        </is>
      </c>
      <c r="B16" s="6">
        <f>MAX(B6*2,2)</f>
        <v/>
      </c>
    </row>
    <row r="18">
      <c r="A18" s="4" t="inlineStr">
        <is>
          <t>主要技能</t>
        </is>
      </c>
      <c r="B18" s="4" t="inlineStr">
        <is>
          <t>熟練度</t>
        </is>
      </c>
    </row>
    <row r="19">
      <c r="A19" s="7" t="inlineStr">
        <is>
          <t>急救</t>
        </is>
      </c>
      <c r="B19" s="6" t="n">
        <v>3</v>
      </c>
    </row>
    <row r="20">
      <c r="A20" s="7" t="inlineStr">
        <is>
          <t>藥理</t>
        </is>
      </c>
      <c r="B20" s="6" t="n">
        <v>2</v>
      </c>
    </row>
    <row r="21">
      <c r="A21" s="7" t="inlineStr">
        <is>
          <t>診斷</t>
        </is>
      </c>
      <c r="B21" s="6" t="n">
        <v>2</v>
      </c>
    </row>
    <row r="22">
      <c r="A22" s="7" t="inlineStr">
        <is>
          <t>鎮定</t>
        </is>
      </c>
      <c r="B22" s="6" t="n">
        <v>1</v>
      </c>
    </row>
    <row r="23">
      <c r="A23" s="7" t="inlineStr">
        <is>
          <t>潛行</t>
        </is>
      </c>
      <c r="B23" s="6" t="n">
        <v>1</v>
      </c>
    </row>
    <row r="25">
      <c r="A25" s="4" t="inlineStr">
        <is>
          <t>避難所</t>
        </is>
      </c>
    </row>
    <row r="26">
      <c r="A26" s="5" t="inlineStr">
        <is>
          <t>位置</t>
        </is>
      </c>
      <c r="B26" s="6" t="inlineStr">
        <is>
          <t>大學城區醫學院附屬診所</t>
        </is>
      </c>
    </row>
    <row r="27">
      <c r="A27" s="5" t="inlineStr">
        <is>
          <t>結構</t>
        </is>
      </c>
      <c r="B27" s="6" t="n">
        <v>2</v>
      </c>
    </row>
    <row r="28">
      <c r="A28" s="5" t="inlineStr">
        <is>
          <t>密封</t>
        </is>
      </c>
      <c r="B28" s="6" t="n">
        <v>1</v>
      </c>
    </row>
    <row r="29">
      <c r="A29" s="5" t="inlineStr">
        <is>
          <t>舒適度</t>
        </is>
      </c>
      <c r="B29" s="6" t="n">
        <v>0</v>
      </c>
    </row>
    <row r="31">
      <c r="A31" s="4" t="inlineStr">
        <is>
          <t>創傷與羈絆</t>
        </is>
      </c>
    </row>
    <row r="32">
      <c r="A32" s="5" t="inlineStr">
        <is>
          <t>創傷累積</t>
        </is>
      </c>
      <c r="B32" s="7" t="n">
        <v>2</v>
      </c>
    </row>
    <row r="33">
      <c r="A33" s="5" t="inlineStr">
        <is>
          <t>命運點</t>
        </is>
      </c>
      <c r="B33" s="7" t="n">
        <v>3</v>
      </c>
    </row>
    <row r="34">
      <c r="A34" s="5" t="inlineStr">
        <is>
          <t>失去</t>
        </is>
      </c>
      <c r="B34" s="7" t="inlineStr">
        <is>
          <t>一位她沒能救回來的老人——他的孫女在旁邊看著</t>
        </is>
      </c>
    </row>
    <row r="35">
      <c r="A35" s="5" t="inlineStr">
        <is>
          <t>保護</t>
        </is>
      </c>
      <c r="B35" s="7" t="inlineStr">
        <is>
          <t>她的醫師袍（提醒自己為什麼還在這裡）</t>
        </is>
      </c>
    </row>
    <row r="37">
      <c r="A37" s="4" t="inlineStr">
        <is>
          <t>隨身物品</t>
        </is>
      </c>
      <c r="B37" s="7" t="inlineStr">
        <is>
          <t>急救包, 抗生素×1, 止痛藥×1, 瓶裝水×2, 壓縮餅乾, 手搖手電筒, 相片</t>
        </is>
      </c>
      <c r="C37" s="8" t="n"/>
      <c r="D37" s="8" t="n"/>
      <c r="E37" s="8" t="n"/>
      <c r="F37" s="9" t="n"/>
    </row>
    <row r="39">
      <c r="A39" s="4" t="inlineStr">
        <is>
          <t>背景故事</t>
        </is>
      </c>
      <c r="B39" s="7" t="inlineStr">
        <is>
          <t>圍城前一週才剛結束住院醫師訓練。她本來應該在下個月轉到首都醫院。現在她在沒有自來水、沒有電力、沒有足夠藥物的情況下做手術。但她沒有選擇——因為沒有人可以替代她。</t>
        </is>
      </c>
      <c r="C39" s="10" t="n"/>
      <c r="D39" s="10" t="n"/>
      <c r="E39" s="10" t="n"/>
      <c r="F39" s="11" t="n"/>
    </row>
    <row r="40">
      <c r="B40" s="12" t="n"/>
      <c r="F40" s="13" t="n"/>
    </row>
    <row r="41">
      <c r="B41" s="14" t="n"/>
      <c r="C41" s="15" t="n"/>
      <c r="D41" s="15" t="n"/>
      <c r="E41" s="15" t="n"/>
      <c r="F41" s="16" t="n"/>
    </row>
  </sheetData>
  <mergeCells count="3">
    <mergeCell ref="B37:F37"/>
    <mergeCell ref="B39:F41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市井倖存者 ── 範例角色：學生伊凡</t>
        </is>
      </c>
    </row>
    <row r="3">
      <c r="A3" s="2" t="inlineStr">
        <is>
          <t>姓名</t>
        </is>
      </c>
      <c r="B3" s="3" t="inlineStr">
        <is>
          <t>伊凡·米洛舍維奇</t>
        </is>
      </c>
      <c r="C3" s="2" t="inlineStr">
        <is>
          <t>年齡</t>
        </is>
      </c>
      <c r="D3" s="3" t="inlineStr">
        <is>
          <t>19</t>
        </is>
      </c>
      <c r="E3" s="2" t="inlineStr">
        <is>
          <t>戰前職業</t>
        </is>
      </c>
      <c r="F3" s="3" t="inlineStr">
        <is>
          <t>學生</t>
        </is>
      </c>
      <c r="G3" s="2" t="inlineStr">
        <is>
          <t>綽號</t>
        </is>
      </c>
      <c r="H3" s="3" t="inlineStr">
        <is>
          <t>伊凡</t>
        </is>
      </c>
    </row>
    <row r="5">
      <c r="A5" s="4" t="inlineStr">
        <is>
          <t>屬性</t>
        </is>
      </c>
      <c r="B5" s="4" t="inlineStr">
        <is>
          <t>數值</t>
        </is>
      </c>
    </row>
    <row r="6">
      <c r="A6" s="5" t="inlineStr">
        <is>
          <t>體魄（身體）</t>
        </is>
      </c>
      <c r="B6" s="6" t="n">
        <v>4</v>
      </c>
    </row>
    <row r="7">
      <c r="A7" s="5" t="inlineStr">
        <is>
          <t>機敏（敏捷）</t>
        </is>
      </c>
      <c r="B7" s="6" t="n">
        <v>5</v>
      </c>
    </row>
    <row r="8">
      <c r="A8" s="5" t="inlineStr">
        <is>
          <t>意志（意志）</t>
        </is>
      </c>
      <c r="B8" s="6" t="n">
        <v>3</v>
      </c>
    </row>
    <row r="9">
      <c r="A9" s="5" t="inlineStr">
        <is>
          <t>社交（社交）</t>
        </is>
      </c>
      <c r="B9" s="6" t="n">
        <v>3</v>
      </c>
    </row>
    <row r="10">
      <c r="A10" s="5" t="inlineStr">
        <is>
          <t>手藝（手藝）</t>
        </is>
      </c>
      <c r="B10" s="6" t="n">
        <v>5</v>
      </c>
    </row>
    <row r="12">
      <c r="A12" s="4" t="inlineStr">
        <is>
          <t>衍生屬性（自動計算）</t>
        </is>
      </c>
    </row>
    <row r="13">
      <c r="A13" s="5" t="inlineStr">
        <is>
          <t>體力</t>
        </is>
      </c>
      <c r="B13" s="6">
        <f>B6*2+5</f>
        <v/>
      </c>
    </row>
    <row r="14">
      <c r="A14" s="5" t="inlineStr">
        <is>
          <t>精神狀態</t>
        </is>
      </c>
      <c r="B14" s="6">
        <f>B8*2</f>
        <v/>
      </c>
    </row>
    <row r="15">
      <c r="A15" s="5" t="inlineStr">
        <is>
          <t>隱蔽值</t>
        </is>
      </c>
      <c r="B15" s="6">
        <f>B7</f>
        <v/>
      </c>
    </row>
    <row r="16">
      <c r="A16" s="5" t="inlineStr">
        <is>
          <t>負重槽位</t>
        </is>
      </c>
      <c r="B16" s="6">
        <f>MAX(B6*2,2)</f>
        <v/>
      </c>
    </row>
    <row r="18">
      <c r="A18" s="4" t="inlineStr">
        <is>
          <t>主要技能</t>
        </is>
      </c>
      <c r="B18" s="4" t="inlineStr">
        <is>
          <t>熟練度</t>
        </is>
      </c>
    </row>
    <row r="19">
      <c r="A19" s="7" t="inlineStr">
        <is>
          <t>快速學習</t>
        </is>
      </c>
      <c r="B19" s="6" t="n">
        <v>2</v>
      </c>
    </row>
    <row r="20">
      <c r="A20" s="7" t="inlineStr">
        <is>
          <t>體能</t>
        </is>
      </c>
      <c r="B20" s="6" t="n">
        <v>2</v>
      </c>
    </row>
    <row r="21">
      <c r="A21" s="7" t="inlineStr">
        <is>
          <t>潛行</t>
        </is>
      </c>
      <c r="B21" s="6" t="n">
        <v>1</v>
      </c>
    </row>
    <row r="22">
      <c r="A22" s="7" t="inlineStr">
        <is>
          <t>攀爬</t>
        </is>
      </c>
      <c r="B22" s="6" t="n">
        <v>1</v>
      </c>
    </row>
    <row r="23">
      <c r="A23" s="7" t="inlineStr">
        <is>
          <t>搜索</t>
        </is>
      </c>
      <c r="B23" s="6" t="n">
        <v>1</v>
      </c>
    </row>
    <row r="25">
      <c r="A25" s="4" t="inlineStr">
        <is>
          <t>避難所</t>
        </is>
      </c>
    </row>
    <row r="26">
      <c r="A26" s="5" t="inlineStr">
        <is>
          <t>位置</t>
        </is>
      </c>
      <c r="B26" s="6" t="inlineStr">
        <is>
          <t>大學宿舍四樓房間</t>
        </is>
      </c>
    </row>
    <row r="27">
      <c r="A27" s="5" t="inlineStr">
        <is>
          <t>結構</t>
        </is>
      </c>
      <c r="B27" s="6" t="n">
        <v>1</v>
      </c>
    </row>
    <row r="28">
      <c r="A28" s="5" t="inlineStr">
        <is>
          <t>密封</t>
        </is>
      </c>
      <c r="B28" s="6" t="n">
        <v>1</v>
      </c>
    </row>
    <row r="29">
      <c r="A29" s="5" t="inlineStr">
        <is>
          <t>舒適度</t>
        </is>
      </c>
      <c r="B29" s="6" t="n">
        <v>1</v>
      </c>
    </row>
    <row r="31">
      <c r="A31" s="4" t="inlineStr">
        <is>
          <t>創傷與羈絆</t>
        </is>
      </c>
    </row>
    <row r="32">
      <c r="A32" s="5" t="inlineStr">
        <is>
          <t>創傷累積</t>
        </is>
      </c>
      <c r="B32" s="7" t="n">
        <v>1</v>
      </c>
    </row>
    <row r="33">
      <c r="A33" s="5" t="inlineStr">
        <is>
          <t>命運點</t>
        </is>
      </c>
      <c r="B33" s="7" t="n">
        <v>3</v>
      </c>
    </row>
    <row r="34">
      <c r="A34" s="5" t="inlineStr">
        <is>
          <t>失去</t>
        </is>
      </c>
      <c r="B34" s="7" t="inlineStr">
        <is>
          <t>室友——他離開宿舍去買食物後再也沒回來</t>
        </is>
      </c>
    </row>
    <row r="35">
      <c r="A35" s="5" t="inlineStr">
        <is>
          <t>保護</t>
        </is>
      </c>
      <c r="B35" s="7" t="inlineStr">
        <is>
          <t>他的手機（雖然沒訊號，但裡面有家人的照片）</t>
        </is>
      </c>
    </row>
    <row r="37">
      <c r="A37" s="4" t="inlineStr">
        <is>
          <t>隨身物品</t>
        </is>
      </c>
      <c r="B37" s="7" t="inlineStr">
        <is>
          <t>能量棒×4, 瓶裝水×2, 多功能工具刀, 手搖手電筒, 指南針, 大型背包, 書, 紙筆</t>
        </is>
      </c>
      <c r="C37" s="8" t="n"/>
      <c r="D37" s="8" t="n"/>
      <c r="E37" s="8" t="n"/>
      <c r="F37" s="9" t="n"/>
    </row>
    <row r="39">
      <c r="A39" s="4" t="inlineStr">
        <is>
          <t>背景故事</t>
        </is>
      </c>
      <c r="B39" s="7" t="inlineStr">
        <is>
          <t>工程系大二學生。圍城前一天還在擔心期末考。現在他的『期末考』是活過每一天。他學得很快——太快了。十九歲不該學會如何判斷一具屍體已經死了多久。</t>
        </is>
      </c>
      <c r="C39" s="10" t="n"/>
      <c r="D39" s="10" t="n"/>
      <c r="E39" s="10" t="n"/>
      <c r="F39" s="11" t="n"/>
    </row>
    <row r="40">
      <c r="B40" s="12" t="n"/>
      <c r="F40" s="13" t="n"/>
    </row>
    <row r="41">
      <c r="B41" s="14" t="n"/>
      <c r="C41" s="15" t="n"/>
      <c r="D41" s="15" t="n"/>
      <c r="E41" s="15" t="n"/>
      <c r="F41" s="16" t="n"/>
    </row>
  </sheetData>
  <mergeCells count="3">
    <mergeCell ref="B37:F37"/>
    <mergeCell ref="B39:F41"/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市井倖存者 ── 範例角色：水電工彼得</t>
        </is>
      </c>
    </row>
    <row r="3">
      <c r="A3" s="2" t="inlineStr">
        <is>
          <t>姓名</t>
        </is>
      </c>
      <c r="B3" s="3" t="inlineStr">
        <is>
          <t>彼得·霍瓦特</t>
        </is>
      </c>
      <c r="C3" s="2" t="inlineStr">
        <is>
          <t>年齡</t>
        </is>
      </c>
      <c r="D3" s="3" t="inlineStr">
        <is>
          <t>51</t>
        </is>
      </c>
      <c r="E3" s="2" t="inlineStr">
        <is>
          <t>戰前職業</t>
        </is>
      </c>
      <c r="F3" s="3" t="inlineStr">
        <is>
          <t>水電工／技工</t>
        </is>
      </c>
      <c r="G3" s="2" t="inlineStr">
        <is>
          <t>綽號</t>
        </is>
      </c>
      <c r="H3" s="3" t="inlineStr">
        <is>
          <t>老彼得</t>
        </is>
      </c>
    </row>
    <row r="5">
      <c r="A5" s="4" t="inlineStr">
        <is>
          <t>屬性</t>
        </is>
      </c>
      <c r="B5" s="4" t="inlineStr">
        <is>
          <t>數值</t>
        </is>
      </c>
    </row>
    <row r="6">
      <c r="A6" s="5" t="inlineStr">
        <is>
          <t>體魄（身體）</t>
        </is>
      </c>
      <c r="B6" s="6" t="n">
        <v>4</v>
      </c>
    </row>
    <row r="7">
      <c r="A7" s="5" t="inlineStr">
        <is>
          <t>機敏（敏捷）</t>
        </is>
      </c>
      <c r="B7" s="6" t="n">
        <v>4</v>
      </c>
    </row>
    <row r="8">
      <c r="A8" s="5" t="inlineStr">
        <is>
          <t>意志（意志）</t>
        </is>
      </c>
      <c r="B8" s="6" t="n">
        <v>4</v>
      </c>
    </row>
    <row r="9">
      <c r="A9" s="5" t="inlineStr">
        <is>
          <t>社交（社交）</t>
        </is>
      </c>
      <c r="B9" s="6" t="n">
        <v>2</v>
      </c>
    </row>
    <row r="10">
      <c r="A10" s="5" t="inlineStr">
        <is>
          <t>手藝（手藝）</t>
        </is>
      </c>
      <c r="B10" s="6" t="n">
        <v>6</v>
      </c>
    </row>
    <row r="12">
      <c r="A12" s="4" t="inlineStr">
        <is>
          <t>衍生屬性（自動計算）</t>
        </is>
      </c>
    </row>
    <row r="13">
      <c r="A13" s="5" t="inlineStr">
        <is>
          <t>體力</t>
        </is>
      </c>
      <c r="B13" s="6">
        <f>B6*2+5</f>
        <v/>
      </c>
    </row>
    <row r="14">
      <c r="A14" s="5" t="inlineStr">
        <is>
          <t>精神狀態</t>
        </is>
      </c>
      <c r="B14" s="6">
        <f>B8*2</f>
        <v/>
      </c>
    </row>
    <row r="15">
      <c r="A15" s="5" t="inlineStr">
        <is>
          <t>隱蔽值</t>
        </is>
      </c>
      <c r="B15" s="6">
        <f>B7</f>
        <v/>
      </c>
    </row>
    <row r="16">
      <c r="A16" s="5" t="inlineStr">
        <is>
          <t>負重槽位</t>
        </is>
      </c>
      <c r="B16" s="6">
        <f>MAX(B6*2,2)</f>
        <v/>
      </c>
    </row>
    <row r="18">
      <c r="A18" s="4" t="inlineStr">
        <is>
          <t>主要技能</t>
        </is>
      </c>
      <c r="B18" s="4" t="inlineStr">
        <is>
          <t>熟練度</t>
        </is>
      </c>
    </row>
    <row r="19">
      <c r="A19" s="7" t="inlineStr">
        <is>
          <t>修理</t>
        </is>
      </c>
      <c r="B19" s="6" t="n">
        <v>3</v>
      </c>
    </row>
    <row r="20">
      <c r="A20" s="7" t="inlineStr">
        <is>
          <t>電工</t>
        </is>
      </c>
      <c r="B20" s="6" t="n">
        <v>2</v>
      </c>
    </row>
    <row r="21">
      <c r="A21" s="7" t="inlineStr">
        <is>
          <t>管線</t>
        </is>
      </c>
      <c r="B21" s="6" t="n">
        <v>2</v>
      </c>
    </row>
    <row r="22">
      <c r="A22" s="7" t="inlineStr">
        <is>
          <t>力氣</t>
        </is>
      </c>
      <c r="B22" s="6" t="n">
        <v>1</v>
      </c>
    </row>
    <row r="23">
      <c r="A23" s="7" t="inlineStr">
        <is>
          <t>承受</t>
        </is>
      </c>
      <c r="B23" s="6" t="n">
        <v>1</v>
      </c>
    </row>
    <row r="25">
      <c r="A25" s="4" t="inlineStr">
        <is>
          <t>避難所</t>
        </is>
      </c>
    </row>
    <row r="26">
      <c r="A26" s="5" t="inlineStr">
        <is>
          <t>位置</t>
        </is>
      </c>
      <c r="B26" s="6" t="inlineStr">
        <is>
          <t>工業區廢棄維修車間</t>
        </is>
      </c>
    </row>
    <row r="27">
      <c r="A27" s="5" t="inlineStr">
        <is>
          <t>結構</t>
        </is>
      </c>
      <c r="B27" s="6" t="n">
        <v>2</v>
      </c>
    </row>
    <row r="28">
      <c r="A28" s="5" t="inlineStr">
        <is>
          <t>密封</t>
        </is>
      </c>
      <c r="B28" s="6" t="n">
        <v>0</v>
      </c>
    </row>
    <row r="29">
      <c r="A29" s="5" t="inlineStr">
        <is>
          <t>舒適度</t>
        </is>
      </c>
      <c r="B29" s="6" t="n">
        <v>1</v>
      </c>
    </row>
    <row r="31">
      <c r="A31" s="4" t="inlineStr">
        <is>
          <t>創傷與羈絆</t>
        </is>
      </c>
    </row>
    <row r="32">
      <c r="A32" s="5" t="inlineStr">
        <is>
          <t>創傷累積</t>
        </is>
      </c>
      <c r="B32" s="7" t="n">
        <v>1</v>
      </c>
    </row>
    <row r="33">
      <c r="A33" s="5" t="inlineStr">
        <is>
          <t>命運點</t>
        </is>
      </c>
      <c r="B33" s="7" t="n">
        <v>3</v>
      </c>
    </row>
    <row r="34">
      <c r="A34" s="5" t="inlineStr">
        <is>
          <t>失去</t>
        </is>
      </c>
      <c r="B34" s="7" t="inlineStr">
        <is>
          <t>他的工具箱——被趁亂搶走（裡面有他父親留給他的扳手）</t>
        </is>
      </c>
    </row>
    <row r="35">
      <c r="A35" s="5" t="inlineStr">
        <is>
          <t>保護</t>
        </is>
      </c>
      <c r="B35" s="7" t="inlineStr">
        <is>
          <t>鄰居老太太（獨居，行動不便，他每天送食物過去）</t>
        </is>
      </c>
    </row>
    <row r="37">
      <c r="A37" s="4" t="inlineStr">
        <is>
          <t>隨身物品</t>
        </is>
      </c>
      <c r="B37" s="7" t="inlineStr">
        <is>
          <t>膠帶×2, 繩索, 鐵絲, 釘子與螺絲, 扳手/鐵撬, 罐頭食品×2, 瓶裝水×2, 打火機, 蠟燭</t>
        </is>
      </c>
      <c r="C37" s="8" t="n"/>
      <c r="D37" s="8" t="n"/>
      <c r="E37" s="8" t="n"/>
      <c r="F37" s="9" t="n"/>
    </row>
    <row r="39">
      <c r="A39" s="4" t="inlineStr">
        <is>
          <t>背景故事</t>
        </is>
      </c>
      <c r="B39" s="7" t="inlineStr">
        <is>
          <t>在這座城市做了三十年水電工。沒有一棟建築的管線他不熟悉。圍城後，這些知識突然比任何文憑都有價值——他能找到被遺忘的地下管道、修理破損的供水系統、讓一台廢棄的發電機重新運轉。</t>
        </is>
      </c>
      <c r="C39" s="10" t="n"/>
      <c r="D39" s="10" t="n"/>
      <c r="E39" s="10" t="n"/>
      <c r="F39" s="11" t="n"/>
    </row>
    <row r="40">
      <c r="B40" s="12" t="n"/>
      <c r="F40" s="13" t="n"/>
    </row>
    <row r="41">
      <c r="B41" s="14" t="n"/>
      <c r="C41" s="15" t="n"/>
      <c r="D41" s="15" t="n"/>
      <c r="E41" s="15" t="n"/>
      <c r="F41" s="16" t="n"/>
    </row>
  </sheetData>
  <mergeCells count="3">
    <mergeCell ref="B37:F37"/>
    <mergeCell ref="B39:F41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2026-07-12T16:44:20Z</dcterms:created>
  <dcterms:modified xsi:type="dcterms:W3CDTF">2026-07-13T06:47:26Z</dcterms:modified>
</cp:coreProperties>
</file>