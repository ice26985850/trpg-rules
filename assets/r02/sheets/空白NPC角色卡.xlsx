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卡" sheetId="1" state="visible" r:id="rId1"/>
    <sheet xmlns:r="http://schemas.openxmlformats.org/officeDocument/2006/relationships" name="參考資料" sheetId="2" state="hidden" r:id="rId2"/>
    <sheet xmlns:r="http://schemas.openxmlformats.org/officeDocument/2006/relationships" name="NPC夥伴模板" sheetId="3" state="visible" r:id="rId3"/>
    <sheet xmlns:r="http://schemas.openxmlformats.org/officeDocument/2006/relationships" name="NPC夥伴模板1" sheetId="4" state="visible" r:id="rId4"/>
    <sheet xmlns:r="http://schemas.openxmlformats.org/officeDocument/2006/relationships" name="NPC夥伴模板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color rgb="000000CC"/>
      <sz val="10"/>
    </font>
  </fonts>
  <fills count="4">
    <fill>
      <patternFill/>
    </fill>
    <fill>
      <patternFill patternType="gray125"/>
    </fill>
    <fill>
      <patternFill patternType="solid">
        <fgColor rgb="00DCDCDC"/>
        <bgColor rgb="00DCDCDC"/>
      </patternFill>
    </fill>
    <fill>
      <patternFill patternType="solid">
        <fgColor rgb="008B0000"/>
        <bgColor rgb="008B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8" customWidth="1" min="4" max="4"/>
    <col width="20" customWidth="1" min="5" max="5"/>
    <col width="6" customWidth="1" min="6" max="6"/>
    <col width="14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SCP基金會 特工檔案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A2" s="1" t="inlineStr">
        <is>
          <t>基本資料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</row>
    <row r="3">
      <c r="A3" s="2" t="inlineStr">
        <is>
          <t>姓名</t>
        </is>
      </c>
      <c r="B3" s="2" t="inlineStr">
        <is>
          <t>代號</t>
        </is>
      </c>
      <c r="C3" s="2" t="inlineStr">
        <is>
          <t>身份</t>
        </is>
      </c>
      <c r="D3" s="2" t="inlineStr">
        <is>
          <t>子職業</t>
        </is>
      </c>
      <c r="E3" s="2" t="inlineStr">
        <is>
          <t>等級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2" t="inlineStr">
        <is>
          <t>許可等級</t>
        </is>
      </c>
      <c r="B5" s="2" t="inlineStr">
        <is>
          <t>XP</t>
        </is>
      </c>
      <c r="C5" s="2" t="inlineStr">
        <is>
          <t>玩家</t>
        </is>
      </c>
      <c r="D5" s="2" t="inlineStr">
        <is>
          <t>戰役</t>
        </is>
      </c>
      <c r="E5" s="2" t="inlineStr">
        <is>
          <t>備註</t>
        </is>
      </c>
    </row>
    <row r="6">
      <c r="A6" s="3" t="inlineStr"/>
      <c r="B6" s="3" t="inlineStr"/>
      <c r="C6" s="3" t="inlineStr"/>
      <c r="D6" s="3" t="inlineStr"/>
      <c r="E6" s="3" t="inlineStr"/>
    </row>
    <row r="8">
      <c r="A8" s="1" t="inlineStr">
        <is>
          <t>屬性（輸入區 → 自動計算派生值）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8" t="n"/>
    </row>
    <row r="9">
      <c r="A9" s="2" t="inlineStr">
        <is>
          <t>STR 力量</t>
        </is>
      </c>
      <c r="B9" s="3" t="inlineStr"/>
      <c r="C9" s="2" t="inlineStr">
        <is>
          <t>AGI 敏捷</t>
        </is>
      </c>
      <c r="D9" s="3" t="inlineStr"/>
      <c r="E9" s="2" t="inlineStr">
        <is>
          <t>END 耐力</t>
        </is>
      </c>
      <c r="F9" s="3" t="inlineStr"/>
      <c r="G9" s="2" t="inlineStr">
        <is>
          <t>INT 智力</t>
        </is>
      </c>
      <c r="H9" s="3" t="inlineStr"/>
    </row>
    <row r="10">
      <c r="A10" s="2" t="inlineStr">
        <is>
          <t>PER 感知</t>
        </is>
      </c>
      <c r="B10" s="3" t="inlineStr"/>
      <c r="C10" s="2" t="inlineStr">
        <is>
          <t>WIL 意志</t>
        </is>
      </c>
      <c r="D10" s="3" t="inlineStr"/>
      <c r="E10" s="2" t="inlineStr">
        <is>
          <t>PRE 氣場</t>
        </is>
      </c>
      <c r="F10" s="3" t="inlineStr"/>
    </row>
    <row r="12">
      <c r="A12" s="2" t="inlineStr">
        <is>
          <t>HP</t>
        </is>
      </c>
      <c r="B12" s="4">
        <f>IF(OR(C4="",F9=""),"請填身份與END",F9+VLOOKUP(C4,參考資料!A:B,2,FALSE)+VLOOKUP(C4,參考資料!A:C,3,FALSE)*(IF(E4="",1,E4)-1))</f>
        <v/>
      </c>
      <c r="C12" s="2" t="inlineStr">
        <is>
          <t>SAN</t>
        </is>
      </c>
      <c r="D12" s="4">
        <f>IF(D10="","",MIN(99,50+D10))</f>
        <v/>
      </c>
      <c r="E12" s="2" t="inlineStr">
        <is>
          <t>SP</t>
        </is>
      </c>
      <c r="F12" s="3" t="n">
        <v>0</v>
      </c>
      <c r="G12" s="2" t="inlineStr">
        <is>
          <t>INIT</t>
        </is>
      </c>
      <c r="H12" s="4">
        <f>IF(OR(D9="",B10=""),"",D9+B10+IFERROR(VLOOKUP(C4,參考資料!G:H,2,FALSE),0))</f>
        <v/>
      </c>
      <c r="I12" s="2" t="inlineStr">
        <is>
          <t>MOV(m)</t>
        </is>
      </c>
      <c r="J12" s="4">
        <f>IF(OR(B9="",D9=""),"",(B9+D9)/2)</f>
        <v/>
      </c>
    </row>
    <row r="14">
      <c r="A14" s="1" t="inlineStr">
        <is>
          <t>技能（24項）- 手動輸入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</row>
    <row r="15">
      <c r="A15" s="2" t="inlineStr">
        <is>
          <t>戰鬥</t>
        </is>
      </c>
      <c r="B15" s="2" t="inlineStr">
        <is>
          <t>技能</t>
        </is>
      </c>
      <c r="C15" s="2" t="inlineStr">
        <is>
          <t>值</t>
        </is>
      </c>
      <c r="D15" s="2" t="inlineStr">
        <is>
          <t>技能</t>
        </is>
      </c>
      <c r="E15" s="2" t="inlineStr">
        <is>
          <t>值</t>
        </is>
      </c>
      <c r="F15" s="2" t="inlineStr">
        <is>
          <t>技能</t>
        </is>
      </c>
      <c r="G15" s="2" t="inlineStr">
        <is>
          <t>值</t>
        </is>
      </c>
    </row>
    <row r="16">
      <c r="B16" s="3" t="inlineStr">
        <is>
          <t>槍械(AGI)</t>
        </is>
      </c>
      <c r="C16" s="3" t="inlineStr"/>
      <c r="D16" s="3" t="inlineStr">
        <is>
          <t>重武器(AGI)</t>
        </is>
      </c>
      <c r="E16" s="3" t="inlineStr"/>
      <c r="F16" s="3" t="inlineStr">
        <is>
          <t>近戰(STR)</t>
        </is>
      </c>
      <c r="G16" s="3" t="inlineStr"/>
    </row>
    <row r="17">
      <c r="B17" s="3" t="inlineStr">
        <is>
          <t>投擲(AGI)</t>
        </is>
      </c>
      <c r="C17" s="3" t="inlineStr"/>
      <c r="D17" s="3" t="inlineStr">
        <is>
          <t>迴避(AGI)</t>
        </is>
      </c>
      <c r="E17" s="3" t="inlineStr"/>
    </row>
    <row r="19">
      <c r="A19" s="2" t="inlineStr">
        <is>
          <t>技術</t>
        </is>
      </c>
      <c r="B19" s="2" t="inlineStr">
        <is>
          <t>技能</t>
        </is>
      </c>
      <c r="C19" s="2" t="inlineStr">
        <is>
          <t>值</t>
        </is>
      </c>
      <c r="D19" s="2" t="inlineStr">
        <is>
          <t>技能</t>
        </is>
      </c>
      <c r="E19" s="2" t="inlineStr">
        <is>
          <t>值</t>
        </is>
      </c>
      <c r="F19" s="2" t="inlineStr">
        <is>
          <t>技能</t>
        </is>
      </c>
      <c r="G19" s="2" t="inlineStr">
        <is>
          <t>值</t>
        </is>
      </c>
    </row>
    <row r="20">
      <c r="B20" s="3" t="inlineStr">
        <is>
          <t>計算機(INT)</t>
        </is>
      </c>
      <c r="C20" s="3" t="inlineStr"/>
      <c r="D20" s="3" t="inlineStr">
        <is>
          <t>工程(INT)</t>
        </is>
      </c>
      <c r="E20" s="3" t="inlineStr"/>
      <c r="F20" s="3" t="inlineStr">
        <is>
          <t>爆破(INT)</t>
        </is>
      </c>
      <c r="G20" s="3" t="inlineStr"/>
    </row>
    <row r="21">
      <c r="B21" s="3" t="inlineStr">
        <is>
          <t>醫學(INT)</t>
        </is>
      </c>
      <c r="C21" s="3" t="inlineStr"/>
      <c r="D21" s="3" t="inlineStr">
        <is>
          <t>密碼學(INT)</t>
        </is>
      </c>
      <c r="E21" s="3" t="inlineStr"/>
      <c r="F21" s="3" t="inlineStr">
        <is>
          <t>駕駛(AGI)</t>
        </is>
      </c>
      <c r="G21" s="3" t="inlineStr"/>
    </row>
    <row r="23">
      <c r="A23" s="2" t="inlineStr">
        <is>
          <t>知識</t>
        </is>
      </c>
      <c r="B23" s="2" t="inlineStr">
        <is>
          <t>技能</t>
        </is>
      </c>
      <c r="C23" s="2" t="inlineStr">
        <is>
          <t>值</t>
        </is>
      </c>
      <c r="D23" s="2" t="inlineStr">
        <is>
          <t>技能</t>
        </is>
      </c>
      <c r="E23" s="2" t="inlineStr">
        <is>
          <t>值</t>
        </is>
      </c>
      <c r="F23" s="2" t="inlineStr">
        <is>
          <t>技能</t>
        </is>
      </c>
      <c r="G23" s="2" t="inlineStr">
        <is>
          <t>值</t>
        </is>
      </c>
    </row>
    <row r="24">
      <c r="B24" s="3" t="inlineStr">
        <is>
          <t>異常學(INT)</t>
        </is>
      </c>
      <c r="C24" s="3" t="inlineStr"/>
      <c r="D24" s="3" t="inlineStr">
        <is>
          <t>基金會史(INT)</t>
        </is>
      </c>
      <c r="E24" s="3" t="inlineStr"/>
      <c r="F24" s="3" t="inlineStr">
        <is>
          <t>神秘學(INT)</t>
        </is>
      </c>
      <c r="G24" s="3" t="inlineStr"/>
    </row>
    <row r="25">
      <c r="B25" s="3" t="inlineStr">
        <is>
          <t>科學(INT)</t>
        </is>
      </c>
      <c r="C25" s="3" t="inlineStr"/>
      <c r="D25" s="3" t="inlineStr">
        <is>
          <t>語言學(INT)</t>
        </is>
      </c>
      <c r="E25" s="3" t="inlineStr"/>
    </row>
    <row r="27">
      <c r="A27" s="2" t="inlineStr">
        <is>
          <t>社交</t>
        </is>
      </c>
      <c r="B27" s="2" t="inlineStr">
        <is>
          <t>技能</t>
        </is>
      </c>
      <c r="C27" s="2" t="inlineStr">
        <is>
          <t>值</t>
        </is>
      </c>
      <c r="D27" s="2" t="inlineStr">
        <is>
          <t>技能</t>
        </is>
      </c>
      <c r="E27" s="2" t="inlineStr">
        <is>
          <t>值</t>
        </is>
      </c>
      <c r="F27" s="2" t="inlineStr">
        <is>
          <t>技能</t>
        </is>
      </c>
      <c r="G27" s="2" t="inlineStr">
        <is>
          <t>值</t>
        </is>
      </c>
    </row>
    <row r="28">
      <c r="B28" s="3" t="inlineStr">
        <is>
          <t>說服(PRE)</t>
        </is>
      </c>
      <c r="C28" s="3" t="inlineStr"/>
      <c r="D28" s="3" t="inlineStr">
        <is>
          <t>欺騙(PRE)</t>
        </is>
      </c>
      <c r="E28" s="3" t="inlineStr"/>
      <c r="F28" s="3" t="inlineStr">
        <is>
          <t>審訊(PRE)</t>
        </is>
      </c>
      <c r="G28" s="3" t="inlineStr"/>
    </row>
    <row r="29">
      <c r="B29" s="3" t="inlineStr">
        <is>
          <t>領導(PRE)</t>
        </is>
      </c>
      <c r="C29" s="3" t="inlineStr"/>
    </row>
    <row r="31">
      <c r="A31" s="2" t="inlineStr">
        <is>
          <t>生存</t>
        </is>
      </c>
      <c r="B31" s="2" t="inlineStr">
        <is>
          <t>技能</t>
        </is>
      </c>
      <c r="C31" s="2" t="inlineStr">
        <is>
          <t>值</t>
        </is>
      </c>
      <c r="D31" s="2" t="inlineStr">
        <is>
          <t>技能</t>
        </is>
      </c>
      <c r="E31" s="2" t="inlineStr">
        <is>
          <t>值</t>
        </is>
      </c>
      <c r="F31" s="2" t="inlineStr">
        <is>
          <t>技能</t>
        </is>
      </c>
      <c r="G31" s="2" t="inlineStr">
        <is>
          <t>值</t>
        </is>
      </c>
    </row>
    <row r="32">
      <c r="B32" s="3" t="inlineStr">
        <is>
          <t>潛行(AGI)</t>
        </is>
      </c>
      <c r="C32" s="3" t="inlineStr"/>
      <c r="D32" s="3" t="inlineStr">
        <is>
          <t>偵察(PER)</t>
        </is>
      </c>
      <c r="E32" s="3" t="inlineStr"/>
      <c r="F32" s="3" t="inlineStr">
        <is>
          <t>生存(END)</t>
        </is>
      </c>
      <c r="G32" s="3" t="inlineStr"/>
    </row>
    <row r="33">
      <c r="B33" s="3" t="inlineStr">
        <is>
          <t>意志抵抗(WIL)</t>
        </is>
      </c>
      <c r="C33" s="3" t="inlineStr"/>
    </row>
    <row r="35">
      <c r="A35" s="1" t="inlineStr">
        <is>
          <t>資源池</t>
        </is>
      </c>
      <c r="B35" s="7" t="n"/>
      <c r="C35" s="7" t="n"/>
      <c r="D35" s="7" t="n"/>
      <c r="E35" s="8" t="n"/>
      <c r="F35" s="1" t="inlineStr">
        <is>
          <t>狀態效果</t>
        </is>
      </c>
      <c r="G35" s="7" t="n"/>
      <c r="H35" s="7" t="n"/>
      <c r="I35" s="7" t="n"/>
      <c r="J35" s="8" t="n"/>
    </row>
    <row r="36">
      <c r="A36" s="2" t="inlineStr">
        <is>
          <t>類型</t>
        </is>
      </c>
      <c r="B36" s="2" t="inlineStr">
        <is>
          <t>當前</t>
        </is>
      </c>
      <c r="C36" s="2" t="inlineStr">
        <is>
          <t>上限</t>
        </is>
      </c>
      <c r="D36" s="2" t="inlineStr">
        <is>
          <t>消耗</t>
        </is>
      </c>
      <c r="E36" s="2" t="inlineStr">
        <is>
          <t>恢復</t>
        </is>
      </c>
      <c r="F36" s="2" t="inlineStr">
        <is>
          <t>恐慌</t>
        </is>
      </c>
      <c r="G36" s="2" t="inlineStr">
        <is>
          <t>緊張</t>
        </is>
      </c>
      <c r="H36" s="2" t="inlineStr">
        <is>
          <t>混亂</t>
        </is>
      </c>
      <c r="I36" s="2" t="inlineStr">
        <is>
          <t>壓制</t>
        </is>
      </c>
      <c r="J36" s="2" t="inlineStr">
        <is>
          <t>流血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9">
      <c r="A39" s="1" t="inlineStr">
        <is>
          <t>身份能力 / 專長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</row>
    <row r="40">
      <c r="A40" s="2" t="inlineStr">
        <is>
          <t>等級</t>
        </is>
      </c>
      <c r="B40" s="2" t="inlineStr">
        <is>
          <t>能力名稱</t>
        </is>
      </c>
      <c r="C40" s="2" t="inlineStr">
        <is>
          <t>效果</t>
        </is>
      </c>
      <c r="D40" s="2" t="inlineStr">
        <is>
          <t>消耗</t>
        </is>
      </c>
      <c r="E40" s="2" t="inlineStr">
        <is>
          <t>頻率</t>
        </is>
      </c>
    </row>
    <row r="41">
      <c r="A41" s="3" t="inlineStr"/>
      <c r="B41" s="3" t="inlineStr"/>
      <c r="C41" s="3" t="inlineStr"/>
      <c r="D41" s="3" t="inlineStr"/>
      <c r="E41" s="3" t="inlineStr"/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6">
      <c r="A46" s="3" t="inlineStr"/>
      <c r="B46" s="3" t="inlineStr"/>
      <c r="C46" s="3" t="inlineStr"/>
      <c r="D46" s="3" t="inlineStr"/>
      <c r="E46" s="3" t="inlineStr"/>
    </row>
    <row r="47">
      <c r="A47" s="3" t="inlineStr"/>
      <c r="B47" s="3" t="inlineStr"/>
      <c r="C47" s="3" t="inlineStr"/>
      <c r="D47" s="3" t="inlineStr"/>
      <c r="E47" s="3" t="inlineStr"/>
    </row>
    <row r="48">
      <c r="A48" s="3" t="inlineStr"/>
      <c r="B48" s="3" t="inlineStr"/>
      <c r="C48" s="3" t="inlineStr"/>
      <c r="D48" s="3" t="inlineStr"/>
      <c r="E48" s="3" t="inlineStr"/>
    </row>
    <row r="49">
      <c r="A49" s="3" t="inlineStr"/>
      <c r="B49" s="3" t="inlineStr"/>
      <c r="C49" s="3" t="inlineStr"/>
      <c r="D49" s="3" t="inlineStr"/>
      <c r="E49" s="3" t="inlineStr"/>
    </row>
    <row r="50">
      <c r="A50" s="3" t="inlineStr"/>
      <c r="B50" s="3" t="inlineStr"/>
      <c r="C50" s="3" t="inlineStr"/>
      <c r="D50" s="3" t="inlineStr"/>
      <c r="E50" s="3" t="inlineStr"/>
    </row>
    <row r="52">
      <c r="A52" s="1" t="inlineStr">
        <is>
          <t>裝備與武器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</row>
    <row r="53">
      <c r="A53" s="2" t="inlineStr">
        <is>
          <t>武器名稱</t>
        </is>
      </c>
      <c r="B53" s="2" t="inlineStr">
        <is>
          <t>傷害</t>
        </is>
      </c>
      <c r="C53" s="2" t="inlineStr">
        <is>
          <t>類型</t>
        </is>
      </c>
      <c r="D53" s="2" t="inlineStr">
        <is>
          <t>彈藥</t>
        </is>
      </c>
      <c r="E53" s="2" t="inlineStr">
        <is>
          <t>特殊</t>
        </is>
      </c>
      <c r="F53" s="2" t="inlineStr">
        <is>
          <t>護甲名稱</t>
        </is>
      </c>
      <c r="G53" s="2" t="inlineStr">
        <is>
          <t>DR穿刺</t>
        </is>
      </c>
      <c r="H53" s="2" t="inlineStr">
        <is>
          <t>DR切割</t>
        </is>
      </c>
      <c r="I53" s="2" t="inlineStr">
        <is>
          <t>DR鈍擊</t>
        </is>
      </c>
      <c r="J53" s="2" t="inlineStr">
        <is>
          <t>特殊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</row>
    <row r="61">
      <c r="A61" s="2" t="inlineStr">
        <is>
          <t>其他裝備 / 物品</t>
        </is>
      </c>
    </row>
    <row r="62">
      <c r="A62" s="3" t="inlineStr"/>
      <c r="C62" s="3" t="inlineStr"/>
    </row>
    <row r="63">
      <c r="A63" s="3" t="inlineStr"/>
      <c r="C63" s="3" t="inlineStr"/>
    </row>
    <row r="64">
      <c r="A64" s="3" t="inlineStr"/>
      <c r="C64" s="3" t="inlineStr"/>
    </row>
    <row r="66">
      <c r="A66" s="1" t="inlineStr">
        <is>
          <t>背景 / 部門關係 / 道德追蹤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</row>
    <row r="67">
      <c r="A67" s="2" t="inlineStr">
        <is>
          <t>背景故事</t>
        </is>
      </c>
      <c r="B67" s="3" t="inlineStr"/>
    </row>
    <row r="68">
      <c r="A68" s="3" t="inlineStr"/>
      <c r="B68" s="3" t="inlineStr"/>
    </row>
    <row r="69">
      <c r="A69" s="2" t="inlineStr">
        <is>
          <t>部門關係(-10~+10)</t>
        </is>
      </c>
      <c r="B69" s="2" t="inlineStr">
        <is>
          <t>科學部</t>
        </is>
      </c>
      <c r="C69" s="2" t="inlineStr">
        <is>
          <t>安保部</t>
        </is>
      </c>
      <c r="D69" s="2" t="inlineStr">
        <is>
          <t>收容部</t>
        </is>
      </c>
      <c r="E69" s="2" t="inlineStr">
        <is>
          <t>外勤部</t>
        </is>
      </c>
      <c r="F69" s="2" t="inlineStr">
        <is>
          <t>資訊安保部</t>
        </is>
      </c>
      <c r="G69" s="2" t="inlineStr">
        <is>
          <t>後勤部</t>
        </is>
      </c>
      <c r="H69" s="2" t="inlineStr">
        <is>
          <t>倫理委員會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</row>
    <row r="72">
      <c r="A72" s="2" t="inlineStr">
        <is>
          <t>人性值(0-10)</t>
        </is>
      </c>
      <c r="B72" s="3" t="inlineStr"/>
      <c r="C72" s="2" t="inlineStr">
        <is>
          <t>道德值(0-10)</t>
        </is>
      </c>
      <c r="D72" s="3" t="inlineStr"/>
    </row>
  </sheetData>
  <mergeCells count="9">
    <mergeCell ref="A1:J1"/>
    <mergeCell ref="A35:E35"/>
    <mergeCell ref="A14:J14"/>
    <mergeCell ref="A8:J8"/>
    <mergeCell ref="A39:J39"/>
    <mergeCell ref="A2:J2"/>
    <mergeCell ref="A52:J52"/>
    <mergeCell ref="F35:J35"/>
    <mergeCell ref="A66:J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7" max="7"/>
    <col width="10" customWidth="1" min="8" max="8"/>
  </cols>
  <sheetData>
    <row r="1">
      <c r="A1" s="5" t="inlineStr">
        <is>
          <t>身份</t>
        </is>
      </c>
      <c r="B1" s="5" t="inlineStr">
        <is>
          <t>HP加值</t>
        </is>
      </c>
      <c r="C1" s="5" t="inlineStr">
        <is>
          <t>每級HP</t>
        </is>
      </c>
      <c r="D1" s="5" t="inlineStr">
        <is>
          <t>許可起點</t>
        </is>
      </c>
      <c r="E1" s="5" t="inlineStr">
        <is>
          <t>核心屬性</t>
        </is>
      </c>
      <c r="G1" s="5" t="inlineStr">
        <is>
          <t>身份</t>
        </is>
      </c>
      <c r="H1" s="5" t="inlineStr">
        <is>
          <t>先攻修正</t>
        </is>
      </c>
    </row>
    <row r="2">
      <c r="A2" s="6" t="inlineStr">
        <is>
          <t>MTF特遣隊員</t>
        </is>
      </c>
      <c r="B2" s="6" t="n">
        <v>20</v>
      </c>
      <c r="C2" s="6" t="n">
        <v>3</v>
      </c>
      <c r="D2" s="6" t="n">
        <v>2</v>
      </c>
      <c r="E2" s="6" t="inlineStr">
        <is>
          <t>STR</t>
        </is>
      </c>
      <c r="G2" s="6" t="inlineStr">
        <is>
          <t>MTF特遣隊員</t>
        </is>
      </c>
      <c r="H2" s="6" t="n">
        <v>5</v>
      </c>
    </row>
    <row r="3">
      <c r="A3" s="6" t="inlineStr">
        <is>
          <t>外勤特工</t>
        </is>
      </c>
      <c r="B3" s="6" t="n">
        <v>15</v>
      </c>
      <c r="C3" s="6" t="n">
        <v>3</v>
      </c>
      <c r="D3" s="6" t="n">
        <v>2</v>
      </c>
      <c r="E3" s="6" t="inlineStr">
        <is>
          <t>AGI</t>
        </is>
      </c>
      <c r="G3" s="6" t="inlineStr">
        <is>
          <t>外勤特工</t>
        </is>
      </c>
      <c r="H3" s="6" t="n">
        <v>8</v>
      </c>
    </row>
    <row r="4">
      <c r="A4" s="6" t="inlineStr">
        <is>
          <t>安保特工</t>
        </is>
      </c>
      <c r="B4" s="6" t="n">
        <v>15</v>
      </c>
      <c r="C4" s="6" t="n">
        <v>3</v>
      </c>
      <c r="D4" s="6" t="n">
        <v>2</v>
      </c>
      <c r="E4" s="6" t="inlineStr">
        <is>
          <t>PER</t>
        </is>
      </c>
      <c r="G4" s="6" t="inlineStr">
        <is>
          <t>安保特工</t>
        </is>
      </c>
      <c r="H4" s="6" t="n">
        <v>3</v>
      </c>
    </row>
    <row r="5">
      <c r="A5" s="6" t="inlineStr">
        <is>
          <t>技術專家</t>
        </is>
      </c>
      <c r="B5" s="6" t="n">
        <v>10</v>
      </c>
      <c r="C5" s="6" t="n">
        <v>2</v>
      </c>
      <c r="D5" s="6" t="n">
        <v>3</v>
      </c>
      <c r="E5" s="6" t="inlineStr">
        <is>
          <t>INT</t>
        </is>
      </c>
      <c r="G5" s="6" t="inlineStr">
        <is>
          <t>技術專家</t>
        </is>
      </c>
      <c r="H5" s="6" t="n">
        <v>2</v>
      </c>
    </row>
    <row r="6">
      <c r="A6" s="6" t="inlineStr">
        <is>
          <t>醫療專員</t>
        </is>
      </c>
      <c r="B6" s="6" t="n">
        <v>10</v>
      </c>
      <c r="C6" s="6" t="n">
        <v>2</v>
      </c>
      <c r="D6" s="6" t="n">
        <v>3</v>
      </c>
      <c r="E6" s="6" t="inlineStr">
        <is>
          <t>INT</t>
        </is>
      </c>
      <c r="G6" s="6" t="inlineStr">
        <is>
          <t>醫療專員</t>
        </is>
      </c>
      <c r="H6" s="6" t="n">
        <v>0</v>
      </c>
    </row>
    <row r="7">
      <c r="A7" s="6" t="inlineStr">
        <is>
          <t>研究員</t>
        </is>
      </c>
      <c r="B7" s="6" t="n">
        <v>5</v>
      </c>
      <c r="C7" s="6" t="n">
        <v>1</v>
      </c>
      <c r="D7" s="6" t="n">
        <v>3</v>
      </c>
      <c r="E7" s="6" t="inlineStr">
        <is>
          <t>INT</t>
        </is>
      </c>
      <c r="G7" s="6" t="inlineStr">
        <is>
          <t>研究員</t>
        </is>
      </c>
      <c r="H7" s="6" t="n">
        <v>0</v>
      </c>
    </row>
    <row r="8">
      <c r="A8" s="6" t="inlineStr">
        <is>
          <t>D級人員</t>
        </is>
      </c>
      <c r="B8" s="6" t="n">
        <v>0</v>
      </c>
      <c r="C8" s="6" t="n">
        <v>1</v>
      </c>
      <c r="D8" s="6" t="n">
        <v>0</v>
      </c>
      <c r="E8" s="6" t="inlineStr">
        <is>
          <t>任意</t>
        </is>
      </c>
      <c r="G8" s="6" t="inlineStr">
        <is>
          <t>D級人員</t>
        </is>
      </c>
      <c r="H8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NPC夥伴模板（30秒建立 · 單人模式用）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基本資料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名稱</t>
        </is>
      </c>
      <c r="B3" s="2" t="inlineStr">
        <is>
          <t>身份</t>
        </is>
      </c>
      <c r="C3" s="2" t="inlineStr">
        <is>
          <t>等級</t>
        </is>
      </c>
      <c r="D3" s="2" t="inlineStr">
        <is>
          <t>與PC關係</t>
        </is>
      </c>
      <c r="E3" s="2" t="inlineStr"/>
      <c r="F3" s="2" t="inlineStr"/>
      <c r="G3" s="2" t="inlineStr"/>
      <c r="H3" s="2" t="inlineStr"/>
    </row>
    <row r="4">
      <c r="A4" s="3" t="inlineStr"/>
      <c r="B4" s="3" t="inlineStr"/>
      <c r="C4" s="3" t="inlineStr"/>
      <c r="D4" s="3" t="inlineStr"/>
    </row>
    <row r="5">
      <c r="A5" s="2" t="inlineStr">
        <is>
          <t>備註（性格/背景）</t>
        </is>
      </c>
      <c r="B5" s="3" t="inlineStr"/>
    </row>
    <row r="7">
      <c r="A7" s="1" t="inlineStr">
        <is>
          <t>屬性（3項輸入 → 自動計算派生值）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敏捷</t>
        </is>
      </c>
      <c r="B8" s="3" t="inlineStr"/>
      <c r="C8" s="2" t="inlineStr">
        <is>
          <t>END 耐力</t>
        </is>
      </c>
      <c r="D8" s="3" t="inlineStr"/>
      <c r="E8" s="2" t="inlineStr">
        <is>
          <t>WIL 意志</t>
        </is>
      </c>
      <c r="F8" s="3" t="inlineStr"/>
      <c r="G8" s="2" t="inlineStr"/>
      <c r="H8" s="2" t="inlineStr"/>
    </row>
    <row r="9">
      <c r="A9" s="2" t="inlineStr">
        <is>
          <t>STR 力量</t>
        </is>
      </c>
      <c r="B9" s="3" t="inlineStr"/>
      <c r="C9" s="2" t="inlineStr">
        <is>
          <t>PER 感知</t>
        </is>
      </c>
      <c r="D9" s="3" t="inlineStr"/>
      <c r="E9" s="2" t="inlineStr">
        <is>
          <t>PRE 氣場</t>
        </is>
      </c>
      <c r="F9" s="3" t="inlineStr"/>
      <c r="G9" s="2" t="inlineStr"/>
      <c r="H9" s="2" t="inlineStr"/>
    </row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資源池</t>
        </is>
      </c>
      <c r="F11" s="3" t="n">
        <v>2</v>
      </c>
    </row>
    <row r="13">
      <c r="A13" s="1" t="inlineStr">
        <is>
          <t>技能（填2項核心技能 + 1項弱項）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核心技能1</t>
        </is>
      </c>
      <c r="B14" s="2" t="inlineStr">
        <is>
          <t>值</t>
        </is>
      </c>
      <c r="C14" s="2" t="inlineStr">
        <is>
          <t>核心技能2</t>
        </is>
      </c>
      <c r="D14" s="2" t="inlineStr">
        <is>
          <t>值</t>
        </is>
      </c>
      <c r="E14" s="2" t="inlineStr">
        <is>
          <t>弱項</t>
        </is>
      </c>
      <c r="F14" s="2" t="inlineStr">
        <is>
          <t>值</t>
        </is>
      </c>
      <c r="G14" s="2" t="inlineStr"/>
      <c r="H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7">
      <c r="A17" s="1" t="inlineStr">
        <is>
          <t>裝備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武器</t>
        </is>
      </c>
      <c r="B18" s="2" t="inlineStr">
        <is>
          <t>傷害</t>
        </is>
      </c>
      <c r="C18" s="2" t="inlineStr">
        <is>
          <t>類型</t>
        </is>
      </c>
      <c r="D18" s="2" t="inlineStr">
        <is>
          <t>彈藥</t>
        </is>
      </c>
      <c r="E18" s="2" t="inlineStr">
        <is>
          <t>護甲</t>
        </is>
      </c>
      <c r="F18" s="2" t="inlineStr">
        <is>
          <t>DR穿刺</t>
        </is>
      </c>
      <c r="G18" s="2" t="inlineStr">
        <is>
          <t>DR切割</t>
        </is>
      </c>
      <c r="H18" s="2" t="inlineStr">
        <is>
          <t>備註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2">
      <c r="A22" s="1" t="inlineStr">
        <is>
          <t>行動規則（參考）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戰鬥：PC可用快速動作指令 → 夥伴在自己的先攻執行</t>
        </is>
      </c>
    </row>
    <row r="24">
      <c r="A24" s="3" t="inlineStr">
        <is>
          <t>核心技能可協助PC檢定（+10 TN）。弱項不可協助</t>
        </is>
      </c>
    </row>
    <row r="25">
      <c r="A25" s="3" t="inlineStr">
        <is>
          <t>夥伴無SAN/SP系統。HP=0 → 3輪內急救否則死亡</t>
        </is>
      </c>
    </row>
    <row r="26">
      <c r="A26" s="3" t="inlineStr">
        <is>
          <t>信任度追蹤：−5（拒絕指令）/ +3（忠誠盟友）</t>
        </is>
      </c>
    </row>
    <row r="27">
      <c r="A27" s="3" t="inlineStr">
        <is>
          <t>夥伴死亡不可復活。回站點後PRE+領導TN 0招募新夥伴</t>
        </is>
      </c>
    </row>
    <row r="28">
      <c r="A28" s="3" t="inlineStr">
        <is>
          <t>推薦組合見「單人規則補充」§1.3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NPC夥伴模板（30秒建立 · 單人模式用）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基本資料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名稱</t>
        </is>
      </c>
      <c r="B3" s="2" t="inlineStr">
        <is>
          <t>身份</t>
        </is>
      </c>
      <c r="C3" s="2" t="inlineStr">
        <is>
          <t>等級</t>
        </is>
      </c>
      <c r="D3" s="2" t="inlineStr">
        <is>
          <t>與PC關係</t>
        </is>
      </c>
      <c r="E3" s="2" t="inlineStr"/>
      <c r="F3" s="2" t="inlineStr"/>
      <c r="G3" s="2" t="inlineStr"/>
      <c r="H3" s="2" t="inlineStr"/>
    </row>
    <row r="4">
      <c r="A4" s="3" t="inlineStr"/>
      <c r="B4" s="3" t="inlineStr"/>
      <c r="C4" s="3" t="inlineStr"/>
      <c r="D4" s="3" t="inlineStr"/>
    </row>
    <row r="5">
      <c r="A5" s="2" t="inlineStr">
        <is>
          <t>備註（性格/背景）</t>
        </is>
      </c>
      <c r="B5" s="3" t="inlineStr"/>
    </row>
    <row r="7">
      <c r="A7" s="1" t="inlineStr">
        <is>
          <t>屬性（3項輸入 → 自動計算派生值）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敏捷</t>
        </is>
      </c>
      <c r="B8" s="3" t="inlineStr"/>
      <c r="C8" s="2" t="inlineStr">
        <is>
          <t>END 耐力</t>
        </is>
      </c>
      <c r="D8" s="3" t="inlineStr"/>
      <c r="E8" s="2" t="inlineStr">
        <is>
          <t>WIL 意志</t>
        </is>
      </c>
      <c r="F8" s="3" t="inlineStr"/>
      <c r="G8" s="2" t="inlineStr"/>
      <c r="H8" s="2" t="inlineStr"/>
    </row>
    <row r="9">
      <c r="A9" s="2" t="inlineStr">
        <is>
          <t>STR 力量</t>
        </is>
      </c>
      <c r="B9" s="3" t="inlineStr"/>
      <c r="C9" s="2" t="inlineStr">
        <is>
          <t>PER 感知</t>
        </is>
      </c>
      <c r="D9" s="3" t="inlineStr"/>
      <c r="E9" s="2" t="inlineStr">
        <is>
          <t>PRE 氣場</t>
        </is>
      </c>
      <c r="F9" s="3" t="inlineStr"/>
      <c r="G9" s="2" t="inlineStr"/>
      <c r="H9" s="2" t="inlineStr"/>
    </row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資源池</t>
        </is>
      </c>
      <c r="F11" s="3" t="n">
        <v>2</v>
      </c>
    </row>
    <row r="13">
      <c r="A13" s="1" t="inlineStr">
        <is>
          <t>技能（填2項核心技能 + 1項弱項）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核心技能1</t>
        </is>
      </c>
      <c r="B14" s="2" t="inlineStr">
        <is>
          <t>值</t>
        </is>
      </c>
      <c r="C14" s="2" t="inlineStr">
        <is>
          <t>核心技能2</t>
        </is>
      </c>
      <c r="D14" s="2" t="inlineStr">
        <is>
          <t>值</t>
        </is>
      </c>
      <c r="E14" s="2" t="inlineStr">
        <is>
          <t>弱項</t>
        </is>
      </c>
      <c r="F14" s="2" t="inlineStr">
        <is>
          <t>值</t>
        </is>
      </c>
      <c r="G14" s="2" t="inlineStr"/>
      <c r="H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7">
      <c r="A17" s="1" t="inlineStr">
        <is>
          <t>裝備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武器</t>
        </is>
      </c>
      <c r="B18" s="2" t="inlineStr">
        <is>
          <t>傷害</t>
        </is>
      </c>
      <c r="C18" s="2" t="inlineStr">
        <is>
          <t>類型</t>
        </is>
      </c>
      <c r="D18" s="2" t="inlineStr">
        <is>
          <t>彈藥</t>
        </is>
      </c>
      <c r="E18" s="2" t="inlineStr">
        <is>
          <t>護甲</t>
        </is>
      </c>
      <c r="F18" s="2" t="inlineStr">
        <is>
          <t>DR穿刺</t>
        </is>
      </c>
      <c r="G18" s="2" t="inlineStr">
        <is>
          <t>DR切割</t>
        </is>
      </c>
      <c r="H18" s="2" t="inlineStr">
        <is>
          <t>備註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2">
      <c r="A22" s="1" t="inlineStr">
        <is>
          <t>行動規則（參考）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戰鬥：PC可用快速動作指令 → 夥伴在自己的先攻執行</t>
        </is>
      </c>
    </row>
    <row r="24">
      <c r="A24" s="3" t="inlineStr">
        <is>
          <t>核心技能可協助PC檢定（+10 TN）。弱項不可協助</t>
        </is>
      </c>
    </row>
    <row r="25">
      <c r="A25" s="3" t="inlineStr">
        <is>
          <t>夥伴無SAN/SP系統。HP=0 → 3輪內急救否則死亡</t>
        </is>
      </c>
    </row>
    <row r="26">
      <c r="A26" s="3" t="inlineStr">
        <is>
          <t>信任度追蹤：−5（拒絕指令）/ +3（忠誠盟友）</t>
        </is>
      </c>
    </row>
    <row r="27">
      <c r="A27" s="3" t="inlineStr">
        <is>
          <t>夥伴死亡不可復活。回站點後PRE+領導TN 0招募新夥伴</t>
        </is>
      </c>
    </row>
    <row r="28">
      <c r="A28" s="3" t="inlineStr">
        <is>
          <t>推薦組合見「單人規則補充」§1.3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NPC夥伴模板（30秒建立 · 單人模式用）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inlineStr">
        <is>
          <t>基本資料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2" t="inlineStr">
        <is>
          <t>名稱</t>
        </is>
      </c>
      <c r="B3" s="2" t="inlineStr">
        <is>
          <t>身份</t>
        </is>
      </c>
      <c r="C3" s="2" t="inlineStr">
        <is>
          <t>等級</t>
        </is>
      </c>
      <c r="D3" s="2" t="inlineStr">
        <is>
          <t>與PC關係</t>
        </is>
      </c>
      <c r="E3" s="2" t="inlineStr"/>
      <c r="F3" s="2" t="inlineStr"/>
      <c r="G3" s="2" t="inlineStr"/>
      <c r="H3" s="2" t="inlineStr"/>
    </row>
    <row r="4">
      <c r="A4" s="3" t="inlineStr"/>
      <c r="B4" s="3" t="inlineStr"/>
      <c r="C4" s="3" t="inlineStr"/>
      <c r="D4" s="3" t="inlineStr"/>
    </row>
    <row r="5">
      <c r="A5" s="2" t="inlineStr">
        <is>
          <t>備註（性格/背景）</t>
        </is>
      </c>
      <c r="B5" s="3" t="inlineStr"/>
    </row>
    <row r="7">
      <c r="A7" s="1" t="inlineStr">
        <is>
          <t>屬性（3項輸入 → 自動計算派生值）</t>
        </is>
      </c>
      <c r="B7" s="1" t="n"/>
      <c r="C7" s="1" t="n"/>
      <c r="D7" s="1" t="n"/>
      <c r="E7" s="1" t="n"/>
      <c r="F7" s="1" t="n"/>
      <c r="G7" s="1" t="n"/>
      <c r="H7" s="1" t="n"/>
    </row>
    <row r="8">
      <c r="A8" s="2" t="inlineStr">
        <is>
          <t>AGI 敏捷</t>
        </is>
      </c>
      <c r="B8" s="3" t="inlineStr"/>
      <c r="C8" s="2" t="inlineStr">
        <is>
          <t>END 耐力</t>
        </is>
      </c>
      <c r="D8" s="3" t="inlineStr"/>
      <c r="E8" s="2" t="inlineStr">
        <is>
          <t>WIL 意志</t>
        </is>
      </c>
      <c r="F8" s="3" t="inlineStr"/>
      <c r="G8" s="2" t="inlineStr"/>
      <c r="H8" s="2" t="inlineStr"/>
    </row>
    <row r="9">
      <c r="A9" s="2" t="inlineStr">
        <is>
          <t>STR 力量</t>
        </is>
      </c>
      <c r="B9" s="3" t="inlineStr"/>
      <c r="C9" s="2" t="inlineStr">
        <is>
          <t>PER 感知</t>
        </is>
      </c>
      <c r="D9" s="3" t="inlineStr"/>
      <c r="E9" s="2" t="inlineStr">
        <is>
          <t>PRE 氣場</t>
        </is>
      </c>
      <c r="F9" s="3" t="inlineStr"/>
      <c r="G9" s="2" t="inlineStr"/>
      <c r="H9" s="2" t="inlineStr"/>
    </row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資源池</t>
        </is>
      </c>
      <c r="F11" s="3" t="n">
        <v>2</v>
      </c>
    </row>
    <row r="13">
      <c r="A13" s="1" t="inlineStr">
        <is>
          <t>技能（填2項核心技能 + 1項弱項）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2" t="inlineStr">
        <is>
          <t>核心技能1</t>
        </is>
      </c>
      <c r="B14" s="2" t="inlineStr">
        <is>
          <t>值</t>
        </is>
      </c>
      <c r="C14" s="2" t="inlineStr">
        <is>
          <t>核心技能2</t>
        </is>
      </c>
      <c r="D14" s="2" t="inlineStr">
        <is>
          <t>值</t>
        </is>
      </c>
      <c r="E14" s="2" t="inlineStr">
        <is>
          <t>弱項</t>
        </is>
      </c>
      <c r="F14" s="2" t="inlineStr">
        <is>
          <t>值</t>
        </is>
      </c>
      <c r="G14" s="2" t="inlineStr"/>
      <c r="H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7">
      <c r="A17" s="1" t="inlineStr">
        <is>
          <t>裝備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2" t="inlineStr">
        <is>
          <t>武器</t>
        </is>
      </c>
      <c r="B18" s="2" t="inlineStr">
        <is>
          <t>傷害</t>
        </is>
      </c>
      <c r="C18" s="2" t="inlineStr">
        <is>
          <t>類型</t>
        </is>
      </c>
      <c r="D18" s="2" t="inlineStr">
        <is>
          <t>彈藥</t>
        </is>
      </c>
      <c r="E18" s="2" t="inlineStr">
        <is>
          <t>護甲</t>
        </is>
      </c>
      <c r="F18" s="2" t="inlineStr">
        <is>
          <t>DR穿刺</t>
        </is>
      </c>
      <c r="G18" s="2" t="inlineStr">
        <is>
          <t>DR切割</t>
        </is>
      </c>
      <c r="H18" s="2" t="inlineStr">
        <is>
          <t>備註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2">
      <c r="A22" s="1" t="inlineStr">
        <is>
          <t>行動規則（參考）</t>
        </is>
      </c>
      <c r="B22" s="1" t="n"/>
      <c r="C22" s="1" t="n"/>
      <c r="D22" s="1" t="n"/>
      <c r="E22" s="1" t="n"/>
      <c r="F22" s="1" t="n"/>
      <c r="G22" s="1" t="n"/>
      <c r="H22" s="1" t="n"/>
    </row>
    <row r="23">
      <c r="A23" s="3" t="inlineStr">
        <is>
          <t>戰鬥：PC可用快速動作指令 → 夥伴在自己的先攻執行</t>
        </is>
      </c>
    </row>
    <row r="24">
      <c r="A24" s="3" t="inlineStr">
        <is>
          <t>核心技能可協助PC檢定（+10 TN）。弱項不可協助</t>
        </is>
      </c>
    </row>
    <row r="25">
      <c r="A25" s="3" t="inlineStr">
        <is>
          <t>夥伴無SAN/SP系統。HP=0 → 3輪內急救否則死亡</t>
        </is>
      </c>
    </row>
    <row r="26">
      <c r="A26" s="3" t="inlineStr">
        <is>
          <t>信任度追蹤：−5（拒絕指令）/ +3（忠誠盟友）</t>
        </is>
      </c>
    </row>
    <row r="27">
      <c r="A27" s="3" t="inlineStr">
        <is>
          <t>夥伴死亡不可復活。回站點後PRE+領導TN 0招募新夥伴</t>
        </is>
      </c>
    </row>
    <row r="28">
      <c r="A28" s="3" t="inlineStr">
        <is>
          <t>推薦組合見「單人規則補充」§1.3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2026-06-20T17:04:20Z</dcterms:created>
  <dcterms:modified xmlns:dcterms="http://purl.org/dc/terms/" xmlns:xsi="http://www.w3.org/2001/XMLSchema-instance" xsi:type="dcterms:W3CDTF">2026-06-28T14:41:24Z</dcterms:modified>
</cp:coreProperties>
</file>