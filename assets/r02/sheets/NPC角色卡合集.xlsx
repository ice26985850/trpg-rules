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O主 NPC" sheetId="1" state="visible" r:id="rId1"/>
    <sheet xmlns:r="http://schemas.openxmlformats.org/officeDocument/2006/relationships" name="獨行玩家NPC夥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icrosoft JhengHei"/>
      <b val="1"/>
      <color rgb="00ffffff"/>
      <sz val="16"/>
    </font>
    <font>
      <name val="Microsoft JhengHei"/>
      <b val="1"/>
      <color rgb="00ffffff"/>
      <sz val="11"/>
    </font>
    <font>
      <name val="Microsoft JhengHei"/>
      <color rgb="001a1a1a"/>
      <sz val="10"/>
    </font>
    <font>
      <name val="Microsoft JhengHei"/>
      <color rgb="001a5276"/>
      <sz val="10"/>
    </font>
    <font>
      <name val="Microsoft JhengHei"/>
      <b val="1"/>
      <color rgb="001a1a1a"/>
      <sz val="9"/>
    </font>
    <font>
      <name val="Microsoft JhengHei"/>
      <b val="1"/>
      <color rgb="001a1a1a"/>
      <sz val="10"/>
    </font>
    <font>
      <name val="Microsoft JhengHei"/>
      <color rgb="001a1a1a"/>
      <sz val="9"/>
    </font>
    <font>
      <name val="Microsoft JhengHei"/>
      <color rgb="007f8c8d"/>
      <sz val="9"/>
    </font>
    <font>
      <name val="Microsoft JhengHei"/>
      <i val="1"/>
      <color rgb="001e3a5f"/>
      <sz val="9"/>
    </font>
    <font>
      <name val="Microsoft JhengHei"/>
      <color rgb="007f8c8d"/>
      <sz val="8"/>
    </font>
  </fonts>
  <fills count="9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2c5282"/>
        <bgColor rgb="002c5282"/>
      </patternFill>
    </fill>
    <fill>
      <patternFill patternType="solid">
        <fgColor rgb="00ffffff"/>
        <bgColor rgb="00ffffff"/>
      </patternFill>
    </fill>
    <fill>
      <patternFill patternType="solid">
        <fgColor rgb="008e44ad"/>
        <bgColor rgb="008e44ad"/>
      </patternFill>
    </fill>
    <fill>
      <patternFill patternType="solid">
        <fgColor rgb="00fff9c4"/>
        <bgColor rgb="00fff9c4"/>
      </patternFill>
    </fill>
    <fill>
      <patternFill patternType="solid">
        <fgColor rgb="00f0f2f5"/>
        <bgColor rgb="00f0f2f5"/>
      </patternFill>
    </fill>
    <fill>
      <patternFill patternType="solid">
        <fgColor rgb="001abc9c"/>
        <bgColor rgb="001abc9c"/>
      </patternFill>
    </fill>
  </fills>
  <borders count="6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/>
      <top style="thin">
        <color rgb="00d5d8dc"/>
      </top>
      <bottom style="thin">
        <color rgb="00d5d8dc"/>
      </bottom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min="1" max="1"/>
    <col width="17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2" customWidth="1" min="10" max="10"/>
    <col width="12" customWidth="1" min="11" max="11"/>
    <col width="20" customWidth="1" min="12" max="12"/>
  </cols>
  <sheetData>
    <row r="1" ht="28" customHeight="1">
      <c r="A1" s="1" t="inlineStr">
        <is>
          <t>SAO主 NPC — NPC角色卡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7" t="n"/>
    </row>
    <row r="2" ht="22" customHeight="1">
      <c r="A2" s="3" t="inlineStr">
        <is>
          <t>姓名</t>
        </is>
      </c>
      <c r="B2" s="3" t="inlineStr">
        <is>
          <t>Lv</t>
        </is>
      </c>
      <c r="C2" s="3" t="inlineStr">
        <is>
          <t>HP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HIT</t>
        </is>
      </c>
      <c r="G2" s="3" t="inlineStr">
        <is>
          <t>EVA</t>
        </is>
      </c>
      <c r="H2" s="3" t="inlineStr">
        <is>
          <t>SPD</t>
        </is>
      </c>
      <c r="I2" s="3" t="inlineStr">
        <is>
          <t>武器</t>
        </is>
      </c>
      <c r="J2" s="3" t="inlineStr">
        <is>
          <t>定位</t>
        </is>
      </c>
      <c r="K2" s="3" t="inlineStr">
        <is>
          <t>陣營</t>
        </is>
      </c>
      <c r="L2" s="3" t="inlineStr">
        <is>
          <t>備註</t>
        </is>
      </c>
    </row>
    <row r="3" ht="20" customHeight="1">
      <c r="A3" s="4" t="inlineStr">
        <is>
          <t>桐人</t>
        </is>
      </c>
      <c r="B3" s="4" t="inlineStr">
        <is>
          <t>96</t>
        </is>
      </c>
      <c r="C3" s="5">
        <f>20*8+96*2</f>
        <v/>
      </c>
      <c r="D3" s="4" t="inlineStr">
        <is>
          <t>180</t>
        </is>
      </c>
      <c r="E3" s="4" t="inlineStr">
        <is>
          <t>120</t>
        </is>
      </c>
      <c r="F3" s="5">
        <f>18*2+22</f>
        <v/>
      </c>
      <c r="G3" s="5">
        <f>22*2</f>
        <v/>
      </c>
      <c r="H3" s="4" t="inlineStr">
        <is>
          <t>88</t>
        </is>
      </c>
      <c r="I3" s="4" t="inlineStr">
        <is>
          <t>闡釋者+逐闇者</t>
        </is>
      </c>
      <c r="J3" s="4" t="inlineStr">
        <is>
          <t>二刀流</t>
        </is>
      </c>
      <c r="K3" s="4" t="inlineStr">
        <is>
          <t>獨行</t>
        </is>
      </c>
      <c r="L3" s="4" t="inlineStr">
        <is>
          <t>唯一技能二刀流</t>
        </is>
      </c>
    </row>
    <row r="4" ht="20" customHeight="1">
      <c r="A4" s="4" t="inlineStr">
        <is>
          <t>亞絲娜</t>
        </is>
      </c>
      <c r="B4" s="4" t="inlineStr">
        <is>
          <t>94</t>
        </is>
      </c>
      <c r="C4" s="5">
        <f>18*8+94*2</f>
        <v/>
      </c>
      <c r="D4" s="4" t="inlineStr">
        <is>
          <t>155</t>
        </is>
      </c>
      <c r="E4" s="4" t="inlineStr">
        <is>
          <t>100</t>
        </is>
      </c>
      <c r="F4" s="5">
        <f>18*2+22</f>
        <v/>
      </c>
      <c r="G4" s="5">
        <f>22*2</f>
        <v/>
      </c>
      <c r="H4" s="4" t="inlineStr">
        <is>
          <t>92</t>
        </is>
      </c>
      <c r="I4" s="4" t="inlineStr">
        <is>
          <t>閃爍之光</t>
        </is>
      </c>
      <c r="J4" s="4" t="inlineStr">
        <is>
          <t>KoB副會長</t>
        </is>
      </c>
      <c r="K4" s="4" t="inlineStr">
        <is>
          <t>KoB</t>
        </is>
      </c>
      <c r="L4" s="4" t="inlineStr">
        <is>
          <t>稱號:閃光</t>
        </is>
      </c>
    </row>
    <row r="5" ht="20" customHeight="1">
      <c r="A5" s="4" t="inlineStr">
        <is>
          <t>克萊因</t>
        </is>
      </c>
      <c r="B5" s="4" t="inlineStr">
        <is>
          <t>75</t>
        </is>
      </c>
      <c r="C5" s="5">
        <f>16*8+75*2</f>
        <v/>
      </c>
      <c r="D5" s="4" t="inlineStr">
        <is>
          <t>130</t>
        </is>
      </c>
      <c r="E5" s="4" t="inlineStr">
        <is>
          <t>85</t>
        </is>
      </c>
      <c r="F5" s="5">
        <f>16*2+16</f>
        <v/>
      </c>
      <c r="G5" s="5">
        <f>16*2</f>
        <v/>
      </c>
      <c r="H5" s="4" t="inlineStr">
        <is>
          <t>72</t>
        </is>
      </c>
      <c r="I5" s="4" t="inlineStr">
        <is>
          <t>刀</t>
        </is>
      </c>
      <c r="J5" s="4" t="inlineStr">
        <is>
          <t>風林火山會長</t>
        </is>
      </c>
      <c r="K5" s="4" t="inlineStr">
        <is>
          <t>風林火山</t>
        </is>
      </c>
      <c r="L5" s="4" t="inlineStr">
        <is>
          <t>熱情義氣</t>
        </is>
      </c>
    </row>
    <row r="6" ht="20" customHeight="1">
      <c r="A6" s="4" t="inlineStr">
        <is>
          <t>希茲克利夫</t>
        </is>
      </c>
      <c r="B6" s="4" t="inlineStr">
        <is>
          <t>96</t>
        </is>
      </c>
      <c r="C6" s="5">
        <f>30*8+96*2</f>
        <v/>
      </c>
      <c r="D6" s="4" t="inlineStr">
        <is>
          <t>220</t>
        </is>
      </c>
      <c r="E6" s="4" t="inlineStr">
        <is>
          <t>180</t>
        </is>
      </c>
      <c r="F6" s="5">
        <f>22*2+20</f>
        <v/>
      </c>
      <c r="G6" s="5">
        <f>20*2</f>
        <v/>
      </c>
      <c r="H6" s="4" t="inlineStr">
        <is>
          <t>88</t>
        </is>
      </c>
      <c r="I6" s="4" t="inlineStr">
        <is>
          <t>神聖劍</t>
        </is>
      </c>
      <c r="J6" s="4" t="inlineStr">
        <is>
          <t>KoB會長=茅場</t>
        </is>
      </c>
      <c r="K6" s="4" t="inlineStr">
        <is>
          <t>最終Boss</t>
        </is>
      </c>
      <c r="L6" s="4" t="inlineStr">
        <is>
          <t>GM權限</t>
        </is>
      </c>
    </row>
    <row r="7" ht="20" customHeight="1">
      <c r="A7" s="4" t="inlineStr">
        <is>
          <t>阿爾戈</t>
        </is>
      </c>
      <c r="B7" s="4" t="inlineStr">
        <is>
          <t>30</t>
        </is>
      </c>
      <c r="C7" s="5">
        <f>10*8+30*2</f>
        <v/>
      </c>
      <c r="D7" s="4" t="inlineStr">
        <is>
          <t>45</t>
        </is>
      </c>
      <c r="E7" s="4" t="inlineStr">
        <is>
          <t>30</t>
        </is>
      </c>
      <c r="F7" s="5">
        <f>14*2+16</f>
        <v/>
      </c>
      <c r="G7" s="5">
        <f>16*2</f>
        <v/>
      </c>
      <c r="H7" s="4" t="inlineStr">
        <is>
          <t>60</t>
        </is>
      </c>
      <c r="I7" s="4" t="inlineStr">
        <is>
          <t>短劍</t>
        </is>
      </c>
      <c r="J7" s="4" t="inlineStr">
        <is>
          <t>情報商</t>
        </is>
      </c>
      <c r="K7" s="4" t="inlineStr">
        <is>
          <t>中立</t>
        </is>
      </c>
      <c r="L7" s="4" t="inlineStr">
        <is>
          <t>攻略指南作者</t>
        </is>
      </c>
    </row>
    <row r="8" ht="20" customHeight="1">
      <c r="A8" s="4" t="inlineStr">
        <is>
          <t>艾基爾</t>
        </is>
      </c>
      <c r="B8" s="4" t="inlineStr">
        <is>
          <t>70</t>
        </is>
      </c>
      <c r="C8" s="5">
        <f>20*8+70*2</f>
        <v/>
      </c>
      <c r="D8" s="4" t="inlineStr">
        <is>
          <t>140</t>
        </is>
      </c>
      <c r="E8" s="4" t="inlineStr">
        <is>
          <t>90</t>
        </is>
      </c>
      <c r="F8" s="5">
        <f>12*2+12</f>
        <v/>
      </c>
      <c r="G8" s="5">
        <f>12*2</f>
        <v/>
      </c>
      <c r="H8" s="4" t="inlineStr">
        <is>
          <t>55</t>
        </is>
      </c>
      <c r="I8" s="4" t="inlineStr">
        <is>
          <t>斧</t>
        </is>
      </c>
      <c r="J8" s="4" t="inlineStr">
        <is>
          <t>商人/斧使</t>
        </is>
      </c>
      <c r="K8" s="4" t="inlineStr">
        <is>
          <t>獨立</t>
        </is>
      </c>
      <c r="L8" s="4" t="inlineStr">
        <is>
          <t>情報物資支援</t>
        </is>
      </c>
    </row>
  </sheetData>
  <mergeCells count="85">
    <mergeCell ref="I8"/>
    <mergeCell ref="A4"/>
    <mergeCell ref="H3"/>
    <mergeCell ref="C7"/>
    <mergeCell ref="J3"/>
    <mergeCell ref="B6"/>
    <mergeCell ref="E7"/>
    <mergeCell ref="H5"/>
    <mergeCell ref="B4"/>
    <mergeCell ref="G2"/>
    <mergeCell ref="I2"/>
    <mergeCell ref="H4"/>
    <mergeCell ref="A6"/>
    <mergeCell ref="H6"/>
    <mergeCell ref="J6"/>
    <mergeCell ref="G6"/>
    <mergeCell ref="B8"/>
    <mergeCell ref="L8"/>
    <mergeCell ref="A3"/>
    <mergeCell ref="E6"/>
    <mergeCell ref="H7"/>
    <mergeCell ref="J7"/>
    <mergeCell ref="K8"/>
    <mergeCell ref="A5"/>
    <mergeCell ref="D3"/>
    <mergeCell ref="G4"/>
    <mergeCell ref="I4"/>
    <mergeCell ref="K7"/>
    <mergeCell ref="J2"/>
    <mergeCell ref="B5"/>
    <mergeCell ref="D5"/>
    <mergeCell ref="K4"/>
    <mergeCell ref="J5"/>
    <mergeCell ref="E8"/>
    <mergeCell ref="G8"/>
    <mergeCell ref="F3"/>
    <mergeCell ref="A7"/>
    <mergeCell ref="L5"/>
    <mergeCell ref="G3"/>
    <mergeCell ref="J4"/>
    <mergeCell ref="I3"/>
    <mergeCell ref="L4"/>
    <mergeCell ref="D7"/>
    <mergeCell ref="A2"/>
    <mergeCell ref="C2"/>
    <mergeCell ref="E2"/>
    <mergeCell ref="G5"/>
    <mergeCell ref="I5"/>
    <mergeCell ref="D8"/>
    <mergeCell ref="H8"/>
    <mergeCell ref="J8"/>
    <mergeCell ref="I6"/>
    <mergeCell ref="L2"/>
    <mergeCell ref="C6"/>
    <mergeCell ref="F6"/>
    <mergeCell ref="C4"/>
    <mergeCell ref="E4"/>
    <mergeCell ref="L3"/>
    <mergeCell ref="D6"/>
    <mergeCell ref="G7"/>
    <mergeCell ref="I7"/>
    <mergeCell ref="K2"/>
    <mergeCell ref="A8"/>
    <mergeCell ref="D4"/>
    <mergeCell ref="C8"/>
    <mergeCell ref="L6"/>
    <mergeCell ref="K6"/>
    <mergeCell ref="K3"/>
    <mergeCell ref="C3"/>
    <mergeCell ref="F4"/>
    <mergeCell ref="E3"/>
    <mergeCell ref="B7"/>
    <mergeCell ref="L7"/>
    <mergeCell ref="B3"/>
    <mergeCell ref="K5"/>
    <mergeCell ref="C5"/>
    <mergeCell ref="E5"/>
    <mergeCell ref="F7"/>
    <mergeCell ref="B2"/>
    <mergeCell ref="D2"/>
    <mergeCell ref="F5"/>
    <mergeCell ref="F8"/>
    <mergeCell ref="F2"/>
    <mergeCell ref="H2"/>
    <mergeCell ref="A1:L1"/>
  </mergeCells>
  <pageMargins left="0.75" right="0.75" top="1" bottom="1" header="0.5" footer="0.5"/>
  <pageSetup orientation="landscape" paperSize="9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22" customWidth="1" min="13" max="13"/>
    <col width="22" customWidth="1" min="14" max="14"/>
  </cols>
  <sheetData>
    <row r="1" ht="30" customHeight="1">
      <c r="A1" s="8" t="inlineStr">
        <is>
          <t>SAO TRPG — 獨行玩家 NPC 夥伴卡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2" customHeight="1">
      <c r="A2" s="9" t="inlineStr">
        <is>
          <t>▶ 此頁用於 1玩家+1GM 單人模式。修改玩家Lv後所有數值自動更新。性格關鍵詞供GM扮演參考。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4" customHeight="1">
      <c r="A3" s="10" t="inlineStr">
        <is>
          <t>玩家當前 Lv →</t>
        </is>
      </c>
      <c r="B3" s="2" t="n"/>
      <c r="C3" s="11" t="inlineStr"/>
      <c r="D3" s="12" t="inlineStr">
        <is>
          <t>（在此輸入玩家等級，下方夥伴數值自動計算）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6" customHeight="1">
      <c r="A4" s="13" t="inlineStr">
        <is>
          <t>#</t>
        </is>
      </c>
      <c r="B4" s="13" t="inlineStr">
        <is>
          <t>夥伴名稱</t>
        </is>
      </c>
      <c r="C4" s="13" t="inlineStr">
        <is>
          <t>類型</t>
        </is>
      </c>
      <c r="D4" s="13" t="inlineStr">
        <is>
          <t>Lv</t>
        </is>
      </c>
      <c r="E4" s="13" t="inlineStr">
        <is>
          <t>HP</t>
        </is>
      </c>
      <c r="F4" s="13" t="inlineStr">
        <is>
          <t>ATK</t>
        </is>
      </c>
      <c r="G4" s="13" t="inlineStr">
        <is>
          <t>DEF</t>
        </is>
      </c>
      <c r="H4" s="13" t="inlineStr">
        <is>
          <t>HIT</t>
        </is>
      </c>
      <c r="I4" s="13" t="inlineStr">
        <is>
          <t>EVA</t>
        </is>
      </c>
      <c r="J4" s="13" t="inlineStr">
        <is>
          <t>SPD</t>
        </is>
      </c>
      <c r="K4" s="13" t="inlineStr">
        <is>
          <t>武器</t>
        </is>
      </c>
      <c r="L4" s="13" t="inlineStr">
        <is>
          <t>特殊能力(戰鬥)</t>
        </is>
      </c>
      <c r="M4" s="13" t="inlineStr">
        <is>
          <t>性格關鍵詞</t>
        </is>
      </c>
      <c r="N4" s="13" t="inlineStr">
        <is>
          <t>加入時機</t>
        </is>
      </c>
    </row>
    <row r="5" ht="42" customHeight="1">
      <c r="A5" s="11" t="inlineStr">
        <is>
          <t>1</t>
        </is>
      </c>
      <c r="B5" s="11" t="inlineStr">
        <is>
          <t>克萊因 (Klein)</t>
        </is>
      </c>
      <c r="C5" s="11" t="inlineStr">
        <is>
          <t>劇情夥伴</t>
        </is>
      </c>
      <c r="D5" s="14">
        <f>$C$3</f>
        <v/>
      </c>
      <c r="E5" s="14">
        <f>16*8 + $C$3*2</f>
        <v/>
      </c>
      <c r="F5" s="14">
        <f>STR+武器ATK</f>
        <v/>
      </c>
      <c r="G5" s="14">
        <f>12 + $C$3/5</f>
        <v/>
      </c>
      <c r="H5" s="14">
        <f>14*2 + 16</f>
        <v/>
      </c>
      <c r="I5" s="14">
        <f>16*2</f>
        <v/>
      </c>
      <c r="J5" s="14">
        <f>16</f>
        <v/>
      </c>
      <c r="K5" s="11" t="inlineStr">
        <is>
          <t>刀 (ATK + $C$3/3)</t>
        </is>
      </c>
      <c r="L5" s="15" t="inlineStr">
        <is>
          <t>居合斬 ATK×1.8, 硬直1 | 士氣鼓舞 全員ATK+5 (2回合, CD3)</t>
        </is>
      </c>
      <c r="M5" s="15" t="inlineStr">
        <is>
          <t>熱情、義氣、粗獷可靠</t>
        </is>
      </c>
      <c r="N5" s="15" t="inlineStr">
        <is>
          <t>Lv.1 起始即可</t>
        </is>
      </c>
    </row>
    <row r="6" ht="42" customHeight="1">
      <c r="A6" s="11" t="inlineStr">
        <is>
          <t>2</t>
        </is>
      </c>
      <c r="B6" s="11" t="inlineStr">
        <is>
          <t>亞絲娜 (Asuna)</t>
        </is>
      </c>
      <c r="C6" s="11" t="inlineStr">
        <is>
          <t>劇情夥伴</t>
        </is>
      </c>
      <c r="D6" s="14">
        <f>$C$3</f>
        <v/>
      </c>
      <c r="E6" s="14">
        <f>18*8 + $C$3*2</f>
        <v/>
      </c>
      <c r="F6" s="14">
        <f>細劍ATK</f>
        <v/>
      </c>
      <c r="G6" s="14">
        <f>15 + $C$3/5</f>
        <v/>
      </c>
      <c r="H6" s="14">
        <f>18*2 + 22</f>
        <v/>
      </c>
      <c r="I6" s="14">
        <f>22*2</f>
        <v/>
      </c>
      <c r="J6" s="14">
        <f>22</f>
        <v/>
      </c>
      <c r="K6" s="11" t="inlineStr">
        <is>
          <t>閃爍之光 (ATK + $C$3/2 + 5)</t>
        </is>
      </c>
      <c r="L6" s="15" t="inlineStr">
        <is>
          <t>閃爍突刺 ATK×2.0, HIT+15, 硬直1 | 高速切換 代替玩家承受攻擊 (每戰鬥2次)</t>
        </is>
      </c>
      <c r="M6" s="15" t="inlineStr">
        <is>
          <t>冷靜、高效、溫柔的強悍</t>
        </is>
      </c>
      <c r="N6" s="15" t="inlineStr">
        <is>
          <t>Lv.25 劇情解鎖</t>
        </is>
      </c>
    </row>
    <row r="7" ht="42" customHeight="1">
      <c r="A7" s="11" t="inlineStr">
        <is>
          <t>3</t>
        </is>
      </c>
      <c r="B7" s="11" t="inlineStr">
        <is>
          <t>艾基爾 (Agil)</t>
        </is>
      </c>
      <c r="C7" s="11" t="inlineStr">
        <is>
          <t>劇情夥伴</t>
        </is>
      </c>
      <c r="D7" s="14">
        <f>$C$3</f>
        <v/>
      </c>
      <c r="E7" s="14">
        <f>20*8 + $C$3*2</f>
        <v/>
      </c>
      <c r="F7" s="14">
        <f>戰斧ATK</f>
        <v/>
      </c>
      <c r="G7" s="14">
        <f>18 + $C$3/4</f>
        <v/>
      </c>
      <c r="H7" s="14">
        <f>12*2 + 12</f>
        <v/>
      </c>
      <c r="I7" s="14">
        <f>12*2 - 5</f>
        <v/>
      </c>
      <c r="J7" s="14">
        <f>12</f>
        <v/>
      </c>
      <c r="K7" s="11" t="inlineStr">
        <is>
          <t>戰斧 (ATK + $C$3/2)</t>
        </is>
      </c>
      <c r="L7" s="15" t="inlineStr">
        <is>
          <t>大地粉碎 ATK×2.5, 範圍, 硬直2 | 鐵壁 代替玩家承受攻擊 (每戰鬥1次, DEF×2)</t>
        </is>
      </c>
      <c r="M7" s="15" t="inlineStr">
        <is>
          <t>沉穩、可靠、父親般的存在</t>
        </is>
      </c>
      <c r="N7" s="15" t="inlineStr">
        <is>
          <t>Lv.1-70 隨時可招募</t>
        </is>
      </c>
    </row>
    <row r="8" ht="36" customHeight="1">
      <c r="A8" s="11" t="inlineStr">
        <is>
          <t>4</t>
        </is>
      </c>
      <c r="B8" s="11" t="inlineStr">
        <is>
          <t>莉茲貝特 (Lisbeth)</t>
        </is>
      </c>
      <c r="C8" s="11" t="inlineStr">
        <is>
          <t>後勤夥伴</t>
        </is>
      </c>
      <c r="D8" s="14">
        <f>$C$3 - 5</f>
        <v/>
      </c>
      <c r="E8" s="14">
        <f>14*8 + ($C$3-5)*2</f>
        <v/>
      </c>
      <c r="F8" s="14">
        <f>錘ATK</f>
        <v/>
      </c>
      <c r="G8" s="14">
        <f>10 + $C$3/6</f>
        <v/>
      </c>
      <c r="H8" s="14">
        <f>10*2 + 10</f>
        <v/>
      </c>
      <c r="I8" s="14">
        <f>10*2 - 5</f>
        <v/>
      </c>
      <c r="J8" s="14">
        <f>10</f>
        <v/>
      </c>
      <c r="K8" s="11" t="inlineStr">
        <is>
          <t>戰錘 (ATK + ($C$3-5)/3)</t>
        </is>
      </c>
      <c r="L8" s="15" t="inlineStr">
        <is>
          <t>粉碎打擊 ATK×1.8, 暈眩 | 武器強化 戰鬥前玩家武器臨時+5ATK (1場戰鬥)</t>
        </is>
      </c>
      <c r="M8" s="15" t="inlineStr">
        <is>
          <t>活潑、開朗、手藝精湛</t>
        </is>
      </c>
      <c r="N8" s="15" t="inlineStr">
        <is>
          <t>Lv.15 劇情解鎖</t>
        </is>
      </c>
    </row>
    <row r="9" ht="36" customHeight="1">
      <c r="A9" s="11" t="inlineStr">
        <is>
          <t>5</t>
        </is>
      </c>
      <c r="B9" s="11" t="inlineStr">
        <is>
          <t>阿爾戈 (Argo)</t>
        </is>
      </c>
      <c r="C9" s="11" t="inlineStr">
        <is>
          <t>情報夥伴</t>
        </is>
      </c>
      <c r="D9" s="14">
        <f>$C$3 - 3</f>
        <v/>
      </c>
      <c r="E9" s="14">
        <f>10*8 + ($C$3-3)*2</f>
        <v/>
      </c>
      <c r="F9" s="14">
        <f>短劍ATK</f>
        <v/>
      </c>
      <c r="G9" s="14">
        <f>8 + $C$3/6</f>
        <v/>
      </c>
      <c r="H9" s="14">
        <f>16*2 + 18</f>
        <v/>
      </c>
      <c r="I9" s="14">
        <f>18*2 + 10</f>
        <v/>
      </c>
      <c r="J9" s="14">
        <f>18</f>
        <v/>
      </c>
      <c r="K9" s="11" t="inlineStr">
        <is>
          <t>短劍 (ATK + ($C$3-3)/4)</t>
        </is>
      </c>
      <c r="L9" s="15" t="inlineStr">
        <is>
          <t>弱點識破 全員對該怪物傷害×1.2 (每戰鬥1次) | 煙幕撤退 全員EVA+20 (逃跑用)</t>
        </is>
      </c>
      <c r="M9" s="15" t="inlineStr">
        <is>
          <t>精明、略帶狡黠、資訊就是力量</t>
        </is>
      </c>
      <c r="N9" s="15" t="inlineStr">
        <is>
          <t>Lv.1-40 可招募</t>
        </is>
      </c>
    </row>
    <row r="10" ht="36" customHeight="1">
      <c r="A10" s="11" t="inlineStr">
        <is>
          <t>6</t>
        </is>
      </c>
      <c r="B10" s="11" t="inlineStr">
        <is>
          <t>啟太 (Keita)</t>
        </is>
      </c>
      <c r="C10" s="11" t="inlineStr">
        <is>
          <t>劇情夥伴</t>
        </is>
      </c>
      <c r="D10" s="14">
        <f>$C$3 - 5</f>
        <v/>
      </c>
      <c r="E10" s="14">
        <f>12*8 + ($C$3-5)*2</f>
        <v/>
      </c>
      <c r="F10" s="14">
        <f>單手劍ATK</f>
        <v/>
      </c>
      <c r="G10" s="14">
        <f>10 + $C$3/6</f>
        <v/>
      </c>
      <c r="H10" s="14">
        <f>12*2 + 14</f>
        <v/>
      </c>
      <c r="I10" s="14">
        <f>14*2</f>
        <v/>
      </c>
      <c r="J10" s="14">
        <f>14</f>
        <v/>
      </c>
      <c r="K10" s="11" t="inlineStr">
        <is>
          <t>單手劍 (ATK + ($C$3-5)/3)</t>
        </is>
      </c>
      <c r="L10" s="15" t="inlineStr">
        <is>
          <t>連攜攻擊 切換時HIT+5, ATK×1.1 | 掩護 代替玩家承受一次攻擊 (每戰鬥1次)</t>
        </is>
      </c>
      <c r="M10" s="15" t="inlineStr">
        <is>
          <t>溫和、信任他人、有點天真</t>
        </is>
      </c>
      <c r="N10" s="15" t="inlineStr">
        <is>
          <t>Lv.15-27 月夜黑貓團劇情</t>
        </is>
      </c>
    </row>
    <row r="12">
      <c r="A12" s="16" t="inlineStr">
        <is>
          <t>夥伴類型說明：劇情夥伴=故事中自動加入 | 後勤夥伴=提供強化不參戰 | 情報夥伴=提供Buff和戰術支援</t>
        </is>
      </c>
    </row>
  </sheetData>
  <mergeCells count="4">
    <mergeCell ref="A12:N12"/>
    <mergeCell ref="A3:B3"/>
    <mergeCell ref="A2:N2"/>
    <mergeCell ref="A1:N1"/>
  </mergeCells>
  <pageMargins left="0.75" right="0.75" top="1" bottom="1" header="0.5" footer="0.5"/>
  <pageSetup orientation="landscape" paperSize="8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2026-06-20T17:16:45Z</dcterms:created>
  <dcterms:modified xmlns:dcterms="http://purl.org/dc/terms/" xmlns:xsi="http://www.w3.org/2001/XMLSchema-instance" xsi:type="dcterms:W3CDTF">2026-06-28T15:08:29Z</dcterms:modified>
</cp:coreProperties>
</file>