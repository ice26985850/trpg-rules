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F5496"/>
      <sz val="18"/>
    </font>
    <font>
      <name val="微軟正黑體"/>
      <b val="1"/>
      <color rgb="002F5496"/>
      <sz val="12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I7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絕地戰場 TRPG — 玩家角色卡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基本資訊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玩家姓名</t>
        </is>
      </c>
      <c r="B3" s="6" t="inlineStr"/>
      <c r="C3" s="5" t="inlineStr">
        <is>
          <t>角色姓名</t>
        </is>
      </c>
      <c r="D3" s="6" t="inlineStr"/>
      <c r="E3" s="5" t="inlineStr">
        <is>
          <t>代號（綽號）</t>
        </is>
      </c>
      <c r="F3" s="6" t="inlineStr"/>
      <c r="G3" s="5" t="inlineStr">
        <is>
          <t>等級</t>
        </is>
      </c>
      <c r="H3" s="6" t="inlineStr"/>
    </row>
    <row r="4">
      <c r="A4" s="5" t="inlineStr">
        <is>
          <t>背景</t>
        </is>
      </c>
      <c r="B4" s="6" t="inlineStr"/>
      <c r="C4" s="5" t="inlineStr">
        <is>
          <t>經驗值（XP）</t>
        </is>
      </c>
      <c r="D4" s="6" t="inlineStr"/>
      <c r="E4" s="5" t="inlineStr">
        <is>
          <t>年齡</t>
        </is>
      </c>
      <c r="F4" s="6" t="inlineStr"/>
      <c r="G4" s="5" t="inlineStr">
        <is>
          <t>性別</t>
        </is>
      </c>
      <c r="H4" s="6" t="inlineStr"/>
    </row>
    <row r="5">
      <c r="A5" s="5" t="inlineStr">
        <is>
          <t>身高/體重</t>
        </is>
      </c>
      <c r="B5" s="6" t="inlineStr"/>
      <c r="C5" s="5" t="inlineStr">
        <is>
          <t>參賽動機</t>
        </is>
      </c>
      <c r="D5" s="6" t="inlineStr"/>
    </row>
    <row r="6">
      <c r="A6" s="3" t="inlineStr">
        <is>
          <t>核心屬性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5" t="inlineStr">
        <is>
          <t>屬性名稱</t>
        </is>
      </c>
      <c r="C7" s="5" t="inlineStr">
        <is>
          <t>屬性值</t>
        </is>
      </c>
      <c r="E7" s="5" t="inlineStr">
        <is>
          <t>屬性加值（AM）</t>
        </is>
      </c>
      <c r="G7" s="5" t="inlineStr">
        <is>
          <t>公式</t>
        </is>
      </c>
    </row>
    <row r="8">
      <c r="A8" s="5" t="inlineStr">
        <is>
          <t>槍法（AIM）</t>
        </is>
      </c>
      <c r="C8" s="6" t="inlineStr"/>
      <c r="E8" s="6">
        <f>FLOOR.MATH((C8-10)/2)</f>
        <v/>
      </c>
      <c r="G8" s="6">
        <f>FLOOR((槍法-10)/2)</f>
        <v/>
      </c>
    </row>
    <row r="9">
      <c r="A9" s="5" t="inlineStr">
        <is>
          <t>體能（PHY）</t>
        </is>
      </c>
      <c r="C9" s="6" t="inlineStr"/>
      <c r="E9" s="6">
        <f>FLOOR.MATH((C9-10)/2)</f>
        <v/>
      </c>
      <c r="G9" s="6">
        <f>FLOOR((體能-10)/2)</f>
        <v/>
      </c>
    </row>
    <row r="10">
      <c r="A10" s="5" t="inlineStr">
        <is>
          <t>戰術（TAC）</t>
        </is>
      </c>
      <c r="C10" s="6" t="inlineStr"/>
      <c r="E10" s="6">
        <f>FLOOR.MATH((C10-10)/2)</f>
        <v/>
      </c>
      <c r="G10" s="6">
        <f>FLOOR((戰術-10)/2)</f>
        <v/>
      </c>
    </row>
    <row r="11">
      <c r="A11" s="5" t="inlineStr">
        <is>
          <t>駕駛（DRV）</t>
        </is>
      </c>
      <c r="C11" s="6" t="inlineStr"/>
      <c r="E11" s="6">
        <f>FLOOR.MATH((C11-10)/2)</f>
        <v/>
      </c>
      <c r="G11" s="6">
        <f>FLOOR((駕駛-10)/2)</f>
        <v/>
      </c>
    </row>
    <row r="12">
      <c r="A12" s="5" t="inlineStr">
        <is>
          <t>冷靜（CLM）</t>
        </is>
      </c>
      <c r="C12" s="6" t="inlineStr"/>
      <c r="E12" s="6">
        <f>FLOOR.MATH((C12-10)/2)</f>
        <v/>
      </c>
      <c r="G12" s="6">
        <f>FLOOR((冷靜-10)/2)</f>
        <v/>
      </c>
    </row>
    <row r="13">
      <c r="A13" s="3" t="inlineStr">
        <is>
          <t>衍生屬性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5" t="inlineStr">
        <is>
          <t>生命值上限（HP）</t>
        </is>
      </c>
      <c r="B14" s="6">
        <f>10+E9+IF(D4&gt;1,(D4-1)*(5+E9),0)</f>
        <v/>
      </c>
      <c r="C14" s="5" t="inlineStr">
        <is>
          <t>當前生命值（HP）</t>
        </is>
      </c>
      <c r="E14" s="5" t="inlineStr">
        <is>
          <t>暫時生命值（THP）</t>
        </is>
      </c>
    </row>
    <row r="15">
      <c r="A15" s="5" t="inlineStr">
        <is>
          <t>負重上限（kg）</t>
        </is>
      </c>
      <c r="B15" s="6">
        <f>C9*3+5</f>
        <v/>
      </c>
      <c r="C15" s="5" t="inlineStr">
        <is>
          <t>當前負重（kg）</t>
        </is>
      </c>
      <c r="E15" s="5" t="inlineStr">
        <is>
          <t>移動速度（公尺/回合）</t>
        </is>
      </c>
      <c r="F15" s="6" t="n">
        <v>30</v>
      </c>
    </row>
    <row r="16">
      <c r="A16" s="5" t="inlineStr">
        <is>
          <t>先攻加值</t>
        </is>
      </c>
      <c r="B16" s="6">
        <f>E10+FLOOR.MATH(MAX(E8,0)/2)</f>
        <v/>
      </c>
      <c r="C16" s="5" t="inlineStr">
        <is>
          <t>聽音範圍（公尺）</t>
        </is>
      </c>
      <c r="D16" s="6">
        <f>C10*10</f>
        <v/>
      </c>
      <c r="E16" s="5" t="inlineStr">
        <is>
          <t>壓力閾值</t>
        </is>
      </c>
      <c r="F16" s="6">
        <f>C12*2+5</f>
        <v/>
      </c>
      <c r="G16" s="5" t="inlineStr">
        <is>
          <t>當前壓力值</t>
        </is>
      </c>
    </row>
    <row r="17">
      <c r="A17" s="5" t="inlineStr">
        <is>
          <t>熟練加值（PB）</t>
        </is>
      </c>
      <c r="B17" s="6">
        <f>IF(D4&gt;=9,4,IF(D4&gt;=5,3,2))</f>
        <v/>
      </c>
      <c r="C17" s="5" t="inlineStr">
        <is>
          <t>倒地計時</t>
        </is>
      </c>
      <c r="D17" s="6" t="n">
        <v>3</v>
      </c>
      <c r="E17" s="5" t="inlineStr">
        <is>
          <t>自救注射器（剩餘）</t>
        </is>
      </c>
      <c r="F17" s="6" t="n">
        <v>1</v>
      </c>
      <c r="G17" s="5" t="inlineStr">
        <is>
          <t>防禦加值（來自防具）</t>
        </is>
      </c>
    </row>
    <row r="18">
      <c r="A18" s="3" t="inlineStr">
        <is>
          <t>技能熟練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技能名稱</t>
        </is>
      </c>
      <c r="C19" s="5" t="inlineStr">
        <is>
          <t>屬性</t>
        </is>
      </c>
      <c r="D19" s="5" t="inlineStr">
        <is>
          <t>熟練?(勾選)</t>
        </is>
      </c>
      <c r="E19" s="5" t="inlineStr">
        <is>
          <t>總加值</t>
        </is>
      </c>
      <c r="G19" s="5" t="inlineStr">
        <is>
          <t>技能名稱</t>
        </is>
      </c>
      <c r="H19" s="5" t="inlineStr">
        <is>
          <t>熟練?</t>
        </is>
      </c>
    </row>
    <row r="20">
      <c r="A20" s="5" t="inlineStr">
        <is>
          <t>手槍射擊</t>
        </is>
      </c>
      <c r="C20" s="6" t="inlineStr">
        <is>
          <t>AIM</t>
        </is>
      </c>
      <c r="D20" s="6" t="inlineStr"/>
      <c r="E20" s="5" t="inlineStr">
        <is>
          <t>追蹤</t>
        </is>
      </c>
      <c r="G20" s="6" t="inlineStr">
        <is>
          <t>TAC</t>
        </is>
      </c>
      <c r="H20" s="6" t="inlineStr"/>
      <c r="I20" s="6">
        <f>AM(TAC)+PB(if ✓)</f>
        <v/>
      </c>
    </row>
    <row r="21">
      <c r="A21" s="5" t="inlineStr">
        <is>
          <t>衝鋒槍射擊</t>
        </is>
      </c>
      <c r="C21" s="6" t="inlineStr">
        <is>
          <t>AIM</t>
        </is>
      </c>
      <c r="D21" s="6" t="inlineStr"/>
      <c r="E21" s="5" t="inlineStr">
        <is>
          <t>圈型預判</t>
        </is>
      </c>
      <c r="G21" s="6" t="inlineStr">
        <is>
          <t>TAC</t>
        </is>
      </c>
      <c r="H21" s="6" t="inlineStr"/>
      <c r="I21" s="6">
        <f>AM(TAC)+PB(if ✓)</f>
        <v/>
      </c>
    </row>
    <row r="22">
      <c r="A22" s="5" t="inlineStr">
        <is>
          <t>步槍射擊</t>
        </is>
      </c>
      <c r="C22" s="6" t="inlineStr">
        <is>
          <t>AIM</t>
        </is>
      </c>
      <c r="D22" s="6" t="inlineStr"/>
      <c r="E22" s="5" t="inlineStr">
        <is>
          <t>戰術指揮</t>
        </is>
      </c>
      <c r="G22" s="6" t="inlineStr">
        <is>
          <t>TAC</t>
        </is>
      </c>
      <c r="H22" s="6" t="inlineStr"/>
      <c r="I22" s="6">
        <f>AM(TAC)+PB(if ✓)</f>
        <v/>
      </c>
    </row>
    <row r="23">
      <c r="A23" s="5" t="inlineStr">
        <is>
          <t>狙擊射擊</t>
        </is>
      </c>
      <c r="C23" s="6" t="inlineStr">
        <is>
          <t>AIM</t>
        </is>
      </c>
      <c r="D23" s="6" t="inlineStr"/>
      <c r="E23" s="5" t="inlineStr">
        <is>
          <t>先發制人</t>
        </is>
      </c>
      <c r="G23" s="6" t="inlineStr">
        <is>
          <t>TAC</t>
        </is>
      </c>
      <c r="H23" s="6" t="inlineStr"/>
      <c r="I23" s="6">
        <f>AM(TAC)+PB(if ✓)</f>
        <v/>
      </c>
    </row>
    <row r="24">
      <c r="A24" s="5" t="inlineStr">
        <is>
          <t>霰彈槍射擊</t>
        </is>
      </c>
      <c r="C24" s="6" t="inlineStr">
        <is>
          <t>AIM</t>
        </is>
      </c>
      <c r="D24" s="6" t="inlineStr"/>
      <c r="E24" s="5" t="inlineStr">
        <is>
          <t>聽音辨位</t>
        </is>
      </c>
      <c r="G24" s="6" t="inlineStr">
        <is>
          <t>TAC</t>
        </is>
      </c>
      <c r="H24" s="6" t="inlineStr"/>
      <c r="I24" s="6">
        <f>AM(TAC)+PB(if ✓)</f>
        <v/>
      </c>
    </row>
    <row r="25">
      <c r="A25" s="5" t="inlineStr">
        <is>
          <t>輕機槍射擊</t>
        </is>
      </c>
      <c r="C25" s="6" t="inlineStr">
        <is>
          <t>AIM</t>
        </is>
      </c>
      <c r="D25" s="6" t="inlineStr"/>
      <c r="E25" s="5" t="inlineStr">
        <is>
          <t>陸地駕駛</t>
        </is>
      </c>
      <c r="G25" s="6" t="inlineStr">
        <is>
          <t>DRV</t>
        </is>
      </c>
      <c r="H25" s="6" t="inlineStr"/>
      <c r="I25" s="6">
        <f>AM(DRV)+PB(if ✓)</f>
        <v/>
      </c>
    </row>
    <row r="26">
      <c r="A26" s="5" t="inlineStr">
        <is>
          <t>弩箭射擊</t>
        </is>
      </c>
      <c r="C26" s="6" t="inlineStr">
        <is>
          <t>AIM</t>
        </is>
      </c>
      <c r="D26" s="6" t="inlineStr"/>
      <c r="E26" s="5" t="inlineStr">
        <is>
          <t>水域駕駛</t>
        </is>
      </c>
      <c r="G26" s="6" t="inlineStr">
        <is>
          <t>DRV</t>
        </is>
      </c>
      <c r="H26" s="6" t="inlineStr"/>
      <c r="I26" s="6">
        <f>AM(DRV)+PB(if ✓)</f>
        <v/>
      </c>
    </row>
    <row r="27">
      <c r="A27" s="5" t="inlineStr">
        <is>
          <t>雙持射擊</t>
        </is>
      </c>
      <c r="C27" s="6" t="inlineStr">
        <is>
          <t>AIM</t>
        </is>
      </c>
      <c r="D27" s="6" t="inlineStr"/>
      <c r="E27" s="5" t="inlineStr">
        <is>
          <t>飛行駕駛</t>
        </is>
      </c>
      <c r="G27" s="6" t="inlineStr">
        <is>
          <t>DRV</t>
        </is>
      </c>
      <c r="H27" s="6" t="inlineStr"/>
      <c r="I27" s="6">
        <f>AM(DRV)+PB(if ✓)</f>
        <v/>
      </c>
    </row>
    <row r="28">
      <c r="A28" s="5" t="inlineStr">
        <is>
          <t>近戰搏鬥</t>
        </is>
      </c>
      <c r="C28" s="6" t="inlineStr">
        <is>
          <t>PHY</t>
        </is>
      </c>
      <c r="D28" s="6" t="inlineStr"/>
      <c r="E28" s="5" t="inlineStr">
        <is>
          <t>載具維修</t>
        </is>
      </c>
      <c r="G28" s="6" t="inlineStr">
        <is>
          <t>DRV</t>
        </is>
      </c>
      <c r="H28" s="6" t="inlineStr"/>
      <c r="I28" s="6">
        <f>AM(DRV)+PB(if ✓)</f>
        <v/>
      </c>
    </row>
    <row r="29">
      <c r="A29" s="5" t="inlineStr">
        <is>
          <t>奔跑</t>
        </is>
      </c>
      <c r="C29" s="6" t="inlineStr">
        <is>
          <t>PHY</t>
        </is>
      </c>
      <c r="D29" s="6" t="inlineStr"/>
      <c r="E29" s="5" t="inlineStr">
        <is>
          <t>越野駕駛</t>
        </is>
      </c>
      <c r="G29" s="6" t="inlineStr">
        <is>
          <t>DRV</t>
        </is>
      </c>
      <c r="H29" s="6" t="inlineStr"/>
      <c r="I29" s="6">
        <f>AM(DRV)+PB(if ✓)</f>
        <v/>
      </c>
    </row>
    <row r="30">
      <c r="A30" s="5" t="inlineStr">
        <is>
          <t>攀爬</t>
        </is>
      </c>
      <c r="C30" s="6" t="inlineStr">
        <is>
          <t>PHY</t>
        </is>
      </c>
      <c r="D30" s="6" t="inlineStr"/>
      <c r="E30" s="5" t="inlineStr">
        <is>
          <t>壓力抵抗</t>
        </is>
      </c>
      <c r="G30" s="6" t="inlineStr">
        <is>
          <t>CLM</t>
        </is>
      </c>
      <c r="H30" s="6" t="inlineStr"/>
      <c r="I30" s="6">
        <f>AM(CLM)+PB(if ✓)</f>
        <v/>
      </c>
    </row>
    <row r="31">
      <c r="A31" s="5" t="inlineStr">
        <is>
          <t>游泳</t>
        </is>
      </c>
      <c r="C31" s="6" t="inlineStr">
        <is>
          <t>PHY</t>
        </is>
      </c>
      <c r="D31" s="6" t="inlineStr"/>
      <c r="E31" s="5" t="inlineStr">
        <is>
          <t>被伏擊反應</t>
        </is>
      </c>
      <c r="G31" s="6" t="inlineStr">
        <is>
          <t>CLM</t>
        </is>
      </c>
      <c r="H31" s="6" t="inlineStr"/>
      <c r="I31" s="6">
        <f>AM(CLM)+PB(if ✓)</f>
        <v/>
      </c>
    </row>
    <row r="32">
      <c r="A32" s="5" t="inlineStr">
        <is>
          <t>負重</t>
        </is>
      </c>
      <c r="C32" s="6" t="inlineStr">
        <is>
          <t>PHY</t>
        </is>
      </c>
      <c r="D32" s="6" t="inlineStr"/>
      <c r="E32" s="5" t="inlineStr">
        <is>
          <t>最終圈冷靜</t>
        </is>
      </c>
      <c r="G32" s="6" t="inlineStr">
        <is>
          <t>CLM</t>
        </is>
      </c>
      <c r="H32" s="6" t="inlineStr"/>
      <c r="I32" s="6">
        <f>AM(CLM)+PB(if ✓)</f>
        <v/>
      </c>
    </row>
    <row r="33">
      <c r="A33" s="5" t="inlineStr">
        <is>
          <t>察覺</t>
        </is>
      </c>
      <c r="C33" s="6" t="inlineStr">
        <is>
          <t>TAC</t>
        </is>
      </c>
      <c r="D33" s="6" t="inlineStr"/>
      <c r="E33" s="5" t="inlineStr">
        <is>
          <t>醫療急救</t>
        </is>
      </c>
      <c r="G33" s="6" t="inlineStr">
        <is>
          <t>CLM</t>
        </is>
      </c>
      <c r="H33" s="6" t="inlineStr"/>
      <c r="I33" s="6">
        <f>AM(CLM)+PB(if ✓)</f>
        <v/>
      </c>
    </row>
    <row r="34">
      <c r="A34" s="5" t="inlineStr">
        <is>
          <t>隱匿</t>
        </is>
      </c>
      <c r="C34" s="6" t="inlineStr">
        <is>
          <t>TAC</t>
        </is>
      </c>
      <c r="D34" s="6" t="inlineStr"/>
      <c r="E34" s="5" t="inlineStr">
        <is>
          <t>說服/威嚇</t>
        </is>
      </c>
      <c r="G34" s="6" t="inlineStr">
        <is>
          <t>CLM</t>
        </is>
      </c>
      <c r="H34" s="6" t="inlineStr"/>
      <c r="I34" s="6">
        <f>AM(CLM)+PB(if ✓)</f>
        <v/>
      </c>
    </row>
    <row r="36">
      <c r="A36" s="3" t="inlineStr">
        <is>
          <t>武器裝備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5" t="inlineStr">
        <is>
          <t>武器名稱</t>
        </is>
      </c>
      <c r="B37" s="5" t="inlineStr">
        <is>
          <t>類型</t>
        </is>
      </c>
      <c r="C37" s="5" t="inlineStr">
        <is>
          <t>傷害</t>
        </is>
      </c>
      <c r="D37" s="5" t="inlineStr">
        <is>
          <t>射程</t>
        </is>
      </c>
      <c r="E37" s="5" t="inlineStr">
        <is>
          <t>彈匣容量</t>
        </is>
      </c>
      <c r="F37" s="5" t="inlineStr">
        <is>
          <t>目前彈藥</t>
        </is>
      </c>
      <c r="G37" s="5" t="inlineStr">
        <is>
          <t>重量</t>
        </is>
      </c>
      <c r="H37" s="5" t="inlineStr">
        <is>
          <t>配件</t>
        </is>
      </c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</row>
    <row r="42">
      <c r="A42" s="3" t="inlineStr">
        <is>
          <t>防具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5" t="inlineStr">
        <is>
          <t>頭盔</t>
        </is>
      </c>
      <c r="B43" s="6" t="inlineStr"/>
      <c r="C43" s="5" t="inlineStr">
        <is>
          <t>等級</t>
        </is>
      </c>
      <c r="D43" s="6" t="inlineStr"/>
      <c r="E43" s="5" t="inlineStr">
        <is>
          <t>減傷</t>
        </is>
      </c>
      <c r="F43" s="6" t="inlineStr"/>
      <c r="G43" s="5" t="inlineStr">
        <is>
          <t>耐久</t>
        </is>
      </c>
      <c r="H43" s="6" t="inlineStr"/>
    </row>
    <row r="44">
      <c r="A44" s="5" t="inlineStr">
        <is>
          <t>護甲</t>
        </is>
      </c>
      <c r="B44" s="6" t="inlineStr"/>
      <c r="C44" s="5" t="inlineStr">
        <is>
          <t>等級</t>
        </is>
      </c>
      <c r="D44" s="6" t="inlineStr"/>
      <c r="E44" s="5" t="inlineStr">
        <is>
          <t>減傷</t>
        </is>
      </c>
      <c r="F44" s="6" t="inlineStr"/>
      <c r="G44" s="5" t="inlineStr">
        <is>
          <t>耐久</t>
        </is>
      </c>
      <c r="H44" s="6" t="inlineStr"/>
    </row>
    <row r="46">
      <c r="A46" s="3" t="inlineStr">
        <is>
          <t>消耗品與背包</t>
        </is>
      </c>
      <c r="B46" s="4" t="n"/>
      <c r="C46" s="4" t="n"/>
      <c r="D46" s="4" t="n"/>
      <c r="E46" s="4" t="n"/>
      <c r="F46" s="4" t="n"/>
      <c r="G46" s="4" t="n"/>
      <c r="H46" s="4" t="n"/>
    </row>
    <row r="47">
      <c r="A47" s="5" t="inlineStr">
        <is>
          <t>物品</t>
        </is>
      </c>
      <c r="C47" s="5" t="inlineStr">
        <is>
          <t>數量</t>
        </is>
      </c>
      <c r="D47" s="5" t="inlineStr">
        <is>
          <t>重量(kg)</t>
        </is>
      </c>
      <c r="E47" s="5" t="inlineStr">
        <is>
          <t>物品</t>
        </is>
      </c>
      <c r="G47" s="5" t="inlineStr">
        <is>
          <t>數量</t>
        </is>
      </c>
    </row>
    <row r="48">
      <c r="A48" s="5" t="inlineStr">
        <is>
          <t>繃帶</t>
        </is>
      </c>
      <c r="C48" s="6" t="n">
        <v>0</v>
      </c>
      <c r="E48" s="5" t="inlineStr">
        <is>
          <t>腎上腺素</t>
        </is>
      </c>
      <c r="G48" s="6" t="n">
        <v>0</v>
      </c>
    </row>
    <row r="49">
      <c r="A49" s="5" t="inlineStr">
        <is>
          <t>急救包</t>
        </is>
      </c>
      <c r="C49" s="6" t="n">
        <v>0</v>
      </c>
      <c r="E49" s="5" t="inlineStr">
        <is>
          <t>煙霧彈</t>
        </is>
      </c>
      <c r="G49" s="6" t="n">
        <v>0</v>
      </c>
    </row>
    <row r="50">
      <c r="A50" s="5" t="inlineStr">
        <is>
          <t>醫療箱</t>
        </is>
      </c>
      <c r="C50" s="6" t="n">
        <v>0</v>
      </c>
      <c r="E50" s="5" t="inlineStr">
        <is>
          <t>手榴彈</t>
        </is>
      </c>
      <c r="G50" s="6" t="n">
        <v>0</v>
      </c>
    </row>
    <row r="51">
      <c r="A51" s="5" t="inlineStr">
        <is>
          <t>能量飲料</t>
        </is>
      </c>
      <c r="C51" s="6" t="n">
        <v>0</v>
      </c>
      <c r="E51" s="5" t="inlineStr">
        <is>
          <t>燃燒彈</t>
        </is>
      </c>
      <c r="G51" s="6" t="n">
        <v>0</v>
      </c>
    </row>
    <row r="52">
      <c r="A52" s="5" t="inlineStr">
        <is>
          <t>止痛藥</t>
        </is>
      </c>
      <c r="C52" s="6" t="n">
        <v>0</v>
      </c>
      <c r="E52" s="5" t="inlineStr">
        <is>
          <t>閃光彈</t>
        </is>
      </c>
      <c r="G52" s="6" t="n">
        <v>0</v>
      </c>
    </row>
    <row r="54">
      <c r="A54" s="3" t="inlineStr">
        <is>
          <t>專長與能力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專長 1</t>
        </is>
      </c>
      <c r="B55" s="6" t="inlineStr"/>
      <c r="F55" s="6" t="inlineStr">
        <is>
          <t>效果：</t>
        </is>
      </c>
    </row>
    <row r="56">
      <c r="A56" s="5" t="inlineStr">
        <is>
          <t>專長 2</t>
        </is>
      </c>
      <c r="B56" s="6" t="inlineStr"/>
      <c r="F56" s="6" t="inlineStr">
        <is>
          <t>效果：</t>
        </is>
      </c>
    </row>
    <row r="57">
      <c r="A57" s="5" t="inlineStr">
        <is>
          <t>專長 3</t>
        </is>
      </c>
      <c r="B57" s="6" t="inlineStr"/>
      <c r="F57" s="6" t="inlineStr">
        <is>
          <t>效果：</t>
        </is>
      </c>
    </row>
    <row r="58">
      <c r="A58" s="5" t="inlineStr">
        <is>
          <t>專長 4</t>
        </is>
      </c>
      <c r="B58" s="6" t="inlineStr"/>
      <c r="F58" s="6" t="inlineStr">
        <is>
          <t>效果：</t>
        </is>
      </c>
    </row>
    <row r="59">
      <c r="A59" s="5" t="inlineStr">
        <is>
          <t>專長 5</t>
        </is>
      </c>
      <c r="B59" s="6" t="inlineStr"/>
      <c r="F59" s="6" t="inlineStr">
        <is>
          <t>效果：</t>
        </is>
      </c>
    </row>
    <row r="60">
      <c r="A60" s="5" t="inlineStr">
        <is>
          <t>專長 6</t>
        </is>
      </c>
      <c r="B60" s="6" t="inlineStr"/>
      <c r="F60" s="6" t="inlineStr">
        <is>
          <t>效果：</t>
        </is>
      </c>
    </row>
    <row r="61">
      <c r="A61" s="5" t="inlineStr">
        <is>
          <t>專長 7</t>
        </is>
      </c>
      <c r="B61" s="6" t="inlineStr"/>
      <c r="F61" s="6" t="inlineStr">
        <is>
          <t>效果：</t>
        </is>
      </c>
    </row>
    <row r="62">
      <c r="A62" s="5" t="inlineStr">
        <is>
          <t>專長 8</t>
        </is>
      </c>
      <c r="B62" s="6" t="inlineStr"/>
      <c r="F62" s="6" t="inlineStr">
        <is>
          <t>效果：</t>
        </is>
      </c>
    </row>
    <row r="63">
      <c r="A63" s="5" t="inlineStr">
        <is>
          <t>專長 9</t>
        </is>
      </c>
      <c r="B63" s="6" t="inlineStr"/>
      <c r="F63" s="6" t="inlineStr">
        <is>
          <t>效果：</t>
        </is>
      </c>
    </row>
    <row r="64">
      <c r="A64" s="5" t="inlineStr">
        <is>
          <t>專長 10</t>
        </is>
      </c>
      <c r="B64" s="6" t="inlineStr"/>
      <c r="F64" s="6" t="inlineStr">
        <is>
          <t>效果：</t>
        </is>
      </c>
    </row>
    <row r="66">
      <c r="A66" s="3" t="inlineStr">
        <is>
          <t>背景故事與筆記</t>
        </is>
      </c>
      <c r="B66" s="4" t="n"/>
      <c r="C66" s="4" t="n"/>
      <c r="D66" s="4" t="n"/>
      <c r="E66" s="4" t="n"/>
      <c r="F66" s="4" t="n"/>
      <c r="G66" s="4" t="n"/>
      <c r="H66" s="4" t="n"/>
    </row>
    <row r="67">
      <c r="A67" s="7" t="inlineStr"/>
    </row>
    <row r="68">
      <c r="A68" s="7" t="inlineStr"/>
    </row>
    <row r="69">
      <c r="A69" s="7" t="inlineStr"/>
    </row>
    <row r="70">
      <c r="A70" s="7" t="inlineStr"/>
    </row>
    <row r="71">
      <c r="A71" s="7" t="inlineStr"/>
    </row>
    <row r="72">
      <c r="A72" s="7" t="inlineStr"/>
    </row>
  </sheetData>
  <mergeCells count="36">
    <mergeCell ref="G59:H59"/>
    <mergeCell ref="A67:H67"/>
    <mergeCell ref="B64:E64"/>
    <mergeCell ref="A36:H36"/>
    <mergeCell ref="B55:E55"/>
    <mergeCell ref="G61:H61"/>
    <mergeCell ref="A1:H1"/>
    <mergeCell ref="A6:H6"/>
    <mergeCell ref="A70:H70"/>
    <mergeCell ref="B63:E63"/>
    <mergeCell ref="A69:H69"/>
    <mergeCell ref="A54:H54"/>
    <mergeCell ref="B62:E62"/>
    <mergeCell ref="G57:H57"/>
    <mergeCell ref="A66:H66"/>
    <mergeCell ref="B59:E59"/>
    <mergeCell ref="G62:H62"/>
    <mergeCell ref="A46:H46"/>
    <mergeCell ref="A18:H18"/>
    <mergeCell ref="B56:E56"/>
    <mergeCell ref="B58:E58"/>
    <mergeCell ref="A2:H2"/>
    <mergeCell ref="A71:H71"/>
    <mergeCell ref="A42:H42"/>
    <mergeCell ref="G58:H58"/>
    <mergeCell ref="G64:H64"/>
    <mergeCell ref="B60:E60"/>
    <mergeCell ref="G55:H55"/>
    <mergeCell ref="B61:E61"/>
    <mergeCell ref="B57:E57"/>
    <mergeCell ref="G63:H63"/>
    <mergeCell ref="A72:H72"/>
    <mergeCell ref="A13:H13"/>
    <mergeCell ref="A68:H68"/>
    <mergeCell ref="G60:H60"/>
    <mergeCell ref="G56:H56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2026-07-13T05:46:48Z</dcterms:created>
  <dcterms:modified xsi:type="dcterms:W3CDTF">2026-07-13T05:46:48Z</dcterms:modified>
</cp:coreProperties>
</file>