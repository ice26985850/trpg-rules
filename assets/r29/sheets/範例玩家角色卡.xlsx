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鐵壁" sheetId="1" state="visible" r:id="rId1"/>
    <sheet name="天使" sheetId="2" state="visible" r:id="rId2"/>
    <sheet name="孤狼" sheetId="3" state="visible" r:id="rId3"/>
    <sheet name="閃電" sheetId="4" state="visible" r:id="rId4"/>
    <sheet name="扳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絕地戰場 TRPG — 範例角色：退伍軍人範例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角色姓名</t>
        </is>
      </c>
      <c r="B3" s="5" t="inlineStr">
        <is>
          <t>退伍軍人範例</t>
        </is>
      </c>
      <c r="C3" s="4" t="inlineStr">
        <is>
          <t>代號</t>
        </is>
      </c>
      <c r="D3" s="5" t="inlineStr">
        <is>
          <t>鐵壁</t>
        </is>
      </c>
      <c r="E3" s="4" t="inlineStr">
        <is>
          <t>等級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背景</t>
        </is>
      </c>
      <c r="B4" s="5" t="inlineStr">
        <is>
          <t>退伍軍人（AIM+2, TAC+1）</t>
        </is>
      </c>
      <c r="C4" s="6" t="n"/>
      <c r="D4" s="7" t="n"/>
    </row>
    <row r="5">
      <c r="A5" s="2" t="inlineStr">
        <is>
          <t>核心屬性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屬性</t>
        </is>
      </c>
      <c r="C6" s="4" t="inlineStr">
        <is>
          <t>數值</t>
        </is>
      </c>
      <c r="E6" s="4" t="inlineStr">
        <is>
          <t>加值</t>
        </is>
      </c>
    </row>
    <row r="7">
      <c r="A7" s="4" t="inlineStr">
        <is>
          <t>槍法（AIM）</t>
        </is>
      </c>
      <c r="C7" s="5" t="n">
        <v>17</v>
      </c>
      <c r="E7" s="5">
        <f>FLOOR.MATH((C7-10)/2)</f>
        <v/>
      </c>
    </row>
    <row r="8">
      <c r="A8" s="4" t="inlineStr">
        <is>
          <t>體能（PHY）</t>
        </is>
      </c>
      <c r="C8" s="5" t="n">
        <v>13</v>
      </c>
      <c r="E8" s="5">
        <f>FLOOR.MATH((C8-10)/2)</f>
        <v/>
      </c>
    </row>
    <row r="9">
      <c r="A9" s="4" t="inlineStr">
        <is>
          <t>戰術（TAC）</t>
        </is>
      </c>
      <c r="C9" s="5" t="n">
        <v>15</v>
      </c>
      <c r="E9" s="5">
        <f>FLOOR.MATH((C9-10)/2)</f>
        <v/>
      </c>
    </row>
    <row r="10">
      <c r="A10" s="4" t="inlineStr">
        <is>
          <t>駕駛（DRV）</t>
        </is>
      </c>
      <c r="C10" s="5" t="n">
        <v>10</v>
      </c>
      <c r="E10" s="5">
        <f>FLOOR.MATH((C10-10)/2)</f>
        <v/>
      </c>
    </row>
    <row r="11">
      <c r="A11" s="4" t="inlineStr">
        <is>
          <t>冷靜（CLM）</t>
        </is>
      </c>
      <c r="C11" s="5" t="n">
        <v>12</v>
      </c>
      <c r="E11" s="5">
        <f>FLOOR.MATH((C11-10)/2)</f>
        <v/>
      </c>
    </row>
    <row r="12">
      <c r="A12" s="2" t="inlineStr">
        <is>
          <t>衍生屬性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生命值（HP）</t>
        </is>
      </c>
      <c r="B13" s="5" t="n">
        <v>11</v>
      </c>
      <c r="C13" s="4" t="inlineStr">
        <is>
          <t>負重上限（kg）</t>
        </is>
      </c>
      <c r="D13" s="5">
        <f>C8*3+5</f>
        <v/>
      </c>
      <c r="E13" s="4" t="inlineStr">
        <is>
          <t>先攻加值</t>
        </is>
      </c>
      <c r="F13" s="5">
        <f>E9+FLOOR.MATH(MAX(E7,0)/2)</f>
        <v/>
      </c>
      <c r="G13" s="4" t="inlineStr">
        <is>
          <t>聽音範圍（m）</t>
        </is>
      </c>
      <c r="H13" s="5">
        <f>C9*10</f>
        <v/>
      </c>
    </row>
    <row r="14">
      <c r="A14" s="4" t="inlineStr">
        <is>
          <t>壓力閾值</t>
        </is>
      </c>
      <c r="B14" s="5">
        <f>C11*2+5</f>
        <v/>
      </c>
      <c r="C14" s="4" t="inlineStr">
        <is>
          <t>熟練加值（PB）</t>
        </is>
      </c>
      <c r="D14" s="5" t="n">
        <v>2</v>
      </c>
      <c r="E14" s="4" t="inlineStr">
        <is>
          <t>移動速度</t>
        </is>
      </c>
      <c r="F14" s="5" t="n">
        <v>30</v>
      </c>
    </row>
    <row r="16">
      <c r="A16" s="2" t="inlineStr">
        <is>
          <t>武器裝備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武器1</t>
        </is>
      </c>
      <c r="B17" s="5" t="inlineStr">
        <is>
          <t>M16A4突擊步槍</t>
        </is>
      </c>
      <c r="C17" s="6" t="n"/>
      <c r="D17" s="6" t="n"/>
      <c r="E17" s="7" t="n"/>
    </row>
    <row r="18">
      <c r="A18" s="4" t="inlineStr">
        <is>
          <t>武器2</t>
        </is>
      </c>
      <c r="B18" s="5" t="inlineStr">
        <is>
          <t>P92手槍</t>
        </is>
      </c>
      <c r="C18" s="6" t="n"/>
      <c r="D18" s="6" t="n"/>
      <c r="E18" s="7" t="n"/>
    </row>
    <row r="20">
      <c r="A20" s="4" t="inlineStr">
        <is>
          <t>頭盔</t>
        </is>
      </c>
      <c r="B20" s="5" t="inlineStr">
        <is>
          <t>二級頭盔</t>
        </is>
      </c>
      <c r="C20" s="4" t="inlineStr">
        <is>
          <t>護甲</t>
        </is>
      </c>
      <c r="D20" s="5" t="inlineStr">
        <is>
          <t>二級護甲</t>
        </is>
      </c>
    </row>
    <row r="22">
      <c r="A22" s="2" t="inlineStr">
        <is>
          <t>專長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5" t="inlineStr">
        <is>
          <t>步槍專精（G1）</t>
        </is>
      </c>
      <c r="B23" s="6" t="n"/>
      <c r="C23" s="6" t="n"/>
      <c r="D23" s="7" t="n"/>
    </row>
    <row r="26">
      <c r="A26" s="2" t="inlineStr">
        <is>
          <t>技能熟練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5" t="inlineStr">
        <is>
          <t>步槍射擊✓</t>
        </is>
      </c>
      <c r="B27" s="6" t="n"/>
      <c r="C27" s="7" t="n"/>
    </row>
    <row r="28">
      <c r="A28" s="5" t="inlineStr">
        <is>
          <t>狙擊射擊✓</t>
        </is>
      </c>
      <c r="B28" s="6" t="n"/>
      <c r="C28" s="7" t="n"/>
    </row>
    <row r="29">
      <c r="A29" s="5" t="inlineStr">
        <is>
          <t>戰術指揮✓</t>
        </is>
      </c>
      <c r="B29" s="6" t="n"/>
      <c r="C29" s="7" t="n"/>
    </row>
    <row r="30">
      <c r="A30" s="5" t="inlineStr">
        <is>
          <t>先發制人✓</t>
        </is>
      </c>
      <c r="B30" s="6" t="n"/>
      <c r="C30" s="7" t="n"/>
    </row>
    <row r="33">
      <c r="A33" s="2" t="inlineStr">
        <is>
          <t>背景故事</t>
        </is>
      </c>
      <c r="B33" s="3" t="n"/>
      <c r="C33" s="3" t="n"/>
      <c r="D33" s="3" t="n"/>
      <c r="E33" s="3" t="n"/>
      <c r="F33" s="3" t="n"/>
      <c r="G33" s="3" t="n"/>
      <c r="H33" s="3" t="n"/>
    </row>
    <row r="34">
      <c r="A34" s="8" t="inlineStr">
        <is>
          <t>前陸軍中士。退役後找不到自己的位置——直到在這裡。槍聲讓他感覺像回家。</t>
        </is>
      </c>
    </row>
    <row r="35"/>
    <row r="36"/>
  </sheetData>
  <mergeCells count="17">
    <mergeCell ref="A12:H12"/>
    <mergeCell ref="A1:H1"/>
    <mergeCell ref="B17:E17"/>
    <mergeCell ref="B18:E18"/>
    <mergeCell ref="A23:D23"/>
    <mergeCell ref="A26:H26"/>
    <mergeCell ref="A28:C28"/>
    <mergeCell ref="A34:H36"/>
    <mergeCell ref="A2:H2"/>
    <mergeCell ref="A16:H16"/>
    <mergeCell ref="B4:D4"/>
    <mergeCell ref="A27:C27"/>
    <mergeCell ref="A33:H33"/>
    <mergeCell ref="A30:C30"/>
    <mergeCell ref="A5:H5"/>
    <mergeCell ref="A29:C29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絕地戰場 TRPG — 範例角色：軍醫範例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角色姓名</t>
        </is>
      </c>
      <c r="B3" s="5" t="inlineStr">
        <is>
          <t>軍醫範例</t>
        </is>
      </c>
      <c r="C3" s="4" t="inlineStr">
        <is>
          <t>代號</t>
        </is>
      </c>
      <c r="D3" s="5" t="inlineStr">
        <is>
          <t>天使</t>
        </is>
      </c>
      <c r="E3" s="4" t="inlineStr">
        <is>
          <t>等級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背景</t>
        </is>
      </c>
      <c r="B4" s="5" t="inlineStr">
        <is>
          <t>軍醫（CLM+2）</t>
        </is>
      </c>
      <c r="C4" s="6" t="n"/>
      <c r="D4" s="7" t="n"/>
    </row>
    <row r="5">
      <c r="A5" s="2" t="inlineStr">
        <is>
          <t>核心屬性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屬性</t>
        </is>
      </c>
      <c r="C6" s="4" t="inlineStr">
        <is>
          <t>數值</t>
        </is>
      </c>
      <c r="E6" s="4" t="inlineStr">
        <is>
          <t>加值</t>
        </is>
      </c>
    </row>
    <row r="7">
      <c r="A7" s="4" t="inlineStr">
        <is>
          <t>槍法（AIM）</t>
        </is>
      </c>
      <c r="C7" s="5" t="n">
        <v>14</v>
      </c>
      <c r="E7" s="5">
        <f>FLOOR.MATH((C7-10)/2)</f>
        <v/>
      </c>
    </row>
    <row r="8">
      <c r="A8" s="4" t="inlineStr">
        <is>
          <t>體能（PHY）</t>
        </is>
      </c>
      <c r="C8" s="5" t="n">
        <v>12</v>
      </c>
      <c r="E8" s="5">
        <f>FLOOR.MATH((C8-10)/2)</f>
        <v/>
      </c>
    </row>
    <row r="9">
      <c r="A9" s="4" t="inlineStr">
        <is>
          <t>戰術（TAC）</t>
        </is>
      </c>
      <c r="C9" s="5" t="n">
        <v>13</v>
      </c>
      <c r="E9" s="5">
        <f>FLOOR.MATH((C9-10)/2)</f>
        <v/>
      </c>
    </row>
    <row r="10">
      <c r="A10" s="4" t="inlineStr">
        <is>
          <t>駕駛（DRV）</t>
        </is>
      </c>
      <c r="C10" s="5" t="n">
        <v>10</v>
      </c>
      <c r="E10" s="5">
        <f>FLOOR.MATH((C10-10)/2)</f>
        <v/>
      </c>
    </row>
    <row r="11">
      <c r="A11" s="4" t="inlineStr">
        <is>
          <t>冷靜（CLM）</t>
        </is>
      </c>
      <c r="C11" s="5" t="n">
        <v>17</v>
      </c>
      <c r="E11" s="5">
        <f>FLOOR.MATH((C11-10)/2)</f>
        <v/>
      </c>
    </row>
    <row r="12">
      <c r="A12" s="2" t="inlineStr">
        <is>
          <t>衍生屬性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生命值（HP）</t>
        </is>
      </c>
      <c r="B13" s="5" t="n">
        <v>11</v>
      </c>
      <c r="C13" s="4" t="inlineStr">
        <is>
          <t>負重上限（kg）</t>
        </is>
      </c>
      <c r="D13" s="5">
        <f>C8*3+5</f>
        <v/>
      </c>
      <c r="E13" s="4" t="inlineStr">
        <is>
          <t>先攻加值</t>
        </is>
      </c>
      <c r="F13" s="5">
        <f>E9+FLOOR.MATH(MAX(E7,0)/2)</f>
        <v/>
      </c>
      <c r="G13" s="4" t="inlineStr">
        <is>
          <t>聽音範圍（m）</t>
        </is>
      </c>
      <c r="H13" s="5">
        <f>C9*10</f>
        <v/>
      </c>
    </row>
    <row r="14">
      <c r="A14" s="4" t="inlineStr">
        <is>
          <t>壓力閾值</t>
        </is>
      </c>
      <c r="B14" s="5">
        <f>C11*2+5</f>
        <v/>
      </c>
      <c r="C14" s="4" t="inlineStr">
        <is>
          <t>熟練加值（PB）</t>
        </is>
      </c>
      <c r="D14" s="5" t="n">
        <v>2</v>
      </c>
      <c r="E14" s="4" t="inlineStr">
        <is>
          <t>移動速度</t>
        </is>
      </c>
      <c r="F14" s="5" t="n">
        <v>30</v>
      </c>
    </row>
    <row r="16">
      <c r="A16" s="2" t="inlineStr">
        <is>
          <t>武器裝備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武器1</t>
        </is>
      </c>
      <c r="B17" s="5" t="inlineStr">
        <is>
          <t>MP5K衝鋒槍</t>
        </is>
      </c>
      <c r="C17" s="6" t="n"/>
      <c r="D17" s="6" t="n"/>
      <c r="E17" s="7" t="n"/>
    </row>
    <row r="18">
      <c r="A18" s="4" t="inlineStr">
        <is>
          <t>武器2</t>
        </is>
      </c>
      <c r="B18" s="5" t="inlineStr">
        <is>
          <t>P92手槍</t>
        </is>
      </c>
      <c r="C18" s="6" t="n"/>
      <c r="D18" s="6" t="n"/>
      <c r="E18" s="7" t="n"/>
    </row>
    <row r="20">
      <c r="A20" s="4" t="inlineStr">
        <is>
          <t>頭盔</t>
        </is>
      </c>
      <c r="B20" s="5" t="inlineStr">
        <is>
          <t>一級頭盔</t>
        </is>
      </c>
      <c r="C20" s="4" t="inlineStr">
        <is>
          <t>護甲</t>
        </is>
      </c>
      <c r="D20" s="5" t="inlineStr">
        <is>
          <t>一級護甲</t>
        </is>
      </c>
    </row>
    <row r="22">
      <c r="A22" s="2" t="inlineStr">
        <is>
          <t>專長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5" t="inlineStr">
        <is>
          <t>強效醫療（S2）</t>
        </is>
      </c>
      <c r="B23" s="6" t="n"/>
      <c r="C23" s="6" t="n"/>
      <c r="D23" s="7" t="n"/>
    </row>
    <row r="26">
      <c r="A26" s="2" t="inlineStr">
        <is>
          <t>技能熟練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5" t="inlineStr">
        <is>
          <t>醫療急救✓</t>
        </is>
      </c>
      <c r="B27" s="6" t="n"/>
      <c r="C27" s="7" t="n"/>
    </row>
    <row r="28">
      <c r="A28" s="5" t="inlineStr">
        <is>
          <t>壓力抵抗✓</t>
        </is>
      </c>
      <c r="B28" s="6" t="n"/>
      <c r="C28" s="7" t="n"/>
    </row>
    <row r="29">
      <c r="A29" s="5" t="inlineStr">
        <is>
          <t>被伏擊反應✓</t>
        </is>
      </c>
      <c r="B29" s="6" t="n"/>
      <c r="C29" s="7" t="n"/>
    </row>
    <row r="30">
      <c r="A30" s="5" t="inlineStr">
        <is>
          <t>察覺✓</t>
        </is>
      </c>
      <c r="B30" s="6" t="n"/>
      <c r="C30" s="7" t="n"/>
    </row>
    <row r="33">
      <c r="A33" s="2" t="inlineStr">
        <is>
          <t>背景故事</t>
        </is>
      </c>
      <c r="B33" s="3" t="n"/>
      <c r="C33" s="3" t="n"/>
      <c r="D33" s="3" t="n"/>
      <c r="E33" s="3" t="n"/>
      <c r="F33" s="3" t="n"/>
      <c r="G33" s="3" t="n"/>
      <c r="H33" s="3" t="n"/>
    </row>
    <row r="34">
      <c r="A34" s="8" t="inlineStr">
        <is>
          <t>戰地外科醫生。看過太多死亡——但她從不放棄任何一個病人。包括自己。</t>
        </is>
      </c>
    </row>
    <row r="35"/>
    <row r="36"/>
  </sheetData>
  <mergeCells count="17">
    <mergeCell ref="A12:H12"/>
    <mergeCell ref="A1:H1"/>
    <mergeCell ref="B17:E17"/>
    <mergeCell ref="B18:E18"/>
    <mergeCell ref="A23:D23"/>
    <mergeCell ref="A26:H26"/>
    <mergeCell ref="A28:C28"/>
    <mergeCell ref="A34:H36"/>
    <mergeCell ref="A2:H2"/>
    <mergeCell ref="A16:H16"/>
    <mergeCell ref="B4:D4"/>
    <mergeCell ref="A27:C27"/>
    <mergeCell ref="A33:H33"/>
    <mergeCell ref="A30:C30"/>
    <mergeCell ref="A5:H5"/>
    <mergeCell ref="A29:C29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絕地戰場 TRPG — 範例角色：獵人範例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角色姓名</t>
        </is>
      </c>
      <c r="B3" s="5" t="inlineStr">
        <is>
          <t>獵人範例</t>
        </is>
      </c>
      <c r="C3" s="4" t="inlineStr">
        <is>
          <t>代號</t>
        </is>
      </c>
      <c r="D3" s="5" t="inlineStr">
        <is>
          <t>孤狼</t>
        </is>
      </c>
      <c r="E3" s="4" t="inlineStr">
        <is>
          <t>等級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背景</t>
        </is>
      </c>
      <c r="B4" s="5" t="inlineStr">
        <is>
          <t>獵人（AIM+1, PHY+1, TAC+1）</t>
        </is>
      </c>
      <c r="C4" s="6" t="n"/>
      <c r="D4" s="7" t="n"/>
    </row>
    <row r="5">
      <c r="A5" s="2" t="inlineStr">
        <is>
          <t>核心屬性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屬性</t>
        </is>
      </c>
      <c r="C6" s="4" t="inlineStr">
        <is>
          <t>數值</t>
        </is>
      </c>
      <c r="E6" s="4" t="inlineStr">
        <is>
          <t>加值</t>
        </is>
      </c>
    </row>
    <row r="7">
      <c r="A7" s="4" t="inlineStr">
        <is>
          <t>槍法（AIM）</t>
        </is>
      </c>
      <c r="C7" s="5" t="n">
        <v>15</v>
      </c>
      <c r="E7" s="5">
        <f>FLOOR.MATH((C7-10)/2)</f>
        <v/>
      </c>
    </row>
    <row r="8">
      <c r="A8" s="4" t="inlineStr">
        <is>
          <t>體能（PHY）</t>
        </is>
      </c>
      <c r="C8" s="5" t="n">
        <v>14</v>
      </c>
      <c r="E8" s="5">
        <f>FLOOR.MATH((C8-10)/2)</f>
        <v/>
      </c>
    </row>
    <row r="9">
      <c r="A9" s="4" t="inlineStr">
        <is>
          <t>戰術（TAC）</t>
        </is>
      </c>
      <c r="C9" s="5" t="n">
        <v>15</v>
      </c>
      <c r="E9" s="5">
        <f>FLOOR.MATH((C9-10)/2)</f>
        <v/>
      </c>
    </row>
    <row r="10">
      <c r="A10" s="4" t="inlineStr">
        <is>
          <t>駕駛（DRV）</t>
        </is>
      </c>
      <c r="C10" s="5" t="n">
        <v>10</v>
      </c>
      <c r="E10" s="5">
        <f>FLOOR.MATH((C10-10)/2)</f>
        <v/>
      </c>
    </row>
    <row r="11">
      <c r="A11" s="4" t="inlineStr">
        <is>
          <t>冷靜（CLM）</t>
        </is>
      </c>
      <c r="C11" s="5" t="n">
        <v>12</v>
      </c>
      <c r="E11" s="5">
        <f>FLOOR.MATH((C11-10)/2)</f>
        <v/>
      </c>
    </row>
    <row r="12">
      <c r="A12" s="2" t="inlineStr">
        <is>
          <t>衍生屬性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生命值（HP）</t>
        </is>
      </c>
      <c r="B13" s="5" t="n">
        <v>12</v>
      </c>
      <c r="C13" s="4" t="inlineStr">
        <is>
          <t>負重上限（kg）</t>
        </is>
      </c>
      <c r="D13" s="5">
        <f>C8*3+5</f>
        <v/>
      </c>
      <c r="E13" s="4" t="inlineStr">
        <is>
          <t>先攻加值</t>
        </is>
      </c>
      <c r="F13" s="5">
        <f>E9+FLOOR.MATH(MAX(E7,0)/2)</f>
        <v/>
      </c>
      <c r="G13" s="4" t="inlineStr">
        <is>
          <t>聽音範圍（m）</t>
        </is>
      </c>
      <c r="H13" s="5">
        <f>C9*10</f>
        <v/>
      </c>
    </row>
    <row r="14">
      <c r="A14" s="4" t="inlineStr">
        <is>
          <t>壓力閾值</t>
        </is>
      </c>
      <c r="B14" s="5">
        <f>C11*2+5</f>
        <v/>
      </c>
      <c r="C14" s="4" t="inlineStr">
        <is>
          <t>熟練加值（PB）</t>
        </is>
      </c>
      <c r="D14" s="5" t="n">
        <v>2</v>
      </c>
      <c r="E14" s="4" t="inlineStr">
        <is>
          <t>移動速度</t>
        </is>
      </c>
      <c r="F14" s="5" t="n">
        <v>30</v>
      </c>
    </row>
    <row r="16">
      <c r="A16" s="2" t="inlineStr">
        <is>
          <t>武器裝備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武器1</t>
        </is>
      </c>
      <c r="B17" s="5" t="inlineStr">
        <is>
          <t>SKS狙擊槍（附4倍鏡）</t>
        </is>
      </c>
      <c r="C17" s="6" t="n"/>
      <c r="D17" s="6" t="n"/>
      <c r="E17" s="7" t="n"/>
    </row>
    <row r="18">
      <c r="A18" s="4" t="inlineStr">
        <is>
          <t>武器2</t>
        </is>
      </c>
      <c r="B18" s="5" t="inlineStr">
        <is>
          <t>P1911手槍</t>
        </is>
      </c>
      <c r="C18" s="6" t="n"/>
      <c r="D18" s="6" t="n"/>
      <c r="E18" s="7" t="n"/>
    </row>
    <row r="20">
      <c r="A20" s="4" t="inlineStr">
        <is>
          <t>頭盔</t>
        </is>
      </c>
      <c r="B20" s="5" t="inlineStr">
        <is>
          <t>一級頭盔</t>
        </is>
      </c>
      <c r="C20" s="4" t="inlineStr">
        <is>
          <t>護甲</t>
        </is>
      </c>
      <c r="D20" s="5" t="inlineStr">
        <is>
          <t>二級護甲</t>
        </is>
      </c>
    </row>
    <row r="22">
      <c r="A22" s="2" t="inlineStr">
        <is>
          <t>專長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5" t="inlineStr">
        <is>
          <t>狙擊精英（G2）</t>
        </is>
      </c>
      <c r="B23" s="6" t="n"/>
      <c r="C23" s="6" t="n"/>
      <c r="D23" s="7" t="n"/>
    </row>
    <row r="26">
      <c r="A26" s="2" t="inlineStr">
        <is>
          <t>技能熟練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5" t="inlineStr">
        <is>
          <t>狙擊射擊✓</t>
        </is>
      </c>
      <c r="B27" s="6" t="n"/>
      <c r="C27" s="7" t="n"/>
    </row>
    <row r="28">
      <c r="A28" s="5" t="inlineStr">
        <is>
          <t>霰彈槍射擊✓</t>
        </is>
      </c>
      <c r="B28" s="6" t="n"/>
      <c r="C28" s="7" t="n"/>
    </row>
    <row r="29">
      <c r="A29" s="5" t="inlineStr">
        <is>
          <t>追蹤✓</t>
        </is>
      </c>
      <c r="B29" s="6" t="n"/>
      <c r="C29" s="7" t="n"/>
    </row>
    <row r="30">
      <c r="A30" s="5" t="inlineStr">
        <is>
          <t>隱匿✓</t>
        </is>
      </c>
      <c r="B30" s="6" t="n"/>
      <c r="C30" s="7" t="n"/>
    </row>
    <row r="31">
      <c r="A31" s="5" t="inlineStr">
        <is>
          <t>察覺✓</t>
        </is>
      </c>
      <c r="B31" s="6" t="n"/>
      <c r="C31" s="7" t="n"/>
    </row>
    <row r="34">
      <c r="A34" s="2" t="inlineStr">
        <is>
          <t>背景故事</t>
        </is>
      </c>
      <c r="B34" s="3" t="n"/>
      <c r="C34" s="3" t="n"/>
      <c r="D34" s="3" t="n"/>
      <c r="E34" s="3" t="n"/>
      <c r="F34" s="3" t="n"/>
      <c r="G34" s="3" t="n"/>
      <c r="H34" s="3" t="n"/>
    </row>
    <row r="35">
      <c r="A35" s="8" t="inlineStr">
        <is>
          <t>在西伯利亞的森林裡長大。追蹤比射擊更重要——找到目標比打中目標更難。</t>
        </is>
      </c>
    </row>
    <row r="36"/>
    <row r="37"/>
  </sheetData>
  <mergeCells count="18">
    <mergeCell ref="A12:H12"/>
    <mergeCell ref="A1:H1"/>
    <mergeCell ref="B17:E17"/>
    <mergeCell ref="B18:E18"/>
    <mergeCell ref="A23:D23"/>
    <mergeCell ref="A26:H26"/>
    <mergeCell ref="A28:C28"/>
    <mergeCell ref="A35:H37"/>
    <mergeCell ref="A2:H2"/>
    <mergeCell ref="A16:H16"/>
    <mergeCell ref="B4:D4"/>
    <mergeCell ref="A31:C31"/>
    <mergeCell ref="A27:C27"/>
    <mergeCell ref="A30:C30"/>
    <mergeCell ref="A5:H5"/>
    <mergeCell ref="A29:C29"/>
    <mergeCell ref="A22:H22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絕地戰場 TRPG — 範例角色：賽車手範例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角色姓名</t>
        </is>
      </c>
      <c r="B3" s="5" t="inlineStr">
        <is>
          <t>賽車手範例</t>
        </is>
      </c>
      <c r="C3" s="4" t="inlineStr">
        <is>
          <t>代號</t>
        </is>
      </c>
      <c r="D3" s="5" t="inlineStr">
        <is>
          <t>閃電</t>
        </is>
      </c>
      <c r="E3" s="4" t="inlineStr">
        <is>
          <t>等級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背景</t>
        </is>
      </c>
      <c r="B4" s="5" t="inlineStr">
        <is>
          <t>賽車手（DRV+2, CLM+1）</t>
        </is>
      </c>
      <c r="C4" s="6" t="n"/>
      <c r="D4" s="7" t="n"/>
    </row>
    <row r="5">
      <c r="A5" s="2" t="inlineStr">
        <is>
          <t>核心屬性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屬性</t>
        </is>
      </c>
      <c r="C6" s="4" t="inlineStr">
        <is>
          <t>數值</t>
        </is>
      </c>
      <c r="E6" s="4" t="inlineStr">
        <is>
          <t>加值</t>
        </is>
      </c>
    </row>
    <row r="7">
      <c r="A7" s="4" t="inlineStr">
        <is>
          <t>槍法（AIM）</t>
        </is>
      </c>
      <c r="C7" s="5" t="n">
        <v>11</v>
      </c>
      <c r="E7" s="5">
        <f>FLOOR.MATH((C7-10)/2)</f>
        <v/>
      </c>
    </row>
    <row r="8">
      <c r="A8" s="4" t="inlineStr">
        <is>
          <t>體能（PHY）</t>
        </is>
      </c>
      <c r="C8" s="5" t="n">
        <v>12</v>
      </c>
      <c r="E8" s="5">
        <f>FLOOR.MATH((C8-10)/2)</f>
        <v/>
      </c>
    </row>
    <row r="9">
      <c r="A9" s="4" t="inlineStr">
        <is>
          <t>戰術（TAC）</t>
        </is>
      </c>
      <c r="C9" s="5" t="n">
        <v>14</v>
      </c>
      <c r="E9" s="5">
        <f>FLOOR.MATH((C9-10)/2)</f>
        <v/>
      </c>
    </row>
    <row r="10">
      <c r="A10" s="4" t="inlineStr">
        <is>
          <t>駕駛（DRV）</t>
        </is>
      </c>
      <c r="C10" s="5" t="n">
        <v>17</v>
      </c>
      <c r="E10" s="5">
        <f>FLOOR.MATH((C10-10)/2)</f>
        <v/>
      </c>
    </row>
    <row r="11">
      <c r="A11" s="4" t="inlineStr">
        <is>
          <t>冷靜（CLM）</t>
        </is>
      </c>
      <c r="C11" s="5" t="n">
        <v>13</v>
      </c>
      <c r="E11" s="5">
        <f>FLOOR.MATH((C11-10)/2)</f>
        <v/>
      </c>
    </row>
    <row r="12">
      <c r="A12" s="2" t="inlineStr">
        <is>
          <t>衍生屬性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生命值（HP）</t>
        </is>
      </c>
      <c r="B13" s="5" t="n">
        <v>11</v>
      </c>
      <c r="C13" s="4" t="inlineStr">
        <is>
          <t>負重上限（kg）</t>
        </is>
      </c>
      <c r="D13" s="5">
        <f>C8*3+5</f>
        <v/>
      </c>
      <c r="E13" s="4" t="inlineStr">
        <is>
          <t>先攻加值</t>
        </is>
      </c>
      <c r="F13" s="5">
        <f>E9+FLOOR.MATH(MAX(E7,0)/2)</f>
        <v/>
      </c>
      <c r="G13" s="4" t="inlineStr">
        <is>
          <t>聽音範圍（m）</t>
        </is>
      </c>
      <c r="H13" s="5">
        <f>C9*10</f>
        <v/>
      </c>
    </row>
    <row r="14">
      <c r="A14" s="4" t="inlineStr">
        <is>
          <t>壓力閾值</t>
        </is>
      </c>
      <c r="B14" s="5">
        <f>C11*2+5</f>
        <v/>
      </c>
      <c r="C14" s="4" t="inlineStr">
        <is>
          <t>熟練加值（PB）</t>
        </is>
      </c>
      <c r="D14" s="5" t="n">
        <v>2</v>
      </c>
      <c r="E14" s="4" t="inlineStr">
        <is>
          <t>移動速度</t>
        </is>
      </c>
      <c r="F14" s="5" t="n">
        <v>30</v>
      </c>
    </row>
    <row r="16">
      <c r="A16" s="2" t="inlineStr">
        <is>
          <t>武器裝備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武器1</t>
        </is>
      </c>
      <c r="B17" s="5" t="inlineStr">
        <is>
          <t>UMP45衝鋒槍</t>
        </is>
      </c>
      <c r="C17" s="6" t="n"/>
      <c r="D17" s="6" t="n"/>
      <c r="E17" s="7" t="n"/>
    </row>
    <row r="18">
      <c r="A18" s="4" t="inlineStr">
        <is>
          <t>武器2</t>
        </is>
      </c>
      <c r="B18" s="5" t="inlineStr">
        <is>
          <t>P92手槍</t>
        </is>
      </c>
      <c r="C18" s="6" t="n"/>
      <c r="D18" s="6" t="n"/>
      <c r="E18" s="7" t="n"/>
    </row>
    <row r="20">
      <c r="A20" s="4" t="inlineStr">
        <is>
          <t>頭盔</t>
        </is>
      </c>
      <c r="B20" s="5" t="inlineStr">
        <is>
          <t>一級頭盔</t>
        </is>
      </c>
      <c r="C20" s="4" t="inlineStr">
        <is>
          <t>護甲</t>
        </is>
      </c>
      <c r="D20" s="5" t="inlineStr">
        <is>
          <t>一級護甲</t>
        </is>
      </c>
    </row>
    <row r="22">
      <c r="A22" s="2" t="inlineStr">
        <is>
          <t>專長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5" t="inlineStr">
        <is>
          <t>越野駕駛（D1）</t>
        </is>
      </c>
      <c r="B23" s="6" t="n"/>
      <c r="C23" s="6" t="n"/>
      <c r="D23" s="7" t="n"/>
    </row>
    <row r="26">
      <c r="A26" s="2" t="inlineStr">
        <is>
          <t>技能熟練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5" t="inlineStr">
        <is>
          <t>陸地駕駛✓</t>
        </is>
      </c>
      <c r="B27" s="6" t="n"/>
      <c r="C27" s="7" t="n"/>
    </row>
    <row r="28">
      <c r="A28" s="5" t="inlineStr">
        <is>
          <t>越野駕駛✓</t>
        </is>
      </c>
      <c r="B28" s="6" t="n"/>
      <c r="C28" s="7" t="n"/>
    </row>
    <row r="29">
      <c r="A29" s="5" t="inlineStr">
        <is>
          <t>載具維修✓</t>
        </is>
      </c>
      <c r="B29" s="6" t="n"/>
      <c r="C29" s="7" t="n"/>
    </row>
    <row r="30">
      <c r="A30" s="5" t="inlineStr">
        <is>
          <t>水域駕駛✓</t>
        </is>
      </c>
      <c r="B30" s="6" t="n"/>
      <c r="C30" s="7" t="n"/>
    </row>
    <row r="33">
      <c r="A33" s="2" t="inlineStr">
        <is>
          <t>背景故事</t>
        </is>
      </c>
      <c r="B33" s="3" t="n"/>
      <c r="C33" s="3" t="n"/>
      <c r="D33" s="3" t="n"/>
      <c r="E33" s="3" t="n"/>
      <c r="F33" s="3" t="n"/>
      <c r="G33" s="3" t="n"/>
      <c r="H33" s="3" t="n"/>
    </row>
    <row r="34">
      <c r="A34" s="8" t="inlineStr">
        <is>
          <t>地下賽車冠軍。當賽道不再刺激——戰場成了新的賽道。速度快到死神追不上。</t>
        </is>
      </c>
    </row>
    <row r="35"/>
    <row r="36"/>
  </sheetData>
  <mergeCells count="17">
    <mergeCell ref="A12:H12"/>
    <mergeCell ref="A1:H1"/>
    <mergeCell ref="B17:E17"/>
    <mergeCell ref="B18:E18"/>
    <mergeCell ref="A23:D23"/>
    <mergeCell ref="A26:H26"/>
    <mergeCell ref="A28:C28"/>
    <mergeCell ref="A34:H36"/>
    <mergeCell ref="A2:H2"/>
    <mergeCell ref="A16:H16"/>
    <mergeCell ref="B4:D4"/>
    <mergeCell ref="A27:C27"/>
    <mergeCell ref="A33:H33"/>
    <mergeCell ref="A30:C30"/>
    <mergeCell ref="A5:H5"/>
    <mergeCell ref="A29:C29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絕地戰場 TRPG — 範例角色：技師範例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角色姓名</t>
        </is>
      </c>
      <c r="B3" s="5" t="inlineStr">
        <is>
          <t>技師範例</t>
        </is>
      </c>
      <c r="C3" s="4" t="inlineStr">
        <is>
          <t>代號</t>
        </is>
      </c>
      <c r="D3" s="5" t="inlineStr">
        <is>
          <t>扳手</t>
        </is>
      </c>
      <c r="E3" s="4" t="inlineStr">
        <is>
          <t>等級</t>
        </is>
      </c>
      <c r="F3" s="5" t="n">
        <v>1</v>
      </c>
      <c r="G3" s="4" t="inlineStr">
        <is>
          <t>XP</t>
        </is>
      </c>
      <c r="H3" s="5" t="n">
        <v>0</v>
      </c>
    </row>
    <row r="4">
      <c r="A4" s="4" t="inlineStr">
        <is>
          <t>背景</t>
        </is>
      </c>
      <c r="B4" s="5" t="inlineStr">
        <is>
          <t>技師（DRV+1, TAC+1）</t>
        </is>
      </c>
      <c r="C4" s="6" t="n"/>
      <c r="D4" s="7" t="n"/>
    </row>
    <row r="5">
      <c r="A5" s="2" t="inlineStr">
        <is>
          <t>核心屬性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屬性</t>
        </is>
      </c>
      <c r="C6" s="4" t="inlineStr">
        <is>
          <t>數值</t>
        </is>
      </c>
      <c r="E6" s="4" t="inlineStr">
        <is>
          <t>加值</t>
        </is>
      </c>
    </row>
    <row r="7">
      <c r="A7" s="4" t="inlineStr">
        <is>
          <t>槍法（AIM）</t>
        </is>
      </c>
      <c r="C7" s="5" t="n">
        <v>13</v>
      </c>
      <c r="E7" s="5">
        <f>FLOOR.MATH((C7-10)/2)</f>
        <v/>
      </c>
    </row>
    <row r="8">
      <c r="A8" s="4" t="inlineStr">
        <is>
          <t>體能（PHY）</t>
        </is>
      </c>
      <c r="C8" s="5" t="n">
        <v>12</v>
      </c>
      <c r="E8" s="5">
        <f>FLOOR.MATH((C8-10)/2)</f>
        <v/>
      </c>
    </row>
    <row r="9">
      <c r="A9" s="4" t="inlineStr">
        <is>
          <t>戰術（TAC）</t>
        </is>
      </c>
      <c r="C9" s="5" t="n">
        <v>15</v>
      </c>
      <c r="E9" s="5">
        <f>FLOOR.MATH((C9-10)/2)</f>
        <v/>
      </c>
    </row>
    <row r="10">
      <c r="A10" s="4" t="inlineStr">
        <is>
          <t>駕駛（DRV）</t>
        </is>
      </c>
      <c r="C10" s="5" t="n">
        <v>15</v>
      </c>
      <c r="E10" s="5">
        <f>FLOOR.MATH((C10-10)/2)</f>
        <v/>
      </c>
    </row>
    <row r="11">
      <c r="A11" s="4" t="inlineStr">
        <is>
          <t>冷靜（CLM）</t>
        </is>
      </c>
      <c r="C11" s="5" t="n">
        <v>12</v>
      </c>
      <c r="E11" s="5">
        <f>FLOOR.MATH((C11-10)/2)</f>
        <v/>
      </c>
    </row>
    <row r="12">
      <c r="A12" s="2" t="inlineStr">
        <is>
          <t>衍生屬性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生命值（HP）</t>
        </is>
      </c>
      <c r="B13" s="5" t="n">
        <v>11</v>
      </c>
      <c r="C13" s="4" t="inlineStr">
        <is>
          <t>負重上限（kg）</t>
        </is>
      </c>
      <c r="D13" s="5">
        <f>C8*3+5</f>
        <v/>
      </c>
      <c r="E13" s="4" t="inlineStr">
        <is>
          <t>先攻加值</t>
        </is>
      </c>
      <c r="F13" s="5">
        <f>E9+FLOOR.MATH(MAX(E7,0)/2)</f>
        <v/>
      </c>
      <c r="G13" s="4" t="inlineStr">
        <is>
          <t>聽音範圍（m）</t>
        </is>
      </c>
      <c r="H13" s="5">
        <f>C9*10</f>
        <v/>
      </c>
    </row>
    <row r="14">
      <c r="A14" s="4" t="inlineStr">
        <is>
          <t>壓力閾值</t>
        </is>
      </c>
      <c r="B14" s="5">
        <f>C11*2+5</f>
        <v/>
      </c>
      <c r="C14" s="4" t="inlineStr">
        <is>
          <t>熟練加值（PB）</t>
        </is>
      </c>
      <c r="D14" s="5" t="n">
        <v>2</v>
      </c>
      <c r="E14" s="4" t="inlineStr">
        <is>
          <t>移動速度</t>
        </is>
      </c>
      <c r="F14" s="5" t="n">
        <v>30</v>
      </c>
    </row>
    <row r="16">
      <c r="A16" s="2" t="inlineStr">
        <is>
          <t>武器裝備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武器1</t>
        </is>
      </c>
      <c r="B17" s="5" t="inlineStr">
        <is>
          <t>SCAR-L突擊步槍</t>
        </is>
      </c>
      <c r="C17" s="6" t="n"/>
      <c r="D17" s="6" t="n"/>
      <c r="E17" s="7" t="n"/>
    </row>
    <row r="18">
      <c r="A18" s="4" t="inlineStr">
        <is>
          <t>武器2</t>
        </is>
      </c>
      <c r="B18" s="5" t="inlineStr">
        <is>
          <t>P92手槍</t>
        </is>
      </c>
      <c r="C18" s="6" t="n"/>
      <c r="D18" s="6" t="n"/>
      <c r="E18" s="7" t="n"/>
    </row>
    <row r="19">
      <c r="A19" s="4" t="inlineStr">
        <is>
          <t>武器3</t>
        </is>
      </c>
      <c r="B19" s="5" t="inlineStr">
        <is>
          <t>C4炸藥×2</t>
        </is>
      </c>
      <c r="C19" s="6" t="n"/>
      <c r="D19" s="6" t="n"/>
      <c r="E19" s="7" t="n"/>
    </row>
    <row r="21">
      <c r="A21" s="4" t="inlineStr">
        <is>
          <t>頭盔</t>
        </is>
      </c>
      <c r="B21" s="5" t="inlineStr">
        <is>
          <t>二級頭盔</t>
        </is>
      </c>
      <c r="C21" s="4" t="inlineStr">
        <is>
          <t>護甲</t>
        </is>
      </c>
      <c r="D21" s="5" t="inlineStr">
        <is>
          <t>二級護甲</t>
        </is>
      </c>
    </row>
    <row r="23">
      <c r="A23" s="2" t="inlineStr">
        <is>
          <t>專長</t>
        </is>
      </c>
      <c r="B23" s="3" t="n"/>
      <c r="C23" s="3" t="n"/>
      <c r="D23" s="3" t="n"/>
      <c r="E23" s="3" t="n"/>
      <c r="F23" s="3" t="n"/>
      <c r="G23" s="3" t="n"/>
      <c r="H23" s="3" t="n"/>
    </row>
    <row r="24">
      <c r="A24" s="5" t="inlineStr">
        <is>
          <t>載具維修（D2）</t>
        </is>
      </c>
      <c r="B24" s="6" t="n"/>
      <c r="C24" s="6" t="n"/>
      <c r="D24" s="7" t="n"/>
    </row>
    <row r="27">
      <c r="A27" s="2" t="inlineStr">
        <is>
          <t>技能熟練</t>
        </is>
      </c>
      <c r="B27" s="3" t="n"/>
      <c r="C27" s="3" t="n"/>
      <c r="D27" s="3" t="n"/>
      <c r="E27" s="3" t="n"/>
      <c r="F27" s="3" t="n"/>
      <c r="G27" s="3" t="n"/>
      <c r="H27" s="3" t="n"/>
    </row>
    <row r="28">
      <c r="A28" s="5" t="inlineStr">
        <is>
          <t>載具維修✓</t>
        </is>
      </c>
      <c r="B28" s="6" t="n"/>
      <c r="C28" s="7" t="n"/>
    </row>
    <row r="29">
      <c r="A29" s="5" t="inlineStr">
        <is>
          <t>察覺✓</t>
        </is>
      </c>
      <c r="B29" s="6" t="n"/>
      <c r="C29" s="7" t="n"/>
    </row>
    <row r="30">
      <c r="A30" s="5" t="inlineStr">
        <is>
          <t>陸地駕駛✓</t>
        </is>
      </c>
      <c r="B30" s="6" t="n"/>
      <c r="C30" s="7" t="n"/>
    </row>
    <row r="31">
      <c r="A31" s="5" t="inlineStr">
        <is>
          <t>圈型預判✓</t>
        </is>
      </c>
      <c r="B31" s="6" t="n"/>
      <c r="C31" s="7" t="n"/>
    </row>
    <row r="34">
      <c r="A34" s="2" t="inlineStr">
        <is>
          <t>背景故事</t>
        </is>
      </c>
      <c r="B34" s="3" t="n"/>
      <c r="C34" s="3" t="n"/>
      <c r="D34" s="3" t="n"/>
      <c r="E34" s="3" t="n"/>
      <c r="F34" s="3" t="n"/>
      <c r="G34" s="3" t="n"/>
      <c r="H34" s="3" t="n"/>
    </row>
    <row r="35">
      <c r="A35" s="8" t="inlineStr">
        <is>
          <t>軍工廠的機械天才。沒有他修不好的東西——也沒他炸不掉的東西。</t>
        </is>
      </c>
    </row>
    <row r="36"/>
    <row r="37"/>
  </sheetData>
  <mergeCells count="18">
    <mergeCell ref="A12:H12"/>
    <mergeCell ref="A1:H1"/>
    <mergeCell ref="B17:E17"/>
    <mergeCell ref="B18:E18"/>
    <mergeCell ref="A28:C28"/>
    <mergeCell ref="A35:H37"/>
    <mergeCell ref="A2:H2"/>
    <mergeCell ref="A16:H16"/>
    <mergeCell ref="B4:D4"/>
    <mergeCell ref="A31:C31"/>
    <mergeCell ref="A24:D24"/>
    <mergeCell ref="B19:E19"/>
    <mergeCell ref="A5:H5"/>
    <mergeCell ref="A23:H23"/>
    <mergeCell ref="A30:C30"/>
    <mergeCell ref="A27:H27"/>
    <mergeCell ref="A29:C29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2026-07-13T05:46:49Z</dcterms:modified>
</cp:coreProperties>
</file>