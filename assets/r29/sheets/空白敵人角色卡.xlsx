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F5496"/>
      <sz val="18"/>
    </font>
    <font>
      <name val="微軟正黑體"/>
      <b val="1"/>
      <color rgb="002F5496"/>
      <sz val="12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絕地戰場 TRPG — 敵人/怪物角色卡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敵人/代號</t>
        </is>
      </c>
      <c r="B3" s="5" t="inlineStr"/>
      <c r="C3" s="4" t="inlineStr">
        <is>
          <t>難度級別</t>
        </is>
      </c>
      <c r="D3" s="5" t="inlineStr"/>
    </row>
    <row r="4">
      <c r="A4" s="4" t="inlineStr">
        <is>
          <t>小隊類型</t>
        </is>
      </c>
      <c r="B4" s="5" t="inlineStr"/>
      <c r="C4" s="4" t="inlineStr">
        <is>
          <t>所屬劇本</t>
        </is>
      </c>
      <c r="D4" s="5" t="inlineStr"/>
    </row>
    <row r="5">
      <c r="A5" s="4" t="inlineStr">
        <is>
          <t>戰術風格</t>
        </is>
      </c>
      <c r="B5" s="5" t="inlineStr"/>
      <c r="C5" s="4" t="inlineStr">
        <is>
          <t>挑戰等級(EL)</t>
        </is>
      </c>
      <c r="D5" s="5" t="inlineStr"/>
    </row>
    <row r="6">
      <c r="A6" s="2" t="inlineStr">
        <is>
          <t>屬性</t>
        </is>
      </c>
      <c r="B6" s="3" t="n"/>
      <c r="C6" s="3" t="n"/>
      <c r="D6" s="3" t="n"/>
      <c r="E6" s="3" t="n"/>
      <c r="F6" s="3" t="n"/>
    </row>
    <row r="7">
      <c r="A7" s="4" t="inlineStr">
        <is>
          <t>屬性</t>
        </is>
      </c>
      <c r="B7" s="4" t="inlineStr">
        <is>
          <t>數值</t>
        </is>
      </c>
      <c r="C7" s="4" t="inlineStr">
        <is>
          <t>加值</t>
        </is>
      </c>
    </row>
    <row r="8">
      <c r="A8" s="4" t="inlineStr">
        <is>
          <t>槍法（AIM）</t>
        </is>
      </c>
      <c r="B8" s="5" t="inlineStr"/>
      <c r="C8" s="5">
        <f>FLOOR.MATH((B8-10)/2)</f>
        <v/>
      </c>
    </row>
    <row r="9">
      <c r="A9" s="4" t="inlineStr">
        <is>
          <t>體能（PHY）</t>
        </is>
      </c>
      <c r="B9" s="5" t="inlineStr"/>
      <c r="C9" s="5">
        <f>FLOOR.MATH((B9-10)/2)</f>
        <v/>
      </c>
    </row>
    <row r="10">
      <c r="A10" s="4" t="inlineStr">
        <is>
          <t>戰術（TAC）</t>
        </is>
      </c>
      <c r="B10" s="5" t="inlineStr"/>
      <c r="C10" s="5">
        <f>FLOOR.MATH((B10-10)/2)</f>
        <v/>
      </c>
    </row>
    <row r="11">
      <c r="A11" s="4" t="inlineStr">
        <is>
          <t>駕駛（DRV）</t>
        </is>
      </c>
      <c r="B11" s="5" t="inlineStr"/>
      <c r="C11" s="5">
        <f>FLOOR.MATH((B11-10)/2)</f>
        <v/>
      </c>
    </row>
    <row r="12">
      <c r="A12" s="4" t="inlineStr">
        <is>
          <t>冷靜（CLM）</t>
        </is>
      </c>
      <c r="B12" s="5" t="inlineStr"/>
      <c r="C12" s="5">
        <f>FLOOR.MATH((B12-10)/2)</f>
        <v/>
      </c>
    </row>
    <row r="13">
      <c r="A13" s="2" t="inlineStr">
        <is>
          <t>衍生屬性</t>
        </is>
      </c>
      <c r="B13" s="3" t="n"/>
      <c r="C13" s="3" t="n"/>
      <c r="D13" s="3" t="n"/>
      <c r="E13" s="3" t="n"/>
      <c r="F13" s="3" t="n"/>
    </row>
    <row r="14">
      <c r="A14" s="4" t="inlineStr">
        <is>
          <t>生命值（HP）</t>
        </is>
      </c>
      <c r="B14" s="5" t="inlineStr"/>
      <c r="C14" s="4" t="inlineStr">
        <is>
          <t>先攻加值</t>
        </is>
      </c>
      <c r="D14" s="5">
        <f>C10+FLOOR.MATH(MAX(C8,0)/2)</f>
        <v/>
      </c>
    </row>
    <row r="15">
      <c r="A15" s="4" t="inlineStr">
        <is>
          <t>負重上限（kg）</t>
        </is>
      </c>
      <c r="B15" s="5">
        <f>B9*3+5</f>
        <v/>
      </c>
      <c r="C15" s="4" t="inlineStr">
        <is>
          <t>聽音範圍（m）</t>
        </is>
      </c>
      <c r="D15" s="5">
        <f>B10*10</f>
        <v/>
      </c>
    </row>
    <row r="16">
      <c r="A16" s="4" t="inlineStr">
        <is>
          <t>壓力閾值</t>
        </is>
      </c>
      <c r="B16" s="5">
        <f>B12*2+5</f>
        <v/>
      </c>
      <c r="C16" s="4" t="inlineStr">
        <is>
          <t>移動速度</t>
        </is>
      </c>
      <c r="D16" s="5" t="n">
        <v>30</v>
      </c>
    </row>
    <row r="18">
      <c r="A18" s="2" t="inlineStr">
        <is>
          <t>武器裝備</t>
        </is>
      </c>
      <c r="B18" s="3" t="n"/>
      <c r="C18" s="3" t="n"/>
      <c r="D18" s="3" t="n"/>
      <c r="E18" s="3" t="n"/>
      <c r="F18" s="3" t="n"/>
    </row>
    <row r="19">
      <c r="A19" s="4" t="inlineStr">
        <is>
          <t>武器名稱</t>
        </is>
      </c>
      <c r="B19" s="4" t="inlineStr">
        <is>
          <t>傷害</t>
        </is>
      </c>
      <c r="C19" s="4" t="inlineStr">
        <is>
          <t>射程</t>
        </is>
      </c>
      <c r="D19" s="4" t="inlineStr">
        <is>
          <t>彈匣</t>
        </is>
      </c>
      <c r="E19" s="4" t="inlineStr">
        <is>
          <t>特殊屬性</t>
        </is>
      </c>
      <c r="F19" s="4" t="inlineStr">
        <is>
          <t>重量</t>
        </is>
      </c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</row>
    <row r="24">
      <c r="A24" s="2" t="inlineStr">
        <is>
          <t>特殊能力</t>
        </is>
      </c>
      <c r="B24" s="3" t="n"/>
      <c r="C24" s="3" t="n"/>
      <c r="D24" s="3" t="n"/>
      <c r="E24" s="3" t="n"/>
      <c r="F24" s="3" t="n"/>
    </row>
    <row r="25">
      <c r="A25" s="5" t="inlineStr"/>
    </row>
    <row r="26">
      <c r="A26" s="5" t="inlineStr"/>
    </row>
    <row r="27">
      <c r="A27" s="5" t="inlineStr"/>
    </row>
    <row r="29">
      <c r="A29" s="2" t="inlineStr">
        <is>
          <t>AI 行為邏輯</t>
        </is>
      </c>
      <c r="B29" s="3" t="n"/>
      <c r="C29" s="3" t="n"/>
      <c r="D29" s="3" t="n"/>
      <c r="E29" s="3" t="n"/>
      <c r="F29" s="3" t="n"/>
    </row>
    <row r="30">
      <c r="A30" s="5" t="inlineStr"/>
    </row>
    <row r="31">
      <c r="A31" s="5" t="inlineStr"/>
    </row>
    <row r="32">
      <c r="A32" s="5" t="inlineStr"/>
    </row>
    <row r="33">
      <c r="A33" s="5" t="inlineStr"/>
    </row>
  </sheetData>
  <mergeCells count="14">
    <mergeCell ref="A24:F24"/>
    <mergeCell ref="A2:F2"/>
    <mergeCell ref="A33:F33"/>
    <mergeCell ref="A13:F13"/>
    <mergeCell ref="A1:F1"/>
    <mergeCell ref="A32:F32"/>
    <mergeCell ref="A27:F27"/>
    <mergeCell ref="A31:F31"/>
    <mergeCell ref="A6:F6"/>
    <mergeCell ref="A18:F18"/>
    <mergeCell ref="A26:F26"/>
    <mergeCell ref="A30:F30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2026-07-13T05:46:49Z</dcterms:created>
  <dcterms:modified xsi:type="dcterms:W3CDTF">2026-07-13T05:46:49Z</dcterms:modified>
</cp:coreProperties>
</file>