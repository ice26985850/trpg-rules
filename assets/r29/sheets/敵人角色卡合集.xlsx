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菜鳥隊" sheetId="1" state="visible" r:id="rId1"/>
    <sheet name="穩健隊" sheetId="2" state="visible" r:id="rId2"/>
    <sheet name="突擊隊" sheetId="3" state="visible" r:id="rId3"/>
    <sheet name="伏擊隊" sheetId="4" state="visible" r:id="rId4"/>
    <sheet name="職業隊" sheetId="5" state="visible" r:id="rId5"/>
    <sheet name="冠軍級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2F5496"/>
      <sz val="18"/>
    </font>
    <font>
      <name val="微軟正黑體"/>
      <b val="1"/>
      <color rgb="002F5496"/>
      <sz val="12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敵人：菜鳥隊員（菜鳥隊）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</row>
    <row r="3">
      <c r="A3" s="4" t="inlineStr">
        <is>
          <t>類型</t>
        </is>
      </c>
      <c r="B3" s="5" t="inlineStr">
        <is>
          <t>菜鳥隊</t>
        </is>
      </c>
      <c r="C3" s="4" t="inlineStr">
        <is>
          <t>難度</t>
        </is>
      </c>
      <c r="D3" s="5" t="inlineStr">
        <is>
          <t>★</t>
        </is>
      </c>
    </row>
    <row r="4">
      <c r="A4" s="4" t="inlineStr">
        <is>
          <t>防具</t>
        </is>
      </c>
      <c r="B4" s="5" t="inlineStr">
        <is>
          <t>一級頭盔 + 一級護甲</t>
        </is>
      </c>
      <c r="C4" s="6" t="n"/>
      <c r="D4" s="7" t="n"/>
    </row>
    <row r="5">
      <c r="A5" s="2" t="inlineStr">
        <is>
          <t>屬性</t>
        </is>
      </c>
      <c r="B5" s="3" t="n"/>
      <c r="C5" s="3" t="n"/>
      <c r="D5" s="3" t="n"/>
      <c r="E5" s="3" t="n"/>
      <c r="F5" s="3" t="n"/>
    </row>
    <row r="6">
      <c r="A6" s="4" t="inlineStr">
        <is>
          <t>槍法（AIM）</t>
        </is>
      </c>
      <c r="B6" s="5" t="n">
        <v>10</v>
      </c>
      <c r="C6" s="5">
        <f>FLOOR.MATH((B6-10)/2)</f>
        <v/>
      </c>
    </row>
    <row r="7">
      <c r="A7" s="4" t="inlineStr">
        <is>
          <t>體能（PHY）</t>
        </is>
      </c>
      <c r="B7" s="5" t="n">
        <v>10</v>
      </c>
      <c r="C7" s="5">
        <f>FLOOR.MATH((B7-10)/2)</f>
        <v/>
      </c>
    </row>
    <row r="8">
      <c r="A8" s="4" t="inlineStr">
        <is>
          <t>戰術（TAC）</t>
        </is>
      </c>
      <c r="B8" s="5" t="n">
        <v>8</v>
      </c>
      <c r="C8" s="5">
        <f>FLOOR.MATH((B8-10)/2)</f>
        <v/>
      </c>
    </row>
    <row r="9">
      <c r="A9" s="4" t="inlineStr">
        <is>
          <t>駕駛（DRV）</t>
        </is>
      </c>
      <c r="B9" s="5" t="n">
        <v>8</v>
      </c>
      <c r="C9" s="5">
        <f>FLOOR.MATH((B9-10)/2)</f>
        <v/>
      </c>
    </row>
    <row r="10">
      <c r="A10" s="4" t="inlineStr">
        <is>
          <t>冷靜（CLM）</t>
        </is>
      </c>
      <c r="B10" s="5" t="n">
        <v>8</v>
      </c>
      <c r="C10" s="5">
        <f>FLOOR.MATH((B10-10)/2)</f>
        <v/>
      </c>
    </row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HP（估算）</t>
        </is>
      </c>
      <c r="B12" s="5">
        <f>10+C7+4*(5+C7)</f>
        <v/>
      </c>
      <c r="C12" s="4" t="inlineStr">
        <is>
          <t>先攻加值</t>
        </is>
      </c>
      <c r="D12" s="5">
        <f>C8+FLOOR.MATH(MAX(C6,0)/2)</f>
        <v/>
      </c>
    </row>
    <row r="13">
      <c r="A13" s="4" t="inlineStr">
        <is>
          <t>聽音範圍（m）</t>
        </is>
      </c>
      <c r="B13" s="5">
        <f>B8*10</f>
        <v/>
      </c>
      <c r="C13" s="4" t="inlineStr">
        <is>
          <t>壓力閾值</t>
        </is>
      </c>
      <c r="D13" s="5">
        <f>B10*2+5</f>
        <v/>
      </c>
    </row>
    <row r="15">
      <c r="A15" s="2" t="inlineStr">
        <is>
          <t>武器</t>
        </is>
      </c>
      <c r="B15" s="3" t="n"/>
      <c r="C15" s="3" t="n"/>
      <c r="D15" s="3" t="n"/>
      <c r="E15" s="3" t="n"/>
      <c r="F15" s="3" t="n"/>
    </row>
    <row r="16">
      <c r="A16" s="5" t="inlineStr">
        <is>
          <t>P92手槍</t>
        </is>
      </c>
      <c r="B16" s="6" t="n"/>
      <c r="C16" s="7" t="n"/>
    </row>
    <row r="17">
      <c r="A17" s="5" t="inlineStr">
        <is>
          <t>UMP45衝鋒槍</t>
        </is>
      </c>
      <c r="B17" s="6" t="n"/>
      <c r="C17" s="7" t="n"/>
    </row>
    <row r="20">
      <c r="A20" s="2" t="inlineStr">
        <is>
          <t>AI 行為邏輯</t>
        </is>
      </c>
      <c r="B20" s="3" t="n"/>
      <c r="C20" s="3" t="n"/>
      <c r="D20" s="3" t="n"/>
      <c r="E20" s="3" t="n"/>
      <c r="F20" s="3" t="n"/>
    </row>
    <row r="21">
      <c r="A21" s="8" t="inlineStr">
        <is>
          <t>行為模式：分散搜刮，聽到槍聲躲起來，被動等圈縮。換彈時機不當。不會救援隊友。</t>
        </is>
      </c>
    </row>
    <row r="22"/>
    <row r="23"/>
    <row r="24">
      <c r="A24" s="2" t="inlineStr">
        <is>
          <t>戰術要點</t>
        </is>
      </c>
      <c r="B24" s="3" t="n"/>
      <c r="C24" s="3" t="n"/>
      <c r="D24" s="3" t="n"/>
      <c r="E24" s="3" t="n"/>
      <c r="F24" s="3" t="n"/>
    </row>
    <row r="25">
      <c r="A25" s="8" t="inlineStr">
        <is>
          <t>慌亂射擊。不主動更換掩體。</t>
        </is>
      </c>
    </row>
    <row r="26"/>
  </sheetData>
  <mergeCells count="12">
    <mergeCell ref="A24:F24"/>
    <mergeCell ref="A2:F2"/>
    <mergeCell ref="A11:F11"/>
    <mergeCell ref="A1:F1"/>
    <mergeCell ref="A5:F5"/>
    <mergeCell ref="B4:D4"/>
    <mergeCell ref="A17:C17"/>
    <mergeCell ref="A21:F23"/>
    <mergeCell ref="A25:F26"/>
    <mergeCell ref="A20:F20"/>
    <mergeCell ref="A15:F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敵人：穩健隊員（穩健隊）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</row>
    <row r="3">
      <c r="A3" s="4" t="inlineStr">
        <is>
          <t>類型</t>
        </is>
      </c>
      <c r="B3" s="5" t="inlineStr">
        <is>
          <t>穩健隊</t>
        </is>
      </c>
      <c r="C3" s="4" t="inlineStr">
        <is>
          <t>難度</t>
        </is>
      </c>
      <c r="D3" s="5" t="inlineStr">
        <is>
          <t>★★</t>
        </is>
      </c>
    </row>
    <row r="4">
      <c r="A4" s="4" t="inlineStr">
        <is>
          <t>防具</t>
        </is>
      </c>
      <c r="B4" s="5" t="inlineStr">
        <is>
          <t>二級頭盔 + 一級護甲</t>
        </is>
      </c>
      <c r="C4" s="6" t="n"/>
      <c r="D4" s="7" t="n"/>
    </row>
    <row r="5">
      <c r="A5" s="2" t="inlineStr">
        <is>
          <t>屬性</t>
        </is>
      </c>
      <c r="B5" s="3" t="n"/>
      <c r="C5" s="3" t="n"/>
      <c r="D5" s="3" t="n"/>
      <c r="E5" s="3" t="n"/>
      <c r="F5" s="3" t="n"/>
    </row>
    <row r="6">
      <c r="A6" s="4" t="inlineStr">
        <is>
          <t>槍法（AIM）</t>
        </is>
      </c>
      <c r="B6" s="5" t="n">
        <v>13</v>
      </c>
      <c r="C6" s="5">
        <f>FLOOR.MATH((B6-10)/2)</f>
        <v/>
      </c>
    </row>
    <row r="7">
      <c r="A7" s="4" t="inlineStr">
        <is>
          <t>體能（PHY）</t>
        </is>
      </c>
      <c r="B7" s="5" t="n">
        <v>12</v>
      </c>
      <c r="C7" s="5">
        <f>FLOOR.MATH((B7-10)/2)</f>
        <v/>
      </c>
    </row>
    <row r="8">
      <c r="A8" s="4" t="inlineStr">
        <is>
          <t>戰術（TAC）</t>
        </is>
      </c>
      <c r="B8" s="5" t="n">
        <v>12</v>
      </c>
      <c r="C8" s="5">
        <f>FLOOR.MATH((B8-10)/2)</f>
        <v/>
      </c>
    </row>
    <row r="9">
      <c r="A9" s="4" t="inlineStr">
        <is>
          <t>駕駛（DRV）</t>
        </is>
      </c>
      <c r="B9" s="5" t="n">
        <v>10</v>
      </c>
      <c r="C9" s="5">
        <f>FLOOR.MATH((B9-10)/2)</f>
        <v/>
      </c>
    </row>
    <row r="10">
      <c r="A10" s="4" t="inlineStr">
        <is>
          <t>冷靜（CLM）</t>
        </is>
      </c>
      <c r="B10" s="5" t="n">
        <v>11</v>
      </c>
      <c r="C10" s="5">
        <f>FLOOR.MATH((B10-10)/2)</f>
        <v/>
      </c>
    </row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HP（估算）</t>
        </is>
      </c>
      <c r="B12" s="5">
        <f>10+C7+4*(5+C7)</f>
        <v/>
      </c>
      <c r="C12" s="4" t="inlineStr">
        <is>
          <t>先攻加值</t>
        </is>
      </c>
      <c r="D12" s="5">
        <f>C8+FLOOR.MATH(MAX(C6,0)/2)</f>
        <v/>
      </c>
    </row>
    <row r="13">
      <c r="A13" s="4" t="inlineStr">
        <is>
          <t>聽音範圍（m）</t>
        </is>
      </c>
      <c r="B13" s="5">
        <f>B8*10</f>
        <v/>
      </c>
      <c r="C13" s="4" t="inlineStr">
        <is>
          <t>壓力閾值</t>
        </is>
      </c>
      <c r="D13" s="5">
        <f>B10*2+5</f>
        <v/>
      </c>
    </row>
    <row r="15">
      <c r="A15" s="2" t="inlineStr">
        <is>
          <t>武器</t>
        </is>
      </c>
      <c r="B15" s="3" t="n"/>
      <c r="C15" s="3" t="n"/>
      <c r="D15" s="3" t="n"/>
      <c r="E15" s="3" t="n"/>
      <c r="F15" s="3" t="n"/>
    </row>
    <row r="16">
      <c r="A16" s="5" t="inlineStr">
        <is>
          <t>M16A4突擊步槍</t>
        </is>
      </c>
      <c r="B16" s="6" t="n"/>
      <c r="C16" s="7" t="n"/>
    </row>
    <row r="17">
      <c r="A17" s="5" t="inlineStr">
        <is>
          <t>P92手槍</t>
        </is>
      </c>
      <c r="B17" s="6" t="n"/>
      <c r="C17" s="7" t="n"/>
    </row>
    <row r="20">
      <c r="A20" s="2" t="inlineStr">
        <is>
          <t>AI 行為邏輯</t>
        </is>
      </c>
      <c r="B20" s="3" t="n"/>
      <c r="C20" s="3" t="n"/>
      <c r="D20" s="3" t="n"/>
      <c r="E20" s="3" t="n"/>
      <c r="F20" s="3" t="n"/>
    </row>
    <row r="21">
      <c r="A21" s="8" t="inlineStr">
        <is>
          <t>行為模式：抱團行動，佔據制高點。合理使用煙霧彈。會救援倒地隊友（一人掩護一人救援）。</t>
        </is>
      </c>
    </row>
    <row r="22"/>
    <row r="23"/>
    <row r="24">
      <c r="A24" s="2" t="inlineStr">
        <is>
          <t>戰術要點</t>
        </is>
      </c>
      <c r="B24" s="3" t="n"/>
      <c r="C24" s="3" t="n"/>
      <c r="D24" s="3" t="n"/>
      <c r="E24" s="3" t="n"/>
      <c r="F24" s="3" t="n"/>
    </row>
    <row r="25">
      <c r="A25" s="8" t="inlineStr">
        <is>
          <t>掩體後輪流射擊。煙霧彈掩護撤退。</t>
        </is>
      </c>
    </row>
    <row r="26"/>
  </sheetData>
  <mergeCells count="12">
    <mergeCell ref="A24:F24"/>
    <mergeCell ref="A2:F2"/>
    <mergeCell ref="A11:F11"/>
    <mergeCell ref="A1:F1"/>
    <mergeCell ref="A5:F5"/>
    <mergeCell ref="B4:D4"/>
    <mergeCell ref="A17:C17"/>
    <mergeCell ref="A21:F23"/>
    <mergeCell ref="A25:F26"/>
    <mergeCell ref="A20:F20"/>
    <mergeCell ref="A15:F15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敵人：突擊隊員（突擊隊）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</row>
    <row r="3">
      <c r="A3" s="4" t="inlineStr">
        <is>
          <t>類型</t>
        </is>
      </c>
      <c r="B3" s="5" t="inlineStr">
        <is>
          <t>突擊隊</t>
        </is>
      </c>
      <c r="C3" s="4" t="inlineStr">
        <is>
          <t>難度</t>
        </is>
      </c>
      <c r="D3" s="5" t="inlineStr">
        <is>
          <t>★★★</t>
        </is>
      </c>
    </row>
    <row r="4">
      <c r="A4" s="4" t="inlineStr">
        <is>
          <t>防具</t>
        </is>
      </c>
      <c r="B4" s="5" t="inlineStr">
        <is>
          <t>二級頭盔 + 二級護甲</t>
        </is>
      </c>
      <c r="C4" s="6" t="n"/>
      <c r="D4" s="7" t="n"/>
    </row>
    <row r="5">
      <c r="A5" s="2" t="inlineStr">
        <is>
          <t>屬性</t>
        </is>
      </c>
      <c r="B5" s="3" t="n"/>
      <c r="C5" s="3" t="n"/>
      <c r="D5" s="3" t="n"/>
      <c r="E5" s="3" t="n"/>
      <c r="F5" s="3" t="n"/>
    </row>
    <row r="6">
      <c r="A6" s="4" t="inlineStr">
        <is>
          <t>槍法（AIM）</t>
        </is>
      </c>
      <c r="B6" s="5" t="n">
        <v>15</v>
      </c>
      <c r="C6" s="5">
        <f>FLOOR.MATH((B6-10)/2)</f>
        <v/>
      </c>
    </row>
    <row r="7">
      <c r="A7" s="4" t="inlineStr">
        <is>
          <t>體能（PHY）</t>
        </is>
      </c>
      <c r="B7" s="5" t="n">
        <v>14</v>
      </c>
      <c r="C7" s="5">
        <f>FLOOR.MATH((B7-10)/2)</f>
        <v/>
      </c>
    </row>
    <row r="8">
      <c r="A8" s="4" t="inlineStr">
        <is>
          <t>戰術（TAC）</t>
        </is>
      </c>
      <c r="B8" s="5" t="n">
        <v>12</v>
      </c>
      <c r="C8" s="5">
        <f>FLOOR.MATH((B8-10)/2)</f>
        <v/>
      </c>
    </row>
    <row r="9">
      <c r="A9" s="4" t="inlineStr">
        <is>
          <t>駕駛（DRV）</t>
        </is>
      </c>
      <c r="B9" s="5" t="n">
        <v>12</v>
      </c>
      <c r="C9" s="5">
        <f>FLOOR.MATH((B9-10)/2)</f>
        <v/>
      </c>
    </row>
    <row r="10">
      <c r="A10" s="4" t="inlineStr">
        <is>
          <t>冷靜（CLM）</t>
        </is>
      </c>
      <c r="B10" s="5" t="n">
        <v>11</v>
      </c>
      <c r="C10" s="5">
        <f>FLOOR.MATH((B10-10)/2)</f>
        <v/>
      </c>
    </row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HP（估算）</t>
        </is>
      </c>
      <c r="B12" s="5">
        <f>10+C7+4*(5+C7)</f>
        <v/>
      </c>
      <c r="C12" s="4" t="inlineStr">
        <is>
          <t>先攻加值</t>
        </is>
      </c>
      <c r="D12" s="5">
        <f>C8+FLOOR.MATH(MAX(C6,0)/2)</f>
        <v/>
      </c>
    </row>
    <row r="13">
      <c r="A13" s="4" t="inlineStr">
        <is>
          <t>聽音範圍（m）</t>
        </is>
      </c>
      <c r="B13" s="5">
        <f>B8*10</f>
        <v/>
      </c>
      <c r="C13" s="4" t="inlineStr">
        <is>
          <t>壓力閾值</t>
        </is>
      </c>
      <c r="D13" s="5">
        <f>B10*2+5</f>
        <v/>
      </c>
    </row>
    <row r="15">
      <c r="A15" s="2" t="inlineStr">
        <is>
          <t>武器</t>
        </is>
      </c>
      <c r="B15" s="3" t="n"/>
      <c r="C15" s="3" t="n"/>
      <c r="D15" s="3" t="n"/>
      <c r="E15" s="3" t="n"/>
      <c r="F15" s="3" t="n"/>
    </row>
    <row r="16">
      <c r="A16" s="5" t="inlineStr">
        <is>
          <t>AKM突擊步槍</t>
        </is>
      </c>
      <c r="B16" s="6" t="n"/>
      <c r="C16" s="7" t="n"/>
    </row>
    <row r="17">
      <c r="A17" s="5" t="inlineStr">
        <is>
          <t>Vector衝鋒槍</t>
        </is>
      </c>
      <c r="B17" s="6" t="n"/>
      <c r="C17" s="7" t="n"/>
    </row>
    <row r="20">
      <c r="A20" s="2" t="inlineStr">
        <is>
          <t>AI 行為邏輯</t>
        </is>
      </c>
      <c r="B20" s="3" t="n"/>
      <c r="C20" s="3" t="n"/>
      <c r="D20" s="3" t="n"/>
      <c r="E20" s="3" t="n"/>
      <c r="F20" s="3" t="n"/>
    </row>
    <row r="21">
      <c r="A21" s="8" t="inlineStr">
        <is>
          <t>行為模式：聽槍聲追擊，積極搶空投。使用載具快速轉移。隊友壓制、隊友包抄的協同戰術。</t>
        </is>
      </c>
    </row>
    <row r="22"/>
    <row r="23"/>
    <row r="24">
      <c r="A24" s="2" t="inlineStr">
        <is>
          <t>戰術要點</t>
        </is>
      </c>
      <c r="B24" s="3" t="n"/>
      <c r="C24" s="3" t="n"/>
      <c r="D24" s="3" t="n"/>
      <c r="E24" s="3" t="n"/>
      <c r="F24" s="3" t="n"/>
    </row>
    <row r="25">
      <c r="A25" s="8" t="inlineStr">
        <is>
          <t>側翼包抄。載具衝鋒。連發壓制。</t>
        </is>
      </c>
    </row>
    <row r="26"/>
  </sheetData>
  <mergeCells count="12">
    <mergeCell ref="A24:F24"/>
    <mergeCell ref="A2:F2"/>
    <mergeCell ref="A11:F11"/>
    <mergeCell ref="A1:F1"/>
    <mergeCell ref="A5:F5"/>
    <mergeCell ref="B4:D4"/>
    <mergeCell ref="A17:C17"/>
    <mergeCell ref="A21:F23"/>
    <mergeCell ref="A25:F26"/>
    <mergeCell ref="A20:F20"/>
    <mergeCell ref="A15:F15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敵人：伏擊隊員（伏擊隊）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</row>
    <row r="3">
      <c r="A3" s="4" t="inlineStr">
        <is>
          <t>類型</t>
        </is>
      </c>
      <c r="B3" s="5" t="inlineStr">
        <is>
          <t>伏擊隊</t>
        </is>
      </c>
      <c r="C3" s="4" t="inlineStr">
        <is>
          <t>難度</t>
        </is>
      </c>
      <c r="D3" s="5" t="inlineStr">
        <is>
          <t>★★★</t>
        </is>
      </c>
    </row>
    <row r="4">
      <c r="A4" s="4" t="inlineStr">
        <is>
          <t>防具</t>
        </is>
      </c>
      <c r="B4" s="5" t="inlineStr">
        <is>
          <t>二級頭盔 + 一級護甲</t>
        </is>
      </c>
      <c r="C4" s="6" t="n"/>
      <c r="D4" s="7" t="n"/>
    </row>
    <row r="5">
      <c r="A5" s="2" t="inlineStr">
        <is>
          <t>屬性</t>
        </is>
      </c>
      <c r="B5" s="3" t="n"/>
      <c r="C5" s="3" t="n"/>
      <c r="D5" s="3" t="n"/>
      <c r="E5" s="3" t="n"/>
      <c r="F5" s="3" t="n"/>
    </row>
    <row r="6">
      <c r="A6" s="4" t="inlineStr">
        <is>
          <t>槍法（AIM）</t>
        </is>
      </c>
      <c r="B6" s="5" t="n">
        <v>14</v>
      </c>
      <c r="C6" s="5">
        <f>FLOOR.MATH((B6-10)/2)</f>
        <v/>
      </c>
    </row>
    <row r="7">
      <c r="A7" s="4" t="inlineStr">
        <is>
          <t>體能（PHY）</t>
        </is>
      </c>
      <c r="B7" s="5" t="n">
        <v>12</v>
      </c>
      <c r="C7" s="5">
        <f>FLOOR.MATH((B7-10)/2)</f>
        <v/>
      </c>
    </row>
    <row r="8">
      <c r="A8" s="4" t="inlineStr">
        <is>
          <t>戰術（TAC）</t>
        </is>
      </c>
      <c r="B8" s="5" t="n">
        <v>16</v>
      </c>
      <c r="C8" s="5">
        <f>FLOOR.MATH((B8-10)/2)</f>
        <v/>
      </c>
    </row>
    <row r="9">
      <c r="A9" s="4" t="inlineStr">
        <is>
          <t>駕駛（DRV）</t>
        </is>
      </c>
      <c r="B9" s="5" t="n">
        <v>10</v>
      </c>
      <c r="C9" s="5">
        <f>FLOOR.MATH((B9-10)/2)</f>
        <v/>
      </c>
    </row>
    <row r="10">
      <c r="A10" s="4" t="inlineStr">
        <is>
          <t>冷靜（CLM）</t>
        </is>
      </c>
      <c r="B10" s="5" t="n">
        <v>13</v>
      </c>
      <c r="C10" s="5">
        <f>FLOOR.MATH((B10-10)/2)</f>
        <v/>
      </c>
    </row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HP（估算）</t>
        </is>
      </c>
      <c r="B12" s="5">
        <f>10+C7+4*(5+C7)</f>
        <v/>
      </c>
      <c r="C12" s="4" t="inlineStr">
        <is>
          <t>先攻加值</t>
        </is>
      </c>
      <c r="D12" s="5">
        <f>C8+FLOOR.MATH(MAX(C6,0)/2)</f>
        <v/>
      </c>
    </row>
    <row r="13">
      <c r="A13" s="4" t="inlineStr">
        <is>
          <t>聽音範圍（m）</t>
        </is>
      </c>
      <c r="B13" s="5">
        <f>B8*10</f>
        <v/>
      </c>
      <c r="C13" s="4" t="inlineStr">
        <is>
          <t>壓力閾值</t>
        </is>
      </c>
      <c r="D13" s="5">
        <f>B10*2+5</f>
        <v/>
      </c>
    </row>
    <row r="15">
      <c r="A15" s="2" t="inlineStr">
        <is>
          <t>武器</t>
        </is>
      </c>
      <c r="B15" s="3" t="n"/>
      <c r="C15" s="3" t="n"/>
      <c r="D15" s="3" t="n"/>
      <c r="E15" s="3" t="n"/>
      <c r="F15" s="3" t="n"/>
    </row>
    <row r="16">
      <c r="A16" s="5" t="inlineStr">
        <is>
          <t>Kar98k狙擊槍</t>
        </is>
      </c>
      <c r="B16" s="6" t="n"/>
      <c r="C16" s="7" t="n"/>
    </row>
    <row r="17">
      <c r="A17" s="5" t="inlineStr">
        <is>
          <t>MP5K衝鋒槍</t>
        </is>
      </c>
      <c r="B17" s="6" t="n"/>
      <c r="C17" s="7" t="n"/>
    </row>
    <row r="18">
      <c r="A18" s="5" t="inlineStr">
        <is>
          <t>手榴彈×3</t>
        </is>
      </c>
      <c r="B18" s="6" t="n"/>
      <c r="C18" s="7" t="n"/>
    </row>
    <row r="21">
      <c r="A21" s="2" t="inlineStr">
        <is>
          <t>AI 行為邏輯</t>
        </is>
      </c>
      <c r="B21" s="3" t="n"/>
      <c r="C21" s="3" t="n"/>
      <c r="D21" s="3" t="n"/>
      <c r="E21" s="3" t="n"/>
      <c r="F21" s="3" t="n"/>
    </row>
    <row r="22">
      <c r="A22" s="8" t="inlineStr">
        <is>
          <t>行為模式：在必經之路（橋頭、建築入口）設伏。第一輪全力開火集火同一目標。使用手榴彈逼目標離開掩體。</t>
        </is>
      </c>
    </row>
    <row r="23"/>
    <row r="24"/>
    <row r="25">
      <c r="A25" s="2" t="inlineStr">
        <is>
          <t>戰術要點</t>
        </is>
      </c>
      <c r="B25" s="3" t="n"/>
      <c r="C25" s="3" t="n"/>
      <c r="D25" s="3" t="n"/>
      <c r="E25" s="3" t="n"/>
      <c r="F25" s="3" t="n"/>
    </row>
    <row r="26">
      <c r="A26" s="8" t="inlineStr">
        <is>
          <t>埋伏集火。手榴彈封路。優先攻擊載具。</t>
        </is>
      </c>
    </row>
    <row r="27"/>
  </sheetData>
  <mergeCells count="13">
    <mergeCell ref="A2:F2"/>
    <mergeCell ref="A11:F11"/>
    <mergeCell ref="A22:F24"/>
    <mergeCell ref="A1:F1"/>
    <mergeCell ref="A5:F5"/>
    <mergeCell ref="B4:D4"/>
    <mergeCell ref="A17:C17"/>
    <mergeCell ref="A18:C18"/>
    <mergeCell ref="A21:F21"/>
    <mergeCell ref="A26:F27"/>
    <mergeCell ref="A15:F15"/>
    <mergeCell ref="A16:C16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敵人：職業隊員（職業隊）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</row>
    <row r="3">
      <c r="A3" s="4" t="inlineStr">
        <is>
          <t>類型</t>
        </is>
      </c>
      <c r="B3" s="5" t="inlineStr">
        <is>
          <t>職業隊</t>
        </is>
      </c>
      <c r="C3" s="4" t="inlineStr">
        <is>
          <t>難度</t>
        </is>
      </c>
      <c r="D3" s="5" t="inlineStr">
        <is>
          <t>★★★★</t>
        </is>
      </c>
    </row>
    <row r="4">
      <c r="A4" s="4" t="inlineStr">
        <is>
          <t>防具</t>
        </is>
      </c>
      <c r="B4" s="5" t="inlineStr">
        <is>
          <t>三級頭盔 + 三級護甲</t>
        </is>
      </c>
      <c r="C4" s="6" t="n"/>
      <c r="D4" s="7" t="n"/>
    </row>
    <row r="5">
      <c r="A5" s="2" t="inlineStr">
        <is>
          <t>屬性</t>
        </is>
      </c>
      <c r="B5" s="3" t="n"/>
      <c r="C5" s="3" t="n"/>
      <c r="D5" s="3" t="n"/>
      <c r="E5" s="3" t="n"/>
      <c r="F5" s="3" t="n"/>
    </row>
    <row r="6">
      <c r="A6" s="4" t="inlineStr">
        <is>
          <t>槍法（AIM）</t>
        </is>
      </c>
      <c r="B6" s="5" t="n">
        <v>16</v>
      </c>
      <c r="C6" s="5">
        <f>FLOOR.MATH((B6-10)/2)</f>
        <v/>
      </c>
    </row>
    <row r="7">
      <c r="A7" s="4" t="inlineStr">
        <is>
          <t>體能（PHY）</t>
        </is>
      </c>
      <c r="B7" s="5" t="n">
        <v>14</v>
      </c>
      <c r="C7" s="5">
        <f>FLOOR.MATH((B7-10)/2)</f>
        <v/>
      </c>
    </row>
    <row r="8">
      <c r="A8" s="4" t="inlineStr">
        <is>
          <t>戰術（TAC）</t>
        </is>
      </c>
      <c r="B8" s="5" t="n">
        <v>15</v>
      </c>
      <c r="C8" s="5">
        <f>FLOOR.MATH((B8-10)/2)</f>
        <v/>
      </c>
    </row>
    <row r="9">
      <c r="A9" s="4" t="inlineStr">
        <is>
          <t>駕駛（DRV）</t>
        </is>
      </c>
      <c r="B9" s="5" t="n">
        <v>13</v>
      </c>
      <c r="C9" s="5">
        <f>FLOOR.MATH((B9-10)/2)</f>
        <v/>
      </c>
    </row>
    <row r="10">
      <c r="A10" s="4" t="inlineStr">
        <is>
          <t>冷靜（CLM）</t>
        </is>
      </c>
      <c r="B10" s="5" t="n">
        <v>14</v>
      </c>
      <c r="C10" s="5">
        <f>FLOOR.MATH((B10-10)/2)</f>
        <v/>
      </c>
    </row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HP（估算）</t>
        </is>
      </c>
      <c r="B12" s="5">
        <f>10+C7+4*(5+C7)</f>
        <v/>
      </c>
      <c r="C12" s="4" t="inlineStr">
        <is>
          <t>先攻加值</t>
        </is>
      </c>
      <c r="D12" s="5">
        <f>C8+FLOOR.MATH(MAX(C6,0)/2)</f>
        <v/>
      </c>
    </row>
    <row r="13">
      <c r="A13" s="4" t="inlineStr">
        <is>
          <t>聽音範圍（m）</t>
        </is>
      </c>
      <c r="B13" s="5">
        <f>B8*10</f>
        <v/>
      </c>
      <c r="C13" s="4" t="inlineStr">
        <is>
          <t>壓力閾值</t>
        </is>
      </c>
      <c r="D13" s="5">
        <f>B10*2+5</f>
        <v/>
      </c>
    </row>
    <row r="15">
      <c r="A15" s="2" t="inlineStr">
        <is>
          <t>武器</t>
        </is>
      </c>
      <c r="B15" s="3" t="n"/>
      <c r="C15" s="3" t="n"/>
      <c r="D15" s="3" t="n"/>
      <c r="E15" s="3" t="n"/>
      <c r="F15" s="3" t="n"/>
    </row>
    <row r="16">
      <c r="A16" s="5" t="inlineStr">
        <is>
          <t>M416滿配</t>
        </is>
      </c>
      <c r="B16" s="6" t="n"/>
      <c r="C16" s="7" t="n"/>
    </row>
    <row r="17">
      <c r="A17" s="5" t="inlineStr">
        <is>
          <t>M24狙擊槍+消音器</t>
        </is>
      </c>
      <c r="B17" s="6" t="n"/>
      <c r="C17" s="7" t="n"/>
    </row>
    <row r="20">
      <c r="A20" s="2" t="inlineStr">
        <is>
          <t>AI 行為邏輯</t>
        </is>
      </c>
      <c r="B20" s="3" t="n"/>
      <c r="C20" s="3" t="n"/>
      <c r="D20" s="3" t="n"/>
      <c r="E20" s="3" t="n"/>
      <c r="F20" s="3" t="n"/>
    </row>
    <row r="21">
      <c r="A21" s="8" t="inlineStr">
        <is>
          <t>行為模式：前排坦克（三級甲+LMG）、後排狙擊（三級頭+消音SR）、支援後勤（煙霧+醫療+手榴彈）。精確計算縮圈時間。資源最優分配。</t>
        </is>
      </c>
    </row>
    <row r="22"/>
    <row r="23"/>
    <row r="24">
      <c r="A24" s="2" t="inlineStr">
        <is>
          <t>戰術要點</t>
        </is>
      </c>
      <c r="B24" s="3" t="n"/>
      <c r="C24" s="3" t="n"/>
      <c r="D24" s="3" t="n"/>
      <c r="E24" s="3" t="n"/>
      <c r="F24" s="3" t="n"/>
    </row>
    <row r="25">
      <c r="A25" s="8" t="inlineStr">
        <is>
          <t>前排標記→後排集火。載具集體轉移。在你換彈的瞬間進攻。</t>
        </is>
      </c>
    </row>
    <row r="26"/>
  </sheetData>
  <mergeCells count="12">
    <mergeCell ref="A24:F24"/>
    <mergeCell ref="A2:F2"/>
    <mergeCell ref="A11:F11"/>
    <mergeCell ref="A1:F1"/>
    <mergeCell ref="A5:F5"/>
    <mergeCell ref="B4:D4"/>
    <mergeCell ref="A17:C17"/>
    <mergeCell ref="A21:F23"/>
    <mergeCell ref="A25:F26"/>
    <mergeCell ref="A20:F20"/>
    <mergeCell ref="A15:F15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敵人：冠軍級（冠軍級）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</row>
    <row r="3">
      <c r="A3" s="4" t="inlineStr">
        <is>
          <t>類型</t>
        </is>
      </c>
      <c r="B3" s="5" t="inlineStr">
        <is>
          <t>冠軍級</t>
        </is>
      </c>
      <c r="C3" s="4" t="inlineStr">
        <is>
          <t>難度</t>
        </is>
      </c>
      <c r="D3" s="5" t="inlineStr">
        <is>
          <t>★★★★★</t>
        </is>
      </c>
    </row>
    <row r="4">
      <c r="A4" s="4" t="inlineStr">
        <is>
          <t>防具</t>
        </is>
      </c>
      <c r="B4" s="5" t="inlineStr">
        <is>
          <t>三級頭盔 + 三級護甲</t>
        </is>
      </c>
      <c r="C4" s="6" t="n"/>
      <c r="D4" s="7" t="n"/>
    </row>
    <row r="5">
      <c r="A5" s="2" t="inlineStr">
        <is>
          <t>屬性</t>
        </is>
      </c>
      <c r="B5" s="3" t="n"/>
      <c r="C5" s="3" t="n"/>
      <c r="D5" s="3" t="n"/>
      <c r="E5" s="3" t="n"/>
      <c r="F5" s="3" t="n"/>
    </row>
    <row r="6">
      <c r="A6" s="4" t="inlineStr">
        <is>
          <t>槍法（AIM）</t>
        </is>
      </c>
      <c r="B6" s="5" t="n">
        <v>18</v>
      </c>
      <c r="C6" s="5">
        <f>FLOOR.MATH((B6-10)/2)</f>
        <v/>
      </c>
    </row>
    <row r="7">
      <c r="A7" s="4" t="inlineStr">
        <is>
          <t>體能（PHY）</t>
        </is>
      </c>
      <c r="B7" s="5" t="n">
        <v>16</v>
      </c>
      <c r="C7" s="5">
        <f>FLOOR.MATH((B7-10)/2)</f>
        <v/>
      </c>
    </row>
    <row r="8">
      <c r="A8" s="4" t="inlineStr">
        <is>
          <t>戰術（TAC）</t>
        </is>
      </c>
      <c r="B8" s="5" t="n">
        <v>17</v>
      </c>
      <c r="C8" s="5">
        <f>FLOOR.MATH((B8-10)/2)</f>
        <v/>
      </c>
    </row>
    <row r="9">
      <c r="A9" s="4" t="inlineStr">
        <is>
          <t>駕駛（DRV）</t>
        </is>
      </c>
      <c r="B9" s="5" t="n">
        <v>14</v>
      </c>
      <c r="C9" s="5">
        <f>FLOOR.MATH((B9-10)/2)</f>
        <v/>
      </c>
    </row>
    <row r="10">
      <c r="A10" s="4" t="inlineStr">
        <is>
          <t>冷靜（CLM）</t>
        </is>
      </c>
      <c r="B10" s="5" t="n">
        <v>18</v>
      </c>
      <c r="C10" s="5">
        <f>FLOOR.MATH((B10-10)/2)</f>
        <v/>
      </c>
    </row>
    <row r="11">
      <c r="A11" s="2" t="inlineStr">
        <is>
          <t>衍生屬性</t>
        </is>
      </c>
      <c r="B11" s="3" t="n"/>
      <c r="C11" s="3" t="n"/>
      <c r="D11" s="3" t="n"/>
      <c r="E11" s="3" t="n"/>
      <c r="F11" s="3" t="n"/>
    </row>
    <row r="12">
      <c r="A12" s="4" t="inlineStr">
        <is>
          <t>HP（估算）</t>
        </is>
      </c>
      <c r="B12" s="5">
        <f>10+C7+4*(5+C7)</f>
        <v/>
      </c>
      <c r="C12" s="4" t="inlineStr">
        <is>
          <t>先攻加值</t>
        </is>
      </c>
      <c r="D12" s="5">
        <f>C8+FLOOR.MATH(MAX(C6,0)/2)</f>
        <v/>
      </c>
    </row>
    <row r="13">
      <c r="A13" s="4" t="inlineStr">
        <is>
          <t>聽音範圍（m）</t>
        </is>
      </c>
      <c r="B13" s="5">
        <f>B8*10</f>
        <v/>
      </c>
      <c r="C13" s="4" t="inlineStr">
        <is>
          <t>壓力閾值</t>
        </is>
      </c>
      <c r="D13" s="5">
        <f>B10*2+5</f>
        <v/>
      </c>
    </row>
    <row r="15">
      <c r="A15" s="2" t="inlineStr">
        <is>
          <t>武器</t>
        </is>
      </c>
      <c r="B15" s="3" t="n"/>
      <c r="C15" s="3" t="n"/>
      <c r="D15" s="3" t="n"/>
      <c r="E15" s="3" t="n"/>
      <c r="F15" s="3" t="n"/>
    </row>
    <row r="16">
      <c r="A16" s="5" t="inlineStr">
        <is>
          <t>AWM狙擊槍+8倍鏡</t>
        </is>
      </c>
      <c r="B16" s="6" t="n"/>
      <c r="C16" s="7" t="n"/>
    </row>
    <row r="17">
      <c r="A17" s="5" t="inlineStr">
        <is>
          <t>AUG突擊步槍</t>
        </is>
      </c>
      <c r="B17" s="6" t="n"/>
      <c r="C17" s="7" t="n"/>
    </row>
    <row r="18">
      <c r="A18" s="5" t="inlineStr">
        <is>
          <t>沙漠之鷹</t>
        </is>
      </c>
      <c r="B18" s="6" t="n"/>
      <c r="C18" s="7" t="n"/>
    </row>
    <row r="21">
      <c r="A21" s="2" t="inlineStr">
        <is>
          <t>AI 行為邏輯</t>
        </is>
      </c>
      <c r="B21" s="3" t="n"/>
      <c r="C21" s="3" t="n"/>
      <c r="D21" s="3" t="n"/>
      <c r="E21" s="3" t="n"/>
      <c r="F21" s="3" t="n"/>
    </row>
    <row r="22">
      <c r="A22" s="8" t="inlineStr">
        <is>
          <t>行為模式：『預知你的每一步。』可能在必經之路等你、在你換彈時衝出掩體、在你拉環扔手榴彈的瞬間衝鋒。弱點：過於自信——會做出高風險行動。</t>
        </is>
      </c>
    </row>
    <row r="23"/>
    <row r="24"/>
    <row r="25">
      <c r="A25" s="2" t="inlineStr">
        <is>
          <t>戰術要點</t>
        </is>
      </c>
      <c r="B25" s="3" t="n"/>
      <c r="C25" s="3" t="n"/>
      <c r="D25" s="3" t="n"/>
      <c r="E25" s="3" t="n"/>
      <c r="F25" s="3" t="n"/>
    </row>
    <row r="26">
      <c r="A26" s="8" t="inlineStr">
        <is>
          <t>完美預判。心理壓制。利用一切環境因素。</t>
        </is>
      </c>
    </row>
    <row r="27"/>
  </sheetData>
  <mergeCells count="13">
    <mergeCell ref="A2:F2"/>
    <mergeCell ref="A11:F11"/>
    <mergeCell ref="A22:F24"/>
    <mergeCell ref="A1:F1"/>
    <mergeCell ref="A5:F5"/>
    <mergeCell ref="B4:D4"/>
    <mergeCell ref="A17:C17"/>
    <mergeCell ref="A18:C18"/>
    <mergeCell ref="A21:F21"/>
    <mergeCell ref="A26:F27"/>
    <mergeCell ref="A15:F15"/>
    <mergeCell ref="A16:C1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2026-07-13T05:46:49Z</dcterms:created>
  <dcterms:modified xsi:type="dcterms:W3CDTF">2026-07-13T05:46:49Z</dcterms:modified>
</cp:coreProperties>
</file>