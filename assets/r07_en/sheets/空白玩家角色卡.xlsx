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4A2C2A"/>
      <sz val="11"/>
    </font>
    <font>
      <name val="微軟正黑體"/>
      <sz val="11"/>
    </font>
  </fonts>
  <fills count="4">
    <fill>
      <patternFill/>
    </fill>
    <fill>
      <patternFill patternType="gray125"/>
    </fill>
    <fill>
      <patternFill patternType="solid">
        <fgColor rgb="004A2C2A"/>
        <bgColor rgb="004A2C2A"/>
      </patternFill>
    </fill>
    <fill>
      <patternFill patternType="solid">
        <fgColor rgb="00E8D5B7"/>
        <bgColor rgb="00E8D5B7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Earth Master TRPG — Player Character Sheet</t>
        </is>
      </c>
      <c r="B1" s="9" t="n"/>
      <c r="C1" s="9" t="n"/>
      <c r="D1" s="9" t="n"/>
      <c r="E1" s="9" t="n"/>
      <c r="F1" s="8" t="n"/>
    </row>
    <row r="2">
      <c r="A2" s="3" t="inlineStr">
        <is>
          <t>Basic Info</t>
        </is>
      </c>
      <c r="B2" s="9" t="n"/>
      <c r="C2" s="9" t="n"/>
      <c r="D2" s="9" t="n"/>
      <c r="E2" s="9" t="n"/>
      <c r="F2" s="8" t="n"/>
    </row>
    <row r="3">
      <c r="A3" s="5" t="inlineStr">
        <is>
          <t>Character Name</t>
        </is>
      </c>
      <c r="D3" s="6" t="inlineStr"/>
    </row>
    <row r="4">
      <c r="A4" s="5" t="inlineStr">
        <is>
          <t>Player Name</t>
        </is>
      </c>
      <c r="D4" s="6" t="inlineStr"/>
    </row>
    <row r="5">
      <c r="A5" s="5" t="inlineStr">
        <is>
          <t>Background Origin</t>
        </is>
      </c>
      <c r="D5" s="6" t="inlineStr"/>
    </row>
    <row r="6">
      <c r="A6" s="5" t="inlineStr">
        <is>
          <t>Primary Heritage</t>
        </is>
      </c>
      <c r="D6" s="6" t="inlineStr"/>
    </row>
    <row r="7">
      <c r="A7" s="5" t="inlineStr">
        <is>
          <t>Spell Heritage</t>
        </is>
      </c>
      <c r="D7" s="6" t="inlineStr"/>
    </row>
    <row r="8">
      <c r="A8" s="5" t="inlineStr">
        <is>
          <t>Affiliated Sect</t>
        </is>
      </c>
      <c r="D8" s="6" t="inlineStr"/>
    </row>
    <row r="9">
      <c r="A9" s="5" t="inlineStr">
        <is>
          <t>Level</t>
        </is>
      </c>
      <c r="D9" s="6" t="n">
        <v>1</v>
      </c>
    </row>
    <row r="10">
      <c r="A10" s="5" t="inlineStr">
        <is>
          <t>Experience Points (XP)</t>
        </is>
      </c>
      <c r="D10" s="6" t="n">
        <v>0</v>
      </c>
    </row>
    <row r="11">
      <c r="A11" s="5" t="inlineStr">
        <is>
          <t>Party Role</t>
        </is>
      </c>
      <c r="D11" s="6" t="inlineStr"/>
    </row>
    <row r="12">
      <c r="A12" s="3" t="inlineStr">
        <is>
          <t>Five Attributes (enter base value, bonus auto-calculated)</t>
        </is>
      </c>
      <c r="B12" s="9" t="n"/>
      <c r="C12" s="9" t="n"/>
      <c r="D12" s="9" t="n"/>
      <c r="E12" s="9" t="n"/>
      <c r="F12" s="8" t="n"/>
    </row>
    <row r="13">
      <c r="A13" s="3" t="inlineStr">
        <is>
          <t>Attributes</t>
        </is>
      </c>
      <c r="B13" s="8" t="n"/>
      <c r="C13" s="3" t="inlineStr">
        <is>
          <t>Base Value</t>
        </is>
      </c>
      <c r="D13" s="8" t="n"/>
      <c r="E13" s="3" t="inlineStr">
        <is>
          <t>Bonus</t>
        </is>
      </c>
      <c r="F13" s="8" t="n"/>
    </row>
    <row r="14">
      <c r="A14" s="5" t="inlineStr">
        <is>
          <t>Agility (身)</t>
        </is>
      </c>
      <c r="C14" s="7" t="inlineStr"/>
      <c r="E14" s="7">
        <f>FLOOR(C14/2-5,1)</f>
        <v/>
      </c>
      <c r="F14" s="8" t="n"/>
    </row>
    <row r="15">
      <c r="A15" s="5" t="inlineStr">
        <is>
          <t>True Qi (氣)</t>
        </is>
      </c>
      <c r="C15" s="7" t="inlineStr"/>
      <c r="E15" s="7">
        <f>FLOOR(C15/2-5,1)</f>
        <v/>
      </c>
      <c r="F15" s="8" t="n"/>
    </row>
    <row r="16">
      <c r="A16" s="5" t="inlineStr">
        <is>
          <t>Geomancy (輿)</t>
        </is>
      </c>
      <c r="C16" s="7" t="inlineStr"/>
      <c r="E16" s="7">
        <f>FLOOR(C16/2-5,1)</f>
        <v/>
      </c>
      <c r="F16" s="8" t="n"/>
    </row>
    <row r="17">
      <c r="A17" s="5" t="inlineStr">
        <is>
          <t>Spirit Sense (靈)</t>
        </is>
      </c>
      <c r="C17" s="7" t="inlineStr"/>
      <c r="E17" s="7">
        <f>FLOOR(C17/2-5,1)</f>
        <v/>
      </c>
      <c r="F17" s="8" t="n"/>
    </row>
    <row r="18">
      <c r="A18" s="5" t="inlineStr">
        <is>
          <t>Courage (膽)</t>
        </is>
      </c>
      <c r="C18" s="7" t="inlineStr"/>
      <c r="E18" s="7">
        <f>FLOOR(C18/2-5,1)</f>
        <v/>
      </c>
      <c r="F18" s="8" t="n"/>
    </row>
    <row r="19">
      <c r="A19" s="5" t="inlineStr">
        <is>
          <t>Remaining Points (Target 25)</t>
        </is>
      </c>
      <c r="C19" s="7">
        <f>25-SUM(C4:C8)</f>
        <v/>
      </c>
    </row>
    <row r="21">
      <c r="A21" s="3" t="inlineStr">
        <is>
          <t>Derived Attributes (Auto-Calculated)</t>
        </is>
      </c>
      <c r="B21" s="9" t="n"/>
      <c r="C21" s="9" t="n"/>
      <c r="D21" s="9" t="n"/>
      <c r="E21" s="9" t="n"/>
      <c r="F21" s="8" t="n"/>
    </row>
    <row r="22">
      <c r="A22" s="5" t="inlineStr">
        <is>
          <t>Health Points (HP)</t>
        </is>
      </c>
      <c r="C22" s="7">
        <f>C4*3+10</f>
        <v/>
      </c>
      <c r="D22" s="8" t="n"/>
    </row>
    <row r="23">
      <c r="A23" s="5" t="inlineStr">
        <is>
          <t>Qi Pool (QP)</t>
        </is>
      </c>
      <c r="C23" s="7">
        <f>C5*2+5</f>
        <v/>
      </c>
      <c r="D23" s="8" t="n"/>
    </row>
    <row r="24">
      <c r="A24" s="5" t="inlineStr">
        <is>
          <t>Fear Threshold (FT)</t>
        </is>
      </c>
      <c r="C24" s="7">
        <f>C8*2+5</f>
        <v/>
      </c>
      <c r="D24" s="8" t="n"/>
    </row>
    <row r="25">
      <c r="A25" s="5" t="inlineStr">
        <is>
          <t>Yin-Yang Perception (YY)</t>
        </is>
      </c>
      <c r="C25" s="7">
        <f>10+C7</f>
        <v/>
      </c>
      <c r="D25" s="8" t="n"/>
    </row>
    <row r="26">
      <c r="A26" s="5" t="inlineStr">
        <is>
          <t>Putrefaction Resistance (PR)</t>
        </is>
      </c>
      <c r="C26" s="7">
        <f>C5+FLOOR(C8/2,1)</f>
        <v/>
      </c>
      <c r="D26" s="8" t="n"/>
    </row>
    <row r="27">
      <c r="A27" s="5" t="inlineStr">
        <is>
          <t>Defense (DEF)</t>
        </is>
      </c>
      <c r="C27" s="7">
        <f>C4</f>
        <v/>
      </c>
      <c r="D27" s="8" t="n"/>
    </row>
    <row r="28">
      <c r="A28" s="5" t="inlineStr">
        <is>
          <t>Initiative (INIT)</t>
        </is>
      </c>
      <c r="C28" s="7">
        <f>C4+FLOOR(C8/2,1)</f>
        <v/>
      </c>
      <c r="D28" s="8" t="n"/>
    </row>
    <row r="29">
      <c r="A29" s="5" t="inlineStr">
        <is>
          <t>Martial Art Level (Martial Art Level)</t>
        </is>
      </c>
      <c r="C29" s="7" t="inlineStr"/>
      <c r="D29" s="8" t="n"/>
    </row>
    <row r="30">
      <c r="A30" s="5" t="inlineStr">
        <is>
          <t xml:space="preserve">  (Character Level 1-2:+1 3-4:+2 5-6:+3 7-9:+4 10-12:+5 13-15:+6)</t>
        </is>
      </c>
      <c r="C30" s="6" t="inlineStr"/>
      <c r="D30" s="9" t="n"/>
      <c r="E30" s="9" t="n"/>
      <c r="F30" s="8" t="n"/>
    </row>
    <row r="32">
      <c r="A32" s="3" t="inlineStr">
        <is>
          <t>Skills (enter level 0-6, creation cap Lv3, 20 points to allocate)</t>
        </is>
      </c>
      <c r="B32" s="9" t="n"/>
      <c r="C32" s="9" t="n"/>
      <c r="D32" s="9" t="n"/>
      <c r="E32" s="9" t="n"/>
      <c r="F32" s="8" t="n"/>
    </row>
    <row r="33">
      <c r="A33" s="3" t="inlineStr">
        <is>
          <t>Attributes</t>
        </is>
      </c>
      <c r="B33" s="8" t="n"/>
      <c r="C33" s="3" t="inlineStr">
        <is>
          <t>Skill Name</t>
        </is>
      </c>
      <c r="D33" s="8" t="n"/>
      <c r="E33" s="3" t="inlineStr">
        <is>
          <t>Level</t>
        </is>
      </c>
      <c r="F33" s="8" t="n"/>
    </row>
    <row r="34">
      <c r="A34" s="10" t="inlineStr">
        <is>
          <t>Agility</t>
        </is>
      </c>
      <c r="B34" s="12" t="n"/>
      <c r="C34" s="5" t="inlineStr">
        <is>
          <t>Climb (Clb)</t>
        </is>
      </c>
      <c r="E34" s="7" t="inlineStr"/>
    </row>
    <row r="35">
      <c r="A35" s="13" t="n"/>
      <c r="B35" s="14" t="n"/>
      <c r="C35" s="5" t="inlineStr">
        <is>
          <t>Dodge (Dge)</t>
        </is>
      </c>
      <c r="E35" s="7" t="inlineStr"/>
    </row>
    <row r="36">
      <c r="A36" s="13" t="n"/>
      <c r="B36" s="14" t="n"/>
      <c r="C36" s="5" t="inlineStr">
        <is>
          <t>Stealth (Stl)</t>
        </is>
      </c>
      <c r="E36" s="7" t="inlineStr"/>
    </row>
    <row r="37">
      <c r="A37" s="13" t="n"/>
      <c r="B37" s="14" t="n"/>
      <c r="C37" s="5" t="inlineStr">
        <is>
          <t>Armed Combat (Arm)</t>
        </is>
      </c>
      <c r="E37" s="7" t="inlineStr"/>
    </row>
    <row r="38">
      <c r="A38" s="15" t="n"/>
      <c r="B38" s="16" t="n"/>
      <c r="C38" s="5" t="inlineStr">
        <is>
          <t>Throw (Thr)</t>
        </is>
      </c>
      <c r="E38" s="7" t="inlineStr"/>
    </row>
    <row r="39">
      <c r="A39" s="10" t="inlineStr">
        <is>
          <t>True Qi</t>
        </is>
      </c>
      <c r="B39" s="12" t="n"/>
      <c r="C39" s="5" t="inlineStr">
        <is>
          <t>Lucky Aura (Aur)</t>
        </is>
      </c>
      <c r="E39" s="7" t="inlineStr"/>
    </row>
    <row r="40">
      <c r="A40" s="13" t="n"/>
      <c r="B40" s="14" t="n"/>
      <c r="C40" s="5" t="inlineStr">
        <is>
          <t>Inner Breath Regulation (Bre)</t>
        </is>
      </c>
      <c r="E40" s="7" t="inlineStr"/>
    </row>
    <row r="41">
      <c r="A41" s="13" t="n"/>
      <c r="B41" s="14" t="n"/>
      <c r="C41" s="5" t="inlineStr">
        <is>
          <t>Qi-Sense Detection (Sen)</t>
        </is>
      </c>
      <c r="E41" s="7" t="inlineStr"/>
    </row>
    <row r="42">
      <c r="A42" s="13" t="n"/>
      <c r="B42" s="14" t="n"/>
      <c r="C42" s="5" t="inlineStr">
        <is>
          <t>Qi Emission (Emi)</t>
        </is>
      </c>
      <c r="E42" s="7" t="inlineStr"/>
    </row>
    <row r="43">
      <c r="A43" s="15" t="n"/>
      <c r="B43" s="16" t="n"/>
      <c r="C43" s="5" t="inlineStr">
        <is>
          <t>Meridian Opening (Mer)</t>
        </is>
      </c>
      <c r="E43" s="7" t="inlineStr"/>
    </row>
    <row r="44">
      <c r="A44" s="10" t="inlineStr">
        <is>
          <t>Geomancy</t>
        </is>
      </c>
      <c r="B44" s="12" t="n"/>
      <c r="C44" s="5" t="inlineStr">
        <is>
          <t>Divide-Gold Fix-Point (Pnt)</t>
        </is>
      </c>
      <c r="E44" s="7" t="inlineStr"/>
    </row>
    <row r="45">
      <c r="A45" s="13" t="n"/>
      <c r="B45" s="14" t="n"/>
      <c r="C45" s="5" t="inlineStr">
        <is>
          <t>Trap Detection (Trp)</t>
        </is>
      </c>
      <c r="E45" s="7" t="inlineStr"/>
    </row>
    <row r="46">
      <c r="A46" s="13" t="n"/>
      <c r="B46" s="14" t="n"/>
      <c r="C46" s="5" t="inlineStr">
        <is>
          <t>Tomb-Chamber Reading (Tmb)</t>
        </is>
      </c>
      <c r="E46" s="7" t="inlineStr"/>
    </row>
    <row r="47">
      <c r="A47" s="13" t="n"/>
      <c r="B47" s="14" t="n"/>
      <c r="C47" s="5" t="inlineStr">
        <is>
          <t>Earth-Vein Sensing (Vn)</t>
        </is>
      </c>
      <c r="E47" s="7" t="inlineStr"/>
    </row>
    <row r="48">
      <c r="A48" s="15" t="n"/>
      <c r="B48" s="16" t="n"/>
      <c r="C48" s="5" t="inlineStr">
        <is>
          <t>Antique Appraisal (Apr)</t>
        </is>
      </c>
      <c r="E48" s="7" t="inlineStr"/>
    </row>
    <row r="49">
      <c r="A49" s="10" t="inlineStr">
        <is>
          <t>Spirit Sense</t>
        </is>
      </c>
      <c r="B49" s="12" t="n"/>
      <c r="C49" s="5" t="inlineStr">
        <is>
          <t>Talisman Drawing (Tls)</t>
        </is>
      </c>
      <c r="E49" s="7" t="inlineStr"/>
    </row>
    <row r="50">
      <c r="A50" s="13" t="n"/>
      <c r="B50" s="14" t="n"/>
      <c r="C50" s="5" t="inlineStr">
        <is>
          <t>Yin-Yang Eyes (Eye)</t>
        </is>
      </c>
      <c r="E50" s="7" t="inlineStr"/>
    </row>
    <row r="51">
      <c r="A51" s="13" t="n"/>
      <c r="B51" s="14" t="n"/>
      <c r="C51" s="5" t="inlineStr">
        <is>
          <t>Spirit Summoning (Sum)</t>
        </is>
      </c>
      <c r="E51" s="7" t="inlineStr"/>
    </row>
    <row r="52">
      <c r="A52" s="13" t="n"/>
      <c r="B52" s="14" t="n"/>
      <c r="C52" s="5" t="inlineStr">
        <is>
          <t>Evil Dispelling (Dsp)</t>
        </is>
      </c>
      <c r="E52" s="7" t="inlineStr"/>
    </row>
    <row r="53">
      <c r="A53" s="15" t="n"/>
      <c r="B53" s="16" t="n"/>
      <c r="C53" s="5" t="inlineStr">
        <is>
          <t>Spirit Communication (Com)</t>
        </is>
      </c>
      <c r="E53" s="7" t="inlineStr"/>
    </row>
    <row r="54">
      <c r="A54" s="10" t="inlineStr">
        <is>
          <t>Courage</t>
        </is>
      </c>
      <c r="B54" s="12" t="n"/>
      <c r="C54" s="5" t="inlineStr">
        <is>
          <t>Willpower Hold (Wil)</t>
        </is>
      </c>
      <c r="E54" s="7" t="inlineStr"/>
    </row>
    <row r="55">
      <c r="A55" s="13" t="n"/>
      <c r="B55" s="14" t="n"/>
      <c r="C55" s="5" t="inlineStr">
        <is>
          <t>Fear Resistance (Frs)</t>
        </is>
      </c>
      <c r="E55" s="7" t="inlineStr"/>
    </row>
    <row r="56">
      <c r="A56" s="13" t="n"/>
      <c r="B56" s="14" t="n"/>
      <c r="C56" s="5" t="inlineStr">
        <is>
          <t>Intimidation Contest (Int)</t>
        </is>
      </c>
      <c r="E56" s="7" t="inlineStr"/>
    </row>
    <row r="57">
      <c r="A57" s="13" t="n"/>
      <c r="B57" s="14" t="n"/>
      <c r="C57" s="5" t="inlineStr">
        <is>
          <t>Calm Judgment (Cal)</t>
        </is>
      </c>
      <c r="E57" s="7" t="inlineStr"/>
    </row>
    <row r="58">
      <c r="A58" s="15" t="n"/>
      <c r="B58" s="16" t="n"/>
      <c r="C58" s="5" t="inlineStr">
        <is>
          <t>Death Struggle (Dth)</t>
        </is>
      </c>
      <c r="E58" s="7" t="inlineStr"/>
    </row>
    <row r="59">
      <c r="A59" s="5" t="inlineStr">
        <is>
          <t>Remaining Skill Points (Target 20)</t>
        </is>
      </c>
      <c r="C59" s="6">
        <f>20-SUM(E34:E58)</f>
        <v/>
      </c>
    </row>
    <row r="61">
      <c r="A61" s="3" t="inlineStr">
        <is>
          <t>Martial Art / Talisman</t>
        </is>
      </c>
      <c r="B61" s="9" t="n"/>
      <c r="C61" s="9" t="n"/>
      <c r="D61" s="9" t="n"/>
      <c r="E61" s="9" t="n"/>
      <c r="F61" s="8" t="n"/>
    </row>
    <row r="62">
      <c r="A62" s="5" t="inlineStr">
        <is>
          <t>Technique 1</t>
        </is>
      </c>
      <c r="C62" s="6" t="inlineStr"/>
      <c r="D62" s="5" t="inlineStr">
        <is>
          <t>Qi Cost</t>
        </is>
      </c>
      <c r="F62" s="6" t="inlineStr"/>
    </row>
    <row r="63">
      <c r="A63" s="5" t="inlineStr">
        <is>
          <t>Technique 2</t>
        </is>
      </c>
      <c r="C63" s="6" t="inlineStr"/>
      <c r="D63" s="5" t="inlineStr">
        <is>
          <t>Qi Cost</t>
        </is>
      </c>
      <c r="F63" s="6" t="inlineStr"/>
    </row>
    <row r="64">
      <c r="A64" s="5" t="inlineStr">
        <is>
          <t>Technique 3</t>
        </is>
      </c>
      <c r="C64" s="6" t="inlineStr"/>
      <c r="D64" s="5" t="inlineStr">
        <is>
          <t>Qi Cost</t>
        </is>
      </c>
      <c r="F64" s="6" t="inlineStr"/>
    </row>
    <row r="65">
      <c r="A65" s="5" t="inlineStr">
        <is>
          <t>Technique 4</t>
        </is>
      </c>
      <c r="C65" s="6" t="inlineStr"/>
      <c r="D65" s="5" t="inlineStr">
        <is>
          <t>Qi Cost</t>
        </is>
      </c>
      <c r="F65" s="6" t="inlineStr"/>
    </row>
    <row r="66">
      <c r="A66" s="5" t="inlineStr">
        <is>
          <t>Technique 5</t>
        </is>
      </c>
      <c r="C66" s="6" t="inlineStr"/>
      <c r="D66" s="5" t="inlineStr">
        <is>
          <t>Qi Cost</t>
        </is>
      </c>
      <c r="F66" s="6" t="inlineStr"/>
    </row>
    <row r="67">
      <c r="A67" s="5" t="inlineStr">
        <is>
          <t>Technique 6</t>
        </is>
      </c>
      <c r="C67" s="6" t="inlineStr"/>
      <c r="D67" s="5" t="inlineStr">
        <is>
          <t>Qi Cost</t>
        </is>
      </c>
      <c r="F67" s="6" t="inlineStr"/>
    </row>
    <row r="69">
      <c r="A69" s="3" t="inlineStr">
        <is>
          <t>Equipment</t>
        </is>
      </c>
      <c r="B69" s="9" t="n"/>
      <c r="C69" s="9" t="n"/>
      <c r="D69" s="9" t="n"/>
      <c r="E69" s="9" t="n"/>
      <c r="F69" s="8" t="n"/>
    </row>
    <row r="70">
      <c r="A70" s="5" t="inlineStr">
        <is>
          <t>Weapon</t>
        </is>
      </c>
      <c r="C70" s="6" t="inlineStr"/>
      <c r="D70" s="9" t="n"/>
      <c r="E70" s="9" t="n"/>
      <c r="F70" s="8" t="n"/>
    </row>
    <row r="71">
      <c r="A71" s="5" t="inlineStr">
        <is>
          <t>Armor</t>
        </is>
      </c>
      <c r="C71" s="6" t="inlineStr"/>
      <c r="D71" s="9" t="n"/>
      <c r="E71" s="9" t="n"/>
      <c r="F71" s="8" t="n"/>
    </row>
    <row r="72">
      <c r="A72" s="5" t="inlineStr">
        <is>
          <t>Spirit Item</t>
        </is>
      </c>
      <c r="C72" s="6" t="inlineStr"/>
      <c r="D72" s="9" t="n"/>
      <c r="E72" s="9" t="n"/>
      <c r="F72" s="8" t="n"/>
    </row>
    <row r="73">
      <c r="A73" s="5" t="inlineStr">
        <is>
          <t>Accessory</t>
        </is>
      </c>
      <c r="C73" s="6" t="inlineStr"/>
      <c r="D73" s="9" t="n"/>
      <c r="E73" s="9" t="n"/>
      <c r="F73" s="8" t="n"/>
    </row>
    <row r="74">
      <c r="A74" s="3" t="inlineStr">
        <is>
          <t>Carried Items</t>
        </is>
      </c>
      <c r="B74" s="9" t="n"/>
      <c r="C74" s="9" t="n"/>
      <c r="D74" s="9" t="n"/>
      <c r="E74" s="9" t="n"/>
      <c r="F74" s="8" t="n"/>
    </row>
    <row r="75">
      <c r="A75" s="5" t="inlineStr">
        <is>
          <t>Item 1</t>
        </is>
      </c>
      <c r="C75" s="6" t="inlineStr"/>
      <c r="D75" s="9" t="n"/>
      <c r="E75" s="9" t="n"/>
      <c r="F75" s="8" t="n"/>
    </row>
    <row r="76">
      <c r="A76" s="5" t="inlineStr">
        <is>
          <t>Item 2</t>
        </is>
      </c>
      <c r="C76" s="6" t="inlineStr"/>
      <c r="D76" s="9" t="n"/>
      <c r="E76" s="9" t="n"/>
      <c r="F76" s="8" t="n"/>
    </row>
    <row r="77">
      <c r="A77" s="5" t="inlineStr">
        <is>
          <t>Item 3</t>
        </is>
      </c>
      <c r="C77" s="6" t="inlineStr"/>
      <c r="D77" s="9" t="n"/>
      <c r="E77" s="9" t="n"/>
      <c r="F77" s="8" t="n"/>
    </row>
    <row r="78">
      <c r="A78" s="5" t="inlineStr">
        <is>
          <t>Item 4</t>
        </is>
      </c>
      <c r="C78" s="6" t="inlineStr"/>
      <c r="D78" s="9" t="n"/>
      <c r="E78" s="9" t="n"/>
      <c r="F78" s="8" t="n"/>
    </row>
    <row r="79">
      <c r="A79" s="5" t="inlineStr">
        <is>
          <t>Item 5</t>
        </is>
      </c>
      <c r="C79" s="6" t="inlineStr"/>
      <c r="D79" s="9" t="n"/>
      <c r="E79" s="9" t="n"/>
      <c r="F79" s="8" t="n"/>
    </row>
    <row r="80">
      <c r="A80" s="5" t="inlineStr">
        <is>
          <t>Item 6</t>
        </is>
      </c>
      <c r="C80" s="6" t="inlineStr"/>
      <c r="D80" s="9" t="n"/>
      <c r="E80" s="9" t="n"/>
      <c r="F80" s="8" t="n"/>
    </row>
    <row r="81">
      <c r="A81" s="5" t="inlineStr">
        <is>
          <t>Item 7</t>
        </is>
      </c>
      <c r="C81" s="6" t="inlineStr"/>
      <c r="D81" s="9" t="n"/>
      <c r="E81" s="9" t="n"/>
      <c r="F81" s="8" t="n"/>
    </row>
    <row r="82">
      <c r="A82" s="5" t="inlineStr">
        <is>
          <t>Item 8</t>
        </is>
      </c>
      <c r="C82" s="6" t="inlineStr"/>
      <c r="D82" s="9" t="n"/>
      <c r="E82" s="9" t="n"/>
      <c r="F82" s="8" t="n"/>
    </row>
    <row r="84">
      <c r="A84" s="5" t="inlineStr">
        <is>
          <t>Weight Limit (kg)</t>
        </is>
      </c>
      <c r="C84" s="7">
        <f>C4*5+10</f>
        <v/>
      </c>
    </row>
    <row r="85">
      <c r="A85" s="5" t="inlineStr">
        <is>
          <t>Current Load (kg)</t>
        </is>
      </c>
      <c r="C85" s="6" t="inlineStr"/>
    </row>
    <row r="86">
      <c r="A86" s="3" t="inlineStr">
        <is>
          <t>Backstory</t>
        </is>
      </c>
      <c r="B86" s="9" t="n"/>
      <c r="C86" s="9" t="n"/>
      <c r="D86" s="9" t="n"/>
      <c r="E86" s="9" t="n"/>
      <c r="F86" s="8" t="n"/>
    </row>
    <row r="87" ht="40" customHeight="1">
      <c r="A87" s="5" t="inlineStr">
        <is>
          <t>First Talisman</t>
        </is>
      </c>
      <c r="C87" s="6" t="inlineStr"/>
      <c r="D87" s="9" t="n"/>
      <c r="E87" s="9" t="n"/>
      <c r="F87" s="8" t="n"/>
    </row>
    <row r="88" ht="40" customHeight="1">
      <c r="A88" s="5" t="inlineStr">
        <is>
          <t>Worst Coffin</t>
        </is>
      </c>
      <c r="C88" s="6" t="inlineStr"/>
      <c r="D88" s="9" t="n"/>
      <c r="E88" s="9" t="n"/>
      <c r="F88" s="8" t="n"/>
    </row>
    <row r="89" ht="40" customHeight="1">
      <c r="A89" s="5" t="inlineStr">
        <is>
          <t>Tomb Still Being Sought</t>
        </is>
      </c>
      <c r="C89" s="6" t="inlineStr"/>
      <c r="D89" s="9" t="n"/>
      <c r="E89" s="9" t="n"/>
      <c r="F89" s="8" t="n"/>
    </row>
  </sheetData>
  <mergeCells count="49">
    <mergeCell ref="C70:F70"/>
    <mergeCell ref="C24:D24"/>
    <mergeCell ref="C33:D33"/>
    <mergeCell ref="E33:F33"/>
    <mergeCell ref="C82:F82"/>
    <mergeCell ref="C72:F72"/>
    <mergeCell ref="A74:F74"/>
    <mergeCell ref="A12:F12"/>
    <mergeCell ref="E14:F14"/>
    <mergeCell ref="C81:F81"/>
    <mergeCell ref="A49:B53"/>
    <mergeCell ref="E17:F17"/>
    <mergeCell ref="C26:D26"/>
    <mergeCell ref="A21:F21"/>
    <mergeCell ref="A34:B38"/>
    <mergeCell ref="A86:F86"/>
    <mergeCell ref="A39:B43"/>
    <mergeCell ref="A2:F2"/>
    <mergeCell ref="C29:D29"/>
    <mergeCell ref="C78:F78"/>
    <mergeCell ref="C87:F87"/>
    <mergeCell ref="C25:D25"/>
    <mergeCell ref="C77:F77"/>
    <mergeCell ref="A32:F32"/>
    <mergeCell ref="A54:B58"/>
    <mergeCell ref="C30:F30"/>
    <mergeCell ref="E13:F13"/>
    <mergeCell ref="C22:D22"/>
    <mergeCell ref="C89:F89"/>
    <mergeCell ref="C76:F76"/>
    <mergeCell ref="C79:F79"/>
    <mergeCell ref="E15:F15"/>
    <mergeCell ref="C73:F73"/>
    <mergeCell ref="C88:F88"/>
    <mergeCell ref="A33:B33"/>
    <mergeCell ref="C27:D27"/>
    <mergeCell ref="C23:D23"/>
    <mergeCell ref="C80:F80"/>
    <mergeCell ref="C75:F75"/>
    <mergeCell ref="E16:F16"/>
    <mergeCell ref="A1:F1"/>
    <mergeCell ref="A61:F61"/>
    <mergeCell ref="A13:B13"/>
    <mergeCell ref="C28:D28"/>
    <mergeCell ref="C13:D13"/>
    <mergeCell ref="C71:F71"/>
    <mergeCell ref="E18:F18"/>
    <mergeCell ref="A69:F69"/>
    <mergeCell ref="A44:B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2026-07-13T10:23:03Z</dcterms:created>
  <dcterms:modified xsi:type="dcterms:W3CDTF">2026-08-09T09:23:05Z</dcterms:modified>
</cp:coreProperties>
</file>