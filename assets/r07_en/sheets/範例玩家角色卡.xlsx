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guard Master" sheetId="1" state="visible" r:id="rId1"/>
    <sheet name="Melee Bruiser" sheetId="2" state="visible" r:id="rId2"/>
    <sheet name="Tomb Dragon" sheetId="3" state="visible" r:id="rId3"/>
    <sheet name="Talisman Specialist" sheetId="4" state="visible" r:id="rId4"/>
    <sheet name="Bold and Shar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  <font>
      <name val="微軟正黑體"/>
      <b val="1"/>
      <color rgb="004A2C2A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Earth Master TRPG — Protector Master (Orthodox Daoist Transmission · Xuan Kong Sect)</t>
        </is>
      </c>
      <c r="B1" s="5" t="n"/>
      <c r="C1" s="5" t="n"/>
      <c r="D1" s="5" t="n"/>
      <c r="E1" s="5" t="n"/>
      <c r="F1" s="6" t="n"/>
    </row>
    <row r="2">
      <c r="A2" s="3" t="inlineStr">
        <is>
          <t>Character Name</t>
        </is>
      </c>
      <c r="D2" s="4" t="inlineStr">
        <is>
          <t>Qingxu</t>
        </is>
      </c>
      <c r="E2" s="5" t="n"/>
      <c r="F2" s="6" t="n"/>
    </row>
    <row r="3">
      <c r="A3" s="3" t="inlineStr">
        <is>
          <t>Origin</t>
        </is>
      </c>
      <c r="D3" s="4" t="inlineStr">
        <is>
          <t>Temple Adoptee</t>
        </is>
      </c>
      <c r="E3" s="5" t="n"/>
      <c r="F3" s="6" t="n"/>
    </row>
    <row r="4">
      <c r="A4" s="3" t="inlineStr">
        <is>
          <t>Heritage / Lineage</t>
        </is>
      </c>
      <c r="D4" s="4" t="inlineStr">
        <is>
          <t>Orthodox Daoist Transmission</t>
        </is>
      </c>
      <c r="E4" s="5" t="n"/>
      <c r="F4" s="6" t="n"/>
    </row>
    <row r="5">
      <c r="A5" s="3" t="inlineStr">
        <is>
          <t>Sect</t>
        </is>
      </c>
      <c r="D5" s="4" t="inlineStr">
        <is>
          <t>Xuan Kong Sect</t>
        </is>
      </c>
      <c r="E5" s="5" t="n"/>
      <c r="F5" s="6" t="n"/>
    </row>
    <row r="6">
      <c r="A6" s="3" t="inlineStr">
        <is>
          <t>Level</t>
        </is>
      </c>
      <c r="D6" s="4" t="n">
        <v>1</v>
      </c>
      <c r="E6" s="5" t="n"/>
      <c r="F6" s="6" t="n"/>
    </row>
    <row r="8">
      <c r="A8" s="7" t="inlineStr">
        <is>
          <t>Five Attributes</t>
        </is>
      </c>
      <c r="B8" s="5" t="n"/>
      <c r="C8" s="5" t="n"/>
      <c r="D8" s="5" t="n"/>
      <c r="E8" s="5" t="n"/>
      <c r="F8" s="6" t="n"/>
    </row>
    <row r="9">
      <c r="A9" s="3" t="inlineStr">
        <is>
          <t>Agility (身)</t>
        </is>
      </c>
      <c r="C9" s="9" t="n">
        <v>4</v>
      </c>
      <c r="E9" s="4">
        <f>FLOOR(C9/2-5,1)</f>
        <v/>
      </c>
      <c r="F9" s="6" t="n"/>
    </row>
    <row r="10">
      <c r="A10" s="3" t="inlineStr">
        <is>
          <t>True Qi (氣)</t>
        </is>
      </c>
      <c r="C10" s="9" t="n">
        <v>9</v>
      </c>
      <c r="E10" s="4">
        <f>FLOOR(C10/2-5,1)</f>
        <v/>
      </c>
      <c r="F10" s="6" t="n"/>
    </row>
    <row r="11">
      <c r="A11" s="3" t="inlineStr">
        <is>
          <t>Geomancy (輿)</t>
        </is>
      </c>
      <c r="C11" s="9" t="n">
        <v>4</v>
      </c>
      <c r="E11" s="4">
        <f>FLOOR(C11/2-5,1)</f>
        <v/>
      </c>
      <c r="F11" s="6" t="n"/>
    </row>
    <row r="12">
      <c r="A12" s="3" t="inlineStr">
        <is>
          <t>Spirit Sense (靈)</t>
        </is>
      </c>
      <c r="C12" s="9" t="n">
        <v>3</v>
      </c>
      <c r="E12" s="4">
        <f>FLOOR(C12/2-5,1)</f>
        <v/>
      </c>
      <c r="F12" s="6" t="n"/>
    </row>
    <row r="13">
      <c r="A13" s="3" t="inlineStr">
        <is>
          <t>Courage (膽)</t>
        </is>
      </c>
      <c r="C13" s="9" t="n">
        <v>5</v>
      </c>
      <c r="E13" s="4">
        <f>FLOOR(C13/2-5,1)</f>
        <v/>
      </c>
      <c r="F13" s="6" t="n"/>
    </row>
    <row r="15">
      <c r="A15" s="7" t="inlineStr">
        <is>
          <t>Derived Attributes</t>
        </is>
      </c>
      <c r="B15" s="5" t="n"/>
      <c r="C15" s="5" t="n"/>
      <c r="D15" s="5" t="n"/>
      <c r="E15" s="5" t="n"/>
      <c r="F15" s="6" t="n"/>
    </row>
    <row r="16">
      <c r="A16" s="3" t="inlineStr">
        <is>
          <t>Health Points (HP)</t>
        </is>
      </c>
      <c r="C16" s="9">
        <f>C11*3+10</f>
        <v/>
      </c>
    </row>
    <row r="17">
      <c r="A17" s="3" t="inlineStr">
        <is>
          <t>Qi Pool (QP)</t>
        </is>
      </c>
      <c r="C17" s="9">
        <f>C12*3+5</f>
        <v/>
      </c>
    </row>
    <row r="18">
      <c r="A18" s="3" t="inlineStr">
        <is>
          <t>Fear Threshold (FT)</t>
        </is>
      </c>
      <c r="C18" s="9">
        <f>C15*2+5</f>
        <v/>
      </c>
    </row>
    <row r="19">
      <c r="A19" s="3" t="inlineStr">
        <is>
          <t>Yin-Yang Perception (YY)</t>
        </is>
      </c>
      <c r="C19" s="9">
        <f>10+C14</f>
        <v/>
      </c>
    </row>
    <row r="20">
      <c r="A20" s="3" t="inlineStr">
        <is>
          <t>Putrefaction Resistance (PR)</t>
        </is>
      </c>
      <c r="C20" s="9">
        <f>C12+FLOOR(C15/2,1)</f>
        <v/>
      </c>
    </row>
    <row r="21">
      <c r="A21" s="3" t="inlineStr">
        <is>
          <t>Defense (DEF)</t>
        </is>
      </c>
      <c r="C21" s="9">
        <f>C11</f>
        <v/>
      </c>
    </row>
    <row r="22">
      <c r="A22" s="3" t="inlineStr">
        <is>
          <t>Initiative (INIT)</t>
        </is>
      </c>
      <c r="C22" s="9">
        <f>C11+FLOOR(C15/2,1)</f>
        <v/>
      </c>
    </row>
    <row r="24">
      <c r="A24" s="7" t="inlineStr">
        <is>
          <t>Equipment</t>
        </is>
      </c>
      <c r="B24" s="5" t="n"/>
      <c r="C24" s="5" t="n"/>
      <c r="D24" s="5" t="n"/>
      <c r="E24" s="5" t="n"/>
      <c r="F24" s="6" t="n"/>
    </row>
    <row r="25">
      <c r="A25" s="3" t="inlineStr">
        <is>
          <t>Weapon</t>
        </is>
      </c>
      <c r="C25" s="4" t="inlineStr">
        <is>
          <t>Peachwood Sword</t>
        </is>
      </c>
      <c r="D25" s="5" t="n"/>
      <c r="E25" s="5" t="n"/>
      <c r="F25" s="6" t="n"/>
    </row>
    <row r="26">
      <c r="A26" s="3" t="inlineStr">
        <is>
          <t>Armor</t>
        </is>
      </c>
      <c r="C26" s="4" t="inlineStr">
        <is>
          <t>Heavy Cloth Robe</t>
        </is>
      </c>
      <c r="D26" s="5" t="n"/>
      <c r="E26" s="5" t="n"/>
      <c r="F26" s="6" t="n"/>
    </row>
    <row r="27">
      <c r="A27" s="3" t="inlineStr">
        <is>
          <t>Spirit Item</t>
        </is>
      </c>
      <c r="C27" s="4" t="inlineStr">
        <is>
          <t>Feng Shui Compass (Novice)</t>
        </is>
      </c>
      <c r="D27" s="5" t="n"/>
      <c r="E27" s="5" t="n"/>
      <c r="F27" s="6" t="n"/>
    </row>
    <row r="28">
      <c r="A28" s="3" t="inlineStr">
        <is>
          <t>Items</t>
        </is>
      </c>
      <c r="C28" s="4" t="inlineStr">
        <is>
          <t>Cinnabar, Yellow Paper, Glutinous Rice</t>
        </is>
      </c>
      <c r="D28" s="5" t="n"/>
      <c r="E28" s="5" t="n"/>
      <c r="F28" s="6" t="n"/>
    </row>
  </sheetData>
  <mergeCells count="18">
    <mergeCell ref="D2:F2"/>
    <mergeCell ref="E12:F12"/>
    <mergeCell ref="A24:F24"/>
    <mergeCell ref="E9:F9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Earth Master TRPG — Melee Bruiser (Folk Martial Master · Mountain-Mover Sect)</t>
        </is>
      </c>
      <c r="B1" s="5" t="n"/>
      <c r="C1" s="5" t="n"/>
      <c r="D1" s="5" t="n"/>
      <c r="E1" s="5" t="n"/>
      <c r="F1" s="6" t="n"/>
    </row>
    <row r="2">
      <c r="A2" s="3" t="inlineStr">
        <is>
          <t>Character Name</t>
        </is>
      </c>
      <c r="D2" s="4" t="inlineStr">
        <is>
          <t>Tieniu</t>
        </is>
      </c>
      <c r="E2" s="5" t="n"/>
      <c r="F2" s="6" t="n"/>
    </row>
    <row r="3">
      <c r="A3" s="3" t="inlineStr">
        <is>
          <t>Origin</t>
        </is>
      </c>
      <c r="D3" s="4" t="inlineStr">
        <is>
          <t>Escort Agency Kid</t>
        </is>
      </c>
      <c r="E3" s="5" t="n"/>
      <c r="F3" s="6" t="n"/>
    </row>
    <row r="4">
      <c r="A4" s="3" t="inlineStr">
        <is>
          <t>Heritage / Lineage</t>
        </is>
      </c>
      <c r="D4" s="4" t="inlineStr">
        <is>
          <t>Folk Martial Master</t>
        </is>
      </c>
      <c r="E4" s="5" t="n"/>
      <c r="F4" s="6" t="n"/>
    </row>
    <row r="5">
      <c r="A5" s="3" t="inlineStr">
        <is>
          <t>Sect</t>
        </is>
      </c>
      <c r="D5" s="4" t="inlineStr">
        <is>
          <t>Mountain-Mover Sect</t>
        </is>
      </c>
      <c r="E5" s="5" t="n"/>
      <c r="F5" s="6" t="n"/>
    </row>
    <row r="6">
      <c r="A6" s="3" t="inlineStr">
        <is>
          <t>Level</t>
        </is>
      </c>
      <c r="D6" s="4" t="n">
        <v>1</v>
      </c>
      <c r="E6" s="5" t="n"/>
      <c r="F6" s="6" t="n"/>
    </row>
    <row r="8">
      <c r="A8" s="7" t="inlineStr">
        <is>
          <t>Five Attributes</t>
        </is>
      </c>
      <c r="B8" s="5" t="n"/>
      <c r="C8" s="5" t="n"/>
      <c r="D8" s="5" t="n"/>
      <c r="E8" s="5" t="n"/>
      <c r="F8" s="6" t="n"/>
    </row>
    <row r="9">
      <c r="A9" s="3" t="inlineStr">
        <is>
          <t>Agility (身)</t>
        </is>
      </c>
      <c r="C9" s="9" t="n">
        <v>9</v>
      </c>
      <c r="E9" s="4">
        <f>FLOOR(C9/2-5,1)</f>
        <v/>
      </c>
      <c r="F9" s="6" t="n"/>
    </row>
    <row r="10">
      <c r="A10" s="3" t="inlineStr">
        <is>
          <t>True Qi (氣)</t>
        </is>
      </c>
      <c r="C10" s="9" t="n">
        <v>3</v>
      </c>
      <c r="E10" s="4">
        <f>FLOOR(C10/2-5,1)</f>
        <v/>
      </c>
      <c r="F10" s="6" t="n"/>
    </row>
    <row r="11">
      <c r="A11" s="3" t="inlineStr">
        <is>
          <t>Geomancy (輿)</t>
        </is>
      </c>
      <c r="C11" s="9" t="n">
        <v>3</v>
      </c>
      <c r="E11" s="4">
        <f>FLOOR(C11/2-5,1)</f>
        <v/>
      </c>
      <c r="F11" s="6" t="n"/>
    </row>
    <row r="12">
      <c r="A12" s="3" t="inlineStr">
        <is>
          <t>Spirit Sense (靈)</t>
        </is>
      </c>
      <c r="C12" s="9" t="n">
        <v>3</v>
      </c>
      <c r="E12" s="4">
        <f>FLOOR(C12/2-5,1)</f>
        <v/>
      </c>
      <c r="F12" s="6" t="n"/>
    </row>
    <row r="13">
      <c r="A13" s="3" t="inlineStr">
        <is>
          <t>Courage (膽)</t>
        </is>
      </c>
      <c r="C13" s="9" t="n">
        <v>7</v>
      </c>
      <c r="E13" s="4">
        <f>FLOOR(C13/2-5,1)</f>
        <v/>
      </c>
      <c r="F13" s="6" t="n"/>
    </row>
    <row r="15">
      <c r="A15" s="7" t="inlineStr">
        <is>
          <t>Derived Attributes</t>
        </is>
      </c>
      <c r="B15" s="5" t="n"/>
      <c r="C15" s="5" t="n"/>
      <c r="D15" s="5" t="n"/>
      <c r="E15" s="5" t="n"/>
      <c r="F15" s="6" t="n"/>
    </row>
    <row r="16">
      <c r="A16" s="3" t="inlineStr">
        <is>
          <t>Health Points (HP)</t>
        </is>
      </c>
      <c r="C16" s="9">
        <f>C11*3+10</f>
        <v/>
      </c>
    </row>
    <row r="17">
      <c r="A17" s="3" t="inlineStr">
        <is>
          <t>Qi Pool (QP)</t>
        </is>
      </c>
      <c r="C17" s="9">
        <f>C12*3+5</f>
        <v/>
      </c>
    </row>
    <row r="18">
      <c r="A18" s="3" t="inlineStr">
        <is>
          <t>Fear Threshold (FT)</t>
        </is>
      </c>
      <c r="C18" s="9">
        <f>C15*2+5</f>
        <v/>
      </c>
    </row>
    <row r="19">
      <c r="A19" s="3" t="inlineStr">
        <is>
          <t>Yin-Yang Perception (YY)</t>
        </is>
      </c>
      <c r="C19" s="9">
        <f>10+C14</f>
        <v/>
      </c>
    </row>
    <row r="20">
      <c r="A20" s="3" t="inlineStr">
        <is>
          <t>Putrefaction Resistance (PR)</t>
        </is>
      </c>
      <c r="C20" s="9">
        <f>C12+FLOOR(C15/2,1)</f>
        <v/>
      </c>
    </row>
    <row r="21">
      <c r="A21" s="3" t="inlineStr">
        <is>
          <t>Defense (DEF)</t>
        </is>
      </c>
      <c r="C21" s="9">
        <f>C11</f>
        <v/>
      </c>
    </row>
    <row r="22">
      <c r="A22" s="3" t="inlineStr">
        <is>
          <t>Initiative (INIT)</t>
        </is>
      </c>
      <c r="C22" s="9">
        <f>C11+FLOOR(C15/2,1)</f>
        <v/>
      </c>
    </row>
    <row r="24">
      <c r="A24" s="7" t="inlineStr">
        <is>
          <t>Equipment</t>
        </is>
      </c>
      <c r="B24" s="5" t="n"/>
      <c r="C24" s="5" t="n"/>
      <c r="D24" s="5" t="n"/>
      <c r="E24" s="5" t="n"/>
      <c r="F24" s="6" t="n"/>
    </row>
    <row r="25">
      <c r="A25" s="3" t="inlineStr">
        <is>
          <t>Weapon</t>
        </is>
      </c>
      <c r="C25" s="4" t="inlineStr">
        <is>
          <t>Bare Hands (Iron Sand Palm)</t>
        </is>
      </c>
      <c r="D25" s="5" t="n"/>
      <c r="E25" s="5" t="n"/>
      <c r="F25" s="6" t="n"/>
    </row>
    <row r="26">
      <c r="A26" s="3" t="inlineStr">
        <is>
          <t>Armor</t>
        </is>
      </c>
      <c r="C26" s="4" t="inlineStr">
        <is>
          <t>Leather Armor</t>
        </is>
      </c>
      <c r="D26" s="5" t="n"/>
      <c r="E26" s="5" t="n"/>
      <c r="F26" s="6" t="n"/>
    </row>
    <row r="27">
      <c r="A27" s="3" t="inlineStr">
        <is>
          <t>Spirit Item</t>
        </is>
      </c>
      <c r="C27" s="4" t="inlineStr">
        <is>
          <t>None</t>
        </is>
      </c>
      <c r="D27" s="5" t="n"/>
      <c r="E27" s="5" t="n"/>
      <c r="F27" s="6" t="n"/>
    </row>
    <row r="28">
      <c r="A28" s="3" t="inlineStr">
        <is>
          <t>Items</t>
        </is>
      </c>
      <c r="C28" s="4" t="inlineStr">
        <is>
          <t>First-Aid Kit, Rope</t>
        </is>
      </c>
      <c r="D28" s="5" t="n"/>
      <c r="E28" s="5" t="n"/>
      <c r="F28" s="6" t="n"/>
    </row>
  </sheetData>
  <mergeCells count="18">
    <mergeCell ref="D2:F2"/>
    <mergeCell ref="E12:F12"/>
    <mergeCell ref="A24:F24"/>
    <mergeCell ref="E9:F9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Earth Master TRPG — Tomb Dragon (Touch-Gold Clan · Dragon-Shaker Sect)</t>
        </is>
      </c>
      <c r="B1" s="5" t="n"/>
      <c r="C1" s="5" t="n"/>
      <c r="D1" s="5" t="n"/>
      <c r="E1" s="5" t="n"/>
      <c r="F1" s="6" t="n"/>
    </row>
    <row r="2">
      <c r="A2" s="3" t="inlineStr">
        <is>
          <t>Character Name</t>
        </is>
      </c>
      <c r="D2" s="4" t="inlineStr">
        <is>
          <t>Liu San</t>
        </is>
      </c>
      <c r="E2" s="5" t="n"/>
      <c r="F2" s="6" t="n"/>
    </row>
    <row r="3">
      <c r="A3" s="3" t="inlineStr">
        <is>
          <t>Origin</t>
        </is>
      </c>
      <c r="D3" s="4" t="inlineStr">
        <is>
          <t>Family Craft</t>
        </is>
      </c>
      <c r="E3" s="5" t="n"/>
      <c r="F3" s="6" t="n"/>
    </row>
    <row r="4">
      <c r="A4" s="3" t="inlineStr">
        <is>
          <t>Heritage / Lineage</t>
        </is>
      </c>
      <c r="D4" s="4" t="inlineStr">
        <is>
          <t>Touch-Gold Clan</t>
        </is>
      </c>
      <c r="E4" s="5" t="n"/>
      <c r="F4" s="6" t="n"/>
    </row>
    <row r="5">
      <c r="A5" s="3" t="inlineStr">
        <is>
          <t>Sect</t>
        </is>
      </c>
      <c r="D5" s="4" t="inlineStr">
        <is>
          <t>Dragon-Shaker Sect</t>
        </is>
      </c>
      <c r="E5" s="5" t="n"/>
      <c r="F5" s="6" t="n"/>
    </row>
    <row r="6">
      <c r="A6" s="3" t="inlineStr">
        <is>
          <t>Level</t>
        </is>
      </c>
      <c r="D6" s="4" t="n">
        <v>1</v>
      </c>
      <c r="E6" s="5" t="n"/>
      <c r="F6" s="6" t="n"/>
    </row>
    <row r="8">
      <c r="A8" s="7" t="inlineStr">
        <is>
          <t>Five Attributes</t>
        </is>
      </c>
      <c r="B8" s="5" t="n"/>
      <c r="C8" s="5" t="n"/>
      <c r="D8" s="5" t="n"/>
      <c r="E8" s="5" t="n"/>
      <c r="F8" s="6" t="n"/>
    </row>
    <row r="9">
      <c r="A9" s="3" t="inlineStr">
        <is>
          <t>Agility (身)</t>
        </is>
      </c>
      <c r="C9" s="9" t="n">
        <v>7</v>
      </c>
      <c r="E9" s="4">
        <f>FLOOR(C9/2-5,1)</f>
        <v/>
      </c>
      <c r="F9" s="6" t="n"/>
    </row>
    <row r="10">
      <c r="A10" s="3" t="inlineStr">
        <is>
          <t>True Qi (氣)</t>
        </is>
      </c>
      <c r="C10" s="9" t="n">
        <v>3</v>
      </c>
      <c r="E10" s="4">
        <f>FLOOR(C10/2-5,1)</f>
        <v/>
      </c>
      <c r="F10" s="6" t="n"/>
    </row>
    <row r="11">
      <c r="A11" s="3" t="inlineStr">
        <is>
          <t>Geomancy (輿)</t>
        </is>
      </c>
      <c r="C11" s="9" t="n">
        <v>7</v>
      </c>
      <c r="E11" s="4">
        <f>FLOOR(C11/2-5,1)</f>
        <v/>
      </c>
      <c r="F11" s="6" t="n"/>
    </row>
    <row r="12">
      <c r="A12" s="3" t="inlineStr">
        <is>
          <t>Spirit Sense (靈)</t>
        </is>
      </c>
      <c r="C12" s="9" t="n">
        <v>4</v>
      </c>
      <c r="E12" s="4">
        <f>FLOOR(C12/2-5,1)</f>
        <v/>
      </c>
      <c r="F12" s="6" t="n"/>
    </row>
    <row r="13">
      <c r="A13" s="3" t="inlineStr">
        <is>
          <t>Courage (膽)</t>
        </is>
      </c>
      <c r="C13" s="9" t="n">
        <v>4</v>
      </c>
      <c r="E13" s="4">
        <f>FLOOR(C13/2-5,1)</f>
        <v/>
      </c>
      <c r="F13" s="6" t="n"/>
    </row>
    <row r="15">
      <c r="A15" s="7" t="inlineStr">
        <is>
          <t>Derived Attributes</t>
        </is>
      </c>
      <c r="B15" s="5" t="n"/>
      <c r="C15" s="5" t="n"/>
      <c r="D15" s="5" t="n"/>
      <c r="E15" s="5" t="n"/>
      <c r="F15" s="6" t="n"/>
    </row>
    <row r="16">
      <c r="A16" s="3" t="inlineStr">
        <is>
          <t>Health Points (HP)</t>
        </is>
      </c>
      <c r="C16" s="9">
        <f>C11*3+10</f>
        <v/>
      </c>
    </row>
    <row r="17">
      <c r="A17" s="3" t="inlineStr">
        <is>
          <t>Qi Pool (QP)</t>
        </is>
      </c>
      <c r="C17" s="9">
        <f>C12*3+5</f>
        <v/>
      </c>
    </row>
    <row r="18">
      <c r="A18" s="3" t="inlineStr">
        <is>
          <t>Fear Threshold (FT)</t>
        </is>
      </c>
      <c r="C18" s="9">
        <f>C15*2+5</f>
        <v/>
      </c>
    </row>
    <row r="19">
      <c r="A19" s="3" t="inlineStr">
        <is>
          <t>Yin-Yang Perception (YY)</t>
        </is>
      </c>
      <c r="C19" s="9">
        <f>10+C14</f>
        <v/>
      </c>
    </row>
    <row r="20">
      <c r="A20" s="3" t="inlineStr">
        <is>
          <t>Putrefaction Resistance (PR)</t>
        </is>
      </c>
      <c r="C20" s="9">
        <f>C12+FLOOR(C15/2,1)</f>
        <v/>
      </c>
    </row>
    <row r="21">
      <c r="A21" s="3" t="inlineStr">
        <is>
          <t>Defense (DEF)</t>
        </is>
      </c>
      <c r="C21" s="9">
        <f>C11</f>
        <v/>
      </c>
    </row>
    <row r="22">
      <c r="A22" s="3" t="inlineStr">
        <is>
          <t>Initiative (INIT)</t>
        </is>
      </c>
      <c r="C22" s="9">
        <f>C11+FLOOR(C15/2,1)</f>
        <v/>
      </c>
    </row>
    <row r="24">
      <c r="A24" s="7" t="inlineStr">
        <is>
          <t>Equipment</t>
        </is>
      </c>
      <c r="B24" s="5" t="n"/>
      <c r="C24" s="5" t="n"/>
      <c r="D24" s="5" t="n"/>
      <c r="E24" s="5" t="n"/>
      <c r="F24" s="6" t="n"/>
    </row>
    <row r="25">
      <c r="A25" s="3" t="inlineStr">
        <is>
          <t>Weapon</t>
        </is>
      </c>
      <c r="C25" s="4" t="inlineStr">
        <is>
          <t>Short Blade</t>
        </is>
      </c>
      <c r="D25" s="5" t="n"/>
      <c r="E25" s="5" t="n"/>
      <c r="F25" s="6" t="n"/>
    </row>
    <row r="26">
      <c r="A26" s="3" t="inlineStr">
        <is>
          <t>Armor</t>
        </is>
      </c>
      <c r="C26" s="4" t="inlineStr">
        <is>
          <t>Leather Armor</t>
        </is>
      </c>
      <c r="D26" s="5" t="n"/>
      <c r="E26" s="5" t="n"/>
      <c r="F26" s="6" t="n"/>
    </row>
    <row r="27">
      <c r="A27" s="3" t="inlineStr">
        <is>
          <t>Spirit Item</t>
        </is>
      </c>
      <c r="C27" s="4" t="inlineStr">
        <is>
          <t>Feng Shui Compass (Refined)</t>
        </is>
      </c>
      <c r="D27" s="5" t="n"/>
      <c r="E27" s="5" t="n"/>
      <c r="F27" s="6" t="n"/>
    </row>
    <row r="28">
      <c r="A28" s="3" t="inlineStr">
        <is>
          <t>Items</t>
        </is>
      </c>
      <c r="C28" s="4" t="inlineStr">
        <is>
          <t>Ink-Line Reel, Rope, Fire Starter</t>
        </is>
      </c>
      <c r="D28" s="5" t="n"/>
      <c r="E28" s="5" t="n"/>
      <c r="F28" s="6" t="n"/>
    </row>
  </sheetData>
  <mergeCells count="18">
    <mergeCell ref="D2:F2"/>
    <mergeCell ref="E12:F12"/>
    <mergeCell ref="A24:F24"/>
    <mergeCell ref="E9:F9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Earth Master TRPG — Talisman Specialist (Maoshan Disciple · Talisman Sect)</t>
        </is>
      </c>
      <c r="B1" s="5" t="n"/>
      <c r="C1" s="5" t="n"/>
      <c r="D1" s="5" t="n"/>
      <c r="E1" s="5" t="n"/>
      <c r="F1" s="6" t="n"/>
    </row>
    <row r="2">
      <c r="A2" s="3" t="inlineStr">
        <is>
          <t>Character Name</t>
        </is>
      </c>
      <c r="D2" s="4" t="inlineStr">
        <is>
          <t>Xiaolian</t>
        </is>
      </c>
      <c r="E2" s="5" t="n"/>
      <c r="F2" s="6" t="n"/>
    </row>
    <row r="3">
      <c r="A3" s="3" t="inlineStr">
        <is>
          <t>Origin</t>
        </is>
      </c>
      <c r="D3" s="4" t="inlineStr">
        <is>
          <t>Maoshan Apprentice</t>
        </is>
      </c>
      <c r="E3" s="5" t="n"/>
      <c r="F3" s="6" t="n"/>
    </row>
    <row r="4">
      <c r="A4" s="3" t="inlineStr">
        <is>
          <t>Heritage / Lineage</t>
        </is>
      </c>
      <c r="D4" s="4" t="inlineStr">
        <is>
          <t>Maoshan Disciple</t>
        </is>
      </c>
      <c r="E4" s="5" t="n"/>
      <c r="F4" s="6" t="n"/>
    </row>
    <row r="5">
      <c r="A5" s="3" t="inlineStr">
        <is>
          <t>Sect</t>
        </is>
      </c>
      <c r="D5" s="4" t="inlineStr">
        <is>
          <t>Talisman Sect</t>
        </is>
      </c>
      <c r="E5" s="5" t="n"/>
      <c r="F5" s="6" t="n"/>
    </row>
    <row r="6">
      <c r="A6" s="3" t="inlineStr">
        <is>
          <t>Level</t>
        </is>
      </c>
      <c r="D6" s="4" t="n">
        <v>1</v>
      </c>
      <c r="E6" s="5" t="n"/>
      <c r="F6" s="6" t="n"/>
    </row>
    <row r="8">
      <c r="A8" s="7" t="inlineStr">
        <is>
          <t>Five Attributes</t>
        </is>
      </c>
      <c r="B8" s="5" t="n"/>
      <c r="C8" s="5" t="n"/>
      <c r="D8" s="5" t="n"/>
      <c r="E8" s="5" t="n"/>
      <c r="F8" s="6" t="n"/>
    </row>
    <row r="9">
      <c r="A9" s="3" t="inlineStr">
        <is>
          <t>Agility (身)</t>
        </is>
      </c>
      <c r="C9" s="9" t="n">
        <v>3</v>
      </c>
      <c r="E9" s="4">
        <f>FLOOR(C9/2-5,1)</f>
        <v/>
      </c>
      <c r="F9" s="6" t="n"/>
    </row>
    <row r="10">
      <c r="A10" s="3" t="inlineStr">
        <is>
          <t>True Qi (氣)</t>
        </is>
      </c>
      <c r="C10" s="9" t="n">
        <v>4</v>
      </c>
      <c r="E10" s="4">
        <f>FLOOR(C10/2-5,1)</f>
        <v/>
      </c>
      <c r="F10" s="6" t="n"/>
    </row>
    <row r="11">
      <c r="A11" s="3" t="inlineStr">
        <is>
          <t>Geomancy (輿)</t>
        </is>
      </c>
      <c r="C11" s="9" t="n">
        <v>3</v>
      </c>
      <c r="E11" s="4">
        <f>FLOOR(C11/2-5,1)</f>
        <v/>
      </c>
      <c r="F11" s="6" t="n"/>
    </row>
    <row r="12">
      <c r="A12" s="3" t="inlineStr">
        <is>
          <t>Spirit Sense (靈)</t>
        </is>
      </c>
      <c r="C12" s="9" t="n">
        <v>9</v>
      </c>
      <c r="E12" s="4">
        <f>FLOOR(C12/2-5,1)</f>
        <v/>
      </c>
      <c r="F12" s="6" t="n"/>
    </row>
    <row r="13">
      <c r="A13" s="3" t="inlineStr">
        <is>
          <t>Courage (膽)</t>
        </is>
      </c>
      <c r="C13" s="9" t="n">
        <v>6</v>
      </c>
      <c r="E13" s="4">
        <f>FLOOR(C13/2-5,1)</f>
        <v/>
      </c>
      <c r="F13" s="6" t="n"/>
    </row>
    <row r="15">
      <c r="A15" s="7" t="inlineStr">
        <is>
          <t>Derived Attributes</t>
        </is>
      </c>
      <c r="B15" s="5" t="n"/>
      <c r="C15" s="5" t="n"/>
      <c r="D15" s="5" t="n"/>
      <c r="E15" s="5" t="n"/>
      <c r="F15" s="6" t="n"/>
    </row>
    <row r="16">
      <c r="A16" s="3" t="inlineStr">
        <is>
          <t>Health Points (HP)</t>
        </is>
      </c>
      <c r="C16" s="9">
        <f>C11*3+10</f>
        <v/>
      </c>
    </row>
    <row r="17">
      <c r="A17" s="3" t="inlineStr">
        <is>
          <t>Qi Pool (QP)</t>
        </is>
      </c>
      <c r="C17" s="9">
        <f>C12*3+5</f>
        <v/>
      </c>
    </row>
    <row r="18">
      <c r="A18" s="3" t="inlineStr">
        <is>
          <t>Fear Threshold (FT)</t>
        </is>
      </c>
      <c r="C18" s="9">
        <f>C15*2+5</f>
        <v/>
      </c>
    </row>
    <row r="19">
      <c r="A19" s="3" t="inlineStr">
        <is>
          <t>Yin-Yang Perception (YY)</t>
        </is>
      </c>
      <c r="C19" s="9">
        <f>10+C14</f>
        <v/>
      </c>
    </row>
    <row r="20">
      <c r="A20" s="3" t="inlineStr">
        <is>
          <t>Putrefaction Resistance (PR)</t>
        </is>
      </c>
      <c r="C20" s="9">
        <f>C12+FLOOR(C15/2,1)</f>
        <v/>
      </c>
    </row>
    <row r="21">
      <c r="A21" s="3" t="inlineStr">
        <is>
          <t>Defense (DEF)</t>
        </is>
      </c>
      <c r="C21" s="9">
        <f>C11</f>
        <v/>
      </c>
    </row>
    <row r="22">
      <c r="A22" s="3" t="inlineStr">
        <is>
          <t>Initiative (INIT)</t>
        </is>
      </c>
      <c r="C22" s="9">
        <f>C11+FLOOR(C15/2,1)</f>
        <v/>
      </c>
    </row>
    <row r="24">
      <c r="A24" s="7" t="inlineStr">
        <is>
          <t>Equipment</t>
        </is>
      </c>
      <c r="B24" s="5" t="n"/>
      <c r="C24" s="5" t="n"/>
      <c r="D24" s="5" t="n"/>
      <c r="E24" s="5" t="n"/>
      <c r="F24" s="6" t="n"/>
    </row>
    <row r="25">
      <c r="A25" s="3" t="inlineStr">
        <is>
          <t>Weapon</t>
        </is>
      </c>
      <c r="C25" s="4" t="inlineStr">
        <is>
          <t>Peachwood Sword</t>
        </is>
      </c>
      <c r="D25" s="5" t="n"/>
      <c r="E25" s="5" t="n"/>
      <c r="F25" s="6" t="n"/>
    </row>
    <row r="26">
      <c r="A26" s="3" t="inlineStr">
        <is>
          <t>Armor</t>
        </is>
      </c>
      <c r="C26" s="4" t="inlineStr">
        <is>
          <t>Heavy Cloth Robe</t>
        </is>
      </c>
      <c r="D26" s="5" t="n"/>
      <c r="E26" s="5" t="n"/>
      <c r="F26" s="6" t="n"/>
    </row>
    <row r="27">
      <c r="A27" s="3" t="inlineStr">
        <is>
          <t>Spirit Item</t>
        </is>
      </c>
      <c r="C27" s="4" t="inlineStr">
        <is>
          <t>Consecrated Bagua Mirror</t>
        </is>
      </c>
      <c r="D27" s="5" t="n"/>
      <c r="E27" s="5" t="n"/>
      <c r="F27" s="6" t="n"/>
    </row>
    <row r="28">
      <c r="A28" s="3" t="inlineStr">
        <is>
          <t>Items</t>
        </is>
      </c>
      <c r="C28" s="4" t="inlineStr">
        <is>
          <t>Cinnabar x2, Yellow Paper x2, Incense, Spirit Money</t>
        </is>
      </c>
      <c r="D28" s="5" t="n"/>
      <c r="E28" s="5" t="n"/>
      <c r="F28" s="6" t="n"/>
    </row>
  </sheetData>
  <mergeCells count="18">
    <mergeCell ref="D2:F2"/>
    <mergeCell ref="E12:F12"/>
    <mergeCell ref="A24:F24"/>
    <mergeCell ref="E9:F9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Earth Master TRPG — Bold and Careful (Touch-Gold Clan · Maoshan Minor)</t>
        </is>
      </c>
      <c r="B1" s="5" t="n"/>
      <c r="C1" s="5" t="n"/>
      <c r="D1" s="5" t="n"/>
      <c r="E1" s="5" t="n"/>
      <c r="F1" s="6" t="n"/>
    </row>
    <row r="2">
      <c r="A2" s="3" t="inlineStr">
        <is>
          <t>Character Name</t>
        </is>
      </c>
      <c r="D2" s="4" t="inlineStr">
        <is>
          <t>Laoliu</t>
        </is>
      </c>
      <c r="E2" s="5" t="n"/>
      <c r="F2" s="6" t="n"/>
    </row>
    <row r="3">
      <c r="A3" s="3" t="inlineStr">
        <is>
          <t>Origin</t>
        </is>
      </c>
      <c r="D3" s="4" t="inlineStr">
        <is>
          <t>Learned Craft in the Army</t>
        </is>
      </c>
      <c r="E3" s="5" t="n"/>
      <c r="F3" s="6" t="n"/>
    </row>
    <row r="4">
      <c r="A4" s="3" t="inlineStr">
        <is>
          <t>Heritage / Lineage</t>
        </is>
      </c>
      <c r="D4" s="4" t="inlineStr">
        <is>
          <t>Touch-Gold Clan (primary) + Maoshan (minor)</t>
        </is>
      </c>
      <c r="E4" s="5" t="n"/>
      <c r="F4" s="6" t="n"/>
    </row>
    <row r="5">
      <c r="A5" s="3" t="inlineStr">
        <is>
          <t>Sect</t>
        </is>
      </c>
      <c r="D5" s="4" t="inlineStr">
        <is>
          <t>Mountain-Mover Sect</t>
        </is>
      </c>
      <c r="E5" s="5" t="n"/>
      <c r="F5" s="6" t="n"/>
    </row>
    <row r="6">
      <c r="A6" s="3" t="inlineStr">
        <is>
          <t>Level</t>
        </is>
      </c>
      <c r="D6" s="4" t="n">
        <v>1</v>
      </c>
      <c r="E6" s="5" t="n"/>
      <c r="F6" s="6" t="n"/>
    </row>
    <row r="8">
      <c r="A8" s="7" t="inlineStr">
        <is>
          <t>Five Attributes</t>
        </is>
      </c>
      <c r="B8" s="5" t="n"/>
      <c r="C8" s="5" t="n"/>
      <c r="D8" s="5" t="n"/>
      <c r="E8" s="5" t="n"/>
      <c r="F8" s="6" t="n"/>
    </row>
    <row r="9">
      <c r="A9" s="3" t="inlineStr">
        <is>
          <t>Agility (身)</t>
        </is>
      </c>
      <c r="C9" s="9" t="n">
        <v>5</v>
      </c>
      <c r="E9" s="4">
        <f>FLOOR(C9/2-5,1)</f>
        <v/>
      </c>
      <c r="F9" s="6" t="n"/>
    </row>
    <row r="10">
      <c r="A10" s="3" t="inlineStr">
        <is>
          <t>True Qi (氣)</t>
        </is>
      </c>
      <c r="C10" s="9" t="n">
        <v>4</v>
      </c>
      <c r="E10" s="4">
        <f>FLOOR(C10/2-5,1)</f>
        <v/>
      </c>
      <c r="F10" s="6" t="n"/>
    </row>
    <row r="11">
      <c r="A11" s="3" t="inlineStr">
        <is>
          <t>Geomancy (輿)</t>
        </is>
      </c>
      <c r="C11" s="9" t="n">
        <v>6</v>
      </c>
      <c r="E11" s="4">
        <f>FLOOR(C11/2-5,1)</f>
        <v/>
      </c>
      <c r="F11" s="6" t="n"/>
    </row>
    <row r="12">
      <c r="A12" s="3" t="inlineStr">
        <is>
          <t>Spirit Sense (靈)</t>
        </is>
      </c>
      <c r="C12" s="9" t="n">
        <v>6</v>
      </c>
      <c r="E12" s="4">
        <f>FLOOR(C12/2-5,1)</f>
        <v/>
      </c>
      <c r="F12" s="6" t="n"/>
    </row>
    <row r="13">
      <c r="A13" s="3" t="inlineStr">
        <is>
          <t>Courage (膽)</t>
        </is>
      </c>
      <c r="C13" s="9" t="n">
        <v>4</v>
      </c>
      <c r="E13" s="4">
        <f>FLOOR(C13/2-5,1)</f>
        <v/>
      </c>
      <c r="F13" s="6" t="n"/>
    </row>
    <row r="15">
      <c r="A15" s="7" t="inlineStr">
        <is>
          <t>Derived Attributes</t>
        </is>
      </c>
      <c r="B15" s="5" t="n"/>
      <c r="C15" s="5" t="n"/>
      <c r="D15" s="5" t="n"/>
      <c r="E15" s="5" t="n"/>
      <c r="F15" s="6" t="n"/>
    </row>
    <row r="16">
      <c r="A16" s="3" t="inlineStr">
        <is>
          <t>Health Points (HP)</t>
        </is>
      </c>
      <c r="C16" s="9">
        <f>C11*3+10</f>
        <v/>
      </c>
    </row>
    <row r="17">
      <c r="A17" s="3" t="inlineStr">
        <is>
          <t>Qi Pool (QP)</t>
        </is>
      </c>
      <c r="C17" s="9">
        <f>C12*3+5</f>
        <v/>
      </c>
    </row>
    <row r="18">
      <c r="A18" s="3" t="inlineStr">
        <is>
          <t>Fear Threshold (FT)</t>
        </is>
      </c>
      <c r="C18" s="9">
        <f>C15*2+5</f>
        <v/>
      </c>
    </row>
    <row r="19">
      <c r="A19" s="3" t="inlineStr">
        <is>
          <t>Yin-Yang Perception (YY)</t>
        </is>
      </c>
      <c r="C19" s="9">
        <f>10+C14</f>
        <v/>
      </c>
    </row>
    <row r="20">
      <c r="A20" s="3" t="inlineStr">
        <is>
          <t>Putrefaction Resistance (PR)</t>
        </is>
      </c>
      <c r="C20" s="9">
        <f>C12+FLOOR(C15/2,1)</f>
        <v/>
      </c>
    </row>
    <row r="21">
      <c r="A21" s="3" t="inlineStr">
        <is>
          <t>Defense (DEF)</t>
        </is>
      </c>
      <c r="C21" s="9">
        <f>C11</f>
        <v/>
      </c>
    </row>
    <row r="22">
      <c r="A22" s="3" t="inlineStr">
        <is>
          <t>Initiative (INIT)</t>
        </is>
      </c>
      <c r="C22" s="9">
        <f>C11+FLOOR(C15/2,1)</f>
        <v/>
      </c>
    </row>
    <row r="24">
      <c r="A24" s="7" t="inlineStr">
        <is>
          <t>Equipment</t>
        </is>
      </c>
      <c r="B24" s="5" t="n"/>
      <c r="C24" s="5" t="n"/>
      <c r="D24" s="5" t="n"/>
      <c r="E24" s="5" t="n"/>
      <c r="F24" s="6" t="n"/>
    </row>
    <row r="25">
      <c r="A25" s="3" t="inlineStr">
        <is>
          <t>Weapon</t>
        </is>
      </c>
      <c r="C25" s="4" t="inlineStr">
        <is>
          <t>Coin Sword</t>
        </is>
      </c>
      <c r="D25" s="5" t="n"/>
      <c r="E25" s="5" t="n"/>
      <c r="F25" s="6" t="n"/>
    </row>
    <row r="26">
      <c r="A26" s="3" t="inlineStr">
        <is>
          <t>Armor</t>
        </is>
      </c>
      <c r="C26" s="4" t="inlineStr">
        <is>
          <t>Leather Armor</t>
        </is>
      </c>
      <c r="D26" s="5" t="n"/>
      <c r="E26" s="5" t="n"/>
      <c r="F26" s="6" t="n"/>
    </row>
    <row r="27">
      <c r="A27" s="3" t="inlineStr">
        <is>
          <t>Spirit Item</t>
        </is>
      </c>
      <c r="C27" s="4" t="inlineStr">
        <is>
          <t>Feng Shui Compass (Novice)</t>
        </is>
      </c>
      <c r="D27" s="5" t="n"/>
      <c r="E27" s="5" t="n"/>
      <c r="F27" s="6" t="n"/>
    </row>
    <row r="28">
      <c r="A28" s="3" t="inlineStr">
        <is>
          <t>Items</t>
        </is>
      </c>
      <c r="C28" s="4" t="inlineStr">
        <is>
          <t>Glutinous Rice, Black Dog Blood, First-Aid Kit</t>
        </is>
      </c>
      <c r="D28" s="5" t="n"/>
      <c r="E28" s="5" t="n"/>
      <c r="F28" s="6" t="n"/>
    </row>
  </sheetData>
  <mergeCells count="18">
    <mergeCell ref="D2:F2"/>
    <mergeCell ref="E12:F12"/>
    <mergeCell ref="A24:F24"/>
    <mergeCell ref="E9:F9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2026-08-09T09:23:14Z</dcterms:modified>
</cp:coreProperties>
</file>