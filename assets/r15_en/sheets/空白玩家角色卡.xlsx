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andom Draw" sheetId="2" state="visible" r:id="rId2"/>
    <sheet name="Blank Explorer Character Sheet" sheetId="3" state="visible" r:id="rId3"/>
    <sheet name="Sample_Lin Yuqing" sheetId="4" state="visible" r:id="rId4"/>
    <sheet name="Sample_Xu Shuhua" sheetId="5" state="visible" r:id="rId5"/>
    <sheet name="Explorer Pool" sheetId="6" state="hidden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C2F0"/>
        <bgColor rgb="00D9C2F0"/>
      </patternFill>
    </fill>
    <fill>
      <patternFill patternType="solid">
        <fgColor rgb="00EDE7F6"/>
        <bgColor rgb="00EDE7F6"/>
      </patternFill>
    </fill>
    <fill>
      <patternFill patternType="solid">
        <fgColor rgb="00FFF3C4"/>
        <bgColor rgb="00FFF3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Backrooms Administration Bureau TRPG — Blank Explorer Character Sheet</t>
        </is>
      </c>
    </row>
    <row r="2"/>
    <row r="3">
      <c r="A3" t="inlineStr">
        <is>
          <t>This file provides a standalone Excel character sheet template for Explorers, matching the fields of Appendix B in the Player Rulebook.</t>
        </is>
      </c>
    </row>
    <row r="4">
      <c r="A4" t="inlineStr">
        <is>
          <t>Tab Guide:</t>
        </is>
      </c>
    </row>
    <row r="5">
      <c r="A5" t="inlineStr">
        <is>
          <t>• Blank Explorer Character Sheet — unfilled template; purple fields auto-calculate from input.</t>
        </is>
      </c>
    </row>
    <row r="6">
      <c r="A6" t="inlineStr">
        <is>
          <t>• Sample_Lin Yuqing — Trainee (EL1) Medical Explorer, showing basic fields.</t>
        </is>
      </c>
    </row>
    <row r="7">
      <c r="A7" t="inlineStr">
        <is>
          <t>• Sample_Xu Shuhua — Veteran (EL3) Medical/Negotiation dual specialty, showing secondary specialty and special abilities.</t>
        </is>
      </c>
    </row>
    <row r="8"/>
    <row r="9">
      <c r="A9" t="inlineStr">
        <is>
          <t>Auto-calculated fields: rank name, mission bonus, promotion remaining, special ability, specialty bonus, stress/presence hints.</t>
        </is>
      </c>
    </row>
    <row r="10">
      <c r="A10" t="inlineStr">
        <is>
          <t>Related rules: Experience Level §4.2, Five Specialties §4.3, Mental State §4.4, Contract §4.5, Status Effects §4.7, Presence §4.8; GM version see §2.9–§2.11.</t>
        </is>
      </c>
    </row>
    <row r="11">
      <c r="A11" t="inlineStr">
        <is>
          <t>Recruitment source: GM Appendix C (100-person Explorer generation pool).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  <col width="3" customWidth="1" min="7" max="7"/>
    <col width="16" customWidth="1" min="8" max="8"/>
    <col width="16" customWidth="1" min="9" max="9"/>
    <col width="42" customWidth="1" min="10" max="10"/>
  </cols>
  <sheetData>
    <row r="1">
      <c r="A1" s="8" t="inlineStr">
        <is>
          <t>The Backrooms Administration Bureau — Random Explorer Draw</t>
        </is>
      </c>
    </row>
    <row r="2">
      <c r="A2" s="9" t="inlineStr">
        <is>
          <t>Drawn Number (press F9 to redraw)</t>
        </is>
      </c>
      <c r="B2" s="10">
        <f>RANDBETWEEN(2,101)</f>
        <v/>
      </c>
    </row>
    <row r="3">
      <c r="A3" s="3" t="inlineStr">
        <is>
          <t>Basic Info</t>
        </is>
      </c>
      <c r="H3" s="11" t="inlineStr">
        <is>
          <t>How to Use</t>
        </is>
      </c>
    </row>
    <row r="4" ht="30" customHeight="1">
      <c r="A4" s="4" t="inlineStr">
        <is>
          <t>Name</t>
        </is>
      </c>
      <c r="B4" s="5">
        <f>INDEX('探險員池'!B:B,$B$2)</f>
        <v/>
      </c>
      <c r="C4" s="4" t="inlineStr">
        <is>
          <t>Gender</t>
        </is>
      </c>
      <c r="D4" s="5">
        <f>INDEX('探險員池'!C:C,$B$2)</f>
        <v/>
      </c>
      <c r="E4" s="4" t="inlineStr">
        <is>
          <t>Age</t>
        </is>
      </c>
      <c r="F4" s="5">
        <f>INDEX('探險員池'!D:D,$B$2)</f>
        <v/>
      </c>
      <c r="H4" s="7" t="inlineStr">
        <is>
          <t>1. This tab randomly draws one Explorer from the hidden 「Explorer Pool」 sheet (100 total).</t>
        </is>
      </c>
    </row>
    <row r="5" ht="30" customHeight="1">
      <c r="A5" s="4" t="inlineStr">
        <is>
          <t>ID</t>
        </is>
      </c>
      <c r="B5" s="5">
        <f>INDEX('探險員池'!E:E,$B$2)</f>
        <v/>
      </c>
      <c r="C5" s="4" t="inlineStr">
        <is>
          <t>Department</t>
        </is>
      </c>
      <c r="D5" s="5">
        <f>INDEX('探險員池'!F:F,$B$2)</f>
        <v/>
      </c>
      <c r="E5" s="4" t="inlineStr">
        <is>
          <t>Status (ST)</t>
        </is>
      </c>
      <c r="F5" s="5" t="inlineStr">
        <is>
          <t>On Standby</t>
        </is>
      </c>
      <c r="H5" s="7" t="inlineStr">
        <is>
          <t>2. The drawn number (B2) uses =RANDBETWEEN(2,101); fields are auto-filled via INDEX, no manual entry needed.</t>
        </is>
      </c>
    </row>
    <row r="6" ht="30" customHeight="1">
      <c r="H6" s="7" t="inlineStr">
        <is>
          <t>3. This workbook's 「Calculation Options」 is set to 「Manual」: editing other cells will not auto-redraw.</t>
        </is>
      </c>
    </row>
    <row r="7" ht="30" customHeight="1">
      <c r="A7" s="3" t="inlineStr">
        <is>
          <t>Experience &amp; Growth</t>
        </is>
      </c>
      <c r="H7" s="7" t="inlineStr">
        <is>
          <t>4. To change → press F9 (or 「Formulas」 tab 「Calculate Now」) to redraw.</t>
        </is>
      </c>
    </row>
    <row r="8" ht="30" customHeight="1">
      <c r="A8" s="4" t="inlineStr">
        <is>
          <t>Experience Level (EL)</t>
        </is>
      </c>
      <c r="B8" s="4">
        <f>INDEX('探險員池'!G:G,$B$2)</f>
        <v/>
      </c>
      <c r="C8" s="4" t="inlineStr">
        <is>
          <t>Rank Name</t>
        </is>
      </c>
      <c r="D8" s="5">
        <f>IF(B8=1,"見習",IF(B8=2,"正式",IF(B8=3,"資深",IF(B8=4,"菁英",IF(B8=5,"傳奇","")))))</f>
        <v/>
      </c>
      <c r="E8" s="4" t="inlineStr">
        <is>
          <t>Mission Bonus</t>
        </is>
      </c>
      <c r="F8" s="5">
        <f>IF(B8=1,5,IF(B8=2,10,IF(B8=3,15,IF(B8=4,20,IF(B8=5,25,0)))))</f>
        <v/>
      </c>
      <c r="H8" s="7" t="inlineStr">
        <is>
          <t>5. If satisfied → select the card area (A1:F30), copy → 「Paste Special → Values」 to lock, then fill contract weekly salary / remaining turns and save as.</t>
        </is>
      </c>
    </row>
    <row r="9" ht="30" customHeight="1">
      <c r="A9" s="4" t="inlineStr">
        <is>
          <t>Missions Completed</t>
        </is>
      </c>
      <c r="B9" s="4" t="n">
        <v>0</v>
      </c>
      <c r="C9" s="4" t="inlineStr">
        <is>
          <t>Total Promotions Needed</t>
        </is>
      </c>
      <c r="D9" s="5">
        <f>IF(B8=1,5,IF(B8=2,20,IF(B8=3,50,IF(B8=4,"—","—"))))</f>
        <v/>
      </c>
      <c r="E9" s="4" t="inlineStr">
        <is>
          <t>Promotion Remaining</t>
        </is>
      </c>
      <c r="F9" s="5">
        <f>IF(B8=1,MAX(0,5-B9),IF(B8=2,MAX(0,20-B9),IF(B8=3,MAX(0,50-B9),IF(B8=4,"不可晉升","已達頂"))))</f>
        <v/>
      </c>
      <c r="H9" s="7" t="inlineStr">
        <is>
          <t>6. Purple background = auto-calculated/imported fields; yellow background = draw control; white = manual entry fields.</t>
        </is>
      </c>
    </row>
    <row r="10" ht="30" customHeight="1">
      <c r="A10" s="4" t="inlineStr">
        <is>
          <t>Special Ability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  <c r="H10" s="7" t="inlineStr">
        <is>
          <t>7. Data source: GM Rulebook Appendix C (100-person Explorer generation pool). Special 「dual primary specialty」 holders show 「None」 in secondary specialty.</t>
        </is>
      </c>
    </row>
    <row r="11"/>
    <row r="12">
      <c r="A12" s="3" t="inlineStr">
        <is>
          <t>Specialty</t>
        </is>
      </c>
    </row>
    <row r="13">
      <c r="A13" s="4" t="inlineStr">
        <is>
          <t>Primary Specialty (SPC)</t>
        </is>
      </c>
      <c r="B13" s="5">
        <f>INDEX('探險員池'!H:H,$B$2)</f>
        <v/>
      </c>
      <c r="C13" s="4" t="inlineStr">
        <is>
          <t>Secondary Specialty (SPC)</t>
        </is>
      </c>
      <c r="D13" s="5">
        <f>INDEX('探險員池'!I:I,$B$2)</f>
        <v/>
      </c>
      <c r="E13" s="4" t="inlineStr">
        <is>
          <t>Specialty Bonus</t>
        </is>
      </c>
      <c r="F13" s="5">
        <f>5+IF(OR(D13="無",D13=""),0,3)</f>
        <v/>
      </c>
    </row>
    <row r="14"/>
    <row r="15">
      <c r="A15" s="3" t="inlineStr">
        <is>
          <t>Mind &amp; Presence</t>
        </is>
      </c>
    </row>
    <row r="16">
      <c r="A16" s="4" t="inlineStr">
        <is>
          <t>Mental State (MS)</t>
        </is>
      </c>
      <c r="B16" s="4" t="inlineStr">
        <is>
          <t>Stable</t>
        </is>
      </c>
      <c r="C16" s="4" t="inlineStr">
        <is>
          <t>Stress Value (STR)</t>
        </is>
      </c>
      <c r="D16" s="4" t="n">
        <v>0</v>
      </c>
      <c r="E16" s="4" t="inlineStr">
        <is>
          <t>Presence (EXI)</t>
        </is>
      </c>
      <c r="F16" s="4" t="n">
        <v>10</v>
      </c>
    </row>
    <row r="17">
      <c r="A17" s="4" t="inlineStr">
        <is>
          <t>Stress Worsening Hint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8"/>
    <row r="19">
      <c r="A19" s="3" t="inlineStr">
        <is>
          <t>Contract</t>
        </is>
      </c>
    </row>
    <row r="20">
      <c r="A20" s="4" t="inlineStr">
        <is>
          <t>Contract Type (CNT)</t>
        </is>
      </c>
      <c r="B20" s="5">
        <f>IF(B8=1,"見習合約",IF(B8=3,"資深合約",IF(B8=4,"菁英合約","特殊合約")))</f>
        <v/>
      </c>
      <c r="C20" s="4" t="inlineStr">
        <is>
          <t>Weekly Salary</t>
        </is>
      </c>
      <c r="D20" s="4" t="inlineStr">
        <is>
          <t>(fill in)</t>
        </is>
      </c>
      <c r="E20" s="4" t="inlineStr">
        <is>
          <t>Remaining Turns</t>
        </is>
      </c>
      <c r="F20" s="4" t="inlineStr">
        <is>
          <t>(fill in)</t>
        </is>
      </c>
    </row>
    <row r="21">
      <c r="A21" s="4" t="inlineStr">
        <is>
          <t>Special Terms</t>
        </is>
      </c>
      <c r="B21" s="4" t="inlineStr">
        <is>
          <t>(fill in)</t>
        </is>
      </c>
      <c r="C21" s="12" t="n"/>
      <c r="D21" s="12" t="n"/>
      <c r="E21" s="12" t="n"/>
      <c r="F21" s="13" t="n"/>
    </row>
    <row r="22"/>
    <row r="23">
      <c r="A23" s="3" t="inlineStr">
        <is>
          <t>Current Status (ST)</t>
        </is>
      </c>
    </row>
    <row r="24">
      <c r="A24" s="4" t="inlineStr">
        <is>
          <t>■ On Standby □ On Mission □ Wounded (Light/Moderate/Severe) □ Missing □ Dead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Background Summary</t>
        </is>
      </c>
    </row>
    <row r="26">
      <c r="A26" s="7">
        <f>INDEX('探險員池'!J:J,$B$2)</f>
        <v/>
      </c>
    </row>
    <row r="27"/>
    <row r="28">
      <c r="A28" s="3" t="inlineStr">
        <is>
          <t>Special Ability Details / Notes</t>
        </is>
      </c>
    </row>
    <row r="29">
      <c r="A29" s="7" t="inlineStr">
        <is>
          <t>(by rank see B10; Status Effects see Player Rulebook §4.7 / GM §2.10; Presence rules see GM §2.11)</t>
        </is>
      </c>
    </row>
    <row r="30"/>
  </sheetData>
  <mergeCells count="23">
    <mergeCell ref="A12:F12"/>
    <mergeCell ref="A3:F3"/>
    <mergeCell ref="H7:J7"/>
    <mergeCell ref="B21:F21"/>
    <mergeCell ref="A23:F23"/>
    <mergeCell ref="H3:J3"/>
    <mergeCell ref="B17:F17"/>
    <mergeCell ref="A28:F28"/>
    <mergeCell ref="A19:F19"/>
    <mergeCell ref="B10:F10"/>
    <mergeCell ref="H5:J5"/>
    <mergeCell ref="H8:J8"/>
    <mergeCell ref="A26:F27"/>
    <mergeCell ref="A15:F15"/>
    <mergeCell ref="A24:F24"/>
    <mergeCell ref="H10:J10"/>
    <mergeCell ref="A1:F1"/>
    <mergeCell ref="H4:J4"/>
    <mergeCell ref="H9:J9"/>
    <mergeCell ref="A29:F30"/>
    <mergeCell ref="A7:F7"/>
    <mergeCell ref="A25:F25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The Backrooms Administration Bureau — Explorer Character Sheet</t>
        </is>
      </c>
    </row>
    <row r="2"/>
    <row r="3">
      <c r="A3" s="3" t="inlineStr">
        <is>
          <t>Basic Info</t>
        </is>
      </c>
    </row>
    <row r="4">
      <c r="A4" s="4" t="inlineStr">
        <is>
          <t>Name</t>
        </is>
      </c>
      <c r="B4" s="4" t="inlineStr">
        <is>
          <t>(fill in)</t>
        </is>
      </c>
      <c r="C4" s="4" t="inlineStr">
        <is>
          <t>Gender</t>
        </is>
      </c>
      <c r="D4" s="4" t="inlineStr">
        <is>
          <t>(fill in)</t>
        </is>
      </c>
      <c r="E4" s="4" t="inlineStr">
        <is>
          <t>Age</t>
        </is>
      </c>
      <c r="F4" s="4" t="inlineStr">
        <is>
          <t>(fill in)</t>
        </is>
      </c>
    </row>
    <row r="5">
      <c r="A5" s="4" t="inlineStr">
        <is>
          <t>ID</t>
        </is>
      </c>
      <c r="B5" s="4" t="inlineStr">
        <is>
          <t>(fill in)</t>
        </is>
      </c>
      <c r="C5" s="4" t="inlineStr">
        <is>
          <t>Department</t>
        </is>
      </c>
      <c r="D5" s="4" t="inlineStr">
        <is>
          <t>(fill in)</t>
        </is>
      </c>
      <c r="E5" s="4" t="inlineStr">
        <is>
          <t>Status (ST)</t>
        </is>
      </c>
      <c r="F5" s="4" t="inlineStr">
        <is>
          <t>On Standby</t>
        </is>
      </c>
    </row>
    <row r="6"/>
    <row r="7">
      <c r="A7" s="3" t="inlineStr">
        <is>
          <t>Experience &amp; Growth</t>
        </is>
      </c>
    </row>
    <row r="8">
      <c r="A8" s="4" t="inlineStr">
        <is>
          <t>Experience Level (EL)</t>
        </is>
      </c>
      <c r="B8" s="4" t="inlineStr">
        <is>
          <t>(1-5)</t>
        </is>
      </c>
      <c r="C8" s="4" t="inlineStr">
        <is>
          <t>Rank Name</t>
        </is>
      </c>
      <c r="D8" s="5">
        <f>IF(B8=1,"見習",IF(B8=2,"正式",IF(B8=3,"資深",IF(B8=4,"菁英",IF(B8=5,"傳奇","")))))</f>
        <v/>
      </c>
      <c r="E8" s="4" t="inlineStr">
        <is>
          <t>Mission Bonus</t>
        </is>
      </c>
      <c r="F8" s="5">
        <f>IF(B8=1,5,IF(B8=2,10,IF(B8=3,15,IF(B8=4,20,IF(B8=5,25,0)))))</f>
        <v/>
      </c>
    </row>
    <row r="9">
      <c r="A9" s="4" t="inlineStr">
        <is>
          <t>Missions Completed</t>
        </is>
      </c>
      <c r="B9" s="4" t="inlineStr">
        <is>
          <t>(fill in)</t>
        </is>
      </c>
      <c r="C9" s="4" t="inlineStr">
        <is>
          <t>Total Promotions Needed</t>
        </is>
      </c>
      <c r="D9" s="5">
        <f>IF(B8=1,5,IF(B8=2,15,IF(B8=3,35,IF(B8=4,"—","—"))))</f>
        <v/>
      </c>
      <c r="E9" s="4" t="inlineStr">
        <is>
          <t>Promotion Remaining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Special Ability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1"/>
    <row r="12">
      <c r="A12" s="3" t="inlineStr">
        <is>
          <t>Specialty</t>
        </is>
      </c>
    </row>
    <row r="13">
      <c r="A13" s="4" t="inlineStr">
        <is>
          <t>Primary Specialty (SPC)</t>
        </is>
      </c>
      <c r="B13" s="4" t="inlineStr">
        <is>
          <t>(fill in)</t>
        </is>
      </c>
      <c r="C13" s="4" t="inlineStr">
        <is>
          <t>Secondary Specialty (SPC)</t>
        </is>
      </c>
      <c r="D13" s="4" t="inlineStr">
        <is>
          <t>(none / fill in)</t>
        </is>
      </c>
      <c r="E13" s="4" t="inlineStr">
        <is>
          <t>Specialty Bonus</t>
        </is>
      </c>
      <c r="F13" s="5">
        <f>5+IF(OR(D13="無",D13=""),0,IF(D13=B13,5,3))</f>
        <v/>
      </c>
    </row>
    <row r="14"/>
    <row r="15">
      <c r="A15" s="3" t="inlineStr">
        <is>
          <t>Mind &amp; Presence</t>
        </is>
      </c>
    </row>
    <row r="16">
      <c r="A16" s="4" t="inlineStr">
        <is>
          <t>Mental State (MS)</t>
        </is>
      </c>
      <c r="B16" s="4" t="inlineStr">
        <is>
          <t>Stable</t>
        </is>
      </c>
      <c r="C16" s="4" t="inlineStr">
        <is>
          <t>Stress Value (STR)</t>
        </is>
      </c>
      <c r="D16" s="4" t="n">
        <v>0</v>
      </c>
      <c r="E16" s="4" t="inlineStr">
        <is>
          <t>Presence (EXI)</t>
        </is>
      </c>
      <c r="F16" s="4" t="n">
        <v>10</v>
      </c>
    </row>
    <row r="17">
      <c r="A17" s="4" t="inlineStr">
        <is>
          <t>Stress Worsening Hint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8"/>
    <row r="19">
      <c r="A19" s="3" t="inlineStr">
        <is>
          <t>Contract</t>
        </is>
      </c>
    </row>
    <row r="20">
      <c r="A20" s="4" t="inlineStr">
        <is>
          <t>Contract Type (CNT)</t>
        </is>
      </c>
      <c r="B20" s="4" t="inlineStr">
        <is>
          <t>(fill in)</t>
        </is>
      </c>
      <c r="C20" s="4" t="inlineStr">
        <is>
          <t>Weekly Salary</t>
        </is>
      </c>
      <c r="D20" s="4" t="inlineStr">
        <is>
          <t>(fill in)</t>
        </is>
      </c>
      <c r="E20" s="4" t="inlineStr">
        <is>
          <t>Remaining Turns</t>
        </is>
      </c>
      <c r="F20" s="4" t="inlineStr">
        <is>
          <t>(fill in)</t>
        </is>
      </c>
    </row>
    <row r="21">
      <c r="A21" s="4" t="inlineStr">
        <is>
          <t>Special Terms</t>
        </is>
      </c>
      <c r="B21" s="4" t="inlineStr">
        <is>
          <t>(fill in)</t>
        </is>
      </c>
      <c r="C21" s="12" t="n"/>
      <c r="D21" s="12" t="n"/>
      <c r="E21" s="12" t="n"/>
      <c r="F21" s="13" t="n"/>
    </row>
    <row r="22"/>
    <row r="23">
      <c r="A23" s="3" t="inlineStr">
        <is>
          <t>Current Status (ST)</t>
        </is>
      </c>
    </row>
    <row r="24">
      <c r="A24" s="4" t="inlineStr">
        <is>
          <t>□ On Standby □ On Mission □ Wounded (Light/Moderate/Severe) □ Missing □ Dead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Background Summary</t>
        </is>
      </c>
    </row>
    <row r="26">
      <c r="A26" s="7" t="inlineStr">
        <is>
          <t>(fill in background info)</t>
        </is>
      </c>
    </row>
    <row r="27"/>
    <row r="28">
      <c r="A28" s="3" t="inlineStr">
        <is>
          <t>Special Ability Details / Notes</t>
        </is>
      </c>
    </row>
    <row r="29">
      <c r="A29" s="7" t="inlineStr">
        <is>
          <t>(by rank see F10 or Player Rulebook §4.2; Status Effects see §4.7 / GM §2.10)</t>
        </is>
      </c>
    </row>
    <row r="30"/>
    <row r="31">
      <c r="A31" s="3" t="inlineStr">
        <is>
          <t>Instructions</t>
        </is>
      </c>
    </row>
    <row r="32">
      <c r="A32" s="7" t="inlineStr">
        <is>
          <t>1. Purple background = auto-calculated fields; white = manual entry fields.</t>
        </is>
      </c>
    </row>
    <row r="33">
      <c r="A33" s="7" t="inlineStr">
        <is>
          <t>2. Presence (EXI) starts at 10; encountering 「The Hollow」 loses 1 every 10 minutes; the Erased vanish from all memories (GM §2.11).</t>
        </is>
      </c>
    </row>
    <row r="34">
      <c r="A34" s="7" t="inlineStr">
        <is>
          <t>3. Mental State: Stable / Nervous / Trauma / Breakdown; Stress Value 0–10 accumulates to trigger worsening (see §4.4).</t>
        </is>
      </c>
    </row>
    <row r="35">
      <c r="A35" s="7" t="inlineStr">
        <is>
          <t>4. Recruitment output comes from the 100-person Explorer Pool in GM Appendix C; for sample appearances see the 「Sample」 tabs in this file.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The Backrooms Administration Bureau — Explorer Character Sheet</t>
        </is>
      </c>
    </row>
    <row r="2"/>
    <row r="3">
      <c r="A3" s="3" t="inlineStr">
        <is>
          <t>Basic Info</t>
        </is>
      </c>
    </row>
    <row r="4">
      <c r="A4" s="4" t="inlineStr">
        <is>
          <t>Name</t>
        </is>
      </c>
      <c r="B4" s="4" t="inlineStr">
        <is>
          <t>Lin Yuqing</t>
        </is>
      </c>
      <c r="C4" s="4" t="inlineStr">
        <is>
          <t>Gender</t>
        </is>
      </c>
      <c r="D4" s="4" t="inlineStr">
        <is>
          <t>Female</t>
        </is>
      </c>
      <c r="E4" s="4" t="inlineStr">
        <is>
          <t>Age</t>
        </is>
      </c>
      <c r="F4" s="4" t="n">
        <v>24</v>
      </c>
    </row>
    <row r="5">
      <c r="A5" s="4" t="inlineStr">
        <is>
          <t>ID</t>
        </is>
      </c>
      <c r="B5" s="4" t="inlineStr">
        <is>
          <t>E-0021</t>
        </is>
      </c>
      <c r="C5" s="4" t="inlineStr">
        <is>
          <t>Department</t>
        </is>
      </c>
      <c r="D5" s="4" t="inlineStr">
        <is>
          <t>Seventh Branch</t>
        </is>
      </c>
      <c r="E5" s="4" t="inlineStr">
        <is>
          <t>Status (ST)</t>
        </is>
      </c>
      <c r="F5" s="4" t="inlineStr">
        <is>
          <t>On Standby</t>
        </is>
      </c>
    </row>
    <row r="6"/>
    <row r="7">
      <c r="A7" s="3" t="inlineStr">
        <is>
          <t>Experience &amp; Growth</t>
        </is>
      </c>
    </row>
    <row r="8">
      <c r="A8" s="4" t="inlineStr">
        <is>
          <t>Experience Level (EL)</t>
        </is>
      </c>
      <c r="B8" s="4" t="n">
        <v>1</v>
      </c>
      <c r="C8" s="4" t="inlineStr">
        <is>
          <t>Rank Name</t>
        </is>
      </c>
      <c r="D8" s="5">
        <f>IF(B8=1,"見習",IF(B8=2,"正式",IF(B8=3,"資深",IF(B8=4,"菁英",IF(B8=5,"傳奇","")))))</f>
        <v/>
      </c>
      <c r="E8" s="4" t="inlineStr">
        <is>
          <t>Mission Bonus</t>
        </is>
      </c>
      <c r="F8" s="5">
        <f>IF(B8=1,5,IF(B8=2,10,IF(B8=3,15,IF(B8=4,20,IF(B8=5,25,0)))))</f>
        <v/>
      </c>
    </row>
    <row r="9">
      <c r="A9" s="4" t="inlineStr">
        <is>
          <t>Missions Completed</t>
        </is>
      </c>
      <c r="B9" s="4" t="n">
        <v>0</v>
      </c>
      <c r="C9" s="4" t="inlineStr">
        <is>
          <t>Total Promotions Needed</t>
        </is>
      </c>
      <c r="D9" s="5">
        <f>IF(B8=1,5,IF(B8=2,15,IF(B8=3,35,IF(B8=4,"—","—"))))</f>
        <v/>
      </c>
      <c r="E9" s="4" t="inlineStr">
        <is>
          <t>Promotion Remaining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Special Ability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1"/>
    <row r="12">
      <c r="A12" s="3" t="inlineStr">
        <is>
          <t>Specialty</t>
        </is>
      </c>
    </row>
    <row r="13">
      <c r="A13" s="4" t="inlineStr">
        <is>
          <t>Primary Specialty (SPC)</t>
        </is>
      </c>
      <c r="B13" s="4" t="inlineStr">
        <is>
          <t>Medical</t>
        </is>
      </c>
      <c r="C13" s="4" t="inlineStr">
        <is>
          <t>Secondary Specialty (SPC)</t>
        </is>
      </c>
      <c r="D13" s="4" t="inlineStr">
        <is>
          <t>None</t>
        </is>
      </c>
      <c r="E13" s="4" t="inlineStr">
        <is>
          <t>Specialty Bonus</t>
        </is>
      </c>
      <c r="F13" s="5">
        <f>5+IF(OR(D13="無",D13=""),0,IF(D13=B13,5,3))</f>
        <v/>
      </c>
    </row>
    <row r="14"/>
    <row r="15">
      <c r="A15" s="3" t="inlineStr">
        <is>
          <t>Mind &amp; Presence</t>
        </is>
      </c>
    </row>
    <row r="16">
      <c r="A16" s="4" t="inlineStr">
        <is>
          <t>Mental State (MS)</t>
        </is>
      </c>
      <c r="B16" s="4" t="inlineStr">
        <is>
          <t>Stable</t>
        </is>
      </c>
      <c r="C16" s="4" t="inlineStr">
        <is>
          <t>Stress Value (STR)</t>
        </is>
      </c>
      <c r="D16" s="4" t="n">
        <v>0</v>
      </c>
      <c r="E16" s="4" t="inlineStr">
        <is>
          <t>Presence (EXI)</t>
        </is>
      </c>
      <c r="F16" s="4" t="n">
        <v>10</v>
      </c>
    </row>
    <row r="17">
      <c r="A17" s="4" t="inlineStr">
        <is>
          <t>Stress Worsening Hint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8"/>
    <row r="19">
      <c r="A19" s="3" t="inlineStr">
        <is>
          <t>Contract</t>
        </is>
      </c>
    </row>
    <row r="20">
      <c r="A20" s="4" t="inlineStr">
        <is>
          <t>Contract Type (CNT)</t>
        </is>
      </c>
      <c r="B20" s="4" t="inlineStr">
        <is>
          <t>Trainee Contract</t>
        </is>
      </c>
      <c r="C20" s="4" t="inlineStr">
        <is>
          <t>Weekly Salary</t>
        </is>
      </c>
      <c r="D20" s="4" t="n">
        <v>60</v>
      </c>
      <c r="E20" s="4" t="inlineStr">
        <is>
          <t>Remaining Turns</t>
        </is>
      </c>
      <c r="F20" s="4" t="n">
        <v>12</v>
      </c>
    </row>
    <row r="21">
      <c r="A21" s="4" t="inlineStr">
        <is>
          <t>Special Terms</t>
        </is>
      </c>
      <c r="B21" s="4" t="inlineStr">
        <is>
          <t>Basic medical duty, no special terms</t>
        </is>
      </c>
      <c r="C21" s="12" t="n"/>
      <c r="D21" s="12" t="n"/>
      <c r="E21" s="12" t="n"/>
      <c r="F21" s="13" t="n"/>
    </row>
    <row r="22"/>
    <row r="23">
      <c r="A23" s="3" t="inlineStr">
        <is>
          <t>Current Status (ST)</t>
        </is>
      </c>
    </row>
    <row r="24">
      <c r="A24" s="4" t="inlineStr">
        <is>
          <t>■ On Standby □ On Mission □ Wounded (Light/Moderate/Severe) □ Missing □ Dead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Background Summary</t>
        </is>
      </c>
    </row>
    <row r="26">
      <c r="A26" s="7" t="inlineStr">
        <is>
          <t>Former ER nurse, conscripted by The Bureau after wandering into The Backrooms. Steady hands.</t>
        </is>
      </c>
    </row>
    <row r="27"/>
    <row r="28">
      <c r="A28" s="3" t="inlineStr">
        <is>
          <t>Special Ability Details / Notes</t>
        </is>
      </c>
    </row>
    <row r="29">
      <c r="A29" s="7" t="inlineStr">
        <is>
          <t>No special ability yet as a rookie; Medical specialty +5, can reduce an ally's injury by one level in missions (battlefield first aid).</t>
        </is>
      </c>
    </row>
    <row r="30"/>
    <row r="31">
      <c r="A31" s="3" t="inlineStr">
        <is>
          <t>Instructions</t>
        </is>
      </c>
    </row>
    <row r="32">
      <c r="A32" s="7" t="inlineStr">
        <is>
          <t>1. Purple background = auto-calculated fields; white = manual entry fields.</t>
        </is>
      </c>
    </row>
    <row r="33">
      <c r="A33" s="7" t="inlineStr">
        <is>
          <t>2. Presence (EXI) starts at 10; encountering 「The Hollow」 loses 1 every 10 minutes; the Erased vanish from all memories (GM §2.11).</t>
        </is>
      </c>
    </row>
    <row r="34">
      <c r="A34" s="7" t="inlineStr">
        <is>
          <t>3. Mental State: Stable / Nervous / Trauma / Breakdown; Stress Value 0–10 accumulates to trigger worsening (see §4.4).</t>
        </is>
      </c>
    </row>
    <row r="35">
      <c r="A35" s="7" t="inlineStr">
        <is>
          <t>4. Recruitment output comes from the 100-person Explorer Pool in GM Appendix C; for sample appearances see the 「Sample」 tabs in this file.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The Backrooms Administration Bureau — Explorer Character Sheet</t>
        </is>
      </c>
    </row>
    <row r="2"/>
    <row r="3">
      <c r="A3" s="3" t="inlineStr">
        <is>
          <t>Basic Info</t>
        </is>
      </c>
    </row>
    <row r="4">
      <c r="A4" s="4" t="inlineStr">
        <is>
          <t>Name</t>
        </is>
      </c>
      <c r="B4" s="4" t="inlineStr">
        <is>
          <t>Xu Shuhua</t>
        </is>
      </c>
      <c r="C4" s="4" t="inlineStr">
        <is>
          <t>Gender</t>
        </is>
      </c>
      <c r="D4" s="4" t="inlineStr">
        <is>
          <t>Female</t>
        </is>
      </c>
      <c r="E4" s="4" t="inlineStr">
        <is>
          <t>Age</t>
        </is>
      </c>
      <c r="F4" s="4" t="n">
        <v>31</v>
      </c>
    </row>
    <row r="5">
      <c r="A5" s="4" t="inlineStr">
        <is>
          <t>ID</t>
        </is>
      </c>
      <c r="B5" s="4" t="inlineStr">
        <is>
          <t>E-0007</t>
        </is>
      </c>
      <c r="C5" s="4" t="inlineStr">
        <is>
          <t>Department</t>
        </is>
      </c>
      <c r="D5" s="4" t="inlineStr">
        <is>
          <t>Seventh Branch</t>
        </is>
      </c>
      <c r="E5" s="4" t="inlineStr">
        <is>
          <t>Status (ST)</t>
        </is>
      </c>
      <c r="F5" s="4" t="inlineStr">
        <is>
          <t>On Standby</t>
        </is>
      </c>
    </row>
    <row r="6"/>
    <row r="7">
      <c r="A7" s="3" t="inlineStr">
        <is>
          <t>Experience &amp; Growth</t>
        </is>
      </c>
    </row>
    <row r="8">
      <c r="A8" s="4" t="inlineStr">
        <is>
          <t>Experience Level (EL)</t>
        </is>
      </c>
      <c r="B8" s="4" t="n">
        <v>3</v>
      </c>
      <c r="C8" s="4" t="inlineStr">
        <is>
          <t>Rank Name</t>
        </is>
      </c>
      <c r="D8" s="5">
        <f>IF(B8=1,"見習",IF(B8=2,"正式",IF(B8=3,"資深",IF(B8=4,"菁英",IF(B8=5,"傳奇","")))))</f>
        <v/>
      </c>
      <c r="E8" s="4" t="inlineStr">
        <is>
          <t>Mission Bonus</t>
        </is>
      </c>
      <c r="F8" s="5">
        <f>IF(B8=1,5,IF(B8=2,10,IF(B8=3,15,IF(B8=4,20,IF(B8=5,25,0)))))</f>
        <v/>
      </c>
    </row>
    <row r="9">
      <c r="A9" s="4" t="inlineStr">
        <is>
          <t>Missions Completed</t>
        </is>
      </c>
      <c r="B9" s="4" t="n">
        <v>23</v>
      </c>
      <c r="C9" s="4" t="inlineStr">
        <is>
          <t>Total Promotions Needed</t>
        </is>
      </c>
      <c r="D9" s="5">
        <f>IF(B8=1,5,IF(B8=2,15,IF(B8=3,35,IF(B8=4,"—","—"))))</f>
        <v/>
      </c>
      <c r="E9" s="4" t="inlineStr">
        <is>
          <t>Promotion Remaining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Special Ability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1"/>
    <row r="12">
      <c r="A12" s="3" t="inlineStr">
        <is>
          <t>Specialty</t>
        </is>
      </c>
    </row>
    <row r="13">
      <c r="A13" s="4" t="inlineStr">
        <is>
          <t>Primary Specialty (SPC)</t>
        </is>
      </c>
      <c r="B13" s="4" t="inlineStr">
        <is>
          <t>Medical</t>
        </is>
      </c>
      <c r="C13" s="4" t="inlineStr">
        <is>
          <t>Secondary Specialty (SPC)</t>
        </is>
      </c>
      <c r="D13" s="4" t="inlineStr">
        <is>
          <t>Negotiation</t>
        </is>
      </c>
      <c r="E13" s="4" t="inlineStr">
        <is>
          <t>Specialty Bonus</t>
        </is>
      </c>
      <c r="F13" s="5">
        <f>5+IF(OR(D13="無",D13=""),0,IF(D13=B13,5,3))</f>
        <v/>
      </c>
    </row>
    <row r="14"/>
    <row r="15">
      <c r="A15" s="3" t="inlineStr">
        <is>
          <t>Mind &amp; Presence</t>
        </is>
      </c>
    </row>
    <row r="16">
      <c r="A16" s="4" t="inlineStr">
        <is>
          <t>Mental State (MS)</t>
        </is>
      </c>
      <c r="B16" s="4" t="inlineStr">
        <is>
          <t>Stable</t>
        </is>
      </c>
      <c r="C16" s="4" t="inlineStr">
        <is>
          <t>Stress Value (STR)</t>
        </is>
      </c>
      <c r="D16" s="4" t="n">
        <v>2</v>
      </c>
      <c r="E16" s="4" t="inlineStr">
        <is>
          <t>Presence (EXI)</t>
        </is>
      </c>
      <c r="F16" s="4" t="n">
        <v>10</v>
      </c>
    </row>
    <row r="17">
      <c r="A17" s="4" t="inlineStr">
        <is>
          <t>Stress Worsening Hint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8"/>
    <row r="19">
      <c r="A19" s="3" t="inlineStr">
        <is>
          <t>Contract</t>
        </is>
      </c>
    </row>
    <row r="20">
      <c r="A20" s="4" t="inlineStr">
        <is>
          <t>Contract Type (CNT)</t>
        </is>
      </c>
      <c r="B20" s="4" t="inlineStr">
        <is>
          <t>Veteran Contract</t>
        </is>
      </c>
      <c r="C20" s="4" t="inlineStr">
        <is>
          <t>Weekly Salary</t>
        </is>
      </c>
      <c r="D20" s="4" t="n">
        <v>140</v>
      </c>
      <c r="E20" s="4" t="inlineStr">
        <is>
          <t>Remaining Turns</t>
        </is>
      </c>
      <c r="F20" s="4" t="n">
        <v>0</v>
      </c>
    </row>
    <row r="21">
      <c r="A21" s="4" t="inlineStr">
        <is>
          <t>Special Terms</t>
        </is>
      </c>
      <c r="B21" s="4" t="inlineStr">
        <is>
          <t>Long-term service agreement signed</t>
        </is>
      </c>
      <c r="C21" s="12" t="n"/>
      <c r="D21" s="12" t="n"/>
      <c r="E21" s="12" t="n"/>
      <c r="F21" s="13" t="n"/>
    </row>
    <row r="22"/>
    <row r="23">
      <c r="A23" s="3" t="inlineStr">
        <is>
          <t>Current Status (ST)</t>
        </is>
      </c>
    </row>
    <row r="24">
      <c r="A24" s="4" t="inlineStr">
        <is>
          <t>■ On Standby □ On Mission □ Wounded (Light/Moderate/Severe) □ Missing □ Dead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Background Summary</t>
        </is>
      </c>
    </row>
    <row r="26">
      <c r="A26" s="7" t="inlineStr">
        <is>
          <t>Former field doctor. Has seen more wounds than most combat Explorers. Can calm anyone down within five minutes.</t>
        </is>
      </c>
    </row>
    <row r="27"/>
    <row r="28">
      <c r="A28" s="3" t="inlineStr">
        <is>
          <t>Special Ability Details / Notes</t>
        </is>
      </c>
    </row>
    <row r="29">
      <c r="A29" s="7" t="inlineStr">
        <is>
          <t>Cool Head: can reroll one Stress Check per mission (Veteran special ability). Dual specialty: Medical +5, Negotiation +3.</t>
        </is>
      </c>
    </row>
    <row r="30"/>
    <row r="31">
      <c r="A31" s="3" t="inlineStr">
        <is>
          <t>Instructions</t>
        </is>
      </c>
    </row>
    <row r="32">
      <c r="A32" s="7" t="inlineStr">
        <is>
          <t>1. Purple background = auto-calculated fields; white = manual entry fields.</t>
        </is>
      </c>
    </row>
    <row r="33">
      <c r="A33" s="7" t="inlineStr">
        <is>
          <t>2. Presence (EXI) starts at 10; encountering 「The Hollow」 loses 1 every 10 minutes; the Erased vanish from all memories (GM §2.11).</t>
        </is>
      </c>
    </row>
    <row r="34">
      <c r="A34" s="7" t="inlineStr">
        <is>
          <t>3. Mental State: Stable / Nervous / Trauma / Breakdown; Stress Value 0–10 accumulates to trigger worsening (see §4.4).</t>
        </is>
      </c>
    </row>
    <row r="35">
      <c r="A35" s="7" t="inlineStr">
        <is>
          <t>4. Recruitment output comes from the 100-person Explorer Pool in GM Appendix C; for sample appearances see the 「Sample」 tabs in this file.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ID</t>
        </is>
      </c>
      <c r="F1" t="inlineStr">
        <is>
          <t>Department</t>
        </is>
      </c>
      <c r="G1" t="inlineStr">
        <is>
          <t>Exp. Level</t>
        </is>
      </c>
      <c r="H1" t="inlineStr">
        <is>
          <t>Primary Specialty</t>
        </is>
      </c>
      <c r="I1" t="inlineStr">
        <is>
          <t>Secondary Specialty</t>
        </is>
      </c>
      <c r="J1" t="inlineStr">
        <is>
          <t>Background</t>
        </is>
      </c>
    </row>
    <row r="2">
      <c r="A2" t="n">
        <v>1</v>
      </c>
      <c r="B2" t="inlineStr">
        <is>
          <t>Chen Xiaoming</t>
        </is>
      </c>
      <c r="C2" t="inlineStr">
        <is>
          <t>Male</t>
        </is>
      </c>
      <c r="D2" t="n">
        <v>22</v>
      </c>
      <c r="E2" t="inlineStr">
        <is>
          <t>E-0001</t>
        </is>
      </c>
      <c r="F2" t="inlineStr">
        <is>
          <t>Seventh Branch</t>
        </is>
      </c>
      <c r="G2" t="n">
        <v>1</v>
      </c>
      <c r="H2" t="inlineStr">
        <is>
          <t>Combat</t>
        </is>
      </c>
      <c r="I2" t="inlineStr">
        <is>
          <t>None</t>
        </is>
      </c>
      <c r="J2" t="inlineStr">
        <is>
          <t>A young man just graduated from military academy, full of ideals. Thought The Backrooms was just another training ground.</t>
        </is>
      </c>
    </row>
    <row r="3">
      <c r="A3" t="n">
        <v>2</v>
      </c>
      <c r="B3" t="inlineStr">
        <is>
          <t>Lin Yuqing</t>
        </is>
      </c>
      <c r="C3" t="inlineStr">
        <is>
          <t>Female</t>
        </is>
      </c>
      <c r="D3" t="n">
        <v>24</v>
      </c>
      <c r="E3" t="inlineStr">
        <is>
          <t>E-0002</t>
        </is>
      </c>
      <c r="F3" t="inlineStr">
        <is>
          <t>Seventh Branch</t>
        </is>
      </c>
      <c r="G3" t="n">
        <v>1</v>
      </c>
      <c r="H3" t="inlineStr">
        <is>
          <t>Medical</t>
        </is>
      </c>
      <c r="I3" t="inlineStr">
        <is>
          <t>None</t>
        </is>
      </c>
      <c r="J3" t="inlineStr">
        <is>
          <t>Former ER nurse, conscripted by The Bureau after wandering into The Backrooms. Steady hands.</t>
        </is>
      </c>
    </row>
    <row r="4">
      <c r="A4" t="n">
        <v>3</v>
      </c>
      <c r="B4" t="inlineStr">
        <is>
          <t>Zhang Zhigang</t>
        </is>
      </c>
      <c r="C4" t="inlineStr">
        <is>
          <t>Male</t>
        </is>
      </c>
      <c r="D4" t="n">
        <v>28</v>
      </c>
      <c r="E4" t="inlineStr">
        <is>
          <t>E-0003</t>
        </is>
      </c>
      <c r="F4" t="inlineStr">
        <is>
          <t>Seventh Branch</t>
        </is>
      </c>
      <c r="G4" t="n">
        <v>1</v>
      </c>
      <c r="H4" t="inlineStr">
        <is>
          <t>Engineering</t>
        </is>
      </c>
      <c r="I4" t="inlineStr">
        <is>
          <t>None</t>
        </is>
      </c>
      <c r="J4" t="inlineStr">
        <is>
          <t>Former construction worker who discovered in The Backrooms a particularly sharp intuition for structural anomalies.</t>
        </is>
      </c>
    </row>
    <row r="5">
      <c r="A5" t="n">
        <v>4</v>
      </c>
      <c r="B5" t="inlineStr">
        <is>
          <t>Wang Meiling</t>
        </is>
      </c>
      <c r="C5" t="inlineStr">
        <is>
          <t>Female</t>
        </is>
      </c>
      <c r="D5" t="n">
        <v>21</v>
      </c>
      <c r="E5" t="inlineStr">
        <is>
          <t>E-0004</t>
        </is>
      </c>
      <c r="F5" t="inlineStr">
        <is>
          <t>Seventh Branch</t>
        </is>
      </c>
      <c r="G5" t="n">
        <v>1</v>
      </c>
      <c r="H5" t="inlineStr">
        <is>
          <t>Reconnaissance</t>
        </is>
      </c>
      <c r="I5" t="inlineStr">
        <is>
          <t>None</t>
        </is>
      </c>
      <c r="J5" t="inlineStr">
        <is>
          <t>Former track athlete, quiet, fast, dislikes crowded places—all advantages in The Backrooms.</t>
        </is>
      </c>
    </row>
    <row r="6">
      <c r="A6" t="n">
        <v>5</v>
      </c>
      <c r="B6" t="inlineStr">
        <is>
          <t>Huang Guoqiang</t>
        </is>
      </c>
      <c r="C6" t="inlineStr">
        <is>
          <t>Male</t>
        </is>
      </c>
      <c r="D6" t="n">
        <v>25</v>
      </c>
      <c r="E6" t="inlineStr">
        <is>
          <t>E-0005</t>
        </is>
      </c>
      <c r="F6" t="inlineStr">
        <is>
          <t>Seventh Branch</t>
        </is>
      </c>
      <c r="G6" t="n">
        <v>1</v>
      </c>
      <c r="H6" t="inlineStr">
        <is>
          <t>Combat</t>
        </is>
      </c>
      <c r="I6" t="inlineStr">
        <is>
          <t>None</t>
        </is>
      </c>
      <c r="J6" t="inlineStr">
        <is>
          <t>Retired soldier, a man of few words. A still-unhealed scratch on his arm—he will not say how it got there.</t>
        </is>
      </c>
    </row>
    <row r="7">
      <c r="A7" t="n">
        <v>6</v>
      </c>
      <c r="B7" t="inlineStr">
        <is>
          <t>Li Xinjie</t>
        </is>
      </c>
      <c r="C7" t="inlineStr">
        <is>
          <t>Female</t>
        </is>
      </c>
      <c r="D7" t="n">
        <v>23</v>
      </c>
      <c r="E7" t="inlineStr">
        <is>
          <t>E-0006</t>
        </is>
      </c>
      <c r="F7" t="inlineStr">
        <is>
          <t>Seventh Branch</t>
        </is>
      </c>
      <c r="G7" t="n">
        <v>1</v>
      </c>
      <c r="H7" t="inlineStr">
        <is>
          <t>Negotiation</t>
        </is>
      </c>
      <c r="I7" t="inlineStr">
        <is>
          <t>None</t>
        </is>
      </c>
      <c r="J7" t="inlineStr">
        <is>
          <t>Former salesperson. She has persuaded everything from insurance to survival odds. Her smile is more soothing than Almond Water.</t>
        </is>
      </c>
    </row>
    <row r="8">
      <c r="A8" t="n">
        <v>7</v>
      </c>
      <c r="B8" t="inlineStr">
        <is>
          <t>Liu Jianhong</t>
        </is>
      </c>
      <c r="C8" t="inlineStr">
        <is>
          <t>Male</t>
        </is>
      </c>
      <c r="D8" t="n">
        <v>26</v>
      </c>
      <c r="E8" t="inlineStr">
        <is>
          <t>E-0007</t>
        </is>
      </c>
      <c r="F8" t="inlineStr">
        <is>
          <t>Seventh Branch</t>
        </is>
      </c>
      <c r="G8" t="n">
        <v>1</v>
      </c>
      <c r="H8" t="inlineStr">
        <is>
          <t>Engineering</t>
        </is>
      </c>
      <c r="I8" t="inlineStr">
        <is>
          <t>None</t>
        </is>
      </c>
      <c r="J8" t="inlineStr">
        <is>
          <t>Electronics engineer, morbidly curious about the electromagnetic anomalies of The Backrooms.</t>
        </is>
      </c>
    </row>
    <row r="9">
      <c r="A9" t="n">
        <v>8</v>
      </c>
      <c r="B9" t="inlineStr">
        <is>
          <t>Zhao Yawen</t>
        </is>
      </c>
      <c r="C9" t="inlineStr">
        <is>
          <t>Female</t>
        </is>
      </c>
      <c r="D9" t="n">
        <v>20</v>
      </c>
      <c r="E9" t="inlineStr">
        <is>
          <t>E-0008</t>
        </is>
      </c>
      <c r="F9" t="inlineStr">
        <is>
          <t>Seventh Branch</t>
        </is>
      </c>
      <c r="G9" t="n">
        <v>1</v>
      </c>
      <c r="H9" t="inlineStr">
        <is>
          <t>Reconnaissance</t>
        </is>
      </c>
      <c r="I9" t="inlineStr">
        <is>
          <t>None</t>
        </is>
      </c>
      <c r="J9" t="inlineStr">
        <is>
          <t>Former street photographer, nearly obsessive in noticing environmental detail.</t>
        </is>
      </c>
    </row>
    <row r="10">
      <c r="A10" t="n">
        <v>9</v>
      </c>
      <c r="B10" t="inlineStr">
        <is>
          <t>Wu Junjie</t>
        </is>
      </c>
      <c r="C10" t="inlineStr">
        <is>
          <t>Male</t>
        </is>
      </c>
      <c r="D10" t="n">
        <v>27</v>
      </c>
      <c r="E10" t="inlineStr">
        <is>
          <t>E-0009</t>
        </is>
      </c>
      <c r="F10" t="inlineStr">
        <is>
          <t>Seventh Branch</t>
        </is>
      </c>
      <c r="G10" t="n">
        <v>1</v>
      </c>
      <c r="H10" t="inlineStr">
        <is>
          <t>Medical</t>
        </is>
      </c>
      <c r="I10" t="inlineStr">
        <is>
          <t>None</t>
        </is>
      </c>
      <c r="J10" t="inlineStr">
        <is>
          <t>Veterinarian by trade. He says animal bodies are much like human ones—and after an Entity attack, much the same.</t>
        </is>
      </c>
    </row>
    <row r="11">
      <c r="A11" t="n">
        <v>10</v>
      </c>
      <c r="B11" t="inlineStr">
        <is>
          <t>Zhou Sihan</t>
        </is>
      </c>
      <c r="C11" t="inlineStr">
        <is>
          <t>Female</t>
        </is>
      </c>
      <c r="D11" t="n">
        <v>22</v>
      </c>
      <c r="E11" t="inlineStr">
        <is>
          <t>E-0010</t>
        </is>
      </c>
      <c r="F11" t="inlineStr">
        <is>
          <t>Seventh Branch</t>
        </is>
      </c>
      <c r="G11" t="n">
        <v>1</v>
      </c>
      <c r="H11" t="inlineStr">
        <is>
          <t>Negotiation</t>
        </is>
      </c>
      <c r="I11" t="inlineStr">
        <is>
          <t>None</t>
        </is>
      </c>
      <c r="J11" t="inlineStr">
        <is>
          <t>Anthropology student who wandered into The Backrooms during fieldwork. She treats every mission as 「fieldwork」.</t>
        </is>
      </c>
    </row>
    <row r="12">
      <c r="A12" t="n">
        <v>11</v>
      </c>
      <c r="B12" t="inlineStr">
        <is>
          <t>Sun Zhiyuan</t>
        </is>
      </c>
      <c r="C12" t="inlineStr">
        <is>
          <t>Male</t>
        </is>
      </c>
      <c r="D12" t="n">
        <v>23</v>
      </c>
      <c r="E12" t="inlineStr">
        <is>
          <t>E-0011</t>
        </is>
      </c>
      <c r="F12" t="inlineStr">
        <is>
          <t>Seventh Branch</t>
        </is>
      </c>
      <c r="G12" t="n">
        <v>1</v>
      </c>
      <c r="H12" t="inlineStr">
        <is>
          <t>Combat</t>
        </is>
      </c>
      <c r="I12" t="inlineStr">
        <is>
          <t>None</t>
        </is>
      </c>
      <c r="J12" t="inlineStr">
        <is>
          <t>Former security guard who saved a child on his first trip into The Backrooms. He could never leave after that.</t>
        </is>
      </c>
    </row>
    <row r="13">
      <c r="A13" t="n">
        <v>12</v>
      </c>
      <c r="B13" t="inlineStr">
        <is>
          <t>He Yating</t>
        </is>
      </c>
      <c r="C13" t="inlineStr">
        <is>
          <t>Female</t>
        </is>
      </c>
      <c r="D13" t="n">
        <v>22</v>
      </c>
      <c r="E13" t="inlineStr">
        <is>
          <t>E-0012</t>
        </is>
      </c>
      <c r="F13" t="inlineStr">
        <is>
          <t>Seventh Branch</t>
        </is>
      </c>
      <c r="G13" t="n">
        <v>1</v>
      </c>
      <c r="H13" t="inlineStr">
        <is>
          <t>Medical</t>
        </is>
      </c>
      <c r="I13" t="inlineStr">
        <is>
          <t>None</t>
        </is>
      </c>
      <c r="J13" t="inlineStr">
        <is>
          <t>Nursing student who learned earlier than her peers to lie without looking patients in the eye.</t>
        </is>
      </c>
    </row>
    <row r="14">
      <c r="A14" t="n">
        <v>13</v>
      </c>
      <c r="B14" t="inlineStr">
        <is>
          <t>Luo Jianwen</t>
        </is>
      </c>
      <c r="C14" t="inlineStr">
        <is>
          <t>Male</t>
        </is>
      </c>
      <c r="D14" t="n">
        <v>26</v>
      </c>
      <c r="E14" t="inlineStr">
        <is>
          <t>E-0013</t>
        </is>
      </c>
      <c r="F14" t="inlineStr">
        <is>
          <t>Seventh Branch</t>
        </is>
      </c>
      <c r="G14" t="n">
        <v>1</v>
      </c>
      <c r="H14" t="inlineStr">
        <is>
          <t>Engineering</t>
        </is>
      </c>
      <c r="I14" t="inlineStr">
        <is>
          <t>None</t>
        </is>
      </c>
      <c r="J14" t="inlineStr">
        <is>
          <t>Plumber/electrician who found in The Backrooms that the sounds behind the walls follow a pattern.</t>
        </is>
      </c>
    </row>
    <row r="15">
      <c r="A15" t="n">
        <v>14</v>
      </c>
      <c r="B15" t="inlineStr">
        <is>
          <t>Shen Jiarong</t>
        </is>
      </c>
      <c r="C15" t="inlineStr">
        <is>
          <t>Female</t>
        </is>
      </c>
      <c r="D15" t="n">
        <v>21</v>
      </c>
      <c r="E15" t="inlineStr">
        <is>
          <t>E-0014</t>
        </is>
      </c>
      <c r="F15" t="inlineStr">
        <is>
          <t>Seventh Branch</t>
        </is>
      </c>
      <c r="G15" t="n">
        <v>1</v>
      </c>
      <c r="H15" t="inlineStr">
        <is>
          <t>Reconnaissance</t>
        </is>
      </c>
      <c r="I15" t="inlineStr">
        <is>
          <t>None</t>
        </is>
      </c>
      <c r="J15" t="inlineStr">
        <is>
          <t>Mountain guide with a sixth sense for heights and edges; likes to walk where there is no path.</t>
        </is>
      </c>
    </row>
    <row r="16">
      <c r="A16" t="n">
        <v>15</v>
      </c>
      <c r="B16" t="inlineStr">
        <is>
          <t>Gao Weicheng</t>
        </is>
      </c>
      <c r="C16" t="inlineStr">
        <is>
          <t>Male</t>
        </is>
      </c>
      <c r="D16" t="n">
        <v>25</v>
      </c>
      <c r="E16" t="inlineStr">
        <is>
          <t>E-0015</t>
        </is>
      </c>
      <c r="F16" t="inlineStr">
        <is>
          <t>Seventh Branch</t>
        </is>
      </c>
      <c r="G16" t="n">
        <v>1</v>
      </c>
      <c r="H16" t="inlineStr">
        <is>
          <t>Combat</t>
        </is>
      </c>
      <c r="I16" t="inlineStr">
        <is>
          <t>None</t>
        </is>
      </c>
      <c r="J16" t="inlineStr">
        <is>
          <t>Fitness coach, muscles faster than brains. But The Backrooms taught him to follow orders.</t>
        </is>
      </c>
    </row>
    <row r="17">
      <c r="A17" t="n">
        <v>16</v>
      </c>
      <c r="B17" t="inlineStr">
        <is>
          <t>Chen Yijun</t>
        </is>
      </c>
      <c r="C17" t="inlineStr">
        <is>
          <t>Female</t>
        </is>
      </c>
      <c r="D17" t="n">
        <v>24</v>
      </c>
      <c r="E17" t="inlineStr">
        <is>
          <t>E-0016</t>
        </is>
      </c>
      <c r="F17" t="inlineStr">
        <is>
          <t>Seventh Branch</t>
        </is>
      </c>
      <c r="G17" t="n">
        <v>1</v>
      </c>
      <c r="H17" t="inlineStr">
        <is>
          <t>Negotiation</t>
        </is>
      </c>
      <c r="I17" t="inlineStr">
        <is>
          <t>None</t>
        </is>
      </c>
      <c r="J17" t="inlineStr">
        <is>
          <t>Broker who specializes in tenants nobody else wants to handle. Useful in The Backrooms.</t>
        </is>
      </c>
    </row>
    <row r="18">
      <c r="A18" t="n">
        <v>17</v>
      </c>
      <c r="B18" t="inlineStr">
        <is>
          <t>Xie Zonghan</t>
        </is>
      </c>
      <c r="C18" t="inlineStr">
        <is>
          <t>Male</t>
        </is>
      </c>
      <c r="D18" t="n">
        <v>27</v>
      </c>
      <c r="E18" t="inlineStr">
        <is>
          <t>E-0017</t>
        </is>
      </c>
      <c r="F18" t="inlineStr">
        <is>
          <t>Seventh Branch</t>
        </is>
      </c>
      <c r="G18" t="n">
        <v>1</v>
      </c>
      <c r="H18" t="inlineStr">
        <is>
          <t>Engineering</t>
        </is>
      </c>
      <c r="I18" t="inlineStr">
        <is>
          <t>None</t>
        </is>
      </c>
      <c r="J18" t="inlineStr">
        <is>
          <t>Network engineer who always feels the lighting frequency of The Backrooms hides a signal.</t>
        </is>
      </c>
    </row>
    <row r="19">
      <c r="A19" t="n">
        <v>18</v>
      </c>
      <c r="B19" t="inlineStr">
        <is>
          <t>Lin Xiaoman</t>
        </is>
      </c>
      <c r="C19" t="inlineStr">
        <is>
          <t>Female</t>
        </is>
      </c>
      <c r="D19" t="n">
        <v>20</v>
      </c>
      <c r="E19" t="inlineStr">
        <is>
          <t>E-0018</t>
        </is>
      </c>
      <c r="F19" t="inlineStr">
        <is>
          <t>Seventh Branch</t>
        </is>
      </c>
      <c r="G19" t="n">
        <v>1</v>
      </c>
      <c r="H19" t="inlineStr">
        <is>
          <t>Reconnaissance</t>
        </is>
      </c>
      <c r="I19" t="inlineStr">
        <is>
          <t>None</t>
        </is>
      </c>
      <c r="J19" t="inlineStr">
        <is>
          <t>Parkour enthusiast who can slip through any gap. Said to have never been caught.</t>
        </is>
      </c>
    </row>
    <row r="20">
      <c r="A20" t="n">
        <v>19</v>
      </c>
      <c r="B20" t="inlineStr">
        <is>
          <t>Huang Shihan</t>
        </is>
      </c>
      <c r="C20" t="inlineStr">
        <is>
          <t>Female</t>
        </is>
      </c>
      <c r="D20" t="n">
        <v>23</v>
      </c>
      <c r="E20" t="inlineStr">
        <is>
          <t>E-0019</t>
        </is>
      </c>
      <c r="F20" t="inlineStr">
        <is>
          <t>Seventh Branch</t>
        </is>
      </c>
      <c r="G20" t="n">
        <v>1</v>
      </c>
      <c r="H20" t="inlineStr">
        <is>
          <t>Medical</t>
        </is>
      </c>
      <c r="I20" t="inlineStr">
        <is>
          <t>None</t>
        </is>
      </c>
      <c r="J20" t="inlineStr">
        <is>
          <t>Pharmacist who can tell real from fake Almond Water by its scent at a glance.</t>
        </is>
      </c>
    </row>
    <row r="21">
      <c r="A21" t="n">
        <v>20</v>
      </c>
      <c r="B21" t="inlineStr">
        <is>
          <t>Wu Chengen</t>
        </is>
      </c>
      <c r="C21" t="inlineStr">
        <is>
          <t>Male</t>
        </is>
      </c>
      <c r="D21" t="n">
        <v>28</v>
      </c>
      <c r="E21" t="inlineStr">
        <is>
          <t>E-0020</t>
        </is>
      </c>
      <c r="F21" t="inlineStr">
        <is>
          <t>Seventh Branch</t>
        </is>
      </c>
      <c r="G21" t="n">
        <v>1</v>
      </c>
      <c r="H21" t="inlineStr">
        <is>
          <t>Combat</t>
        </is>
      </c>
      <c r="I21" t="inlineStr">
        <is>
          <t>None</t>
        </is>
      </c>
      <c r="J21" t="inlineStr">
        <is>
          <t>Retired security captain who led a twenty-person squad. The Backrooms made bringing people home his creed.</t>
        </is>
      </c>
    </row>
    <row r="22">
      <c r="A22" t="n">
        <v>21</v>
      </c>
      <c r="B22" t="inlineStr">
        <is>
          <t>Zheng Kaiwen</t>
        </is>
      </c>
      <c r="C22" t="inlineStr">
        <is>
          <t>Male</t>
        </is>
      </c>
      <c r="D22" t="n">
        <v>22</v>
      </c>
      <c r="E22" t="inlineStr">
        <is>
          <t>E-0021</t>
        </is>
      </c>
      <c r="F22" t="inlineStr">
        <is>
          <t>Seventh Branch</t>
        </is>
      </c>
      <c r="G22" t="n">
        <v>1</v>
      </c>
      <c r="H22" t="inlineStr">
        <is>
          <t>Engineering</t>
        </is>
      </c>
      <c r="I22" t="inlineStr">
        <is>
          <t>None</t>
        </is>
      </c>
      <c r="J22" t="inlineStr">
        <is>
          <t>Motorcycle-shop apprentice who can fix anything that moves, including himself.</t>
        </is>
      </c>
    </row>
    <row r="23">
      <c r="A23" t="n">
        <v>22</v>
      </c>
      <c r="B23" t="inlineStr">
        <is>
          <t>Zhang Yunxuan</t>
        </is>
      </c>
      <c r="C23" t="inlineStr">
        <is>
          <t>Female</t>
        </is>
      </c>
      <c r="D23" t="n">
        <v>25</v>
      </c>
      <c r="E23" t="inlineStr">
        <is>
          <t>E-0022</t>
        </is>
      </c>
      <c r="F23" t="inlineStr">
        <is>
          <t>Seventh Branch</t>
        </is>
      </c>
      <c r="G23" t="n">
        <v>1</v>
      </c>
      <c r="H23" t="inlineStr">
        <is>
          <t>Negotiation</t>
        </is>
      </c>
      <c r="I23" t="inlineStr">
        <is>
          <t>None</t>
        </is>
      </c>
      <c r="J23" t="inlineStr">
        <is>
          <t>Counter manager who can turn complaints into thanks. In The Backrooms she is the one who talks to them.</t>
        </is>
      </c>
    </row>
    <row r="24">
      <c r="A24" t="n">
        <v>23</v>
      </c>
      <c r="B24" t="inlineStr">
        <is>
          <t>Yang Mingzhe</t>
        </is>
      </c>
      <c r="C24" t="inlineStr">
        <is>
          <t>Male</t>
        </is>
      </c>
      <c r="D24" t="n">
        <v>24</v>
      </c>
      <c r="E24" t="inlineStr">
        <is>
          <t>E-0023</t>
        </is>
      </c>
      <c r="F24" t="inlineStr">
        <is>
          <t>Seventh Branch</t>
        </is>
      </c>
      <c r="G24" t="n">
        <v>1</v>
      </c>
      <c r="H24" t="inlineStr">
        <is>
          <t>Reconnaissance</t>
        </is>
      </c>
      <c r="I24" t="inlineStr">
        <is>
          <t>None</t>
        </is>
      </c>
      <c r="J24" t="inlineStr">
        <is>
          <t>Journalist, used to asking too many questions. In The Backrooms, curiosity once cost him a life.</t>
        </is>
      </c>
    </row>
    <row r="25">
      <c r="A25" t="n">
        <v>24</v>
      </c>
      <c r="B25" t="inlineStr">
        <is>
          <t>Lu Xiuqin</t>
        </is>
      </c>
      <c r="C25" t="inlineStr">
        <is>
          <t>Female</t>
        </is>
      </c>
      <c r="D25" t="n">
        <v>26</v>
      </c>
      <c r="E25" t="inlineStr">
        <is>
          <t>E-0024</t>
        </is>
      </c>
      <c r="F25" t="inlineStr">
        <is>
          <t>Seventh Branch</t>
        </is>
      </c>
      <c r="G25" t="n">
        <v>1</v>
      </c>
      <c r="H25" t="inlineStr">
        <is>
          <t>Medical</t>
        </is>
      </c>
      <c r="I25" t="inlineStr">
        <is>
          <t>None</t>
        </is>
      </c>
      <c r="J25" t="inlineStr">
        <is>
          <t>Midwife who delivered two children in The Backrooms; they have never seen the sun.</t>
        </is>
      </c>
    </row>
    <row r="26">
      <c r="A26" t="n">
        <v>25</v>
      </c>
      <c r="B26" t="inlineStr">
        <is>
          <t>Zeng Boyu</t>
        </is>
      </c>
      <c r="C26" t="inlineStr">
        <is>
          <t>Male</t>
        </is>
      </c>
      <c r="D26" t="n">
        <v>21</v>
      </c>
      <c r="E26" t="inlineStr">
        <is>
          <t>E-0025</t>
        </is>
      </c>
      <c r="F26" t="inlineStr">
        <is>
          <t>Seventh Branch</t>
        </is>
      </c>
      <c r="G26" t="n">
        <v>1</v>
      </c>
      <c r="H26" t="inlineStr">
        <is>
          <t>Combat</t>
        </is>
      </c>
      <c r="I26" t="inlineStr">
        <is>
          <t>None</t>
        </is>
      </c>
      <c r="J26" t="inlineStr">
        <is>
          <t>Boxer with an old wound on his left cheek. He says it was not a loss, but tuition.</t>
        </is>
      </c>
    </row>
    <row r="27">
      <c r="A27" t="n">
        <v>26</v>
      </c>
      <c r="B27" t="inlineStr">
        <is>
          <t>Hong Wanting</t>
        </is>
      </c>
      <c r="C27" t="inlineStr">
        <is>
          <t>Female</t>
        </is>
      </c>
      <c r="D27" t="n">
        <v>22</v>
      </c>
      <c r="E27" t="inlineStr">
        <is>
          <t>E-0026</t>
        </is>
      </c>
      <c r="F27" t="inlineStr">
        <is>
          <t>Seventh Branch</t>
        </is>
      </c>
      <c r="G27" t="n">
        <v>1</v>
      </c>
      <c r="H27" t="inlineStr">
        <is>
          <t>Negotiation</t>
        </is>
      </c>
      <c r="I27" t="inlineStr">
        <is>
          <t>None</t>
        </is>
      </c>
      <c r="J27" t="inlineStr">
        <is>
          <t>Customer service rep who mastered smiling through an hour of abuse. The Backrooms needs that more.</t>
        </is>
      </c>
    </row>
    <row r="28">
      <c r="A28" t="n">
        <v>27</v>
      </c>
      <c r="B28" t="inlineStr">
        <is>
          <t>Lai Junxiong</t>
        </is>
      </c>
      <c r="C28" t="inlineStr">
        <is>
          <t>Male</t>
        </is>
      </c>
      <c r="D28" t="n">
        <v>27</v>
      </c>
      <c r="E28" t="inlineStr">
        <is>
          <t>E-0027</t>
        </is>
      </c>
      <c r="F28" t="inlineStr">
        <is>
          <t>Seventh Branch</t>
        </is>
      </c>
      <c r="G28" t="n">
        <v>1</v>
      </c>
      <c r="H28" t="inlineStr">
        <is>
          <t>Engineering</t>
        </is>
      </c>
      <c r="I28" t="inlineStr">
        <is>
          <t>None</t>
        </is>
      </c>
      <c r="J28" t="inlineStr">
        <is>
          <t>Welder who says in The Backrooms some doors are safer welded shut than opened.</t>
        </is>
      </c>
    </row>
    <row r="29">
      <c r="A29" t="n">
        <v>28</v>
      </c>
      <c r="B29" t="inlineStr">
        <is>
          <t>Qiu Meiling</t>
        </is>
      </c>
      <c r="C29" t="inlineStr">
        <is>
          <t>Female</t>
        </is>
      </c>
      <c r="D29" t="n">
        <v>24</v>
      </c>
      <c r="E29" t="inlineStr">
        <is>
          <t>E-0028</t>
        </is>
      </c>
      <c r="F29" t="inlineStr">
        <is>
          <t>Seventh Branch</t>
        </is>
      </c>
      <c r="G29" t="n">
        <v>1</v>
      </c>
      <c r="H29" t="inlineStr">
        <is>
          <t>Reconnaissance</t>
        </is>
      </c>
      <c r="I29" t="inlineStr">
        <is>
          <t>None</t>
        </is>
      </c>
      <c r="J29" t="inlineStr">
        <is>
          <t>Courier whose gift for remembering routes became a survival skill in The Backrooms.</t>
        </is>
      </c>
    </row>
    <row r="30">
      <c r="A30" t="n">
        <v>29</v>
      </c>
      <c r="B30" t="inlineStr">
        <is>
          <t>Xiao Zhiqiang</t>
        </is>
      </c>
      <c r="C30" t="inlineStr">
        <is>
          <t>Male</t>
        </is>
      </c>
      <c r="D30" t="n">
        <v>23</v>
      </c>
      <c r="E30" t="inlineStr">
        <is>
          <t>E-0029</t>
        </is>
      </c>
      <c r="F30" t="inlineStr">
        <is>
          <t>Seventh Branch</t>
        </is>
      </c>
      <c r="G30" t="n">
        <v>1</v>
      </c>
      <c r="H30" t="inlineStr">
        <is>
          <t>Combat</t>
        </is>
      </c>
      <c r="I30" t="inlineStr">
        <is>
          <t>None</t>
        </is>
      </c>
      <c r="J30" t="inlineStr">
        <is>
          <t>Night guard, used to the dark. But he says the darkness of The Backrooms looks back.</t>
        </is>
      </c>
    </row>
    <row r="31">
      <c r="A31" t="n">
        <v>30</v>
      </c>
      <c r="B31" t="inlineStr">
        <is>
          <t>Jiang Yizhen</t>
        </is>
      </c>
      <c r="C31" t="inlineStr">
        <is>
          <t>Female</t>
        </is>
      </c>
      <c r="D31" t="n">
        <v>21</v>
      </c>
      <c r="E31" t="inlineStr">
        <is>
          <t>E-0030</t>
        </is>
      </c>
      <c r="F31" t="inlineStr">
        <is>
          <t>Seventh Branch</t>
        </is>
      </c>
      <c r="G31" t="n">
        <v>1</v>
      </c>
      <c r="H31" t="inlineStr">
        <is>
          <t>Medical</t>
        </is>
      </c>
      <c r="I31" t="inlineStr">
        <is>
          <t>None</t>
        </is>
      </c>
      <c r="J31" t="inlineStr">
        <is>
          <t>Student nurse thrown into The Backrooms right after graduation. She says she has not yet learned to be afraid.</t>
        </is>
      </c>
    </row>
    <row r="32">
      <c r="A32" t="n">
        <v>31</v>
      </c>
      <c r="B32" t="inlineStr">
        <is>
          <t>Zheng Yongkang</t>
        </is>
      </c>
      <c r="C32" t="inlineStr">
        <is>
          <t>Male</t>
        </is>
      </c>
      <c r="D32" t="n">
        <v>34</v>
      </c>
      <c r="E32" t="inlineStr">
        <is>
          <t>E-0031</t>
        </is>
      </c>
      <c r="F32" t="inlineStr">
        <is>
          <t>Seventh Branch</t>
        </is>
      </c>
      <c r="G32" t="n">
        <v>3</v>
      </c>
      <c r="H32" t="inlineStr">
        <is>
          <t>Combat</t>
        </is>
      </c>
      <c r="I32" t="inlineStr">
        <is>
          <t>Reconnaissance</t>
        </is>
      </c>
      <c r="J32" t="inlineStr">
        <is>
          <t>Former special forces. Three years in The Backrooms. His left eye is a prosthetic—with a hidden micro-camera inside.</t>
        </is>
      </c>
    </row>
    <row r="33">
      <c r="A33" t="n">
        <v>32</v>
      </c>
      <c r="B33" t="inlineStr">
        <is>
          <t>Xu Shuhua</t>
        </is>
      </c>
      <c r="C33" t="inlineStr">
        <is>
          <t>Female</t>
        </is>
      </c>
      <c r="D33" t="n">
        <v>31</v>
      </c>
      <c r="E33" t="inlineStr">
        <is>
          <t>E-0032</t>
        </is>
      </c>
      <c r="F33" t="inlineStr">
        <is>
          <t>Seventh Branch</t>
        </is>
      </c>
      <c r="G33" t="n">
        <v>3</v>
      </c>
      <c r="H33" t="inlineStr">
        <is>
          <t>Medical</t>
        </is>
      </c>
      <c r="I33" t="inlineStr">
        <is>
          <t>Negotiation</t>
        </is>
      </c>
      <c r="J33" t="inlineStr">
        <is>
          <t>Former field doctor. Has seen more wounds than most combat Explorers. Can calm anyone down within five minutes.</t>
        </is>
      </c>
    </row>
    <row r="34">
      <c r="A34" t="n">
        <v>33</v>
      </c>
      <c r="B34" t="inlineStr">
        <is>
          <t>Yang Zhiming</t>
        </is>
      </c>
      <c r="C34" t="inlineStr">
        <is>
          <t>Male</t>
        </is>
      </c>
      <c r="D34" t="n">
        <v>36</v>
      </c>
      <c r="E34" t="inlineStr">
        <is>
          <t>E-0033</t>
        </is>
      </c>
      <c r="F34" t="inlineStr">
        <is>
          <t>Seventh Branch</t>
        </is>
      </c>
      <c r="G34" t="n">
        <v>3</v>
      </c>
      <c r="H34" t="inlineStr">
        <is>
          <t>Engineering</t>
        </is>
      </c>
      <c r="I34" t="inlineStr">
        <is>
          <t>Combat</t>
        </is>
      </c>
      <c r="J34" t="inlineStr">
        <is>
          <t>Trained as a mining engineer, found after six months in the Level 2 pipe maze. Knows the pipe systems like no one else.</t>
        </is>
      </c>
    </row>
    <row r="35">
      <c r="A35" t="n">
        <v>34</v>
      </c>
      <c r="B35" t="inlineStr">
        <is>
          <t>Cai Jingyi</t>
        </is>
      </c>
      <c r="C35" t="inlineStr">
        <is>
          <t>Female</t>
        </is>
      </c>
      <c r="D35" t="n">
        <v>29</v>
      </c>
      <c r="E35" t="inlineStr">
        <is>
          <t>E-0034</t>
        </is>
      </c>
      <c r="F35" t="inlineStr">
        <is>
          <t>Seventh Branch</t>
        </is>
      </c>
      <c r="G35" t="n">
        <v>3</v>
      </c>
      <c r="H35" t="inlineStr">
        <is>
          <t>Reconnaissance</t>
        </is>
      </c>
      <c r="I35" t="inlineStr">
        <is>
          <t>Medical</t>
        </is>
      </c>
      <c r="J35" t="inlineStr">
        <is>
          <t>Once survived two weeks alone in the Level 9 blizzard. Came back very quiet.</t>
        </is>
      </c>
    </row>
    <row r="36">
      <c r="A36" t="n">
        <v>35</v>
      </c>
      <c r="B36" t="inlineStr">
        <is>
          <t>Ye Tianyou</t>
        </is>
      </c>
      <c r="C36" t="inlineStr">
        <is>
          <t>Male</t>
        </is>
      </c>
      <c r="D36" t="n">
        <v>33</v>
      </c>
      <c r="E36" t="inlineStr">
        <is>
          <t>E-0035</t>
        </is>
      </c>
      <c r="F36" t="inlineStr">
        <is>
          <t>Seventh Branch</t>
        </is>
      </c>
      <c r="G36" t="n">
        <v>3</v>
      </c>
      <c r="H36" t="inlineStr">
        <is>
          <t>Negotiation</t>
        </is>
      </c>
      <c r="I36" t="inlineStr">
        <is>
          <t>Reconnaissance</t>
        </is>
      </c>
      <c r="J36" t="inlineStr">
        <is>
          <t>Former BNTG trade representative. A skilled negotiator, but The Bureau is unsure where his loyalty lies.</t>
        </is>
      </c>
    </row>
    <row r="37">
      <c r="A37" t="n">
        <v>36</v>
      </c>
      <c r="B37" t="inlineStr">
        <is>
          <t>Jian Ruifeng</t>
        </is>
      </c>
      <c r="C37" t="inlineStr">
        <is>
          <t>Male</t>
        </is>
      </c>
      <c r="D37" t="n">
        <v>35</v>
      </c>
      <c r="E37" t="inlineStr">
        <is>
          <t>E-0036</t>
        </is>
      </c>
      <c r="F37" t="inlineStr">
        <is>
          <t>Seventh Branch</t>
        </is>
      </c>
      <c r="G37" t="n">
        <v>3</v>
      </c>
      <c r="H37" t="inlineStr">
        <is>
          <t>Combat</t>
        </is>
      </c>
      <c r="I37" t="inlineStr">
        <is>
          <t>Engineering</t>
        </is>
      </c>
      <c r="J37" t="inlineStr">
        <is>
          <t>Heavy-weapons expert. Likes explosions more than most people. But protective of teammates to a fault.</t>
        </is>
      </c>
    </row>
    <row r="38">
      <c r="A38" t="n">
        <v>37</v>
      </c>
      <c r="B38" t="inlineStr">
        <is>
          <t>Lu Yaqi</t>
        </is>
      </c>
      <c r="C38" t="inlineStr">
        <is>
          <t>Female</t>
        </is>
      </c>
      <c r="D38" t="n">
        <v>30</v>
      </c>
      <c r="E38" t="inlineStr">
        <is>
          <t>E-0037</t>
        </is>
      </c>
      <c r="F38" t="inlineStr">
        <is>
          <t>Seventh Branch</t>
        </is>
      </c>
      <c r="G38" t="n">
        <v>3</v>
      </c>
      <c r="H38" t="inlineStr">
        <is>
          <t>Reconnaissance</t>
        </is>
      </c>
      <c r="I38" t="inlineStr">
        <is>
          <t>Negotiation</t>
        </is>
      </c>
      <c r="J38" t="inlineStr">
        <is>
          <t>Former investigative journalist. An instinct—she can sense 「something is wrong」. That instinct saved her life countless times in The Backrooms.</t>
        </is>
      </c>
    </row>
    <row r="39">
      <c r="A39" t="n">
        <v>38</v>
      </c>
      <c r="B39" t="inlineStr">
        <is>
          <t>Dong Jianguo</t>
        </is>
      </c>
      <c r="C39" t="inlineStr">
        <is>
          <t>Male</t>
        </is>
      </c>
      <c r="D39" t="n">
        <v>38</v>
      </c>
      <c r="E39" t="inlineStr">
        <is>
          <t>E-0038</t>
        </is>
      </c>
      <c r="F39" t="inlineStr">
        <is>
          <t>Seventh Branch</t>
        </is>
      </c>
      <c r="G39" t="n">
        <v>3</v>
      </c>
      <c r="H39" t="inlineStr">
        <is>
          <t>Engineering</t>
        </is>
      </c>
      <c r="I39" t="inlineStr">
        <is>
          <t>Medical</t>
        </is>
      </c>
      <c r="J39" t="inlineStr">
        <is>
          <t>Former M.E.G. equipment-maintenance chief. Demoted for 「telling superiors too much truth」. You found a gem.</t>
        </is>
      </c>
    </row>
    <row r="40">
      <c r="A40" t="n">
        <v>39</v>
      </c>
      <c r="B40" t="inlineStr">
        <is>
          <t>Fan Xiaowen</t>
        </is>
      </c>
      <c r="C40" t="inlineStr">
        <is>
          <t>Female</t>
        </is>
      </c>
      <c r="D40" t="n">
        <v>32</v>
      </c>
      <c r="E40" t="inlineStr">
        <is>
          <t>E-0039</t>
        </is>
      </c>
      <c r="F40" t="inlineStr">
        <is>
          <t>Seventh Branch</t>
        </is>
      </c>
      <c r="G40" t="n">
        <v>3</v>
      </c>
      <c r="H40" t="inlineStr">
        <is>
          <t>Medical</t>
        </is>
      </c>
      <c r="I40" t="inlineStr">
        <is>
          <t>Reconnaissance</t>
        </is>
      </c>
      <c r="J40" t="inlineStr">
        <is>
          <t>Psychiatrist. Specializes in PTSD—she entered The Backrooms to study the limits of the human mind. Her patients sometimes worry about her.</t>
        </is>
      </c>
    </row>
    <row r="41">
      <c r="A41" t="n">
        <v>40</v>
      </c>
      <c r="B41" t="inlineStr">
        <is>
          <t>Peng Zhihao</t>
        </is>
      </c>
      <c r="C41" t="inlineStr">
        <is>
          <t>Male</t>
        </is>
      </c>
      <c r="D41" t="n">
        <v>31</v>
      </c>
      <c r="E41" t="inlineStr">
        <is>
          <t>E-0040</t>
        </is>
      </c>
      <c r="F41" t="inlineStr">
        <is>
          <t>Seventh Branch</t>
        </is>
      </c>
      <c r="G41" t="n">
        <v>3</v>
      </c>
      <c r="H41" t="inlineStr">
        <is>
          <t>Negotiation</t>
        </is>
      </c>
      <c r="I41" t="inlineStr">
        <is>
          <t>Combat</t>
        </is>
      </c>
      <c r="J41" t="inlineStr">
        <is>
          <t>Former lawyer. Found in The Backrooms that negotiation and litigation use the same skill set. Calm to an unsettling degree.</t>
        </is>
      </c>
    </row>
    <row r="42">
      <c r="A42" t="n">
        <v>41</v>
      </c>
      <c r="B42" t="inlineStr">
        <is>
          <t>Mark Chen</t>
        </is>
      </c>
      <c r="C42" t="inlineStr">
        <is>
          <t>Male</t>
        </is>
      </c>
      <c r="D42" t="n">
        <v>33</v>
      </c>
      <c r="E42" t="inlineStr">
        <is>
          <t>E-0041</t>
        </is>
      </c>
      <c r="F42" t="inlineStr">
        <is>
          <t>Seventh Branch</t>
        </is>
      </c>
      <c r="G42" t="n">
        <v>3</v>
      </c>
      <c r="H42" t="inlineStr">
        <is>
          <t>Combat</t>
        </is>
      </c>
      <c r="I42" t="inlineStr">
        <is>
          <t>Engineering</t>
        </is>
      </c>
      <c r="J42" t="inlineStr">
        <is>
          <t>Former mercenary who can defuse bombs and build them. He says the two are essentially the same.</t>
        </is>
      </c>
    </row>
    <row r="43">
      <c r="A43" t="n">
        <v>42</v>
      </c>
      <c r="B43" t="inlineStr">
        <is>
          <t>Sophia Lin</t>
        </is>
      </c>
      <c r="C43" t="inlineStr">
        <is>
          <t>Female</t>
        </is>
      </c>
      <c r="D43" t="n">
        <v>30</v>
      </c>
      <c r="E43" t="inlineStr">
        <is>
          <t>E-0042</t>
        </is>
      </c>
      <c r="F43" t="inlineStr">
        <is>
          <t>Seventh Branch</t>
        </is>
      </c>
      <c r="G43" t="n">
        <v>3</v>
      </c>
      <c r="H43" t="inlineStr">
        <is>
          <t>Medical</t>
        </is>
      </c>
      <c r="I43" t="inlineStr">
        <is>
          <t>Negotiation</t>
        </is>
      </c>
      <c r="J43" t="inlineStr">
        <is>
          <t>Doctors Without Borders, switches seamlessly between the negotiation table and the operating table.</t>
        </is>
      </c>
    </row>
    <row r="44">
      <c r="A44" t="n">
        <v>43</v>
      </c>
      <c r="B44" t="inlineStr">
        <is>
          <t>Kenichi Tanaka</t>
        </is>
      </c>
      <c r="C44" t="inlineStr">
        <is>
          <t>Male</t>
        </is>
      </c>
      <c r="D44" t="n">
        <v>35</v>
      </c>
      <c r="E44" t="inlineStr">
        <is>
          <t>E-0043</t>
        </is>
      </c>
      <c r="F44" t="inlineStr">
        <is>
          <t>Seventh Branch</t>
        </is>
      </c>
      <c r="G44" t="n">
        <v>3</v>
      </c>
      <c r="H44" t="inlineStr">
        <is>
          <t>Reconnaissance</t>
        </is>
      </c>
      <c r="I44" t="inlineStr">
        <is>
          <t>Combat</t>
        </is>
      </c>
      <c r="J44" t="inlineStr">
        <is>
          <t>Former Self-Defense Force scout who alone mapped an entire region on Level 11.</t>
        </is>
      </c>
    </row>
    <row r="45">
      <c r="A45" t="n">
        <v>44</v>
      </c>
      <c r="B45" t="inlineStr">
        <is>
          <t>Claire Wu</t>
        </is>
      </c>
      <c r="C45" t="inlineStr">
        <is>
          <t>Female</t>
        </is>
      </c>
      <c r="D45" t="n">
        <v>31</v>
      </c>
      <c r="E45" t="inlineStr">
        <is>
          <t>E-0044</t>
        </is>
      </c>
      <c r="F45" t="inlineStr">
        <is>
          <t>Seventh Branch</t>
        </is>
      </c>
      <c r="G45" t="n">
        <v>3</v>
      </c>
      <c r="H45" t="inlineStr">
        <is>
          <t>Negotiation</t>
        </is>
      </c>
      <c r="I45" t="inlineStr">
        <is>
          <t>Reconnaissance</t>
        </is>
      </c>
      <c r="J45" t="inlineStr">
        <is>
          <t>Hostage-negotiation expert whose voice can quiet a madman for three seconds.</t>
        </is>
      </c>
    </row>
    <row r="46">
      <c r="A46" t="n">
        <v>45</v>
      </c>
      <c r="B46" t="inlineStr">
        <is>
          <t>Robert Zheng</t>
        </is>
      </c>
      <c r="C46" t="inlineStr">
        <is>
          <t>Male</t>
        </is>
      </c>
      <c r="D46" t="n">
        <v>34</v>
      </c>
      <c r="E46" t="inlineStr">
        <is>
          <t>E-0045</t>
        </is>
      </c>
      <c r="F46" t="inlineStr">
        <is>
          <t>Seventh Branch</t>
        </is>
      </c>
      <c r="G46" t="n">
        <v>3</v>
      </c>
      <c r="H46" t="inlineStr">
        <is>
          <t>Engineering</t>
        </is>
      </c>
      <c r="I46" t="inlineStr">
        <is>
          <t>Medical</t>
        </is>
      </c>
      <c r="J46" t="inlineStr">
        <is>
          <t>Mine rescue worker, digs people out before saving them. Three scars on his hands from sharp rubble.</t>
        </is>
      </c>
    </row>
    <row r="47">
      <c r="A47" t="n">
        <v>46</v>
      </c>
      <c r="B47" t="inlineStr">
        <is>
          <t>Emily Huang</t>
        </is>
      </c>
      <c r="C47" t="inlineStr">
        <is>
          <t>Female</t>
        </is>
      </c>
      <c r="D47" t="n">
        <v>29</v>
      </c>
      <c r="E47" t="inlineStr">
        <is>
          <t>E-0046</t>
        </is>
      </c>
      <c r="F47" t="inlineStr">
        <is>
          <t>Seventh Branch</t>
        </is>
      </c>
      <c r="G47" t="n">
        <v>3</v>
      </c>
      <c r="H47" t="inlineStr">
        <is>
          <t>Reconnaissance</t>
        </is>
      </c>
      <c r="I47" t="inlineStr">
        <is>
          <t>Medical</t>
        </is>
      </c>
      <c r="J47" t="inlineStr">
        <is>
          <t>Survival instructor who can piece together a bandage from nothing.</t>
        </is>
      </c>
    </row>
    <row r="48">
      <c r="A48" t="n">
        <v>47</v>
      </c>
      <c r="B48" t="inlineStr">
        <is>
          <t>Kevin Yang</t>
        </is>
      </c>
      <c r="C48" t="inlineStr">
        <is>
          <t>Male</t>
        </is>
      </c>
      <c r="D48" t="n">
        <v>36</v>
      </c>
      <c r="E48" t="inlineStr">
        <is>
          <t>E-0047</t>
        </is>
      </c>
      <c r="F48" t="inlineStr">
        <is>
          <t>Seventh Branch</t>
        </is>
      </c>
      <c r="G48" t="n">
        <v>3</v>
      </c>
      <c r="H48" t="inlineStr">
        <is>
          <t>Combat</t>
        </is>
      </c>
      <c r="I48" t="inlineStr">
        <is>
          <t>Negotiation</t>
        </is>
      </c>
      <c r="J48" t="inlineStr">
        <is>
          <t>Former Blackwater instructor whose backup plan when talks break down is faster than anyone's.</t>
        </is>
      </c>
    </row>
    <row r="49">
      <c r="A49" t="n">
        <v>48</v>
      </c>
      <c r="B49" t="inlineStr">
        <is>
          <t>Nicole Chang</t>
        </is>
      </c>
      <c r="C49" t="inlineStr">
        <is>
          <t>Female</t>
        </is>
      </c>
      <c r="D49" t="n">
        <v>32</v>
      </c>
      <c r="E49" t="inlineStr">
        <is>
          <t>E-0048</t>
        </is>
      </c>
      <c r="F49" t="inlineStr">
        <is>
          <t>Seventh Branch</t>
        </is>
      </c>
      <c r="G49" t="n">
        <v>3</v>
      </c>
      <c r="H49" t="inlineStr">
        <is>
          <t>Medical</t>
        </is>
      </c>
      <c r="I49" t="inlineStr">
        <is>
          <t>Reconnaissance</t>
        </is>
      </c>
      <c r="J49" t="inlineStr">
        <is>
          <t>War correspondent turned medic, steady with both camera and tourniquet.</t>
        </is>
      </c>
    </row>
    <row r="50">
      <c r="A50" t="n">
        <v>49</v>
      </c>
      <c r="B50" t="inlineStr">
        <is>
          <t>David Li</t>
        </is>
      </c>
      <c r="C50" t="inlineStr">
        <is>
          <t>Male</t>
        </is>
      </c>
      <c r="D50" t="n">
        <v>33</v>
      </c>
      <c r="E50" t="inlineStr">
        <is>
          <t>E-0049</t>
        </is>
      </c>
      <c r="F50" t="inlineStr">
        <is>
          <t>Seventh Branch</t>
        </is>
      </c>
      <c r="G50" t="n">
        <v>3</v>
      </c>
      <c r="H50" t="inlineStr">
        <is>
          <t>Engineering</t>
        </is>
      </c>
      <c r="I50" t="inlineStr">
        <is>
          <t>Reconnaissance</t>
        </is>
      </c>
      <c r="J50" t="inlineStr">
        <is>
          <t>Bridge engineer who learned in The Backrooms which structures cannot be trusted.</t>
        </is>
      </c>
    </row>
    <row r="51">
      <c r="A51" t="n">
        <v>50</v>
      </c>
      <c r="B51" t="inlineStr">
        <is>
          <t>Sarah Hsu</t>
        </is>
      </c>
      <c r="C51" t="inlineStr">
        <is>
          <t>Female</t>
        </is>
      </c>
      <c r="D51" t="n">
        <v>30</v>
      </c>
      <c r="E51" t="inlineStr">
        <is>
          <t>E-0050</t>
        </is>
      </c>
      <c r="F51" t="inlineStr">
        <is>
          <t>Seventh Branch</t>
        </is>
      </c>
      <c r="G51" t="n">
        <v>3</v>
      </c>
      <c r="H51" t="inlineStr">
        <is>
          <t>Negotiation</t>
        </is>
      </c>
      <c r="I51" t="inlineStr">
        <is>
          <t>Combat</t>
        </is>
      </c>
      <c r="J51" t="inlineStr">
        <is>
          <t>Security-company crisis handler whose principle is to speak before she shoots.</t>
        </is>
      </c>
    </row>
    <row r="52">
      <c r="A52" t="n">
        <v>51</v>
      </c>
      <c r="B52" t="inlineStr">
        <is>
          <t>「Nightingale」 Zhou</t>
        </is>
      </c>
      <c r="C52" t="inlineStr">
        <is>
          <t>Female</t>
        </is>
      </c>
      <c r="D52" t="n">
        <v>31</v>
      </c>
      <c r="E52" t="inlineStr">
        <is>
          <t>E-0051</t>
        </is>
      </c>
      <c r="F52" t="inlineStr">
        <is>
          <t>Seventh Branch</t>
        </is>
      </c>
      <c r="G52" t="n">
        <v>3</v>
      </c>
      <c r="H52" t="inlineStr">
        <is>
          <t>Medical</t>
        </is>
      </c>
      <c r="I52" t="inlineStr">
        <is>
          <t>Reconnaissance</t>
        </is>
      </c>
      <c r="J52" t="inlineStr">
        <is>
          <t>True name unknown. She saved an entire squad in the Level 4 red-light zone and left no name.</t>
        </is>
      </c>
    </row>
    <row r="53">
      <c r="A53" t="n">
        <v>52</v>
      </c>
      <c r="B53" t="inlineStr">
        <is>
          <t>Frank Ke</t>
        </is>
      </c>
      <c r="C53" t="inlineStr">
        <is>
          <t>Male</t>
        </is>
      </c>
      <c r="D53" t="n">
        <v>37</v>
      </c>
      <c r="E53" t="inlineStr">
        <is>
          <t>E-0052</t>
        </is>
      </c>
      <c r="F53" t="inlineStr">
        <is>
          <t>Seventh Branch</t>
        </is>
      </c>
      <c r="G53" t="n">
        <v>3</v>
      </c>
      <c r="H53" t="inlineStr">
        <is>
          <t>Combat</t>
        </is>
      </c>
      <c r="I53" t="inlineStr">
        <is>
          <t>Engineering</t>
        </is>
      </c>
      <c r="J53" t="inlineStr">
        <is>
          <t>Demolition consultant who hates delay. He says rather than go around, blast a path.</t>
        </is>
      </c>
    </row>
    <row r="54">
      <c r="A54" t="n">
        <v>53</v>
      </c>
      <c r="B54" t="inlineStr">
        <is>
          <t>Eva Shen</t>
        </is>
      </c>
      <c r="C54" t="inlineStr">
        <is>
          <t>Female</t>
        </is>
      </c>
      <c r="D54" t="n">
        <v>34</v>
      </c>
      <c r="E54" t="inlineStr">
        <is>
          <t>E-0053</t>
        </is>
      </c>
      <c r="F54" t="inlineStr">
        <is>
          <t>Seventh Branch</t>
        </is>
      </c>
      <c r="G54" t="n">
        <v>3</v>
      </c>
      <c r="H54" t="inlineStr">
        <is>
          <t>Negotiation</t>
        </is>
      </c>
      <c r="I54" t="inlineStr">
        <is>
          <t>Medical</t>
        </is>
      </c>
      <c r="J54" t="inlineStr">
        <is>
          <t>Refugee-camp coordinator who believes everyone has a price to negotiate—including Entities.</t>
        </is>
      </c>
    </row>
    <row r="55">
      <c r="A55" t="n">
        <v>54</v>
      </c>
      <c r="B55" t="inlineStr">
        <is>
          <t>Martin Gao</t>
        </is>
      </c>
      <c r="C55" t="inlineStr">
        <is>
          <t>Male</t>
        </is>
      </c>
      <c r="D55" t="n">
        <v>35</v>
      </c>
      <c r="E55" t="inlineStr">
        <is>
          <t>E-0054</t>
        </is>
      </c>
      <c r="F55" t="inlineStr">
        <is>
          <t>Seventh Branch</t>
        </is>
      </c>
      <c r="G55" t="n">
        <v>3</v>
      </c>
      <c r="H55" t="inlineStr">
        <is>
          <t>Engineering</t>
        </is>
      </c>
      <c r="I55" t="inlineStr">
        <is>
          <t>Combat</t>
        </is>
      </c>
      <c r="J55" t="inlineStr">
        <is>
          <t>Oil-field safety chief used to caging danger. In The Backrooms that cage is his teammates.</t>
        </is>
      </c>
    </row>
    <row r="56">
      <c r="A56" t="n">
        <v>55</v>
      </c>
      <c r="B56" t="inlineStr">
        <is>
          <t>「Raven」 Ono</t>
        </is>
      </c>
      <c r="C56" t="inlineStr">
        <is>
          <t>Male</t>
        </is>
      </c>
      <c r="D56" t="n">
        <v>32</v>
      </c>
      <c r="E56" t="inlineStr">
        <is>
          <t>E-0055</t>
        </is>
      </c>
      <c r="F56" t="inlineStr">
        <is>
          <t>Seventh Branch</t>
        </is>
      </c>
      <c r="G56" t="n">
        <v>3</v>
      </c>
      <c r="H56" t="inlineStr">
        <is>
          <t>Reconnaissance</t>
        </is>
      </c>
      <c r="I56" t="inlineStr">
        <is>
          <t>Engineering</t>
        </is>
      </c>
      <c r="J56" t="inlineStr">
        <is>
          <t>Former radio operator who can build a working set from scrap. Nickname comes from always being last to withdraw.</t>
        </is>
      </c>
    </row>
    <row r="57">
      <c r="A57" t="n">
        <v>56</v>
      </c>
      <c r="B57" t="inlineStr">
        <is>
          <t>Grace Yang</t>
        </is>
      </c>
      <c r="C57" t="inlineStr">
        <is>
          <t>Female</t>
        </is>
      </c>
      <c r="D57" t="n">
        <v>29</v>
      </c>
      <c r="E57" t="inlineStr">
        <is>
          <t>E-0056</t>
        </is>
      </c>
      <c r="F57" t="inlineStr">
        <is>
          <t>Seventh Branch</t>
        </is>
      </c>
      <c r="G57" t="n">
        <v>3</v>
      </c>
      <c r="H57" t="inlineStr">
        <is>
          <t>Medical</t>
        </is>
      </c>
      <c r="I57" t="inlineStr">
        <is>
          <t>Engineering</t>
        </is>
      </c>
      <c r="J57" t="inlineStr">
        <is>
          <t>Biomedical engineer who makes prosthetics from parts scavenged in The Backrooms. Patients call her the Mender.</t>
        </is>
      </c>
    </row>
    <row r="58">
      <c r="A58" t="n">
        <v>57</v>
      </c>
      <c r="B58" t="inlineStr">
        <is>
          <t>Leon Cai</t>
        </is>
      </c>
      <c r="C58" t="inlineStr">
        <is>
          <t>Male</t>
        </is>
      </c>
      <c r="D58" t="n">
        <v>38</v>
      </c>
      <c r="E58" t="inlineStr">
        <is>
          <t>E-0057</t>
        </is>
      </c>
      <c r="F58" t="inlineStr">
        <is>
          <t>Seventh Branch</t>
        </is>
      </c>
      <c r="G58" t="n">
        <v>3</v>
      </c>
      <c r="H58" t="inlineStr">
        <is>
          <t>Combat</t>
        </is>
      </c>
      <c r="I58" t="inlineStr">
        <is>
          <t>Reconnaissance</t>
        </is>
      </c>
      <c r="J58" t="inlineStr">
        <is>
          <t>Former special operations, recalled by The Backrooms after retirement. He says it is an unfinished account.</t>
        </is>
      </c>
    </row>
    <row r="59">
      <c r="A59" t="n">
        <v>58</v>
      </c>
      <c r="B59" t="inlineStr">
        <is>
          <t>Vera Fang</t>
        </is>
      </c>
      <c r="C59" t="inlineStr">
        <is>
          <t>Female</t>
        </is>
      </c>
      <c r="D59" t="n">
        <v>33</v>
      </c>
      <c r="E59" t="inlineStr">
        <is>
          <t>E-0058</t>
        </is>
      </c>
      <c r="F59" t="inlineStr">
        <is>
          <t>Seventh Branch</t>
        </is>
      </c>
      <c r="G59" t="n">
        <v>3</v>
      </c>
      <c r="H59" t="inlineStr">
        <is>
          <t>Negotiation</t>
        </is>
      </c>
      <c r="I59" t="inlineStr">
        <is>
          <t>Engineering</t>
        </is>
      </c>
      <c r="J59" t="inlineStr">
        <is>
          <t>Procurement chief who can trade scrap for scarce supplies. She calls The Backrooms the worst auction ever.</t>
        </is>
      </c>
    </row>
    <row r="60">
      <c r="A60" t="n">
        <v>59</v>
      </c>
      <c r="B60" t="inlineStr">
        <is>
          <t>「Stone」 Wu</t>
        </is>
      </c>
      <c r="C60" t="inlineStr">
        <is>
          <t>Male</t>
        </is>
      </c>
      <c r="D60" t="n">
        <v>36</v>
      </c>
      <c r="E60" t="inlineStr">
        <is>
          <t>E-0059</t>
        </is>
      </c>
      <c r="F60" t="inlineStr">
        <is>
          <t>Seventh Branch</t>
        </is>
      </c>
      <c r="G60" t="n">
        <v>3</v>
      </c>
      <c r="H60" t="inlineStr">
        <is>
          <t>Engineering</t>
        </is>
      </c>
      <c r="I60" t="inlineStr">
        <is>
          <t>Negotiation</t>
        </is>
      </c>
      <c r="J60" t="inlineStr">
        <is>
          <t>Silent wall-builder; half the outpost's reinforcements are his work. He speaks only to name terms.</t>
        </is>
      </c>
    </row>
    <row r="61">
      <c r="A61" t="n">
        <v>60</v>
      </c>
      <c r="B61" t="inlineStr">
        <is>
          <t>Diane Lo</t>
        </is>
      </c>
      <c r="C61" t="inlineStr">
        <is>
          <t>Female</t>
        </is>
      </c>
      <c r="D61" t="n">
        <v>30</v>
      </c>
      <c r="E61" t="inlineStr">
        <is>
          <t>E-0060</t>
        </is>
      </c>
      <c r="F61" t="inlineStr">
        <is>
          <t>Seventh Branch</t>
        </is>
      </c>
      <c r="G61" t="n">
        <v>3</v>
      </c>
      <c r="H61" t="inlineStr">
        <is>
          <t>Reconnaissance</t>
        </is>
      </c>
      <c r="I61" t="inlineStr">
        <is>
          <t>Negotiation</t>
        </is>
      </c>
      <c r="J61" t="inlineStr">
        <is>
          <t>Private detective who specializes in the disappeared. The Backrooms keeps her cases forever open.</t>
        </is>
      </c>
    </row>
    <row r="62">
      <c r="A62" t="n">
        <v>61</v>
      </c>
      <c r="B62" t="inlineStr">
        <is>
          <t>「Ghost」 Rex</t>
        </is>
      </c>
      <c r="C62" t="inlineStr">
        <is>
          <t>Male</t>
        </is>
      </c>
      <c r="D62" t="n">
        <v>41</v>
      </c>
      <c r="E62" t="inlineStr">
        <is>
          <t>E-0061</t>
        </is>
      </c>
      <c r="F62" t="inlineStr">
        <is>
          <t>Seventh Branch</t>
        </is>
      </c>
      <c r="G62" t="n">
        <v>4</v>
      </c>
      <c r="H62" t="inlineStr">
        <is>
          <t>Reconnaissance</t>
        </is>
      </c>
      <c r="I62" t="inlineStr">
        <is>
          <t>Combat</t>
        </is>
      </c>
      <c r="J62" t="inlineStr">
        <is>
          <t>True name unknown. Said to navigate the total darkness of Level 6. Never lost a teammate on a mission—by his own account.</t>
        </is>
      </c>
    </row>
    <row r="63">
      <c r="A63" t="n">
        <v>62</v>
      </c>
      <c r="B63" t="inlineStr">
        <is>
          <t>Cassandra Li</t>
        </is>
      </c>
      <c r="C63" t="inlineStr">
        <is>
          <t>Female</t>
        </is>
      </c>
      <c r="D63" t="n">
        <v>37</v>
      </c>
      <c r="E63" t="inlineStr">
        <is>
          <t>E-0062</t>
        </is>
      </c>
      <c r="F63" t="inlineStr">
        <is>
          <t>Seventh Branch</t>
        </is>
      </c>
      <c r="G63" t="n">
        <v>4</v>
      </c>
      <c r="H63" t="inlineStr">
        <is>
          <t>Medical</t>
        </is>
      </c>
      <c r="I63" t="inlineStr">
        <is>
          <t>Negotiation</t>
        </is>
      </c>
      <c r="J63" t="inlineStr">
        <is>
          <t>Developed three first-aid techniques used in The Backrooms. Her hands long soaked in Almond Water—skin translucent, veins visible beneath.</t>
        </is>
      </c>
    </row>
    <row r="64">
      <c r="A64" t="n">
        <v>63</v>
      </c>
      <c r="B64" t="inlineStr">
        <is>
          <t>「Wrench」 Thomas</t>
        </is>
      </c>
      <c r="C64" t="inlineStr">
        <is>
          <t>Male</t>
        </is>
      </c>
      <c r="D64" t="n">
        <v>43</v>
      </c>
      <c r="E64" t="inlineStr">
        <is>
          <t>E-0063</t>
        </is>
      </c>
      <c r="F64" t="inlineStr">
        <is>
          <t>Seventh Branch</t>
        </is>
      </c>
      <c r="G64" t="n">
        <v>4</v>
      </c>
      <c r="H64" t="inlineStr">
        <is>
          <t>Engineering</t>
        </is>
      </c>
      <c r="I64" t="inlineStr">
        <is>
          <t>Reconnaissance</t>
        </is>
      </c>
      <c r="J64" t="inlineStr">
        <is>
          <t>Said to fix anything with a wrench and a roll of tape—including a radio stomped by an Entity. Hands always greasy.</t>
        </is>
      </c>
    </row>
    <row r="65">
      <c r="A65" t="n">
        <v>64</v>
      </c>
      <c r="B65" t="inlineStr">
        <is>
          <t>Victoria Chen</t>
        </is>
      </c>
      <c r="C65" t="inlineStr">
        <is>
          <t>Female</t>
        </is>
      </c>
      <c r="D65" t="n">
        <v>39</v>
      </c>
      <c r="E65" t="inlineStr">
        <is>
          <t>E-0064</t>
        </is>
      </c>
      <c r="F65" t="inlineStr">
        <is>
          <t>Seventh Branch</t>
        </is>
      </c>
      <c r="G65" t="n">
        <v>4</v>
      </c>
      <c r="H65" t="inlineStr">
        <is>
          <t>Negotiation</t>
        </is>
      </c>
      <c r="I65" t="inlineStr">
        <is>
          <t>Medical</t>
        </is>
      </c>
      <c r="J65" t="inlineStr">
        <is>
          <t>Once mediated a war about to erupt between M.E.G. and three independent factions. The way she speaks makes refusing her impossible.</t>
        </is>
      </c>
    </row>
    <row r="66">
      <c r="A66" t="n">
        <v>65</v>
      </c>
      <c r="B66" t="inlineStr">
        <is>
          <t>「Bulwark」 Jackson</t>
        </is>
      </c>
      <c r="C66" t="inlineStr">
        <is>
          <t>Male</t>
        </is>
      </c>
      <c r="D66" t="n">
        <v>40</v>
      </c>
      <c r="E66" t="inlineStr">
        <is>
          <t>E-0065</t>
        </is>
      </c>
      <c r="F66" t="inlineStr">
        <is>
          <t>Seventh Branch</t>
        </is>
      </c>
      <c r="G66" t="n">
        <v>4</v>
      </c>
      <c r="H66" t="inlineStr">
        <is>
          <t>Combat</t>
        </is>
      </c>
      <c r="I66" t="inlineStr">
        <is>
          <t>Engineering</t>
        </is>
      </c>
      <c r="J66" t="inlineStr">
        <is>
          <t>A 130-kg giant. Said that in one mission he held a door with his back so the whole team could withdraw—the door's imprint is still on his back.</t>
        </is>
      </c>
    </row>
    <row r="67">
      <c r="A67" t="n">
        <v>66</v>
      </c>
      <c r="B67" t="inlineStr">
        <is>
          <t>Isabel Lin</t>
        </is>
      </c>
      <c r="C67" t="inlineStr">
        <is>
          <t>Female</t>
        </is>
      </c>
      <c r="D67" t="n">
        <v>35</v>
      </c>
      <c r="E67" t="inlineStr">
        <is>
          <t>E-0066</t>
        </is>
      </c>
      <c r="F67" t="inlineStr">
        <is>
          <t>Seventh Branch</t>
        </is>
      </c>
      <c r="G67" t="n">
        <v>4</v>
      </c>
      <c r="H67" t="inlineStr">
        <is>
          <t>Reconnaissance</t>
        </is>
      </c>
      <c r="I67" t="inlineStr">
        <is>
          <t>Negotiation</t>
        </is>
      </c>
      <c r="J67" t="inlineStr">
        <is>
          <t>Linguist. Speaks seven languages—including two 「Backrooms languages」. She can communicate with some Entities. Others find this terrifying.</t>
        </is>
      </c>
    </row>
    <row r="68">
      <c r="A68" t="n">
        <v>67</v>
      </c>
      <c r="B68" t="inlineStr">
        <is>
          <t>「Ice」 Morris</t>
        </is>
      </c>
      <c r="C68" t="inlineStr">
        <is>
          <t>Male</t>
        </is>
      </c>
      <c r="D68" t="n">
        <v>42</v>
      </c>
      <c r="E68" t="inlineStr">
        <is>
          <t>E-0067</t>
        </is>
      </c>
      <c r="F68" t="inlineStr">
        <is>
          <t>Seventh Branch</t>
        </is>
      </c>
      <c r="G68" t="n">
        <v>4</v>
      </c>
      <c r="H68" t="inlineStr">
        <is>
          <t>Combat</t>
        </is>
      </c>
      <c r="I68" t="inlineStr">
        <is>
          <t>Reconnaissance</t>
        </is>
      </c>
      <c r="J68" t="inlineStr">
        <is>
          <t>Sniper. Said to have hit a moving Entity from 800 meters. Speaks little. Some say he has killed more Entities than words spoken.</t>
        </is>
      </c>
    </row>
    <row r="69">
      <c r="A69" t="n">
        <v>68</v>
      </c>
      <c r="B69" t="inlineStr">
        <is>
          <t>Anna Wang</t>
        </is>
      </c>
      <c r="C69" t="inlineStr">
        <is>
          <t>Female</t>
        </is>
      </c>
      <c r="D69" t="n">
        <v>38</v>
      </c>
      <c r="E69" t="inlineStr">
        <is>
          <t>E-0068</t>
        </is>
      </c>
      <c r="F69" t="inlineStr">
        <is>
          <t>Seventh Branch</t>
        </is>
      </c>
      <c r="G69" t="n">
        <v>4</v>
      </c>
      <c r="H69" t="inlineStr">
        <is>
          <t>Engineering</t>
        </is>
      </c>
      <c r="I69" t="inlineStr">
        <is>
          <t>Combat</t>
        </is>
      </c>
      <c r="J69" t="inlineStr">
        <is>
          <t>Former chief engineer of M.E.G.'s Tech R&amp;D division. Equipment she designed is still used by The Bureau. Left R&amp;D over 「ethical differences」.</t>
        </is>
      </c>
    </row>
    <row r="70">
      <c r="A70" t="n">
        <v>69</v>
      </c>
      <c r="B70" t="inlineStr">
        <is>
          <t>「North Star」 Noah</t>
        </is>
      </c>
      <c r="C70" t="inlineStr">
        <is>
          <t>Male</t>
        </is>
      </c>
      <c r="D70" t="n">
        <v>41</v>
      </c>
      <c r="E70" t="inlineStr">
        <is>
          <t>E-0069</t>
        </is>
      </c>
      <c r="F70" t="inlineStr">
        <is>
          <t>Seventh Branch</t>
        </is>
      </c>
      <c r="G70" t="n">
        <v>4</v>
      </c>
      <c r="H70" t="inlineStr">
        <is>
          <t>Reconnaissance</t>
        </is>
      </c>
      <c r="I70" t="inlineStr">
        <is>
          <t>Negotiation</t>
        </is>
      </c>
      <c r="J70" t="inlineStr">
        <is>
          <t>Legend says she can read direction in the Level 7 fog. Never lost, never says how.</t>
        </is>
      </c>
    </row>
    <row r="71">
      <c r="A71" t="n">
        <v>70</v>
      </c>
      <c r="B71" t="inlineStr">
        <is>
          <t>「Iron Hand」 Ivan</t>
        </is>
      </c>
      <c r="C71" t="inlineStr">
        <is>
          <t>Male</t>
        </is>
      </c>
      <c r="D71" t="n">
        <v>43</v>
      </c>
      <c r="E71" t="inlineStr">
        <is>
          <t>E-0070</t>
        </is>
      </c>
      <c r="F71" t="inlineStr">
        <is>
          <t>Seventh Branch</t>
        </is>
      </c>
      <c r="G71" t="n">
        <v>4</v>
      </c>
      <c r="H71" t="inlineStr">
        <is>
          <t>Engineering</t>
        </is>
      </c>
      <c r="I71" t="inlineStr">
        <is>
          <t>Combat</t>
        </is>
      </c>
      <c r="J71" t="inlineStr">
        <is>
          <t>Former tank mechanic who can build a makeshift shelter from treads and steel plate. Hands steadier than machines.</t>
        </is>
      </c>
    </row>
    <row r="72">
      <c r="A72" t="n">
        <v>71</v>
      </c>
      <c r="B72" t="inlineStr">
        <is>
          <t>「Saint Hand」 Erin</t>
        </is>
      </c>
      <c r="C72" t="inlineStr">
        <is>
          <t>Female</t>
        </is>
      </c>
      <c r="D72" t="n">
        <v>39</v>
      </c>
      <c r="E72" t="inlineStr">
        <is>
          <t>E-0071</t>
        </is>
      </c>
      <c r="F72" t="inlineStr">
        <is>
          <t>Seventh Branch</t>
        </is>
      </c>
      <c r="G72" t="n">
        <v>4</v>
      </c>
      <c r="H72" t="inlineStr">
        <is>
          <t>Medical</t>
        </is>
      </c>
      <c r="I72" t="inlineStr">
        <is>
          <t>Negotiation</t>
        </is>
      </c>
      <c r="J72" t="inlineStr">
        <is>
          <t>Legend says she brought a Explorer who had stopped breathing back to life. She denies it.</t>
        </is>
      </c>
    </row>
    <row r="73">
      <c r="A73" t="n">
        <v>72</v>
      </c>
      <c r="B73" t="inlineStr">
        <is>
          <t>「Peregrine」 Carlos</t>
        </is>
      </c>
      <c r="C73" t="inlineStr">
        <is>
          <t>Male</t>
        </is>
      </c>
      <c r="D73" t="n">
        <v>40</v>
      </c>
      <c r="E73" t="inlineStr">
        <is>
          <t>E-0072</t>
        </is>
      </c>
      <c r="F73" t="inlineStr">
        <is>
          <t>Seventh Branch</t>
        </is>
      </c>
      <c r="G73" t="n">
        <v>4</v>
      </c>
      <c r="H73" t="inlineStr">
        <is>
          <t>Combat</t>
        </is>
      </c>
      <c r="I73" t="inlineStr">
        <is>
          <t>Reconnaissance</t>
        </is>
      </c>
      <c r="J73" t="inlineStr">
        <is>
          <t>Former special assault trooper whose entry speed outpaces Entity reaction. He says slow is death.</t>
        </is>
      </c>
    </row>
    <row r="74">
      <c r="A74" t="n">
        <v>73</v>
      </c>
      <c r="B74" t="inlineStr">
        <is>
          <t>「Weaver」 Mei</t>
        </is>
      </c>
      <c r="C74" t="inlineStr">
        <is>
          <t>Female</t>
        </is>
      </c>
      <c r="D74" t="n">
        <v>37</v>
      </c>
      <c r="E74" t="inlineStr">
        <is>
          <t>E-0073</t>
        </is>
      </c>
      <c r="F74" t="inlineStr">
        <is>
          <t>Seventh Branch</t>
        </is>
      </c>
      <c r="G74" t="n">
        <v>4</v>
      </c>
      <c r="H74" t="inlineStr">
        <is>
          <t>Negotiation</t>
        </is>
      </c>
      <c r="I74" t="inlineStr">
        <is>
          <t>Reconnaissance</t>
        </is>
      </c>
      <c r="J74" t="inlineStr">
        <is>
          <t>Hub of the intelligence network; said to know every Backrooms secret—only ones she will not tell.</t>
        </is>
      </c>
    </row>
    <row r="75">
      <c r="A75" t="n">
        <v>74</v>
      </c>
      <c r="B75" t="inlineStr">
        <is>
          <t>「Sledge」 Oscar</t>
        </is>
      </c>
      <c r="C75" t="inlineStr">
        <is>
          <t>Male</t>
        </is>
      </c>
      <c r="D75" t="n">
        <v>44</v>
      </c>
      <c r="E75" t="inlineStr">
        <is>
          <t>E-0074</t>
        </is>
      </c>
      <c r="F75" t="inlineStr">
        <is>
          <t>Seventh Branch</t>
        </is>
      </c>
      <c r="G75" t="n">
        <v>4</v>
      </c>
      <c r="H75" t="inlineStr">
        <is>
          <t>Combat</t>
        </is>
      </c>
      <c r="I75" t="inlineStr">
        <is>
          <t>Engineering</t>
        </is>
      </c>
      <c r="J75" t="inlineStr">
        <is>
          <t>Built like a mountain. Once held a collapsing passage with a steel beam for seven minutes.</t>
        </is>
      </c>
    </row>
    <row r="76">
      <c r="A76" t="n">
        <v>75</v>
      </c>
      <c r="B76" t="inlineStr">
        <is>
          <t>「Glimmer」 Leah</t>
        </is>
      </c>
      <c r="C76" t="inlineStr">
        <is>
          <t>Female</t>
        </is>
      </c>
      <c r="D76" t="n">
        <v>35</v>
      </c>
      <c r="E76" t="inlineStr">
        <is>
          <t>E-0075</t>
        </is>
      </c>
      <c r="F76" t="inlineStr">
        <is>
          <t>Seventh Branch</t>
        </is>
      </c>
      <c r="G76" t="n">
        <v>4</v>
      </c>
      <c r="H76" t="inlineStr">
        <is>
          <t>Medical</t>
        </is>
      </c>
      <c r="I76" t="inlineStr">
        <is>
          <t>Reconnaissance</t>
        </is>
      </c>
      <c r="J76" t="inlineStr">
        <is>
          <t>Can operate in total darkness. She says her hands remember the way, no eyes needed.</t>
        </is>
      </c>
    </row>
    <row r="77">
      <c r="A77" t="n">
        <v>76</v>
      </c>
      <c r="B77" t="inlineStr">
        <is>
          <t>「Compass」 Dimitri</t>
        </is>
      </c>
      <c r="C77" t="inlineStr">
        <is>
          <t>Male</t>
        </is>
      </c>
      <c r="D77" t="n">
        <v>42</v>
      </c>
      <c r="E77" t="inlineStr">
        <is>
          <t>E-0076</t>
        </is>
      </c>
      <c r="F77" t="inlineStr">
        <is>
          <t>Seventh Branch</t>
        </is>
      </c>
      <c r="G77" t="n">
        <v>4</v>
      </c>
      <c r="H77" t="inlineStr">
        <is>
          <t>Reconnaissance</t>
        </is>
      </c>
      <c r="I77" t="inlineStr">
        <is>
          <t>Engineering</t>
        </is>
      </c>
      <c r="J77" t="inlineStr">
        <is>
          <t>Former Arctic explorer whose navigation instinct resists Backrooms distortion. Teammates call him a human GPS.</t>
        </is>
      </c>
    </row>
    <row r="78">
      <c r="A78" t="n">
        <v>77</v>
      </c>
      <c r="B78" t="inlineStr">
        <is>
          <t>「Antidote」 Hannah</t>
        </is>
      </c>
      <c r="C78" t="inlineStr">
        <is>
          <t>Female</t>
        </is>
      </c>
      <c r="D78" t="n">
        <v>38</v>
      </c>
      <c r="E78" t="inlineStr">
        <is>
          <t>E-0077</t>
        </is>
      </c>
      <c r="F78" t="inlineStr">
        <is>
          <t>Seventh Branch</t>
        </is>
      </c>
      <c r="G78" t="n">
        <v>4</v>
      </c>
      <c r="H78" t="inlineStr">
        <is>
          <t>Medical</t>
        </is>
      </c>
      <c r="I78" t="inlineStr">
        <is>
          <t>Engineering</t>
        </is>
      </c>
      <c r="J78" t="inlineStr">
        <is>
          <t>Toxicologist who cracked the Almond Water variants. She made drinking water safe.</t>
        </is>
      </c>
    </row>
    <row r="79">
      <c r="A79" t="n">
        <v>78</v>
      </c>
      <c r="B79" t="inlineStr">
        <is>
          <t>「Shadow」 Feyde</t>
        </is>
      </c>
      <c r="C79" t="inlineStr">
        <is>
          <t>Male</t>
        </is>
      </c>
      <c r="D79" t="n">
        <v>45</v>
      </c>
      <c r="E79" t="inlineStr">
        <is>
          <t>E-0078</t>
        </is>
      </c>
      <c r="F79" t="inlineStr">
        <is>
          <t>Seventh Branch</t>
        </is>
      </c>
      <c r="G79" t="n">
        <v>4</v>
      </c>
      <c r="H79" t="inlineStr">
        <is>
          <t>Combat</t>
        </is>
      </c>
      <c r="I79" t="inlineStr">
        <is>
          <t>Reconnaissance</t>
        </is>
      </c>
      <c r="J79" t="inlineStr">
        <is>
          <t>Infiltration expert never detected—including a mission he should not have been on.</t>
        </is>
      </c>
    </row>
    <row r="80">
      <c r="A80" t="n">
        <v>79</v>
      </c>
      <c r="B80" t="inlineStr">
        <is>
          <t>「Mediator」 Oliver</t>
        </is>
      </c>
      <c r="C80" t="inlineStr">
        <is>
          <t>Male</t>
        </is>
      </c>
      <c r="D80" t="n">
        <v>41</v>
      </c>
      <c r="E80" t="inlineStr">
        <is>
          <t>E-0079</t>
        </is>
      </c>
      <c r="F80" t="inlineStr">
        <is>
          <t>Seventh Branch</t>
        </is>
      </c>
      <c r="G80" t="n">
        <v>4</v>
      </c>
      <c r="H80" t="inlineStr">
        <is>
          <t>Negotiation</t>
        </is>
      </c>
      <c r="I80" t="inlineStr">
        <is>
          <t>Medical</t>
        </is>
      </c>
      <c r="J80" t="inlineStr">
        <is>
          <t>Terminator of faction conflict. He says the real weapon is making both sides feel they won.</t>
        </is>
      </c>
    </row>
    <row r="81">
      <c r="A81" t="n">
        <v>80</v>
      </c>
      <c r="B81" t="inlineStr">
        <is>
          <t>「Builder」 Sanya</t>
        </is>
      </c>
      <c r="C81" t="inlineStr">
        <is>
          <t>Female</t>
        </is>
      </c>
      <c r="D81" t="n">
        <v>36</v>
      </c>
      <c r="E81" t="inlineStr">
        <is>
          <t>E-0080</t>
        </is>
      </c>
      <c r="F81" t="inlineStr">
        <is>
          <t>Seventh Branch</t>
        </is>
      </c>
      <c r="G81" t="n">
        <v>4</v>
      </c>
      <c r="H81" t="inlineStr">
        <is>
          <t>Engineering</t>
        </is>
      </c>
      <c r="I81" t="inlineStr">
        <is>
          <t>Negotiation</t>
        </is>
      </c>
      <c r="J81" t="inlineStr">
        <is>
          <t>Outpost architect who both negotiates materials and draws blueprints. The walls she built held back Entity tides.</t>
        </is>
      </c>
    </row>
    <row r="82">
      <c r="A82" t="n">
        <v>81</v>
      </c>
      <c r="B82" t="inlineStr">
        <is>
          <t>「Oracle」 Mira</t>
        </is>
      </c>
      <c r="C82" t="inlineStr">
        <is>
          <t>Female</t>
        </is>
      </c>
      <c r="D82" t="n">
        <v>26</v>
      </c>
      <c r="E82" t="inlineStr">
        <is>
          <t>E-0081</t>
        </is>
      </c>
      <c r="F82" t="inlineStr">
        <is>
          <t>Seventh Branch</t>
        </is>
      </c>
      <c r="G82" t="n">
        <v>3</v>
      </c>
      <c r="H82" t="inlineStr">
        <is>
          <t>Reconnaissance</t>
        </is>
      </c>
      <c r="I82" t="inlineStr">
        <is>
          <t>None</t>
        </is>
      </c>
      <c r="J82" t="inlineStr">
        <is>
          <t>Claims to foresee changes in The Backrooms in dreams. Sometimes accurate—which unsettles everyone.</t>
        </is>
      </c>
    </row>
    <row r="83">
      <c r="A83" t="n">
        <v>82</v>
      </c>
      <c r="B83" t="inlineStr">
        <is>
          <t>Albert Chung</t>
        </is>
      </c>
      <c r="C83" t="inlineStr">
        <is>
          <t>Male</t>
        </is>
      </c>
      <c r="D83" t="n">
        <v>45</v>
      </c>
      <c r="E83" t="inlineStr">
        <is>
          <t>E-0082</t>
        </is>
      </c>
      <c r="F83" t="inlineStr">
        <is>
          <t>Seventh Branch</t>
        </is>
      </c>
      <c r="G83" t="n">
        <v>4</v>
      </c>
      <c r="H83" t="inlineStr">
        <is>
          <t>Medical</t>
        </is>
      </c>
      <c r="I83" t="inlineStr">
        <is>
          <t>Engineering</t>
        </is>
      </c>
      <c r="J83" t="inlineStr">
        <is>
          <t>Former surgeon and machinery enthusiast. The prosthetics he builds work better than the originals.</t>
        </is>
      </c>
    </row>
    <row r="84">
      <c r="A84" t="n">
        <v>83</v>
      </c>
      <c r="B84" t="inlineStr">
        <is>
          <t>「Chaplain」 John</t>
        </is>
      </c>
      <c r="C84" t="inlineStr">
        <is>
          <t>Male</t>
        </is>
      </c>
      <c r="D84" t="n">
        <v>52</v>
      </c>
      <c r="E84" t="inlineStr">
        <is>
          <t>E-0083</t>
        </is>
      </c>
      <c r="F84" t="inlineStr">
        <is>
          <t>Seventh Branch</t>
        </is>
      </c>
      <c r="G84" t="n">
        <v>3</v>
      </c>
      <c r="H84" t="inlineStr">
        <is>
          <t>Negotiation</t>
        </is>
      </c>
      <c r="I84" t="inlineStr">
        <is>
          <t>Medical</t>
        </is>
      </c>
      <c r="J84" t="inlineStr">
        <is>
          <t>Former clergy. Found a new faith in The Backrooms—or faith found him. Can soothe the most broken souls.</t>
        </is>
      </c>
    </row>
    <row r="85">
      <c r="A85" t="n">
        <v>84</v>
      </c>
      <c r="B85" t="inlineStr">
        <is>
          <t>Keiko Sato</t>
        </is>
      </c>
      <c r="C85" t="inlineStr">
        <is>
          <t>Female</t>
        </is>
      </c>
      <c r="D85" t="n">
        <v>29</v>
      </c>
      <c r="E85" t="inlineStr">
        <is>
          <t>E-0084</t>
        </is>
      </c>
      <c r="F85" t="inlineStr">
        <is>
          <t>Seventh Branch</t>
        </is>
      </c>
      <c r="G85" t="n">
        <v>3</v>
      </c>
      <c r="H85" t="inlineStr">
        <is>
          <t>Combat</t>
        </is>
      </c>
      <c r="I85" t="inlineStr">
        <is>
          <t>Negotiation</t>
        </is>
      </c>
      <c r="J85" t="inlineStr">
        <is>
          <t>Former Self-Defense Force psychological-warfare expert. Her weapons are words and bullets—used in that order.</t>
        </is>
      </c>
    </row>
    <row r="86">
      <c r="A86" t="n">
        <v>85</v>
      </c>
      <c r="B86" t="inlineStr">
        <is>
          <t>「Collector」 Gray</t>
        </is>
      </c>
      <c r="C86" t="inlineStr">
        <is>
          <t>Male</t>
        </is>
      </c>
      <c r="D86" t="n">
        <v>33</v>
      </c>
      <c r="E86" t="inlineStr">
        <is>
          <t>E-0085</t>
        </is>
      </c>
      <c r="F86" t="inlineStr">
        <is>
          <t>Seventh Branch</t>
        </is>
      </c>
      <c r="G86" t="n">
        <v>3</v>
      </c>
      <c r="H86" t="inlineStr">
        <is>
          <t>Engineering</t>
        </is>
      </c>
      <c r="I86" t="inlineStr">
        <is>
          <t>Reconnaissance</t>
        </is>
      </c>
      <c r="J86" t="inlineStr">
        <is>
          <t>Encyclopedic knowledge of Backrooms anomalous items. His quarters are like a small museum.</t>
        </is>
      </c>
    </row>
    <row r="87">
      <c r="A87" t="n">
        <v>86</v>
      </c>
      <c r="B87" t="inlineStr">
        <is>
          <t>Natasha Wolf</t>
        </is>
      </c>
      <c r="C87" t="inlineStr">
        <is>
          <t>Female</t>
        </is>
      </c>
      <c r="D87" t="n">
        <v>36</v>
      </c>
      <c r="E87" t="inlineStr">
        <is>
          <t>E-0086</t>
        </is>
      </c>
      <c r="F87" t="inlineStr">
        <is>
          <t>Seventh Branch</t>
        </is>
      </c>
      <c r="G87" t="n">
        <v>4</v>
      </c>
      <c r="H87" t="inlineStr">
        <is>
          <t>Combat</t>
        </is>
      </c>
      <c r="I87" t="inlineStr">
        <is>
          <t>Medical</t>
        </is>
      </c>
      <c r="J87" t="inlineStr">
        <is>
          <t>Former special-forces combat medic. Equally efficient at saving and taking lives. She says the line between is thinner than you think.</t>
        </is>
      </c>
    </row>
    <row r="88">
      <c r="A88" t="n">
        <v>87</v>
      </c>
      <c r="B88" t="inlineStr">
        <is>
          <t>「Kid」 Bao</t>
        </is>
      </c>
      <c r="C88" t="inlineStr">
        <is>
          <t>Male</t>
        </is>
      </c>
      <c r="D88" t="n">
        <v>19</v>
      </c>
      <c r="E88" t="inlineStr">
        <is>
          <t>E-0087</t>
        </is>
      </c>
      <c r="F88" t="inlineStr">
        <is>
          <t>Seventh Branch</t>
        </is>
      </c>
      <c r="G88" t="n">
        <v>1</v>
      </c>
      <c r="H88" t="inlineStr">
        <is>
          <t>Reconnaissance</t>
        </is>
      </c>
      <c r="I88" t="inlineStr">
        <is>
          <t>Engineering</t>
        </is>
      </c>
      <c r="J88" t="inlineStr">
        <is>
          <t>Born and raised in The Backrooms—yes, this can happen. He has never seen the 「normal world」. His grasp of The Backrooms is instinctive.</t>
        </is>
      </c>
    </row>
    <row r="89">
      <c r="A89" t="n">
        <v>88</v>
      </c>
      <c r="B89" t="inlineStr">
        <is>
          <t>Margaret Shen</t>
        </is>
      </c>
      <c r="C89" t="inlineStr">
        <is>
          <t>Female</t>
        </is>
      </c>
      <c r="D89" t="n">
        <v>48</v>
      </c>
      <c r="E89" t="inlineStr">
        <is>
          <t>E-0088</t>
        </is>
      </c>
      <c r="F89" t="inlineStr">
        <is>
          <t>Seventh Branch</t>
        </is>
      </c>
      <c r="G89" t="n">
        <v>4</v>
      </c>
      <c r="H89" t="inlineStr">
        <is>
          <t>Negotiation</t>
        </is>
      </c>
      <c r="I89" t="inlineStr">
        <is>
          <t>Reconnaissance</t>
        </is>
      </c>
      <c r="J89" t="inlineStr">
        <is>
          <t>Former diplomat who brokered a historic trade accord between M.E.G. and BNTG. Before retirement you persuaded him to 「come back for one last time」.</t>
        </is>
      </c>
    </row>
    <row r="90">
      <c r="A90" t="n">
        <v>89</v>
      </c>
      <c r="B90" t="inlineStr">
        <is>
          <t>「Echo」 Freeman</t>
        </is>
      </c>
      <c r="C90" t="inlineStr">
        <is>
          <t>Male</t>
        </is>
      </c>
      <c r="D90" t="n">
        <v>31</v>
      </c>
      <c r="E90" t="inlineStr">
        <is>
          <t>E-0089</t>
        </is>
      </c>
      <c r="F90" t="inlineStr">
        <is>
          <t>Seventh Branch</t>
        </is>
      </c>
      <c r="G90" t="n">
        <v>3</v>
      </c>
      <c r="H90" t="inlineStr">
        <is>
          <t>Reconnaissance</t>
        </is>
      </c>
      <c r="I90" t="inlineStr">
        <is>
          <t>Medical</t>
        </is>
      </c>
      <c r="J90" t="inlineStr">
        <is>
          <t>Once vanished for six months, declared MIA. Then he walked back to the outpost—unharmed. He cannot (or will not) explain those six months.</t>
        </is>
      </c>
    </row>
    <row r="91">
      <c r="A91" t="n">
        <v>90</v>
      </c>
      <c r="B91" t="inlineStr">
        <is>
          <t>Luna Martinez</t>
        </is>
      </c>
      <c r="C91" t="inlineStr">
        <is>
          <t>Female</t>
        </is>
      </c>
      <c r="D91" t="n">
        <v>27</v>
      </c>
      <c r="E91" t="inlineStr">
        <is>
          <t>E-0090</t>
        </is>
      </c>
      <c r="F91" t="inlineStr">
        <is>
          <t>Seventh Branch</t>
        </is>
      </c>
      <c r="G91" t="n">
        <v>3</v>
      </c>
      <c r="H91" t="inlineStr">
        <is>
          <t>Engineering</t>
        </is>
      </c>
      <c r="I91" t="inlineStr">
        <is>
          <t>Negotiation</t>
        </is>
      </c>
      <c r="J91" t="inlineStr">
        <is>
          <t>Former architect. Her outpost-reinforcement designs are widely used within The Bureau. Her drawings bear strange marks—she calls them 「decoration」.</t>
        </is>
      </c>
    </row>
    <row r="92">
      <c r="A92" t="n">
        <v>91</v>
      </c>
      <c r="B92" t="inlineStr">
        <is>
          <t>「Wanderer」 Kai</t>
        </is>
      </c>
      <c r="C92" t="inlineStr">
        <is>
          <t>Male</t>
        </is>
      </c>
      <c r="D92" t="n">
        <v>19</v>
      </c>
      <c r="E92" t="inlineStr">
        <is>
          <t>E-0091</t>
        </is>
      </c>
      <c r="F92" t="inlineStr">
        <is>
          <t>Seventh Branch</t>
        </is>
      </c>
      <c r="G92" t="n">
        <v>1</v>
      </c>
      <c r="H92" t="inlineStr">
        <is>
          <t>Reconnaissance</t>
        </is>
      </c>
      <c r="I92" t="inlineStr">
        <is>
          <t>Engineering</t>
        </is>
      </c>
      <c r="J92" t="inlineStr">
        <is>
          <t>One of the children raised in The Backrooms, a few years older than Bao. He says the exit is a story adults invented.</t>
        </is>
      </c>
    </row>
    <row r="93">
      <c r="A93" t="n">
        <v>92</v>
      </c>
      <c r="B93" t="inlineStr">
        <is>
          <t>「Ferryman」 Old Zhou</t>
        </is>
      </c>
      <c r="C93" t="inlineStr">
        <is>
          <t>Male</t>
        </is>
      </c>
      <c r="D93" t="n">
        <v>55</v>
      </c>
      <c r="E93" t="inlineStr">
        <is>
          <t>E-0092</t>
        </is>
      </c>
      <c r="F93" t="inlineStr">
        <is>
          <t>Seventh Branch</t>
        </is>
      </c>
      <c r="G93" t="n">
        <v>3</v>
      </c>
      <c r="H93" t="inlineStr">
        <is>
          <t>Negotiation</t>
        </is>
      </c>
      <c r="I93" t="inlineStr">
        <is>
          <t>Medical</t>
        </is>
      </c>
      <c r="J93" t="inlineStr">
        <is>
          <t>Middleman in a small settlement at the edge of The Backrooms for twenty years. He remembers more routes than any map.</t>
        </is>
      </c>
    </row>
    <row r="94">
      <c r="A94" t="n">
        <v>93</v>
      </c>
      <c r="B94" t="inlineStr">
        <is>
          <t>「Twin Blade」 Rena</t>
        </is>
      </c>
      <c r="C94" t="inlineStr">
        <is>
          <t>Female</t>
        </is>
      </c>
      <c r="D94" t="n">
        <v>28</v>
      </c>
      <c r="E94" t="inlineStr">
        <is>
          <t>E-0093</t>
        </is>
      </c>
      <c r="F94" t="inlineStr">
        <is>
          <t>Seventh Branch</t>
        </is>
      </c>
      <c r="G94" t="n">
        <v>4</v>
      </c>
      <c r="H94" t="inlineStr">
        <is>
          <t>Combat</t>
        </is>
      </c>
      <c r="I94" t="inlineStr">
        <is>
          <t>None</t>
        </is>
      </c>
      <c r="J94" t="inlineStr">
        <is>
          <t>Dual-wielder, equally accurate with either hand. She asks why choose only one side.</t>
        </is>
      </c>
    </row>
    <row r="95">
      <c r="A95" t="n">
        <v>94</v>
      </c>
      <c r="B95" t="inlineStr">
        <is>
          <t>「Perfumer」 Vivi</t>
        </is>
      </c>
      <c r="C95" t="inlineStr">
        <is>
          <t>Female</t>
        </is>
      </c>
      <c r="D95" t="n">
        <v>26</v>
      </c>
      <c r="E95" t="inlineStr">
        <is>
          <t>E-0094</t>
        </is>
      </c>
      <c r="F95" t="inlineStr">
        <is>
          <t>Seventh Branch</t>
        </is>
      </c>
      <c r="G95" t="n">
        <v>3</v>
      </c>
      <c r="H95" t="inlineStr">
        <is>
          <t>Medical</t>
        </is>
      </c>
      <c r="I95" t="inlineStr">
        <is>
          <t>Engineering</t>
        </is>
      </c>
      <c r="J95" t="inlineStr">
        <is>
          <t>Brews substitute Almond Water from Backrooms plants. The recipe is classified; the effect rivals the original.</t>
        </is>
      </c>
    </row>
    <row r="96">
      <c r="A96" t="n">
        <v>95</v>
      </c>
      <c r="B96" t="inlineStr">
        <is>
          <t>「Shadow」 Ajie</t>
        </is>
      </c>
      <c r="C96" t="inlineStr">
        <is>
          <t>Male</t>
        </is>
      </c>
      <c r="D96" t="n">
        <v>30</v>
      </c>
      <c r="E96" t="inlineStr">
        <is>
          <t>E-0095</t>
        </is>
      </c>
      <c r="F96" t="inlineStr">
        <is>
          <t>Seventh Branch</t>
        </is>
      </c>
      <c r="G96" t="n">
        <v>3</v>
      </c>
      <c r="H96" t="inlineStr">
        <is>
          <t>Reconnaissance</t>
        </is>
      </c>
      <c r="I96" t="inlineStr">
        <is>
          <t>Combat</t>
        </is>
      </c>
      <c r="J96" t="inlineStr">
        <is>
          <t>Stealth master who once followed an Entity patrol for a whole day undetected.</t>
        </is>
      </c>
    </row>
    <row r="97">
      <c r="A97" t="n">
        <v>96</v>
      </c>
      <c r="B97" t="inlineStr">
        <is>
          <t>「Anvil」 Marcus</t>
        </is>
      </c>
      <c r="C97" t="inlineStr">
        <is>
          <t>Male</t>
        </is>
      </c>
      <c r="D97" t="n">
        <v>47</v>
      </c>
      <c r="E97" t="inlineStr">
        <is>
          <t>E-0096</t>
        </is>
      </c>
      <c r="F97" t="inlineStr">
        <is>
          <t>Seventh Branch</t>
        </is>
      </c>
      <c r="G97" t="n">
        <v>4</v>
      </c>
      <c r="H97" t="inlineStr">
        <is>
          <t>Engineering</t>
        </is>
      </c>
      <c r="I97" t="inlineStr">
        <is>
          <t>Combat</t>
        </is>
      </c>
      <c r="J97" t="inlineStr">
        <is>
          <t>Former armorer who can forge weapons from ruins. He says what The Backrooms gives, it can also take back.</t>
        </is>
      </c>
    </row>
    <row r="98">
      <c r="A98" t="n">
        <v>97</v>
      </c>
      <c r="B98" t="inlineStr">
        <is>
          <t>「Storyteller」 Eli</t>
        </is>
      </c>
      <c r="C98" t="inlineStr">
        <is>
          <t>Male</t>
        </is>
      </c>
      <c r="D98" t="n">
        <v>33</v>
      </c>
      <c r="E98" t="inlineStr">
        <is>
          <t>E-0097</t>
        </is>
      </c>
      <c r="F98" t="inlineStr">
        <is>
          <t>Seventh Branch</t>
        </is>
      </c>
      <c r="G98" t="n">
        <v>3</v>
      </c>
      <c r="H98" t="inlineStr">
        <is>
          <t>Negotiation</t>
        </is>
      </c>
      <c r="I98" t="inlineStr">
        <is>
          <t>Reconnaissance</t>
        </is>
      </c>
      <c r="J98" t="inlineStr">
        <is>
          <t>Lulls people with stories. The outpost children love his Backrooms fairy tales—all true.</t>
        </is>
      </c>
    </row>
    <row r="99">
      <c r="A99" t="n">
        <v>98</v>
      </c>
      <c r="B99" t="inlineStr">
        <is>
          <t>「Twin」 Sisters</t>
        </is>
      </c>
      <c r="C99" t="inlineStr">
        <is>
          <t>Female</t>
        </is>
      </c>
      <c r="D99" t="n">
        <v>25</v>
      </c>
      <c r="E99" t="inlineStr">
        <is>
          <t>E-0098</t>
        </is>
      </c>
      <c r="F99" t="inlineStr">
        <is>
          <t>Seventh Branch</t>
        </is>
      </c>
      <c r="G99" t="n">
        <v>3</v>
      </c>
      <c r="H99" t="inlineStr">
        <is>
          <t>Medical</t>
        </is>
      </c>
      <c r="I99" t="inlineStr">
        <is>
          <t>Negotiation</t>
        </is>
      </c>
      <c r="J99" t="inlineStr">
        <is>
          <t>Twin sisters, one rescues and one soothes. Half as effective apart, unstoppable together.</t>
        </is>
      </c>
    </row>
    <row r="100">
      <c r="A100" t="n">
        <v>99</v>
      </c>
      <c r="B100" t="inlineStr">
        <is>
          <t>「Anchor」 Old Zheng</t>
        </is>
      </c>
      <c r="C100" t="inlineStr">
        <is>
          <t>Male</t>
        </is>
      </c>
      <c r="D100" t="n">
        <v>50</v>
      </c>
      <c r="E100" t="inlineStr">
        <is>
          <t>E-0099</t>
        </is>
      </c>
      <c r="F100" t="inlineStr">
        <is>
          <t>Seventh Branch</t>
        </is>
      </c>
      <c r="G100" t="n">
        <v>4</v>
      </c>
      <c r="H100" t="inlineStr">
        <is>
          <t>Engineering</t>
        </is>
      </c>
      <c r="I100" t="inlineStr">
        <is>
          <t>Medical</t>
        </is>
      </c>
      <c r="J100" t="inlineStr">
        <is>
          <t>Backrooms veteran who broke three legs and still leads. The young say with him around, things are steady.</t>
        </is>
      </c>
    </row>
    <row r="101">
      <c r="A101" t="n">
        <v>100</v>
      </c>
      <c r="B101" t="inlineStr">
        <is>
          <t>「Subject Zero」</t>
        </is>
      </c>
      <c r="C101" t="inlineStr">
        <is>
          <t>Unknown</t>
        </is>
      </c>
      <c r="D101" t="n">
        <v>30</v>
      </c>
      <c r="E101" t="inlineStr">
        <is>
          <t>E-0100</t>
        </is>
      </c>
      <c r="F101" t="inlineStr">
        <is>
          <t>Seventh Branch</t>
        </is>
      </c>
      <c r="G101" t="n">
        <v>3</v>
      </c>
      <c r="H101" t="inlineStr">
        <is>
          <t>Reconnaissance</t>
        </is>
      </c>
      <c r="I101" t="inlineStr">
        <is>
          <t>Medical</t>
        </is>
      </c>
      <c r="J101" t="inlineStr">
        <is>
          <t>Origin unknown, survived some experiment. He can sense Entity emotions. Most dare not meet his eyes.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2026-07-16T16:53:41Z</dcterms:created>
  <dcterms:modified xsi:type="dcterms:W3CDTF">2026-08-09T17:39:12Z</dcterms:modified>
</cp:coreProperties>
</file>