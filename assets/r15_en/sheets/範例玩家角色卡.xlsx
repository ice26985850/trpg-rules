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Balanced Director" sheetId="2" state="visible" r:id="rId2"/>
    <sheet name="Intel Specialist" sheetId="3" state="visible" r:id="rId3"/>
    <sheet name="Manpower Commander" sheetId="4" state="visible" r:id="rId4"/>
    <sheet name="Lone Founder"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icrosoft JhengHei"/>
      <b val="1"/>
      <color rgb="00FFFFFF"/>
      <sz val="16"/>
    </font>
    <font>
      <name val="Microsoft JhengHei"/>
      <color rgb="002D2D3F"/>
      <sz val="10"/>
    </font>
    <font>
      <name val="Microsoft JhengHei"/>
      <b val="1"/>
      <color rgb="002D2D3F"/>
      <sz val="10"/>
    </font>
    <font>
      <name val="Microsoft JhengHei"/>
      <b val="1"/>
      <color rgb="00FFFFFF"/>
      <sz val="11"/>
    </font>
    <font>
      <name val="Microsoft JhengHei"/>
      <color rgb="001A5276"/>
      <sz val="10"/>
    </font>
    <font>
      <name val="Microsoft JhengHei"/>
      <i val="1"/>
      <color rgb="00666666"/>
      <sz val="8"/>
    </font>
    <font>
      <b val="1"/>
    </font>
  </fonts>
  <fills count="8">
    <fill>
      <patternFill/>
    </fill>
    <fill>
      <patternFill patternType="gray125"/>
    </fill>
    <fill>
      <patternFill patternType="solid">
        <fgColor rgb="002D2D3F"/>
        <bgColor rgb="002D2D3F"/>
      </patternFill>
    </fill>
    <fill>
      <patternFill patternType="solid">
        <fgColor rgb="00F0F0F5"/>
        <bgColor rgb="00F0F0F5"/>
      </patternFill>
    </fill>
    <fill>
      <patternFill patternType="solid">
        <fgColor rgb="00FFFFFF"/>
        <bgColor rgb="00FFFFFF"/>
      </patternFill>
    </fill>
    <fill>
      <patternFill patternType="solid">
        <fgColor rgb="004A4A6A"/>
        <bgColor rgb="004A4A6A"/>
      </patternFill>
    </fill>
    <fill>
      <patternFill patternType="solid">
        <fgColor rgb="006B5B8A"/>
        <bgColor rgb="006B5B8A"/>
      </patternFill>
    </fill>
    <fill>
      <patternFill patternType="solid">
        <fgColor rgb="00EDE7F6"/>
        <bgColor rgb="00EDE7F6"/>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1"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3" borderId="1" pivotButton="0" quotePrefix="0" xfId="0"/>
    <xf numFmtId="0" fontId="2" fillId="4" borderId="1" pivotButton="0" quotePrefix="0" xfId="0"/>
    <xf numFmtId="0" fontId="4" fillId="5" borderId="1" pivotButton="0" quotePrefix="0" xfId="0"/>
    <xf numFmtId="0" fontId="4" fillId="6" borderId="1" applyAlignment="1" pivotButton="0" quotePrefix="0" xfId="0">
      <alignment horizontal="center"/>
    </xf>
    <xf numFmtId="0" fontId="2" fillId="4" borderId="1" applyAlignment="1" pivotButton="0" quotePrefix="0" xfId="0">
      <alignment horizontal="center"/>
    </xf>
    <xf numFmtId="0" fontId="5" fillId="3" borderId="1" pivotButton="0" quotePrefix="0" xfId="0"/>
    <xf numFmtId="0" fontId="4" fillId="6" borderId="1" pivotButton="0" quotePrefix="0" xfId="0"/>
    <xf numFmtId="3" fontId="2" fillId="4" borderId="1" pivotButton="0" quotePrefix="0" xfId="0"/>
    <xf numFmtId="0" fontId="6" fillId="3" borderId="1" pivotButton="0" quotePrefix="0" xfId="0"/>
    <xf numFmtId="9" fontId="2" fillId="4" borderId="1" pivotButton="0" quotePrefix="0" xfId="0"/>
    <xf numFmtId="0" fontId="7" fillId="0"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The Backrooms Administration Bureau TRPG — Sample Player Character Sheet</t>
        </is>
      </c>
    </row>
    <row r="2"/>
    <row r="3">
      <c r="A3" s="2" t="inlineStr">
        <is>
          <t>This file contains 4 filled sample Administration Department sheets for players to reference when creating their own department. Each sample sheet has its own tab.</t>
        </is>
      </c>
    </row>
    <row r="4"/>
    <row r="5">
      <c r="A5" s="3" t="inlineStr">
        <is>
          <t>Tab Guide:</t>
        </is>
      </c>
    </row>
    <row r="6">
      <c r="A6" s="2" t="inlineStr">
        <is>
          <t>• Balanced Director — four attributes evenly distributed, the most balanced starting setup</t>
        </is>
      </c>
    </row>
    <row r="7">
      <c r="A7" s="2" t="inlineStr">
        <is>
          <t>• Intel Specialist — high Intelligence, moderate Reputation, a knowledge- and diplomacy-focused management style</t>
        </is>
      </c>
    </row>
    <row r="8">
      <c r="A8" s="2" t="inlineStr">
        <is>
          <t>• Manpower Commander — high Manpower, moderate Equipment, a strength-in-numbers command style</t>
        </is>
      </c>
    </row>
    <row r="9">
      <c r="A9" s="2" t="inlineStr">
        <is>
          <t>• Lone Founder — low Reputation, high Equipment, a self-sufficient independent path</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s>
  <sheetData>
    <row r="1" ht="35" customHeight="1">
      <c r="A1" s="4" t="inlineStr">
        <is>
          <t>The Backrooms Administration Bureau — Balanced Director</t>
        </is>
      </c>
      <c r="B1" s="5" t="n"/>
      <c r="C1" s="5" t="n"/>
      <c r="D1" s="5" t="n"/>
      <c r="E1" s="5" t="n"/>
      <c r="F1" s="6" t="n"/>
    </row>
    <row r="2"/>
    <row r="3">
      <c r="A3" s="7" t="inlineStr">
        <is>
          <t>Department Origin</t>
        </is>
      </c>
      <c r="B3" s="8" t="inlineStr">
        <is>
          <t>Internal Promotion</t>
        </is>
      </c>
      <c r="C3" s="7" t="inlineStr">
        <is>
          <t>Outpost</t>
        </is>
      </c>
      <c r="D3" s="8" t="inlineStr">
        <is>
          <t>Level 1 Main Base</t>
        </is>
      </c>
    </row>
    <row r="4">
      <c r="A4" s="7" t="inlineStr">
        <is>
          <t>Scale</t>
        </is>
      </c>
      <c r="B4" s="8" t="inlineStr">
        <is>
          <t>Medium (60 people)</t>
        </is>
      </c>
      <c r="C4" s="7" t="inlineStr">
        <is>
          <t>Superior</t>
        </is>
      </c>
      <c r="D4" s="8" t="inlineStr">
        <is>
          <t>M.E.G. Regional Commander</t>
        </is>
      </c>
    </row>
    <row r="5"/>
    <row r="6">
      <c r="A6" s="9" t="inlineStr">
        <is>
          <t>Core Attributes</t>
        </is>
      </c>
      <c r="B6" s="5" t="n"/>
      <c r="C6" s="5" t="n"/>
      <c r="D6" s="5" t="n"/>
      <c r="E6" s="5" t="n"/>
      <c r="F6" s="6" t="n"/>
    </row>
    <row r="7">
      <c r="A7" s="10" t="inlineStr">
        <is>
          <t>Attribute</t>
        </is>
      </c>
      <c r="B7" s="10" t="inlineStr">
        <is>
          <t>Value</t>
        </is>
      </c>
      <c r="C7" s="10" t="inlineStr">
        <is>
          <t>Modifier</t>
        </is>
      </c>
      <c r="D7" s="10" t="inlineStr">
        <is>
          <t>Description</t>
        </is>
      </c>
    </row>
    <row r="8">
      <c r="A8" s="7" t="inlineStr">
        <is>
          <t>Manpower</t>
        </is>
      </c>
      <c r="B8" s="11" t="n">
        <v>5</v>
      </c>
      <c r="C8" s="12">
        <f>FLOOR((B8-5)/2,1)</f>
        <v/>
      </c>
    </row>
    <row r="9">
      <c r="A9" s="7" t="inlineStr">
        <is>
          <t>Equipment</t>
        </is>
      </c>
      <c r="B9" s="11" t="n">
        <v>5</v>
      </c>
      <c r="C9" s="12">
        <f>FLOOR((B9-5)/2,1)</f>
        <v/>
      </c>
    </row>
    <row r="10">
      <c r="A10" s="7" t="inlineStr">
        <is>
          <t>Intelligence</t>
        </is>
      </c>
      <c r="B10" s="11" t="n">
        <v>5</v>
      </c>
      <c r="C10" s="12">
        <f>FLOOR((B10-5)/2,1)</f>
        <v/>
      </c>
    </row>
    <row r="11">
      <c r="A11" s="7" t="inlineStr">
        <is>
          <t>Reputation</t>
        </is>
      </c>
      <c r="B11" s="11" t="n">
        <v>5</v>
      </c>
      <c r="C11" s="12">
        <f>FLOOR((B11-5)/2,1)</f>
        <v/>
      </c>
    </row>
    <row r="12"/>
    <row r="13">
      <c r="A13" s="9" t="inlineStr">
        <is>
          <t>Derived Attributes</t>
        </is>
      </c>
      <c r="B13" s="5" t="n"/>
      <c r="C13" s="5" t="n"/>
      <c r="D13" s="5" t="n"/>
      <c r="E13" s="5" t="n"/>
      <c r="F13" s="6" t="n"/>
    </row>
    <row r="14">
      <c r="A14" s="13" t="inlineStr">
        <is>
          <t>Attribute</t>
        </is>
      </c>
      <c r="B14" s="13" t="inlineStr">
        <is>
          <t>Result</t>
        </is>
      </c>
      <c r="C14" s="13" t="inlineStr">
        <is>
          <t>Formula</t>
        </is>
      </c>
    </row>
    <row r="15">
      <c r="A15" s="7" t="inlineStr">
        <is>
          <t>Monthly Budget</t>
        </is>
      </c>
      <c r="B15" s="14">
        <f>200+B11*60+B10*40</f>
        <v/>
      </c>
      <c r="C15" s="15" t="inlineStr">
        <is>
          <t>Reputation(5)×50 + Intelligence(5)×30</t>
        </is>
      </c>
    </row>
    <row r="16">
      <c r="A16" s="7" t="inlineStr">
        <is>
          <t>Mission Cap</t>
        </is>
      </c>
      <c r="B16" s="8" t="n">
        <v>2</v>
      </c>
      <c r="C16" s="15" t="inlineStr">
        <is>
          <t>Manpower(5)÷3 rounded up</t>
        </is>
      </c>
    </row>
    <row r="17">
      <c r="A17" s="7" t="inlineStr">
        <is>
          <t>Intel Accuracy</t>
        </is>
      </c>
      <c r="B17" s="16" t="n">
        <v>0.5</v>
      </c>
      <c r="C17" s="15" t="inlineStr">
        <is>
          <t>Intelligence(5)×10%</t>
        </is>
      </c>
    </row>
    <row r="18">
      <c r="A18" s="7" t="inlineStr">
        <is>
          <t>Equipment Bonus</t>
        </is>
      </c>
      <c r="B18" s="8">
        <f>B9*2</f>
        <v/>
      </c>
      <c r="C18" s="15" t="inlineStr">
        <is>
          <t>Equipment(5)×3</t>
        </is>
      </c>
    </row>
    <row r="19"/>
    <row r="20">
      <c r="A20" s="9" t="inlineStr">
        <is>
          <t>Facilities</t>
        </is>
      </c>
      <c r="B20" s="5" t="n"/>
      <c r="C20" s="5" t="n"/>
      <c r="D20" s="5" t="n"/>
      <c r="E20" s="5" t="n"/>
      <c r="F20" s="6" t="n"/>
    </row>
    <row r="21">
      <c r="A21" s="7" t="inlineStr">
        <is>
          <t>Medical Station</t>
        </is>
      </c>
      <c r="B21" s="8" t="inlineStr">
        <is>
          <t>Level 1</t>
        </is>
      </c>
    </row>
    <row r="22">
      <c r="A22" s="7" t="inlineStr">
        <is>
          <t>R&amp;D Lab</t>
        </is>
      </c>
      <c r="B22" s="8" t="inlineStr">
        <is>
          <t>Level 1</t>
        </is>
      </c>
    </row>
    <row r="23">
      <c r="A23" s="7" t="inlineStr">
        <is>
          <t>Intel Center</t>
        </is>
      </c>
      <c r="B23" s="8" t="inlineStr">
        <is>
          <t>Level 1</t>
        </is>
      </c>
    </row>
    <row r="24">
      <c r="A24" s="7" t="inlineStr">
        <is>
          <t>Training Ground</t>
        </is>
      </c>
      <c r="B24" s="8" t="inlineStr">
        <is>
          <t>Level 1</t>
        </is>
      </c>
    </row>
    <row r="25">
      <c r="A25" s="7" t="inlineStr">
        <is>
          <t>Trade Post</t>
        </is>
      </c>
      <c r="B25" s="8" t="inlineStr">
        <is>
          <t>Level 1</t>
        </is>
      </c>
    </row>
    <row r="26">
      <c r="A26" s="7" t="inlineStr">
        <is>
          <t>Dormitory</t>
        </is>
      </c>
      <c r="B26" s="8" t="inlineStr">
        <is>
          <t>Level 1</t>
        </is>
      </c>
    </row>
    <row r="27"/>
    <row r="28">
      <c r="A28" s="7" t="inlineStr">
        <is>
          <t>Management Style Description</t>
        </is>
      </c>
      <c r="B28" s="8" t="inlineStr">
        <is>
          <t>The most balanced starting setup. Good for new players; not weak anywhere but no standout advantage.</t>
        </is>
      </c>
      <c r="C28" s="5" t="n"/>
      <c r="D28" s="5" t="n"/>
      <c r="E28" s="5" t="n"/>
      <c r="F28" s="6" t="n"/>
    </row>
    <row r="29">
      <c r="A29" s="17" t="inlineStr">
        <is>
          <t>Personnel &amp; Superiors</t>
        </is>
      </c>
    </row>
    <row r="30">
      <c r="A30" t="inlineStr">
        <is>
          <t>Rostered Headcount (ROSTER)</t>
        </is>
      </c>
      <c r="B30" t="n">
        <v>10</v>
      </c>
      <c r="C30" t="inlineStr">
        <is>
          <t>Sample value; fill in based on actual recruitment</t>
        </is>
      </c>
    </row>
    <row r="31">
      <c r="A31" t="inlineStr">
        <is>
          <t>Dormitory Capacity (DORM)</t>
        </is>
      </c>
      <c r="B31" s="18">
        <f>IF(B26="等級 1",10,IF(B26="等級 2",25,IF(B26="等級 3",50,0)))</f>
        <v/>
      </c>
      <c r="C31" t="inlineStr">
        <is>
          <t>Depends on dormitory facility level (B26)</t>
        </is>
      </c>
    </row>
    <row r="32">
      <c r="A32" t="inlineStr">
        <is>
          <t>Overcapacity Status</t>
        </is>
      </c>
      <c r="B32" s="18">
        <f>IF(B30&gt;B31,"超員 "&amp;(B30-B31)&amp;" 人","正常")</f>
        <v/>
      </c>
      <c r="C32" t="inlineStr">
        <is>
          <t>Monthly extra budget for overcapacity = overcapacity headcount × 10</t>
        </is>
      </c>
    </row>
    <row r="33">
      <c r="A33" t="inlineStr">
        <is>
          <t>Superior Relation (SUP)</t>
        </is>
      </c>
      <c r="B33" t="n">
        <v>0</v>
      </c>
      <c r="C33" t="inlineStr">
        <is>
          <t>−20 to +20; ≥+10 adds +50 budget/month; ≤−10 forces missions</t>
        </is>
      </c>
    </row>
    <row r="34">
      <c r="A34" t="inlineStr">
        <is>
          <t>Guilt (GLT)</t>
        </is>
      </c>
      <c r="B34" t="n">
        <v>0</v>
      </c>
      <c r="C34" t="inlineStr">
        <is>
          <t>+1 per catastrophe/death; ≥5 triggers Ending C</t>
        </is>
      </c>
    </row>
  </sheetData>
  <mergeCells count="5">
    <mergeCell ref="A13:F13"/>
    <mergeCell ref="A1:F1"/>
    <mergeCell ref="B28:F28"/>
    <mergeCell ref="A6:F6"/>
    <mergeCell ref="A20:F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s>
  <sheetData>
    <row r="1" ht="35" customHeight="1">
      <c r="A1" s="4" t="inlineStr">
        <is>
          <t>The Backrooms Administration Bureau — Intel Specialist</t>
        </is>
      </c>
      <c r="B1" s="5" t="n"/>
      <c r="C1" s="5" t="n"/>
      <c r="D1" s="5" t="n"/>
      <c r="E1" s="5" t="n"/>
      <c r="F1" s="6" t="n"/>
    </row>
    <row r="2"/>
    <row r="3">
      <c r="A3" s="7" t="inlineStr">
        <is>
          <t>Department Origin</t>
        </is>
      </c>
      <c r="B3" s="8" t="inlineStr">
        <is>
          <t>Defector</t>
        </is>
      </c>
      <c r="C3" s="7" t="inlineStr">
        <is>
          <t>Outpost</t>
        </is>
      </c>
      <c r="D3" s="8" t="inlineStr">
        <is>
          <t>Level 4 Abandoned Office Building</t>
        </is>
      </c>
    </row>
    <row r="4">
      <c r="A4" s="7" t="inlineStr">
        <is>
          <t>Scale</t>
        </is>
      </c>
      <c r="B4" s="8" t="inlineStr">
        <is>
          <t>Small (25 people)</t>
        </is>
      </c>
      <c r="C4" s="7" t="inlineStr">
        <is>
          <t>Superior</t>
        </is>
      </c>
      <c r="D4" s="8" t="inlineStr">
        <is>
          <t>Independent Faction Leader</t>
        </is>
      </c>
    </row>
    <row r="5"/>
    <row r="6">
      <c r="A6" s="9" t="inlineStr">
        <is>
          <t>Core Attributes</t>
        </is>
      </c>
      <c r="B6" s="5" t="n"/>
      <c r="C6" s="5" t="n"/>
      <c r="D6" s="5" t="n"/>
      <c r="E6" s="5" t="n"/>
      <c r="F6" s="6" t="n"/>
    </row>
    <row r="7">
      <c r="A7" s="10" t="inlineStr">
        <is>
          <t>Attribute</t>
        </is>
      </c>
      <c r="B7" s="10" t="inlineStr">
        <is>
          <t>Value</t>
        </is>
      </c>
      <c r="C7" s="10" t="inlineStr">
        <is>
          <t>Modifier</t>
        </is>
      </c>
      <c r="D7" s="10" t="inlineStr">
        <is>
          <t>Description</t>
        </is>
      </c>
    </row>
    <row r="8">
      <c r="A8" s="7" t="inlineStr">
        <is>
          <t>Manpower</t>
        </is>
      </c>
      <c r="B8" s="11" t="n">
        <v>4</v>
      </c>
      <c r="C8" s="12">
        <f>FLOOR((B8-5)/2,1)</f>
        <v/>
      </c>
    </row>
    <row r="9">
      <c r="A9" s="7" t="inlineStr">
        <is>
          <t>Equipment</t>
        </is>
      </c>
      <c r="B9" s="11" t="n">
        <v>4</v>
      </c>
      <c r="C9" s="12">
        <f>FLOOR((B9-5)/2,1)</f>
        <v/>
      </c>
    </row>
    <row r="10">
      <c r="A10" s="7" t="inlineStr">
        <is>
          <t>Intelligence</t>
        </is>
      </c>
      <c r="B10" s="11" t="n">
        <v>8</v>
      </c>
      <c r="C10" s="12">
        <f>FLOOR((B10-5)/2,1)</f>
        <v/>
      </c>
    </row>
    <row r="11">
      <c r="A11" s="7" t="inlineStr">
        <is>
          <t>Reputation</t>
        </is>
      </c>
      <c r="B11" s="11" t="n">
        <v>5</v>
      </c>
      <c r="C11" s="12">
        <f>FLOOR((B11-5)/2,1)</f>
        <v/>
      </c>
    </row>
    <row r="12"/>
    <row r="13">
      <c r="A13" s="9" t="inlineStr">
        <is>
          <t>Derived Attributes</t>
        </is>
      </c>
      <c r="B13" s="5" t="n"/>
      <c r="C13" s="5" t="n"/>
      <c r="D13" s="5" t="n"/>
      <c r="E13" s="5" t="n"/>
      <c r="F13" s="6" t="n"/>
    </row>
    <row r="14">
      <c r="A14" s="13" t="inlineStr">
        <is>
          <t>Attribute</t>
        </is>
      </c>
      <c r="B14" s="13" t="inlineStr">
        <is>
          <t>Result</t>
        </is>
      </c>
      <c r="C14" s="13" t="inlineStr">
        <is>
          <t>Formula</t>
        </is>
      </c>
    </row>
    <row r="15">
      <c r="A15" s="7" t="inlineStr">
        <is>
          <t>Monthly Budget</t>
        </is>
      </c>
      <c r="B15" s="14">
        <f>200+B11*60+B10*40</f>
        <v/>
      </c>
      <c r="C15" s="15" t="inlineStr">
        <is>
          <t>Reputation(5)×50 + Intelligence(8)×30</t>
        </is>
      </c>
    </row>
    <row r="16">
      <c r="A16" s="7" t="inlineStr">
        <is>
          <t>Mission Cap</t>
        </is>
      </c>
      <c r="B16" s="8" t="n">
        <v>2</v>
      </c>
      <c r="C16" s="15" t="inlineStr">
        <is>
          <t>Manpower(4)÷3 rounded up</t>
        </is>
      </c>
    </row>
    <row r="17">
      <c r="A17" s="7" t="inlineStr">
        <is>
          <t>Intel Accuracy</t>
        </is>
      </c>
      <c r="B17" s="16" t="n">
        <v>0.8</v>
      </c>
      <c r="C17" s="15" t="inlineStr">
        <is>
          <t>Intelligence(8)×10%</t>
        </is>
      </c>
    </row>
    <row r="18">
      <c r="A18" s="7" t="inlineStr">
        <is>
          <t>Equipment Bonus</t>
        </is>
      </c>
      <c r="B18" s="8">
        <f>B9*2</f>
        <v/>
      </c>
      <c r="C18" s="15" t="inlineStr">
        <is>
          <t>Equipment(4)×3</t>
        </is>
      </c>
    </row>
    <row r="19"/>
    <row r="20">
      <c r="A20" s="9" t="inlineStr">
        <is>
          <t>Facilities</t>
        </is>
      </c>
      <c r="B20" s="5" t="n"/>
      <c r="C20" s="5" t="n"/>
      <c r="D20" s="5" t="n"/>
      <c r="E20" s="5" t="n"/>
      <c r="F20" s="6" t="n"/>
    </row>
    <row r="21">
      <c r="A21" s="7" t="inlineStr">
        <is>
          <t>Medical Station</t>
        </is>
      </c>
      <c r="B21" s="8" t="inlineStr">
        <is>
          <t>Level 2</t>
        </is>
      </c>
    </row>
    <row r="22">
      <c r="A22" s="7" t="inlineStr">
        <is>
          <t>R&amp;D Lab</t>
        </is>
      </c>
      <c r="B22" s="8" t="inlineStr">
        <is>
          <t>Level 1</t>
        </is>
      </c>
    </row>
    <row r="23">
      <c r="A23" s="7" t="inlineStr">
        <is>
          <t>Intel Center</t>
        </is>
      </c>
      <c r="B23" s="8" t="inlineStr">
        <is>
          <t>Level 2</t>
        </is>
      </c>
    </row>
    <row r="24">
      <c r="A24" s="7" t="inlineStr">
        <is>
          <t>Training Ground</t>
        </is>
      </c>
      <c r="B24" s="8" t="inlineStr">
        <is>
          <t>Level 1</t>
        </is>
      </c>
    </row>
    <row r="25">
      <c r="A25" s="7" t="inlineStr">
        <is>
          <t>Trade Post</t>
        </is>
      </c>
      <c r="B25" s="8" t="inlineStr">
        <is>
          <t>Level 1</t>
        </is>
      </c>
    </row>
    <row r="26">
      <c r="A26" s="7" t="inlineStr">
        <is>
          <t>Dormitory</t>
        </is>
      </c>
      <c r="B26" s="8" t="inlineStr">
        <is>
          <t>Level 1</t>
        </is>
      </c>
    </row>
    <row r="27"/>
    <row r="28">
      <c r="A28" s="7" t="inlineStr">
        <is>
          <t>Management Style Description</t>
        </is>
      </c>
      <c r="B28" s="8" t="inlineStr">
        <is>
          <t>An intelligence-centric management style. Intel Accuracy as high as 80%, effectively reducing mission uncertainty. Formerly of a hostile faction, defected with internal intel—no one fully trusts you.</t>
        </is>
      </c>
      <c r="C28" s="5" t="n"/>
      <c r="D28" s="5" t="n"/>
      <c r="E28" s="5" t="n"/>
      <c r="F28" s="6" t="n"/>
    </row>
    <row r="29">
      <c r="A29" s="17" t="inlineStr">
        <is>
          <t>Personnel &amp; Superiors</t>
        </is>
      </c>
    </row>
    <row r="30">
      <c r="A30" t="inlineStr">
        <is>
          <t>Rostered Headcount (ROSTER)</t>
        </is>
      </c>
      <c r="B30" t="n">
        <v>8</v>
      </c>
      <c r="C30" t="inlineStr">
        <is>
          <t>Sample value; fill in based on actual recruitment</t>
        </is>
      </c>
    </row>
    <row r="31">
      <c r="A31" t="inlineStr">
        <is>
          <t>Dormitory Capacity (DORM)</t>
        </is>
      </c>
      <c r="B31" s="18">
        <f>IF(B26="等級 1",10,IF(B26="等級 2",25,IF(B26="等級 3",50,0)))</f>
        <v/>
      </c>
      <c r="C31" t="inlineStr">
        <is>
          <t>Depends on dormitory facility level (B26)</t>
        </is>
      </c>
    </row>
    <row r="32">
      <c r="A32" t="inlineStr">
        <is>
          <t>Overcapacity Status</t>
        </is>
      </c>
      <c r="B32" s="18">
        <f>IF(B30&gt;B31,"超員 "&amp;(B30-B31)&amp;" 人","正常")</f>
        <v/>
      </c>
      <c r="C32" t="inlineStr">
        <is>
          <t>Monthly extra budget for overcapacity = overcapacity headcount × 10</t>
        </is>
      </c>
    </row>
    <row r="33">
      <c r="A33" t="inlineStr">
        <is>
          <t>Superior Relation (SUP)</t>
        </is>
      </c>
      <c r="B33" t="n">
        <v>0</v>
      </c>
      <c r="C33" t="inlineStr">
        <is>
          <t>−20 to +20; ≥+10 adds +50 budget/month; ≤−10 forces missions</t>
        </is>
      </c>
    </row>
    <row r="34">
      <c r="A34" t="inlineStr">
        <is>
          <t>Guilt (GLT)</t>
        </is>
      </c>
      <c r="B34" t="n">
        <v>0</v>
      </c>
      <c r="C34" t="inlineStr">
        <is>
          <t>+1 per catastrophe/death; ≥5 triggers Ending C</t>
        </is>
      </c>
    </row>
  </sheetData>
  <mergeCells count="5">
    <mergeCell ref="A13:F13"/>
    <mergeCell ref="A1:F1"/>
    <mergeCell ref="B28:F28"/>
    <mergeCell ref="A6:F6"/>
    <mergeCell ref="A20:F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s>
  <sheetData>
    <row r="1" ht="35" customHeight="1">
      <c r="A1" s="4" t="inlineStr">
        <is>
          <t>The Backrooms Administration Bureau — Manpower Commander</t>
        </is>
      </c>
      <c r="B1" s="5" t="n"/>
      <c r="C1" s="5" t="n"/>
      <c r="D1" s="5" t="n"/>
      <c r="E1" s="5" t="n"/>
      <c r="F1" s="6" t="n"/>
    </row>
    <row r="2"/>
    <row r="3">
      <c r="A3" s="7" t="inlineStr">
        <is>
          <t>Department Origin</t>
        </is>
      </c>
      <c r="B3" s="8" t="inlineStr">
        <is>
          <t>Thrust Into Command</t>
        </is>
      </c>
      <c r="C3" s="7" t="inlineStr">
        <is>
          <t>Outpost</t>
        </is>
      </c>
      <c r="D3" s="8" t="inlineStr">
        <is>
          <t>Level 1 Main Base</t>
        </is>
      </c>
    </row>
    <row r="4">
      <c r="A4" s="7" t="inlineStr">
        <is>
          <t>Scale</t>
        </is>
      </c>
      <c r="B4" s="8" t="inlineStr">
        <is>
          <t>Large (120 people)</t>
        </is>
      </c>
      <c r="C4" s="7" t="inlineStr">
        <is>
          <t>Superior</t>
        </is>
      </c>
      <c r="D4" s="8" t="inlineStr">
        <is>
          <t>Military Committee</t>
        </is>
      </c>
    </row>
    <row r="5"/>
    <row r="6">
      <c r="A6" s="9" t="inlineStr">
        <is>
          <t>Core Attributes</t>
        </is>
      </c>
      <c r="B6" s="5" t="n"/>
      <c r="C6" s="5" t="n"/>
      <c r="D6" s="5" t="n"/>
      <c r="E6" s="5" t="n"/>
      <c r="F6" s="6" t="n"/>
    </row>
    <row r="7">
      <c r="A7" s="10" t="inlineStr">
        <is>
          <t>Attribute</t>
        </is>
      </c>
      <c r="B7" s="10" t="inlineStr">
        <is>
          <t>Value</t>
        </is>
      </c>
      <c r="C7" s="10" t="inlineStr">
        <is>
          <t>Modifier</t>
        </is>
      </c>
      <c r="D7" s="10" t="inlineStr">
        <is>
          <t>Description</t>
        </is>
      </c>
    </row>
    <row r="8">
      <c r="A8" s="7" t="inlineStr">
        <is>
          <t>Manpower</t>
        </is>
      </c>
      <c r="B8" s="11" t="n">
        <v>8</v>
      </c>
      <c r="C8" s="12">
        <f>FLOOR((B8-5)/2,1)</f>
        <v/>
      </c>
    </row>
    <row r="9">
      <c r="A9" s="7" t="inlineStr">
        <is>
          <t>Equipment</t>
        </is>
      </c>
      <c r="B9" s="11" t="n">
        <v>5</v>
      </c>
      <c r="C9" s="12">
        <f>FLOOR((B9-5)/2,1)</f>
        <v/>
      </c>
    </row>
    <row r="10">
      <c r="A10" s="7" t="inlineStr">
        <is>
          <t>Intelligence</t>
        </is>
      </c>
      <c r="B10" s="11" t="n">
        <v>4</v>
      </c>
      <c r="C10" s="12">
        <f>FLOOR((B10-5)/2,1)</f>
        <v/>
      </c>
    </row>
    <row r="11">
      <c r="A11" s="7" t="inlineStr">
        <is>
          <t>Reputation</t>
        </is>
      </c>
      <c r="B11" s="11" t="n">
        <v>4</v>
      </c>
      <c r="C11" s="12">
        <f>FLOOR((B11-5)/2,1)</f>
        <v/>
      </c>
    </row>
    <row r="12"/>
    <row r="13">
      <c r="A13" s="9" t="inlineStr">
        <is>
          <t>Derived Attributes</t>
        </is>
      </c>
      <c r="B13" s="5" t="n"/>
      <c r="C13" s="5" t="n"/>
      <c r="D13" s="5" t="n"/>
      <c r="E13" s="5" t="n"/>
      <c r="F13" s="6" t="n"/>
    </row>
    <row r="14">
      <c r="A14" s="13" t="inlineStr">
        <is>
          <t>Attribute</t>
        </is>
      </c>
      <c r="B14" s="13" t="inlineStr">
        <is>
          <t>Result</t>
        </is>
      </c>
      <c r="C14" s="13" t="inlineStr">
        <is>
          <t>Formula</t>
        </is>
      </c>
    </row>
    <row r="15">
      <c r="A15" s="7" t="inlineStr">
        <is>
          <t>Monthly Budget</t>
        </is>
      </c>
      <c r="B15" s="14">
        <f>200+B11*60+B10*40</f>
        <v/>
      </c>
      <c r="C15" s="15" t="inlineStr">
        <is>
          <t>Reputation(4)×50 + Intelligence(4)×30</t>
        </is>
      </c>
    </row>
    <row r="16">
      <c r="A16" s="7" t="inlineStr">
        <is>
          <t>Mission Cap</t>
        </is>
      </c>
      <c r="B16" s="8" t="n">
        <v>3</v>
      </c>
      <c r="C16" s="15" t="inlineStr">
        <is>
          <t>Manpower(8)÷3 rounded up</t>
        </is>
      </c>
    </row>
    <row r="17">
      <c r="A17" s="7" t="inlineStr">
        <is>
          <t>Intel Accuracy</t>
        </is>
      </c>
      <c r="B17" s="16" t="n">
        <v>0.4</v>
      </c>
      <c r="C17" s="15" t="inlineStr">
        <is>
          <t>Intelligence(4)×10%</t>
        </is>
      </c>
    </row>
    <row r="18">
      <c r="A18" s="7" t="inlineStr">
        <is>
          <t>Equipment Bonus</t>
        </is>
      </c>
      <c r="B18" s="8">
        <f>B9*2</f>
        <v/>
      </c>
      <c r="C18" s="15" t="inlineStr">
        <is>
          <t>Equipment(5)×3</t>
        </is>
      </c>
    </row>
    <row r="19"/>
    <row r="20">
      <c r="A20" s="9" t="inlineStr">
        <is>
          <t>Facilities</t>
        </is>
      </c>
      <c r="B20" s="5" t="n"/>
      <c r="C20" s="5" t="n"/>
      <c r="D20" s="5" t="n"/>
      <c r="E20" s="5" t="n"/>
      <c r="F20" s="6" t="n"/>
    </row>
    <row r="21">
      <c r="A21" s="7" t="inlineStr">
        <is>
          <t>Medical Station</t>
        </is>
      </c>
      <c r="B21" s="8" t="inlineStr">
        <is>
          <t>Level 1</t>
        </is>
      </c>
    </row>
    <row r="22">
      <c r="A22" s="7" t="inlineStr">
        <is>
          <t>R&amp;D Lab</t>
        </is>
      </c>
      <c r="B22" s="8" t="inlineStr">
        <is>
          <t>Level 1</t>
        </is>
      </c>
    </row>
    <row r="23">
      <c r="A23" s="7" t="inlineStr">
        <is>
          <t>Intel Center</t>
        </is>
      </c>
      <c r="B23" s="8" t="inlineStr">
        <is>
          <t>Level 1</t>
        </is>
      </c>
    </row>
    <row r="24">
      <c r="A24" s="7" t="inlineStr">
        <is>
          <t>Training Ground</t>
        </is>
      </c>
      <c r="B24" s="8" t="inlineStr">
        <is>
          <t>Level 2</t>
        </is>
      </c>
    </row>
    <row r="25">
      <c r="A25" s="7" t="inlineStr">
        <is>
          <t>Trade Post</t>
        </is>
      </c>
      <c r="B25" s="8" t="inlineStr">
        <is>
          <t>Level 1</t>
        </is>
      </c>
    </row>
    <row r="26">
      <c r="A26" s="7" t="inlineStr">
        <is>
          <t>Dormitory</t>
        </is>
      </c>
      <c r="B26" s="8" t="inlineStr">
        <is>
          <t>Level 2</t>
        </is>
      </c>
    </row>
    <row r="27"/>
    <row r="28">
      <c r="A28" s="7" t="inlineStr">
        <is>
          <t>Management Style Description</t>
        </is>
      </c>
      <c r="B28" s="8" t="inlineStr">
        <is>
          <t>A strength-in-numbers command style. Mission Cap 3, abundant manpower can absorb higher casualties. Hastily took command after the previous director vanished—their shadow still lingers.</t>
        </is>
      </c>
      <c r="C28" s="5" t="n"/>
      <c r="D28" s="5" t="n"/>
      <c r="E28" s="5" t="n"/>
      <c r="F28" s="6" t="n"/>
    </row>
    <row r="29">
      <c r="A29" s="17" t="inlineStr">
        <is>
          <t>Personnel &amp; Superiors</t>
        </is>
      </c>
    </row>
    <row r="30">
      <c r="A30" t="inlineStr">
        <is>
          <t>Rostered Headcount (ROSTER)</t>
        </is>
      </c>
      <c r="B30" t="n">
        <v>18</v>
      </c>
      <c r="C30" t="inlineStr">
        <is>
          <t>Sample value; fill in based on actual recruitment</t>
        </is>
      </c>
    </row>
    <row r="31">
      <c r="A31" t="inlineStr">
        <is>
          <t>Dormitory Capacity (DORM)</t>
        </is>
      </c>
      <c r="B31" s="18">
        <f>IF(B26="等級 1",10,IF(B26="等級 2",25,IF(B26="等級 3",50,0)))</f>
        <v/>
      </c>
      <c r="C31" t="inlineStr">
        <is>
          <t>Depends on dormitory facility level (B26)</t>
        </is>
      </c>
    </row>
    <row r="32">
      <c r="A32" t="inlineStr">
        <is>
          <t>Overcapacity Status</t>
        </is>
      </c>
      <c r="B32" s="18">
        <f>IF(B30&gt;B31,"超員 "&amp;(B30-B31)&amp;" 人","正常")</f>
        <v/>
      </c>
      <c r="C32" t="inlineStr">
        <is>
          <t>Monthly extra budget for overcapacity = overcapacity headcount × 10</t>
        </is>
      </c>
    </row>
    <row r="33">
      <c r="A33" t="inlineStr">
        <is>
          <t>Superior Relation (SUP)</t>
        </is>
      </c>
      <c r="B33" t="n">
        <v>0</v>
      </c>
      <c r="C33" t="inlineStr">
        <is>
          <t>−20 to +20; ≥+10 adds +50 budget/month; ≤−10 forces missions</t>
        </is>
      </c>
    </row>
    <row r="34">
      <c r="A34" t="inlineStr">
        <is>
          <t>Guilt (GLT)</t>
        </is>
      </c>
      <c r="B34" t="n">
        <v>0</v>
      </c>
      <c r="C34" t="inlineStr">
        <is>
          <t>+1 per catastrophe/death; ≥5 triggers Ending C</t>
        </is>
      </c>
    </row>
  </sheetData>
  <mergeCells count="5">
    <mergeCell ref="A13:F13"/>
    <mergeCell ref="A1:F1"/>
    <mergeCell ref="B28:F28"/>
    <mergeCell ref="A6:F6"/>
    <mergeCell ref="A20:F2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s>
  <sheetData>
    <row r="1" ht="35" customHeight="1">
      <c r="A1" s="4" t="inlineStr">
        <is>
          <t>The Backrooms Administration Bureau — Lone Founder</t>
        </is>
      </c>
      <c r="B1" s="5" t="n"/>
      <c r="C1" s="5" t="n"/>
      <c r="D1" s="5" t="n"/>
      <c r="E1" s="5" t="n"/>
      <c r="F1" s="6" t="n"/>
    </row>
    <row r="2"/>
    <row r="3">
      <c r="A3" s="7" t="inlineStr">
        <is>
          <t>Department Origin</t>
        </is>
      </c>
      <c r="B3" s="8" t="inlineStr">
        <is>
          <t>Founder</t>
        </is>
      </c>
      <c r="C3" s="7" t="inlineStr">
        <is>
          <t>Outpost</t>
        </is>
      </c>
      <c r="D3" s="8" t="inlineStr">
        <is>
          <t>Level 8 Cave System</t>
        </is>
      </c>
    </row>
    <row r="4">
      <c r="A4" s="7" t="inlineStr">
        <is>
          <t>Scale</t>
        </is>
      </c>
      <c r="B4" s="8" t="inlineStr">
        <is>
          <t>Small (20 people)</t>
        </is>
      </c>
      <c r="C4" s="7" t="inlineStr">
        <is>
          <t>Superior</t>
        </is>
      </c>
      <c r="D4" s="8" t="inlineStr">
        <is>
          <t>Mysterious Patron</t>
        </is>
      </c>
    </row>
    <row r="5"/>
    <row r="6">
      <c r="A6" s="9" t="inlineStr">
        <is>
          <t>Core Attributes</t>
        </is>
      </c>
      <c r="B6" s="5" t="n"/>
      <c r="C6" s="5" t="n"/>
      <c r="D6" s="5" t="n"/>
      <c r="E6" s="5" t="n"/>
      <c r="F6" s="6" t="n"/>
    </row>
    <row r="7">
      <c r="A7" s="10" t="inlineStr">
        <is>
          <t>Attribute</t>
        </is>
      </c>
      <c r="B7" s="10" t="inlineStr">
        <is>
          <t>Value</t>
        </is>
      </c>
      <c r="C7" s="10" t="inlineStr">
        <is>
          <t>Modifier</t>
        </is>
      </c>
      <c r="D7" s="10" t="inlineStr">
        <is>
          <t>Description</t>
        </is>
      </c>
    </row>
    <row r="8">
      <c r="A8" s="7" t="inlineStr">
        <is>
          <t>Manpower</t>
        </is>
      </c>
      <c r="B8" s="11" t="n">
        <v>3</v>
      </c>
      <c r="C8" s="12">
        <f>FLOOR((B8-5)/2,1)</f>
        <v/>
      </c>
    </row>
    <row r="9">
      <c r="A9" s="7" t="inlineStr">
        <is>
          <t>Equipment</t>
        </is>
      </c>
      <c r="B9" s="11" t="n">
        <v>8</v>
      </c>
      <c r="C9" s="12">
        <f>FLOOR((B9-5)/2,1)</f>
        <v/>
      </c>
    </row>
    <row r="10">
      <c r="A10" s="7" t="inlineStr">
        <is>
          <t>Intelligence</t>
        </is>
      </c>
      <c r="B10" s="11" t="n">
        <v>5</v>
      </c>
      <c r="C10" s="12">
        <f>FLOOR((B10-5)/2,1)</f>
        <v/>
      </c>
    </row>
    <row r="11">
      <c r="A11" s="7" t="inlineStr">
        <is>
          <t>Reputation</t>
        </is>
      </c>
      <c r="B11" s="11" t="n">
        <v>3</v>
      </c>
      <c r="C11" s="12">
        <f>FLOOR((B11-5)/2,1)</f>
        <v/>
      </c>
    </row>
    <row r="12"/>
    <row r="13">
      <c r="A13" s="9" t="inlineStr">
        <is>
          <t>Derived Attributes</t>
        </is>
      </c>
      <c r="B13" s="5" t="n"/>
      <c r="C13" s="5" t="n"/>
      <c r="D13" s="5" t="n"/>
      <c r="E13" s="5" t="n"/>
      <c r="F13" s="6" t="n"/>
    </row>
    <row r="14">
      <c r="A14" s="13" t="inlineStr">
        <is>
          <t>Attribute</t>
        </is>
      </c>
      <c r="B14" s="13" t="inlineStr">
        <is>
          <t>Result</t>
        </is>
      </c>
      <c r="C14" s="13" t="inlineStr">
        <is>
          <t>Formula</t>
        </is>
      </c>
    </row>
    <row r="15">
      <c r="A15" s="7" t="inlineStr">
        <is>
          <t>Monthly Budget</t>
        </is>
      </c>
      <c r="B15" s="14">
        <f>200+B11*60+B10*40</f>
        <v/>
      </c>
      <c r="C15" s="15" t="inlineStr">
        <is>
          <t>Reputation(3)×50 + Intelligence(5)×30</t>
        </is>
      </c>
    </row>
    <row r="16">
      <c r="A16" s="7" t="inlineStr">
        <is>
          <t>Mission Cap</t>
        </is>
      </c>
      <c r="B16" s="8" t="n">
        <v>1</v>
      </c>
      <c r="C16" s="15" t="inlineStr">
        <is>
          <t>Manpower(3)÷3 rounded up</t>
        </is>
      </c>
    </row>
    <row r="17">
      <c r="A17" s="7" t="inlineStr">
        <is>
          <t>Intel Accuracy</t>
        </is>
      </c>
      <c r="B17" s="16" t="n">
        <v>0.5</v>
      </c>
      <c r="C17" s="15" t="inlineStr">
        <is>
          <t>Intelligence(5)×10%</t>
        </is>
      </c>
    </row>
    <row r="18">
      <c r="A18" s="7" t="inlineStr">
        <is>
          <t>Equipment Bonus</t>
        </is>
      </c>
      <c r="B18" s="8">
        <f>B9*2</f>
        <v/>
      </c>
      <c r="C18" s="15" t="inlineStr">
        <is>
          <t>Equipment(8)×3</t>
        </is>
      </c>
    </row>
    <row r="19"/>
    <row r="20">
      <c r="A20" s="9" t="inlineStr">
        <is>
          <t>Facilities</t>
        </is>
      </c>
      <c r="B20" s="5" t="n"/>
      <c r="C20" s="5" t="n"/>
      <c r="D20" s="5" t="n"/>
      <c r="E20" s="5" t="n"/>
      <c r="F20" s="6" t="n"/>
    </row>
    <row r="21">
      <c r="A21" s="7" t="inlineStr">
        <is>
          <t>Medical Station</t>
        </is>
      </c>
      <c r="B21" s="8" t="inlineStr">
        <is>
          <t>Level 1</t>
        </is>
      </c>
    </row>
    <row r="22">
      <c r="A22" s="7" t="inlineStr">
        <is>
          <t>R&amp;D Lab</t>
        </is>
      </c>
      <c r="B22" s="8" t="inlineStr">
        <is>
          <t>Level 2</t>
        </is>
      </c>
    </row>
    <row r="23">
      <c r="A23" s="7" t="inlineStr">
        <is>
          <t>Intel Center</t>
        </is>
      </c>
      <c r="B23" s="8" t="inlineStr">
        <is>
          <t>Level 1</t>
        </is>
      </c>
    </row>
    <row r="24">
      <c r="A24" s="7" t="inlineStr">
        <is>
          <t>Training Ground</t>
        </is>
      </c>
      <c r="B24" s="8" t="inlineStr">
        <is>
          <t>Level 1</t>
        </is>
      </c>
    </row>
    <row r="25">
      <c r="A25" s="7" t="inlineStr">
        <is>
          <t>Trade Post</t>
        </is>
      </c>
      <c r="B25" s="8" t="inlineStr">
        <is>
          <t>Level 1</t>
        </is>
      </c>
    </row>
    <row r="26">
      <c r="A26" s="7" t="inlineStr">
        <is>
          <t>Dormitory</t>
        </is>
      </c>
      <c r="B26" s="8" t="inlineStr">
        <is>
          <t>Level 1</t>
        </is>
      </c>
    </row>
    <row r="27"/>
    <row r="28">
      <c r="A28" s="7" t="inlineStr">
        <is>
          <t>Management Style Description</t>
        </is>
      </c>
      <c r="B28" s="8" t="inlineStr">
        <is>
          <t>An elite-soldier path. High Equipment ensures mission success rate, but the disadvantage in Manpower and Reputation means one major failure could be devastating. You built this Bureau with your own hands—no one cares for it more than you.</t>
        </is>
      </c>
      <c r="C28" s="5" t="n"/>
      <c r="D28" s="5" t="n"/>
      <c r="E28" s="5" t="n"/>
      <c r="F28" s="6" t="n"/>
    </row>
    <row r="29">
      <c r="A29" s="17" t="inlineStr">
        <is>
          <t>Personnel &amp; Superiors</t>
        </is>
      </c>
    </row>
    <row r="30">
      <c r="A30" t="inlineStr">
        <is>
          <t>Rostered Headcount (ROSTER)</t>
        </is>
      </c>
      <c r="B30" t="n">
        <v>6</v>
      </c>
      <c r="C30" t="inlineStr">
        <is>
          <t>Sample value; fill in based on actual recruitment</t>
        </is>
      </c>
    </row>
    <row r="31">
      <c r="A31" t="inlineStr">
        <is>
          <t>Dormitory Capacity (DORM)</t>
        </is>
      </c>
      <c r="B31" s="18">
        <f>IF(B26="等級 1",10,IF(B26="等級 2",25,IF(B26="等級 3",50,0)))</f>
        <v/>
      </c>
      <c r="C31" t="inlineStr">
        <is>
          <t>Depends on dormitory facility level (B26)</t>
        </is>
      </c>
    </row>
    <row r="32">
      <c r="A32" t="inlineStr">
        <is>
          <t>Overcapacity Status</t>
        </is>
      </c>
      <c r="B32" s="18">
        <f>IF(B30&gt;B31,"超員 "&amp;(B30-B31)&amp;" 人","正常")</f>
        <v/>
      </c>
      <c r="C32" t="inlineStr">
        <is>
          <t>Monthly extra budget for overcapacity = overcapacity headcount × 10</t>
        </is>
      </c>
    </row>
    <row r="33">
      <c r="A33" t="inlineStr">
        <is>
          <t>Superior Relation (SUP)</t>
        </is>
      </c>
      <c r="B33" t="n">
        <v>0</v>
      </c>
      <c r="C33" t="inlineStr">
        <is>
          <t>−20 to +20; ≥+10 adds +50 budget/month; ≤−10 forces missions</t>
        </is>
      </c>
    </row>
    <row r="34">
      <c r="A34" t="inlineStr">
        <is>
          <t>Guilt (GLT)</t>
        </is>
      </c>
      <c r="B34" t="n">
        <v>0</v>
      </c>
      <c r="C34" t="inlineStr">
        <is>
          <t>+1 per catastrophe/death; ≥5 triggers Ending C</t>
        </is>
      </c>
    </row>
  </sheetData>
  <mergeCells count="5">
    <mergeCell ref="A13:F13"/>
    <mergeCell ref="A1:F1"/>
    <mergeCell ref="B28:F28"/>
    <mergeCell ref="A6:F6"/>
    <mergeCell ref="A20:F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2026-07-15T19:11:05Z</dcterms:created>
  <dcterms:modified xsi:type="dcterms:W3CDTF">2026-08-09T17:39:13Z</dcterms:modified>
</cp:coreProperties>
</file>