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角色卡" sheetId="1" state="visible" r:id="rId1"/>
    <sheet name="NPC夥伴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9" customWidth="1" min="3" max="3"/>
    <col width="11" customWidth="1" min="4" max="4"/>
    <col width="20" customWidth="1" min="5" max="5"/>
    <col width="20" customWidth="1" min="6" max="6"/>
  </cols>
  <sheetData>
    <row r="1">
      <c r="A1" s="1" t="inlineStr">
        <is>
          <t>NPC角色卡 v2.0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NPC名稱</t>
        </is>
      </c>
      <c r="B4" s="4" t="inlineStr">
        <is>
          <t>角色定位</t>
        </is>
      </c>
      <c r="C4" s="4" t="inlineStr">
        <is>
          <t>等級</t>
        </is>
      </c>
      <c r="D4" s="4" t="inlineStr">
        <is>
          <t>陣營</t>
        </is>
      </c>
      <c r="E4" s="4" t="inlineStr">
        <is>
          <t>所屬勢力</t>
        </is>
      </c>
      <c r="F4" s="4" t="inlineStr">
        <is>
          <t>好感度</t>
        </is>
      </c>
    </row>
    <row r="5">
      <c r="A5" s="5" t="n"/>
      <c r="B5" s="5" t="n"/>
      <c r="C5" s="5" t="n"/>
      <c r="D5" s="5" t="n"/>
      <c r="E5" s="5" t="n"/>
      <c r="F5" s="5" t="n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10</v>
      </c>
      <c r="B9" s="5" t="n">
        <v>10</v>
      </c>
      <c r="C9" s="5" t="n">
        <v>10</v>
      </c>
      <c r="D9" s="5" t="n">
        <v>10</v>
      </c>
      <c r="E9" s="5" t="n">
        <v>10</v>
      </c>
      <c r="F9" s="5" t="n">
        <v>10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>
        <f>C9*10+C4*5</f>
        <v/>
      </c>
      <c r="B13" s="5">
        <f>F9*5+C4*3</f>
        <v/>
      </c>
      <c r="C13" s="5">
        <f>A9*2</f>
        <v/>
      </c>
      <c r="D13" s="5">
        <f>C9*1.5</f>
        <v/>
      </c>
      <c r="E13" s="5">
        <f>MIN(50+E9*3,95)</f>
        <v/>
      </c>
      <c r="F13" s="5">
        <f>MIN(10+B9*2,60)</f>
        <v/>
      </c>
    </row>
    <row r="14"/>
    <row r="15">
      <c r="A15" s="2" t="inlineStr">
        <is>
          <t>備註</t>
        </is>
      </c>
      <c r="B15" s="3" t="n"/>
      <c r="C15" s="3" t="n"/>
      <c r="D15" s="3" t="n"/>
      <c r="E15" s="3" t="n"/>
      <c r="F15" s="3" t="n"/>
    </row>
    <row r="16">
      <c r="A16" s="6" t="n"/>
    </row>
    <row r="17"/>
    <row r="18"/>
    <row r="19"/>
  </sheetData>
  <mergeCells count="6">
    <mergeCell ref="A11:F11"/>
    <mergeCell ref="A16:F19"/>
    <mergeCell ref="A1:F1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  <col width="11" customWidth="1" min="4" max="4"/>
    <col width="20" customWidth="1" min="5" max="5"/>
    <col width="20" customWidth="1" min="6" max="6"/>
  </cols>
  <sheetData>
    <row r="1">
      <c r="A1" s="1" t="inlineStr">
        <is>
          <t>NPC夥伴卡 v2.0（單人模式）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3" t="n"/>
    </row>
    <row r="4">
      <c r="A4" s="4" t="inlineStr">
        <is>
          <t>夥伴名稱</t>
        </is>
      </c>
      <c r="B4" s="4" t="inlineStr">
        <is>
          <t>角色定位（職業參照）</t>
        </is>
      </c>
      <c r="C4" s="4" t="inlineStr">
        <is>
          <t>夥伴等級</t>
        </is>
      </c>
      <c r="D4" s="4" t="inlineStr">
        <is>
          <t>AI傾向</t>
        </is>
      </c>
      <c r="E4" s="4" t="inlineStr">
        <is>
          <t>來源</t>
        </is>
      </c>
      <c r="F4" s="4" t="inlineStr">
        <is>
          <t>狀態</t>
        </is>
      </c>
    </row>
    <row r="5">
      <c r="A5" s="5" t="n"/>
      <c r="B5" s="5" t="n"/>
      <c r="C5" s="5" t="n"/>
      <c r="D5" s="5" t="n"/>
      <c r="E5" s="5" t="n"/>
      <c r="F5" s="5" t="n"/>
    </row>
    <row r="6"/>
    <row r="7">
      <c r="A7" s="2" t="inlineStr">
        <is>
          <t>屬性</t>
        </is>
      </c>
      <c r="B7" s="3" t="n"/>
      <c r="C7" s="3" t="n"/>
      <c r="D7" s="3" t="n"/>
      <c r="E7" s="3" t="n"/>
      <c r="F7" s="3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10</v>
      </c>
      <c r="B9" s="5" t="n">
        <v>10</v>
      </c>
      <c r="C9" s="5" t="n">
        <v>10</v>
      </c>
      <c r="D9" s="5" t="n">
        <v>10</v>
      </c>
      <c r="E9" s="5" t="n">
        <v>10</v>
      </c>
      <c r="F9" s="5" t="n">
        <v>10</v>
      </c>
    </row>
    <row r="10"/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>
        <f>C9*10</f>
        <v/>
      </c>
      <c r="B13" s="5">
        <f>F9*5</f>
        <v/>
      </c>
      <c r="C13" s="5">
        <f>A9*2</f>
        <v/>
      </c>
      <c r="D13" s="5">
        <f>C9*1.5</f>
        <v/>
      </c>
      <c r="E13" s="5">
        <f>MIN(50+E9*3,95)</f>
        <v/>
      </c>
      <c r="F13" s="5">
        <f>MIN(10+B9*2,60)</f>
        <v/>
      </c>
    </row>
    <row r="14"/>
    <row r="15">
      <c r="A15" s="2" t="inlineStr">
        <is>
          <t>技能（每10級解鎖1個）</t>
        </is>
      </c>
      <c r="B15" s="3" t="n"/>
      <c r="C15" s="3" t="n"/>
      <c r="D15" s="3" t="n"/>
      <c r="E15" s="3" t="n"/>
      <c r="F15" s="3" t="n"/>
    </row>
    <row r="16">
      <c r="A16" s="4" t="inlineStr">
        <is>
          <t>技能1</t>
        </is>
      </c>
      <c r="B16" s="4" t="inlineStr">
        <is>
          <t>技能2</t>
        </is>
      </c>
      <c r="C16" s="4" t="inlineStr">
        <is>
          <t>技能3</t>
        </is>
      </c>
      <c r="D16" s="4" t="inlineStr">
        <is>
          <t>技能4</t>
        </is>
      </c>
      <c r="E16" s="4" t="inlineStr">
        <is>
          <t>技能5</t>
        </is>
      </c>
    </row>
    <row r="17">
      <c r="A17" s="5" t="n"/>
      <c r="B17" s="5" t="n"/>
      <c r="C17" s="5" t="n"/>
      <c r="D17" s="5" t="n"/>
      <c r="E17" s="5" t="n"/>
    </row>
    <row r="18"/>
    <row r="19">
      <c r="A19" s="2" t="inlineStr">
        <is>
          <t>備註</t>
        </is>
      </c>
      <c r="B19" s="3" t="n"/>
      <c r="C19" s="3" t="n"/>
      <c r="D19" s="3" t="n"/>
      <c r="E19" s="3" t="n"/>
      <c r="F19" s="3" t="n"/>
    </row>
    <row r="20">
      <c r="A20" s="6" t="n"/>
    </row>
    <row r="21"/>
    <row r="22"/>
  </sheetData>
  <mergeCells count="7">
    <mergeCell ref="A11:F11"/>
    <mergeCell ref="A19:F19"/>
    <mergeCell ref="A1:F1"/>
    <mergeCell ref="A3:F3"/>
    <mergeCell ref="A15:F15"/>
    <mergeCell ref="A7:F7"/>
    <mergeCell ref="A20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2026-07-12T18:50:41Z</dcterms:created>
  <dcterms:modified xsi:type="dcterms:W3CDTF">2026-07-12T18:50:41Z</dcterms:modified>
</cp:coreProperties>
</file>