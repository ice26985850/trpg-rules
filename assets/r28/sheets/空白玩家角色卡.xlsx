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1" customWidth="1" min="4" max="4"/>
    <col width="22" customWidth="1" min="5" max="5"/>
    <col width="13" customWidth="1" min="6" max="6"/>
    <col width="20" customWidth="1" min="7" max="7"/>
    <col width="20" customWidth="1" min="8" max="8"/>
    <col width="11" customWidth="1" min="9" max="9"/>
    <col width="4" customWidth="1" min="10" max="10"/>
    <col width="8" customWidth="1" min="11" max="11"/>
    <col width="4" customWidth="1" min="12" max="12"/>
    <col width="9" customWidth="1" min="13" max="13"/>
    <col width="4" customWidth="1" min="14" max="14"/>
    <col width="6" customWidth="1" min="15" max="15"/>
    <col width="4" customWidth="1" min="16" max="16"/>
  </cols>
  <sheetData>
    <row r="1">
      <c r="A1" s="1" t="inlineStr">
        <is>
          <t>異界入侵 TRPG — 玩家角色卡 v2.0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玩家名稱</t>
        </is>
      </c>
      <c r="B4" s="5" t="n"/>
      <c r="C4" s="4" t="inlineStr">
        <is>
          <t>角色名稱</t>
        </is>
      </c>
      <c r="D4" s="5" t="n">
        <v>1</v>
      </c>
      <c r="E4" s="4" t="inlineStr">
        <is>
          <t>角色等級</t>
        </is>
      </c>
      <c r="F4" s="5" t="n"/>
      <c r="G4" s="4" t="inlineStr">
        <is>
          <t>稱號</t>
        </is>
      </c>
      <c r="H4" s="5" t="n"/>
      <c r="I4" s="4" t="inlineStr">
        <is>
          <t>背景</t>
        </is>
      </c>
      <c r="J4" s="5" t="n"/>
      <c r="K4" s="4" t="inlineStr">
        <is>
          <t>覺醒場景</t>
        </is>
      </c>
      <c r="L4" s="5" t="n"/>
      <c r="M4" s="4" t="inlineStr">
        <is>
          <t>角色EXP</t>
        </is>
      </c>
      <c r="N4" s="5" t="n"/>
      <c r="O4" s="4" t="inlineStr">
        <is>
          <t>動力</t>
        </is>
      </c>
      <c r="P4" s="5" t="n"/>
    </row>
    <row r="5"/>
    <row r="6">
      <c r="A6" s="2" t="inlineStr">
        <is>
          <t>六維屬性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力量（STR）</t>
        </is>
      </c>
      <c r="B7" s="4" t="inlineStr">
        <is>
          <t>敏捷（DEX）</t>
        </is>
      </c>
      <c r="C7" s="4" t="inlineStr">
        <is>
          <t>耐力（CON）</t>
        </is>
      </c>
      <c r="D7" s="4" t="inlineStr">
        <is>
          <t>智力（INT）</t>
        </is>
      </c>
      <c r="E7" s="4" t="inlineStr">
        <is>
          <t>感知（WIS）</t>
        </is>
      </c>
      <c r="F7" s="4" t="inlineStr">
        <is>
          <t>精神（SPI）</t>
        </is>
      </c>
    </row>
    <row r="8">
      <c r="A8" s="5" t="n">
        <v>10</v>
      </c>
      <c r="B8" s="5" t="n">
        <v>10</v>
      </c>
      <c r="C8" s="5" t="n">
        <v>10</v>
      </c>
      <c r="D8" s="5" t="n">
        <v>10</v>
      </c>
      <c r="E8" s="5" t="n">
        <v>10</v>
      </c>
      <c r="F8" s="5" t="n">
        <v>10</v>
      </c>
    </row>
    <row r="9">
      <c r="A9" s="4" t="inlineStr">
        <is>
          <t>可用屬性點</t>
        </is>
      </c>
      <c r="B9" s="5" t="n">
        <v>30</v>
      </c>
      <c r="D9" s="4" t="inlineStr">
        <is>
          <t>階梯花費</t>
        </is>
      </c>
      <c r="E9" s="5" t="inlineStr">
        <is>
          <t>≤10=1, 11-20=1, 21-40=2...</t>
        </is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MATK</t>
        </is>
      </c>
      <c r="E12" s="4" t="inlineStr">
        <is>
          <t>PDEF</t>
        </is>
      </c>
      <c r="F12" s="4" t="inlineStr">
        <is>
          <t>MDEF</t>
        </is>
      </c>
      <c r="G12" s="4" t="inlineStr">
        <is>
          <t>HIT%</t>
        </is>
      </c>
      <c r="H12" s="4" t="inlineStr">
        <is>
          <t>DGE%</t>
        </is>
      </c>
      <c r="I12" s="4" t="inlineStr">
        <is>
          <t>CRT%</t>
        </is>
      </c>
    </row>
    <row r="13">
      <c r="A13" s="5">
        <f>C8*10+D4*5</f>
        <v/>
      </c>
      <c r="B13" s="5">
        <f>F8*5+D4*3</f>
        <v/>
      </c>
      <c r="C13" s="5">
        <f>A8*2+0</f>
        <v/>
      </c>
      <c r="D13" s="5">
        <f>D8*2+0</f>
        <v/>
      </c>
      <c r="E13" s="5">
        <f>C8*1.5+0</f>
        <v/>
      </c>
      <c r="F13" s="5">
        <f>F8*1.5+0</f>
        <v/>
      </c>
      <c r="G13" s="5">
        <f>MIN(50+E8*3,95)</f>
        <v/>
      </c>
      <c r="H13" s="5">
        <f>MIN(10+B8*2,60)</f>
        <v/>
      </c>
      <c r="I13" s="5">
        <f>5+B8*1</f>
        <v/>
      </c>
    </row>
    <row r="14">
      <c r="A14" s="4" t="inlineStr">
        <is>
          <t>武器加值</t>
        </is>
      </c>
      <c r="B14" s="5" t="n">
        <v>0</v>
      </c>
      <c r="C14" s="4" t="inlineStr">
        <is>
          <t>防具加值</t>
        </is>
      </c>
      <c r="D14" s="5" t="n">
        <v>0</v>
      </c>
      <c r="E14" s="4" t="inlineStr">
        <is>
          <t>飾品加值</t>
        </is>
      </c>
      <c r="F14" s="5" t="n">
        <v>0</v>
      </c>
      <c r="G14" s="4" t="inlineStr">
        <is>
          <t>金幣G</t>
        </is>
      </c>
      <c r="H14" s="5" t="n">
        <v>50</v>
      </c>
    </row>
    <row r="15"/>
    <row r="16">
      <c r="A16" s="6" t="inlineStr">
        <is>
          <t>職業系統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4" t="inlineStr">
        <is>
          <t>主職業1</t>
        </is>
      </c>
      <c r="B17" s="5" t="inlineStr">
        <is>
          <t>前鋒</t>
        </is>
      </c>
      <c r="C17" s="4" t="inlineStr">
        <is>
          <t>等級</t>
        </is>
      </c>
      <c r="D17" s="5" t="n">
        <v>1</v>
      </c>
      <c r="E17" s="4" t="inlineStr">
        <is>
          <t>EXP</t>
        </is>
      </c>
      <c r="F17" s="5" t="n">
        <v>0</v>
      </c>
      <c r="G17" s="4" t="inlineStr">
        <is>
          <t>分支</t>
        </is>
      </c>
      <c r="H17" s="5" t="n"/>
    </row>
    <row r="18">
      <c r="A18" s="4" t="inlineStr">
        <is>
          <t>主職業2</t>
        </is>
      </c>
      <c r="B18" s="5" t="n"/>
      <c r="C18" s="4" t="inlineStr">
        <is>
          <t>等級</t>
        </is>
      </c>
      <c r="D18" s="5" t="n"/>
      <c r="E18" s="4" t="inlineStr">
        <is>
          <t>EXP</t>
        </is>
      </c>
      <c r="F18" s="5" t="n"/>
      <c r="G18" s="4" t="inlineStr">
        <is>
          <t>分支</t>
        </is>
      </c>
      <c r="H18" s="5" t="n"/>
    </row>
    <row r="19">
      <c r="A19" s="4" t="inlineStr">
        <is>
          <t>副職業1</t>
        </is>
      </c>
      <c r="B19" s="5" t="n"/>
      <c r="C19" s="4" t="inlineStr">
        <is>
          <t>等級</t>
        </is>
      </c>
      <c r="D19" s="5" t="n"/>
      <c r="E19" s="4" t="inlineStr">
        <is>
          <t>EXP</t>
        </is>
      </c>
      <c r="F19" s="5" t="n"/>
      <c r="G19" s="4" t="inlineStr">
        <is>
          <t>副職業2</t>
        </is>
      </c>
      <c r="H19" s="5" t="n"/>
    </row>
    <row r="20">
      <c r="A20" s="4" t="inlineStr">
        <is>
          <t>副職業2等級</t>
        </is>
      </c>
      <c r="B20" s="5" t="n"/>
      <c r="C20" s="4" t="inlineStr">
        <is>
          <t>副職業3</t>
        </is>
      </c>
      <c r="D20" s="5" t="n"/>
      <c r="E20" s="4" t="inlineStr">
        <is>
          <t>副職業3等級</t>
        </is>
      </c>
      <c r="F20" s="5" t="n"/>
      <c r="G20" s="4" t="inlineStr">
        <is>
          <t>神祇職業</t>
        </is>
      </c>
      <c r="H20" s="5" t="n"/>
    </row>
    <row r="21">
      <c r="A21" s="4" t="inlineStr">
        <is>
          <t>職業等級總和</t>
        </is>
      </c>
      <c r="B21" s="5" t="n">
        <v>1</v>
      </c>
      <c r="C21" s="4" t="inlineStr">
        <is>
          <t>上限(≤角色等級)</t>
        </is>
      </c>
      <c r="D21" s="5" t="inlineStr">
        <is>
          <t>≤ D4</t>
        </is>
      </c>
      <c r="E21" s="4" t="inlineStr">
        <is>
          <t>傷害倍率</t>
        </is>
      </c>
      <c r="F21" s="5">
        <f>1+B4/20</f>
        <v/>
      </c>
      <c r="G21" s="4" t="inlineStr">
        <is>
          <t>(基礎威力×倍率)</t>
        </is>
      </c>
      <c r="H21" s="5" t="n"/>
    </row>
    <row r="22"/>
    <row r="23">
      <c r="A23" s="2" t="inlineStr">
        <is>
          <t>已解鎖技能</t>
        </is>
      </c>
      <c r="B23" s="3" t="n"/>
      <c r="C23" s="3" t="n"/>
      <c r="D23" s="3" t="n"/>
      <c r="E23" s="3" t="n"/>
      <c r="F23" s="3" t="n"/>
      <c r="G23" s="3" t="n"/>
      <c r="H23" s="3" t="n"/>
    </row>
    <row r="24">
      <c r="A24" s="4" t="inlineStr">
        <is>
          <t>技能名稱</t>
        </is>
      </c>
      <c r="B24" s="4" t="inlineStr">
        <is>
          <t>來源職業</t>
        </is>
      </c>
      <c r="C24" s="4" t="inlineStr">
        <is>
          <t>基礎威力</t>
        </is>
      </c>
      <c r="D24" s="4" t="inlineStr">
        <is>
          <t>MP消耗</t>
        </is>
      </c>
      <c r="E24" s="4" t="inlineStr">
        <is>
          <t>冷卻</t>
        </is>
      </c>
      <c r="F24" s="4" t="inlineStr">
        <is>
          <t>傷害類型</t>
        </is>
      </c>
      <c r="G24" s="4" t="inlineStr">
        <is>
          <t>特效</t>
        </is>
      </c>
      <c r="H24" s="4" t="inlineStr">
        <is>
          <t>備註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/>
    <row r="34">
      <c r="A34" s="2" t="inlineStr">
        <is>
          <t>覺醒技能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4" t="inlineStr">
        <is>
          <t>技能名稱</t>
        </is>
      </c>
      <c r="B35" s="5" t="n"/>
      <c r="D35" s="4" t="inlineStr">
        <is>
          <t>原始效果</t>
        </is>
      </c>
      <c r="E35" s="5" t="n"/>
    </row>
    <row r="36">
      <c r="A36" s="4" t="inlineStr">
        <is>
          <t>進化I</t>
        </is>
      </c>
      <c r="B36" s="5" t="n"/>
      <c r="D36" s="4" t="inlineStr">
        <is>
          <t>進化II</t>
        </is>
      </c>
      <c r="E36" s="5" t="n"/>
    </row>
    <row r="37"/>
    <row r="38">
      <c r="A38" s="2" t="inlineStr">
        <is>
          <t>裝備</t>
        </is>
      </c>
      <c r="B38" s="3" t="n"/>
      <c r="C38" s="3" t="n"/>
      <c r="D38" s="3" t="n"/>
      <c r="E38" s="3" t="n"/>
      <c r="F38" s="3" t="n"/>
      <c r="G38" s="3" t="n"/>
      <c r="H38" s="3" t="n"/>
    </row>
    <row r="39">
      <c r="A39" s="4" t="inlineStr">
        <is>
          <t>部位</t>
        </is>
      </c>
      <c r="B39" s="4" t="inlineStr">
        <is>
          <t>裝備名稱</t>
        </is>
      </c>
      <c r="C39" s="4" t="inlineStr">
        <is>
          <t>顏色</t>
        </is>
      </c>
      <c r="D39" s="4" t="inlineStr">
        <is>
          <t>稀有度</t>
        </is>
      </c>
      <c r="E39" s="4" t="inlineStr">
        <is>
          <t>加值</t>
        </is>
      </c>
      <c r="F39" s="4" t="inlineStr">
        <is>
          <t>特效</t>
        </is>
      </c>
      <c r="G39" s="4" t="inlineStr">
        <is>
          <t>備註</t>
        </is>
      </c>
    </row>
    <row r="40">
      <c r="A40" s="5" t="inlineStr">
        <is>
          <t>武器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s="5" t="inlineStr">
        <is>
          <t>身體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s="5" t="inlineStr">
        <is>
          <t>腳部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5" t="inlineStr">
        <is>
          <t>飾品1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s="5" t="inlineStr">
        <is>
          <t>飾品2</t>
        </is>
      </c>
      <c r="B44" s="5" t="n"/>
      <c r="C44" s="5" t="n"/>
      <c r="D44" s="5" t="n"/>
      <c r="E44" s="5" t="n"/>
      <c r="F44" s="5" t="n"/>
      <c r="G44" s="5" t="n"/>
      <c r="H44" s="5" t="n"/>
    </row>
    <row r="45"/>
    <row r="46">
      <c r="A46" s="2" t="inlineStr">
        <is>
          <t>物品</t>
        </is>
      </c>
      <c r="B46" s="3" t="n"/>
      <c r="C46" s="3" t="n"/>
      <c r="D46" s="3" t="n"/>
      <c r="E46" s="3" t="n"/>
      <c r="F46" s="3" t="n"/>
      <c r="G46" s="3" t="n"/>
      <c r="H46" s="3" t="n"/>
    </row>
    <row r="47">
      <c r="A47" s="4" t="inlineStr">
        <is>
          <t>物品名稱</t>
        </is>
      </c>
      <c r="B47" s="4" t="inlineStr">
        <is>
          <t>數量</t>
        </is>
      </c>
      <c r="C47" s="4" t="inlineStr">
        <is>
          <t>效果</t>
        </is>
      </c>
      <c r="D47" s="4" t="inlineStr">
        <is>
          <t>備註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</sheetData>
  <mergeCells count="9">
    <mergeCell ref="A3:H3"/>
    <mergeCell ref="A46:H46"/>
    <mergeCell ref="A38:H38"/>
    <mergeCell ref="A16:H16"/>
    <mergeCell ref="A11:H11"/>
    <mergeCell ref="A1:H1"/>
    <mergeCell ref="A23:H23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