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玩家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1F4E79"/>
      <sz val="16"/>
    </font>
    <font>
      <name val="Microsoft JhengHei"/>
      <b val="1"/>
      <color rgb="001F4E79"/>
      <sz val="12"/>
    </font>
    <font>
      <name val="Microsoft JhengHei"/>
      <b val="1"/>
      <sz val="10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color rgb="000070C0"/>
      <sz val="10"/>
    </font>
    <font>
      <name val="Microsoft JhengHei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時間循環 TRPG —— 玩家角色卡</t>
        </is>
      </c>
    </row>
    <row r="2"/>
    <row r="3">
      <c r="A3" s="2" t="inlineStr">
        <is>
          <t>基本資訊</t>
        </is>
      </c>
    </row>
    <row r="4">
      <c r="A4" s="4" t="inlineStr">
        <is>
          <t>姓名：</t>
        </is>
      </c>
      <c r="C4" s="4" t="inlineStr">
        <is>
          <t>年齡：</t>
        </is>
      </c>
    </row>
    <row r="5">
      <c r="A5" s="4" t="inlineStr">
        <is>
          <t>職業：</t>
        </is>
      </c>
      <c r="C5" s="4" t="inlineStr">
        <is>
          <t>背景：</t>
        </is>
      </c>
    </row>
    <row r="6">
      <c r="A6" s="4" t="inlineStr">
        <is>
          <t>時間態度：</t>
        </is>
      </c>
      <c r="C6" s="4" t="inlineStr">
        <is>
          <t>核心關係NPC：</t>
        </is>
      </c>
    </row>
    <row r="7">
      <c r="A7" s="4" t="inlineStr">
        <is>
          <t>關係描述：</t>
        </is>
      </c>
    </row>
    <row r="8">
      <c r="A8" s="4" t="inlineStr">
        <is>
          <t>隱藏資訊卡 #：</t>
        </is>
      </c>
    </row>
    <row r="9"/>
    <row r="10">
      <c r="A10" s="2" t="inlineStr">
        <is>
          <t>五大屬性（輸入屬性值 1-5）</t>
        </is>
      </c>
    </row>
    <row r="11">
      <c r="A11" s="5" t="inlineStr"/>
      <c r="B11" s="5" t="inlineStr">
        <is>
          <t>記憶（MEM）</t>
        </is>
      </c>
      <c r="C11" s="5" t="inlineStr">
        <is>
          <t>洞察（INS）</t>
        </is>
      </c>
      <c r="D11" s="5" t="inlineStr">
        <is>
          <t>意志（WIL）</t>
        </is>
      </c>
      <c r="E11" s="5" t="inlineStr">
        <is>
          <t>行動（ACT）</t>
        </is>
      </c>
      <c r="F11" s="5" t="inlineStr">
        <is>
          <t>共感（EMP）</t>
        </is>
      </c>
    </row>
    <row r="12">
      <c r="A12" s="6" t="inlineStr">
        <is>
          <t>屬性值</t>
        </is>
      </c>
      <c r="B12" s="7" t="n"/>
      <c r="C12" s="7" t="n"/>
      <c r="D12" s="7" t="n"/>
      <c r="E12" s="7" t="n"/>
      <c r="F12" s="7" t="n"/>
    </row>
    <row r="13">
      <c r="A13" s="6" t="inlineStr">
        <is>
          <t>修正值（自動）</t>
        </is>
      </c>
      <c r="B13" s="8">
        <f>B12-2</f>
        <v/>
      </c>
      <c r="C13" s="8">
        <f>C12-2</f>
        <v/>
      </c>
      <c r="D13" s="8">
        <f>D12-2</f>
        <v/>
      </c>
      <c r="E13" s="8">
        <f>E12-2</f>
        <v/>
      </c>
      <c r="F13" s="8">
        <f>F12-2</f>
        <v/>
      </c>
    </row>
    <row r="14"/>
    <row r="15">
      <c r="A15" s="2" t="inlineStr">
        <is>
          <t>衍生屬性（自動計算）</t>
        </is>
      </c>
    </row>
    <row r="16">
      <c r="A16" s="4" t="inlineStr">
        <is>
          <t>記憶錨點數（MAP）</t>
        </is>
      </c>
      <c r="G16" s="9">
        <f>B12+INT(C12/2)</f>
        <v/>
      </c>
    </row>
    <row r="17">
      <c r="A17" s="4" t="inlineStr">
        <is>
          <t>循環疲勞閾值（LFT）</t>
        </is>
      </c>
      <c r="G17" s="9">
        <f>D12*2+5</f>
        <v/>
      </c>
    </row>
    <row r="18">
      <c r="A18" s="4" t="inlineStr">
        <is>
          <t>每日行動點（DAP）</t>
        </is>
      </c>
      <c r="G18" s="9">
        <f>8+(E12-2)</f>
        <v/>
      </c>
    </row>
    <row r="19">
      <c r="A19" s="10" t="inlineStr">
        <is>
          <t>※ 既視感DC需手動輸入本循環暴露次數到單元格 B4；DC = 10 - B4（最低6）</t>
        </is>
      </c>
      <c r="G19" s="9">
        <f>10-B4</f>
        <v/>
      </c>
    </row>
    <row r="20"/>
    <row r="21">
      <c r="A21" s="2" t="inlineStr">
        <is>
          <t>循環疲勞追蹤</t>
        </is>
      </c>
    </row>
    <row r="22">
      <c r="A22" s="5" t="inlineStr">
        <is>
          <t>循環#</t>
        </is>
      </c>
      <c r="B22" s="5" t="inlineStr">
        <is>
          <t>疲勞變化</t>
        </is>
      </c>
      <c r="C22" s="5" t="inlineStr">
        <is>
          <t>累計疲勞</t>
        </is>
      </c>
      <c r="D22" s="5" t="inlineStr">
        <is>
          <t>階段</t>
        </is>
      </c>
      <c r="E22" s="5" t="inlineStr">
        <is>
          <t>備註</t>
        </is>
      </c>
    </row>
    <row r="23">
      <c r="A23" s="7" t="n">
        <v>1</v>
      </c>
      <c r="B23" s="7" t="n"/>
      <c r="C23" s="7">
        <f>B23</f>
        <v/>
      </c>
      <c r="D23" s="7" t="n"/>
      <c r="E23" s="7" t="n"/>
    </row>
    <row r="24">
      <c r="A24" s="7" t="n">
        <v>2</v>
      </c>
      <c r="B24" s="7" t="n"/>
      <c r="C24" s="7">
        <f>C23+B24</f>
        <v/>
      </c>
      <c r="D24" s="7" t="n"/>
      <c r="E24" s="7" t="n"/>
    </row>
    <row r="25">
      <c r="A25" s="7" t="n">
        <v>3</v>
      </c>
      <c r="B25" s="7" t="n"/>
      <c r="C25" s="7">
        <f>C24+B25</f>
        <v/>
      </c>
      <c r="D25" s="7" t="n"/>
      <c r="E25" s="7" t="n"/>
    </row>
    <row r="26">
      <c r="A26" s="7" t="n">
        <v>4</v>
      </c>
      <c r="B26" s="7" t="n"/>
      <c r="C26" s="7">
        <f>C25+B26</f>
        <v/>
      </c>
      <c r="D26" s="7" t="n"/>
      <c r="E26" s="7" t="n"/>
    </row>
    <row r="27">
      <c r="A27" s="7" t="n">
        <v>5</v>
      </c>
      <c r="B27" s="7" t="n"/>
      <c r="C27" s="7">
        <f>C26+B27</f>
        <v/>
      </c>
      <c r="D27" s="7" t="n"/>
      <c r="E27" s="7" t="n"/>
    </row>
    <row r="28">
      <c r="A28" s="7" t="n">
        <v>6</v>
      </c>
      <c r="B28" s="7" t="n"/>
      <c r="C28" s="7">
        <f>C27+B28</f>
        <v/>
      </c>
      <c r="D28" s="7" t="n"/>
      <c r="E28" s="7" t="n"/>
    </row>
    <row r="29">
      <c r="A29" s="7" t="n">
        <v>7</v>
      </c>
      <c r="B29" s="7" t="n"/>
      <c r="C29" s="7">
        <f>C28+B29</f>
        <v/>
      </c>
      <c r="D29" s="7" t="n"/>
      <c r="E29" s="7" t="n"/>
    </row>
    <row r="30">
      <c r="A30" s="7" t="n">
        <v>8</v>
      </c>
      <c r="B30" s="7" t="n"/>
      <c r="C30" s="7">
        <f>C29+B30</f>
        <v/>
      </c>
      <c r="D30" s="7" t="n"/>
      <c r="E30" s="7" t="n"/>
    </row>
    <row r="31">
      <c r="A31" s="7" t="n">
        <v>9</v>
      </c>
      <c r="B31" s="7" t="n"/>
      <c r="C31" s="7">
        <f>C30+B31</f>
        <v/>
      </c>
      <c r="D31" s="7" t="n"/>
      <c r="E31" s="7" t="n"/>
    </row>
    <row r="32">
      <c r="A32" s="7" t="n">
        <v>10</v>
      </c>
      <c r="B32" s="7" t="n"/>
      <c r="C32" s="7">
        <f>C31+B32</f>
        <v/>
      </c>
      <c r="D32" s="7" t="n"/>
      <c r="E32" s="7" t="n"/>
    </row>
    <row r="33">
      <c r="A33" s="7" t="n">
        <v>11</v>
      </c>
      <c r="B33" s="7" t="n"/>
      <c r="C33" s="7">
        <f>C32+B33</f>
        <v/>
      </c>
      <c r="D33" s="7" t="n"/>
      <c r="E33" s="7" t="n"/>
    </row>
    <row r="34">
      <c r="A34" s="7" t="n">
        <v>12</v>
      </c>
      <c r="B34" s="7" t="n"/>
      <c r="C34" s="7">
        <f>C33+B34</f>
        <v/>
      </c>
      <c r="D34" s="7" t="n"/>
      <c r="E34" s="7" t="n"/>
    </row>
    <row r="35">
      <c r="A35" s="7" t="n">
        <v>13</v>
      </c>
      <c r="B35" s="7" t="n"/>
      <c r="C35" s="7">
        <f>C34+B35</f>
        <v/>
      </c>
      <c r="D35" s="7" t="n"/>
      <c r="E35" s="7" t="n"/>
    </row>
    <row r="36"/>
    <row r="37">
      <c r="A37" s="4" t="inlineStr">
        <is>
          <t>疲勞閾值（LFT）:</t>
        </is>
      </c>
      <c r="G37" s="9">
        <f>D12*2+5</f>
        <v/>
      </c>
    </row>
    <row r="38">
      <c r="A38" s="4" t="inlineStr">
        <is>
          <t>當前階段（手動判斷）:</t>
        </is>
      </c>
      <c r="G38" s="11" t="n"/>
    </row>
    <row r="39"/>
    <row r="40">
      <c r="A40" s="2" t="inlineStr">
        <is>
          <t>錨定情報記錄</t>
        </is>
      </c>
    </row>
    <row r="41">
      <c r="A41" s="5" t="inlineStr">
        <is>
          <t>#</t>
        </is>
      </c>
      <c r="B41" s="5" t="inlineStr">
        <is>
          <t>錨定情報摘要</t>
        </is>
      </c>
      <c r="C41" s="5" t="inlineStr">
        <is>
          <t>花費錨點</t>
        </is>
      </c>
      <c r="D41" s="5" t="inlineStr">
        <is>
          <t>清晰度</t>
        </is>
      </c>
      <c r="E41" s="5" t="inlineStr">
        <is>
          <t>來源循環</t>
        </is>
      </c>
    </row>
    <row r="42">
      <c r="A42" s="7" t="n">
        <v>1</v>
      </c>
      <c r="B42" s="7" t="n"/>
      <c r="C42" s="7" t="n"/>
      <c r="D42" s="7" t="n"/>
      <c r="E42" s="7" t="n"/>
    </row>
    <row r="43">
      <c r="A43" s="7" t="n">
        <v>2</v>
      </c>
      <c r="B43" s="7" t="n"/>
      <c r="C43" s="7" t="n"/>
      <c r="D43" s="7" t="n"/>
      <c r="E43" s="7" t="n"/>
    </row>
    <row r="44">
      <c r="A44" s="7" t="n">
        <v>3</v>
      </c>
      <c r="B44" s="7" t="n"/>
      <c r="C44" s="7" t="n"/>
      <c r="D44" s="7" t="n"/>
      <c r="E44" s="7" t="n"/>
    </row>
    <row r="45">
      <c r="A45" s="7" t="n">
        <v>4</v>
      </c>
      <c r="B45" s="7" t="n"/>
      <c r="C45" s="7" t="n"/>
      <c r="D45" s="7" t="n"/>
      <c r="E45" s="7" t="n"/>
    </row>
    <row r="46">
      <c r="A46" s="7" t="n">
        <v>5</v>
      </c>
      <c r="B46" s="7" t="n"/>
      <c r="C46" s="7" t="n"/>
      <c r="D46" s="7" t="n"/>
      <c r="E46" s="7" t="n"/>
    </row>
    <row r="47">
      <c r="A47" s="7" t="n">
        <v>6</v>
      </c>
      <c r="B47" s="7" t="n"/>
      <c r="C47" s="7" t="n"/>
      <c r="D47" s="7" t="n"/>
      <c r="E47" s="7" t="n"/>
    </row>
    <row r="48">
      <c r="A48" s="7" t="n">
        <v>7</v>
      </c>
      <c r="B48" s="7" t="n"/>
      <c r="C48" s="7" t="n"/>
      <c r="D48" s="7" t="n"/>
      <c r="E48" s="7" t="n"/>
    </row>
    <row r="49">
      <c r="A49" s="7" t="n">
        <v>8</v>
      </c>
      <c r="B49" s="7" t="n"/>
      <c r="C49" s="7" t="n"/>
      <c r="D49" s="7" t="n"/>
      <c r="E49" s="7" t="n"/>
    </row>
    <row r="50">
      <c r="A50" s="7" t="n">
        <v>9</v>
      </c>
      <c r="B50" s="7" t="n"/>
      <c r="C50" s="7" t="n"/>
      <c r="D50" s="7" t="n"/>
      <c r="E50" s="7" t="n"/>
    </row>
    <row r="51">
      <c r="A51" s="7" t="n">
        <v>10</v>
      </c>
      <c r="B51" s="7" t="n"/>
      <c r="C51" s="7" t="n"/>
      <c r="D51" s="7" t="n"/>
      <c r="E51" s="7" t="n"/>
    </row>
    <row r="52"/>
    <row r="53">
      <c r="A53" s="4" t="inlineStr">
        <is>
          <t>記憶錨點總數（MAP）:</t>
        </is>
      </c>
      <c r="G53" s="9">
        <f>B12+INT(C12/2)</f>
        <v/>
      </c>
    </row>
    <row r="54">
      <c r="A54" s="4" t="inlineStr">
        <is>
          <t>已使用錨點:</t>
        </is>
      </c>
      <c r="G54" s="11" t="n"/>
    </row>
    <row r="55">
      <c r="A55" s="4" t="inlineStr">
        <is>
          <t>剩餘錨點:</t>
        </is>
      </c>
      <c r="G55" s="9">
        <f>G53-G54</f>
        <v/>
      </c>
    </row>
    <row r="56"/>
    <row r="57">
      <c r="A57" s="2" t="inlineStr">
        <is>
          <t>初始裝備 &amp; 錨定物品</t>
        </is>
      </c>
    </row>
    <row r="58">
      <c r="A58" s="5" t="inlineStr">
        <is>
          <t>#</t>
        </is>
      </c>
      <c r="B58" s="5" t="inlineStr">
        <is>
          <t>物品名稱</t>
        </is>
      </c>
      <c r="C58" s="5" t="inlineStr">
        <is>
          <t>類型</t>
        </is>
      </c>
      <c r="D58" s="5" t="inlineStr">
        <is>
          <t>來源循環</t>
        </is>
      </c>
      <c r="E58" s="5" t="inlineStr">
        <is>
          <t>備註</t>
        </is>
      </c>
    </row>
    <row r="59">
      <c r="A59" s="7" t="n">
        <v>1</v>
      </c>
      <c r="B59" s="7" t="n"/>
      <c r="C59" s="7" t="n"/>
      <c r="D59" s="7" t="n"/>
      <c r="E59" s="7" t="n"/>
    </row>
    <row r="60">
      <c r="A60" s="7" t="n">
        <v>2</v>
      </c>
      <c r="B60" s="7" t="n"/>
      <c r="C60" s="7" t="n"/>
      <c r="D60" s="7" t="n"/>
      <c r="E60" s="7" t="n"/>
    </row>
    <row r="61">
      <c r="A61" s="7" t="n">
        <v>3</v>
      </c>
      <c r="B61" s="7" t="n"/>
      <c r="C61" s="7" t="n"/>
      <c r="D61" s="7" t="n"/>
      <c r="E61" s="7" t="n"/>
    </row>
    <row r="62">
      <c r="A62" s="7" t="n">
        <v>4</v>
      </c>
      <c r="B62" s="7" t="n"/>
      <c r="C62" s="7" t="n"/>
      <c r="D62" s="7" t="n"/>
      <c r="E62" s="7" t="n"/>
    </row>
    <row r="63">
      <c r="A63" s="7" t="n">
        <v>5</v>
      </c>
      <c r="B63" s="7" t="n"/>
      <c r="C63" s="7" t="n"/>
      <c r="D63" s="7" t="n"/>
      <c r="E63" s="7" t="n"/>
    </row>
    <row r="64">
      <c r="A64" s="7" t="n">
        <v>6</v>
      </c>
      <c r="B64" s="7" t="n"/>
      <c r="C64" s="7" t="n"/>
      <c r="D64" s="7" t="n"/>
      <c r="E64" s="7" t="n"/>
    </row>
    <row r="65">
      <c r="A65" s="7" t="n">
        <v>7</v>
      </c>
      <c r="B65" s="7" t="n"/>
      <c r="C65" s="7" t="n"/>
      <c r="D65" s="7" t="n"/>
      <c r="E65" s="7" t="n"/>
    </row>
    <row r="66">
      <c r="A66" s="7" t="n">
        <v>8</v>
      </c>
      <c r="B66" s="7" t="n"/>
      <c r="C66" s="7" t="n"/>
      <c r="D66" s="7" t="n"/>
      <c r="E66" s="7" t="n"/>
    </row>
    <row r="67"/>
    <row r="68">
      <c r="A68" s="2" t="inlineStr">
        <is>
          <t>認知點（CP） 追蹤</t>
        </is>
      </c>
    </row>
    <row r="69">
      <c r="A69" s="4" t="inlineStr">
        <is>
          <t>當前認知點（CP）:</t>
        </is>
      </c>
      <c r="C69" s="11" t="n"/>
    </row>
    <row r="70">
      <c r="A70" s="12" t="inlineStr">
        <is>
          <t>消費項目</t>
        </is>
      </c>
      <c r="B70" s="12" t="inlineStr">
        <is>
          <t>花費認知點（CP）</t>
        </is>
      </c>
      <c r="C70" s="12" t="inlineStr">
        <is>
          <t>狀態</t>
        </is>
      </c>
    </row>
    <row r="71">
      <c r="A71" s="4" t="inlineStr">
        <is>
          <t>屬性提升</t>
        </is>
      </c>
      <c r="B71" s="11" t="n"/>
      <c r="C71" s="11" t="n"/>
    </row>
    <row r="72">
      <c r="A72" s="4" t="inlineStr">
        <is>
          <t>第二特殊能力 (5)</t>
        </is>
      </c>
      <c r="B72" s="11" t="n"/>
      <c r="C72" s="11" t="n"/>
    </row>
    <row r="73">
      <c r="A73" s="4" t="inlineStr">
        <is>
          <t>記憶錨點+1 (4)</t>
        </is>
      </c>
      <c r="B73" s="11" t="n"/>
      <c r="C73" s="11" t="n"/>
    </row>
    <row r="74">
      <c r="A74" s="4" t="inlineStr">
        <is>
          <t>跨循環技能 (3)</t>
        </is>
      </c>
      <c r="B74" s="11" t="n"/>
      <c r="C74" s="11" t="n"/>
    </row>
    <row r="75">
      <c r="A75" s="4" t="inlineStr">
        <is>
          <t>既視感DC-1 (3)</t>
        </is>
      </c>
      <c r="B75" s="11" t="n"/>
      <c r="C75" s="11" t="n"/>
    </row>
    <row r="76">
      <c r="A76" s="4" t="inlineStr">
        <is>
          <t>疲勞閾值+2 (3)</t>
        </is>
      </c>
      <c r="B76" s="11" t="n"/>
      <c r="C76" s="11" t="n"/>
    </row>
  </sheetData>
  <mergeCells count="8">
    <mergeCell ref="A3:H3"/>
    <mergeCell ref="A21:H21"/>
    <mergeCell ref="A15:H15"/>
    <mergeCell ref="A57:H57"/>
    <mergeCell ref="A10:H10"/>
    <mergeCell ref="A68:H68"/>
    <mergeCell ref="A1:H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2026-06-24T16:51:03Z</dcterms:created>
  <dcterms:modified xsi:type="dcterms:W3CDTF">2026-07-18T11:13:41Z</dcterms:modified>
</cp:coreProperties>
</file>