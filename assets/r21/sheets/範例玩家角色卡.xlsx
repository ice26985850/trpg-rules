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记者·真相猎手" sheetId="1" state="visible" r:id="rId1"/>
    <sheet name="医生·守护天使" sheetId="2" state="visible" r:id="rId2"/>
    <sheet name="教师·不屈者" sheetId="3" state="visible" r:id="rId3"/>
    <sheet name="作家·好奇者" sheetId="4" state="visible" r:id="rId4"/>
    <sheet name="社工·协调者" sheetId="5" state="visible" r:id="rId5"/>
    <sheet name="警探·双峰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範例角色：記者·真相獵手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記者·真相獵手</t>
        </is>
      </c>
      <c r="C4" s="4" t="inlineStr">
        <is>
          <t>年齡：</t>
        </is>
      </c>
      <c r="D4" s="5" t="inlineStr">
        <is>
          <t>28</t>
        </is>
      </c>
    </row>
    <row r="5">
      <c r="A5" s="4" t="inlineStr">
        <is>
          <t>職業：</t>
        </is>
      </c>
      <c r="B5" s="5" t="inlineStr">
        <is>
          <t>調查記者</t>
        </is>
      </c>
      <c r="C5" s="4" t="inlineStr">
        <is>
          <t>背景：</t>
        </is>
      </c>
      <c r="D5" s="5" t="inlineStr">
        <is>
          <t>求知者</t>
        </is>
      </c>
    </row>
    <row r="6">
      <c r="A6" s="4" t="inlineStr">
        <is>
          <t>時間態度：</t>
        </is>
      </c>
      <c r="B6" s="5" t="inlineStr">
        <is>
          <t>懷疑者</t>
        </is>
      </c>
      <c r="C6" s="4" t="inlineStr">
        <is>
          <t>核心關係NPC：</t>
        </is>
      </c>
      <c r="D6" s="5" t="inlineStr">
        <is>
          <t>林曉（高中教師）</t>
        </is>
      </c>
    </row>
    <row r="7">
      <c r="A7" s="4" t="inlineStr">
        <is>
          <t>隱藏資訊卡：</t>
        </is>
      </c>
      <c r="B7" s="5" t="inlineStr">
        <is>
          <t>#4 倒影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3</v>
      </c>
      <c r="C11" s="8" t="n">
        <v>3</v>
      </c>
      <c r="D11" s="8" t="n">
        <v>2</v>
      </c>
      <c r="E11" s="8" t="n">
        <v>2</v>
      </c>
      <c r="F11" s="8" t="n">
        <v>2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筆記本與筆</t>
        </is>
      </c>
    </row>
    <row r="26">
      <c r="A26" s="4" t="inlineStr">
        <is>
          <t>6. 錄音筆</t>
        </is>
      </c>
    </row>
    <row r="27">
      <c r="A27" s="4" t="inlineStr">
        <is>
          <t>7. 舊相機</t>
        </is>
      </c>
    </row>
    <row r="28"/>
    <row r="29">
      <c r="A29" s="11" t="inlineStr">
        <is>
          <t>※ 洞察優勢+共感劣勢。破綻之眼每循環一次可強制GM揭示矛盾。適合「小鎮審判日」。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範例角色：醫生·守護天使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醫生·守護天使</t>
        </is>
      </c>
      <c r="C4" s="4" t="inlineStr">
        <is>
          <t>年齡：</t>
        </is>
      </c>
      <c r="D4" s="5" t="inlineStr">
        <is>
          <t>35</t>
        </is>
      </c>
    </row>
    <row r="5">
      <c r="A5" s="4" t="inlineStr">
        <is>
          <t>職業：</t>
        </is>
      </c>
      <c r="B5" s="5" t="inlineStr">
        <is>
          <t>急診科醫生</t>
        </is>
      </c>
      <c r="C5" s="4" t="inlineStr">
        <is>
          <t>背景：</t>
        </is>
      </c>
      <c r="D5" s="5" t="inlineStr">
        <is>
          <t>照護者</t>
        </is>
      </c>
    </row>
    <row r="6">
      <c r="A6" s="4" t="inlineStr">
        <is>
          <t>時間態度：</t>
        </is>
      </c>
      <c r="B6" s="5" t="inlineStr">
        <is>
          <t>守護者</t>
        </is>
      </c>
      <c r="C6" s="4" t="inlineStr">
        <is>
          <t>核心關係NPC：</t>
        </is>
      </c>
      <c r="D6" s="5" t="inlineStr">
        <is>
          <t>張明德（死者）</t>
        </is>
      </c>
    </row>
    <row r="7">
      <c r="A7" s="4" t="inlineStr">
        <is>
          <t>隱藏資訊卡：</t>
        </is>
      </c>
      <c r="B7" s="5" t="inlineStr">
        <is>
          <t>#6 未回覆的告白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2</v>
      </c>
      <c r="C11" s="8" t="n">
        <v>2</v>
      </c>
      <c r="D11" s="8" t="n">
        <v>2</v>
      </c>
      <c r="E11" s="8" t="n">
        <v>3</v>
      </c>
      <c r="F11" s="8" t="n">
        <v>3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簡易急救包</t>
        </is>
      </c>
    </row>
    <row r="26">
      <c r="A26" s="4" t="inlineStr">
        <is>
          <t>6. 工作證</t>
        </is>
      </c>
    </row>
    <row r="27">
      <c r="A27" s="4" t="inlineStr">
        <is>
          <t>7. 聽診器</t>
        </is>
      </c>
    </row>
    <row r="28"/>
    <row r="29">
      <c r="A29" s="11" t="inlineStr">
        <is>
          <t>※ 救人恢復+2，目睹死亡+1。守護本能可感知核心NPC危險。適合「電梯間」。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範例角色：教師·不屈者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教師·不屈者</t>
        </is>
      </c>
      <c r="C4" s="4" t="inlineStr">
        <is>
          <t>年齡：</t>
        </is>
      </c>
      <c r="D4" s="5" t="inlineStr">
        <is>
          <t>42</t>
        </is>
      </c>
    </row>
    <row r="5">
      <c r="A5" s="4" t="inlineStr">
        <is>
          <t>職業：</t>
        </is>
      </c>
      <c r="B5" s="5" t="inlineStr">
        <is>
          <t>高中歷史教師</t>
        </is>
      </c>
      <c r="C5" s="4" t="inlineStr">
        <is>
          <t>背景：</t>
        </is>
      </c>
      <c r="D5" s="5" t="inlineStr">
        <is>
          <t>求知者</t>
        </is>
      </c>
    </row>
    <row r="6">
      <c r="A6" s="4" t="inlineStr">
        <is>
          <t>時間態度：</t>
        </is>
      </c>
      <c r="B6" s="5" t="inlineStr">
        <is>
          <t>宿命論者</t>
        </is>
      </c>
      <c r="C6" s="4" t="inlineStr">
        <is>
          <t>核心關係NPC：</t>
        </is>
      </c>
      <c r="D6" s="5" t="inlineStr">
        <is>
          <t>蘇眠（學生）</t>
        </is>
      </c>
    </row>
    <row r="7">
      <c r="A7" s="4" t="inlineStr">
        <is>
          <t>隱藏資訊卡：</t>
        </is>
      </c>
      <c r="B7" s="5" t="inlineStr">
        <is>
          <t>#8 預知夢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2</v>
      </c>
      <c r="C11" s="8" t="n">
        <v>2</v>
      </c>
      <c r="D11" s="8" t="n">
        <v>3</v>
      </c>
      <c r="E11" s="8" t="n">
        <v>3</v>
      </c>
      <c r="F11" s="8" t="n">
        <v>2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筆記本與筆</t>
        </is>
      </c>
    </row>
    <row r="26">
      <c r="A26" s="4" t="inlineStr">
        <is>
          <t>6. 教科書</t>
        </is>
      </c>
    </row>
    <row r="27"/>
    <row r="28">
      <c r="A28" s="11" t="inlineStr">
        <is>
          <t>※ 疲勞閾值+5（WIL3→11+5=16），疲勞來源-1，記憶錨點-1（最低1）。適合「最後的學園祭」。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範例角色：作家·好奇者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作家·好奇者</t>
        </is>
      </c>
      <c r="C4" s="4" t="inlineStr">
        <is>
          <t>年齡：</t>
        </is>
      </c>
      <c r="D4" s="5" t="inlineStr">
        <is>
          <t>31</t>
        </is>
      </c>
    </row>
    <row r="5">
      <c r="A5" s="4" t="inlineStr">
        <is>
          <t>職業：</t>
        </is>
      </c>
      <c r="B5" s="5" t="inlineStr">
        <is>
          <t>自由作家</t>
        </is>
      </c>
      <c r="C5" s="4" t="inlineStr">
        <is>
          <t>背景：</t>
        </is>
      </c>
      <c r="D5" s="5" t="inlineStr">
        <is>
          <t>邊緣人</t>
        </is>
      </c>
    </row>
    <row r="6">
      <c r="A6" s="4" t="inlineStr">
        <is>
          <t>時間態度：</t>
        </is>
      </c>
      <c r="B6" s="5" t="inlineStr">
        <is>
          <t>好奇者</t>
        </is>
      </c>
      <c r="C6" s="4" t="inlineStr">
        <is>
          <t>核心關係NPC：</t>
        </is>
      </c>
      <c r="D6" s="5" t="inlineStr">
        <is>
          <t>陳鴻遠（CEO）</t>
        </is>
      </c>
    </row>
    <row r="7">
      <c r="A7" s="4" t="inlineStr">
        <is>
          <t>隱藏資訊卡：</t>
        </is>
      </c>
      <c r="B7" s="5" t="inlineStr">
        <is>
          <t>#5 慢下來的表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3</v>
      </c>
      <c r="C11" s="8" t="n">
        <v>2</v>
      </c>
      <c r="D11" s="8" t="n">
        <v>2</v>
      </c>
      <c r="E11" s="8" t="n">
        <v>2</v>
      </c>
      <c r="F11" s="8" t="n">
        <v>2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速寫本</t>
        </is>
      </c>
    </row>
    <row r="26">
      <c r="A26" s="4" t="inlineStr">
        <is>
          <t>6. 舊相機</t>
        </is>
      </c>
    </row>
    <row r="27"/>
    <row r="28">
      <c r="A28" s="11" t="inlineStr">
        <is>
          <t>※ 記憶錨點+1（MEM3→記憶錨點數（MAP）=4+），既視感+1，劣化疲勞+1。細節獵人每循環可強制GM給觀察細節。適合「無限會議」。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範例角色：社工·協調者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社工·協調者</t>
        </is>
      </c>
      <c r="C4" s="4" t="inlineStr">
        <is>
          <t>年齡：</t>
        </is>
      </c>
      <c r="D4" s="5" t="inlineStr">
        <is>
          <t>29</t>
        </is>
      </c>
    </row>
    <row r="5">
      <c r="A5" s="4" t="inlineStr">
        <is>
          <t>職業：</t>
        </is>
      </c>
      <c r="B5" s="5" t="inlineStr">
        <is>
          <t>社區社工</t>
        </is>
      </c>
      <c r="C5" s="4" t="inlineStr">
        <is>
          <t>背景：</t>
        </is>
      </c>
      <c r="D5" s="5" t="inlineStr">
        <is>
          <t>照護者</t>
        </is>
      </c>
    </row>
    <row r="6">
      <c r="A6" s="4" t="inlineStr">
        <is>
          <t>時間態度：</t>
        </is>
      </c>
      <c r="B6" s="5" t="inlineStr">
        <is>
          <t>樂觀者</t>
        </is>
      </c>
      <c r="C6" s="4" t="inlineStr">
        <is>
          <t>核心關係NPC：</t>
        </is>
      </c>
      <c r="D6" s="5" t="inlineStr">
        <is>
          <t>林奶奶（裁縫）</t>
        </is>
      </c>
    </row>
    <row r="7">
      <c r="A7" s="4" t="inlineStr">
        <is>
          <t>隱藏資訊卡：</t>
        </is>
      </c>
      <c r="B7" s="5" t="inlineStr">
        <is>
          <t>#9 你不能說的事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2</v>
      </c>
      <c r="C11" s="8" t="n">
        <v>2</v>
      </c>
      <c r="D11" s="8" t="n">
        <v>2</v>
      </c>
      <c r="E11" s="8" t="n">
        <v>2</v>
      </c>
      <c r="F11" s="8" t="n">
        <v>3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工作證</t>
        </is>
      </c>
    </row>
    <row r="26">
      <c r="A26" s="4" t="inlineStr">
        <is>
          <t>6. 社區聯絡簿</t>
        </is>
      </c>
    </row>
    <row r="27"/>
    <row r="28">
      <c r="A28" s="11" t="inlineStr">
        <is>
          <t>※ 發現碎片疲勞-1。希望之光每循環可給隊友意志優勢。適合任何劇本——團隊精神支柱。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範例角色：警探·雙峰型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B4" s="5" t="inlineStr">
        <is>
          <t>警探·雙峰型</t>
        </is>
      </c>
      <c r="C4" s="4" t="inlineStr">
        <is>
          <t>年齡：</t>
        </is>
      </c>
      <c r="D4" s="5" t="inlineStr">
        <is>
          <t>38</t>
        </is>
      </c>
    </row>
    <row r="5">
      <c r="A5" s="4" t="inlineStr">
        <is>
          <t>職業：</t>
        </is>
      </c>
      <c r="B5" s="5" t="inlineStr">
        <is>
          <t>刑警</t>
        </is>
      </c>
      <c r="C5" s="4" t="inlineStr">
        <is>
          <t>背景：</t>
        </is>
      </c>
      <c r="D5" s="5" t="inlineStr">
        <is>
          <t>執法者</t>
        </is>
      </c>
    </row>
    <row r="6">
      <c r="A6" s="4" t="inlineStr">
        <is>
          <t>時間態度：</t>
        </is>
      </c>
      <c r="B6" s="5" t="inlineStr">
        <is>
          <t>懷疑者</t>
        </is>
      </c>
      <c r="C6" s="4" t="inlineStr">
        <is>
          <t>核心關係NPC：</t>
        </is>
      </c>
      <c r="D6" s="5" t="inlineStr">
        <is>
          <t>江雪（化學老師）</t>
        </is>
      </c>
    </row>
    <row r="7">
      <c r="A7" s="4" t="inlineStr">
        <is>
          <t>隱藏資訊卡：</t>
        </is>
      </c>
      <c r="B7" s="5" t="inlineStr">
        <is>
          <t>#1 人影</t>
        </is>
      </c>
    </row>
    <row r="8"/>
    <row r="9">
      <c r="A9" s="2" t="inlineStr">
        <is>
          <t>五大屬性</t>
        </is>
      </c>
    </row>
    <row r="10">
      <c r="A10" s="6" t="inlineStr"/>
      <c r="B10" s="6" t="inlineStr">
        <is>
          <t>記憶（MEM）</t>
        </is>
      </c>
      <c r="C10" s="6" t="inlineStr">
        <is>
          <t>洞察（INS）</t>
        </is>
      </c>
      <c r="D10" s="6" t="inlineStr">
        <is>
          <t>意志（WIL）</t>
        </is>
      </c>
      <c r="E10" s="6" t="inlineStr">
        <is>
          <t>行動（ACT）</t>
        </is>
      </c>
      <c r="F10" s="6" t="inlineStr">
        <is>
          <t>共感（EMP）</t>
        </is>
      </c>
    </row>
    <row r="11">
      <c r="A11" s="7" t="inlineStr">
        <is>
          <t>屬性值</t>
        </is>
      </c>
      <c r="B11" s="8" t="n">
        <v>2</v>
      </c>
      <c r="C11" s="8" t="n">
        <v>3</v>
      </c>
      <c r="D11" s="8" t="n">
        <v>1</v>
      </c>
      <c r="E11" s="8" t="n">
        <v>3</v>
      </c>
      <c r="F11" s="8" t="n">
        <v>1</v>
      </c>
    </row>
    <row r="12">
      <c r="A12" s="7" t="inlineStr">
        <is>
          <t>修正值（自動）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衍生屬性（自動計算）</t>
        </is>
      </c>
    </row>
    <row r="15">
      <c r="A15" s="4" t="inlineStr">
        <is>
          <t>記憶錨點數（MAP）</t>
        </is>
      </c>
      <c r="G15" s="10">
        <f>B11+INT(C11/2)</f>
        <v/>
      </c>
    </row>
    <row r="16">
      <c r="A16" s="4" t="inlineStr">
        <is>
          <t>循環疲勞閾值（LFT）</t>
        </is>
      </c>
      <c r="G16" s="10">
        <f>D11*2+5</f>
        <v/>
      </c>
    </row>
    <row r="17">
      <c r="A17" s="4" t="inlineStr">
        <is>
          <t>每日行動點（DAP）</t>
        </is>
      </c>
      <c r="G17" s="10">
        <f>8+(E11-2)</f>
        <v/>
      </c>
    </row>
    <row r="18">
      <c r="A18" s="4" t="inlineStr">
        <is>
          <t>既視感 DC (既視感DC（DVD）)</t>
        </is>
      </c>
      <c r="G18" s="10">
        <f>10-B4</f>
        <v/>
      </c>
    </row>
    <row r="19"/>
    <row r="20">
      <c r="A20" s="2" t="inlineStr">
        <is>
          <t>裝備</t>
        </is>
      </c>
    </row>
    <row r="21">
      <c r="A21" s="4" t="inlineStr">
        <is>
          <t>1. 日常衣物</t>
        </is>
      </c>
    </row>
    <row r="22">
      <c r="A22" s="4" t="inlineStr">
        <is>
          <t>2. 手機</t>
        </is>
      </c>
    </row>
    <row r="23">
      <c r="A23" s="4" t="inlineStr">
        <is>
          <t>3. 錢包/證件</t>
        </is>
      </c>
    </row>
    <row r="24">
      <c r="A24" s="4" t="inlineStr">
        <is>
          <t>4. 鑰匙串</t>
        </is>
      </c>
    </row>
    <row r="25">
      <c r="A25" s="4" t="inlineStr">
        <is>
          <t>5. 警徽/證件</t>
        </is>
      </c>
    </row>
    <row r="26">
      <c r="A26" s="4" t="inlineStr">
        <is>
          <t>6. 手銬</t>
        </is>
      </c>
    </row>
    <row r="27">
      <c r="A27" s="4" t="inlineStr">
        <is>
          <t>7. 記事本</t>
        </is>
      </c>
    </row>
    <row r="28">
      <c r="A28" s="4" t="inlineStr">
        <is>
          <t>8. 對講機</t>
        </is>
      </c>
    </row>
    <row r="29"/>
    <row r="30">
      <c r="A30" s="11" t="inlineStr">
        <is>
          <t>※ 雙峰型（INS3+ACT3）——洞察優勢+行動力強，但意志1（疲勞閾值僅7）極其脆弱。高風險高回報。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