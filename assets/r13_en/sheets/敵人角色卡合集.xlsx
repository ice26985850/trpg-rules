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olyte Valak" sheetId="1" state="visible" r:id="rId1"/>
    <sheet name="Mutant Priest Illion" sheetId="2" state="visible" r:id="rId2"/>
    <sheet name="Whisperer (Psychic Cult Leader)" sheetId="3" state="visible" r:id="rId3"/>
    <sheet name="Mutant Behemoth (Deep Hive)" sheetId="4" state="visible" r:id="rId4"/>
    <sheet name="Inquisition Assault Trooper" sheetId="5" state="visible" r:id="rId5"/>
    <sheet name="Mutant Penitent Marcus" sheetId="6" state="visible" r:id="rId6"/>
    <sheet name="Warped Machine-Spirit (Turret)" sheetId="7" state="visible" r:id="rId7"/>
    <sheet name="Chaos Space Marine (Endgam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Acolyte Valak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Acolyte Valak</t>
        </is>
      </c>
      <c r="C3" s="3" t="inlineStr">
        <is>
          <t>Challenge Rating (CR)</t>
        </is>
      </c>
      <c r="D3" s="4" t="inlineStr">
        <is>
          <t>1</t>
        </is>
      </c>
      <c r="E3" s="3" t="inlineStr">
        <is>
          <t>Type</t>
        </is>
      </c>
      <c r="F3" s="4" t="inlineStr">
        <is>
          <t>Chaos Acolyte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2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6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3</v>
      </c>
      <c r="C18" s="3" t="inlineStr">
        <is>
          <t>Armor Rating (AR) Energy</t>
        </is>
      </c>
      <c r="D18" s="4" t="n">
        <v>2</v>
      </c>
    </row>
    <row r="19">
      <c r="A19" s="3" t="inlineStr">
        <is>
          <t>Armor Rating (AR) Explosive</t>
        </is>
      </c>
      <c r="B19" s="4" t="n">
        <v>3</v>
      </c>
      <c r="C19" s="3" t="inlineStr">
        <is>
          <t>Armor Rating (AR) Rending</t>
        </is>
      </c>
      <c r="D19" s="4" t="n">
        <v>3</v>
      </c>
    </row>
    <row r="20">
      <c r="A20" s="3" t="inlineStr">
        <is>
          <t>Armor Rating (AR) Flame</t>
        </is>
      </c>
      <c r="B20" s="4" t="n">
        <v>1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Autogun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1d8+1 Ballistic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Chain Sword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1d10+2 Rending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A-1 'Iron Ribs' Blood' — Boss (if not surrendered)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Mutant Priest Illion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Mutant Priest Illion</t>
        </is>
      </c>
      <c r="C3" s="3" t="inlineStr">
        <is>
          <t>Challenge Rating (CR)</t>
        </is>
      </c>
      <c r="D3" s="4" t="inlineStr">
        <is>
          <t>1</t>
        </is>
      </c>
      <c r="E3" s="3" t="inlineStr">
        <is>
          <t>Type</t>
        </is>
      </c>
      <c r="F3" s="4" t="inlineStr">
        <is>
          <t>Mutant (former Ecclesiarchy priest)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0</v>
      </c>
    </row>
    <row r="7">
      <c r="A7" s="3" t="inlineStr">
        <is>
          <t>Body (BOD)</t>
        </is>
      </c>
      <c r="B7" s="4" t="n">
        <v>3</v>
      </c>
    </row>
    <row r="8">
      <c r="A8" s="3" t="inlineStr">
        <is>
          <t>Mind (MND)</t>
        </is>
      </c>
      <c r="B8" s="4" t="n">
        <v>2</v>
      </c>
    </row>
    <row r="9">
      <c r="A9" s="3" t="inlineStr">
        <is>
          <t>Tech (TEC)</t>
        </is>
      </c>
      <c r="B9" s="4" t="n">
        <v>1</v>
      </c>
    </row>
    <row r="10">
      <c r="A10" s="3" t="inlineStr">
        <is>
          <t>Fate (FAT)</t>
        </is>
      </c>
      <c r="B10" s="4" t="n">
        <v>0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7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2</v>
      </c>
      <c r="C18" s="3" t="inlineStr">
        <is>
          <t>Armor Rating (AR) Energy</t>
        </is>
      </c>
      <c r="D18" s="4" t="n">
        <v>1</v>
      </c>
    </row>
    <row r="19">
      <c r="A19" s="3" t="inlineStr">
        <is>
          <t>Armor Rating (AR) Explosive</t>
        </is>
      </c>
      <c r="B19" s="4" t="n">
        <v>2</v>
      </c>
      <c r="C19" s="3" t="inlineStr">
        <is>
          <t>Armor Rating (AR) Rending</t>
        </is>
      </c>
      <c r="D19" s="4" t="n">
        <v>3</v>
      </c>
    </row>
    <row r="20">
      <c r="A20" s="3" t="inlineStr">
        <is>
          <t>Armor Rating (AR) Flame</t>
        </is>
      </c>
      <c r="B20" s="4" t="n">
        <v>2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Mutant Claw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1d8+3 Rending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Psychic Shriek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2d6 Psychic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A-2 'Silence of the Rust Crown' — main body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Whisperer (Psychic Cult Leader)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Whisperer (Psychic Cult Leader)</t>
        </is>
      </c>
      <c r="C3" s="3" t="inlineStr">
        <is>
          <t>Challenge Rating (CR)</t>
        </is>
      </c>
      <c r="D3" s="4" t="inlineStr">
        <is>
          <t>2 (before ritual)/3 (after)</t>
        </is>
      </c>
      <c r="E3" s="3" t="inlineStr">
        <is>
          <t>Type</t>
        </is>
      </c>
      <c r="F3" s="4" t="inlineStr">
        <is>
          <t>Psi 3 Psyker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2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6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2</v>
      </c>
      <c r="C18" s="3" t="inlineStr">
        <is>
          <t>Armor Rating (AR) Energy</t>
        </is>
      </c>
      <c r="D18" s="4" t="n">
        <v>2</v>
      </c>
    </row>
    <row r="19">
      <c r="A19" s="3" t="inlineStr">
        <is>
          <t>Armor Rating (AR) Explosive</t>
        </is>
      </c>
      <c r="B19" s="4" t="n">
        <v>2</v>
      </c>
      <c r="C19" s="3" t="inlineStr">
        <is>
          <t>Armor Rating (AR) Rending</t>
        </is>
      </c>
      <c r="D19" s="4" t="n">
        <v>2</v>
      </c>
    </row>
    <row r="20">
      <c r="A20" s="3" t="inlineStr">
        <is>
          <t>Armor Rating (AR) Flame</t>
        </is>
      </c>
      <c r="B20" s="4" t="n">
        <v>1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Psychic Telekinetic Bolt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2d8 Psychic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Ritual Dagger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1d6+2 Rending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A-3 'Whisper of the Bone Pile' — Boss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Mutant Behemoth (Deep Hive)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Mutant Behemoth (Deep Hive)</t>
        </is>
      </c>
      <c r="C3" s="3" t="inlineStr">
        <is>
          <t>Challenge Rating (CR)</t>
        </is>
      </c>
      <c r="D3" s="4" t="inlineStr">
        <is>
          <t>3</t>
        </is>
      </c>
      <c r="E3" s="3" t="inlineStr">
        <is>
          <t>Type</t>
        </is>
      </c>
      <c r="F3" s="4" t="inlineStr">
        <is>
          <t>Large Mutant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0</v>
      </c>
    </row>
    <row r="7">
      <c r="A7" s="3" t="inlineStr">
        <is>
          <t>Body (BOD)</t>
        </is>
      </c>
      <c r="B7" s="4" t="n">
        <v>5</v>
      </c>
    </row>
    <row r="8">
      <c r="A8" s="3" t="inlineStr">
        <is>
          <t>Mind (MND)</t>
        </is>
      </c>
      <c r="B8" s="4" t="n">
        <v>1</v>
      </c>
    </row>
    <row r="9">
      <c r="A9" s="3" t="inlineStr">
        <is>
          <t>Tech (TEC)</t>
        </is>
      </c>
      <c r="B9" s="4" t="n">
        <v>2</v>
      </c>
    </row>
    <row r="10">
      <c r="A10" s="3" t="inlineStr">
        <is>
          <t>Fate (FAT)</t>
        </is>
      </c>
      <c r="B10" s="4" t="n">
        <v>1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5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5</v>
      </c>
      <c r="C18" s="3" t="inlineStr">
        <is>
          <t>Armor Rating (AR) Energy</t>
        </is>
      </c>
      <c r="D18" s="4" t="n">
        <v>3</v>
      </c>
    </row>
    <row r="19">
      <c r="A19" s="3" t="inlineStr">
        <is>
          <t>Armor Rating (AR) Explosive</t>
        </is>
      </c>
      <c r="B19" s="4" t="n">
        <v>6</v>
      </c>
      <c r="C19" s="3" t="inlineStr">
        <is>
          <t>Armor Rating (AR) Rending</t>
        </is>
      </c>
      <c r="D19" s="4" t="n">
        <v>6</v>
      </c>
    </row>
    <row r="20">
      <c r="A20" s="3" t="inlineStr">
        <is>
          <t>Armor Rating (AR) Flame</t>
        </is>
      </c>
      <c r="B20" s="4" t="n">
        <v>4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Massive Claw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1d12+5 Rending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Tail Whip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1d10+5 Rending (Area 3m)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A-4 'Relic of the Deep Hive' — temple guardian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Inquisition Assault Trooper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Inquisition Assault Trooper</t>
        </is>
      </c>
      <c r="C3" s="3" t="inlineStr">
        <is>
          <t>Challenge Rating (CR)</t>
        </is>
      </c>
      <c r="D3" s="4" t="inlineStr">
        <is>
          <t>1</t>
        </is>
      </c>
      <c r="E3" s="3" t="inlineStr">
        <is>
          <t>Type</t>
        </is>
      </c>
      <c r="F3" s="4" t="inlineStr">
        <is>
          <t>Elite Soldier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3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6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4</v>
      </c>
      <c r="C18" s="3" t="inlineStr">
        <is>
          <t>Armor Rating (AR) Energy</t>
        </is>
      </c>
      <c r="D18" s="4" t="n">
        <v>3</v>
      </c>
    </row>
    <row r="19">
      <c r="A19" s="3" t="inlineStr">
        <is>
          <t>Armor Rating (AR) Explosive</t>
        </is>
      </c>
      <c r="B19" s="4" t="n">
        <v>4</v>
      </c>
      <c r="C19" s="3" t="inlineStr">
        <is>
          <t>Armor Rating (AR) Rending</t>
        </is>
      </c>
      <c r="D19" s="4" t="n">
        <v>3</v>
      </c>
    </row>
    <row r="20">
      <c r="A20" s="3" t="inlineStr">
        <is>
          <t>Armor Rating (AR) Flame</t>
        </is>
      </c>
      <c r="B20" s="4" t="n">
        <v>2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Lasgun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1d8+1 Energy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Combat Knife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1d4+3 Ballistic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A-4 'Relic of the Deep Hive' — surveillance squad (×3)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Mutant Penitent Marcus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Mutant Penitent Marcus</t>
        </is>
      </c>
      <c r="C3" s="3" t="inlineStr">
        <is>
          <t>Challenge Rating (CR)</t>
        </is>
      </c>
      <c r="D3" s="4" t="inlineStr">
        <is>
          <t>2 (enhanced)</t>
        </is>
      </c>
      <c r="E3" s="3" t="inlineStr">
        <is>
          <t>Type</t>
        </is>
      </c>
      <c r="F3" s="4" t="inlineStr">
        <is>
          <t>Fallen Former Penitent / Mutant Tyrant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0</v>
      </c>
    </row>
    <row r="7">
      <c r="A7" s="3" t="inlineStr">
        <is>
          <t>Body (BOD)</t>
        </is>
      </c>
      <c r="B7" s="4" t="n">
        <v>4</v>
      </c>
    </row>
    <row r="8">
      <c r="A8" s="3" t="inlineStr">
        <is>
          <t>Mind (MND)</t>
        </is>
      </c>
      <c r="B8" s="4" t="n">
        <v>2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1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6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4</v>
      </c>
      <c r="C18" s="3" t="inlineStr">
        <is>
          <t>Armor Rating (AR) Energy</t>
        </is>
      </c>
      <c r="D18" s="4" t="n">
        <v>3</v>
      </c>
    </row>
    <row r="19">
      <c r="A19" s="3" t="inlineStr">
        <is>
          <t>Armor Rating (AR) Explosive</t>
        </is>
      </c>
      <c r="B19" s="4" t="n">
        <v>5</v>
      </c>
      <c r="C19" s="3" t="inlineStr">
        <is>
          <t>Armor Rating (AR) Rending</t>
        </is>
      </c>
      <c r="D19" s="4" t="n">
        <v>5</v>
      </c>
    </row>
    <row r="20">
      <c r="A20" s="3" t="inlineStr">
        <is>
          <t>Armor Rating (AR) Flame</t>
        </is>
      </c>
      <c r="B20" s="4" t="n">
        <v>4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Massive Claw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1d12+4 Rending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Corrosive Wail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2d6 Corrosive (Armor Rating (AR) -2)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A-5 'Last Prayer at Black Dock' — talkable Boss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Warped Machine-Spirit (Turret)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Warped Machine-Spirit (Turret)</t>
        </is>
      </c>
      <c r="C3" s="3" t="inlineStr">
        <is>
          <t>Challenge Rating (CR)</t>
        </is>
      </c>
      <c r="D3" s="4" t="inlineStr">
        <is>
          <t>1</t>
        </is>
      </c>
      <c r="E3" s="3" t="inlineStr">
        <is>
          <t>Type</t>
        </is>
      </c>
      <c r="F3" s="4" t="inlineStr">
        <is>
          <t>Machine / Warp Contamination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0</v>
      </c>
    </row>
    <row r="7">
      <c r="A7" s="3" t="inlineStr">
        <is>
          <t>Body (BOD)</t>
        </is>
      </c>
      <c r="B7" s="4" t="n">
        <v>3</v>
      </c>
    </row>
    <row r="8">
      <c r="A8" s="3" t="inlineStr">
        <is>
          <t>Mind (MND)</t>
        </is>
      </c>
      <c r="B8" s="4" t="n">
        <v>0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0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0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5</v>
      </c>
      <c r="C18" s="3" t="inlineStr">
        <is>
          <t>Armor Rating (AR) Energy</t>
        </is>
      </c>
      <c r="D18" s="4" t="n">
        <v>4</v>
      </c>
    </row>
    <row r="19">
      <c r="A19" s="3" t="inlineStr">
        <is>
          <t>Armor Rating (AR) Explosive</t>
        </is>
      </c>
      <c r="B19" s="4" t="n">
        <v>5</v>
      </c>
      <c r="C19" s="3" t="inlineStr">
        <is>
          <t>Armor Rating (AR) Rending</t>
        </is>
      </c>
      <c r="D19" s="4" t="n">
        <v>4</v>
      </c>
    </row>
    <row r="20">
      <c r="A20" s="3" t="inlineStr">
        <is>
          <t>Armor Rating (AR) Flame</t>
        </is>
      </c>
      <c r="B20" s="4" t="n">
        <v>3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Autocannon Fire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2d6 Ballistic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Overload Discharge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2d8 Energy (Area 3m)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B-3 'Ruins of the Fateful Choice' — Mechanicus facility defense system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Enemy: Chaos Space Marine (Endgame)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Name</t>
        </is>
      </c>
      <c r="B3" s="4" t="inlineStr">
        <is>
          <t>Chaos Space Marine (Endgame)</t>
        </is>
      </c>
      <c r="C3" s="3" t="inlineStr">
        <is>
          <t>Challenge Rating (CR)</t>
        </is>
      </c>
      <c r="D3" s="4" t="inlineStr">
        <is>
          <t>4</t>
        </is>
      </c>
      <c r="E3" s="3" t="inlineStr">
        <is>
          <t>Type</t>
        </is>
      </c>
      <c r="F3" s="4" t="inlineStr">
        <is>
          <t>Chaos Astartes</t>
        </is>
      </c>
    </row>
    <row r="4"/>
    <row r="5">
      <c r="A5" s="5" t="inlineStr">
        <is>
          <t>Attributes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5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Combat Data (auto-calculated)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Current Hit Points (HP)</t>
        </is>
      </c>
      <c r="D13" s="4" t="n"/>
    </row>
    <row r="14">
      <c r="A14" s="3" t="inlineStr">
        <is>
          <t>Defense</t>
        </is>
      </c>
      <c r="B14" s="7">
        <f>ROUNDUP(B9/2,0)</f>
        <v/>
      </c>
      <c r="C14" s="3" t="inlineStr">
        <is>
          <t>Initiative</t>
        </is>
      </c>
      <c r="D14" s="7">
        <f>B8+B9</f>
        <v/>
      </c>
    </row>
    <row r="15">
      <c r="A15" s="3" t="inlineStr">
        <is>
          <t>Speed (squares)</t>
        </is>
      </c>
      <c r="B15" s="4" t="n">
        <v>8</v>
      </c>
      <c r="C15" s="3" t="inlineStr">
        <is>
          <t>Melee Target Number (TN)</t>
        </is>
      </c>
      <c r="D15" s="7">
        <f>B7*10</f>
        <v/>
      </c>
    </row>
    <row r="16">
      <c r="A16" s="3" t="inlineStr">
        <is>
          <t>Ranged Target Number (TN)</t>
        </is>
      </c>
      <c r="B16" s="7">
        <f>B9*10</f>
        <v/>
      </c>
      <c r="C16" s="3" t="inlineStr">
        <is>
          <t>Faith Target Number (TN)</t>
        </is>
      </c>
      <c r="D16" s="7">
        <f>B6*10</f>
        <v/>
      </c>
    </row>
    <row r="17"/>
    <row r="18">
      <c r="A18" s="3" t="inlineStr">
        <is>
          <t>Armor Rating (AR) Ballistic</t>
        </is>
      </c>
      <c r="B18" s="4" t="n">
        <v>7</v>
      </c>
      <c r="C18" s="3" t="inlineStr">
        <is>
          <t>Armor Rating (AR) Energy</t>
        </is>
      </c>
      <c r="D18" s="4" t="n">
        <v>5</v>
      </c>
    </row>
    <row r="19">
      <c r="A19" s="3" t="inlineStr">
        <is>
          <t>Armor Rating (AR) Explosive</t>
        </is>
      </c>
      <c r="B19" s="4" t="n">
        <v>7</v>
      </c>
      <c r="C19" s="3" t="inlineStr">
        <is>
          <t>Armor Rating (AR) Rending</t>
        </is>
      </c>
      <c r="D19" s="4" t="n">
        <v>6</v>
      </c>
    </row>
    <row r="20">
      <c r="A20" s="3" t="inlineStr">
        <is>
          <t>Armor Rating (AR) Flame</t>
        </is>
      </c>
      <c r="B20" s="4" t="n">
        <v>4</v>
      </c>
    </row>
    <row r="21"/>
    <row r="22">
      <c r="A22" s="5" t="inlineStr">
        <is>
          <t>Attacks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Attack 1 Name</t>
        </is>
      </c>
      <c r="B23" s="4" t="inlineStr">
        <is>
          <t>Boltgun</t>
        </is>
      </c>
      <c r="C23" s="3" t="inlineStr">
        <is>
          <t>Type (Melee/Ranged)</t>
        </is>
      </c>
      <c r="D23" s="4" t="n"/>
    </row>
    <row r="24">
      <c r="A24" s="3" t="inlineStr">
        <is>
          <t xml:space="preserve">  Damage Die</t>
        </is>
      </c>
      <c r="B24" s="4" t="inlineStr">
        <is>
          <t>2d10+2 Ballistic+Explosive</t>
        </is>
      </c>
      <c r="C24" s="3" t="inlineStr">
        <is>
          <t xml:space="preserve">  Range (m)</t>
        </is>
      </c>
      <c r="D24" s="4" t="n"/>
    </row>
    <row r="25">
      <c r="A25" s="3" t="inlineStr">
        <is>
          <t>Attack 2 Name</t>
        </is>
      </c>
      <c r="B25" s="4" t="inlineStr">
        <is>
          <t>Chain Axe</t>
        </is>
      </c>
      <c r="C25" s="3" t="inlineStr">
        <is>
          <t>Type (Melee/Ranged)</t>
        </is>
      </c>
      <c r="D25" s="4" t="n"/>
    </row>
    <row r="26">
      <c r="A26" s="3" t="inlineStr">
        <is>
          <t xml:space="preserve">  Damage Die</t>
        </is>
      </c>
      <c r="B26" s="4" t="inlineStr">
        <is>
          <t>2d10+5 Rending</t>
        </is>
      </c>
      <c r="C26" s="3" t="inlineStr">
        <is>
          <t xml:space="preserve">  Range (m)</t>
        </is>
      </c>
      <c r="D26" s="4" t="n"/>
    </row>
    <row r="27">
      <c r="A27" s="3" t="inlineStr">
        <is>
          <t>Attack 3 Name</t>
        </is>
      </c>
      <c r="B27" s="4" t="inlineStr"/>
      <c r="C27" s="3" t="inlineStr">
        <is>
          <t>Type (Melee/Ranged)</t>
        </is>
      </c>
      <c r="D27" s="4" t="n"/>
    </row>
    <row r="28">
      <c r="A28" s="3" t="inlineStr">
        <is>
          <t xml:space="preserve">  Damage Die</t>
        </is>
      </c>
      <c r="B28" s="4" t="inlineStr"/>
      <c r="C28" s="3" t="inlineStr">
        <is>
          <t xml:space="preserve">  Range (m)</t>
        </is>
      </c>
      <c r="D28" s="4" t="n"/>
    </row>
    <row r="29"/>
    <row r="30">
      <c r="A30" s="5" t="inlineStr">
        <is>
          <t>Special Ability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Ability Description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Tactical AI &amp; Notes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Behavior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Drops / Intel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Appears in Scenario B-4 'The Traitor's Genetic Legacy' and B-5 'The Last Ship'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2026-08-09T16:38:42Z</dcterms:modified>
</cp:coreProperties>
</file>