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tal1_Victor Hale" sheetId="1" state="visible" r:id="rId1"/>
    <sheet name="Mortal2_Erin Val" sheetId="2" state="visible" r:id="rId2"/>
    <sheet name="Mortal3_Calvin Shadow" sheetId="3" state="visible" r:id="rId3"/>
    <sheet name="Mortal4_Ilya Void" sheetId="4" state="visible" r:id="rId4"/>
    <sheet name="Mortal5_Marcus Grey" sheetId="5" state="visible" r:id="rId5"/>
    <sheet name="Mortal6_Greta Cole" sheetId="6" state="visible" r:id="rId6"/>
    <sheet name="Mortal7_Tobias Rust" sheetId="7" state="visible" r:id="rId7"/>
    <sheet name="Astartes1_Brother Severin" sheetId="8" state="visible" r:id="rId8"/>
    <sheet name="Astartes2_Brother Ironheart" sheetId="9" state="visible" r:id="rId9"/>
    <sheet name="Astartes3_Brother Shadowwalker" sheetId="10" state="visible" r:id="rId10"/>
    <sheet name="Astartes4_Brother Wolfhowl" sheetId="11" state="visible" r:id="rId11"/>
    <sheet name="Astartes5_Brother Azrael" sheetId="12" state="visible" r:id="rId12"/>
    <sheet name="Astartes6_Brother Ferru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Victor Hale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Victor Hale</t>
        </is>
      </c>
      <c r="C3" s="3" t="inlineStr">
        <is>
          <t>Former Profession</t>
        </is>
      </c>
      <c r="D3" s="4" t="inlineStr">
        <is>
          <t>Astra Militarum Veteran</t>
        </is>
      </c>
      <c r="E3" s="3" t="inlineStr">
        <is>
          <t>Crime</t>
        </is>
      </c>
      <c r="F3" s="4" t="inlineStr">
        <is>
          <t>Deserter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2</v>
      </c>
      <c r="C6" s="3" t="inlineStr"/>
    </row>
    <row r="7">
      <c r="A7" s="3" t="inlineStr">
        <is>
          <t>Body (BOD)</t>
        </is>
      </c>
      <c r="B7" s="4" t="n">
        <v>4</v>
      </c>
      <c r="C7" s="3" t="inlineStr"/>
    </row>
    <row r="8">
      <c r="A8" s="3" t="inlineStr">
        <is>
          <t>Mind (MND)</t>
        </is>
      </c>
      <c r="B8" s="4" t="n">
        <v>2</v>
      </c>
      <c r="C8" s="3" t="inlineStr"/>
    </row>
    <row r="9">
      <c r="A9" s="3" t="inlineStr">
        <is>
          <t>Tech (TEC)</t>
        </is>
      </c>
      <c r="B9" s="4" t="n">
        <v>4</v>
      </c>
      <c r="C9" s="3" t="inlineStr"/>
    </row>
    <row r="10">
      <c r="A10" s="3" t="inlineStr">
        <is>
          <t>Fate (FAT)</t>
        </is>
      </c>
      <c r="B10" s="4" t="n">
        <v>3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Once an Imperial Guard Sergeant; retreated before a Chaos assault, causing his company's annihilation. Spends his remaining days proving he is no coward.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Erin Val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Erin Val</t>
        </is>
      </c>
      <c r="C3" s="3" t="inlineStr">
        <is>
          <t>Former Profession</t>
        </is>
      </c>
      <c r="D3" s="4" t="inlineStr">
        <is>
          <t>Ecclesiarchy Acolyte</t>
        </is>
      </c>
      <c r="E3" s="3" t="inlineStr">
        <is>
          <t>Crime</t>
        </is>
      </c>
      <c r="F3" s="4" t="inlineStr">
        <is>
          <t>Heretic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5</v>
      </c>
      <c r="C6" s="3" t="inlineStr"/>
    </row>
    <row r="7">
      <c r="A7" s="3" t="inlineStr">
        <is>
          <t>Body (BOD)</t>
        </is>
      </c>
      <c r="B7" s="4" t="n">
        <v>2</v>
      </c>
      <c r="C7" s="3" t="inlineStr"/>
    </row>
    <row r="8">
      <c r="A8" s="3" t="inlineStr">
        <is>
          <t>Mind (MND)</t>
        </is>
      </c>
      <c r="B8" s="4" t="n">
        <v>3</v>
      </c>
      <c r="C8" s="3" t="inlineStr"/>
    </row>
    <row r="9">
      <c r="A9" s="3" t="inlineStr">
        <is>
          <t>Tech (TEC)</t>
        </is>
      </c>
      <c r="B9" s="4" t="n">
        <v>2</v>
      </c>
      <c r="C9" s="3" t="inlineStr"/>
    </row>
    <row r="10">
      <c r="A10" s="3" t="inlineStr">
        <is>
          <t>Fate (FAT)</t>
        </is>
      </c>
      <c r="B10" s="4" t="n">
        <v>3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She says the Emperor sits not only on the Golden Throne, but lives in every believer's heart. The Ecclesiarchy calls this heresy — yet she still believes.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Calvin Shadow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Calvin Shadow</t>
        </is>
      </c>
      <c r="C3" s="3" t="inlineStr">
        <is>
          <t>Former Profession</t>
        </is>
      </c>
      <c r="D3" s="4" t="inlineStr">
        <is>
          <t>Hive Gang Member</t>
        </is>
      </c>
      <c r="E3" s="3" t="inlineStr">
        <is>
          <t>Crime</t>
        </is>
      </c>
      <c r="F3" s="4" t="inlineStr">
        <is>
          <t>Thief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2</v>
      </c>
      <c r="C6" s="3" t="inlineStr"/>
    </row>
    <row r="7">
      <c r="A7" s="3" t="inlineStr">
        <is>
          <t>Body (BOD)</t>
        </is>
      </c>
      <c r="B7" s="4" t="n">
        <v>3</v>
      </c>
      <c r="C7" s="3" t="inlineStr"/>
    </row>
    <row r="8">
      <c r="A8" s="3" t="inlineStr">
        <is>
          <t>Mind (MND)</t>
        </is>
      </c>
      <c r="B8" s="4" t="n">
        <v>3</v>
      </c>
      <c r="C8" s="3" t="inlineStr"/>
    </row>
    <row r="9">
      <c r="A9" s="3" t="inlineStr">
        <is>
          <t>Tech (TEC)</t>
        </is>
      </c>
      <c r="B9" s="4" t="n">
        <v>4</v>
      </c>
      <c r="C9" s="3" t="inlineStr"/>
    </row>
    <row r="10">
      <c r="A10" s="3" t="inlineStr">
        <is>
          <t>Fate (FAT)</t>
        </is>
      </c>
      <c r="B10" s="4" t="n">
        <v>3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Stole an Inquisition-sealed relic — not for profit, but to stop an Inquisitor from using it for something terrible.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Ilya Void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Ilya Void</t>
        </is>
      </c>
      <c r="C3" s="3" t="inlineStr">
        <is>
          <t>Former Profession</t>
        </is>
      </c>
      <c r="D3" s="4" t="inlineStr">
        <is>
          <t>Merchant Fleet Crew</t>
        </is>
      </c>
      <c r="E3" s="3" t="inlineStr">
        <is>
          <t>Crime</t>
        </is>
      </c>
      <c r="F3" s="4" t="inlineStr">
        <is>
          <t>Psyker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3</v>
      </c>
      <c r="C6" s="3" t="inlineStr"/>
    </row>
    <row r="7">
      <c r="A7" s="3" t="inlineStr">
        <is>
          <t>Body (BOD)</t>
        </is>
      </c>
      <c r="B7" s="4" t="n">
        <v>2</v>
      </c>
      <c r="C7" s="3" t="inlineStr"/>
    </row>
    <row r="8">
      <c r="A8" s="3" t="inlineStr">
        <is>
          <t>Mind (MND)</t>
        </is>
      </c>
      <c r="B8" s="4" t="n">
        <v>4</v>
      </c>
      <c r="C8" s="3" t="inlineStr"/>
    </row>
    <row r="9">
      <c r="A9" s="3" t="inlineStr">
        <is>
          <t>Tech (TEC)</t>
        </is>
      </c>
      <c r="B9" s="4" t="n">
        <v>3</v>
      </c>
      <c r="C9" s="3" t="inlineStr"/>
    </row>
    <row r="10">
      <c r="A10" s="3" t="inlineStr">
        <is>
          <t>Fate (FAT)</t>
        </is>
      </c>
      <c r="B10" s="4" t="n">
        <v>3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An unregistered Psyker. Can hear the voices of the Warp. The Inquisition gave him a choice: soul-binding, or service to the Empire.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Marcus Grey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Marcus Grey</t>
        </is>
      </c>
      <c r="C3" s="3" t="inlineStr">
        <is>
          <t>Former Profession</t>
        </is>
      </c>
      <c r="D3" s="4" t="inlineStr">
        <is>
          <t>Noble Steward</t>
        </is>
      </c>
      <c r="E3" s="3" t="inlineStr">
        <is>
          <t>Crime</t>
        </is>
      </c>
      <c r="F3" s="4" t="inlineStr">
        <is>
          <t>Traitor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3</v>
      </c>
      <c r="C6" s="3" t="inlineStr"/>
    </row>
    <row r="7">
      <c r="A7" s="3" t="inlineStr">
        <is>
          <t>Body (BOD)</t>
        </is>
      </c>
      <c r="B7" s="4" t="n">
        <v>3</v>
      </c>
      <c r="C7" s="3" t="inlineStr"/>
    </row>
    <row r="8">
      <c r="A8" s="3" t="inlineStr">
        <is>
          <t>Mind (MND)</t>
        </is>
      </c>
      <c r="B8" s="4" t="n">
        <v>4</v>
      </c>
      <c r="C8" s="3" t="inlineStr"/>
    </row>
    <row r="9">
      <c r="A9" s="3" t="inlineStr">
        <is>
          <t>Tech (TEC)</t>
        </is>
      </c>
      <c r="B9" s="4" t="n">
        <v>2</v>
      </c>
      <c r="C9" s="3" t="inlineStr"/>
    </row>
    <row r="10">
      <c r="A10" s="3" t="inlineStr">
        <is>
          <t>Fate (FAT)</t>
        </is>
      </c>
      <c r="B10" s="4" t="n">
        <v>3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Once managed logistics for rebels — not voluntarily, but under coercion. Yet the Inquisition makes no distinction between 'traitor' and 'caught up in it'.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Greta Cole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Greta Cole</t>
        </is>
      </c>
      <c r="C3" s="3" t="inlineStr">
        <is>
          <t>Former Profession</t>
        </is>
      </c>
      <c r="D3" s="4" t="inlineStr">
        <is>
          <t>Arbites Enforcer</t>
        </is>
      </c>
      <c r="E3" s="3" t="inlineStr">
        <is>
          <t>Crime</t>
        </is>
      </c>
      <c r="F3" s="4" t="inlineStr">
        <is>
          <t>Corrupt Official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2</v>
      </c>
      <c r="C6" s="3" t="inlineStr"/>
    </row>
    <row r="7">
      <c r="A7" s="3" t="inlineStr">
        <is>
          <t>Body (BOD)</t>
        </is>
      </c>
      <c r="B7" s="4" t="n">
        <v>2</v>
      </c>
      <c r="C7" s="3" t="inlineStr"/>
    </row>
    <row r="8">
      <c r="A8" s="3" t="inlineStr">
        <is>
          <t>Mind (MND)</t>
        </is>
      </c>
      <c r="B8" s="4" t="n">
        <v>3</v>
      </c>
      <c r="C8" s="3" t="inlineStr"/>
    </row>
    <row r="9">
      <c r="A9" s="3" t="inlineStr">
        <is>
          <t>Tech (TEC)</t>
        </is>
      </c>
      <c r="B9" s="4" t="n">
        <v>3</v>
      </c>
      <c r="C9" s="3" t="inlineStr"/>
    </row>
    <row r="10">
      <c r="A10" s="3" t="inlineStr">
        <is>
          <t>Fate (FAT)</t>
        </is>
      </c>
      <c r="B10" s="4" t="n">
        <v>5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Embezzled the tithe within the Imperial bureaucracy. Everyone steals — she just stole from the wrong target.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Tobias Rust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Tobias Rust</t>
        </is>
      </c>
      <c r="C3" s="3" t="inlineStr">
        <is>
          <t>Former Profession</t>
        </is>
      </c>
      <c r="D3" s="4" t="inlineStr">
        <is>
          <t>Tech-Adept Novice</t>
        </is>
      </c>
      <c r="E3" s="3" t="inlineStr">
        <is>
          <t>Crime</t>
        </is>
      </c>
      <c r="F3" s="4" t="inlineStr">
        <is>
          <t>Contaminator</t>
        </is>
      </c>
    </row>
    <row r="4"/>
    <row r="5">
      <c r="A5" s="5" t="inlineStr">
        <is>
          <t>Five Attributes (value 1-5)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3</v>
      </c>
      <c r="C6" s="3" t="inlineStr"/>
    </row>
    <row r="7">
      <c r="A7" s="3" t="inlineStr">
        <is>
          <t>Body (BOD)</t>
        </is>
      </c>
      <c r="B7" s="4" t="n">
        <v>4</v>
      </c>
      <c r="C7" s="3" t="inlineStr"/>
    </row>
    <row r="8">
      <c r="A8" s="3" t="inlineStr">
        <is>
          <t>Mind (MND)</t>
        </is>
      </c>
      <c r="B8" s="4" t="n">
        <v>3</v>
      </c>
      <c r="C8" s="3" t="inlineStr"/>
    </row>
    <row r="9">
      <c r="A9" s="3" t="inlineStr">
        <is>
          <t>Tech (TEC)</t>
        </is>
      </c>
      <c r="B9" s="4" t="n">
        <v>3</v>
      </c>
      <c r="C9" s="3" t="inlineStr"/>
    </row>
    <row r="10">
      <c r="A10" s="3" t="inlineStr">
        <is>
          <t>Fate (FAT)</t>
        </is>
      </c>
      <c r="B10" s="4" t="n">
        <v>2</v>
      </c>
      <c r="C10" s="3" t="inlineStr"/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B7*4+5</f>
        <v/>
      </c>
      <c r="C14" s="3" t="inlineStr">
        <is>
          <t>Current Hit Points (HP)</t>
        </is>
      </c>
      <c r="D14" s="4" t="n"/>
    </row>
    <row r="15">
      <c r="A15" s="3" t="inlineStr">
        <is>
          <t>Faith Pool</t>
        </is>
      </c>
      <c r="B15" s="7">
        <f>B6*3+5</f>
        <v/>
      </c>
      <c r="C15" s="3" t="inlineStr">
        <is>
          <t>Current Faith</t>
        </is>
      </c>
      <c r="D15" s="4" t="n"/>
    </row>
    <row r="16">
      <c r="A16" s="3" t="inlineStr">
        <is>
          <t>Corruption (0-100)</t>
        </is>
      </c>
      <c r="B16" s="4" t="n"/>
      <c r="C16" s="3" t="inlineStr">
        <is>
          <t>Wound Threshold</t>
        </is>
      </c>
      <c r="D16" s="7">
        <f>B8*2+3</f>
        <v/>
      </c>
    </row>
    <row r="17">
      <c r="A17" s="3" t="inlineStr">
        <is>
          <t>Defense</t>
        </is>
      </c>
      <c r="B17" s="7">
        <f>ROUNDUP(B9/2,0)+G27</f>
        <v/>
      </c>
      <c r="C17" s="3" t="inlineStr">
        <is>
          <t>Base Initiative</t>
        </is>
      </c>
      <c r="D17" s="7">
        <f>B8+B9</f>
        <v/>
      </c>
    </row>
    <row r="18">
      <c r="A18" s="3" t="inlineStr">
        <is>
          <t>Movement (m)</t>
        </is>
      </c>
      <c r="B18" s="7">
        <f>6+B7/2</f>
        <v/>
      </c>
      <c r="C18" s="3" t="inlineStr">
        <is>
          <t>Encumbrance (kg)</t>
        </is>
      </c>
      <c r="D18" s="7">
        <f>B7*10+20</f>
        <v/>
      </c>
    </row>
    <row r="19">
      <c r="A19" s="3" t="inlineStr">
        <is>
          <t>Psychic Ward</t>
        </is>
      </c>
      <c r="B19" s="7">
        <f>B8+B6/2</f>
        <v/>
      </c>
      <c r="C19" s="3" t="inlineStr">
        <is>
          <t>Fate Points</t>
        </is>
      </c>
      <c r="D19" s="7">
        <f>B10</f>
        <v/>
      </c>
    </row>
    <row r="20">
      <c r="A20" s="3" t="inlineStr">
        <is>
          <t>Hit Points (HP) Healthy &gt;75%</t>
        </is>
      </c>
      <c r="B20" s="7">
        <f>B7*4+5</f>
        <v/>
      </c>
      <c r="C20" s="3" t="inlineStr">
        <is>
          <t>Heavy Wound &lt;50%</t>
        </is>
      </c>
      <c r="D20" s="7">
        <f>ROUND((B7*4+5)/2,0)</f>
        <v/>
      </c>
    </row>
    <row r="21">
      <c r="A21" s="3" t="inlineStr">
        <is>
          <t>Light Wound &lt;75%</t>
        </is>
      </c>
      <c r="B21" s="7">
        <f>ROUND((B7*4+5)*0.75,0)</f>
        <v/>
      </c>
      <c r="C21" s="3" t="inlineStr">
        <is>
          <t>Dying &lt;25%</t>
        </is>
      </c>
      <c r="D21" s="7">
        <f>ROUND((B7*4+5)*0.25,0)</f>
        <v/>
      </c>
    </row>
    <row r="22"/>
    <row r="23">
      <c r="A23" s="5" t="inlineStr">
        <is>
          <t>Weapons &amp; Equipment</t>
        </is>
      </c>
      <c r="B23" s="9" t="n"/>
      <c r="C23" s="9" t="n"/>
      <c r="D23" s="9" t="n"/>
      <c r="E23" s="9" t="n"/>
      <c r="F23" s="9" t="n"/>
      <c r="G23" s="9" t="n"/>
      <c r="H23" s="10" t="n"/>
    </row>
    <row r="24">
      <c r="A24" s="3" t="inlineStr">
        <is>
          <t>Primary Weapon Name</t>
        </is>
      </c>
      <c r="B24" s="4" t="n"/>
      <c r="C24" s="3" t="inlineStr">
        <is>
          <t>Base Damage</t>
        </is>
      </c>
      <c r="D24" s="4" t="n"/>
    </row>
    <row r="25">
      <c r="A25" s="3" t="inlineStr">
        <is>
          <t>Damage Type</t>
        </is>
      </c>
      <c r="B25" s="4" t="n"/>
      <c r="C25" s="3" t="inlineStr">
        <is>
          <t>Magazine Capacity</t>
        </is>
      </c>
      <c r="D25" s="4" t="n"/>
    </row>
    <row r="26">
      <c r="A26" s="3" t="inlineStr">
        <is>
          <t>Secondary Weapon Name</t>
        </is>
      </c>
      <c r="B26" s="4" t="n"/>
      <c r="C26" s="3" t="inlineStr">
        <is>
          <t>Base Damage</t>
        </is>
      </c>
      <c r="D26" s="4" t="n"/>
    </row>
    <row r="27">
      <c r="A27" s="3" t="inlineStr">
        <is>
          <t>Armor Name</t>
        </is>
      </c>
      <c r="B27" s="4" t="n"/>
      <c r="C27" s="3" t="inlineStr">
        <is>
          <t>Armor Rating (AR) Ballistic</t>
        </is>
      </c>
      <c r="D27" s="4" t="n"/>
    </row>
    <row r="28">
      <c r="A28" s="3" t="inlineStr">
        <is>
          <t>Armor Rating (AR) Energy</t>
        </is>
      </c>
      <c r="B28" s="4" t="n"/>
      <c r="C28" s="3" t="inlineStr">
        <is>
          <t>Armor Rating (AR) Explosive</t>
        </is>
      </c>
      <c r="D28" s="4" t="n"/>
    </row>
    <row r="29">
      <c r="A29" s="3" t="inlineStr">
        <is>
          <t>Armor Rating (AR) Rending</t>
        </is>
      </c>
      <c r="B29" s="4" t="n"/>
      <c r="C29" s="3" t="inlineStr">
        <is>
          <t>Armor Rating (AR) Flame</t>
        </is>
      </c>
      <c r="D29" s="4" t="n"/>
    </row>
    <row r="30">
      <c r="A30" s="3" t="inlineStr">
        <is>
          <t>Armor Defense Bonus</t>
        </is>
      </c>
      <c r="B30" s="4" t="n"/>
    </row>
    <row r="31">
      <c r="A31" s="3" t="inlineStr">
        <is>
          <t>Melee Attack Target Number (TN)</t>
        </is>
      </c>
      <c r="B31" s="7">
        <f>B7*10</f>
        <v/>
      </c>
      <c r="C31" s="3" t="inlineStr">
        <is>
          <t>Ranged Attack Target Number (TN)</t>
        </is>
      </c>
      <c r="D31" s="7">
        <f>B9*10</f>
        <v/>
      </c>
    </row>
    <row r="32"/>
    <row r="33">
      <c r="A33" s="5" t="inlineStr">
        <is>
          <t>Skills (U=Untrained 0 / T=Trained +10 / E=Expert +20 / M=Master +30)</t>
        </is>
      </c>
      <c r="B33" s="9" t="n"/>
      <c r="C33" s="9" t="n"/>
      <c r="D33" s="9" t="n"/>
      <c r="E33" s="9" t="n"/>
      <c r="F33" s="9" t="n"/>
      <c r="G33" s="9" t="n"/>
      <c r="H33" s="10" t="n"/>
    </row>
    <row r="34">
      <c r="A34" s="3" t="inlineStr">
        <is>
          <t>Skill Name</t>
        </is>
      </c>
      <c r="B34" s="3" t="inlineStr">
        <is>
          <t>Rank (U/T/E/M)</t>
        </is>
      </c>
      <c r="C34" s="3" t="inlineStr">
        <is>
          <t>Bonus</t>
        </is>
      </c>
      <c r="D34" s="3" t="inlineStr">
        <is>
          <t>Primary Attribute Target Number (TN)</t>
        </is>
      </c>
      <c r="E34" s="3" t="inlineStr">
        <is>
          <t>Skill TN (Standard)</t>
        </is>
      </c>
    </row>
    <row r="35">
      <c r="A35" s="8" t="inlineStr">
        <is>
          <t>Athletics</t>
        </is>
      </c>
      <c r="B35" s="4" t="n"/>
      <c r="C35" s="7">
        <f>IF(B35="T",10,IF(B35="E",20,IF(B35="M",30,0)))</f>
        <v/>
      </c>
      <c r="D35" s="7">
        <f>B7*10</f>
        <v/>
      </c>
      <c r="E35" s="7">
        <f>D35+C35</f>
        <v/>
      </c>
    </row>
    <row r="36">
      <c r="A36" s="8" t="inlineStr">
        <is>
          <t>Weapon Skill</t>
        </is>
      </c>
      <c r="B36" s="4" t="n"/>
      <c r="C36" s="7">
        <f>IF(B36="T",10,IF(B36="E",20,IF(B36="M",30,0)))</f>
        <v/>
      </c>
      <c r="D36" s="7">
        <f>B7*10</f>
        <v/>
      </c>
      <c r="E36" s="7">
        <f>D36+C36</f>
        <v/>
      </c>
    </row>
    <row r="37">
      <c r="A37" s="8" t="inlineStr">
        <is>
          <t>Endurance</t>
        </is>
      </c>
      <c r="B37" s="4" t="n"/>
      <c r="C37" s="7">
        <f>IF(B37="T",10,IF(B37="E",20,IF(B37="M",30,0)))</f>
        <v/>
      </c>
      <c r="D37" s="7">
        <f>B7*10</f>
        <v/>
      </c>
      <c r="E37" s="7">
        <f>D37+C37</f>
        <v/>
      </c>
    </row>
    <row r="38">
      <c r="A38" s="8" t="inlineStr">
        <is>
          <t>Awareness</t>
        </is>
      </c>
      <c r="B38" s="4" t="n"/>
      <c r="C38" s="7">
        <f>IF(B38="T",10,IF(B38="E",20,IF(B38="M",30,0)))</f>
        <v/>
      </c>
      <c r="D38" s="7">
        <f>B8*10</f>
        <v/>
      </c>
      <c r="E38" s="7">
        <f>D38+C38</f>
        <v/>
      </c>
    </row>
    <row r="39">
      <c r="A39" s="8" t="inlineStr">
        <is>
          <t>Investigation</t>
        </is>
      </c>
      <c r="B39" s="4" t="n"/>
      <c r="C39" s="7">
        <f>IF(B39="T",10,IF(B39="E",20,IF(B39="M",30,0)))</f>
        <v/>
      </c>
      <c r="D39" s="7">
        <f>B8*10</f>
        <v/>
      </c>
      <c r="E39" s="7">
        <f>D39+C39</f>
        <v/>
      </c>
    </row>
    <row r="40">
      <c r="A40" s="8" t="inlineStr">
        <is>
          <t>Lore</t>
        </is>
      </c>
      <c r="B40" s="4" t="n"/>
      <c r="C40" s="7">
        <f>IF(B40="T",10,IF(B40="E",20,IF(B40="M",30,0)))</f>
        <v/>
      </c>
      <c r="D40" s="7">
        <f>B8*10</f>
        <v/>
      </c>
      <c r="E40" s="7">
        <f>D40+C40</f>
        <v/>
      </c>
    </row>
    <row r="41">
      <c r="A41" s="8" t="inlineStr">
        <is>
          <t>Medicae</t>
        </is>
      </c>
      <c r="B41" s="4" t="n"/>
      <c r="C41" s="7">
        <f>IF(B41="T",10,IF(B41="E",20,IF(B41="M",30,0)))</f>
        <v/>
      </c>
      <c r="D41" s="7">
        <f>B8*10</f>
        <v/>
      </c>
      <c r="E41" s="7">
        <f>D41+C41</f>
        <v/>
      </c>
    </row>
    <row r="42">
      <c r="A42" s="8" t="inlineStr">
        <is>
          <t>Psyniscience</t>
        </is>
      </c>
      <c r="B42" s="4" t="n"/>
      <c r="C42" s="7">
        <f>IF(B42="T",10,IF(B42="E",20,IF(B42="M",30,0)))</f>
        <v/>
      </c>
      <c r="D42" s="7">
        <f>B6*10</f>
        <v/>
      </c>
      <c r="E42" s="7">
        <f>D42+C42</f>
        <v/>
      </c>
    </row>
    <row r="43">
      <c r="A43" s="8" t="inlineStr">
        <is>
          <t>Oratory</t>
        </is>
      </c>
      <c r="B43" s="4" t="n"/>
      <c r="C43" s="7">
        <f>IF(B43="T",10,IF(B43="E",20,IF(B43="M",30,0)))</f>
        <v/>
      </c>
      <c r="D43" s="7">
        <f>B6*10</f>
        <v/>
      </c>
      <c r="E43" s="7">
        <f>D43+C43</f>
        <v/>
      </c>
    </row>
    <row r="44">
      <c r="A44" s="8" t="inlineStr">
        <is>
          <t>Ballistic Skill</t>
        </is>
      </c>
      <c r="B44" s="4" t="n"/>
      <c r="C44" s="7">
        <f>IF(B44="T",10,IF(B44="E",20,IF(B44="M",30,0)))</f>
        <v/>
      </c>
      <c r="D44" s="7">
        <f>B9*10</f>
        <v/>
      </c>
      <c r="E44" s="7">
        <f>D44+C44</f>
        <v/>
      </c>
    </row>
    <row r="45">
      <c r="A45" s="8" t="inlineStr">
        <is>
          <t>Tech-Use</t>
        </is>
      </c>
      <c r="B45" s="4" t="n"/>
      <c r="C45" s="7">
        <f>IF(B45="T",10,IF(B45="E",20,IF(B45="M",30,0)))</f>
        <v/>
      </c>
      <c r="D45" s="7">
        <f>B9*10</f>
        <v/>
      </c>
      <c r="E45" s="7">
        <f>D45+C45</f>
        <v/>
      </c>
    </row>
    <row r="46">
      <c r="A46" s="8" t="inlineStr">
        <is>
          <t>Stealth</t>
        </is>
      </c>
      <c r="B46" s="4" t="n"/>
      <c r="C46" s="7">
        <f>IF(B46="T",10,IF(B46="E",20,IF(B46="M",30,0)))</f>
        <v/>
      </c>
      <c r="D46" s="7">
        <f>B9*10</f>
        <v/>
      </c>
      <c r="E46" s="7">
        <f>D46+C46</f>
        <v/>
      </c>
    </row>
    <row r="47">
      <c r="A47" s="8" t="inlineStr">
        <is>
          <t>Command</t>
        </is>
      </c>
      <c r="B47" s="4" t="n"/>
      <c r="C47" s="7">
        <f>IF(B47="T",10,IF(B47="E",20,IF(B47="M",30,0)))</f>
        <v/>
      </c>
      <c r="D47" s="7">
        <f>B10*10</f>
        <v/>
      </c>
      <c r="E47" s="7">
        <f>D47+C47</f>
        <v/>
      </c>
    </row>
    <row r="48">
      <c r="A48" s="8" t="inlineStr">
        <is>
          <t>Deceive</t>
        </is>
      </c>
      <c r="B48" s="4" t="n"/>
      <c r="C48" s="7">
        <f>IF(B48="T",10,IF(B48="E",20,IF(B48="M",30,0)))</f>
        <v/>
      </c>
      <c r="D48" s="7">
        <f>B10*10</f>
        <v/>
      </c>
      <c r="E48" s="7">
        <f>D48+C48</f>
        <v/>
      </c>
    </row>
    <row r="49"/>
    <row r="50">
      <c r="A50" s="5" t="inlineStr">
        <is>
          <t>Verdict &amp; Red Line</t>
        </is>
      </c>
      <c r="B50" s="9" t="n"/>
      <c r="C50" s="9" t="n"/>
      <c r="D50" s="9" t="n"/>
      <c r="E50" s="9" t="n"/>
      <c r="F50" s="9" t="n"/>
      <c r="G50" s="9" t="n"/>
      <c r="H50" s="10" t="n"/>
    </row>
    <row r="51">
      <c r="A51" s="3" t="inlineStr">
        <is>
          <t>Verdict Special Ability</t>
        </is>
      </c>
      <c r="B51" s="4" t="n"/>
      <c r="C51" s="9" t="n"/>
      <c r="D51" s="9" t="n"/>
      <c r="E51" s="9" t="n"/>
      <c r="F51" s="10" t="n"/>
    </row>
    <row r="52"/>
    <row r="53">
      <c r="A53" s="3" t="inlineStr">
        <is>
          <t>Penance Condition</t>
        </is>
      </c>
      <c r="B53" s="4" t="n"/>
      <c r="C53" s="9" t="n"/>
      <c r="D53" s="9" t="n"/>
      <c r="E53" s="9" t="n"/>
      <c r="F53" s="10" t="n"/>
    </row>
    <row r="54"/>
    <row r="55">
      <c r="A55" s="3" t="inlineStr">
        <is>
          <t>My Red Line (Red Line)</t>
        </is>
      </c>
      <c r="B55" s="4" t="n"/>
      <c r="C55" s="9" t="n"/>
      <c r="D55" s="9" t="n"/>
      <c r="E55" s="9" t="n"/>
      <c r="F55" s="10" t="n"/>
    </row>
    <row r="56"/>
    <row r="57">
      <c r="A57" s="3" t="inlineStr">
        <is>
          <t>Personal Gear/Items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Emperor/Chaos Mark</t>
        </is>
      </c>
      <c r="B59" s="4" t="n"/>
      <c r="C59" s="9" t="n"/>
      <c r="D59" s="9" t="n"/>
      <c r="E59" s="9" t="n"/>
      <c r="F59" s="10" t="n"/>
    </row>
    <row r="60"/>
    <row r="61">
      <c r="A61" s="11" t="inlineStr">
        <is>
          <t>Background: Contacted xenos technology and survived. The Inquisition is unsure if he is corrupted — and so is he.</t>
        </is>
      </c>
      <c r="H61" s="12" t="n"/>
    </row>
    <row r="62">
      <c r="A62" s="14" t="n"/>
      <c r="B62" s="13" t="n"/>
      <c r="C62" s="13" t="n"/>
      <c r="D62" s="13" t="n"/>
      <c r="E62" s="13" t="n"/>
      <c r="F62" s="13" t="n"/>
      <c r="G62" s="13" t="n"/>
      <c r="H62" s="14" t="n"/>
    </row>
    <row r="63">
      <c r="A63" s="15" t="inlineStr">
        <is>
          <t>• TN cap = 95: No test TN may exceed 95 (96-00 always fails).</t>
        </is>
      </c>
    </row>
    <row r="64">
      <c r="A64" s="15" t="inlineStr">
        <is>
          <t>• Faith at zero → 'Night of the Soul': immediate Crisis of Faith, cannot use Faith, Corruption +1 per day.</t>
        </is>
      </c>
    </row>
    <row r="65">
      <c r="A65" s="15" t="inlineStr">
        <is>
          <t>• Wounds: triggered when a single hit exceeds the Wound Threshold (Minor/Moderate/Major/Lethal).</t>
        </is>
      </c>
    </row>
    <row r="66">
      <c r="A66" s="15" t="inlineStr">
        <is>
          <t>• Medikit: restores 2d6 Hit Points (HP). Squad-shared 3 uses per mission. Buy from Quartermaster for 15 Throne Gelt (TG) (max 2).</t>
        </is>
      </c>
    </row>
    <row r="67">
      <c r="A67" s="15" t="inlineStr">
        <is>
          <t>• Hit Points (HP) Status: Healthy &gt;75% / Light Wound 50-75% / Heavy Wound 25-50% (physical Disadvantage) / Dying &lt;25%.</t>
        </is>
      </c>
    </row>
    <row r="68">
      <c r="A68" s="15" t="inlineStr">
        <is>
          <t>• Between-mission recovery: HP auto-refills, Faith recovers 1d6 + Faith value, Corruption does not auto-decrease.</t>
        </is>
      </c>
    </row>
    <row r="69">
      <c r="A69" s="15" t="inlineStr">
        <is>
          <t>• Ammunition ration: 2 magazines per person. Extra magazine 15 Throne Gelt (TG). Scavenge: Tech (TEC) test (Standard).</t>
        </is>
      </c>
    </row>
    <row r="70">
      <c r="A70" s="15" t="inlineStr">
        <is>
          <t>• Environmental damage: see GM Guide — Flame/Fall/Toxin/Radiation/Vacuum quick-reference table.</t>
        </is>
      </c>
    </row>
  </sheetData>
  <mergeCells count="21">
    <mergeCell ref="A67:H67"/>
    <mergeCell ref="B59:F59"/>
    <mergeCell ref="A64:H64"/>
    <mergeCell ref="A1:H1"/>
    <mergeCell ref="A70:H70"/>
    <mergeCell ref="A69:H69"/>
    <mergeCell ref="A65:H65"/>
    <mergeCell ref="A66:H66"/>
    <mergeCell ref="B57:F57"/>
    <mergeCell ref="A12:H12"/>
    <mergeCell ref="A50:H50"/>
    <mergeCell ref="B53:F53"/>
    <mergeCell ref="A33:H33"/>
    <mergeCell ref="A5:H5"/>
    <mergeCell ref="A23:H23"/>
    <mergeCell ref="A61:H62"/>
    <mergeCell ref="A62:H62"/>
    <mergeCell ref="B55:F55"/>
    <mergeCell ref="A63:H63"/>
    <mergeCell ref="B51:F51"/>
    <mergeCell ref="A68:H6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Brother Severin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Brother Severin</t>
        </is>
      </c>
      <c r="C3" s="3" t="inlineStr">
        <is>
          <t>Chapter</t>
        </is>
      </c>
      <c r="D3" s="4" t="inlineStr">
        <is>
          <t>Blood Angels</t>
        </is>
      </c>
      <c r="E3" s="3" t="inlineStr">
        <is>
          <t>Mark</t>
        </is>
      </c>
      <c r="F3" s="4" t="inlineStr">
        <is>
          <t>Disgrace of the Chapter</t>
        </is>
      </c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5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 cap = 95: No test TN may exceed 95 (96-00 always fails).</t>
        </is>
      </c>
    </row>
    <row r="70">
      <c r="A70" s="15" t="inlineStr">
        <is>
          <t>• Faith at zero → 'Night of the Soul': immediate Crisis of Faith, cannot use Faith, Corruption +1 per day.</t>
        </is>
      </c>
    </row>
    <row r="71">
      <c r="A71" s="15" t="inlineStr">
        <is>
          <t>• Wounds: triggered when a single hit exceeds Wound Threshold. Astartes Resilience — Minor Wounds have no effect.</t>
        </is>
      </c>
    </row>
    <row r="72">
      <c r="A72" s="15" t="inlineStr">
        <is>
          <t>• Armor Machine-Spirit (APM) changes: post-battle prayer +2 (Standard TN) / Critical Hit −1 / Corruption tier-up −2 / rest at holy site +3.</t>
        </is>
      </c>
    </row>
    <row r="73">
      <c r="A73" s="15" t="inlineStr">
        <is>
          <t>• Oath Fracture: breaking an oath → +1 Corruption when using the related Chapter ability. 3 breaches → oath permanently void.</t>
        </is>
      </c>
    </row>
    <row r="74">
      <c r="A74" s="15" t="inlineStr">
        <is>
          <t>• Gene-Flaw trigger test: see the Mind (MND)/Faith (FTH) Target Number (TN) values below the skill table.</t>
        </is>
      </c>
    </row>
    <row r="75">
      <c r="A75" s="15" t="inlineStr">
        <is>
          <t>• Hit Points (HP) Buffer: Power Armor buffer Hit Points (HP) absorb damage first; once depleted, remaining damage reduces the character's Hit Points (HP).</t>
        </is>
      </c>
    </row>
    <row r="76">
      <c r="A76" s="15" t="inlineStr">
        <is>
          <t>• Last Watch: Hit Points (HP) ≤0 → 1 action per round → each action HP−2 → dormant/comatose at HP ≤ −(Body (BOD)×2+20).</t>
        </is>
      </c>
    </row>
    <row r="77">
      <c r="A77" s="15" t="inlineStr">
        <is>
          <t>• Between-mission recovery: Body (BOD) test (Standard) success → 3d10 Hit Points (HP) / failure → 1d10. Faith 1d3 + Faith value.</t>
        </is>
      </c>
    </row>
    <row r="78">
      <c r="A78" s="15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Brother Ironheart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Brother Ironheart</t>
        </is>
      </c>
      <c r="C3" s="3" t="inlineStr">
        <is>
          <t>Chapter</t>
        </is>
      </c>
      <c r="D3" s="4" t="inlineStr">
        <is>
          <t>Imperial Fists</t>
        </is>
      </c>
      <c r="E3" s="3" t="inlineStr">
        <is>
          <t>Mark</t>
        </is>
      </c>
      <c r="F3" s="4" t="inlineStr">
        <is>
          <t>Order of Disobedience</t>
        </is>
      </c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4</v>
      </c>
    </row>
    <row r="7">
      <c r="A7" s="3" t="inlineStr">
        <is>
          <t>Body (BOD)</t>
        </is>
      </c>
      <c r="B7" s="4" t="n">
        <v>4</v>
      </c>
    </row>
    <row r="8">
      <c r="A8" s="3" t="inlineStr">
        <is>
          <t>Mind (MND)</t>
        </is>
      </c>
      <c r="B8" s="4" t="n">
        <v>4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 cap = 95: No test TN may exceed 95 (96-00 always fails).</t>
        </is>
      </c>
    </row>
    <row r="70">
      <c r="A70" s="15" t="inlineStr">
        <is>
          <t>• Faith at zero → 'Night of the Soul': immediate Crisis of Faith, cannot use Faith, Corruption +1 per day.</t>
        </is>
      </c>
    </row>
    <row r="71">
      <c r="A71" s="15" t="inlineStr">
        <is>
          <t>• Wounds: triggered when a single hit exceeds Wound Threshold. Astartes Resilience — Minor Wounds have no effect.</t>
        </is>
      </c>
    </row>
    <row r="72">
      <c r="A72" s="15" t="inlineStr">
        <is>
          <t>• Armor Machine-Spirit (APM) changes: post-battle prayer +2 (Standard TN) / Critical Hit −1 / Corruption tier-up −2 / rest at holy site +3.</t>
        </is>
      </c>
    </row>
    <row r="73">
      <c r="A73" s="15" t="inlineStr">
        <is>
          <t>• Oath Fracture: breaking an oath → +1 Corruption when using the related Chapter ability. 3 breaches → oath permanently void.</t>
        </is>
      </c>
    </row>
    <row r="74">
      <c r="A74" s="15" t="inlineStr">
        <is>
          <t>• Gene-Flaw trigger test: see the Mind (MND)/Faith (FTH) Target Number (TN) values below the skill table.</t>
        </is>
      </c>
    </row>
    <row r="75">
      <c r="A75" s="15" t="inlineStr">
        <is>
          <t>• Hit Points (HP) Buffer: Power Armor buffer Hit Points (HP) absorb damage first; once depleted, remaining damage reduces the character's Hit Points (HP).</t>
        </is>
      </c>
    </row>
    <row r="76">
      <c r="A76" s="15" t="inlineStr">
        <is>
          <t>• Last Watch: Hit Points (HP) ≤0 → 1 action per round → each action HP−2 → dormant/comatose at HP ≤ −(Body (BOD)×2+20).</t>
        </is>
      </c>
    </row>
    <row r="77">
      <c r="A77" s="15" t="inlineStr">
        <is>
          <t>• Between-mission recovery: Body (BOD) test (Standard) success → 3d10 Hit Points (HP) / failure → 1d10. Faith 1d3 + Faith value.</t>
        </is>
      </c>
    </row>
    <row r="78">
      <c r="A78" s="15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Brother Shadowwalker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Brother Shadowwalker</t>
        </is>
      </c>
      <c r="C3" s="3" t="inlineStr">
        <is>
          <t>Chapter</t>
        </is>
      </c>
      <c r="D3" s="4" t="inlineStr">
        <is>
          <t>Raven Guard</t>
        </is>
      </c>
      <c r="E3" s="3" t="inlineStr">
        <is>
          <t>Mark</t>
        </is>
      </c>
      <c r="F3" s="4" t="inlineStr">
        <is>
          <t>The Last One</t>
        </is>
      </c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4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5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 cap = 95: No test TN may exceed 95 (96-00 always fails).</t>
        </is>
      </c>
    </row>
    <row r="70">
      <c r="A70" s="15" t="inlineStr">
        <is>
          <t>• Faith at zero → 'Night of the Soul': immediate Crisis of Faith, cannot use Faith, Corruption +1 per day.</t>
        </is>
      </c>
    </row>
    <row r="71">
      <c r="A71" s="15" t="inlineStr">
        <is>
          <t>• Wounds: triggered when a single hit exceeds Wound Threshold. Astartes Resilience — Minor Wounds have no effect.</t>
        </is>
      </c>
    </row>
    <row r="72">
      <c r="A72" s="15" t="inlineStr">
        <is>
          <t>• Armor Machine-Spirit (APM) changes: post-battle prayer +2 (Standard TN) / Critical Hit −1 / Corruption tier-up −2 / rest at holy site +3.</t>
        </is>
      </c>
    </row>
    <row r="73">
      <c r="A73" s="15" t="inlineStr">
        <is>
          <t>• Oath Fracture: breaking an oath → +1 Corruption when using the related Chapter ability. 3 breaches → oath permanently void.</t>
        </is>
      </c>
    </row>
    <row r="74">
      <c r="A74" s="15" t="inlineStr">
        <is>
          <t>• Gene-Flaw trigger test: see the Mind (MND)/Faith (FTH) Target Number (TN) values below the skill table.</t>
        </is>
      </c>
    </row>
    <row r="75">
      <c r="A75" s="15" t="inlineStr">
        <is>
          <t>• Hit Points (HP) Buffer: Power Armor buffer Hit Points (HP) absorb damage first; once depleted, remaining damage reduces the character's Hit Points (HP).</t>
        </is>
      </c>
    </row>
    <row r="76">
      <c r="A76" s="15" t="inlineStr">
        <is>
          <t>• Last Watch: Hit Points (HP) ≤0 → 1 action per round → each action HP−2 → dormant/comatose at HP ≤ −(Body (BOD)×2+20).</t>
        </is>
      </c>
    </row>
    <row r="77">
      <c r="A77" s="15" t="inlineStr">
        <is>
          <t>• Between-mission recovery: Body (BOD) test (Standard) success → 3d10 Hit Points (HP) / failure → 1d10. Faith 1d3 + Faith value.</t>
        </is>
      </c>
    </row>
    <row r="78">
      <c r="A78" s="15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Brother Wolfhowl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Brother Wolfhowl</t>
        </is>
      </c>
      <c r="C3" s="3" t="inlineStr">
        <is>
          <t>Chapter</t>
        </is>
      </c>
      <c r="D3" s="4" t="inlineStr">
        <is>
          <t>Space Wolves</t>
        </is>
      </c>
      <c r="E3" s="3" t="inlineStr">
        <is>
          <t>Mark</t>
        </is>
      </c>
      <c r="F3" s="4" t="inlineStr">
        <is>
          <t>Gene-Flaw</t>
        </is>
      </c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2</v>
      </c>
    </row>
    <row r="7">
      <c r="A7" s="3" t="inlineStr">
        <is>
          <t>Body (BOD)</t>
        </is>
      </c>
      <c r="B7" s="4" t="n">
        <v>5</v>
      </c>
    </row>
    <row r="8">
      <c r="A8" s="3" t="inlineStr">
        <is>
          <t>Mind (MND)</t>
        </is>
      </c>
      <c r="B8" s="4" t="n">
        <v>3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4</v>
      </c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 cap = 95: No test TN may exceed 95 (96-00 always fails).</t>
        </is>
      </c>
    </row>
    <row r="70">
      <c r="A70" s="15" t="inlineStr">
        <is>
          <t>• Faith at zero → 'Night of the Soul': immediate Crisis of Faith, cannot use Faith, Corruption +1 per day.</t>
        </is>
      </c>
    </row>
    <row r="71">
      <c r="A71" s="15" t="inlineStr">
        <is>
          <t>• Wounds: triggered when a single hit exceeds Wound Threshold. Astartes Resilience — Minor Wounds have no effect.</t>
        </is>
      </c>
    </row>
    <row r="72">
      <c r="A72" s="15" t="inlineStr">
        <is>
          <t>• Armor Machine-Spirit (APM) changes: post-battle prayer +2 (Standard TN) / Critical Hit −1 / Corruption tier-up −2 / rest at holy site +3.</t>
        </is>
      </c>
    </row>
    <row r="73">
      <c r="A73" s="15" t="inlineStr">
        <is>
          <t>• Oath Fracture: breaking an oath → +1 Corruption when using the related Chapter ability. 3 breaches → oath permanently void.</t>
        </is>
      </c>
    </row>
    <row r="74">
      <c r="A74" s="15" t="inlineStr">
        <is>
          <t>• Gene-Flaw trigger test: see the Mind (MND)/Faith (FTH) Target Number (TN) values below the skill table.</t>
        </is>
      </c>
    </row>
    <row r="75">
      <c r="A75" s="15" t="inlineStr">
        <is>
          <t>• Hit Points (HP) Buffer: Power Armor buffer Hit Points (HP) absorb damage first; once depleted, remaining damage reduces the character's Hit Points (HP).</t>
        </is>
      </c>
    </row>
    <row r="76">
      <c r="A76" s="15" t="inlineStr">
        <is>
          <t>• Last Watch: Hit Points (HP) ≤0 → 1 action per round → each action HP−2 → dormant/comatose at HP ≤ −(Body (BOD)×2+20).</t>
        </is>
      </c>
    </row>
    <row r="77">
      <c r="A77" s="15" t="inlineStr">
        <is>
          <t>• Between-mission recovery: Body (BOD) test (Standard) success → 3d10 Hit Points (HP) / failure → 1d10. Faith 1d3 + Faith value.</t>
        </is>
      </c>
    </row>
    <row r="78">
      <c r="A78" s="15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Brother Azrael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Brother Azrael</t>
        </is>
      </c>
      <c r="C3" s="3" t="inlineStr">
        <is>
          <t>Chapter</t>
        </is>
      </c>
      <c r="D3" s="4" t="inlineStr">
        <is>
          <t>Dark Angels</t>
        </is>
      </c>
      <c r="E3" s="3" t="inlineStr">
        <is>
          <t>Mark</t>
        </is>
      </c>
      <c r="F3" s="4" t="inlineStr">
        <is>
          <t>The Warmaster's Suspicion</t>
        </is>
      </c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4</v>
      </c>
    </row>
    <row r="7">
      <c r="A7" s="3" t="inlineStr">
        <is>
          <t>Body (BOD)</t>
        </is>
      </c>
      <c r="B7" s="4" t="n">
        <v>4</v>
      </c>
    </row>
    <row r="8">
      <c r="A8" s="3" t="inlineStr">
        <is>
          <t>Mind (MND)</t>
        </is>
      </c>
      <c r="B8" s="4" t="n">
        <v>4</v>
      </c>
    </row>
    <row r="9">
      <c r="A9" s="3" t="inlineStr">
        <is>
          <t>Tech (TEC)</t>
        </is>
      </c>
      <c r="B9" s="4" t="n">
        <v>3</v>
      </c>
    </row>
    <row r="10">
      <c r="A10" s="3" t="inlineStr">
        <is>
          <t>Fate (FAT)</t>
        </is>
      </c>
      <c r="B10" s="4" t="n">
        <v>3</v>
      </c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 cap = 95: No test TN may exceed 95 (96-00 always fails).</t>
        </is>
      </c>
    </row>
    <row r="70">
      <c r="A70" s="15" t="inlineStr">
        <is>
          <t>• Faith at zero → 'Night of the Soul': immediate Crisis of Faith, cannot use Faith, Corruption +1 per day.</t>
        </is>
      </c>
    </row>
    <row r="71">
      <c r="A71" s="15" t="inlineStr">
        <is>
          <t>• Wounds: triggered when a single hit exceeds Wound Threshold. Astartes Resilience — Minor Wounds have no effect.</t>
        </is>
      </c>
    </row>
    <row r="72">
      <c r="A72" s="15" t="inlineStr">
        <is>
          <t>• Armor Machine-Spirit (APM) changes: post-battle prayer +2 (Standard TN) / Critical Hit −1 / Corruption tier-up −2 / rest at holy site +3.</t>
        </is>
      </c>
    </row>
    <row r="73">
      <c r="A73" s="15" t="inlineStr">
        <is>
          <t>• Oath Fracture: breaking an oath → +1 Corruption when using the related Chapter ability. 3 breaches → oath permanently void.</t>
        </is>
      </c>
    </row>
    <row r="74">
      <c r="A74" s="15" t="inlineStr">
        <is>
          <t>• Gene-Flaw trigger test: see the Mind (MND)/Faith (FTH) Target Number (TN) values below the skill table.</t>
        </is>
      </c>
    </row>
    <row r="75">
      <c r="A75" s="15" t="inlineStr">
        <is>
          <t>• Hit Points (HP) Buffer: Power Armor buffer Hit Points (HP) absorb damage first; once depleted, remaining damage reduces the character's Hit Points (HP).</t>
        </is>
      </c>
    </row>
    <row r="76">
      <c r="A76" s="15" t="inlineStr">
        <is>
          <t>• Last Watch: Hit Points (HP) ≤0 → 1 action per round → each action HP−2 → dormant/comatose at HP ≤ −(Body (BOD)×2+20).</t>
        </is>
      </c>
    </row>
    <row r="77">
      <c r="A77" s="15" t="inlineStr">
        <is>
          <t>• Between-mission recovery: Body (BOD) test (Standard) success → 3d10 Hit Points (HP) / failure → 1d10. Faith 1d3 + Faith value.</t>
        </is>
      </c>
    </row>
    <row r="78">
      <c r="A78" s="15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Brother Ferrus</t>
        </is>
      </c>
      <c r="B1" s="9" t="n"/>
      <c r="C1" s="9" t="n"/>
      <c r="D1" s="9" t="n"/>
      <c r="E1" s="9" t="n"/>
      <c r="F1" s="9" t="n"/>
      <c r="G1" s="9" t="n"/>
      <c r="H1" s="10" t="n"/>
    </row>
    <row r="2"/>
    <row r="3">
      <c r="A3" s="3" t="inlineStr">
        <is>
          <t>Character Name</t>
        </is>
      </c>
      <c r="B3" s="4" t="inlineStr">
        <is>
          <t>Brother Ferrus</t>
        </is>
      </c>
      <c r="C3" s="3" t="inlineStr">
        <is>
          <t>Chapter</t>
        </is>
      </c>
      <c r="D3" s="4" t="inlineStr">
        <is>
          <t>Iron Hand</t>
        </is>
      </c>
      <c r="E3" s="3" t="inlineStr">
        <is>
          <t>Mark</t>
        </is>
      </c>
      <c r="F3" s="4" t="inlineStr">
        <is>
          <t>Gene-Flaw</t>
        </is>
      </c>
    </row>
    <row r="4"/>
    <row r="5">
      <c r="A5" s="5" t="inlineStr">
        <is>
          <t>Five Attributes (value 2-7)</t>
        </is>
      </c>
      <c r="B5" s="9" t="n"/>
      <c r="C5" s="9" t="n"/>
      <c r="D5" s="9" t="n"/>
      <c r="E5" s="9" t="n"/>
      <c r="F5" s="9" t="n"/>
      <c r="G5" s="9" t="n"/>
      <c r="H5" s="10" t="n"/>
    </row>
    <row r="6">
      <c r="A6" s="3" t="inlineStr">
        <is>
          <t>Faith (FTH)</t>
        </is>
      </c>
      <c r="B6" s="4" t="n">
        <v>3</v>
      </c>
    </row>
    <row r="7">
      <c r="A7" s="3" t="inlineStr">
        <is>
          <t>Body (BOD)</t>
        </is>
      </c>
      <c r="B7" s="4" t="n">
        <v>4</v>
      </c>
    </row>
    <row r="8">
      <c r="A8" s="3" t="inlineStr">
        <is>
          <t>Mind (MND)</t>
        </is>
      </c>
      <c r="B8" s="4" t="n">
        <v>5</v>
      </c>
    </row>
    <row r="9">
      <c r="A9" s="3" t="inlineStr">
        <is>
          <t>Tech (TEC)</t>
        </is>
      </c>
      <c r="B9" s="4" t="n">
        <v>4</v>
      </c>
    </row>
    <row r="10">
      <c r="A10" s="3" t="inlineStr">
        <is>
          <t>Fate (FAT)</t>
        </is>
      </c>
      <c r="B10" s="4" t="n">
        <v>2</v>
      </c>
    </row>
    <row r="11"/>
    <row r="12">
      <c r="A12" s="5" t="inlineStr">
        <is>
          <t>Derived Attributes (auto-calculated)</t>
        </is>
      </c>
      <c r="B12" s="9" t="n"/>
      <c r="C12" s="9" t="n"/>
      <c r="D12" s="9" t="n"/>
      <c r="E12" s="9" t="n"/>
      <c r="F12" s="9" t="n"/>
      <c r="G12" s="9" t="n"/>
      <c r="H12" s="10" t="n"/>
    </row>
    <row r="13"/>
    <row r="14">
      <c r="A14" s="3" t="inlineStr">
        <is>
          <t>Hit Points (HP) (Hit Points)</t>
        </is>
      </c>
      <c r="B14" s="7">
        <f>B7*8+20</f>
        <v/>
      </c>
      <c r="C14" s="3" t="inlineStr">
        <is>
          <t>Current Hit Points (HP)</t>
        </is>
      </c>
      <c r="D14" s="4" t="n"/>
    </row>
    <row r="15">
      <c r="A15" s="3" t="inlineStr">
        <is>
          <t>Armor Buffer Hit Points (HP)</t>
        </is>
      </c>
      <c r="B15" s="4" t="n"/>
      <c r="C15" s="3" t="inlineStr">
        <is>
          <t>Faith Pool</t>
        </is>
      </c>
      <c r="D15" s="7">
        <f>B6*2+10</f>
        <v/>
      </c>
    </row>
    <row r="16">
      <c r="A16" s="3" t="inlineStr">
        <is>
          <t>Current Faith</t>
        </is>
      </c>
      <c r="B16" s="4" t="n"/>
      <c r="C16" s="3" t="inlineStr">
        <is>
          <t>Corruption (0-100)</t>
        </is>
      </c>
      <c r="D16" s="4" t="n"/>
    </row>
    <row r="17">
      <c r="A17" s="3" t="inlineStr">
        <is>
          <t>Wound Threshold</t>
        </is>
      </c>
      <c r="B17" s="7">
        <f>B8*3+10</f>
        <v/>
      </c>
      <c r="C17" s="3" t="inlineStr">
        <is>
          <t>Defense</t>
        </is>
      </c>
      <c r="D17" s="7">
        <f>ROUNDUP(B9/2,0)+G36+1</f>
        <v/>
      </c>
    </row>
    <row r="18">
      <c r="A18" s="3" t="inlineStr">
        <is>
          <t>Base Initiative</t>
        </is>
      </c>
      <c r="B18" s="7">
        <f>B8+B9+2</f>
        <v/>
      </c>
      <c r="C18" s="3" t="inlineStr">
        <is>
          <t>Movement (m)</t>
        </is>
      </c>
      <c r="D18" s="7">
        <f>8+B7+G37</f>
        <v/>
      </c>
    </row>
    <row r="19">
      <c r="A19" s="3" t="inlineStr">
        <is>
          <t>Encumbrance (kg)</t>
        </is>
      </c>
      <c r="B19" s="7">
        <f>B7*50+100</f>
        <v/>
      </c>
      <c r="C19" s="3" t="inlineStr">
        <is>
          <t>Psychic Ward</t>
        </is>
      </c>
      <c r="D19" s="7">
        <f>B8*2+B6/2</f>
        <v/>
      </c>
    </row>
    <row r="20">
      <c r="A20" s="3" t="inlineStr">
        <is>
          <t>Fate Points</t>
        </is>
      </c>
      <c r="B20" s="7">
        <f>B10</f>
        <v/>
      </c>
      <c r="C20" s="3" t="inlineStr">
        <is>
          <t>Armor Machine-Spirit (APM)</t>
        </is>
      </c>
      <c r="D20" s="4" t="n"/>
    </row>
    <row r="21">
      <c r="A21" s="3" t="inlineStr">
        <is>
          <t>Hit Points (HP) Healthy &gt;75%</t>
        </is>
      </c>
      <c r="B21" s="7">
        <f>B7*8+20</f>
        <v/>
      </c>
      <c r="C21" s="3" t="inlineStr">
        <is>
          <t>Heavy Wound &lt;50%</t>
        </is>
      </c>
      <c r="D21" s="7">
        <f>ROUND((B7*8+20)/2,0)</f>
        <v/>
      </c>
    </row>
    <row r="22">
      <c r="A22" s="3" t="inlineStr">
        <is>
          <t>Light Wound &lt;75%</t>
        </is>
      </c>
      <c r="B22" s="7">
        <f>ROUND((B7*8+20)*0.75,0)</f>
        <v/>
      </c>
      <c r="C22" s="3" t="inlineStr">
        <is>
          <t>Dying &lt;25%</t>
        </is>
      </c>
      <c r="D22" s="7">
        <f>ROUND((B7*8+20)*0.25,0)</f>
        <v/>
      </c>
    </row>
    <row r="23"/>
    <row r="24">
      <c r="A24" s="5" t="inlineStr">
        <is>
          <t>Weapons &amp; Equipment</t>
        </is>
      </c>
      <c r="B24" s="9" t="n"/>
      <c r="C24" s="9" t="n"/>
      <c r="D24" s="9" t="n"/>
      <c r="E24" s="9" t="n"/>
      <c r="F24" s="9" t="n"/>
      <c r="G24" s="9" t="n"/>
      <c r="H24" s="10" t="n"/>
    </row>
    <row r="25">
      <c r="A25" s="3" t="inlineStr">
        <is>
          <t>Primary Weapon Name</t>
        </is>
      </c>
      <c r="B25" s="4" t="n"/>
      <c r="C25" s="3" t="inlineStr">
        <is>
          <t>Base Damage</t>
        </is>
      </c>
      <c r="D25" s="4" t="n"/>
    </row>
    <row r="26">
      <c r="A26" s="3" t="inlineStr">
        <is>
          <t>Damage Type</t>
        </is>
      </c>
      <c r="B26" s="4" t="n"/>
      <c r="C26" s="3" t="inlineStr">
        <is>
          <t>Ammunition</t>
        </is>
      </c>
      <c r="D26" s="4" t="n"/>
    </row>
    <row r="27">
      <c r="A27" s="3" t="inlineStr">
        <is>
          <t>Secondary Weapon Name</t>
        </is>
      </c>
      <c r="B27" s="4" t="n"/>
      <c r="C27" s="3" t="inlineStr">
        <is>
          <t>Base Damage</t>
        </is>
      </c>
      <c r="D27" s="4" t="n"/>
    </row>
    <row r="28">
      <c r="A28" s="3" t="inlineStr">
        <is>
          <t>Power Armor Status</t>
        </is>
      </c>
      <c r="B28" s="4" t="n"/>
      <c r="C28" s="3" t="inlineStr">
        <is>
          <t>Armor Rating (AR) Ballistic</t>
        </is>
      </c>
      <c r="D28" s="4" t="n"/>
    </row>
    <row r="29">
      <c r="A29" s="3" t="inlineStr">
        <is>
          <t>Armor Rating (AR) Energy</t>
        </is>
      </c>
      <c r="B29" s="4" t="n"/>
      <c r="C29" s="3" t="inlineStr">
        <is>
          <t>Armor Rating (AR) Explosive</t>
        </is>
      </c>
      <c r="D29" s="4" t="n"/>
    </row>
    <row r="30">
      <c r="A30" s="3" t="inlineStr">
        <is>
          <t>Armor Rating (AR) Rending</t>
        </is>
      </c>
      <c r="B30" s="4" t="n"/>
      <c r="C30" s="3" t="inlineStr">
        <is>
          <t>Armor Rating (AR) Flame</t>
        </is>
      </c>
      <c r="D30" s="4" t="n"/>
    </row>
    <row r="31">
      <c r="A31" s="3" t="inlineStr">
        <is>
          <t>Chapter Relic</t>
        </is>
      </c>
      <c r="B31" s="4" t="n"/>
      <c r="C31" s="3" t="inlineStr">
        <is>
          <t>Relic Effect</t>
        </is>
      </c>
      <c r="D31" s="4" t="n"/>
    </row>
    <row r="32">
      <c r="A32" s="3" t="inlineStr">
        <is>
          <t>Melee Attack Target Number (TN)</t>
        </is>
      </c>
      <c r="B32" s="7">
        <f>B7*10</f>
        <v/>
      </c>
      <c r="C32" s="3" t="inlineStr">
        <is>
          <t>Ranged Attack Target Number (TN)</t>
        </is>
      </c>
      <c r="D32" s="7">
        <f>B9*10</f>
        <v/>
      </c>
    </row>
    <row r="33"/>
    <row r="34"/>
    <row r="35"/>
    <row r="36">
      <c r="A36" s="3" t="inlineStr">
        <is>
          <t>Armor Defense Bonus</t>
        </is>
      </c>
      <c r="B36" s="4" t="n"/>
    </row>
    <row r="37">
      <c r="A37" s="3" t="inlineStr">
        <is>
          <t>Armor Speed Modifier</t>
        </is>
      </c>
      <c r="B37" s="4" t="n"/>
    </row>
    <row r="38"/>
    <row r="39">
      <c r="A39" s="5" t="inlineStr">
        <is>
          <t>Skills (U=Untrained 0 / T=Trained +10 / E=Expert +20 / M=Master +30)</t>
        </is>
      </c>
      <c r="B39" s="9" t="n"/>
      <c r="C39" s="9" t="n"/>
      <c r="D39" s="9" t="n"/>
      <c r="E39" s="9" t="n"/>
      <c r="F39" s="9" t="n"/>
      <c r="G39" s="9" t="n"/>
      <c r="H39" s="10" t="n"/>
    </row>
    <row r="40">
      <c r="A40" s="3" t="inlineStr">
        <is>
          <t>Skill Name (*=innately Trained)</t>
        </is>
      </c>
      <c r="B40" s="3" t="inlineStr">
        <is>
          <t>Rank</t>
        </is>
      </c>
      <c r="C40" s="3" t="inlineStr">
        <is>
          <t>Bonus</t>
        </is>
      </c>
      <c r="D40" s="3" t="inlineStr">
        <is>
          <t>Primary Attribute Target Number (TN)</t>
        </is>
      </c>
      <c r="E40" s="3" t="inlineStr">
        <is>
          <t>Skill TN (Standard)</t>
        </is>
      </c>
    </row>
    <row r="41">
      <c r="A41" s="8" t="inlineStr">
        <is>
          <t>Athletics</t>
        </is>
      </c>
      <c r="B41" s="4" t="n"/>
      <c r="C41" s="7">
        <f>IF(B41="T",10,IF(B41="E",20,IF(B41="M",30,0)))</f>
        <v/>
      </c>
      <c r="D41" s="7">
        <f>B7*10</f>
        <v/>
      </c>
      <c r="E41" s="7">
        <f>D41+C41</f>
        <v/>
      </c>
    </row>
    <row r="42">
      <c r="A42" s="8" t="inlineStr">
        <is>
          <t>Weapon Skill*</t>
        </is>
      </c>
      <c r="B42" s="4" t="n"/>
      <c r="C42" s="7">
        <f>IF(B42="T",10,IF(B42="E",20,IF(B42="M",30,0)))</f>
        <v/>
      </c>
      <c r="D42" s="7">
        <f>B7*10</f>
        <v/>
      </c>
      <c r="E42" s="7">
        <f>D42+C42</f>
        <v/>
      </c>
    </row>
    <row r="43">
      <c r="A43" s="8" t="inlineStr">
        <is>
          <t>Endurance</t>
        </is>
      </c>
      <c r="B43" s="4" t="n"/>
      <c r="C43" s="7">
        <f>IF(B43="T",10,IF(B43="E",20,IF(B43="M",30,0)))</f>
        <v/>
      </c>
      <c r="D43" s="7">
        <f>B7*10</f>
        <v/>
      </c>
      <c r="E43" s="7">
        <f>D43+C43</f>
        <v/>
      </c>
    </row>
    <row r="44">
      <c r="A44" s="8" t="inlineStr">
        <is>
          <t>Awareness</t>
        </is>
      </c>
      <c r="B44" s="4" t="n"/>
      <c r="C44" s="7">
        <f>IF(B44="T",10,IF(B44="E",20,IF(B44="M",30,0)))</f>
        <v/>
      </c>
      <c r="D44" s="7">
        <f>B8*10</f>
        <v/>
      </c>
      <c r="E44" s="7">
        <f>D44+C44</f>
        <v/>
      </c>
    </row>
    <row r="45">
      <c r="A45" s="8" t="inlineStr">
        <is>
          <t>Investigation</t>
        </is>
      </c>
      <c r="B45" s="4" t="n"/>
      <c r="C45" s="7">
        <f>IF(B45="T",10,IF(B45="E",20,IF(B45="M",30,0)))</f>
        <v/>
      </c>
      <c r="D45" s="7">
        <f>B8*10</f>
        <v/>
      </c>
      <c r="E45" s="7">
        <f>D45+C45</f>
        <v/>
      </c>
    </row>
    <row r="46">
      <c r="A46" s="8" t="inlineStr">
        <is>
          <t>Lore*</t>
        </is>
      </c>
      <c r="B46" s="4" t="n"/>
      <c r="C46" s="7">
        <f>IF(B46="T",10,IF(B46="E",20,IF(B46="M",30,0)))</f>
        <v/>
      </c>
      <c r="D46" s="7">
        <f>B8*10</f>
        <v/>
      </c>
      <c r="E46" s="7">
        <f>D46+C46</f>
        <v/>
      </c>
    </row>
    <row r="47">
      <c r="A47" s="8" t="inlineStr">
        <is>
          <t>Medicae</t>
        </is>
      </c>
      <c r="B47" s="4" t="n"/>
      <c r="C47" s="7">
        <f>IF(B47="T",10,IF(B47="E",20,IF(B47="M",30,0)))</f>
        <v/>
      </c>
      <c r="D47" s="7">
        <f>B8*10</f>
        <v/>
      </c>
      <c r="E47" s="7">
        <f>D47+C47</f>
        <v/>
      </c>
    </row>
    <row r="48">
      <c r="A48" s="8" t="inlineStr">
        <is>
          <t>Psyniscience</t>
        </is>
      </c>
      <c r="B48" s="4" t="n"/>
      <c r="C48" s="7">
        <f>IF(B48="T",10,IF(B48="E",20,IF(B48="M",30,0)))</f>
        <v/>
      </c>
      <c r="D48" s="7">
        <f>B6*10</f>
        <v/>
      </c>
      <c r="E48" s="7">
        <f>D48+C48</f>
        <v/>
      </c>
    </row>
    <row r="49">
      <c r="A49" s="8" t="inlineStr">
        <is>
          <t>Oratory</t>
        </is>
      </c>
      <c r="B49" s="4" t="n"/>
      <c r="C49" s="7">
        <f>IF(B49="T",10,IF(B49="E",20,IF(B49="M",30,0)))</f>
        <v/>
      </c>
      <c r="D49" s="7">
        <f>B6*10</f>
        <v/>
      </c>
      <c r="E49" s="7">
        <f>D49+C49</f>
        <v/>
      </c>
    </row>
    <row r="50">
      <c r="A50" s="8" t="inlineStr">
        <is>
          <t>Ballistic Skill*</t>
        </is>
      </c>
      <c r="B50" s="4" t="n"/>
      <c r="C50" s="7">
        <f>IF(B50="T",10,IF(B50="E",20,IF(B50="M",30,0)))</f>
        <v/>
      </c>
      <c r="D50" s="7">
        <f>B9*10</f>
        <v/>
      </c>
      <c r="E50" s="7">
        <f>D50+C50</f>
        <v/>
      </c>
    </row>
    <row r="51">
      <c r="A51" s="8" t="inlineStr">
        <is>
          <t>Tech-Use</t>
        </is>
      </c>
      <c r="B51" s="4" t="n"/>
      <c r="C51" s="7">
        <f>IF(B51="T",10,IF(B51="E",20,IF(B51="M",30,0)))</f>
        <v/>
      </c>
      <c r="D51" s="7">
        <f>B9*10</f>
        <v/>
      </c>
      <c r="E51" s="7">
        <f>D51+C51</f>
        <v/>
      </c>
    </row>
    <row r="52">
      <c r="A52" s="8" t="inlineStr">
        <is>
          <t>Stealth</t>
        </is>
      </c>
      <c r="B52" s="4" t="n"/>
      <c r="C52" s="7">
        <f>IF(B52="T",10,IF(B52="E",20,IF(B52="M",30,0)))</f>
        <v/>
      </c>
      <c r="D52" s="7">
        <f>B9*10</f>
        <v/>
      </c>
      <c r="E52" s="7">
        <f>D52+C52</f>
        <v/>
      </c>
    </row>
    <row r="53">
      <c r="A53" s="8" t="inlineStr">
        <is>
          <t>Command</t>
        </is>
      </c>
      <c r="B53" s="4" t="n"/>
      <c r="C53" s="7">
        <f>IF(B53="T",10,IF(B53="E",20,IF(B53="M",30,0)))</f>
        <v/>
      </c>
      <c r="D53" s="7">
        <f>B10*10</f>
        <v/>
      </c>
      <c r="E53" s="7">
        <f>D53+C53</f>
        <v/>
      </c>
    </row>
    <row r="54">
      <c r="A54" s="8" t="inlineStr">
        <is>
          <t>Deceive</t>
        </is>
      </c>
      <c r="B54" s="4" t="n"/>
      <c r="C54" s="7">
        <f>IF(B54="T",10,IF(B54="E",20,IF(B54="M",30,0)))</f>
        <v/>
      </c>
      <c r="D54" s="7">
        <f>B10*10</f>
        <v/>
      </c>
      <c r="E54" s="7">
        <f>D54+C54</f>
        <v/>
      </c>
    </row>
    <row r="55"/>
    <row r="56">
      <c r="A56" s="5" t="inlineStr">
        <is>
          <t>Marks, Gene-Flaws &amp; Oaths</t>
        </is>
      </c>
      <c r="B56" s="9" t="n"/>
      <c r="C56" s="9" t="n"/>
      <c r="D56" s="9" t="n"/>
      <c r="E56" s="9" t="n"/>
      <c r="F56" s="9" t="n"/>
      <c r="G56" s="9" t="n"/>
      <c r="H56" s="10" t="n"/>
    </row>
    <row r="57">
      <c r="A57" s="3" t="inlineStr">
        <is>
          <t>Mark Effect</t>
        </is>
      </c>
      <c r="B57" s="4" t="n"/>
      <c r="C57" s="9" t="n"/>
      <c r="D57" s="9" t="n"/>
      <c r="E57" s="9" t="n"/>
      <c r="F57" s="10" t="n"/>
    </row>
    <row r="58"/>
    <row r="59">
      <c r="A59" s="3" t="inlineStr">
        <is>
          <t>Gene-Flaw</t>
        </is>
      </c>
      <c r="B59" s="4" t="n"/>
      <c r="C59" s="9" t="n"/>
      <c r="D59" s="9" t="n"/>
      <c r="E59" s="9" t="n"/>
      <c r="F59" s="10" t="n"/>
    </row>
    <row r="60"/>
    <row r="61">
      <c r="A61" s="3" t="inlineStr">
        <is>
          <t>Oath Priority 1-5</t>
        </is>
      </c>
      <c r="B61" s="4" t="n"/>
      <c r="C61" s="9" t="n"/>
      <c r="D61" s="9" t="n"/>
      <c r="E61" s="9" t="n"/>
      <c r="F61" s="10" t="n"/>
    </row>
    <row r="62"/>
    <row r="63">
      <c r="A63" s="3" t="inlineStr">
        <is>
          <t>Companion Relationship</t>
        </is>
      </c>
      <c r="B63" s="4" t="n"/>
      <c r="C63" s="9" t="n"/>
      <c r="D63" s="9" t="n"/>
      <c r="E63" s="9" t="n"/>
      <c r="F63" s="10" t="n"/>
    </row>
    <row r="64"/>
    <row r="65">
      <c r="A65" s="3" t="inlineStr">
        <is>
          <t>Mark</t>
        </is>
      </c>
      <c r="B65" s="4" t="n"/>
      <c r="C65" s="9" t="n"/>
      <c r="D65" s="9" t="n"/>
      <c r="E65" s="9" t="n"/>
      <c r="F65" s="10" t="n"/>
    </row>
    <row r="66"/>
    <row r="67"/>
    <row r="68">
      <c r="A68" s="5" t="inlineStr">
        <is>
          <t>Rules Tips</t>
        </is>
      </c>
      <c r="B68" s="9" t="n"/>
      <c r="C68" s="9" t="n"/>
      <c r="D68" s="9" t="n"/>
      <c r="E68" s="9" t="n"/>
      <c r="F68" s="9" t="n"/>
      <c r="G68" s="9" t="n"/>
      <c r="H68" s="10" t="n"/>
    </row>
    <row r="69">
      <c r="A69" s="15" t="inlineStr">
        <is>
          <t>• TN cap = 95: No test TN may exceed 95 (96-00 always fails).</t>
        </is>
      </c>
    </row>
    <row r="70">
      <c r="A70" s="15" t="inlineStr">
        <is>
          <t>• Faith at zero → 'Night of the Soul': immediate Crisis of Faith, cannot use Faith, Corruption +1 per day.</t>
        </is>
      </c>
    </row>
    <row r="71">
      <c r="A71" s="15" t="inlineStr">
        <is>
          <t>• Wounds: triggered when a single hit exceeds Wound Threshold. Astartes Resilience — Minor Wounds have no effect.</t>
        </is>
      </c>
    </row>
    <row r="72">
      <c r="A72" s="15" t="inlineStr">
        <is>
          <t>• Armor Machine-Spirit (APM) changes: post-battle prayer +2 (Standard TN) / Critical Hit −1 / Corruption tier-up −2 / rest at holy site +3.</t>
        </is>
      </c>
    </row>
    <row r="73">
      <c r="A73" s="15" t="inlineStr">
        <is>
          <t>• Oath Fracture: breaking an oath → +1 Corruption when using the related Chapter ability. 3 breaches → oath permanently void.</t>
        </is>
      </c>
    </row>
    <row r="74">
      <c r="A74" s="15" t="inlineStr">
        <is>
          <t>• Gene-Flaw trigger test: see the Mind (MND)/Faith (FTH) Target Number (TN) values below the skill table.</t>
        </is>
      </c>
    </row>
    <row r="75">
      <c r="A75" s="15" t="inlineStr">
        <is>
          <t>• Hit Points (HP) Buffer: Power Armor buffer Hit Points (HP) absorb damage first; once depleted, remaining damage reduces the character's Hit Points (HP).</t>
        </is>
      </c>
    </row>
    <row r="76">
      <c r="A76" s="15" t="inlineStr">
        <is>
          <t>• Last Watch: Hit Points (HP) ≤0 → 1 action per round → each action HP−2 → dormant/comatose at HP ≤ −(Body (BOD)×2+20).</t>
        </is>
      </c>
    </row>
    <row r="77">
      <c r="A77" s="15" t="inlineStr">
        <is>
          <t>• Between-mission recovery: Body (BOD) test (Standard) success → 3d10 Hit Points (HP) / failure → 1d10. Faith 1d3 + Faith value.</t>
        </is>
      </c>
    </row>
    <row r="78">
      <c r="A78" s="15" t="inlineStr">
        <is>
          <t>• Equipment repair: jam → clear with Tech (TEC) test; armor corrosion → Tech-Use test + parts to restore AR.</t>
        </is>
      </c>
    </row>
  </sheetData>
  <mergeCells count="22">
    <mergeCell ref="A77:H77"/>
    <mergeCell ref="A39:H39"/>
    <mergeCell ref="A24:H24"/>
    <mergeCell ref="A73:H73"/>
    <mergeCell ref="B59:F59"/>
    <mergeCell ref="A1:H1"/>
    <mergeCell ref="A70:H70"/>
    <mergeCell ref="A78:H78"/>
    <mergeCell ref="A69:H69"/>
    <mergeCell ref="B61:F61"/>
    <mergeCell ref="A75:H75"/>
    <mergeCell ref="B57:F57"/>
    <mergeCell ref="A74:H74"/>
    <mergeCell ref="A12:H12"/>
    <mergeCell ref="A56:H56"/>
    <mergeCell ref="A71:H71"/>
    <mergeCell ref="A76:H76"/>
    <mergeCell ref="A5:H5"/>
    <mergeCell ref="B65:F65"/>
    <mergeCell ref="A72:H72"/>
    <mergeCell ref="B63:F63"/>
    <mergeCell ref="A68:H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2026-08-09T16:38:43Z</dcterms:modified>
</cp:coreProperties>
</file>