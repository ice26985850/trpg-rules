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lank Player 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b val="1"/>
      <color rgb="00FFFFFF"/>
      <sz val="16"/>
    </font>
    <font>
      <name val="Arial"/>
      <b val="1"/>
      <sz val="10"/>
    </font>
    <font>
      <name val="Arial"/>
      <b val="1"/>
      <color rgb="00FFFFFF"/>
      <sz val="12"/>
    </font>
    <font>
      <name val="Arial"/>
      <sz val="10"/>
    </font>
    <font>
      <name val="Arial"/>
      <i val="1"/>
      <sz val="9"/>
    </font>
  </fonts>
  <fills count="6">
    <fill>
      <patternFill/>
    </fill>
    <fill>
      <patternFill patternType="gray125"/>
    </fill>
    <fill>
      <patternFill patternType="solid">
        <fgColor rgb="00434343"/>
        <bgColor rgb="00434343"/>
      </patternFill>
    </fill>
    <fill>
      <patternFill patternType="solid">
        <fgColor rgb="00FFF2CC"/>
        <bgColor rgb="00FFF2CC"/>
      </patternFill>
    </fill>
    <fill>
      <patternFill patternType="solid">
        <fgColor rgb="00666666"/>
        <bgColor rgb="00666666"/>
      </patternFill>
    </fill>
    <fill>
      <patternFill patternType="solid">
        <fgColor rgb="00D9EAD3"/>
        <bgColor rgb="00D9EAD3"/>
      </patternFill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2" borderId="1" pivotButton="0" quotePrefix="0" xfId="0"/>
    <xf numFmtId="0" fontId="3" fillId="0" borderId="1" applyAlignment="1" pivotButton="0" quotePrefix="0" xfId="0">
      <alignment horizontal="left" vertical="center" wrapText="1"/>
    </xf>
    <xf numFmtId="0" fontId="0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0" fillId="4" borderId="1" pivotButton="0" quotePrefix="0" xfId="0"/>
    <xf numFmtId="0" fontId="0" fillId="5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center" wrapText="1"/>
    </xf>
    <xf numFmtId="0" fontId="0" fillId="0" borderId="4" pivotButton="0" quotePrefix="0" xfId="0"/>
    <xf numFmtId="0" fontId="0" fillId="0" borderId="5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0"/>
  <sheetViews>
    <sheetView workbookViewId="0">
      <selection activeCell="A1" sqref="A1"/>
    </sheetView>
  </sheetViews>
  <sheetFormatPr baseColWidth="8" defaultRowHeight="15"/>
  <cols>
    <col width="20" customWidth="1" min="1" max="1"/>
    <col width="12" customWidth="1" min="2" max="2"/>
    <col width="8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>
      <c r="A1" s="1" t="inlineStr">
        <is>
          <t>Exiles of the Empire TRPG — Blank Mortal Character Card</t>
        </is>
      </c>
      <c r="B1" s="9" t="n"/>
      <c r="C1" s="9" t="n"/>
      <c r="D1" s="9" t="n"/>
      <c r="E1" s="9" t="n"/>
      <c r="F1" s="9" t="n"/>
      <c r="G1" s="9" t="n"/>
      <c r="H1" s="10" t="n"/>
    </row>
    <row r="2"/>
    <row r="3">
      <c r="A3" s="3" t="inlineStr">
        <is>
          <t>Character Name</t>
        </is>
      </c>
      <c r="B3" s="4" t="inlineStr"/>
      <c r="C3" s="3" t="inlineStr">
        <is>
          <t>Former Profession</t>
        </is>
      </c>
      <c r="D3" s="4" t="inlineStr"/>
      <c r="E3" s="3" t="inlineStr">
        <is>
          <t>Crime</t>
        </is>
      </c>
      <c r="F3" s="4" t="inlineStr"/>
    </row>
    <row r="4"/>
    <row r="5">
      <c r="A5" s="5" t="inlineStr">
        <is>
          <t>Five Attributes (value 1-5)</t>
        </is>
      </c>
      <c r="B5" s="9" t="n"/>
      <c r="C5" s="9" t="n"/>
      <c r="D5" s="9" t="n"/>
      <c r="E5" s="9" t="n"/>
      <c r="F5" s="9" t="n"/>
      <c r="G5" s="9" t="n"/>
      <c r="H5" s="10" t="n"/>
    </row>
    <row r="6">
      <c r="A6" s="3" t="inlineStr">
        <is>
          <t>Faith (FTH)</t>
        </is>
      </c>
      <c r="B6" s="4" t="n"/>
      <c r="C6" s="3" t="inlineStr"/>
    </row>
    <row r="7">
      <c r="A7" s="3" t="inlineStr">
        <is>
          <t>Body (BOD)</t>
        </is>
      </c>
      <c r="B7" s="4" t="n"/>
      <c r="C7" s="3" t="inlineStr"/>
    </row>
    <row r="8">
      <c r="A8" s="3" t="inlineStr">
        <is>
          <t>Mind (MND)</t>
        </is>
      </c>
      <c r="B8" s="4" t="n"/>
      <c r="C8" s="3" t="inlineStr"/>
    </row>
    <row r="9">
      <c r="A9" s="3" t="inlineStr">
        <is>
          <t>Tech (TEC)</t>
        </is>
      </c>
      <c r="B9" s="4" t="n"/>
      <c r="C9" s="3" t="inlineStr"/>
    </row>
    <row r="10">
      <c r="A10" s="3" t="inlineStr">
        <is>
          <t>Fate (FAT)</t>
        </is>
      </c>
      <c r="B10" s="4" t="n"/>
      <c r="C10" s="3" t="inlineStr"/>
    </row>
    <row r="11"/>
    <row r="12">
      <c r="A12" s="5" t="inlineStr">
        <is>
          <t>Derived Attributes (auto-calculated)</t>
        </is>
      </c>
      <c r="B12" s="9" t="n"/>
      <c r="C12" s="9" t="n"/>
      <c r="D12" s="9" t="n"/>
      <c r="E12" s="9" t="n"/>
      <c r="F12" s="9" t="n"/>
      <c r="G12" s="9" t="n"/>
      <c r="H12" s="10" t="n"/>
    </row>
    <row r="13"/>
    <row r="14">
      <c r="A14" s="3" t="inlineStr">
        <is>
          <t>Hit Points (HP) (Hit Points)</t>
        </is>
      </c>
      <c r="B14" s="7">
        <f>B7*4+5</f>
        <v/>
      </c>
      <c r="C14" s="3" t="inlineStr">
        <is>
          <t>Current Hit Points (HP)</t>
        </is>
      </c>
      <c r="D14" s="4" t="n"/>
    </row>
    <row r="15">
      <c r="A15" s="3" t="inlineStr">
        <is>
          <t>Faith Pool</t>
        </is>
      </c>
      <c r="B15" s="7">
        <f>B6*3+5</f>
        <v/>
      </c>
      <c r="C15" s="3" t="inlineStr">
        <is>
          <t>Current Faith</t>
        </is>
      </c>
      <c r="D15" s="4" t="n"/>
    </row>
    <row r="16">
      <c r="A16" s="3" t="inlineStr">
        <is>
          <t>Corruption (0-100)</t>
        </is>
      </c>
      <c r="B16" s="4" t="n"/>
      <c r="C16" s="3" t="inlineStr">
        <is>
          <t>Wound Threshold</t>
        </is>
      </c>
      <c r="D16" s="7">
        <f>B8*2+3</f>
        <v/>
      </c>
    </row>
    <row r="17">
      <c r="A17" s="3" t="inlineStr">
        <is>
          <t>Defense</t>
        </is>
      </c>
      <c r="B17" s="7">
        <f>ROUNDUP(B9/2,0)+G27</f>
        <v/>
      </c>
      <c r="C17" s="3" t="inlineStr">
        <is>
          <t>Base Initiative</t>
        </is>
      </c>
      <c r="D17" s="7">
        <f>B8+B9</f>
        <v/>
      </c>
    </row>
    <row r="18">
      <c r="A18" s="3" t="inlineStr">
        <is>
          <t>Movement (m)</t>
        </is>
      </c>
      <c r="B18" s="7">
        <f>6+B7/2</f>
        <v/>
      </c>
      <c r="C18" s="3" t="inlineStr">
        <is>
          <t>Encumbrance (kg)</t>
        </is>
      </c>
      <c r="D18" s="7">
        <f>B7*10+20</f>
        <v/>
      </c>
    </row>
    <row r="19">
      <c r="A19" s="3" t="inlineStr">
        <is>
          <t>Psychic Ward</t>
        </is>
      </c>
      <c r="B19" s="7">
        <f>B8+B6/2</f>
        <v/>
      </c>
      <c r="C19" s="3" t="inlineStr">
        <is>
          <t>Fate Points</t>
        </is>
      </c>
      <c r="D19" s="7">
        <f>B10</f>
        <v/>
      </c>
    </row>
    <row r="20">
      <c r="A20" s="3" t="inlineStr">
        <is>
          <t>Hit Points (HP) Healthy &gt;75%</t>
        </is>
      </c>
      <c r="B20" s="7">
        <f>B7*4+5</f>
        <v/>
      </c>
      <c r="C20" s="3" t="inlineStr">
        <is>
          <t>Heavy Wound &lt;50%</t>
        </is>
      </c>
      <c r="D20" s="7">
        <f>ROUND((B7*4+5)/2,0)</f>
        <v/>
      </c>
    </row>
    <row r="21">
      <c r="A21" s="3" t="inlineStr">
        <is>
          <t>Light Wound &lt;75%</t>
        </is>
      </c>
      <c r="B21" s="7">
        <f>ROUND((B7*4+5)*0.75,0)</f>
        <v/>
      </c>
      <c r="C21" s="3" t="inlineStr">
        <is>
          <t>Dying &lt;25%</t>
        </is>
      </c>
      <c r="D21" s="7">
        <f>ROUND((B7*4+5)*0.25,0)</f>
        <v/>
      </c>
    </row>
    <row r="22"/>
    <row r="23">
      <c r="A23" s="5" t="inlineStr">
        <is>
          <t>Weapons &amp; Equipment</t>
        </is>
      </c>
      <c r="B23" s="9" t="n"/>
      <c r="C23" s="9" t="n"/>
      <c r="D23" s="9" t="n"/>
      <c r="E23" s="9" t="n"/>
      <c r="F23" s="9" t="n"/>
      <c r="G23" s="9" t="n"/>
      <c r="H23" s="10" t="n"/>
    </row>
    <row r="24">
      <c r="A24" s="3" t="inlineStr">
        <is>
          <t>Primary Weapon Name</t>
        </is>
      </c>
      <c r="B24" s="4" t="n"/>
      <c r="C24" s="3" t="inlineStr">
        <is>
          <t>Base Damage</t>
        </is>
      </c>
      <c r="D24" s="4" t="n"/>
    </row>
    <row r="25">
      <c r="A25" s="3" t="inlineStr">
        <is>
          <t>Damage Type</t>
        </is>
      </c>
      <c r="B25" s="4" t="n"/>
      <c r="C25" s="3" t="inlineStr">
        <is>
          <t>Magazine Capacity</t>
        </is>
      </c>
      <c r="D25" s="4" t="n"/>
    </row>
    <row r="26">
      <c r="A26" s="3" t="inlineStr">
        <is>
          <t>Secondary Weapon Name</t>
        </is>
      </c>
      <c r="B26" s="4" t="n"/>
      <c r="C26" s="3" t="inlineStr">
        <is>
          <t>Base Damage</t>
        </is>
      </c>
      <c r="D26" s="4" t="n"/>
    </row>
    <row r="27">
      <c r="A27" s="3" t="inlineStr">
        <is>
          <t>Armor Name</t>
        </is>
      </c>
      <c r="B27" s="4" t="n"/>
      <c r="C27" s="3" t="inlineStr">
        <is>
          <t>Armor Rating (AR) Ballistic</t>
        </is>
      </c>
      <c r="D27" s="4" t="n"/>
    </row>
    <row r="28">
      <c r="A28" s="3" t="inlineStr">
        <is>
          <t>Armor Rating (AR) Energy</t>
        </is>
      </c>
      <c r="B28" s="4" t="n"/>
      <c r="C28" s="3" t="inlineStr">
        <is>
          <t>Armor Rating (AR) Explosive</t>
        </is>
      </c>
      <c r="D28" s="4" t="n"/>
    </row>
    <row r="29">
      <c r="A29" s="3" t="inlineStr">
        <is>
          <t>Armor Rating (AR) Rending</t>
        </is>
      </c>
      <c r="B29" s="4" t="n"/>
      <c r="C29" s="3" t="inlineStr">
        <is>
          <t>Armor Rating (AR) Flame</t>
        </is>
      </c>
      <c r="D29" s="4" t="n"/>
    </row>
    <row r="30">
      <c r="A30" s="3" t="inlineStr">
        <is>
          <t>Armor Defense Bonus</t>
        </is>
      </c>
      <c r="B30" s="4" t="n"/>
    </row>
    <row r="31">
      <c r="A31" s="3" t="inlineStr">
        <is>
          <t>Melee Attack Target Number (TN)</t>
        </is>
      </c>
      <c r="B31" s="7">
        <f>B7*10</f>
        <v/>
      </c>
      <c r="C31" s="3" t="inlineStr">
        <is>
          <t>Ranged Attack Target Number (TN)</t>
        </is>
      </c>
      <c r="D31" s="7">
        <f>B9*10</f>
        <v/>
      </c>
    </row>
    <row r="32"/>
    <row r="33">
      <c r="A33" s="5" t="inlineStr">
        <is>
          <t>Skills (U=Untrained 0 / T=Trained +10 / E=Expert +20 / M=Master +30)</t>
        </is>
      </c>
      <c r="B33" s="9" t="n"/>
      <c r="C33" s="9" t="n"/>
      <c r="D33" s="9" t="n"/>
      <c r="E33" s="9" t="n"/>
      <c r="F33" s="9" t="n"/>
      <c r="G33" s="9" t="n"/>
      <c r="H33" s="10" t="n"/>
    </row>
    <row r="34">
      <c r="A34" s="3" t="inlineStr">
        <is>
          <t>Skill Name</t>
        </is>
      </c>
      <c r="B34" s="3" t="inlineStr">
        <is>
          <t>Rank (U/T/E/M)</t>
        </is>
      </c>
      <c r="C34" s="3" t="inlineStr">
        <is>
          <t>Bonus</t>
        </is>
      </c>
      <c r="D34" s="3" t="inlineStr">
        <is>
          <t>Primary Attribute Target Number (TN)</t>
        </is>
      </c>
      <c r="E34" s="3" t="inlineStr">
        <is>
          <t>Skill TN (Standard)</t>
        </is>
      </c>
    </row>
    <row r="35">
      <c r="A35" s="8" t="inlineStr">
        <is>
          <t>Athletics</t>
        </is>
      </c>
      <c r="B35" s="4" t="n"/>
      <c r="C35" s="7">
        <f>IF(B35="T",10,IF(B35="E",20,IF(B35="M",30,0)))</f>
        <v/>
      </c>
      <c r="D35" s="7">
        <f>B7*10</f>
        <v/>
      </c>
      <c r="E35" s="7">
        <f>D35+C35</f>
        <v/>
      </c>
    </row>
    <row r="36">
      <c r="A36" s="8" t="inlineStr">
        <is>
          <t>Weapon Skill</t>
        </is>
      </c>
      <c r="B36" s="4" t="n"/>
      <c r="C36" s="7">
        <f>IF(B36="T",10,IF(B36="E",20,IF(B36="M",30,0)))</f>
        <v/>
      </c>
      <c r="D36" s="7">
        <f>B7*10</f>
        <v/>
      </c>
      <c r="E36" s="7">
        <f>D36+C36</f>
        <v/>
      </c>
    </row>
    <row r="37">
      <c r="A37" s="8" t="inlineStr">
        <is>
          <t>Endurance</t>
        </is>
      </c>
      <c r="B37" s="4" t="n"/>
      <c r="C37" s="7">
        <f>IF(B37="T",10,IF(B37="E",20,IF(B37="M",30,0)))</f>
        <v/>
      </c>
      <c r="D37" s="7">
        <f>B7*10</f>
        <v/>
      </c>
      <c r="E37" s="7">
        <f>D37+C37</f>
        <v/>
      </c>
    </row>
    <row r="38">
      <c r="A38" s="8" t="inlineStr">
        <is>
          <t>Awareness</t>
        </is>
      </c>
      <c r="B38" s="4" t="n"/>
      <c r="C38" s="7">
        <f>IF(B38="T",10,IF(B38="E",20,IF(B38="M",30,0)))</f>
        <v/>
      </c>
      <c r="D38" s="7">
        <f>B8*10</f>
        <v/>
      </c>
      <c r="E38" s="7">
        <f>D38+C38</f>
        <v/>
      </c>
    </row>
    <row r="39">
      <c r="A39" s="8" t="inlineStr">
        <is>
          <t>Investigation</t>
        </is>
      </c>
      <c r="B39" s="4" t="n"/>
      <c r="C39" s="7">
        <f>IF(B39="T",10,IF(B39="E",20,IF(B39="M",30,0)))</f>
        <v/>
      </c>
      <c r="D39" s="7">
        <f>B8*10</f>
        <v/>
      </c>
      <c r="E39" s="7">
        <f>D39+C39</f>
        <v/>
      </c>
    </row>
    <row r="40">
      <c r="A40" s="8" t="inlineStr">
        <is>
          <t>Lore</t>
        </is>
      </c>
      <c r="B40" s="4" t="n"/>
      <c r="C40" s="7">
        <f>IF(B40="T",10,IF(B40="E",20,IF(B40="M",30,0)))</f>
        <v/>
      </c>
      <c r="D40" s="7">
        <f>B8*10</f>
        <v/>
      </c>
      <c r="E40" s="7">
        <f>D40+C40</f>
        <v/>
      </c>
    </row>
    <row r="41">
      <c r="A41" s="8" t="inlineStr">
        <is>
          <t>Medicae</t>
        </is>
      </c>
      <c r="B41" s="4" t="n"/>
      <c r="C41" s="7">
        <f>IF(B41="T",10,IF(B41="E",20,IF(B41="M",30,0)))</f>
        <v/>
      </c>
      <c r="D41" s="7">
        <f>B8*10</f>
        <v/>
      </c>
      <c r="E41" s="7">
        <f>D41+C41</f>
        <v/>
      </c>
    </row>
    <row r="42">
      <c r="A42" s="8" t="inlineStr">
        <is>
          <t>Psyniscience</t>
        </is>
      </c>
      <c r="B42" s="4" t="n"/>
      <c r="C42" s="7">
        <f>IF(B42="T",10,IF(B42="E",20,IF(B42="M",30,0)))</f>
        <v/>
      </c>
      <c r="D42" s="7">
        <f>B6*10</f>
        <v/>
      </c>
      <c r="E42" s="7">
        <f>D42+C42</f>
        <v/>
      </c>
    </row>
    <row r="43">
      <c r="A43" s="8" t="inlineStr">
        <is>
          <t>Oratory</t>
        </is>
      </c>
      <c r="B43" s="4" t="n"/>
      <c r="C43" s="7">
        <f>IF(B43="T",10,IF(B43="E",20,IF(B43="M",30,0)))</f>
        <v/>
      </c>
      <c r="D43" s="7">
        <f>B6*10</f>
        <v/>
      </c>
      <c r="E43" s="7">
        <f>D43+C43</f>
        <v/>
      </c>
    </row>
    <row r="44">
      <c r="A44" s="8" t="inlineStr">
        <is>
          <t>Ballistic Skill</t>
        </is>
      </c>
      <c r="B44" s="4" t="n"/>
      <c r="C44" s="7">
        <f>IF(B44="T",10,IF(B44="E",20,IF(B44="M",30,0)))</f>
        <v/>
      </c>
      <c r="D44" s="7">
        <f>B9*10</f>
        <v/>
      </c>
      <c r="E44" s="7">
        <f>D44+C44</f>
        <v/>
      </c>
    </row>
    <row r="45">
      <c r="A45" s="8" t="inlineStr">
        <is>
          <t>Tech-Use</t>
        </is>
      </c>
      <c r="B45" s="4" t="n"/>
      <c r="C45" s="7">
        <f>IF(B45="T",10,IF(B45="E",20,IF(B45="M",30,0)))</f>
        <v/>
      </c>
      <c r="D45" s="7">
        <f>B9*10</f>
        <v/>
      </c>
      <c r="E45" s="7">
        <f>D45+C45</f>
        <v/>
      </c>
    </row>
    <row r="46">
      <c r="A46" s="8" t="inlineStr">
        <is>
          <t>Stealth</t>
        </is>
      </c>
      <c r="B46" s="4" t="n"/>
      <c r="C46" s="7">
        <f>IF(B46="T",10,IF(B46="E",20,IF(B46="M",30,0)))</f>
        <v/>
      </c>
      <c r="D46" s="7">
        <f>B9*10</f>
        <v/>
      </c>
      <c r="E46" s="7">
        <f>D46+C46</f>
        <v/>
      </c>
    </row>
    <row r="47">
      <c r="A47" s="8" t="inlineStr">
        <is>
          <t>Command</t>
        </is>
      </c>
      <c r="B47" s="4" t="n"/>
      <c r="C47" s="7">
        <f>IF(B47="T",10,IF(B47="E",20,IF(B47="M",30,0)))</f>
        <v/>
      </c>
      <c r="D47" s="7">
        <f>B10*10</f>
        <v/>
      </c>
      <c r="E47" s="7">
        <f>D47+C47</f>
        <v/>
      </c>
    </row>
    <row r="48">
      <c r="A48" s="8" t="inlineStr">
        <is>
          <t>Deceive</t>
        </is>
      </c>
      <c r="B48" s="4" t="n"/>
      <c r="C48" s="7">
        <f>IF(B48="T",10,IF(B48="E",20,IF(B48="M",30,0)))</f>
        <v/>
      </c>
      <c r="D48" s="7">
        <f>B10*10</f>
        <v/>
      </c>
      <c r="E48" s="7">
        <f>D48+C48</f>
        <v/>
      </c>
    </row>
    <row r="49"/>
    <row r="50">
      <c r="A50" s="5" t="inlineStr">
        <is>
          <t>Verdict &amp; Red Line</t>
        </is>
      </c>
      <c r="B50" s="9" t="n"/>
      <c r="C50" s="9" t="n"/>
      <c r="D50" s="9" t="n"/>
      <c r="E50" s="9" t="n"/>
      <c r="F50" s="9" t="n"/>
      <c r="G50" s="9" t="n"/>
      <c r="H50" s="10" t="n"/>
    </row>
    <row r="51">
      <c r="A51" s="3" t="inlineStr">
        <is>
          <t>Verdict Special Ability</t>
        </is>
      </c>
      <c r="B51" s="4" t="n"/>
      <c r="C51" s="9" t="n"/>
      <c r="D51" s="9" t="n"/>
      <c r="E51" s="9" t="n"/>
      <c r="F51" s="10" t="n"/>
    </row>
    <row r="52"/>
    <row r="53">
      <c r="A53" s="3" t="inlineStr">
        <is>
          <t>Penance Condition</t>
        </is>
      </c>
      <c r="B53" s="4" t="n"/>
      <c r="C53" s="9" t="n"/>
      <c r="D53" s="9" t="n"/>
      <c r="E53" s="9" t="n"/>
      <c r="F53" s="10" t="n"/>
    </row>
    <row r="54"/>
    <row r="55">
      <c r="A55" s="3" t="inlineStr">
        <is>
          <t>My Red Line (Red Line)</t>
        </is>
      </c>
      <c r="B55" s="4" t="n"/>
      <c r="C55" s="9" t="n"/>
      <c r="D55" s="9" t="n"/>
      <c r="E55" s="9" t="n"/>
      <c r="F55" s="10" t="n"/>
    </row>
    <row r="56"/>
    <row r="57">
      <c r="A57" s="3" t="inlineStr">
        <is>
          <t>Personal Gear/Items</t>
        </is>
      </c>
      <c r="B57" s="4" t="n"/>
      <c r="C57" s="9" t="n"/>
      <c r="D57" s="9" t="n"/>
      <c r="E57" s="9" t="n"/>
      <c r="F57" s="10" t="n"/>
    </row>
    <row r="58"/>
    <row r="59">
      <c r="A59" s="3" t="inlineStr">
        <is>
          <t>Emperor/Chaos Mark</t>
        </is>
      </c>
      <c r="B59" s="4" t="n"/>
      <c r="C59" s="9" t="n"/>
      <c r="D59" s="9" t="n"/>
      <c r="E59" s="9" t="n"/>
      <c r="F59" s="10" t="n"/>
    </row>
    <row r="60"/>
    <row r="61"/>
    <row r="62">
      <c r="A62" s="5" t="inlineStr">
        <is>
          <t>Rules Tips</t>
        </is>
      </c>
      <c r="B62" s="9" t="n"/>
      <c r="C62" s="9" t="n"/>
      <c r="D62" s="9" t="n"/>
      <c r="E62" s="9" t="n"/>
      <c r="F62" s="9" t="n"/>
      <c r="G62" s="9" t="n"/>
      <c r="H62" s="10" t="n"/>
    </row>
    <row r="63">
      <c r="A63" s="11" t="inlineStr">
        <is>
          <t>• TN cap = 95: No test TN may exceed 95 (96-00 always fails).</t>
        </is>
      </c>
    </row>
    <row r="64">
      <c r="A64" s="11" t="inlineStr">
        <is>
          <t>• Faith at zero → 'Night of the Soul': immediate Crisis of Faith, cannot use Faith, Corruption +1 per day.</t>
        </is>
      </c>
    </row>
    <row r="65">
      <c r="A65" s="11" t="inlineStr">
        <is>
          <t>• Wounds: triggered when a single hit exceeds the Wound Threshold (Minor/Moderate/Major/Lethal).</t>
        </is>
      </c>
    </row>
    <row r="66">
      <c r="A66" s="11" t="inlineStr">
        <is>
          <t>• Medikit: restores 2d6 Hit Points (HP). Squad-shared 3 uses per mission. Buy from Quartermaster for 15 Throne Gelt (TG) (max 2).</t>
        </is>
      </c>
    </row>
    <row r="67">
      <c r="A67" s="11" t="inlineStr">
        <is>
          <t>• Hit Points (HP) Status: Healthy &gt;75% / Light Wound 50-75% / Heavy Wound 25-50% (physical Disadvantage) / Dying &lt;25%.</t>
        </is>
      </c>
    </row>
    <row r="68">
      <c r="A68" s="11" t="inlineStr">
        <is>
          <t>• Between-mission recovery: HP auto-refills, Faith recovers 1d6 + Faith value, Corruption does not auto-decrease.</t>
        </is>
      </c>
    </row>
    <row r="69">
      <c r="A69" s="11" t="inlineStr">
        <is>
          <t>• Ammunition ration: 2 magazines per person. Extra magazine 15 Throne Gelt (TG). Scavenge: Tech (TEC) test (Standard).</t>
        </is>
      </c>
    </row>
    <row r="70">
      <c r="A70" s="11" t="inlineStr">
        <is>
          <t>• Environmental damage: see GM Guide — Flame/Fall/Toxin/Radiation/Vacuum quick-reference table.</t>
        </is>
      </c>
    </row>
  </sheetData>
  <mergeCells count="20">
    <mergeCell ref="A67:H67"/>
    <mergeCell ref="B59:F59"/>
    <mergeCell ref="A64:H64"/>
    <mergeCell ref="A1:H1"/>
    <mergeCell ref="A70:H70"/>
    <mergeCell ref="A69:H69"/>
    <mergeCell ref="A65:H65"/>
    <mergeCell ref="A66:H66"/>
    <mergeCell ref="B57:F57"/>
    <mergeCell ref="A12:H12"/>
    <mergeCell ref="A50:H50"/>
    <mergeCell ref="B53:F53"/>
    <mergeCell ref="A33:H33"/>
    <mergeCell ref="A5:H5"/>
    <mergeCell ref="A23:H23"/>
    <mergeCell ref="A62:H62"/>
    <mergeCell ref="B55:F55"/>
    <mergeCell ref="A63:H63"/>
    <mergeCell ref="B51:F51"/>
    <mergeCell ref="A68:H6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2026-06-29T03:52:08Z</dcterms:created>
  <dcterms:modified xsi:type="dcterms:W3CDTF">2026-08-09T16:38:42Z</dcterms:modified>
</cp:coreProperties>
</file>