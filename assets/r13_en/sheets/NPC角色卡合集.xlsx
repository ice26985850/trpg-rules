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teran Galen" sheetId="1" state="visible" r:id="rId1"/>
    <sheet name="Priest Illion (Diary)" sheetId="2" state="visible" r:id="rId2"/>
    <sheet name="Blind Prophet (Rustchild Elder)" sheetId="3" state="visible" r:id="rId3"/>
    <sheet name="Erin the Forgotten" sheetId="4" state="visible" r:id="rId4"/>
    <sheet name="Kara (Civilian Leader)" sheetId="5" state="visible" r:id="rId5"/>
    <sheet name="Eldar Ranger Elandil" sheetId="6" state="visible" r:id="rId6"/>
    <sheet name="Chaos Space Marine Kasar" sheetId="7" state="visible" r:id="rId7"/>
    <sheet name="Pilot Lieutenant Ver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NPC: Veteran Galen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Name</t>
        </is>
      </c>
      <c r="B3" s="4" t="inlineStr">
        <is>
          <t>Veteran Galen</t>
        </is>
      </c>
      <c r="C3" s="3" t="inlineStr">
        <is>
          <t>Role / Faction</t>
        </is>
      </c>
      <c r="D3" s="4" t="inlineStr">
        <is>
          <t>Guide / Imperial Guard</t>
        </is>
      </c>
      <c r="E3" s="3" t="inlineStr">
        <is>
          <t>Attitude</t>
        </is>
      </c>
      <c r="F3" s="4" t="inlineStr">
        <is>
          <t>Neutral</t>
        </is>
      </c>
    </row>
    <row r="4"/>
    <row r="5">
      <c r="A5" s="5" t="inlineStr">
        <is>
          <t>Attributes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Faith (FTH)</t>
        </is>
      </c>
      <c r="B6" s="4" t="n">
        <v>2</v>
      </c>
    </row>
    <row r="7">
      <c r="A7" s="3" t="inlineStr">
        <is>
          <t>Body (BOD)</t>
        </is>
      </c>
      <c r="B7" s="4" t="n">
        <v>3</v>
      </c>
    </row>
    <row r="8">
      <c r="A8" s="3" t="inlineStr">
        <is>
          <t>Mind (MND)</t>
        </is>
      </c>
      <c r="B8" s="4" t="n">
        <v>3</v>
      </c>
    </row>
    <row r="9">
      <c r="A9" s="3" t="inlineStr">
        <is>
          <t>Tech (TEC)</t>
        </is>
      </c>
      <c r="B9" s="4" t="n">
        <v>3</v>
      </c>
    </row>
    <row r="10">
      <c r="A10" s="3" t="inlineStr">
        <is>
          <t>Fate (FAT)</t>
        </is>
      </c>
      <c r="B10" s="4" t="n">
        <v>2</v>
      </c>
    </row>
    <row r="11"/>
    <row r="12">
      <c r="A12" s="5" t="inlineStr">
        <is>
          <t>Derived Attributes (auto-calculated)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Defense</t>
        </is>
      </c>
      <c r="D13" s="7">
        <f>ROUNDUP(B9/2,0)</f>
        <v/>
      </c>
    </row>
    <row r="14">
      <c r="A14" s="3" t="inlineStr">
        <is>
          <t>Initiative</t>
        </is>
      </c>
      <c r="B14" s="7">
        <f>B8+B9</f>
        <v/>
      </c>
      <c r="C14" s="3" t="inlineStr">
        <is>
          <t>Speed</t>
        </is>
      </c>
      <c r="D14" s="7">
        <f>6+B7/2</f>
        <v/>
      </c>
    </row>
    <row r="15">
      <c r="A15" s="3" t="inlineStr">
        <is>
          <t>Psychic Ward</t>
        </is>
      </c>
      <c r="B15" s="7">
        <f>B8+B6/2</f>
        <v/>
      </c>
    </row>
    <row r="16"/>
    <row r="17">
      <c r="A17" s="5" t="inlineStr">
        <is>
          <t>Equipment &amp; Abilities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Weapon</t>
        </is>
      </c>
      <c r="B18" s="4" t="n"/>
      <c r="C18" s="3" t="inlineStr">
        <is>
          <t>Damage</t>
        </is>
      </c>
      <c r="D18" s="4" t="n"/>
    </row>
    <row r="19">
      <c r="A19" s="3" t="inlineStr">
        <is>
          <t>Armor Armor Rating (AR)</t>
        </is>
      </c>
      <c r="B19" s="4" t="n"/>
      <c r="C19" s="3" t="inlineStr">
        <is>
          <t>Melee Target Number (TN)</t>
        </is>
      </c>
      <c r="D19" s="7">
        <f>B7*10</f>
        <v/>
      </c>
    </row>
    <row r="20"/>
    <row r="21">
      <c r="A21" s="3" t="inlineStr">
        <is>
          <t>Special Ability / Background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Notes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NPC: Priest Illion (Diary)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Name</t>
        </is>
      </c>
      <c r="B3" s="4" t="inlineStr">
        <is>
          <t>Priest Illion (Diary)</t>
        </is>
      </c>
      <c r="C3" s="3" t="inlineStr">
        <is>
          <t>Role / Faction</t>
        </is>
      </c>
      <c r="D3" s="4" t="inlineStr">
        <is>
          <t>Deceased / Clue Source</t>
        </is>
      </c>
      <c r="E3" s="3" t="inlineStr">
        <is>
          <t>Attitude</t>
        </is>
      </c>
      <c r="F3" s="4" t="inlineStr">
        <is>
          <t>Deceased</t>
        </is>
      </c>
    </row>
    <row r="4"/>
    <row r="5">
      <c r="A5" s="5" t="inlineStr">
        <is>
          <t>Attributes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Faith (FTH)</t>
        </is>
      </c>
      <c r="B6" s="4" t="n">
        <v>4</v>
      </c>
    </row>
    <row r="7">
      <c r="A7" s="3" t="inlineStr">
        <is>
          <t>Body (BOD)</t>
        </is>
      </c>
      <c r="B7" s="4" t="n">
        <v>2</v>
      </c>
    </row>
    <row r="8">
      <c r="A8" s="3" t="inlineStr">
        <is>
          <t>Mind (MND)</t>
        </is>
      </c>
      <c r="B8" s="4" t="n">
        <v>3</v>
      </c>
    </row>
    <row r="9">
      <c r="A9" s="3" t="inlineStr">
        <is>
          <t>Tech (TEC)</t>
        </is>
      </c>
      <c r="B9" s="4" t="n">
        <v>2</v>
      </c>
    </row>
    <row r="10">
      <c r="A10" s="3" t="inlineStr">
        <is>
          <t>Fate (FAT)</t>
        </is>
      </c>
      <c r="B10" s="4" t="n">
        <v>1</v>
      </c>
    </row>
    <row r="11"/>
    <row r="12">
      <c r="A12" s="5" t="inlineStr">
        <is>
          <t>Derived Attributes (auto-calculated)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Defense</t>
        </is>
      </c>
      <c r="D13" s="7">
        <f>ROUNDUP(B9/2,0)</f>
        <v/>
      </c>
    </row>
    <row r="14">
      <c r="A14" s="3" t="inlineStr">
        <is>
          <t>Initiative</t>
        </is>
      </c>
      <c r="B14" s="7">
        <f>B8+B9</f>
        <v/>
      </c>
      <c r="C14" s="3" t="inlineStr">
        <is>
          <t>Speed</t>
        </is>
      </c>
      <c r="D14" s="7">
        <f>6+B7/2</f>
        <v/>
      </c>
    </row>
    <row r="15">
      <c r="A15" s="3" t="inlineStr">
        <is>
          <t>Psychic Ward</t>
        </is>
      </c>
      <c r="B15" s="7">
        <f>B8+B6/2</f>
        <v/>
      </c>
    </row>
    <row r="16"/>
    <row r="17">
      <c r="A17" s="5" t="inlineStr">
        <is>
          <t>Equipment &amp; Abilities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Weapon</t>
        </is>
      </c>
      <c r="B18" s="4" t="n"/>
      <c r="C18" s="3" t="inlineStr">
        <is>
          <t>Damage</t>
        </is>
      </c>
      <c r="D18" s="4" t="n"/>
    </row>
    <row r="19">
      <c r="A19" s="3" t="inlineStr">
        <is>
          <t>Armor Armor Rating (AR)</t>
        </is>
      </c>
      <c r="B19" s="4" t="n"/>
      <c r="C19" s="3" t="inlineStr">
        <is>
          <t>Melee Target Number (TN)</t>
        </is>
      </c>
      <c r="D19" s="7">
        <f>B7*10</f>
        <v/>
      </c>
    </row>
    <row r="20"/>
    <row r="21">
      <c r="A21" s="3" t="inlineStr">
        <is>
          <t>Special Ability / Background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Notes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NPC: Blind Prophet (Rustchild Elder)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Name</t>
        </is>
      </c>
      <c r="B3" s="4" t="inlineStr">
        <is>
          <t>Blind Prophet (Rustchild Elder)</t>
        </is>
      </c>
      <c r="C3" s="3" t="inlineStr">
        <is>
          <t>Role / Faction</t>
        </is>
      </c>
      <c r="D3" s="4" t="inlineStr">
        <is>
          <t>Mutant Community Leader</t>
        </is>
      </c>
      <c r="E3" s="3" t="inlineStr">
        <is>
          <t>Attitude</t>
        </is>
      </c>
      <c r="F3" s="4" t="inlineStr">
        <is>
          <t>Wary → Can be won over</t>
        </is>
      </c>
    </row>
    <row r="4"/>
    <row r="5">
      <c r="A5" s="5" t="inlineStr">
        <is>
          <t>Attributes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Faith (FTH)</t>
        </is>
      </c>
      <c r="B6" s="4" t="n">
        <v>3</v>
      </c>
    </row>
    <row r="7">
      <c r="A7" s="3" t="inlineStr">
        <is>
          <t>Body (BOD)</t>
        </is>
      </c>
      <c r="B7" s="4" t="n">
        <v>2</v>
      </c>
    </row>
    <row r="8">
      <c r="A8" s="3" t="inlineStr">
        <is>
          <t>Mind (MND)</t>
        </is>
      </c>
      <c r="B8" s="4" t="n">
        <v>4</v>
      </c>
    </row>
    <row r="9">
      <c r="A9" s="3" t="inlineStr">
        <is>
          <t>Tech (TEC)</t>
        </is>
      </c>
      <c r="B9" s="4" t="n">
        <v>2</v>
      </c>
    </row>
    <row r="10">
      <c r="A10" s="3" t="inlineStr">
        <is>
          <t>Fate (FAT)</t>
        </is>
      </c>
      <c r="B10" s="4" t="n">
        <v>3</v>
      </c>
    </row>
    <row r="11"/>
    <row r="12">
      <c r="A12" s="5" t="inlineStr">
        <is>
          <t>Derived Attributes (auto-calculated)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Defense</t>
        </is>
      </c>
      <c r="D13" s="7">
        <f>ROUNDUP(B9/2,0)</f>
        <v/>
      </c>
    </row>
    <row r="14">
      <c r="A14" s="3" t="inlineStr">
        <is>
          <t>Initiative</t>
        </is>
      </c>
      <c r="B14" s="7">
        <f>B8+B9</f>
        <v/>
      </c>
      <c r="C14" s="3" t="inlineStr">
        <is>
          <t>Speed</t>
        </is>
      </c>
      <c r="D14" s="7">
        <f>6+B7/2</f>
        <v/>
      </c>
    </row>
    <row r="15">
      <c r="A15" s="3" t="inlineStr">
        <is>
          <t>Psychic Ward</t>
        </is>
      </c>
      <c r="B15" s="7">
        <f>B8+B6/2</f>
        <v/>
      </c>
    </row>
    <row r="16"/>
    <row r="17">
      <c r="A17" s="5" t="inlineStr">
        <is>
          <t>Equipment &amp; Abilities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Weapon</t>
        </is>
      </c>
      <c r="B18" s="4" t="n"/>
      <c r="C18" s="3" t="inlineStr">
        <is>
          <t>Damage</t>
        </is>
      </c>
      <c r="D18" s="4" t="n"/>
    </row>
    <row r="19">
      <c r="A19" s="3" t="inlineStr">
        <is>
          <t>Armor Armor Rating (AR)</t>
        </is>
      </c>
      <c r="B19" s="4" t="n"/>
      <c r="C19" s="3" t="inlineStr">
        <is>
          <t>Melee Target Number (TN)</t>
        </is>
      </c>
      <c r="D19" s="7">
        <f>B7*10</f>
        <v/>
      </c>
    </row>
    <row r="20"/>
    <row r="21">
      <c r="A21" s="3" t="inlineStr">
        <is>
          <t>Special Ability / Background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Notes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NPC: Erin the Forgotten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Name</t>
        </is>
      </c>
      <c r="B3" s="4" t="inlineStr">
        <is>
          <t>Erin the Forgotten</t>
        </is>
      </c>
      <c r="C3" s="3" t="inlineStr">
        <is>
          <t>Role / Faction</t>
        </is>
      </c>
      <c r="D3" s="4" t="inlineStr">
        <is>
          <t>Former Penitent / Witness</t>
        </is>
      </c>
      <c r="E3" s="3" t="inlineStr">
        <is>
          <t>Attitude</t>
        </is>
      </c>
      <c r="F3" s="4" t="inlineStr">
        <is>
          <t>Ally</t>
        </is>
      </c>
    </row>
    <row r="4"/>
    <row r="5">
      <c r="A5" s="5" t="inlineStr">
        <is>
          <t>Attributes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Faith (FTH)</t>
        </is>
      </c>
      <c r="B6" s="4" t="n">
        <v>5</v>
      </c>
    </row>
    <row r="7">
      <c r="A7" s="3" t="inlineStr">
        <is>
          <t>Body (BOD)</t>
        </is>
      </c>
      <c r="B7" s="4" t="n">
        <v>2</v>
      </c>
    </row>
    <row r="8">
      <c r="A8" s="3" t="inlineStr">
        <is>
          <t>Mind (MND)</t>
        </is>
      </c>
      <c r="B8" s="4" t="n">
        <v>4</v>
      </c>
    </row>
    <row r="9">
      <c r="A9" s="3" t="inlineStr">
        <is>
          <t>Tech (TEC)</t>
        </is>
      </c>
      <c r="B9" s="4" t="n">
        <v>3</v>
      </c>
    </row>
    <row r="10">
      <c r="A10" s="3" t="inlineStr">
        <is>
          <t>Fate (FAT)</t>
        </is>
      </c>
      <c r="B10" s="4" t="n">
        <v>4</v>
      </c>
    </row>
    <row r="11"/>
    <row r="12">
      <c r="A12" s="5" t="inlineStr">
        <is>
          <t>Derived Attributes (auto-calculated)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Defense</t>
        </is>
      </c>
      <c r="D13" s="7">
        <f>ROUNDUP(B9/2,0)</f>
        <v/>
      </c>
    </row>
    <row r="14">
      <c r="A14" s="3" t="inlineStr">
        <is>
          <t>Initiative</t>
        </is>
      </c>
      <c r="B14" s="7">
        <f>B8+B9</f>
        <v/>
      </c>
      <c r="C14" s="3" t="inlineStr">
        <is>
          <t>Speed</t>
        </is>
      </c>
      <c r="D14" s="7">
        <f>6+B7/2</f>
        <v/>
      </c>
    </row>
    <row r="15">
      <c r="A15" s="3" t="inlineStr">
        <is>
          <t>Psychic Ward</t>
        </is>
      </c>
      <c r="B15" s="7">
        <f>B8+B6/2</f>
        <v/>
      </c>
    </row>
    <row r="16"/>
    <row r="17">
      <c r="A17" s="5" t="inlineStr">
        <is>
          <t>Equipment &amp; Abilities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Weapon</t>
        </is>
      </c>
      <c r="B18" s="4" t="n"/>
      <c r="C18" s="3" t="inlineStr">
        <is>
          <t>Damage</t>
        </is>
      </c>
      <c r="D18" s="4" t="n"/>
    </row>
    <row r="19">
      <c r="A19" s="3" t="inlineStr">
        <is>
          <t>Armor Armor Rating (AR)</t>
        </is>
      </c>
      <c r="B19" s="4" t="n"/>
      <c r="C19" s="3" t="inlineStr">
        <is>
          <t>Melee Target Number (TN)</t>
        </is>
      </c>
      <c r="D19" s="7">
        <f>B7*10</f>
        <v/>
      </c>
    </row>
    <row r="20"/>
    <row r="21">
      <c r="A21" s="3" t="inlineStr">
        <is>
          <t>Special Ability / Background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Notes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NPC: Kara (Civilian Leader)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Name</t>
        </is>
      </c>
      <c r="B3" s="4" t="inlineStr">
        <is>
          <t>Kara (Civilian Leader)</t>
        </is>
      </c>
      <c r="C3" s="3" t="inlineStr">
        <is>
          <t>Role / Faction</t>
        </is>
      </c>
      <c r="D3" s="4" t="inlineStr">
        <is>
          <t>Survivor Leader</t>
        </is>
      </c>
      <c r="E3" s="3" t="inlineStr">
        <is>
          <t>Attitude</t>
        </is>
      </c>
      <c r="F3" s="4" t="inlineStr">
        <is>
          <t>Pragmatic → Can be won over</t>
        </is>
      </c>
    </row>
    <row r="4"/>
    <row r="5">
      <c r="A5" s="5" t="inlineStr">
        <is>
          <t>Attributes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Faith (FTH)</t>
        </is>
      </c>
      <c r="B6" s="4" t="n">
        <v>2</v>
      </c>
    </row>
    <row r="7">
      <c r="A7" s="3" t="inlineStr">
        <is>
          <t>Body (BOD)</t>
        </is>
      </c>
      <c r="B7" s="4" t="n">
        <v>2</v>
      </c>
    </row>
    <row r="8">
      <c r="A8" s="3" t="inlineStr">
        <is>
          <t>Mind (MND)</t>
        </is>
      </c>
      <c r="B8" s="4" t="n">
        <v>3</v>
      </c>
    </row>
    <row r="9">
      <c r="A9" s="3" t="inlineStr">
        <is>
          <t>Tech (TEC)</t>
        </is>
      </c>
      <c r="B9" s="4" t="n">
        <v>2</v>
      </c>
    </row>
    <row r="10">
      <c r="A10" s="3" t="inlineStr">
        <is>
          <t>Fate (FAT)</t>
        </is>
      </c>
      <c r="B10" s="4" t="n">
        <v>3</v>
      </c>
    </row>
    <row r="11"/>
    <row r="12">
      <c r="A12" s="5" t="inlineStr">
        <is>
          <t>Derived Attributes (auto-calculated)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Defense</t>
        </is>
      </c>
      <c r="D13" s="7">
        <f>ROUNDUP(B9/2,0)</f>
        <v/>
      </c>
    </row>
    <row r="14">
      <c r="A14" s="3" t="inlineStr">
        <is>
          <t>Initiative</t>
        </is>
      </c>
      <c r="B14" s="7">
        <f>B8+B9</f>
        <v/>
      </c>
      <c r="C14" s="3" t="inlineStr">
        <is>
          <t>Speed</t>
        </is>
      </c>
      <c r="D14" s="7">
        <f>6+B7/2</f>
        <v/>
      </c>
    </row>
    <row r="15">
      <c r="A15" s="3" t="inlineStr">
        <is>
          <t>Psychic Ward</t>
        </is>
      </c>
      <c r="B15" s="7">
        <f>B8+B6/2</f>
        <v/>
      </c>
    </row>
    <row r="16"/>
    <row r="17">
      <c r="A17" s="5" t="inlineStr">
        <is>
          <t>Equipment &amp; Abilities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Weapon</t>
        </is>
      </c>
      <c r="B18" s="4" t="n"/>
      <c r="C18" s="3" t="inlineStr">
        <is>
          <t>Damage</t>
        </is>
      </c>
      <c r="D18" s="4" t="n"/>
    </row>
    <row r="19">
      <c r="A19" s="3" t="inlineStr">
        <is>
          <t>Armor Armor Rating (AR)</t>
        </is>
      </c>
      <c r="B19" s="4" t="n"/>
      <c r="C19" s="3" t="inlineStr">
        <is>
          <t>Melee Target Number (TN)</t>
        </is>
      </c>
      <c r="D19" s="7">
        <f>B7*10</f>
        <v/>
      </c>
    </row>
    <row r="20"/>
    <row r="21">
      <c r="A21" s="3" t="inlineStr">
        <is>
          <t>Special Ability / Background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Notes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NPC: Eldar Ranger Elandil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Name</t>
        </is>
      </c>
      <c r="B3" s="4" t="inlineStr">
        <is>
          <t>Eldar Ranger Elandil</t>
        </is>
      </c>
      <c r="C3" s="3" t="inlineStr">
        <is>
          <t>Role / Faction</t>
        </is>
      </c>
      <c r="D3" s="4" t="inlineStr">
        <is>
          <t>Potential Ally / Trade Contact</t>
        </is>
      </c>
      <c r="E3" s="3" t="inlineStr">
        <is>
          <t>Attitude</t>
        </is>
      </c>
      <c r="F3" s="4" t="inlineStr">
        <is>
          <t>Aloof → Can be won over</t>
        </is>
      </c>
    </row>
    <row r="4"/>
    <row r="5">
      <c r="A5" s="5" t="inlineStr">
        <is>
          <t>Attributes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Faith (FTH)</t>
        </is>
      </c>
      <c r="B6" s="4" t="n">
        <v>2</v>
      </c>
    </row>
    <row r="7">
      <c r="A7" s="3" t="inlineStr">
        <is>
          <t>Body (BOD)</t>
        </is>
      </c>
      <c r="B7" s="4" t="n">
        <v>3</v>
      </c>
    </row>
    <row r="8">
      <c r="A8" s="3" t="inlineStr">
        <is>
          <t>Mind (MND)</t>
        </is>
      </c>
      <c r="B8" s="4" t="n">
        <v>5</v>
      </c>
    </row>
    <row r="9">
      <c r="A9" s="3" t="inlineStr">
        <is>
          <t>Tech (TEC)</t>
        </is>
      </c>
      <c r="B9" s="4" t="n">
        <v>5</v>
      </c>
    </row>
    <row r="10">
      <c r="A10" s="3" t="inlineStr">
        <is>
          <t>Fate (FAT)</t>
        </is>
      </c>
      <c r="B10" s="4" t="n">
        <v>4</v>
      </c>
    </row>
    <row r="11"/>
    <row r="12">
      <c r="A12" s="5" t="inlineStr">
        <is>
          <t>Derived Attributes (auto-calculated)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Defense</t>
        </is>
      </c>
      <c r="D13" s="7">
        <f>ROUNDUP(B9/2,0)</f>
        <v/>
      </c>
    </row>
    <row r="14">
      <c r="A14" s="3" t="inlineStr">
        <is>
          <t>Initiative</t>
        </is>
      </c>
      <c r="B14" s="7">
        <f>B8+B9</f>
        <v/>
      </c>
      <c r="C14" s="3" t="inlineStr">
        <is>
          <t>Speed</t>
        </is>
      </c>
      <c r="D14" s="7">
        <f>6+B7/2</f>
        <v/>
      </c>
    </row>
    <row r="15">
      <c r="A15" s="3" t="inlineStr">
        <is>
          <t>Psychic Ward</t>
        </is>
      </c>
      <c r="B15" s="7">
        <f>B8+B6/2</f>
        <v/>
      </c>
    </row>
    <row r="16"/>
    <row r="17">
      <c r="A17" s="5" t="inlineStr">
        <is>
          <t>Equipment &amp; Abilities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Weapon</t>
        </is>
      </c>
      <c r="B18" s="4" t="n"/>
      <c r="C18" s="3" t="inlineStr">
        <is>
          <t>Damage</t>
        </is>
      </c>
      <c r="D18" s="4" t="n"/>
    </row>
    <row r="19">
      <c r="A19" s="3" t="inlineStr">
        <is>
          <t>Armor Armor Rating (AR)</t>
        </is>
      </c>
      <c r="B19" s="4" t="n"/>
      <c r="C19" s="3" t="inlineStr">
        <is>
          <t>Melee Target Number (TN)</t>
        </is>
      </c>
      <c r="D19" s="7">
        <f>B7*10</f>
        <v/>
      </c>
    </row>
    <row r="20"/>
    <row r="21">
      <c r="A21" s="3" t="inlineStr">
        <is>
          <t>Special Ability / Background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Notes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NPC: Chaos Space Marine Kasar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Name</t>
        </is>
      </c>
      <c r="B3" s="4" t="inlineStr">
        <is>
          <t>Chaos Space Marine Kasar</t>
        </is>
      </c>
      <c r="C3" s="3" t="inlineStr">
        <is>
          <t>Role / Faction</t>
        </is>
      </c>
      <c r="D3" s="4" t="inlineStr">
        <is>
          <t>Boss / Dialogue Target</t>
        </is>
      </c>
      <c r="E3" s="3" t="inlineStr">
        <is>
          <t>Attitude</t>
        </is>
      </c>
      <c r="F3" s="4" t="inlineStr">
        <is>
          <t>Hostile → Can be spoken to</t>
        </is>
      </c>
    </row>
    <row r="4"/>
    <row r="5">
      <c r="A5" s="5" t="inlineStr">
        <is>
          <t>Attributes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Faith (FTH)</t>
        </is>
      </c>
      <c r="B6" s="4" t="n">
        <v>0</v>
      </c>
    </row>
    <row r="7">
      <c r="A7" s="3" t="inlineStr">
        <is>
          <t>Body (BOD)</t>
        </is>
      </c>
      <c r="B7" s="4" t="n">
        <v>6</v>
      </c>
    </row>
    <row r="8">
      <c r="A8" s="3" t="inlineStr">
        <is>
          <t>Mind (MND)</t>
        </is>
      </c>
      <c r="B8" s="4" t="n">
        <v>4</v>
      </c>
    </row>
    <row r="9">
      <c r="A9" s="3" t="inlineStr">
        <is>
          <t>Tech (TEC)</t>
        </is>
      </c>
      <c r="B9" s="4" t="n">
        <v>5</v>
      </c>
    </row>
    <row r="10">
      <c r="A10" s="3" t="inlineStr">
        <is>
          <t>Fate (FAT)</t>
        </is>
      </c>
      <c r="B10" s="4" t="n">
        <v>2</v>
      </c>
    </row>
    <row r="11"/>
    <row r="12">
      <c r="A12" s="5" t="inlineStr">
        <is>
          <t>Derived Attributes (auto-calculated)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Defense</t>
        </is>
      </c>
      <c r="D13" s="7">
        <f>ROUNDUP(B9/2,0)</f>
        <v/>
      </c>
    </row>
    <row r="14">
      <c r="A14" s="3" t="inlineStr">
        <is>
          <t>Initiative</t>
        </is>
      </c>
      <c r="B14" s="7">
        <f>B8+B9</f>
        <v/>
      </c>
      <c r="C14" s="3" t="inlineStr">
        <is>
          <t>Speed</t>
        </is>
      </c>
      <c r="D14" s="7">
        <f>6+B7/2</f>
        <v/>
      </c>
    </row>
    <row r="15">
      <c r="A15" s="3" t="inlineStr">
        <is>
          <t>Psychic Ward</t>
        </is>
      </c>
      <c r="B15" s="7">
        <f>B8+B6/2</f>
        <v/>
      </c>
    </row>
    <row r="16"/>
    <row r="17">
      <c r="A17" s="5" t="inlineStr">
        <is>
          <t>Equipment &amp; Abilities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Weapon</t>
        </is>
      </c>
      <c r="B18" s="4" t="n"/>
      <c r="C18" s="3" t="inlineStr">
        <is>
          <t>Damage</t>
        </is>
      </c>
      <c r="D18" s="4" t="n"/>
    </row>
    <row r="19">
      <c r="A19" s="3" t="inlineStr">
        <is>
          <t>Armor Armor Rating (AR)</t>
        </is>
      </c>
      <c r="B19" s="4" t="n"/>
      <c r="C19" s="3" t="inlineStr">
        <is>
          <t>Melee Target Number (TN)</t>
        </is>
      </c>
      <c r="D19" s="7">
        <f>B7*10</f>
        <v/>
      </c>
    </row>
    <row r="20"/>
    <row r="21">
      <c r="A21" s="3" t="inlineStr">
        <is>
          <t>Special Ability / Background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Notes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NPC: Pilot Lieutenant Vera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Name</t>
        </is>
      </c>
      <c r="B3" s="4" t="inlineStr">
        <is>
          <t>Pilot Lieutenant Vera</t>
        </is>
      </c>
      <c r="C3" s="3" t="inlineStr">
        <is>
          <t>Role / Faction</t>
        </is>
      </c>
      <c r="D3" s="4" t="inlineStr">
        <is>
          <t>Imperial Navy / Evacuation Pilot</t>
        </is>
      </c>
      <c r="E3" s="3" t="inlineStr">
        <is>
          <t>Attitude</t>
        </is>
      </c>
      <c r="F3" s="4" t="inlineStr">
        <is>
          <t>Fearful but dutiful</t>
        </is>
      </c>
    </row>
    <row r="4"/>
    <row r="5">
      <c r="A5" s="5" t="inlineStr">
        <is>
          <t>Attributes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Faith (FTH)</t>
        </is>
      </c>
      <c r="B6" s="4" t="n">
        <v>3</v>
      </c>
    </row>
    <row r="7">
      <c r="A7" s="3" t="inlineStr">
        <is>
          <t>Body (BOD)</t>
        </is>
      </c>
      <c r="B7" s="4" t="n">
        <v>2</v>
      </c>
    </row>
    <row r="8">
      <c r="A8" s="3" t="inlineStr">
        <is>
          <t>Mind (MND)</t>
        </is>
      </c>
      <c r="B8" s="4" t="n">
        <v>3</v>
      </c>
    </row>
    <row r="9">
      <c r="A9" s="3" t="inlineStr">
        <is>
          <t>Tech (TEC)</t>
        </is>
      </c>
      <c r="B9" s="4" t="n">
        <v>4</v>
      </c>
    </row>
    <row r="10">
      <c r="A10" s="3" t="inlineStr">
        <is>
          <t>Fate (FAT)</t>
        </is>
      </c>
      <c r="B10" s="4" t="n">
        <v>2</v>
      </c>
    </row>
    <row r="11"/>
    <row r="12">
      <c r="A12" s="5" t="inlineStr">
        <is>
          <t>Derived Attributes (auto-calculated)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Defense</t>
        </is>
      </c>
      <c r="D13" s="7">
        <f>ROUNDUP(B9/2,0)</f>
        <v/>
      </c>
    </row>
    <row r="14">
      <c r="A14" s="3" t="inlineStr">
        <is>
          <t>Initiative</t>
        </is>
      </c>
      <c r="B14" s="7">
        <f>B8+B9</f>
        <v/>
      </c>
      <c r="C14" s="3" t="inlineStr">
        <is>
          <t>Speed</t>
        </is>
      </c>
      <c r="D14" s="7">
        <f>6+B7/2</f>
        <v/>
      </c>
    </row>
    <row r="15">
      <c r="A15" s="3" t="inlineStr">
        <is>
          <t>Psychic Ward</t>
        </is>
      </c>
      <c r="B15" s="7">
        <f>B8+B6/2</f>
        <v/>
      </c>
    </row>
    <row r="16"/>
    <row r="17">
      <c r="A17" s="5" t="inlineStr">
        <is>
          <t>Equipment &amp; Abilities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Weapon</t>
        </is>
      </c>
      <c r="B18" s="4" t="n"/>
      <c r="C18" s="3" t="inlineStr">
        <is>
          <t>Damage</t>
        </is>
      </c>
      <c r="D18" s="4" t="n"/>
    </row>
    <row r="19">
      <c r="A19" s="3" t="inlineStr">
        <is>
          <t>Armor Armor Rating (AR)</t>
        </is>
      </c>
      <c r="B19" s="4" t="n"/>
      <c r="C19" s="3" t="inlineStr">
        <is>
          <t>Melee Target Number (TN)</t>
        </is>
      </c>
      <c r="D19" s="7">
        <f>B7*10</f>
        <v/>
      </c>
    </row>
    <row r="20"/>
    <row r="21">
      <c r="A21" s="3" t="inlineStr">
        <is>
          <t>Special Ability / Background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Notes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2026-06-29T03:52:09Z</dcterms:created>
  <dcterms:modified xsi:type="dcterms:W3CDTF">2026-08-09T16:38:41Z</dcterms:modified>
</cp:coreProperties>
</file>