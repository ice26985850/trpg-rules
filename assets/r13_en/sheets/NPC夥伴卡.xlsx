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z Vil" sheetId="1" state="visible" r:id="rId1"/>
    <sheet name="Sister Eleanor" sheetId="2" state="visible" r:id="rId2"/>
    <sheet name="Xavier" sheetId="3" state="visible" r:id="rId3"/>
    <sheet name="Veteran Talos" sheetId="4" state="visible" r:id="rId4"/>
    <sheet name="Erin (the Forgotten)" sheetId="5" state="visible" r:id="rId5"/>
    <sheet name="Tech-Sergeant Kara" sheetId="6" state="visible" r:id="rId6"/>
    <sheet name="Lieutenant Kara Val" sheetId="7" state="visible" r:id="rId7"/>
    <sheet name="Tech-Priest Omicron-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Kaz Vil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Kaz Vil</t>
        </is>
      </c>
      <c r="C3" s="3" t="inlineStr">
        <is>
          <t>One-line Description</t>
        </is>
      </c>
      <c r="D3" s="4" t="inlineStr">
        <is>
          <t>Silent middle-aged Hive Laborer</t>
        </is>
      </c>
    </row>
    <row r="4">
      <c r="A4" s="3" t="inlineStr">
        <is>
          <t>Motivation</t>
        </is>
      </c>
      <c r="B4" s="4" t="inlineStr">
        <is>
          <t>Live to see his daughter again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kill civilians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3</v>
      </c>
    </row>
    <row r="9">
      <c r="A9" s="3" t="inlineStr">
        <is>
          <t>Body (BOD)</t>
        </is>
      </c>
      <c r="B9" s="4" t="n">
        <v>3</v>
      </c>
    </row>
    <row r="10">
      <c r="A10" s="3" t="inlineStr">
        <is>
          <t>Mind (MND)</t>
        </is>
      </c>
      <c r="B10" s="4" t="n">
        <v>2</v>
      </c>
    </row>
    <row r="11">
      <c r="A11" s="3" t="inlineStr">
        <is>
          <t>Tech (TEC)</t>
        </is>
      </c>
      <c r="B11" s="4" t="n">
        <v>3</v>
      </c>
    </row>
    <row r="12">
      <c r="A12" s="3" t="inlineStr">
        <is>
          <t>Fate (FAT)</t>
        </is>
      </c>
      <c r="B12" s="4" t="n">
        <v>2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0</v>
      </c>
      <c r="C20" s="3" t="inlineStr">
        <is>
          <t>Current Attitude</t>
        </is>
      </c>
      <c r="D20" s="4" t="n">
        <v>0</v>
      </c>
    </row>
    <row r="21">
      <c r="A21" s="3" t="inlineStr">
        <is>
          <t>Shaken Points (0-10)</t>
        </is>
      </c>
      <c r="B21" s="4" t="n">
        <v>0</v>
      </c>
      <c r="C21" s="3" t="inlineStr">
        <is>
          <t>Current Shaken Points</t>
        </is>
      </c>
      <c r="D21" s="4" t="n">
        <v>0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Autopistol 1d6</t>
        </is>
      </c>
      <c r="C24" s="3" t="inlineStr">
        <is>
          <t>Armor</t>
        </is>
      </c>
      <c r="D24" s="4" t="inlineStr">
        <is>
          <t>Heavy Cloth Armor AR1</t>
        </is>
      </c>
    </row>
    <row r="25">
      <c r="A25" s="3" t="inlineStr">
        <is>
          <t>Personal Items</t>
        </is>
      </c>
      <c r="B25" s="4" t="inlineStr">
        <is>
          <t>Hive Map Fragment</t>
        </is>
      </c>
      <c r="C25" s="3" t="inlineStr">
        <is>
          <t>Key Skills</t>
        </is>
      </c>
      <c r="D25" s="4" t="inlineStr">
        <is>
          <t>Stealth(T) Awareness(T)</t>
        </is>
      </c>
    </row>
    <row r="26"/>
    <row r="27">
      <c r="A27" s="3" t="inlineStr">
        <is>
          <t>Special Ability</t>
        </is>
      </c>
      <c r="B27" s="4" t="inlineStr">
        <is>
          <t>Rat of the Hive: Never gets lost in Hive environments. Can provide the player a one-time stealth route (Stealth Advantage).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SA-1 'The Lone Walker of Iron Ribs'. Attitude starts at 0 — the player must actively build trust.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Sister Eleanor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Sister Eleanor</t>
        </is>
      </c>
      <c r="C3" s="3" t="inlineStr">
        <is>
          <t>One-line Description</t>
        </is>
      </c>
      <c r="D3" s="4" t="inlineStr">
        <is>
          <t>Young Ecclesiarchy Acolyte who has never seen Warp corruption</t>
        </is>
      </c>
    </row>
    <row r="4">
      <c r="A4" s="3" t="inlineStr">
        <is>
          <t>Motivation</t>
        </is>
      </c>
      <c r="B4" s="4" t="inlineStr">
        <is>
          <t>Prove his faith is strong enough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question the Emperor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4</v>
      </c>
    </row>
    <row r="9">
      <c r="A9" s="3" t="inlineStr">
        <is>
          <t>Body (BOD)</t>
        </is>
      </c>
      <c r="B9" s="4" t="n">
        <v>2</v>
      </c>
    </row>
    <row r="10">
      <c r="A10" s="3" t="inlineStr">
        <is>
          <t>Mind (MND)</t>
        </is>
      </c>
      <c r="B10" s="4" t="n">
        <v>3</v>
      </c>
    </row>
    <row r="11">
      <c r="A11" s="3" t="inlineStr">
        <is>
          <t>Tech (TEC)</t>
        </is>
      </c>
      <c r="B11" s="4" t="n">
        <v>2</v>
      </c>
    </row>
    <row r="12">
      <c r="A12" s="3" t="inlineStr">
        <is>
          <t>Fate (FAT)</t>
        </is>
      </c>
      <c r="B12" s="4" t="n">
        <v>3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1</v>
      </c>
      <c r="C20" s="3" t="inlineStr">
        <is>
          <t>Current Attitude</t>
        </is>
      </c>
      <c r="D20" s="4" t="n">
        <v>1</v>
      </c>
    </row>
    <row r="21">
      <c r="A21" s="3" t="inlineStr">
        <is>
          <t>Shaken Points (0-10)</t>
        </is>
      </c>
      <c r="B21" s="4" t="n">
        <v>0</v>
      </c>
      <c r="C21" s="3" t="inlineStr">
        <is>
          <t>Current Shaken Points</t>
        </is>
      </c>
      <c r="D21" s="4" t="n">
        <v>0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Pistol 1d6</t>
        </is>
      </c>
      <c r="C24" s="3" t="inlineStr">
        <is>
          <t>Armor</t>
        </is>
      </c>
      <c r="D24" s="4" t="inlineStr">
        <is>
          <t>Heavy Cloth Armor AR1</t>
        </is>
      </c>
    </row>
    <row r="25">
      <c r="A25" s="3" t="inlineStr">
        <is>
          <t>Personal Items</t>
        </is>
      </c>
      <c r="B25" s="4" t="inlineStr">
        <is>
          <t>Emperor Icon</t>
        </is>
      </c>
      <c r="C25" s="3" t="inlineStr">
        <is>
          <t>Key Skills</t>
        </is>
      </c>
      <c r="D25" s="4" t="inlineStr">
        <is>
          <t>Oratory(T) Lore(T)</t>
        </is>
      </c>
    </row>
    <row r="26"/>
    <row r="27">
      <c r="A27" s="3" t="inlineStr">
        <is>
          <t>Special Ability</t>
        </is>
      </c>
      <c r="B27" s="4" t="inlineStr">
        <is>
          <t>Light of Faith: Once per scenario, restore 2 Faith to the player. Deals 2d4 Holy damage to low-tier Warp entities.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SA-2 'Soliloquy of the Rust Crown'. Note — her faith is fragile. Witnessing Warp phenomena raises Shaken Points.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Xavier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Xavier</t>
        </is>
      </c>
      <c r="C3" s="3" t="inlineStr">
        <is>
          <t>One-line Description</t>
        </is>
      </c>
      <c r="D3" s="4" t="inlineStr">
        <is>
          <t>Unregistered Psyker Psi2, afraid of himself</t>
        </is>
      </c>
    </row>
    <row r="4">
      <c r="A4" s="3" t="inlineStr">
        <is>
          <t>Motivation</t>
        </is>
      </c>
      <c r="B4" s="4" t="inlineStr">
        <is>
          <t>Complete 5 services to be released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let psychic power harm the innocent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2</v>
      </c>
    </row>
    <row r="9">
      <c r="A9" s="3" t="inlineStr">
        <is>
          <t>Body (BOD)</t>
        </is>
      </c>
      <c r="B9" s="4" t="n">
        <v>2</v>
      </c>
    </row>
    <row r="10">
      <c r="A10" s="3" t="inlineStr">
        <is>
          <t>Mind (MND)</t>
        </is>
      </c>
      <c r="B10" s="4" t="n">
        <v>4</v>
      </c>
    </row>
    <row r="11">
      <c r="A11" s="3" t="inlineStr">
        <is>
          <t>Tech (TEC)</t>
        </is>
      </c>
      <c r="B11" s="4" t="n">
        <v>2</v>
      </c>
    </row>
    <row r="12">
      <c r="A12" s="3" t="inlineStr">
        <is>
          <t>Fate (FAT)</t>
        </is>
      </c>
      <c r="B12" s="4" t="n">
        <v>3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-1</v>
      </c>
      <c r="C20" s="3" t="inlineStr">
        <is>
          <t>Current Attitude</t>
        </is>
      </c>
      <c r="D20" s="4" t="n">
        <v>-1</v>
      </c>
    </row>
    <row r="21">
      <c r="A21" s="3" t="inlineStr">
        <is>
          <t>Shaken Points (0-10)</t>
        </is>
      </c>
      <c r="B21" s="4" t="n">
        <v>0</v>
      </c>
      <c r="C21" s="3" t="inlineStr">
        <is>
          <t>Current Shaken Points</t>
        </is>
      </c>
      <c r="D21" s="4" t="n">
        <v>0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None</t>
        </is>
      </c>
      <c r="C24" s="3" t="inlineStr">
        <is>
          <t>Armor</t>
        </is>
      </c>
      <c r="D24" s="4" t="inlineStr">
        <is>
          <t>None</t>
        </is>
      </c>
    </row>
    <row r="25">
      <c r="A25" s="3" t="inlineStr">
        <is>
          <t>Personal Items</t>
        </is>
      </c>
      <c r="B25" s="4" t="inlineStr">
        <is>
          <t>Warp Resonance Stone</t>
        </is>
      </c>
      <c r="C25" s="3" t="inlineStr">
        <is>
          <t>Key Skills</t>
        </is>
      </c>
      <c r="D25" s="4" t="inlineStr">
        <is>
          <t>Psyniscience(T) Investigation(T)</t>
        </is>
      </c>
    </row>
    <row r="26"/>
    <row r="27">
      <c r="A27" s="3" t="inlineStr">
        <is>
          <t>Special Ability</t>
        </is>
      </c>
      <c r="B27" s="4" t="inlineStr">
        <is>
          <t>Psyniscience: Automatically senses Chaos corruption within 30m. Psychic Surge: Once per battle, 2d6 Psychic (triggers Warp phenomena after use).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SA-3 'Echo of the Bone Pile'. Initial attitude -1. Using Psychic Surge always triggers Warp phenomena.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Veteran Talos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Veteran Talos</t>
        </is>
      </c>
      <c r="C3" s="3" t="inlineStr">
        <is>
          <t>One-line Description</t>
        </is>
      </c>
      <c r="D3" s="4" t="inlineStr">
        <is>
          <t>50-year-old grey-haired veteran, weary eyes but steady hands</t>
        </is>
      </c>
    </row>
    <row r="4">
      <c r="A4" s="3" t="inlineStr">
        <is>
          <t>Motivation</t>
        </is>
      </c>
      <c r="B4" s="4" t="inlineStr">
        <is>
          <t>Retire after completing penance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abandon an injured comrade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2</v>
      </c>
    </row>
    <row r="9">
      <c r="A9" s="3" t="inlineStr">
        <is>
          <t>Body (BOD)</t>
        </is>
      </c>
      <c r="B9" s="4" t="n">
        <v>3</v>
      </c>
    </row>
    <row r="10">
      <c r="A10" s="3" t="inlineStr">
        <is>
          <t>Mind (MND)</t>
        </is>
      </c>
      <c r="B10" s="4" t="n">
        <v>3</v>
      </c>
    </row>
    <row r="11">
      <c r="A11" s="3" t="inlineStr">
        <is>
          <t>Tech (TEC)</t>
        </is>
      </c>
      <c r="B11" s="4" t="n">
        <v>4</v>
      </c>
    </row>
    <row r="12">
      <c r="A12" s="3" t="inlineStr">
        <is>
          <t>Fate (FAT)</t>
        </is>
      </c>
      <c r="B12" s="4" t="n">
        <v>2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1</v>
      </c>
      <c r="C20" s="3" t="inlineStr">
        <is>
          <t>Current Attitude</t>
        </is>
      </c>
      <c r="D20" s="4" t="n">
        <v>1</v>
      </c>
    </row>
    <row r="21">
      <c r="A21" s="3" t="inlineStr">
        <is>
          <t>Shaken Points (0-10)</t>
        </is>
      </c>
      <c r="B21" s="4" t="n">
        <v>0</v>
      </c>
      <c r="C21" s="3" t="inlineStr">
        <is>
          <t>Current Shaken Points</t>
        </is>
      </c>
      <c r="D21" s="4" t="n">
        <v>0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Lasgun 1d6+1</t>
        </is>
      </c>
      <c r="C24" s="3" t="inlineStr">
        <is>
          <t>Armor</t>
        </is>
      </c>
      <c r="D24" s="4" t="inlineStr">
        <is>
          <t>Flak Armor AR2</t>
        </is>
      </c>
    </row>
    <row r="25">
      <c r="A25" s="3" t="inlineStr">
        <is>
          <t>Personal Items</t>
        </is>
      </c>
      <c r="B25" s="4" t="inlineStr">
        <is>
          <t>Old Comrade's Dog Tag</t>
        </is>
      </c>
      <c r="C25" s="3" t="inlineStr">
        <is>
          <t>Key Skills</t>
        </is>
      </c>
      <c r="D25" s="4" t="inlineStr">
        <is>
          <t>Ballistic Skill(T) Medicae(T)</t>
        </is>
      </c>
    </row>
    <row r="26"/>
    <row r="27">
      <c r="A27" s="3" t="inlineStr">
        <is>
          <t>Special Ability</t>
        </is>
      </c>
      <c r="B27" s="4" t="inlineStr">
        <is>
          <t>Veteran's Intuition: Once per scenario, the GM warns of danger. Battlefield First Aid: Medikit restores an extra +1d4 HP.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SA-4 'The Sole of the Deep Hive'. A reliable comrade — yet he is the most reasonable sacrifice in a mission.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Erin (the Forgotten)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Erin (the Forgotten)</t>
        </is>
      </c>
      <c r="C3" s="3" t="inlineStr">
        <is>
          <t>One-line Description</t>
        </is>
      </c>
      <c r="D3" s="4" t="inlineStr">
        <is>
          <t>Former Penitent trapped 47 years in the lower levels of the Tower of Silence</t>
        </is>
      </c>
    </row>
    <row r="4">
      <c r="A4" s="3" t="inlineStr">
        <is>
          <t>Motivation</t>
        </is>
      </c>
      <c r="B4" s="4" t="inlineStr">
        <is>
          <t>Live to leave and expose the Inquisition's forgetting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yield to Chaos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5</v>
      </c>
    </row>
    <row r="9">
      <c r="A9" s="3" t="inlineStr">
        <is>
          <t>Body (BOD)</t>
        </is>
      </c>
      <c r="B9" s="4" t="n">
        <v>2</v>
      </c>
    </row>
    <row r="10">
      <c r="A10" s="3" t="inlineStr">
        <is>
          <t>Mind (MND)</t>
        </is>
      </c>
      <c r="B10" s="4" t="n">
        <v>4</v>
      </c>
    </row>
    <row r="11">
      <c r="A11" s="3" t="inlineStr">
        <is>
          <t>Tech (TEC)</t>
        </is>
      </c>
      <c r="B11" s="4" t="n">
        <v>3</v>
      </c>
    </row>
    <row r="12">
      <c r="A12" s="3" t="inlineStr">
        <is>
          <t>Fate (FAT)</t>
        </is>
      </c>
      <c r="B12" s="4" t="n">
        <v>4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2</v>
      </c>
      <c r="C20" s="3" t="inlineStr">
        <is>
          <t>Current Attitude</t>
        </is>
      </c>
      <c r="D20" s="4" t="n">
        <v>2</v>
      </c>
    </row>
    <row r="21">
      <c r="A21" s="3" t="inlineStr">
        <is>
          <t>Shaken Points (0-10)</t>
        </is>
      </c>
      <c r="B21" s="4" t="n">
        <v>3</v>
      </c>
      <c r="C21" s="3" t="inlineStr">
        <is>
          <t>Current Shaken Points</t>
        </is>
      </c>
      <c r="D21" s="4" t="n">
        <v>3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Damaged Autopistol 1d6</t>
        </is>
      </c>
      <c r="C24" s="3" t="inlineStr">
        <is>
          <t>Armor</t>
        </is>
      </c>
      <c r="D24" s="4" t="inlineStr">
        <is>
          <t>Damaged Flak Armor AR1</t>
        </is>
      </c>
    </row>
    <row r="25">
      <c r="A25" s="3" t="inlineStr">
        <is>
          <t>Personal Items</t>
        </is>
      </c>
      <c r="B25" s="4" t="inlineStr">
        <is>
          <t>Underhive Map</t>
        </is>
      </c>
      <c r="C25" s="3" t="inlineStr">
        <is>
          <t>Key Skills</t>
        </is>
      </c>
      <c r="D25" s="4" t="inlineStr">
        <is>
          <t>Awareness(T) Stealth(T)</t>
        </is>
      </c>
    </row>
    <row r="26"/>
    <row r="27">
      <c r="A27" s="3" t="inlineStr">
        <is>
          <t>Special Ability</t>
        </is>
      </c>
      <c r="B27" s="4" t="inlineStr">
        <is>
          <t>47 years of Underhive survival experience — provides a complete lower-level map. Faith 5 grows firmer in despair. Can testify against a Fallen Inquisitor.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SA-5 'Solitary Prayer at Black Dock'. Attitude +2 — she has waited 47 years. Her testimony is key to the final mission.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Tech-Sergeant Kara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Tech-Sergeant Kara</t>
        </is>
      </c>
      <c r="C3" s="3" t="inlineStr">
        <is>
          <t>One-line Description</t>
        </is>
      </c>
      <c r="D3" s="4" t="inlineStr">
        <is>
          <t>Imperial Navy engineer, lost an arm but built his own prosthesis</t>
        </is>
      </c>
    </row>
    <row r="4">
      <c r="A4" s="3" t="inlineStr">
        <is>
          <t>Motivation</t>
        </is>
      </c>
      <c r="B4" s="4" t="inlineStr">
        <is>
          <t>Live to leave this planet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abandon a repairable machine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3</v>
      </c>
    </row>
    <row r="9">
      <c r="A9" s="3" t="inlineStr">
        <is>
          <t>Body (BOD)</t>
        </is>
      </c>
      <c r="B9" s="4" t="n">
        <v>2</v>
      </c>
    </row>
    <row r="10">
      <c r="A10" s="3" t="inlineStr">
        <is>
          <t>Mind (MND)</t>
        </is>
      </c>
      <c r="B10" s="4" t="n">
        <v>3</v>
      </c>
    </row>
    <row r="11">
      <c r="A11" s="3" t="inlineStr">
        <is>
          <t>Tech (TEC)</t>
        </is>
      </c>
      <c r="B11" s="4" t="n">
        <v>4</v>
      </c>
    </row>
    <row r="12">
      <c r="A12" s="3" t="inlineStr">
        <is>
          <t>Fate (FAT)</t>
        </is>
      </c>
      <c r="B12" s="4" t="n">
        <v>3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1</v>
      </c>
      <c r="C20" s="3" t="inlineStr">
        <is>
          <t>Current Attitude</t>
        </is>
      </c>
      <c r="D20" s="4" t="n">
        <v>1</v>
      </c>
    </row>
    <row r="21">
      <c r="A21" s="3" t="inlineStr">
        <is>
          <t>Shaken Points (0-10)</t>
        </is>
      </c>
      <c r="B21" s="4" t="n">
        <v>0</v>
      </c>
      <c r="C21" s="3" t="inlineStr">
        <is>
          <t>Current Shaken Points</t>
        </is>
      </c>
      <c r="D21" s="4" t="n">
        <v>0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Laspistol 1d6+1</t>
        </is>
      </c>
      <c r="C24" s="3" t="inlineStr">
        <is>
          <t>Armor</t>
        </is>
      </c>
      <c r="D24" s="4" t="inlineStr">
        <is>
          <t>Flak Armor AR2</t>
        </is>
      </c>
    </row>
    <row r="25">
      <c r="A25" s="3" t="inlineStr">
        <is>
          <t>Personal Items</t>
        </is>
      </c>
      <c r="B25" s="4" t="inlineStr">
        <is>
          <t>Data-Slate (Transport Coordinates)</t>
        </is>
      </c>
      <c r="C25" s="3" t="inlineStr">
        <is>
          <t>Key Skills</t>
        </is>
      </c>
      <c r="D25" s="4" t="inlineStr">
        <is>
          <t>Tech-Use(T) Investigation(T)</t>
        </is>
      </c>
    </row>
    <row r="26"/>
    <row r="27">
      <c r="A27" s="3" t="inlineStr">
        <is>
          <t>Special Ability</t>
        </is>
      </c>
      <c r="B27" s="4" t="inlineStr">
        <is>
          <t>Adeptus Mechanicus Training: Advantage on Tech-Use tests. Can repair damaged gear (once per scenario, restore 1 level).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SB-1 'The Sole Awakener'. The first mortal companion in Astartes mode. She can repair your gear.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Lieutenant Kara Val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Lieutenant Kara Val</t>
        </is>
      </c>
      <c r="C3" s="3" t="inlineStr">
        <is>
          <t>One-line Description</t>
        </is>
      </c>
      <c r="D3" s="4" t="inlineStr">
        <is>
          <t>Former Imperial Guard officer who served under your Chapter</t>
        </is>
      </c>
    </row>
    <row r="4">
      <c r="A4" s="3" t="inlineStr">
        <is>
          <t>Motivation</t>
        </is>
      </c>
      <c r="B4" s="4" t="inlineStr">
        <is>
          <t>Protect the remaining civilians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abandon civilians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3</v>
      </c>
    </row>
    <row r="9">
      <c r="A9" s="3" t="inlineStr">
        <is>
          <t>Body (BOD)</t>
        </is>
      </c>
      <c r="B9" s="4" t="n">
        <v>3</v>
      </c>
    </row>
    <row r="10">
      <c r="A10" s="3" t="inlineStr">
        <is>
          <t>Mind (MND)</t>
        </is>
      </c>
      <c r="B10" s="4" t="n">
        <v>3</v>
      </c>
    </row>
    <row r="11">
      <c r="A11" s="3" t="inlineStr">
        <is>
          <t>Tech (TEC)</t>
        </is>
      </c>
      <c r="B11" s="4" t="n">
        <v>3</v>
      </c>
    </row>
    <row r="12">
      <c r="A12" s="3" t="inlineStr">
        <is>
          <t>Fate (FAT)</t>
        </is>
      </c>
      <c r="B12" s="4" t="n">
        <v>3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2</v>
      </c>
      <c r="C20" s="3" t="inlineStr">
        <is>
          <t>Current Attitude</t>
        </is>
      </c>
      <c r="D20" s="4" t="n">
        <v>2</v>
      </c>
    </row>
    <row r="21">
      <c r="A21" s="3" t="inlineStr">
        <is>
          <t>Shaken Points (0-10)</t>
        </is>
      </c>
      <c r="B21" s="4" t="n">
        <v>0</v>
      </c>
      <c r="C21" s="3" t="inlineStr">
        <is>
          <t>Current Shaken Points</t>
        </is>
      </c>
      <c r="D21" s="4" t="n">
        <v>0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Autogun 1d8+1</t>
        </is>
      </c>
      <c r="C24" s="3" t="inlineStr">
        <is>
          <t>Armor</t>
        </is>
      </c>
      <c r="D24" s="4" t="inlineStr">
        <is>
          <t>Carapace Armor AR3</t>
        </is>
      </c>
    </row>
    <row r="25">
      <c r="A25" s="3" t="inlineStr">
        <is>
          <t>Personal Items</t>
        </is>
      </c>
      <c r="B25" s="4" t="inlineStr">
        <is>
          <t>Tattered Chapter Banner Fragment</t>
        </is>
      </c>
      <c r="C25" s="3" t="inlineStr">
        <is>
          <t>Key Skills</t>
        </is>
      </c>
      <c r="D25" s="4" t="inlineStr">
        <is>
          <t>Command(T) Ballistic Skill(T)</t>
        </is>
      </c>
    </row>
    <row r="26"/>
    <row r="27">
      <c r="A27" s="3" t="inlineStr">
        <is>
          <t>Special Ability</t>
        </is>
      </c>
      <c r="B27" s="4" t="inlineStr">
        <is>
          <t>Veteran Command: Once per battle, grant the player a free Advantage. Banner Memory: While holding the banner, both sides' Faith tests +5 TN.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SB-2 'Ruins of the Two'. She recognized your Chapter's insignia — a rare continuation of loyalty in 40k.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Solo Mode — NPC Companion: Tech-Priest Omicron-7</t>
        </is>
      </c>
      <c r="B1" s="5" t="n"/>
      <c r="C1" s="5" t="n"/>
      <c r="D1" s="5" t="n"/>
      <c r="E1" s="5" t="n"/>
      <c r="F1" s="5" t="n"/>
      <c r="G1" s="5" t="n"/>
      <c r="H1" s="6" t="n"/>
    </row>
    <row r="2"/>
    <row r="3">
      <c r="A3" s="3" t="inlineStr">
        <is>
          <t>Name</t>
        </is>
      </c>
      <c r="B3" s="4" t="inlineStr">
        <is>
          <t>Tech-Priest Omicron-7</t>
        </is>
      </c>
      <c r="C3" s="3" t="inlineStr">
        <is>
          <t>One-line Description</t>
        </is>
      </c>
      <c r="D3" s="4" t="inlineStr">
        <is>
          <t>Half-mechanized tech-priest, trapped for 6 months</t>
        </is>
      </c>
    </row>
    <row r="4">
      <c r="A4" s="3" t="inlineStr">
        <is>
          <t>Motivation</t>
        </is>
      </c>
      <c r="B4" s="4" t="inlineStr">
        <is>
          <t>Recover STC fragments</t>
        </is>
      </c>
      <c r="C4" s="5" t="n"/>
      <c r="D4" s="5" t="n"/>
      <c r="E4" s="6" t="n"/>
    </row>
    <row r="5">
      <c r="A5" s="3" t="inlineStr">
        <is>
          <t>Bottom Line</t>
        </is>
      </c>
      <c r="B5" s="4" t="inlineStr">
        <is>
          <t>Never damage ancient technology</t>
        </is>
      </c>
      <c r="C5" s="5" t="n"/>
      <c r="D5" s="5" t="n"/>
      <c r="E5" s="6" t="n"/>
    </row>
    <row r="6"/>
    <row r="7">
      <c r="A7" s="7" t="inlineStr">
        <is>
          <t>Attributes</t>
        </is>
      </c>
      <c r="B7" s="5" t="n"/>
      <c r="C7" s="5" t="n"/>
      <c r="D7" s="5" t="n"/>
      <c r="E7" s="5" t="n"/>
      <c r="F7" s="5" t="n"/>
      <c r="G7" s="5" t="n"/>
      <c r="H7" s="6" t="n"/>
    </row>
    <row r="8">
      <c r="A8" s="3" t="inlineStr">
        <is>
          <t>Faith (FTH)</t>
        </is>
      </c>
      <c r="B8" s="4" t="n">
        <v>2</v>
      </c>
    </row>
    <row r="9">
      <c r="A9" s="3" t="inlineStr">
        <is>
          <t>Body (BOD)</t>
        </is>
      </c>
      <c r="B9" s="4" t="n">
        <v>3</v>
      </c>
    </row>
    <row r="10">
      <c r="A10" s="3" t="inlineStr">
        <is>
          <t>Mind (MND)</t>
        </is>
      </c>
      <c r="B10" s="4" t="n">
        <v>5</v>
      </c>
    </row>
    <row r="11">
      <c r="A11" s="3" t="inlineStr">
        <is>
          <t>Tech (TEC)</t>
        </is>
      </c>
      <c r="B11" s="4" t="n">
        <v>5</v>
      </c>
    </row>
    <row r="12">
      <c r="A12" s="3" t="inlineStr">
        <is>
          <t>Fate (FAT)</t>
        </is>
      </c>
      <c r="B12" s="4" t="n">
        <v>1</v>
      </c>
    </row>
    <row r="13"/>
    <row r="14">
      <c r="A14" s="7" t="inlineStr">
        <is>
          <t>Derived Attributes (auto-calculated)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3" t="inlineStr">
        <is>
          <t>Hit Points (HP)</t>
        </is>
      </c>
      <c r="B15" s="9">
        <f>B9*4+5</f>
        <v/>
      </c>
      <c r="C15" s="3" t="inlineStr">
        <is>
          <t>Defense</t>
        </is>
      </c>
      <c r="D15" s="9">
        <f>ROUNDUP(B11/2,0)</f>
        <v/>
      </c>
    </row>
    <row r="16">
      <c r="A16" s="3" t="inlineStr">
        <is>
          <t>Initiative</t>
        </is>
      </c>
      <c r="B16" s="9">
        <f>B10+B11</f>
        <v/>
      </c>
      <c r="C16" s="3" t="inlineStr">
        <is>
          <t>Speed</t>
        </is>
      </c>
      <c r="D16" s="9">
        <f>6+B9/2</f>
        <v/>
      </c>
    </row>
    <row r="17">
      <c r="A17" s="3" t="inlineStr">
        <is>
          <t>Melee Target Number (TN)</t>
        </is>
      </c>
      <c r="B17" s="9">
        <f>B9*10</f>
        <v/>
      </c>
      <c r="C17" s="3" t="inlineStr">
        <is>
          <t>Ranged Target Number (TN)</t>
        </is>
      </c>
      <c r="D17" s="9">
        <f>B11*10</f>
        <v/>
      </c>
    </row>
    <row r="18"/>
    <row r="19">
      <c r="A19" s="7" t="inlineStr">
        <is>
          <t>Companion System (fill manually)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3" t="inlineStr">
        <is>
          <t>Initial Attitude (−3~+3)</t>
        </is>
      </c>
      <c r="B20" s="4" t="n">
        <v>0</v>
      </c>
      <c r="C20" s="3" t="inlineStr">
        <is>
          <t>Current Attitude</t>
        </is>
      </c>
      <c r="D20" s="4" t="n">
        <v>0</v>
      </c>
    </row>
    <row r="21">
      <c r="A21" s="3" t="inlineStr">
        <is>
          <t>Shaken Points (0-10)</t>
        </is>
      </c>
      <c r="B21" s="4" t="n">
        <v>0</v>
      </c>
      <c r="C21" s="3" t="inlineStr">
        <is>
          <t>Current Shaken Points</t>
        </is>
      </c>
      <c r="D21" s="4" t="n">
        <v>0</v>
      </c>
    </row>
    <row r="22"/>
    <row r="23">
      <c r="A23" s="7" t="inlineStr">
        <is>
          <t>Equipment &amp; Abilities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3" t="inlineStr">
        <is>
          <t>Primary Weapon</t>
        </is>
      </c>
      <c r="B24" s="4" t="inlineStr">
        <is>
          <t>Shock Maul 1d4+3 Energy</t>
        </is>
      </c>
      <c r="C24" s="3" t="inlineStr">
        <is>
          <t>Armor</t>
        </is>
      </c>
      <c r="D24" s="4" t="inlineStr">
        <is>
          <t>Heavy Carapace Armor AR4</t>
        </is>
      </c>
    </row>
    <row r="25">
      <c r="A25" s="3" t="inlineStr">
        <is>
          <t>Personal Items</t>
        </is>
      </c>
      <c r="B25" s="4" t="inlineStr">
        <is>
          <t>Mechanicus Diagnostor</t>
        </is>
      </c>
      <c r="C25" s="3" t="inlineStr">
        <is>
          <t>Key Skills</t>
        </is>
      </c>
      <c r="D25" s="4" t="inlineStr">
        <is>
          <t>Tech-Use(E+20) Lore(T)</t>
        </is>
      </c>
    </row>
    <row r="26"/>
    <row r="27">
      <c r="A27" s="3" t="inlineStr">
        <is>
          <t>Special Ability</t>
        </is>
      </c>
      <c r="B27" s="4" t="inlineStr">
        <is>
          <t>Machine-Spirit Communion: Interacting with machines does not trigger defense. Tech Blessing: Once per scenario, weapon +10 to hit until battle ends.</t>
        </is>
      </c>
      <c r="C27" s="10" t="n"/>
      <c r="D27" s="10" t="n"/>
      <c r="E27" s="10" t="n"/>
      <c r="F27" s="10" t="n"/>
      <c r="G27" s="10" t="n"/>
      <c r="H27" s="11" t="n"/>
    </row>
    <row r="28">
      <c r="B28" s="12" t="n"/>
      <c r="H28" s="13" t="n"/>
    </row>
    <row r="29">
      <c r="B29" s="14" t="n"/>
      <c r="C29" s="15" t="n"/>
      <c r="D29" s="15" t="n"/>
      <c r="E29" s="15" t="n"/>
      <c r="F29" s="15" t="n"/>
      <c r="G29" s="15" t="n"/>
      <c r="H29" s="16" t="n"/>
    </row>
    <row r="30"/>
    <row r="31">
      <c r="A31" s="3" t="inlineStr">
        <is>
          <t>Notes</t>
        </is>
      </c>
      <c r="B31" s="4" t="inlineStr">
        <is>
          <t>SB-3 Backup companion (if Kara/Kara are dead). Cooperates only when tech is concerned.</t>
        </is>
      </c>
      <c r="C31" s="10" t="n"/>
      <c r="D31" s="10" t="n"/>
      <c r="E31" s="10" t="n"/>
      <c r="F31" s="10" t="n"/>
      <c r="G31" s="10" t="n"/>
      <c r="H31" s="11" t="n"/>
    </row>
    <row r="32">
      <c r="B32" s="12" t="n"/>
      <c r="H32" s="13" t="n"/>
    </row>
    <row r="33">
      <c r="B33" s="14" t="n"/>
      <c r="C33" s="15" t="n"/>
      <c r="D33" s="15" t="n"/>
      <c r="E33" s="15" t="n"/>
      <c r="F33" s="15" t="n"/>
      <c r="G33" s="15" t="n"/>
      <c r="H33" s="16" t="n"/>
    </row>
    <row r="34"/>
    <row r="35">
      <c r="A35" s="7" t="inlineStr">
        <is>
          <t>Solo Mode Rules Tips</t>
        </is>
      </c>
      <c r="B35" s="5" t="n"/>
      <c r="C35" s="5" t="n"/>
      <c r="D35" s="5" t="n"/>
      <c r="E35" s="5" t="n"/>
      <c r="F35" s="5" t="n"/>
      <c r="G35" s="5" t="n"/>
      <c r="H35" s="6" t="n"/>
    </row>
    <row r="36">
      <c r="A36" s="17" t="inlineStr">
        <is>
          <t>* In combat the player directly controls the companion's actions (same action economy as the player).</t>
        </is>
      </c>
    </row>
    <row r="37">
      <c r="A37" s="17" t="inlineStr">
        <is>
          <t>* Out of combat the GM plays the companion's dialogue and decisions — the companion may disagree with the player.</t>
        </is>
      </c>
    </row>
    <row r="38">
      <c r="A38" s="17" t="inlineStr">
        <is>
          <t>* Companions do not track Corruption; instead they track Shaken Points (0-10).</t>
        </is>
      </c>
    </row>
    <row r="39">
      <c r="A39" s="17" t="inlineStr">
        <is>
          <t>* Attitude +3 Loyalty → willingly take Lethal Wound (one-time) | Attitude −3 → may betray.</t>
        </is>
      </c>
    </row>
    <row r="40">
      <c r="A40" s="17" t="inlineStr">
        <is>
          <t>* Shaken Points 4-6: occasionally hesitates in combat | 7-9: may refuse dangerous orders | 10: breakdown.</t>
        </is>
      </c>
    </row>
    <row r="41">
      <c r="A41" s="17" t="inlineStr">
        <is>
          <t>* Companion death → player Faith −2 + Corruption +3.</t>
        </is>
      </c>
    </row>
  </sheetData>
  <mergeCells count="16">
    <mergeCell ref="B31:H33"/>
    <mergeCell ref="A39:H39"/>
    <mergeCell ref="B4:E4"/>
    <mergeCell ref="A7:H7"/>
    <mergeCell ref="A35:H35"/>
    <mergeCell ref="A38:H38"/>
    <mergeCell ref="A41:H41"/>
    <mergeCell ref="A19:H19"/>
    <mergeCell ref="A14:H14"/>
    <mergeCell ref="A36:H36"/>
    <mergeCell ref="B5:E5"/>
    <mergeCell ref="A1:H1"/>
    <mergeCell ref="A23:H23"/>
    <mergeCell ref="A37:H37"/>
    <mergeCell ref="B27:H29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2026-06-29T03:52:09Z</dcterms:created>
  <dcterms:modified xsi:type="dcterms:W3CDTF">2026-08-09T16:38:41Z</dcterms:modified>
</cp:coreProperties>
</file>