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護體宗師（道門真傳·玄空派）" sheetId="1" state="visible" r:id="rId1"/>
    <sheet name="近戰打手（民間武師·搬山派）" sheetId="2" state="visible" r:id="rId2"/>
    <sheet name="墓中游龍（摸金世家·撼龍派）" sheetId="3" state="visible" r:id="rId3"/>
    <sheet name="符法專精（茅山弟子·符籙派）" sheetId="4" state="visible" r:id="rId4"/>
    <sheet name="膽大心細（摸金世家·茅山輔修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  <font>
      <name val="微軟正黑體"/>
      <b val="1"/>
      <color rgb="004A2C2A"/>
      <sz val="11"/>
    </font>
  </fonts>
  <fills count="4">
    <fill>
      <patternFill/>
    </fill>
    <fill>
      <patternFill patternType="gray125"/>
    </fill>
    <fill>
      <patternFill patternType="solid">
        <fgColor rgb="004A2C2A"/>
        <bgColor rgb="004A2C2A"/>
      </patternFill>
    </fill>
    <fill>
      <patternFill patternType="solid">
        <fgColor rgb="00E8D5B7"/>
        <bgColor rgb="00E8D5B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地師 TRPG —— 護體宗師（道門真傳·玄空派）</t>
        </is>
      </c>
      <c r="B1" s="2" t="n"/>
      <c r="C1" s="2" t="n"/>
      <c r="D1" s="2" t="n"/>
      <c r="E1" s="2" t="n"/>
      <c r="F1" s="2" t="n"/>
    </row>
    <row r="2">
      <c r="A2" s="3" t="inlineStr">
        <is>
          <t>角色姓名</t>
        </is>
      </c>
      <c r="D2" s="4" t="inlineStr">
        <is>
          <t>清虛</t>
        </is>
      </c>
      <c r="E2" s="5" t="n"/>
      <c r="F2" s="6" t="n"/>
    </row>
    <row r="3">
      <c r="A3" s="3" t="inlineStr">
        <is>
          <t>出身</t>
        </is>
      </c>
      <c r="D3" s="4" t="inlineStr">
        <is>
          <t>道觀養子</t>
        </is>
      </c>
      <c r="E3" s="5" t="n"/>
      <c r="F3" s="6" t="n"/>
    </row>
    <row r="4">
      <c r="A4" s="3" t="inlineStr">
        <is>
          <t>傳承</t>
        </is>
      </c>
      <c r="D4" s="4" t="inlineStr">
        <is>
          <t>道門真傳</t>
        </is>
      </c>
      <c r="E4" s="5" t="n"/>
      <c r="F4" s="6" t="n"/>
    </row>
    <row r="5">
      <c r="A5" s="3" t="inlineStr">
        <is>
          <t>門派</t>
        </is>
      </c>
      <c r="D5" s="4" t="inlineStr">
        <is>
          <t>玄空派</t>
        </is>
      </c>
      <c r="E5" s="5" t="n"/>
      <c r="F5" s="6" t="n"/>
    </row>
    <row r="6">
      <c r="A6" s="3" t="inlineStr">
        <is>
          <t>等級</t>
        </is>
      </c>
      <c r="D6" s="4" t="n">
        <v>1</v>
      </c>
      <c r="E6" s="5" t="n"/>
      <c r="F6" s="6" t="n"/>
    </row>
    <row r="8">
      <c r="A8" s="7" t="inlineStr">
        <is>
          <t>五大屬性</t>
        </is>
      </c>
      <c r="B8" s="8" t="n"/>
      <c r="C8" s="8" t="n"/>
      <c r="D8" s="8" t="n"/>
      <c r="E8" s="8" t="n"/>
      <c r="F8" s="8" t="n"/>
    </row>
    <row r="9">
      <c r="A9" s="3" t="inlineStr">
        <is>
          <t>身手（身）</t>
        </is>
      </c>
      <c r="C9" s="9" t="n">
        <v>4</v>
      </c>
      <c r="E9" s="4">
        <f>FLOOR(C9/2-5,1)</f>
        <v/>
      </c>
      <c r="F9" s="6" t="n"/>
    </row>
    <row r="10">
      <c r="A10" s="3" t="inlineStr">
        <is>
          <t>真氣（氣）</t>
        </is>
      </c>
      <c r="C10" s="9" t="n">
        <v>9</v>
      </c>
      <c r="E10" s="4">
        <f>FLOOR(C10/2-5,1)</f>
        <v/>
      </c>
      <c r="F10" s="6" t="n"/>
    </row>
    <row r="11">
      <c r="A11" s="3" t="inlineStr">
        <is>
          <t>堪輿（輿）</t>
        </is>
      </c>
      <c r="C11" s="9" t="n">
        <v>4</v>
      </c>
      <c r="E11" s="4">
        <f>FLOOR(C11/2-5,1)</f>
        <v/>
      </c>
      <c r="F11" s="6" t="n"/>
    </row>
    <row r="12">
      <c r="A12" s="3" t="inlineStr">
        <is>
          <t>通靈（靈）</t>
        </is>
      </c>
      <c r="C12" s="9" t="n">
        <v>3</v>
      </c>
      <c r="E12" s="4">
        <f>FLOOR(C12/2-5,1)</f>
        <v/>
      </c>
      <c r="F12" s="6" t="n"/>
    </row>
    <row r="13">
      <c r="A13" s="3" t="inlineStr">
        <is>
          <t>膽魄（膽）</t>
        </is>
      </c>
      <c r="C13" s="9" t="n">
        <v>5</v>
      </c>
      <c r="E13" s="4">
        <f>FLOOR(C13/2-5,1)</f>
        <v/>
      </c>
      <c r="F13" s="6" t="n"/>
    </row>
    <row r="15">
      <c r="A15" s="7" t="inlineStr">
        <is>
          <t>衍生屬性</t>
        </is>
      </c>
      <c r="B15" s="8" t="n"/>
      <c r="C15" s="8" t="n"/>
      <c r="D15" s="8" t="n"/>
      <c r="E15" s="8" t="n"/>
      <c r="F15" s="8" t="n"/>
    </row>
    <row r="16">
      <c r="A16" s="3" t="inlineStr">
        <is>
          <t>生命值（HP）</t>
        </is>
      </c>
      <c r="C16" s="9">
        <f>C11*3+10</f>
        <v/>
      </c>
    </row>
    <row r="17">
      <c r="A17" s="3" t="inlineStr">
        <is>
          <t>真氣池（QP）</t>
        </is>
      </c>
      <c r="C17" s="9">
        <f>C12*3+5</f>
        <v/>
      </c>
    </row>
    <row r="18">
      <c r="A18" s="3" t="inlineStr">
        <is>
          <t>恐懼閾值（FT）</t>
        </is>
      </c>
      <c r="C18" s="9">
        <f>C15*2+5</f>
        <v/>
      </c>
    </row>
    <row r="19">
      <c r="A19" s="3" t="inlineStr">
        <is>
          <t>陰陽感知（YY）</t>
        </is>
      </c>
      <c r="C19" s="9">
        <f>10+C14</f>
        <v/>
      </c>
    </row>
    <row r="20">
      <c r="A20" s="3" t="inlineStr">
        <is>
          <t>屍毒抗性（PR）</t>
        </is>
      </c>
      <c r="C20" s="9">
        <f>C12+FLOOR(C15/2,1)</f>
        <v/>
      </c>
    </row>
    <row r="21">
      <c r="A21" s="3" t="inlineStr">
        <is>
          <t>防禦值（DEF）</t>
        </is>
      </c>
      <c r="C21" s="9">
        <f>C11</f>
        <v/>
      </c>
    </row>
    <row r="22">
      <c r="A22" s="3" t="inlineStr">
        <is>
          <t>先攻值（INIT）</t>
        </is>
      </c>
      <c r="C22" s="9">
        <f>C11+FLOOR(C15/2,1)</f>
        <v/>
      </c>
    </row>
    <row r="24">
      <c r="A24" s="7" t="inlineStr">
        <is>
          <t>裝備</t>
        </is>
      </c>
      <c r="B24" s="8" t="n"/>
      <c r="C24" s="8" t="n"/>
      <c r="D24" s="8" t="n"/>
      <c r="E24" s="8" t="n"/>
      <c r="F24" s="8" t="n"/>
    </row>
    <row r="25">
      <c r="A25" s="3" t="inlineStr">
        <is>
          <t>武器</t>
        </is>
      </c>
      <c r="C25" s="4" t="inlineStr">
        <is>
          <t>桃木劍</t>
        </is>
      </c>
      <c r="D25" s="5" t="n"/>
      <c r="E25" s="5" t="n"/>
      <c r="F25" s="6" t="n"/>
    </row>
    <row r="26">
      <c r="A26" s="3" t="inlineStr">
        <is>
          <t>防具</t>
        </is>
      </c>
      <c r="C26" s="4" t="inlineStr">
        <is>
          <t>厚布衣</t>
        </is>
      </c>
      <c r="D26" s="5" t="n"/>
      <c r="E26" s="5" t="n"/>
      <c r="F26" s="6" t="n"/>
    </row>
    <row r="27">
      <c r="A27" s="3" t="inlineStr">
        <is>
          <t>法器</t>
        </is>
      </c>
      <c r="C27" s="4" t="inlineStr">
        <is>
          <t>風水羅盤（入門）</t>
        </is>
      </c>
      <c r="D27" s="5" t="n"/>
      <c r="E27" s="5" t="n"/>
      <c r="F27" s="6" t="n"/>
    </row>
    <row r="28">
      <c r="A28" s="3" t="inlineStr">
        <is>
          <t>道具</t>
        </is>
      </c>
      <c r="C28" s="4" t="inlineStr">
        <is>
          <t>硃砂、黃紙、糯米</t>
        </is>
      </c>
      <c r="D28" s="5" t="n"/>
      <c r="E28" s="5" t="n"/>
      <c r="F28" s="6" t="n"/>
    </row>
  </sheetData>
  <mergeCells count="18">
    <mergeCell ref="D2:F2"/>
    <mergeCell ref="E9:F9"/>
    <mergeCell ref="E12:F12"/>
    <mergeCell ref="A24:F24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地師 TRPG —— 近戰打手（民間武師·搬山派）</t>
        </is>
      </c>
      <c r="B1" s="2" t="n"/>
      <c r="C1" s="2" t="n"/>
      <c r="D1" s="2" t="n"/>
      <c r="E1" s="2" t="n"/>
      <c r="F1" s="2" t="n"/>
    </row>
    <row r="2">
      <c r="A2" s="3" t="inlineStr">
        <is>
          <t>角色姓名</t>
        </is>
      </c>
      <c r="D2" s="4" t="inlineStr">
        <is>
          <t>鐵牛</t>
        </is>
      </c>
      <c r="E2" s="5" t="n"/>
      <c r="F2" s="6" t="n"/>
    </row>
    <row r="3">
      <c r="A3" s="3" t="inlineStr">
        <is>
          <t>出身</t>
        </is>
      </c>
      <c r="D3" s="4" t="inlineStr">
        <is>
          <t>鏢局子弟</t>
        </is>
      </c>
      <c r="E3" s="5" t="n"/>
      <c r="F3" s="6" t="n"/>
    </row>
    <row r="4">
      <c r="A4" s="3" t="inlineStr">
        <is>
          <t>傳承</t>
        </is>
      </c>
      <c r="D4" s="4" t="inlineStr">
        <is>
          <t>民間武師</t>
        </is>
      </c>
      <c r="E4" s="5" t="n"/>
      <c r="F4" s="6" t="n"/>
    </row>
    <row r="5">
      <c r="A5" s="3" t="inlineStr">
        <is>
          <t>門派</t>
        </is>
      </c>
      <c r="D5" s="4" t="inlineStr">
        <is>
          <t>搬山派</t>
        </is>
      </c>
      <c r="E5" s="5" t="n"/>
      <c r="F5" s="6" t="n"/>
    </row>
    <row r="6">
      <c r="A6" s="3" t="inlineStr">
        <is>
          <t>等級</t>
        </is>
      </c>
      <c r="D6" s="4" t="n">
        <v>1</v>
      </c>
      <c r="E6" s="5" t="n"/>
      <c r="F6" s="6" t="n"/>
    </row>
    <row r="8">
      <c r="A8" s="7" t="inlineStr">
        <is>
          <t>五大屬性</t>
        </is>
      </c>
      <c r="B8" s="8" t="n"/>
      <c r="C8" s="8" t="n"/>
      <c r="D8" s="8" t="n"/>
      <c r="E8" s="8" t="n"/>
      <c r="F8" s="8" t="n"/>
    </row>
    <row r="9">
      <c r="A9" s="3" t="inlineStr">
        <is>
          <t>身手（身）</t>
        </is>
      </c>
      <c r="C9" s="9" t="n">
        <v>9</v>
      </c>
      <c r="E9" s="4">
        <f>FLOOR(C9/2-5,1)</f>
        <v/>
      </c>
      <c r="F9" s="6" t="n"/>
    </row>
    <row r="10">
      <c r="A10" s="3" t="inlineStr">
        <is>
          <t>真氣（氣）</t>
        </is>
      </c>
      <c r="C10" s="9" t="n">
        <v>3</v>
      </c>
      <c r="E10" s="4">
        <f>FLOOR(C10/2-5,1)</f>
        <v/>
      </c>
      <c r="F10" s="6" t="n"/>
    </row>
    <row r="11">
      <c r="A11" s="3" t="inlineStr">
        <is>
          <t>堪輿（輿）</t>
        </is>
      </c>
      <c r="C11" s="9" t="n">
        <v>3</v>
      </c>
      <c r="E11" s="4">
        <f>FLOOR(C11/2-5,1)</f>
        <v/>
      </c>
      <c r="F11" s="6" t="n"/>
    </row>
    <row r="12">
      <c r="A12" s="3" t="inlineStr">
        <is>
          <t>通靈（靈）</t>
        </is>
      </c>
      <c r="C12" s="9" t="n">
        <v>3</v>
      </c>
      <c r="E12" s="4">
        <f>FLOOR(C12/2-5,1)</f>
        <v/>
      </c>
      <c r="F12" s="6" t="n"/>
    </row>
    <row r="13">
      <c r="A13" s="3" t="inlineStr">
        <is>
          <t>膽魄（膽）</t>
        </is>
      </c>
      <c r="C13" s="9" t="n">
        <v>7</v>
      </c>
      <c r="E13" s="4">
        <f>FLOOR(C13/2-5,1)</f>
        <v/>
      </c>
      <c r="F13" s="6" t="n"/>
    </row>
    <row r="15">
      <c r="A15" s="7" t="inlineStr">
        <is>
          <t>衍生屬性</t>
        </is>
      </c>
      <c r="B15" s="8" t="n"/>
      <c r="C15" s="8" t="n"/>
      <c r="D15" s="8" t="n"/>
      <c r="E15" s="8" t="n"/>
      <c r="F15" s="8" t="n"/>
    </row>
    <row r="16">
      <c r="A16" s="3" t="inlineStr">
        <is>
          <t>生命值（HP）</t>
        </is>
      </c>
      <c r="C16" s="9">
        <f>C11*3+10</f>
        <v/>
      </c>
    </row>
    <row r="17">
      <c r="A17" s="3" t="inlineStr">
        <is>
          <t>真氣池（QP）</t>
        </is>
      </c>
      <c r="C17" s="9">
        <f>C12*3+5</f>
        <v/>
      </c>
    </row>
    <row r="18">
      <c r="A18" s="3" t="inlineStr">
        <is>
          <t>恐懼閾值（FT）</t>
        </is>
      </c>
      <c r="C18" s="9">
        <f>C15*2+5</f>
        <v/>
      </c>
    </row>
    <row r="19">
      <c r="A19" s="3" t="inlineStr">
        <is>
          <t>陰陽感知（YY）</t>
        </is>
      </c>
      <c r="C19" s="9">
        <f>10+C14</f>
        <v/>
      </c>
    </row>
    <row r="20">
      <c r="A20" s="3" t="inlineStr">
        <is>
          <t>屍毒抗性（PR）</t>
        </is>
      </c>
      <c r="C20" s="9">
        <f>C12+FLOOR(C15/2,1)</f>
        <v/>
      </c>
    </row>
    <row r="21">
      <c r="A21" s="3" t="inlineStr">
        <is>
          <t>防禦值（DEF）</t>
        </is>
      </c>
      <c r="C21" s="9">
        <f>C11</f>
        <v/>
      </c>
    </row>
    <row r="22">
      <c r="A22" s="3" t="inlineStr">
        <is>
          <t>先攻值（INIT）</t>
        </is>
      </c>
      <c r="C22" s="9">
        <f>C11+FLOOR(C15/2,1)</f>
        <v/>
      </c>
    </row>
    <row r="24">
      <c r="A24" s="7" t="inlineStr">
        <is>
          <t>裝備</t>
        </is>
      </c>
      <c r="B24" s="8" t="n"/>
      <c r="C24" s="8" t="n"/>
      <c r="D24" s="8" t="n"/>
      <c r="E24" s="8" t="n"/>
      <c r="F24" s="8" t="n"/>
    </row>
    <row r="25">
      <c r="A25" s="3" t="inlineStr">
        <is>
          <t>武器</t>
        </is>
      </c>
      <c r="C25" s="4" t="inlineStr">
        <is>
          <t>空手（鐵砂掌）</t>
        </is>
      </c>
      <c r="D25" s="5" t="n"/>
      <c r="E25" s="5" t="n"/>
      <c r="F25" s="6" t="n"/>
    </row>
    <row r="26">
      <c r="A26" s="3" t="inlineStr">
        <is>
          <t>防具</t>
        </is>
      </c>
      <c r="C26" s="4" t="inlineStr">
        <is>
          <t>皮甲</t>
        </is>
      </c>
      <c r="D26" s="5" t="n"/>
      <c r="E26" s="5" t="n"/>
      <c r="F26" s="6" t="n"/>
    </row>
    <row r="27">
      <c r="A27" s="3" t="inlineStr">
        <is>
          <t>法器</t>
        </is>
      </c>
      <c r="C27" s="4" t="inlineStr">
        <is>
          <t>無</t>
        </is>
      </c>
      <c r="D27" s="5" t="n"/>
      <c r="E27" s="5" t="n"/>
      <c r="F27" s="6" t="n"/>
    </row>
    <row r="28">
      <c r="A28" s="3" t="inlineStr">
        <is>
          <t>道具</t>
        </is>
      </c>
      <c r="C28" s="4" t="inlineStr">
        <is>
          <t>急救包、繩索</t>
        </is>
      </c>
      <c r="D28" s="5" t="n"/>
      <c r="E28" s="5" t="n"/>
      <c r="F28" s="6" t="n"/>
    </row>
  </sheetData>
  <mergeCells count="18">
    <mergeCell ref="D2:F2"/>
    <mergeCell ref="E9:F9"/>
    <mergeCell ref="E12:F12"/>
    <mergeCell ref="A24:F24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地師 TRPG —— 墓中游龍（摸金世家·撼龍派）</t>
        </is>
      </c>
      <c r="B1" s="2" t="n"/>
      <c r="C1" s="2" t="n"/>
      <c r="D1" s="2" t="n"/>
      <c r="E1" s="2" t="n"/>
      <c r="F1" s="2" t="n"/>
    </row>
    <row r="2">
      <c r="A2" s="3" t="inlineStr">
        <is>
          <t>角色姓名</t>
        </is>
      </c>
      <c r="D2" s="4" t="inlineStr">
        <is>
          <t>柳三</t>
        </is>
      </c>
      <c r="E2" s="5" t="n"/>
      <c r="F2" s="6" t="n"/>
    </row>
    <row r="3">
      <c r="A3" s="3" t="inlineStr">
        <is>
          <t>出身</t>
        </is>
      </c>
      <c r="D3" s="4" t="inlineStr">
        <is>
          <t>祖傳手藝</t>
        </is>
      </c>
      <c r="E3" s="5" t="n"/>
      <c r="F3" s="6" t="n"/>
    </row>
    <row r="4">
      <c r="A4" s="3" t="inlineStr">
        <is>
          <t>傳承</t>
        </is>
      </c>
      <c r="D4" s="4" t="inlineStr">
        <is>
          <t>摸金世家</t>
        </is>
      </c>
      <c r="E4" s="5" t="n"/>
      <c r="F4" s="6" t="n"/>
    </row>
    <row r="5">
      <c r="A5" s="3" t="inlineStr">
        <is>
          <t>門派</t>
        </is>
      </c>
      <c r="D5" s="4" t="inlineStr">
        <is>
          <t>撼龍派</t>
        </is>
      </c>
      <c r="E5" s="5" t="n"/>
      <c r="F5" s="6" t="n"/>
    </row>
    <row r="6">
      <c r="A6" s="3" t="inlineStr">
        <is>
          <t>等級</t>
        </is>
      </c>
      <c r="D6" s="4" t="n">
        <v>1</v>
      </c>
      <c r="E6" s="5" t="n"/>
      <c r="F6" s="6" t="n"/>
    </row>
    <row r="8">
      <c r="A8" s="7" t="inlineStr">
        <is>
          <t>五大屬性</t>
        </is>
      </c>
      <c r="B8" s="8" t="n"/>
      <c r="C8" s="8" t="n"/>
      <c r="D8" s="8" t="n"/>
      <c r="E8" s="8" t="n"/>
      <c r="F8" s="8" t="n"/>
    </row>
    <row r="9">
      <c r="A9" s="3" t="inlineStr">
        <is>
          <t>身手（身）</t>
        </is>
      </c>
      <c r="C9" s="9" t="n">
        <v>7</v>
      </c>
      <c r="E9" s="4">
        <f>FLOOR(C9/2-5,1)</f>
        <v/>
      </c>
      <c r="F9" s="6" t="n"/>
    </row>
    <row r="10">
      <c r="A10" s="3" t="inlineStr">
        <is>
          <t>真氣（氣）</t>
        </is>
      </c>
      <c r="C10" s="9" t="n">
        <v>3</v>
      </c>
      <c r="E10" s="4">
        <f>FLOOR(C10/2-5,1)</f>
        <v/>
      </c>
      <c r="F10" s="6" t="n"/>
    </row>
    <row r="11">
      <c r="A11" s="3" t="inlineStr">
        <is>
          <t>堪輿（輿）</t>
        </is>
      </c>
      <c r="C11" s="9" t="n">
        <v>7</v>
      </c>
      <c r="E11" s="4">
        <f>FLOOR(C11/2-5,1)</f>
        <v/>
      </c>
      <c r="F11" s="6" t="n"/>
    </row>
    <row r="12">
      <c r="A12" s="3" t="inlineStr">
        <is>
          <t>通靈（靈）</t>
        </is>
      </c>
      <c r="C12" s="9" t="n">
        <v>4</v>
      </c>
      <c r="E12" s="4">
        <f>FLOOR(C12/2-5,1)</f>
        <v/>
      </c>
      <c r="F12" s="6" t="n"/>
    </row>
    <row r="13">
      <c r="A13" s="3" t="inlineStr">
        <is>
          <t>膽魄（膽）</t>
        </is>
      </c>
      <c r="C13" s="9" t="n">
        <v>4</v>
      </c>
      <c r="E13" s="4">
        <f>FLOOR(C13/2-5,1)</f>
        <v/>
      </c>
      <c r="F13" s="6" t="n"/>
    </row>
    <row r="15">
      <c r="A15" s="7" t="inlineStr">
        <is>
          <t>衍生屬性</t>
        </is>
      </c>
      <c r="B15" s="8" t="n"/>
      <c r="C15" s="8" t="n"/>
      <c r="D15" s="8" t="n"/>
      <c r="E15" s="8" t="n"/>
      <c r="F15" s="8" t="n"/>
    </row>
    <row r="16">
      <c r="A16" s="3" t="inlineStr">
        <is>
          <t>生命值（HP）</t>
        </is>
      </c>
      <c r="C16" s="9">
        <f>C11*3+10</f>
        <v/>
      </c>
    </row>
    <row r="17">
      <c r="A17" s="3" t="inlineStr">
        <is>
          <t>真氣池（QP）</t>
        </is>
      </c>
      <c r="C17" s="9">
        <f>C12*3+5</f>
        <v/>
      </c>
    </row>
    <row r="18">
      <c r="A18" s="3" t="inlineStr">
        <is>
          <t>恐懼閾值（FT）</t>
        </is>
      </c>
      <c r="C18" s="9">
        <f>C15*2+5</f>
        <v/>
      </c>
    </row>
    <row r="19">
      <c r="A19" s="3" t="inlineStr">
        <is>
          <t>陰陽感知（YY）</t>
        </is>
      </c>
      <c r="C19" s="9">
        <f>10+C14</f>
        <v/>
      </c>
    </row>
    <row r="20">
      <c r="A20" s="3" t="inlineStr">
        <is>
          <t>屍毒抗性（PR）</t>
        </is>
      </c>
      <c r="C20" s="9">
        <f>C12+FLOOR(C15/2,1)</f>
        <v/>
      </c>
    </row>
    <row r="21">
      <c r="A21" s="3" t="inlineStr">
        <is>
          <t>防禦值（DEF）</t>
        </is>
      </c>
      <c r="C21" s="9">
        <f>C11</f>
        <v/>
      </c>
    </row>
    <row r="22">
      <c r="A22" s="3" t="inlineStr">
        <is>
          <t>先攻值（INIT）</t>
        </is>
      </c>
      <c r="C22" s="9">
        <f>C11+FLOOR(C15/2,1)</f>
        <v/>
      </c>
    </row>
    <row r="24">
      <c r="A24" s="7" t="inlineStr">
        <is>
          <t>裝備</t>
        </is>
      </c>
      <c r="B24" s="8" t="n"/>
      <c r="C24" s="8" t="n"/>
      <c r="D24" s="8" t="n"/>
      <c r="E24" s="8" t="n"/>
      <c r="F24" s="8" t="n"/>
    </row>
    <row r="25">
      <c r="A25" s="3" t="inlineStr">
        <is>
          <t>武器</t>
        </is>
      </c>
      <c r="C25" s="4" t="inlineStr">
        <is>
          <t>短刀</t>
        </is>
      </c>
      <c r="D25" s="5" t="n"/>
      <c r="E25" s="5" t="n"/>
      <c r="F25" s="6" t="n"/>
    </row>
    <row r="26">
      <c r="A26" s="3" t="inlineStr">
        <is>
          <t>防具</t>
        </is>
      </c>
      <c r="C26" s="4" t="inlineStr">
        <is>
          <t>皮甲</t>
        </is>
      </c>
      <c r="D26" s="5" t="n"/>
      <c r="E26" s="5" t="n"/>
      <c r="F26" s="6" t="n"/>
    </row>
    <row r="27">
      <c r="A27" s="3" t="inlineStr">
        <is>
          <t>法器</t>
        </is>
      </c>
      <c r="C27" s="4" t="inlineStr">
        <is>
          <t>風水羅盤（精製）</t>
        </is>
      </c>
      <c r="D27" s="5" t="n"/>
      <c r="E27" s="5" t="n"/>
      <c r="F27" s="6" t="n"/>
    </row>
    <row r="28">
      <c r="A28" s="3" t="inlineStr">
        <is>
          <t>道具</t>
        </is>
      </c>
      <c r="C28" s="4" t="inlineStr">
        <is>
          <t>墨斗、繩索、火摺子</t>
        </is>
      </c>
      <c r="D28" s="5" t="n"/>
      <c r="E28" s="5" t="n"/>
      <c r="F28" s="6" t="n"/>
    </row>
  </sheetData>
  <mergeCells count="18">
    <mergeCell ref="D2:F2"/>
    <mergeCell ref="E9:F9"/>
    <mergeCell ref="E12:F12"/>
    <mergeCell ref="A24:F24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地師 TRPG —— 符法專精（茅山弟子·符籙派）</t>
        </is>
      </c>
      <c r="B1" s="2" t="n"/>
      <c r="C1" s="2" t="n"/>
      <c r="D1" s="2" t="n"/>
      <c r="E1" s="2" t="n"/>
      <c r="F1" s="2" t="n"/>
    </row>
    <row r="2">
      <c r="A2" s="3" t="inlineStr">
        <is>
          <t>角色姓名</t>
        </is>
      </c>
      <c r="D2" s="4" t="inlineStr">
        <is>
          <t>小蓮</t>
        </is>
      </c>
      <c r="E2" s="5" t="n"/>
      <c r="F2" s="6" t="n"/>
    </row>
    <row r="3">
      <c r="A3" s="3" t="inlineStr">
        <is>
          <t>出身</t>
        </is>
      </c>
      <c r="D3" s="4" t="inlineStr">
        <is>
          <t>茅山學徒</t>
        </is>
      </c>
      <c r="E3" s="5" t="n"/>
      <c r="F3" s="6" t="n"/>
    </row>
    <row r="4">
      <c r="A4" s="3" t="inlineStr">
        <is>
          <t>傳承</t>
        </is>
      </c>
      <c r="D4" s="4" t="inlineStr">
        <is>
          <t>茅山弟子</t>
        </is>
      </c>
      <c r="E4" s="5" t="n"/>
      <c r="F4" s="6" t="n"/>
    </row>
    <row r="5">
      <c r="A5" s="3" t="inlineStr">
        <is>
          <t>門派</t>
        </is>
      </c>
      <c r="D5" s="4" t="inlineStr">
        <is>
          <t>符籙派</t>
        </is>
      </c>
      <c r="E5" s="5" t="n"/>
      <c r="F5" s="6" t="n"/>
    </row>
    <row r="6">
      <c r="A6" s="3" t="inlineStr">
        <is>
          <t>等級</t>
        </is>
      </c>
      <c r="D6" s="4" t="n">
        <v>1</v>
      </c>
      <c r="E6" s="5" t="n"/>
      <c r="F6" s="6" t="n"/>
    </row>
    <row r="8">
      <c r="A8" s="7" t="inlineStr">
        <is>
          <t>五大屬性</t>
        </is>
      </c>
      <c r="B8" s="8" t="n"/>
      <c r="C8" s="8" t="n"/>
      <c r="D8" s="8" t="n"/>
      <c r="E8" s="8" t="n"/>
      <c r="F8" s="8" t="n"/>
    </row>
    <row r="9">
      <c r="A9" s="3" t="inlineStr">
        <is>
          <t>身手（身）</t>
        </is>
      </c>
      <c r="C9" s="9" t="n">
        <v>3</v>
      </c>
      <c r="E9" s="4">
        <f>FLOOR(C9/2-5,1)</f>
        <v/>
      </c>
      <c r="F9" s="6" t="n"/>
    </row>
    <row r="10">
      <c r="A10" s="3" t="inlineStr">
        <is>
          <t>真氣（氣）</t>
        </is>
      </c>
      <c r="C10" s="9" t="n">
        <v>4</v>
      </c>
      <c r="E10" s="4">
        <f>FLOOR(C10/2-5,1)</f>
        <v/>
      </c>
      <c r="F10" s="6" t="n"/>
    </row>
    <row r="11">
      <c r="A11" s="3" t="inlineStr">
        <is>
          <t>堪輿（輿）</t>
        </is>
      </c>
      <c r="C11" s="9" t="n">
        <v>3</v>
      </c>
      <c r="E11" s="4">
        <f>FLOOR(C11/2-5,1)</f>
        <v/>
      </c>
      <c r="F11" s="6" t="n"/>
    </row>
    <row r="12">
      <c r="A12" s="3" t="inlineStr">
        <is>
          <t>通靈（靈）</t>
        </is>
      </c>
      <c r="C12" s="9" t="n">
        <v>9</v>
      </c>
      <c r="E12" s="4">
        <f>FLOOR(C12/2-5,1)</f>
        <v/>
      </c>
      <c r="F12" s="6" t="n"/>
    </row>
    <row r="13">
      <c r="A13" s="3" t="inlineStr">
        <is>
          <t>膽魄（膽）</t>
        </is>
      </c>
      <c r="C13" s="9" t="n">
        <v>6</v>
      </c>
      <c r="E13" s="4">
        <f>FLOOR(C13/2-5,1)</f>
        <v/>
      </c>
      <c r="F13" s="6" t="n"/>
    </row>
    <row r="15">
      <c r="A15" s="7" t="inlineStr">
        <is>
          <t>衍生屬性</t>
        </is>
      </c>
      <c r="B15" s="8" t="n"/>
      <c r="C15" s="8" t="n"/>
      <c r="D15" s="8" t="n"/>
      <c r="E15" s="8" t="n"/>
      <c r="F15" s="8" t="n"/>
    </row>
    <row r="16">
      <c r="A16" s="3" t="inlineStr">
        <is>
          <t>生命值（HP）</t>
        </is>
      </c>
      <c r="C16" s="9">
        <f>C11*3+10</f>
        <v/>
      </c>
    </row>
    <row r="17">
      <c r="A17" s="3" t="inlineStr">
        <is>
          <t>真氣池（QP）</t>
        </is>
      </c>
      <c r="C17" s="9">
        <f>C12*3+5</f>
        <v/>
      </c>
    </row>
    <row r="18">
      <c r="A18" s="3" t="inlineStr">
        <is>
          <t>恐懼閾值（FT）</t>
        </is>
      </c>
      <c r="C18" s="9">
        <f>C15*2+5</f>
        <v/>
      </c>
    </row>
    <row r="19">
      <c r="A19" s="3" t="inlineStr">
        <is>
          <t>陰陽感知（YY）</t>
        </is>
      </c>
      <c r="C19" s="9">
        <f>10+C14</f>
        <v/>
      </c>
    </row>
    <row r="20">
      <c r="A20" s="3" t="inlineStr">
        <is>
          <t>屍毒抗性（PR）</t>
        </is>
      </c>
      <c r="C20" s="9">
        <f>C12+FLOOR(C15/2,1)</f>
        <v/>
      </c>
    </row>
    <row r="21">
      <c r="A21" s="3" t="inlineStr">
        <is>
          <t>防禦值（DEF）</t>
        </is>
      </c>
      <c r="C21" s="9">
        <f>C11</f>
        <v/>
      </c>
    </row>
    <row r="22">
      <c r="A22" s="3" t="inlineStr">
        <is>
          <t>先攻值（INIT）</t>
        </is>
      </c>
      <c r="C22" s="9">
        <f>C11+FLOOR(C15/2,1)</f>
        <v/>
      </c>
    </row>
    <row r="24">
      <c r="A24" s="7" t="inlineStr">
        <is>
          <t>裝備</t>
        </is>
      </c>
      <c r="B24" s="8" t="n"/>
      <c r="C24" s="8" t="n"/>
      <c r="D24" s="8" t="n"/>
      <c r="E24" s="8" t="n"/>
      <c r="F24" s="8" t="n"/>
    </row>
    <row r="25">
      <c r="A25" s="3" t="inlineStr">
        <is>
          <t>武器</t>
        </is>
      </c>
      <c r="C25" s="4" t="inlineStr">
        <is>
          <t>桃木劍</t>
        </is>
      </c>
      <c r="D25" s="5" t="n"/>
      <c r="E25" s="5" t="n"/>
      <c r="F25" s="6" t="n"/>
    </row>
    <row r="26">
      <c r="A26" s="3" t="inlineStr">
        <is>
          <t>防具</t>
        </is>
      </c>
      <c r="C26" s="4" t="inlineStr">
        <is>
          <t>厚布衣</t>
        </is>
      </c>
      <c r="D26" s="5" t="n"/>
      <c r="E26" s="5" t="n"/>
      <c r="F26" s="6" t="n"/>
    </row>
    <row r="27">
      <c r="A27" s="3" t="inlineStr">
        <is>
          <t>法器</t>
        </is>
      </c>
      <c r="C27" s="4" t="inlineStr">
        <is>
          <t>開光八卦鏡</t>
        </is>
      </c>
      <c r="D27" s="5" t="n"/>
      <c r="E27" s="5" t="n"/>
      <c r="F27" s="6" t="n"/>
    </row>
    <row r="28">
      <c r="A28" s="3" t="inlineStr">
        <is>
          <t>道具</t>
        </is>
      </c>
      <c r="C28" s="4" t="inlineStr">
        <is>
          <t>硃砂×2、黃紙×2、香、紙錢</t>
        </is>
      </c>
      <c r="D28" s="5" t="n"/>
      <c r="E28" s="5" t="n"/>
      <c r="F28" s="6" t="n"/>
    </row>
  </sheetData>
  <mergeCells count="18">
    <mergeCell ref="D2:F2"/>
    <mergeCell ref="E9:F9"/>
    <mergeCell ref="E12:F12"/>
    <mergeCell ref="A24:F24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地師 TRPG —— 膽大心細（摸金世家·茅山輔修）</t>
        </is>
      </c>
      <c r="B1" s="2" t="n"/>
      <c r="C1" s="2" t="n"/>
      <c r="D1" s="2" t="n"/>
      <c r="E1" s="2" t="n"/>
      <c r="F1" s="2" t="n"/>
    </row>
    <row r="2">
      <c r="A2" s="3" t="inlineStr">
        <is>
          <t>角色姓名</t>
        </is>
      </c>
      <c r="D2" s="4" t="inlineStr">
        <is>
          <t>老六</t>
        </is>
      </c>
      <c r="E2" s="5" t="n"/>
      <c r="F2" s="6" t="n"/>
    </row>
    <row r="3">
      <c r="A3" s="3" t="inlineStr">
        <is>
          <t>出身</t>
        </is>
      </c>
      <c r="D3" s="4" t="inlineStr">
        <is>
          <t>軍中學藝</t>
        </is>
      </c>
      <c r="E3" s="5" t="n"/>
      <c r="F3" s="6" t="n"/>
    </row>
    <row r="4">
      <c r="A4" s="3" t="inlineStr">
        <is>
          <t>傳承</t>
        </is>
      </c>
      <c r="D4" s="4" t="inlineStr">
        <is>
          <t>摸金世家（主）+茅山（輔）</t>
        </is>
      </c>
      <c r="E4" s="5" t="n"/>
      <c r="F4" s="6" t="n"/>
    </row>
    <row r="5">
      <c r="A5" s="3" t="inlineStr">
        <is>
          <t>門派</t>
        </is>
      </c>
      <c r="D5" s="4" t="inlineStr">
        <is>
          <t>搬山派</t>
        </is>
      </c>
      <c r="E5" s="5" t="n"/>
      <c r="F5" s="6" t="n"/>
    </row>
    <row r="6">
      <c r="A6" s="3" t="inlineStr">
        <is>
          <t>等級</t>
        </is>
      </c>
      <c r="D6" s="4" t="n">
        <v>1</v>
      </c>
      <c r="E6" s="5" t="n"/>
      <c r="F6" s="6" t="n"/>
    </row>
    <row r="8">
      <c r="A8" s="7" t="inlineStr">
        <is>
          <t>五大屬性</t>
        </is>
      </c>
      <c r="B8" s="8" t="n"/>
      <c r="C8" s="8" t="n"/>
      <c r="D8" s="8" t="n"/>
      <c r="E8" s="8" t="n"/>
      <c r="F8" s="8" t="n"/>
    </row>
    <row r="9">
      <c r="A9" s="3" t="inlineStr">
        <is>
          <t>身手（身）</t>
        </is>
      </c>
      <c r="C9" s="9" t="n">
        <v>5</v>
      </c>
      <c r="E9" s="4">
        <f>FLOOR(C9/2-5,1)</f>
        <v/>
      </c>
      <c r="F9" s="6" t="n"/>
    </row>
    <row r="10">
      <c r="A10" s="3" t="inlineStr">
        <is>
          <t>真氣（氣）</t>
        </is>
      </c>
      <c r="C10" s="9" t="n">
        <v>4</v>
      </c>
      <c r="E10" s="4">
        <f>FLOOR(C10/2-5,1)</f>
        <v/>
      </c>
      <c r="F10" s="6" t="n"/>
    </row>
    <row r="11">
      <c r="A11" s="3" t="inlineStr">
        <is>
          <t>堪輿（輿）</t>
        </is>
      </c>
      <c r="C11" s="9" t="n">
        <v>6</v>
      </c>
      <c r="E11" s="4">
        <f>FLOOR(C11/2-5,1)</f>
        <v/>
      </c>
      <c r="F11" s="6" t="n"/>
    </row>
    <row r="12">
      <c r="A12" s="3" t="inlineStr">
        <is>
          <t>通靈（靈）</t>
        </is>
      </c>
      <c r="C12" s="9" t="n">
        <v>6</v>
      </c>
      <c r="E12" s="4">
        <f>FLOOR(C12/2-5,1)</f>
        <v/>
      </c>
      <c r="F12" s="6" t="n"/>
    </row>
    <row r="13">
      <c r="A13" s="3" t="inlineStr">
        <is>
          <t>膽魄（膽）</t>
        </is>
      </c>
      <c r="C13" s="9" t="n">
        <v>4</v>
      </c>
      <c r="E13" s="4">
        <f>FLOOR(C13/2-5,1)</f>
        <v/>
      </c>
      <c r="F13" s="6" t="n"/>
    </row>
    <row r="15">
      <c r="A15" s="7" t="inlineStr">
        <is>
          <t>衍生屬性</t>
        </is>
      </c>
      <c r="B15" s="8" t="n"/>
      <c r="C15" s="8" t="n"/>
      <c r="D15" s="8" t="n"/>
      <c r="E15" s="8" t="n"/>
      <c r="F15" s="8" t="n"/>
    </row>
    <row r="16">
      <c r="A16" s="3" t="inlineStr">
        <is>
          <t>生命值（HP）</t>
        </is>
      </c>
      <c r="C16" s="9">
        <f>C11*3+10</f>
        <v/>
      </c>
    </row>
    <row r="17">
      <c r="A17" s="3" t="inlineStr">
        <is>
          <t>真氣池（QP）</t>
        </is>
      </c>
      <c r="C17" s="9">
        <f>C12*3+5</f>
        <v/>
      </c>
    </row>
    <row r="18">
      <c r="A18" s="3" t="inlineStr">
        <is>
          <t>恐懼閾值（FT）</t>
        </is>
      </c>
      <c r="C18" s="9">
        <f>C15*2+5</f>
        <v/>
      </c>
    </row>
    <row r="19">
      <c r="A19" s="3" t="inlineStr">
        <is>
          <t>陰陽感知（YY）</t>
        </is>
      </c>
      <c r="C19" s="9">
        <f>10+C14</f>
        <v/>
      </c>
    </row>
    <row r="20">
      <c r="A20" s="3" t="inlineStr">
        <is>
          <t>屍毒抗性（PR）</t>
        </is>
      </c>
      <c r="C20" s="9">
        <f>C12+FLOOR(C15/2,1)</f>
        <v/>
      </c>
    </row>
    <row r="21">
      <c r="A21" s="3" t="inlineStr">
        <is>
          <t>防禦值（DEF）</t>
        </is>
      </c>
      <c r="C21" s="9">
        <f>C11</f>
        <v/>
      </c>
    </row>
    <row r="22">
      <c r="A22" s="3" t="inlineStr">
        <is>
          <t>先攻值（INIT）</t>
        </is>
      </c>
      <c r="C22" s="9">
        <f>C11+FLOOR(C15/2,1)</f>
        <v/>
      </c>
    </row>
    <row r="24">
      <c r="A24" s="7" t="inlineStr">
        <is>
          <t>裝備</t>
        </is>
      </c>
      <c r="B24" s="8" t="n"/>
      <c r="C24" s="8" t="n"/>
      <c r="D24" s="8" t="n"/>
      <c r="E24" s="8" t="n"/>
      <c r="F24" s="8" t="n"/>
    </row>
    <row r="25">
      <c r="A25" s="3" t="inlineStr">
        <is>
          <t>武器</t>
        </is>
      </c>
      <c r="C25" s="4" t="inlineStr">
        <is>
          <t>銅錢劍</t>
        </is>
      </c>
      <c r="D25" s="5" t="n"/>
      <c r="E25" s="5" t="n"/>
      <c r="F25" s="6" t="n"/>
    </row>
    <row r="26">
      <c r="A26" s="3" t="inlineStr">
        <is>
          <t>防具</t>
        </is>
      </c>
      <c r="C26" s="4" t="inlineStr">
        <is>
          <t>皮甲</t>
        </is>
      </c>
      <c r="D26" s="5" t="n"/>
      <c r="E26" s="5" t="n"/>
      <c r="F26" s="6" t="n"/>
    </row>
    <row r="27">
      <c r="A27" s="3" t="inlineStr">
        <is>
          <t>法器</t>
        </is>
      </c>
      <c r="C27" s="4" t="inlineStr">
        <is>
          <t>風水羅盤（入門）</t>
        </is>
      </c>
      <c r="D27" s="5" t="n"/>
      <c r="E27" s="5" t="n"/>
      <c r="F27" s="6" t="n"/>
    </row>
    <row r="28">
      <c r="A28" s="3" t="inlineStr">
        <is>
          <t>道具</t>
        </is>
      </c>
      <c r="C28" s="4" t="inlineStr">
        <is>
          <t>糯米、黑狗血、急救包</t>
        </is>
      </c>
      <c r="D28" s="5" t="n"/>
      <c r="E28" s="5" t="n"/>
      <c r="F28" s="6" t="n"/>
    </row>
  </sheetData>
  <mergeCells count="18">
    <mergeCell ref="D2:F2"/>
    <mergeCell ref="E9:F9"/>
    <mergeCell ref="E12:F12"/>
    <mergeCell ref="A24:F24"/>
    <mergeCell ref="D5:F5"/>
    <mergeCell ref="E10:F10"/>
    <mergeCell ref="A1:F1"/>
    <mergeCell ref="D4:F4"/>
    <mergeCell ref="E11:F11"/>
    <mergeCell ref="C26:F26"/>
    <mergeCell ref="A8:F8"/>
    <mergeCell ref="D3:F3"/>
    <mergeCell ref="E13:F13"/>
    <mergeCell ref="C25:F25"/>
    <mergeCell ref="C27:F27"/>
    <mergeCell ref="D6:F6"/>
    <mergeCell ref="A15:F15"/>
    <mergeCell ref="C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2026-07-13T10:23:03Z</dcterms:modified>
</cp:coreProperties>
</file>