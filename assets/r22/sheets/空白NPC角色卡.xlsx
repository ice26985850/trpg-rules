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34" customWidth="1" min="4" max="4"/>
  </cols>
  <sheetData>
    <row r="1">
      <c r="A1" s="1" t="inlineStr">
        <is>
          <t>死亡回歸 TRPG — NPC 角色卡（空白）v2.1</t>
        </is>
      </c>
    </row>
    <row r="3">
      <c r="A3" s="2" t="inlineStr">
        <is>
          <t>一、基本資料</t>
        </is>
      </c>
    </row>
    <row r="4">
      <c r="A4" s="3" t="inlineStr">
        <is>
          <t>姓名</t>
        </is>
      </c>
      <c r="B4" s="4" t="inlineStr"/>
    </row>
    <row r="5">
      <c r="A5" s="3" t="inlineStr">
        <is>
          <t>類型</t>
        </is>
      </c>
      <c r="B5" s="4" t="inlineStr">
        <is>
          <t>（人類／勢力代表／關鍵NPC）</t>
        </is>
      </c>
    </row>
    <row r="6">
      <c r="A6" s="3" t="inlineStr">
        <is>
          <t>智能</t>
        </is>
      </c>
      <c r="B6" s="4" t="inlineStr">
        <is>
          <t>（普通／訓練／精明／天才）</t>
        </is>
      </c>
    </row>
    <row r="7">
      <c r="A7" s="3" t="inlineStr">
        <is>
          <t>陣營／派系</t>
        </is>
      </c>
      <c r="B7" s="4" t="inlineStr"/>
    </row>
    <row r="8">
      <c r="A8" s="3" t="inlineStr">
        <is>
          <t>關鍵情報</t>
        </is>
      </c>
      <c r="B8" s="4" t="inlineStr"/>
    </row>
    <row r="9">
      <c r="A9" s="3" t="inlineStr">
        <is>
          <t>對玩家態度</t>
        </is>
      </c>
      <c r="B9" s="4" t="inlineStr"/>
    </row>
    <row r="10">
      <c r="A10" s="2" t="inlineStr">
        <is>
          <t>二、五大屬性（4-9）</t>
        </is>
      </c>
    </row>
    <row r="11">
      <c r="A11" s="3" t="inlineStr">
        <is>
          <t>屬性</t>
        </is>
      </c>
      <c r="B11" s="5" t="inlineStr">
        <is>
          <t>數值</t>
        </is>
      </c>
      <c r="C11" s="5" t="inlineStr">
        <is>
          <t>縮寫</t>
        </is>
      </c>
      <c r="D11" s="3" t="inlineStr">
        <is>
          <t>用途</t>
        </is>
      </c>
    </row>
    <row r="12">
      <c r="A12" s="6" t="inlineStr">
        <is>
          <t>洞察（洞）</t>
        </is>
      </c>
      <c r="B12" s="7" t="n">
        <v>4</v>
      </c>
      <c r="C12" s="8" t="inlineStr">
        <is>
          <t>INS</t>
        </is>
      </c>
      <c r="D12" s="9" t="inlineStr">
        <is>
          <t>觀察</t>
        </is>
      </c>
    </row>
    <row r="13">
      <c r="A13" s="6" t="inlineStr">
        <is>
          <t>記憶（憶）</t>
        </is>
      </c>
      <c r="B13" s="7" t="n">
        <v>4</v>
      </c>
      <c r="C13" s="8" t="inlineStr">
        <is>
          <t>MEM</t>
        </is>
      </c>
      <c r="D13" s="9" t="inlineStr">
        <is>
          <t>情報</t>
        </is>
      </c>
    </row>
    <row r="14">
      <c r="A14" s="6" t="inlineStr">
        <is>
          <t>執行（執）</t>
        </is>
      </c>
      <c r="B14" s="7" t="n">
        <v>4</v>
      </c>
      <c r="C14" s="8" t="inlineStr">
        <is>
          <t>EXE</t>
        </is>
      </c>
      <c r="D14" s="9" t="inlineStr">
        <is>
          <t>行動</t>
        </is>
      </c>
    </row>
    <row r="15">
      <c r="A15" s="6" t="inlineStr">
        <is>
          <t>社交（社）</t>
        </is>
      </c>
      <c r="B15" s="7" t="n">
        <v>4</v>
      </c>
      <c r="C15" s="8" t="inlineStr">
        <is>
          <t>SOC</t>
        </is>
      </c>
      <c r="D15" s="9" t="inlineStr">
        <is>
          <t>交涉</t>
        </is>
      </c>
    </row>
    <row r="16">
      <c r="A16" s="6" t="inlineStr">
        <is>
          <t>意志（志）</t>
        </is>
      </c>
      <c r="B16" s="7" t="n">
        <v>4</v>
      </c>
      <c r="C16" s="8" t="inlineStr">
        <is>
          <t>WIL</t>
        </is>
      </c>
      <c r="D16" s="9" t="inlineStr">
        <is>
          <t>意志</t>
        </is>
      </c>
    </row>
    <row r="18">
      <c r="A18" s="2" t="inlineStr">
        <is>
          <t>三、衍生屬性（自動計算；NPC 一般不以體力為資源）</t>
        </is>
      </c>
    </row>
    <row r="19">
      <c r="A19" s="3" t="inlineStr">
        <is>
          <t>衍生屬性</t>
        </is>
      </c>
      <c r="B19" s="5" t="inlineStr">
        <is>
          <t>數值</t>
        </is>
      </c>
      <c r="C19" s="3" t="inlineStr">
        <is>
          <t>公式</t>
        </is>
      </c>
    </row>
    <row r="20">
      <c r="A20" s="6" t="inlineStr">
        <is>
          <t>生命值（生）</t>
        </is>
      </c>
      <c r="B20" s="10">
        <f>B14+B16+5</f>
        <v/>
      </c>
      <c r="C20" s="9" t="inlineStr">
        <is>
          <t>執 + 志 + 5</t>
        </is>
      </c>
    </row>
    <row r="21">
      <c r="A21" s="6" t="inlineStr">
        <is>
          <t>心智值（心）</t>
        </is>
      </c>
      <c r="B21" s="10">
        <f>B16+B13+3</f>
        <v/>
      </c>
      <c r="C21" s="9" t="inlineStr">
        <is>
          <t>志 + 憶 + 3</t>
        </is>
      </c>
    </row>
    <row r="22">
      <c r="A22" s="6" t="inlineStr">
        <is>
          <t>護甲值（甲）</t>
        </is>
      </c>
      <c r="B22" s="7" t="n">
        <v>0</v>
      </c>
      <c r="C22" s="9" t="inlineStr">
        <is>
          <t>來自裝備（輸入）</t>
        </is>
      </c>
    </row>
    <row r="23">
      <c r="A23" s="6" t="inlineStr">
        <is>
          <t>耐受值（耐）</t>
        </is>
      </c>
      <c r="B23" s="10">
        <f>B22+MIN(9,FLOOR((B14+B16)/4,1))</f>
        <v/>
      </c>
      <c r="C23" s="9" t="inlineStr">
        <is>
          <t>甲 + floor((執+志)/4)，軟上限 9</t>
        </is>
      </c>
    </row>
    <row r="25">
      <c r="A25" s="2" t="inlineStr">
        <is>
          <t>四、戰鬥與行為</t>
        </is>
      </c>
    </row>
    <row r="26">
      <c r="A26" s="3" t="inlineStr">
        <is>
          <t>先攻</t>
        </is>
      </c>
      <c r="B26" s="4" t="inlineStr">
        <is>
          <t>洞察 + 1d10（手擲）</t>
        </is>
      </c>
    </row>
    <row r="27">
      <c r="A27" s="3" t="inlineStr">
        <is>
          <t>防禦值</t>
        </is>
      </c>
      <c r="B27" s="4" t="inlineStr">
        <is>
          <t>10 + 調(執) + 甲（手算）</t>
        </is>
      </c>
    </row>
    <row r="28">
      <c r="A28" s="3" t="inlineStr">
        <is>
          <t>攻擊（武器+調(執)）</t>
        </is>
      </c>
      <c r="B28" s="4" t="inlineStr">
        <is>
          <t>參見《物品圖鑑》傷害欄</t>
        </is>
      </c>
    </row>
    <row r="29">
      <c r="A29" s="3" t="inlineStr">
        <is>
          <t>AI 行為</t>
        </is>
      </c>
      <c r="B29" s="4" t="inlineStr">
        <is>
          <t>依智能等級填寫（見 GM 規則書 7-2）</t>
        </is>
      </c>
    </row>
    <row r="30">
      <c r="A30" s="3" t="inlineStr">
        <is>
          <t>特殊能力</t>
        </is>
      </c>
      <c r="B30" s="4" t="inlineStr"/>
    </row>
    <row r="31">
      <c r="A31" s="3" t="inlineStr">
        <is>
          <t>弱點</t>
        </is>
      </c>
      <c r="B31" s="4" t="inlineStr"/>
    </row>
    <row r="32">
      <c r="A32" s="3" t="inlineStr">
        <is>
          <t>關鍵情報</t>
        </is>
      </c>
      <c r="B32" s="4" t="inlineStr"/>
    </row>
  </sheetData>
  <mergeCells count="18">
    <mergeCell ref="A1:D1"/>
    <mergeCell ref="B28:D28"/>
    <mergeCell ref="A18:D18"/>
    <mergeCell ref="B5:D5"/>
    <mergeCell ref="B31:D31"/>
    <mergeCell ref="B8:D8"/>
    <mergeCell ref="A3:D3"/>
    <mergeCell ref="B4:D4"/>
    <mergeCell ref="B32:D32"/>
    <mergeCell ref="B26:D26"/>
    <mergeCell ref="B9:D9"/>
    <mergeCell ref="B27:D27"/>
    <mergeCell ref="A25:D25"/>
    <mergeCell ref="B30:D30"/>
    <mergeCell ref="A10:D10"/>
    <mergeCell ref="B29:D2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2026-07-17T01:08:35Z</dcterms:modified>
</cp:coreProperties>
</file>