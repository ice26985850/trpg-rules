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街頭混混" sheetId="1" state="visible" r:id="rId1"/>
    <sheet name="警衛" sheetId="2" state="visible" r:id="rId2"/>
    <sheet name="扭曲野獸" sheetId="3" state="visible" r:id="rId3"/>
    <sheet name="叛變騎士" sheetId="4" state="visible" r:id="rId4"/>
    <sheet name="公會刺客" sheetId="5" state="visible" r:id="rId5"/>
    <sheet name="時間殘影" sheetId="6" state="visible" r:id="rId6"/>
    <sheet name="毒蛇夫人" sheetId="7" state="visible" r:id="rId7"/>
    <sheet name="時噬者雛形" sheetId="8" state="visible" r:id="rId8"/>
    <sheet name="亡靈守衛" sheetId="9" state="visible" r:id="rId9"/>
    <sheet name="不死的審判官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b val="1"/>
      <color rgb="00FFFFFF"/>
    </font>
    <font>
      <name val="微軟正黑體"/>
      <b val="1"/>
    </font>
    <font>
      <name val="微軟正黑體"/>
    </font>
  </fonts>
  <fills count="8">
    <fill>
      <patternFill/>
    </fill>
    <fill>
      <patternFill patternType="gray125"/>
    </fill>
    <fill>
      <patternFill patternType="solid">
        <fgColor rgb="004B2E83"/>
      </patternFill>
    </fill>
    <fill>
      <patternFill patternType="solid">
        <fgColor rgb="001F7A8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敵人：街頭混混（CR 2）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難度</t>
        </is>
      </c>
      <c r="B5" s="4" t="inlineStr">
        <is>
          <t>雜兵</t>
        </is>
      </c>
    </row>
    <row r="6">
      <c r="A6" s="3" t="inlineStr">
        <is>
          <t>智能</t>
        </is>
      </c>
      <c r="B6" s="4" t="inlineStr">
        <is>
          <t>普通</t>
        </is>
      </c>
    </row>
    <row r="7">
      <c r="A7" s="3" t="inlineStr">
        <is>
          <t>CR</t>
        </is>
      </c>
      <c r="B7" s="4" t="n">
        <v>2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2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1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3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2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2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9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1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0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0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拳頭1d4/小刀1d6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9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人數優勢（2-4 同現）</t>
        </is>
      </c>
    </row>
    <row r="32">
      <c r="A32" s="3" t="inlineStr">
        <is>
          <t>弱點</t>
        </is>
      </c>
      <c r="B32" s="4" t="inlineStr">
        <is>
          <t>無特殊</t>
        </is>
      </c>
    </row>
    <row r="33">
      <c r="A33" s="3" t="inlineStr">
        <is>
          <t>AI 行為</t>
        </is>
      </c>
      <c r="B33" s="4" t="inlineStr">
        <is>
          <t>攻擊最近；生命值&lt;4逃跑（意志DC10）；同伴倒下意志DC12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敵人：警衛（CR 3）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難度</t>
        </is>
      </c>
      <c r="B5" s="4" t="inlineStr">
        <is>
          <t>雜兵</t>
        </is>
      </c>
    </row>
    <row r="6">
      <c r="A6" s="3" t="inlineStr">
        <is>
          <t>智能</t>
        </is>
      </c>
      <c r="B6" s="4" t="inlineStr">
        <is>
          <t>訓練</t>
        </is>
      </c>
    </row>
    <row r="7">
      <c r="A7" s="3" t="inlineStr">
        <is>
          <t>CR</t>
        </is>
      </c>
      <c r="B7" s="4" t="n">
        <v>3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3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2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4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3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3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10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3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2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0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長棍1d6+1/短劍1d6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10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呼叫增援；夾擊+2</t>
        </is>
      </c>
    </row>
    <row r="32">
      <c r="A32" s="3" t="inlineStr">
        <is>
          <t>弱點</t>
        </is>
      </c>
      <c r="B32" s="4" t="inlineStr">
        <is>
          <t>換班固定可觀察；單獨可各個擊破</t>
        </is>
      </c>
    </row>
    <row r="33">
      <c r="A33" s="3" t="inlineStr">
        <is>
          <t>AI 行為</t>
        </is>
      </c>
      <c r="B33" s="4" t="inlineStr">
        <is>
          <t>夾擊+2；有序作戰；被突襲後呼叫增援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敵人：扭曲野獸（CR 4）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怪物</t>
        </is>
      </c>
    </row>
    <row r="5">
      <c r="A5" s="3" t="inlineStr">
        <is>
          <t>難度</t>
        </is>
      </c>
      <c r="B5" s="4" t="inlineStr">
        <is>
          <t>精英</t>
        </is>
      </c>
    </row>
    <row r="6">
      <c r="A6" s="3" t="inlineStr">
        <is>
          <t>智能</t>
        </is>
      </c>
      <c r="B6" s="4" t="inlineStr">
        <is>
          <t>本能</t>
        </is>
      </c>
    </row>
    <row r="7">
      <c r="A7" s="3" t="inlineStr">
        <is>
          <t>CR</t>
        </is>
      </c>
      <c r="B7" s="4" t="n">
        <v>4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4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1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5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1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3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16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5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3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0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利爪1d10/噬咬1d8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16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野性狂暴（中傷後攻擊優勢）；恐怖嚎叫（敵意志DC13失自由反應）</t>
        </is>
      </c>
    </row>
    <row r="32">
      <c r="A32" s="3" t="inlineStr">
        <is>
          <t>弱點</t>
        </is>
      </c>
      <c r="B32" s="4" t="inlineStr">
        <is>
          <t>火焰傷害後恐慌1回合；對聲音敏感</t>
        </is>
      </c>
    </row>
    <row r="33">
      <c r="A33" s="3" t="inlineStr">
        <is>
          <t>AI 行為</t>
        </is>
      </c>
      <c r="B33" s="4" t="inlineStr">
        <is>
          <t>本能追擊最近；中傷後狂暴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敵人：叛變騎士（CR 5）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難度</t>
        </is>
      </c>
      <c r="B5" s="4" t="inlineStr">
        <is>
          <t>精英</t>
        </is>
      </c>
    </row>
    <row r="6">
      <c r="A6" s="3" t="inlineStr">
        <is>
          <t>智能</t>
        </is>
      </c>
      <c r="B6" s="4" t="inlineStr">
        <is>
          <t>訓練</t>
        </is>
      </c>
    </row>
    <row r="7">
      <c r="A7" s="3" t="inlineStr">
        <is>
          <t>CR</t>
        </is>
      </c>
      <c r="B7" s="4" t="n">
        <v>5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4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3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6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3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5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14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6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4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0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長劍1d8+2/盾擊1d4+1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14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騎士的驕傲（致命傷改重傷）；戰術掩護+2</t>
        </is>
      </c>
    </row>
    <row r="32">
      <c r="A32" s="3" t="inlineStr">
        <is>
          <t>弱點</t>
        </is>
      </c>
      <c r="B32" s="4" t="inlineStr">
        <is>
          <t>左肩舊傷（無視甲）；榮譽感不背刺</t>
        </is>
      </c>
    </row>
    <row r="33">
      <c r="A33" s="3" t="inlineStr">
        <is>
          <t>AI 行為</t>
        </is>
      </c>
      <c r="B33" s="4" t="inlineStr">
        <is>
          <t>夾擊+2；生命值&lt;6有序撤退；保護同伴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敵人：公會刺客（CR 6）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難度</t>
        </is>
      </c>
      <c r="B5" s="4" t="inlineStr">
        <is>
          <t>精英</t>
        </is>
      </c>
    </row>
    <row r="6">
      <c r="A6" s="3" t="inlineStr">
        <is>
          <t>智能</t>
        </is>
      </c>
      <c r="B6" s="4" t="inlineStr">
        <is>
          <t>精明</t>
        </is>
      </c>
    </row>
    <row r="7">
      <c r="A7" s="3" t="inlineStr">
        <is>
          <t>CR</t>
        </is>
      </c>
      <c r="B7" s="4" t="n">
        <v>6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5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3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7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4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4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9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3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1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2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毒匕首1d8+3/手弩1d6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9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暗殺突襲（首回合精準+1級）；毒素；煙霧彈</t>
        </is>
      </c>
    </row>
    <row r="32">
      <c r="A32" s="3" t="inlineStr">
        <is>
          <t>弱點</t>
        </is>
      </c>
      <c r="B32" s="4" t="inlineStr">
        <is>
          <t>生命值低(9)易被擊倒；光線充足失偷襲優勢</t>
        </is>
      </c>
    </row>
    <row r="33">
      <c r="A33" s="3" t="inlineStr">
        <is>
          <t>AI 行為</t>
        </is>
      </c>
      <c r="B33" s="4" t="inlineStr">
        <is>
          <t>保持隱蔽；生命值&lt;3談判或逃脫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敵人：時間殘影（CR 7）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異常體</t>
        </is>
      </c>
    </row>
    <row r="5">
      <c r="A5" s="3" t="inlineStr">
        <is>
          <t>難度</t>
        </is>
      </c>
      <c r="B5" s="4" t="inlineStr">
        <is>
          <t>精英</t>
        </is>
      </c>
    </row>
    <row r="6">
      <c r="A6" s="3" t="inlineStr">
        <is>
          <t>智能</t>
        </is>
      </c>
      <c r="B6" s="4" t="inlineStr">
        <is>
          <t>精明</t>
        </is>
      </c>
    </row>
    <row r="7">
      <c r="A7" s="3" t="inlineStr">
        <is>
          <t>CR</t>
        </is>
      </c>
      <c r="B7" s="4" t="n">
        <v>7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6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3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5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1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2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12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7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0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3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時間侵蝕1d8(精神)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12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虛體（物理減半）；時間加速（12TU）；時間汲取（-1時）</t>
        </is>
      </c>
    </row>
    <row r="32">
      <c r="A32" s="3" t="inlineStr">
        <is>
          <t>弱點</t>
        </is>
      </c>
      <c r="B32" s="4" t="inlineStr">
        <is>
          <t>時間水晶可穩定；無法穿固體時間錨點</t>
        </is>
      </c>
    </row>
    <row r="33">
      <c r="A33" s="3" t="inlineStr">
        <is>
          <t>AI 行為</t>
        </is>
      </c>
      <c r="B33" s="4" t="inlineStr">
        <is>
          <t>放風箏；維持距離；優先打斷施法者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敵人：毒蛇夫人（CR 9）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難度</t>
        </is>
      </c>
      <c r="B5" s="4" t="inlineStr">
        <is>
          <t>首領</t>
        </is>
      </c>
    </row>
    <row r="6">
      <c r="A6" s="3" t="inlineStr">
        <is>
          <t>智能</t>
        </is>
      </c>
      <c r="B6" s="4" t="inlineStr">
        <is>
          <t>精明</t>
        </is>
      </c>
    </row>
    <row r="7">
      <c r="A7" s="3" t="inlineStr">
        <is>
          <t>CR</t>
        </is>
      </c>
      <c r="B7" s="4" t="n">
        <v>9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7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5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6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8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6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20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5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2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0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毒針1d6/毒匕首1d8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20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三階段（魅惑／蛇群／毒霧）；魅惑凝視</t>
        </is>
      </c>
    </row>
    <row r="32">
      <c r="A32" s="3" t="inlineStr">
        <is>
          <t>弱點</t>
        </is>
      </c>
      <c r="B32" s="4" t="inlineStr">
        <is>
          <t>火焰恐懼（火焰+1級）；自戀（社對抗失1時）</t>
        </is>
      </c>
    </row>
    <row r="33">
      <c r="A33" s="3" t="inlineStr">
        <is>
          <t>AI 行為</t>
        </is>
      </c>
      <c r="B33" s="4" t="inlineStr">
        <is>
          <t>保持距離；離間；消滅受傷者；生命值&lt;3談判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敵人：時噬者雛形（CR 12）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異常體</t>
        </is>
      </c>
    </row>
    <row r="5">
      <c r="A5" s="3" t="inlineStr">
        <is>
          <t>難度</t>
        </is>
      </c>
      <c r="B5" s="4" t="inlineStr">
        <is>
          <t>首領</t>
        </is>
      </c>
    </row>
    <row r="6">
      <c r="A6" s="3" t="inlineStr">
        <is>
          <t>智能</t>
        </is>
      </c>
      <c r="B6" s="4" t="inlineStr">
        <is>
          <t>精明</t>
        </is>
      </c>
    </row>
    <row r="7">
      <c r="A7" s="3" t="inlineStr">
        <is>
          <t>CR</t>
        </is>
      </c>
      <c r="B7" s="4" t="n">
        <v>12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8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10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5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1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4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18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2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0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5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時間侵蝕2d6/記憶汲取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18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時間吞噬（失1d4碎片）；時間迴廊；預知閃避；記憶回聲</t>
        </is>
      </c>
    </row>
    <row r="32">
      <c r="A32" s="3" t="inlineStr">
        <is>
          <t>弱點</t>
        </is>
      </c>
      <c r="B32" s="4" t="inlineStr">
        <is>
          <t>時間錨點失效；記憶過載；可被情感觸動</t>
        </is>
      </c>
    </row>
    <row r="33">
      <c r="A33" s="3" t="inlineStr">
        <is>
          <t>AI 行為</t>
        </is>
      </c>
      <c r="B33" s="4" t="inlineStr">
        <is>
          <t>預判玩家戰術；針對重複行動反制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敵人：亡靈守衛（CR 4）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不死者</t>
        </is>
      </c>
    </row>
    <row r="5">
      <c r="A5" s="3" t="inlineStr">
        <is>
          <t>難度</t>
        </is>
      </c>
      <c r="B5" s="4" t="inlineStr">
        <is>
          <t>雜兵</t>
        </is>
      </c>
    </row>
    <row r="6">
      <c r="A6" s="3" t="inlineStr">
        <is>
          <t>智能</t>
        </is>
      </c>
      <c r="B6" s="4" t="inlineStr">
        <is>
          <t>本能</t>
        </is>
      </c>
    </row>
    <row r="7">
      <c r="A7" s="3" t="inlineStr">
        <is>
          <t>CR</t>
        </is>
      </c>
      <c r="B7" s="4" t="n">
        <v>4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3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1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5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1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4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13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4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2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0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枯骨巨劍1d10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13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不知疲倦（不屈）；畏光（光照-2攻）</t>
        </is>
      </c>
    </row>
    <row r="32">
      <c r="A32" s="3" t="inlineStr">
        <is>
          <t>弱點</t>
        </is>
      </c>
      <c r="B32" s="4" t="inlineStr">
        <is>
          <t>聖水／火焰額外傷；怕驅邪</t>
        </is>
      </c>
    </row>
    <row r="33">
      <c r="A33" s="3" t="inlineStr">
        <is>
          <t>AI 行為</t>
        </is>
      </c>
      <c r="B33" s="4" t="inlineStr">
        <is>
          <t>直線推進；無視恐懼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30" customWidth="1" min="4" max="4"/>
  </cols>
  <sheetData>
    <row r="1">
      <c r="A1" s="1" t="inlineStr">
        <is>
          <t>敵人：不死的審判官（CR 14）</t>
        </is>
      </c>
    </row>
    <row r="3">
      <c r="A3" s="2" t="inlineStr">
        <is>
          <t>一、基本資料</t>
        </is>
      </c>
    </row>
    <row r="4">
      <c r="A4" s="3" t="inlineStr">
        <is>
          <t>類型</t>
        </is>
      </c>
      <c r="B4" s="4" t="inlineStr">
        <is>
          <t>人類</t>
        </is>
      </c>
    </row>
    <row r="5">
      <c r="A5" s="3" t="inlineStr">
        <is>
          <t>難度</t>
        </is>
      </c>
      <c r="B5" s="4" t="inlineStr">
        <is>
          <t>傳奇</t>
        </is>
      </c>
    </row>
    <row r="6">
      <c r="A6" s="3" t="inlineStr">
        <is>
          <t>智能</t>
        </is>
      </c>
      <c r="B6" s="4" t="inlineStr">
        <is>
          <t>天才</t>
        </is>
      </c>
    </row>
    <row r="7">
      <c r="A7" s="3" t="inlineStr">
        <is>
          <t>CR</t>
        </is>
      </c>
      <c r="B7" s="4" t="n">
        <v>14</v>
      </c>
    </row>
    <row r="8">
      <c r="A8" s="2" t="inlineStr">
        <is>
          <t>二、五屬性</t>
        </is>
      </c>
    </row>
    <row r="9">
      <c r="A9" s="3" t="inlineStr">
        <is>
          <t>屬性</t>
        </is>
      </c>
      <c r="B9" s="5" t="inlineStr">
        <is>
          <t>數值</t>
        </is>
      </c>
      <c r="C9" s="5" t="inlineStr">
        <is>
          <t>縮寫</t>
        </is>
      </c>
    </row>
    <row r="10">
      <c r="A10" s="6" t="inlineStr">
        <is>
          <t>洞察（洞）</t>
        </is>
      </c>
      <c r="B10" s="7" t="n">
        <v>9</v>
      </c>
      <c r="C10" s="8" t="inlineStr">
        <is>
          <t>洞</t>
        </is>
      </c>
    </row>
    <row r="11">
      <c r="A11" s="6" t="inlineStr">
        <is>
          <t>記憶（憶）</t>
        </is>
      </c>
      <c r="B11" s="7" t="n">
        <v>8</v>
      </c>
      <c r="C11" s="8" t="inlineStr">
        <is>
          <t>憶</t>
        </is>
      </c>
    </row>
    <row r="12">
      <c r="A12" s="6" t="inlineStr">
        <is>
          <t>執行（執）</t>
        </is>
      </c>
      <c r="B12" s="7" t="n">
        <v>8</v>
      </c>
      <c r="C12" s="8" t="inlineStr">
        <is>
          <t>執</t>
        </is>
      </c>
    </row>
    <row r="13">
      <c r="A13" s="6" t="inlineStr">
        <is>
          <t>社交（社）</t>
        </is>
      </c>
      <c r="B13" s="7" t="n">
        <v>4</v>
      </c>
      <c r="C13" s="8" t="inlineStr">
        <is>
          <t>社</t>
        </is>
      </c>
    </row>
    <row r="14">
      <c r="A14" s="6" t="inlineStr">
        <is>
          <t>意志（志）</t>
        </is>
      </c>
      <c r="B14" s="7" t="n">
        <v>10</v>
      </c>
      <c r="C14" s="8" t="inlineStr">
        <is>
          <t>志</t>
        </is>
      </c>
    </row>
    <row r="16">
      <c r="A16" s="2" t="inlineStr">
        <is>
          <t>三、戰鬥數值</t>
        </is>
      </c>
    </row>
    <row r="17">
      <c r="A17" s="3" t="inlineStr">
        <is>
          <t>數值</t>
        </is>
      </c>
      <c r="B17" s="5" t="inlineStr">
        <is>
          <t>數值</t>
        </is>
      </c>
      <c r="C17" s="3" t="inlineStr">
        <is>
          <t>說明</t>
        </is>
      </c>
    </row>
    <row r="18">
      <c r="A18" s="6" t="inlineStr">
        <is>
          <t>生命值（生）</t>
        </is>
      </c>
      <c r="B18" s="7" t="n">
        <v>26</v>
      </c>
      <c r="C18" s="9" t="inlineStr">
        <is>
          <t>圖鑑值</t>
        </is>
      </c>
    </row>
    <row r="19">
      <c r="A19" s="6" t="inlineStr">
        <is>
          <t>耐受值（耐）</t>
        </is>
      </c>
      <c r="B19" s="7" t="n">
        <v>9</v>
      </c>
      <c r="C19" s="9" t="inlineStr">
        <is>
          <t>最終=原始-耐</t>
        </is>
      </c>
    </row>
    <row r="20">
      <c r="A20" s="6" t="inlineStr">
        <is>
          <t>護甲值（甲）</t>
        </is>
      </c>
      <c r="B20" s="7" t="n">
        <v>6</v>
      </c>
      <c r="C20" s="9" t="inlineStr">
        <is>
          <t>外皮／鎧甲</t>
        </is>
      </c>
    </row>
    <row r="21">
      <c r="A21" s="6" t="inlineStr">
        <is>
          <t>先攻加值</t>
        </is>
      </c>
      <c r="B21" s="7" t="n">
        <v>2</v>
      </c>
      <c r="C21" s="9" t="inlineStr">
        <is>
          <t>先攻=洞察+1d10+此值</t>
        </is>
      </c>
    </row>
    <row r="22">
      <c r="A22" s="6" t="inlineStr">
        <is>
          <t>攻擊</t>
        </is>
      </c>
      <c r="B22" s="7" t="inlineStr">
        <is>
          <t>巨劍2d6+3+火1d4</t>
        </is>
      </c>
      <c r="C22" s="9" t="inlineStr">
        <is>
          <t>傷害見《物品圖鑑》</t>
        </is>
      </c>
    </row>
    <row r="24">
      <c r="A24" s="2" t="inlineStr">
        <is>
          <t>四、生命值追蹤</t>
        </is>
      </c>
    </row>
    <row r="25">
      <c r="A25" s="6" t="inlineStr">
        <is>
          <t>生命值上限</t>
        </is>
      </c>
      <c r="B25" s="7" t="n">
        <v>26</v>
      </c>
    </row>
    <row r="26">
      <c r="A26" s="6" t="inlineStr">
        <is>
          <t>當前生命值</t>
        </is>
      </c>
      <c r="B26" s="7">
        <f>B25</f>
        <v/>
      </c>
    </row>
    <row r="27">
      <c r="A27" s="6" t="inlineStr">
        <is>
          <t>剩餘比例</t>
        </is>
      </c>
      <c r="B27" s="10">
        <f>IF(B25&gt;0,B26/B25,0)</f>
        <v/>
      </c>
    </row>
    <row r="28">
      <c r="A28" s="6" t="inlineStr">
        <is>
          <t>傷勢等級</t>
        </is>
      </c>
      <c r="B28" s="10">
        <f>IF(B26&lt;=0,"5 死亡",IF(B27&lt;=0.25,"4 致命傷",IF(B27&lt;=0.5,"3 重傷",IF(B27&lt;=0.75,"2 中傷",IF(B27&lt;=0.99,"1 輕傷","0 無傷")))))</f>
        <v/>
      </c>
    </row>
    <row r="30">
      <c r="A30" s="2" t="inlineStr">
        <is>
          <t>五、特殊／弱點／AI</t>
        </is>
      </c>
    </row>
    <row r="31">
      <c r="A31" s="3" t="inlineStr">
        <is>
          <t>特殊能力</t>
        </is>
      </c>
      <c r="B31" s="4" t="inlineStr">
        <is>
          <t>每回合2反應；免疫恐懼；死亡復活1次；四階段</t>
        </is>
      </c>
    </row>
    <row r="32">
      <c r="A32" s="3" t="inlineStr">
        <is>
          <t>弱點</t>
        </is>
      </c>
      <c r="B32" s="4" t="inlineStr">
        <is>
          <t>聖徽（破壞失傳奇特性）；教義矛盾；火焰餘燼可滅</t>
        </is>
      </c>
    </row>
    <row r="33">
      <c r="A33" s="3" t="inlineStr">
        <is>
          <t>AI 行為</t>
        </is>
      </c>
      <c r="B33" s="4" t="inlineStr">
        <is>
          <t>跨輪次記憶玩家戰術；重複戰術自動反制</t>
        </is>
      </c>
    </row>
  </sheetData>
  <mergeCells count="18">
    <mergeCell ref="B33:D33"/>
    <mergeCell ref="A1:D1"/>
    <mergeCell ref="C20:D20"/>
    <mergeCell ref="B5:D5"/>
    <mergeCell ref="A8:D8"/>
    <mergeCell ref="C21:D21"/>
    <mergeCell ref="B31:D31"/>
    <mergeCell ref="A3:D3"/>
    <mergeCell ref="B4:D4"/>
    <mergeCell ref="C19:D19"/>
    <mergeCell ref="A30:D30"/>
    <mergeCell ref="B32:D32"/>
    <mergeCell ref="C22:D22"/>
    <mergeCell ref="A16:D16"/>
    <mergeCell ref="C18:D18"/>
    <mergeCell ref="A24:D2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2026-07-17T01:08:35Z</dcterms:created>
  <dcterms:modified xsi:type="dcterms:W3CDTF">2026-07-17T01:08:35Z</dcterms:modified>
</cp:coreProperties>
</file>