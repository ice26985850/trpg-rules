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長 奧德里克·費恩" sheetId="1" state="visible" r:id="rId1"/>
    <sheet name="侍衛長 凱爾" sheetId="2" state="visible" r:id="rId2"/>
    <sheet name="寡婦 薇拉" sheetId="3" state="visible" r:id="rId3"/>
    <sheet name="學者 老芬利" sheetId="4" state="visible" r:id="rId4"/>
    <sheet name="暗影聯絡人 影" sheetId="5" state="visible" r:id="rId5"/>
    <sheet name="修女 莉亞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NPC：市長 奧德里克·費恩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精明</t>
        </is>
      </c>
    </row>
    <row r="6">
      <c r="A6" s="3" t="inlineStr">
        <is>
          <t>關鍵情報</t>
        </is>
      </c>
      <c r="B6" s="4" t="inlineStr">
        <is>
          <t>灰燼議會首腦，蛇血印記的隱蔽知情者。</t>
        </is>
      </c>
    </row>
    <row r="7">
      <c r="A7" s="3" t="inlineStr">
        <is>
          <t>對玩家態度</t>
        </is>
      </c>
      <c r="B7" s="4" t="inlineStr">
        <is>
          <t>掌握回歸者真相；死後輪次重置其記憶。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6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9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4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8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7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保持禮貌距離，用社交／說服換情報；直接對抗會驚動守衛。</t>
        </is>
      </c>
    </row>
    <row r="24">
      <c r="A24" s="3" t="inlineStr">
        <is>
          <t>弱點</t>
        </is>
      </c>
      <c r="B24" s="4" t="inlineStr">
        <is>
          <t>傲慢：可被「揭露其無能」擊破；依賴永恆之井存檔。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NPC：侍衛長 凱爾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訓練</t>
        </is>
      </c>
    </row>
    <row r="6">
      <c r="A6" s="3" t="inlineStr">
        <is>
          <t>關鍵情報</t>
        </is>
      </c>
      <c r="B6" s="4" t="inlineStr">
        <is>
          <t>市長私人衛隊指揮官，忠誠且高效。</t>
        </is>
      </c>
    </row>
    <row r="7">
      <c r="A7" s="3" t="inlineStr">
        <is>
          <t>對玩家態度</t>
        </is>
      </c>
      <c r="B7" s="4" t="inlineStr">
        <is>
          <t>熟悉官邸動線與換班；可成為盟友或障礙。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5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4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7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5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6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夾擊戰術（+2）；生命值&lt;60%有序撤退呼叫增援。</t>
        </is>
      </c>
    </row>
    <row r="24">
      <c r="A24" s="3" t="inlineStr">
        <is>
          <t>弱點</t>
        </is>
      </c>
      <c r="B24" s="4" t="inlineStr">
        <is>
          <t>榮譽感：公平決鬥時不偷襲；換班空窗可各個擊破。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NPC：寡婦 薇拉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精明</t>
        </is>
      </c>
    </row>
    <row r="6">
      <c r="A6" s="3" t="inlineStr">
        <is>
          <t>關鍵情報</t>
        </is>
      </c>
      <c r="B6" s="4" t="inlineStr">
        <is>
          <t>爐火區商人，情報掮客，市長債務人。</t>
        </is>
      </c>
    </row>
    <row r="7">
      <c r="A7" s="3" t="inlineStr">
        <is>
          <t>對玩家態度</t>
        </is>
      </c>
      <c r="B7" s="4" t="inlineStr">
        <is>
          <t>掌握資金流向與地下情報網。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5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6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4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8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5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以利益交換情報；說服 DC 中高。</t>
        </is>
      </c>
    </row>
    <row r="24">
      <c r="A24" s="3" t="inlineStr">
        <is>
          <t>弱點</t>
        </is>
      </c>
      <c r="B24" s="4" t="inlineStr">
        <is>
          <t>貪財：金錢或稀有碎片可買通；怕失去商鋪。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NPC：學者 老芬利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精明</t>
        </is>
      </c>
    </row>
    <row r="6">
      <c r="A6" s="3" t="inlineStr">
        <is>
          <t>關鍵情報</t>
        </is>
      </c>
      <c r="B6" s="4" t="inlineStr">
        <is>
          <t>時之塔研究員，專攻時間異常。</t>
        </is>
      </c>
    </row>
    <row r="7">
      <c r="A7" s="3" t="inlineStr">
        <is>
          <t>對玩家態度</t>
        </is>
      </c>
      <c r="B7" s="4" t="inlineStr">
        <is>
          <t>解釋時間循環機制；提供弱點知識。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8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7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4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5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6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偏好對話挖掘與偵察；戰鬥弱。</t>
        </is>
      </c>
    </row>
    <row r="24">
      <c r="A24" s="3" t="inlineStr">
        <is>
          <t>弱點</t>
        </is>
      </c>
      <c r="B24" s="4" t="inlineStr">
        <is>
          <t>好奇：可用新異常樣本引誘其透露機密。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NPC：暗影聯絡人 影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精明</t>
        </is>
      </c>
    </row>
    <row r="6">
      <c r="A6" s="3" t="inlineStr">
        <is>
          <t>關鍵情報</t>
        </is>
      </c>
      <c r="B6" s="4" t="inlineStr">
        <is>
          <t>暗影公會外圍，情報與暗殺中介。</t>
        </is>
      </c>
    </row>
    <row r="7">
      <c r="A7" s="3" t="inlineStr">
        <is>
          <t>對玩家態度</t>
        </is>
      </c>
      <c r="B7" s="4" t="inlineStr">
        <is>
          <t>提供黑市與公會委託；可被僱傭。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7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5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8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6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5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潛行與偷襲；先手優勢大。</t>
        </is>
      </c>
    </row>
    <row r="24">
      <c r="A24" s="3" t="inlineStr">
        <is>
          <t>弱點</t>
        </is>
      </c>
      <c r="B24" s="4" t="inlineStr">
        <is>
          <t>匿名：暴露真名使其失去掩護；怕公會懲罰。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34" customWidth="1" min="4" max="4"/>
  </cols>
  <sheetData>
    <row r="1">
      <c r="A1" s="1" t="inlineStr">
        <is>
          <t>NPC：修女 莉亞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智能</t>
        </is>
      </c>
      <c r="B5" s="4" t="inlineStr">
        <is>
          <t>訓練</t>
        </is>
      </c>
    </row>
    <row r="6">
      <c r="A6" s="3" t="inlineStr">
        <is>
          <t>關鍵情報</t>
        </is>
      </c>
      <c r="B6" s="4" t="inlineStr">
        <is>
          <t>聖骸大教堂修女，照顧回歸者。</t>
        </is>
      </c>
    </row>
    <row r="7">
      <c r="A7" s="3" t="inlineStr">
        <is>
          <t>對玩家態度</t>
        </is>
      </c>
      <c r="B7" s="4" t="inlineStr">
        <is>
          <t>引導玩家理解裂痕；提供療傷。</t>
        </is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4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5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4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6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8</v>
      </c>
      <c r="C14" s="8" t="inlineStr">
        <is>
          <t>志</t>
        </is>
      </c>
    </row>
    <row r="16">
      <c r="A16" s="2" t="inlineStr">
        <is>
          <t>三、衍生屬性（自動）</t>
        </is>
      </c>
    </row>
    <row r="17">
      <c r="A17" s="6" t="inlineStr">
        <is>
          <t>生命值（生）</t>
        </is>
      </c>
      <c r="B17" s="9">
        <f>B12+B14+5</f>
        <v/>
      </c>
    </row>
    <row r="18">
      <c r="A18" s="6" t="inlineStr">
        <is>
          <t>心智值（心）</t>
        </is>
      </c>
      <c r="B18" s="9">
        <f>B14+B11+3</f>
        <v/>
      </c>
    </row>
    <row r="19">
      <c r="A19" s="6" t="inlineStr">
        <is>
          <t>護甲值（甲）</t>
        </is>
      </c>
      <c r="B19" s="7" t="n">
        <v>0</v>
      </c>
    </row>
    <row r="20">
      <c r="A20" s="6" t="inlineStr">
        <is>
          <t>耐受值（耐）</t>
        </is>
      </c>
      <c r="B20" s="9">
        <f>B19+MIN(9,FLOOR((B12+B14)/4,1))</f>
        <v/>
      </c>
    </row>
    <row r="22">
      <c r="A22" s="2" t="inlineStr">
        <is>
          <t>四、行為與弱點</t>
        </is>
      </c>
    </row>
    <row r="23">
      <c r="A23" s="3" t="inlineStr">
        <is>
          <t>AI 行為</t>
        </is>
      </c>
      <c r="B23" s="4" t="inlineStr">
        <is>
          <t>以意志與信仰支撐；非戰鬥型。</t>
        </is>
      </c>
    </row>
    <row r="24">
      <c r="A24" s="3" t="inlineStr">
        <is>
          <t>弱點</t>
        </is>
      </c>
      <c r="B24" s="4" t="inlineStr">
        <is>
          <t>虔誠：褻瀆教義會激怒；可被情感觸動協助。</t>
        </is>
      </c>
    </row>
  </sheetData>
  <mergeCells count="11">
    <mergeCell ref="A1:D1"/>
    <mergeCell ref="B5:D5"/>
    <mergeCell ref="A8:D8"/>
    <mergeCell ref="A22:D22"/>
    <mergeCell ref="B23:D23"/>
    <mergeCell ref="A3:D3"/>
    <mergeCell ref="B4:D4"/>
    <mergeCell ref="A16:D16"/>
    <mergeCell ref="B7:D7"/>
    <mergeCell ref="B6:D6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