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30" customWidth="1" min="4" max="4"/>
  </cols>
  <sheetData>
    <row r="1">
      <c r="A1" s="1" t="inlineStr">
        <is>
          <t>死亡回歸 TRPG — 敵人／怪物角色卡（空白）v2.1</t>
        </is>
      </c>
    </row>
    <row r="3">
      <c r="A3" s="2" t="inlineStr">
        <is>
          <t>一、基本資料</t>
        </is>
      </c>
    </row>
    <row r="4">
      <c r="A4" s="3" t="inlineStr">
        <is>
          <t>名稱</t>
        </is>
      </c>
      <c r="B4" s="4" t="inlineStr"/>
    </row>
    <row r="5">
      <c r="A5" s="3" t="inlineStr">
        <is>
          <t>類型</t>
        </is>
      </c>
      <c r="B5" s="4" t="inlineStr">
        <is>
          <t>（人類／怪物／異常體／不死者）</t>
        </is>
      </c>
    </row>
    <row r="6">
      <c r="A6" s="3" t="inlineStr">
        <is>
          <t>CR</t>
        </is>
      </c>
      <c r="B6" s="4" t="inlineStr"/>
    </row>
    <row r="7">
      <c r="A7" s="3" t="inlineStr">
        <is>
          <t>難度</t>
        </is>
      </c>
      <c r="B7" s="4" t="inlineStr">
        <is>
          <t>（雜兵／精英／首領／傳奇）</t>
        </is>
      </c>
    </row>
    <row r="8">
      <c r="A8" s="3" t="inlineStr">
        <is>
          <t>智能</t>
        </is>
      </c>
      <c r="B8" s="4" t="inlineStr">
        <is>
          <t>（普通／訓練／精明／天才／本能）</t>
        </is>
      </c>
    </row>
    <row r="9">
      <c r="A9" s="2" t="inlineStr">
        <is>
          <t>二、五屬性與核心數值（《怪物圖鑑》數值直接填入）</t>
        </is>
      </c>
    </row>
    <row r="10">
      <c r="A10" s="3" t="inlineStr">
        <is>
          <t>屬性</t>
        </is>
      </c>
      <c r="B10" s="5" t="inlineStr">
        <is>
          <t>數值</t>
        </is>
      </c>
      <c r="C10" s="5" t="inlineStr">
        <is>
          <t>縮寫</t>
        </is>
      </c>
      <c r="D10" s="3" t="inlineStr">
        <is>
          <t>用途</t>
        </is>
      </c>
    </row>
    <row r="11">
      <c r="A11" s="6" t="inlineStr">
        <is>
          <t>洞察（洞）</t>
        </is>
      </c>
      <c r="B11" s="7" t="n">
        <v>3</v>
      </c>
      <c r="C11" s="8" t="inlineStr">
        <is>
          <t>INS</t>
        </is>
      </c>
      <c r="D11" s="9" t="inlineStr"/>
    </row>
    <row r="12">
      <c r="A12" s="6" t="inlineStr">
        <is>
          <t>記憶（憶）</t>
        </is>
      </c>
      <c r="B12" s="7" t="n">
        <v>3</v>
      </c>
      <c r="C12" s="8" t="inlineStr">
        <is>
          <t>MEM</t>
        </is>
      </c>
      <c r="D12" s="9" t="inlineStr"/>
    </row>
    <row r="13">
      <c r="A13" s="6" t="inlineStr">
        <is>
          <t>執行（執）</t>
        </is>
      </c>
      <c r="B13" s="7" t="n">
        <v>3</v>
      </c>
      <c r="C13" s="8" t="inlineStr">
        <is>
          <t>EXE</t>
        </is>
      </c>
      <c r="D13" s="9" t="inlineStr"/>
    </row>
    <row r="14">
      <c r="A14" s="6" t="inlineStr">
        <is>
          <t>社交（社）</t>
        </is>
      </c>
      <c r="B14" s="7" t="n">
        <v>3</v>
      </c>
      <c r="C14" s="8" t="inlineStr">
        <is>
          <t>SOC</t>
        </is>
      </c>
      <c r="D14" s="9" t="inlineStr"/>
    </row>
    <row r="15">
      <c r="A15" s="6" t="inlineStr">
        <is>
          <t>意志（志）</t>
        </is>
      </c>
      <c r="B15" s="7" t="n">
        <v>3</v>
      </c>
      <c r="C15" s="8" t="inlineStr">
        <is>
          <t>WIL</t>
        </is>
      </c>
      <c r="D15" s="9" t="inlineStr"/>
    </row>
    <row r="17">
      <c r="A17" s="2" t="inlineStr">
        <is>
          <t>三、戰鬥數值</t>
        </is>
      </c>
    </row>
    <row r="18">
      <c r="A18" s="3" t="inlineStr">
        <is>
          <t>數值</t>
        </is>
      </c>
      <c r="B18" s="5" t="inlineStr">
        <is>
          <t>數值</t>
        </is>
      </c>
      <c r="C18" s="3" t="inlineStr">
        <is>
          <t>說明</t>
        </is>
      </c>
    </row>
    <row r="19">
      <c r="A19" s="6" t="inlineStr">
        <is>
          <t>生命值（生）</t>
        </is>
      </c>
      <c r="B19" s="7" t="n">
        <v>8</v>
      </c>
      <c r="C19" s="9" t="inlineStr">
        <is>
          <t>承受傷害總量（圖鑑值）</t>
        </is>
      </c>
    </row>
    <row r="20">
      <c r="A20" s="6" t="inlineStr">
        <is>
          <t>耐受值（耐）</t>
        </is>
      </c>
      <c r="B20" s="7" t="n">
        <v>4</v>
      </c>
      <c r="C20" s="9" t="inlineStr">
        <is>
          <t>傷害減免：最終=原始-耐</t>
        </is>
      </c>
    </row>
    <row r="21">
      <c r="A21" s="6" t="inlineStr">
        <is>
          <t>護甲值（甲）</t>
        </is>
      </c>
      <c r="B21" s="7" t="n">
        <v>0</v>
      </c>
      <c r="C21" s="9" t="inlineStr">
        <is>
          <t>來自外皮／鎧甲</t>
        </is>
      </c>
    </row>
    <row r="22">
      <c r="A22" s="6" t="inlineStr">
        <is>
          <t>先攻</t>
        </is>
      </c>
      <c r="B22" s="7" t="inlineStr">
        <is>
          <t>洞察 + 1d10（手擲）</t>
        </is>
      </c>
      <c r="C22" s="9" t="inlineStr">
        <is>
          <t>先攻值 = 洞察 + 1d10</t>
        </is>
      </c>
    </row>
    <row r="23">
      <c r="A23" s="6" t="inlineStr">
        <is>
          <t>攻擊</t>
        </is>
      </c>
      <c r="B23" s="7" t="inlineStr">
        <is>
          <t>1d6</t>
        </is>
      </c>
      <c r="C23" s="9" t="inlineStr">
        <is>
          <t>武器／特殊攻擊</t>
        </is>
      </c>
    </row>
    <row r="25">
      <c r="A25" s="2" t="inlineStr">
        <is>
          <t>四、戰鬥追蹤</t>
        </is>
      </c>
    </row>
    <row r="26">
      <c r="A26" s="6" t="inlineStr">
        <is>
          <t>生命值上限</t>
        </is>
      </c>
      <c r="B26" s="7" t="n">
        <v>8</v>
      </c>
      <c r="C26" s="9" t="inlineStr">
        <is>
          <t>圖鑑生命值</t>
        </is>
      </c>
    </row>
    <row r="27">
      <c r="A27" s="6" t="inlineStr">
        <is>
          <t>當前生命值</t>
        </is>
      </c>
      <c r="B27" s="7">
        <f>B26</f>
        <v/>
      </c>
      <c r="C27" s="9" t="inlineStr">
        <is>
          <t>受傷後填入</t>
        </is>
      </c>
    </row>
    <row r="28">
      <c r="A28" s="6" t="inlineStr">
        <is>
          <t>剩餘比例</t>
        </is>
      </c>
      <c r="B28" s="10">
        <f>IF(B26&gt;0,B27/B26,0)</f>
        <v/>
      </c>
      <c r="C28" s="9" t="inlineStr">
        <is>
          <t>當前 / 上限</t>
        </is>
      </c>
    </row>
    <row r="29">
      <c r="A29" s="6" t="inlineStr">
        <is>
          <t>傷勢等級</t>
        </is>
      </c>
      <c r="B29" s="10">
        <f>IF(B27&lt;=0,"5 死亡",IF(B28&lt;=0.25,"4 致命傷",IF(B28&lt;=0.5,"3 重傷",IF(B28&lt;=0.75,"2 中傷",IF(B28&lt;=0.99,"1 輕傷","0 無傷")))))</f>
        <v/>
      </c>
      <c r="C29" s="9" t="inlineStr">
        <is>
          <t>依剩餘比例推算</t>
        </is>
      </c>
    </row>
    <row r="31">
      <c r="A31" s="2" t="inlineStr">
        <is>
          <t>五、特殊能力／弱點／AI</t>
        </is>
      </c>
    </row>
    <row r="32">
      <c r="A32" s="3" t="inlineStr">
        <is>
          <t>特殊能力</t>
        </is>
      </c>
      <c r="B32" s="4" t="inlineStr"/>
    </row>
    <row r="33">
      <c r="A33" s="3" t="inlineStr">
        <is>
          <t>弱點</t>
        </is>
      </c>
      <c r="B33" s="4" t="inlineStr"/>
    </row>
    <row r="34">
      <c r="A34" s="3" t="inlineStr">
        <is>
          <t>AI 行為（依智能等級）</t>
        </is>
      </c>
      <c r="B34" s="4" t="inlineStr"/>
    </row>
    <row r="35">
      <c r="A35" s="3" t="inlineStr">
        <is>
          <t>多階段（若有，註明生命值分界）</t>
        </is>
      </c>
      <c r="B35" s="4" t="inlineStr"/>
    </row>
  </sheetData>
  <mergeCells count="15">
    <mergeCell ref="B33:D33"/>
    <mergeCell ref="A1:D1"/>
    <mergeCell ref="A17:D17"/>
    <mergeCell ref="A9:D9"/>
    <mergeCell ref="B5:D5"/>
    <mergeCell ref="A31:D31"/>
    <mergeCell ref="B8:D8"/>
    <mergeCell ref="A3:D3"/>
    <mergeCell ref="B4:D4"/>
    <mergeCell ref="B32:D32"/>
    <mergeCell ref="B35:D35"/>
    <mergeCell ref="A25:D25"/>
    <mergeCell ref="B7:D7"/>
    <mergeCell ref="B6:D6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2026-07-17T01:08:35Z</dcterms:modified>
</cp:coreProperties>
</file>