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範例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8" customWidth="1" min="4" max="4"/>
    <col width="12" customWidth="1" min="5" max="5"/>
  </cols>
  <sheetData>
    <row r="1">
      <c r="A1" s="1" t="inlineStr">
        <is>
          <t>死亡回歸 TRPG — 範例玩家角色卡（學者・薇恩）v2.1</t>
        </is>
      </c>
    </row>
    <row r="3">
      <c r="A3" s="2" t="inlineStr">
        <is>
          <t>一、基本資料</t>
        </is>
      </c>
    </row>
    <row r="4">
      <c r="A4" s="3" t="inlineStr">
        <is>
          <t>姓名</t>
        </is>
      </c>
      <c r="B4" s="4" t="inlineStr">
        <is>
          <t>薇恩（Vyen）</t>
        </is>
      </c>
    </row>
    <row r="5">
      <c r="A5" s="3" t="inlineStr">
        <is>
          <t>背景</t>
        </is>
      </c>
      <c r="B5" s="4" t="inlineStr">
        <is>
          <t>學者（記憶+1）</t>
        </is>
      </c>
    </row>
    <row r="6">
      <c r="A6" s="3" t="inlineStr">
        <is>
          <t>死因來源</t>
        </is>
      </c>
      <c r="B6" s="4" t="inlineStr">
        <is>
          <t>未知（初始免費命運碎片）</t>
        </is>
      </c>
    </row>
    <row r="7">
      <c r="A7" s="3" t="inlineStr">
        <is>
          <t>心理創傷</t>
        </is>
      </c>
      <c r="B7" s="4" t="inlineStr">
        <is>
          <t>見證同伴死亡</t>
        </is>
      </c>
    </row>
    <row r="8">
      <c r="A8" s="3" t="inlineStr">
        <is>
          <t>核心關係</t>
        </is>
      </c>
      <c r="B8" s="4" t="inlineStr">
        <is>
          <t>羈絆・守鐘人 歐林</t>
        </is>
      </c>
    </row>
    <row r="9">
      <c r="A9" s="3" t="inlineStr">
        <is>
          <t>預設存檔點</t>
        </is>
      </c>
      <c r="B9" s="4" t="inlineStr">
        <is>
          <t>永恆之井（聖骸大教堂）</t>
        </is>
      </c>
    </row>
    <row r="10">
      <c r="A10" s="2" t="inlineStr">
        <is>
          <t>二、五大屬性（含背景加成，最終值）</t>
        </is>
      </c>
    </row>
    <row r="11">
      <c r="A11" s="3" t="inlineStr">
        <is>
          <t>屬性</t>
        </is>
      </c>
      <c r="B11" s="5" t="inlineStr">
        <is>
          <t>數值</t>
        </is>
      </c>
      <c r="C11" s="5" t="inlineStr">
        <is>
          <t>縮寫</t>
        </is>
      </c>
      <c r="D11" s="3" t="inlineStr">
        <is>
          <t>配點建議</t>
        </is>
      </c>
    </row>
    <row r="12">
      <c r="A12" s="6" t="inlineStr">
        <is>
          <t>洞察（洞）</t>
        </is>
      </c>
      <c r="B12" s="7" t="n">
        <v>7</v>
      </c>
      <c r="C12" s="8" t="inlineStr">
        <is>
          <t>INS</t>
        </is>
      </c>
      <c r="D12" s="9" t="inlineStr">
        <is>
          <t>情報優先</t>
        </is>
      </c>
    </row>
    <row r="13">
      <c r="A13" s="6" t="inlineStr">
        <is>
          <t>記憶（憶）</t>
        </is>
      </c>
      <c r="B13" s="7" t="n">
        <v>9</v>
      </c>
      <c r="C13" s="8" t="inlineStr">
        <is>
          <t>MEM</t>
        </is>
      </c>
      <c r="D13" s="9" t="inlineStr">
        <is>
          <t>學者+1</t>
        </is>
      </c>
    </row>
    <row r="14">
      <c r="A14" s="6" t="inlineStr">
        <is>
          <t>執行（執）</t>
        </is>
      </c>
      <c r="B14" s="7" t="n">
        <v>5</v>
      </c>
      <c r="C14" s="8" t="inlineStr">
        <is>
          <t>EXE</t>
        </is>
      </c>
      <c r="D14" s="9" t="inlineStr">
        <is>
          <t>均衡</t>
        </is>
      </c>
    </row>
    <row r="15">
      <c r="A15" s="6" t="inlineStr">
        <is>
          <t>社交（社）</t>
        </is>
      </c>
      <c r="B15" s="7" t="n">
        <v>5</v>
      </c>
      <c r="C15" s="8" t="inlineStr">
        <is>
          <t>SOC</t>
        </is>
      </c>
      <c r="D15" s="9" t="inlineStr">
        <is>
          <t>均衡</t>
        </is>
      </c>
    </row>
    <row r="16">
      <c r="A16" s="6" t="inlineStr">
        <is>
          <t>意志（志）</t>
        </is>
      </c>
      <c r="B16" s="7" t="n">
        <v>5</v>
      </c>
      <c r="C16" s="8" t="inlineStr">
        <is>
          <t>WIL</t>
        </is>
      </c>
      <c r="D16" s="9" t="inlineStr">
        <is>
          <t>適中</t>
        </is>
      </c>
    </row>
    <row r="17">
      <c r="A17" s="3" t="inlineStr">
        <is>
          <t>合計（屬性值總和）</t>
        </is>
      </c>
      <c r="B17" s="10">
        <f>SUM(B12:B16)</f>
        <v/>
      </c>
    </row>
    <row r="19">
      <c r="A19" s="2" t="inlineStr">
        <is>
          <t>三、衍生屬性（自動計算）</t>
        </is>
      </c>
    </row>
    <row r="20">
      <c r="A20" s="3" t="inlineStr">
        <is>
          <t>衍生屬性</t>
        </is>
      </c>
      <c r="B20" s="5" t="inlineStr">
        <is>
          <t>數值</t>
        </is>
      </c>
      <c r="C20" s="3" t="inlineStr">
        <is>
          <t>公式</t>
        </is>
      </c>
    </row>
    <row r="21">
      <c r="A21" s="6" t="inlineStr">
        <is>
          <t>生命值（生）</t>
        </is>
      </c>
      <c r="B21" s="11">
        <f>B14+B16+5</f>
        <v/>
      </c>
      <c r="C21" s="9" t="inlineStr">
        <is>
          <t>執 + 志 + 5</t>
        </is>
      </c>
    </row>
    <row r="22">
      <c r="A22" s="6" t="inlineStr">
        <is>
          <t>心智值（心）</t>
        </is>
      </c>
      <c r="B22" s="11">
        <f>B16+B13+3</f>
        <v/>
      </c>
      <c r="C22" s="9" t="inlineStr">
        <is>
          <t>志 + 憶 + 3</t>
        </is>
      </c>
    </row>
    <row r="23">
      <c r="A23" s="6" t="inlineStr">
        <is>
          <t>體力點（體）</t>
        </is>
      </c>
      <c r="B23" s="11">
        <f>B14+B16+3</f>
        <v/>
      </c>
      <c r="C23" s="9" t="inlineStr">
        <is>
          <t>執 + 志 + 3（非生命值）</t>
        </is>
      </c>
    </row>
    <row r="24">
      <c r="A24" s="6" t="inlineStr">
        <is>
          <t>護甲值（甲）</t>
        </is>
      </c>
      <c r="B24" s="7" t="n">
        <v>0</v>
      </c>
      <c r="C24" s="9" t="inlineStr">
        <is>
          <t>來自裝備（輸入）</t>
        </is>
      </c>
    </row>
    <row r="25">
      <c r="A25" s="6" t="inlineStr">
        <is>
          <t>耐受值（耐）</t>
        </is>
      </c>
      <c r="B25" s="11">
        <f>B24+MIN(9,FLOOR((B14+B16)/4,1))</f>
        <v/>
      </c>
      <c r="C25" s="9" t="inlineStr">
        <is>
          <t>甲 + floor((執+志)/4)，軟上限 9</t>
        </is>
      </c>
    </row>
    <row r="26">
      <c r="A26" s="6" t="inlineStr">
        <is>
          <t>記憶碎片上限</t>
        </is>
      </c>
      <c r="B26" s="11">
        <f>B13*2+5</f>
        <v/>
      </c>
      <c r="C26" s="9" t="inlineStr">
        <is>
          <t>憶 × 2 + 5 = 23</t>
        </is>
      </c>
    </row>
    <row r="27">
      <c r="A27" s="6" t="inlineStr">
        <is>
          <t>裂痕閾值</t>
        </is>
      </c>
      <c r="B27" s="7" t="n">
        <v>10</v>
      </c>
      <c r="C27" s="9" t="inlineStr">
        <is>
          <t>固定 10（動搖起點，純敘事提示）</t>
        </is>
      </c>
    </row>
    <row r="28">
      <c r="A28" s="6" t="inlineStr">
        <is>
          <t>關係重建基礎值</t>
        </is>
      </c>
      <c r="B28" s="11">
        <f>FLOOR(B15/2,1)</f>
        <v/>
      </c>
      <c r="C28" s="9" t="inlineStr">
        <is>
          <t>floor(社/2) = 2</t>
        </is>
      </c>
    </row>
    <row r="30">
      <c r="A30" s="2" t="inlineStr">
        <is>
          <t>四、技能（11 項，等級 0-5）</t>
        </is>
      </c>
    </row>
    <row r="31">
      <c r="A31" s="3" t="inlineStr">
        <is>
          <t>技能</t>
        </is>
      </c>
      <c r="B31" s="3" t="inlineStr">
        <is>
          <t>對應屬性</t>
        </is>
      </c>
      <c r="C31" s="5" t="inlineStr">
        <is>
          <t>等級</t>
        </is>
      </c>
      <c r="D31" s="3" t="inlineStr">
        <is>
          <t>檢定基礎（調+等級）</t>
        </is>
      </c>
    </row>
    <row r="32">
      <c r="A32" s="12" t="inlineStr">
        <is>
          <t>偵察（偵）</t>
        </is>
      </c>
      <c r="B32" s="8" t="inlineStr">
        <is>
          <t>12</t>
        </is>
      </c>
      <c r="C32" s="7" t="n">
        <v>3</v>
      </c>
      <c r="D32" s="11">
        <f>FLOOR(B12/2,1)+C32</f>
        <v/>
      </c>
    </row>
    <row r="33">
      <c r="A33" s="12" t="inlineStr">
        <is>
          <t>對話挖掘（話挖）</t>
        </is>
      </c>
      <c r="B33" s="8" t="inlineStr">
        <is>
          <t>15</t>
        </is>
      </c>
      <c r="C33" s="7" t="n">
        <v>2</v>
      </c>
      <c r="D33" s="11">
        <f>FLOOR(B15/2,1)+C33</f>
        <v/>
      </c>
    </row>
    <row r="34">
      <c r="A34" s="12" t="inlineStr">
        <is>
          <t>異常感知（異感）</t>
        </is>
      </c>
      <c r="B34" s="8" t="inlineStr">
        <is>
          <t>12</t>
        </is>
      </c>
      <c r="C34" s="7" t="n">
        <v>1</v>
      </c>
      <c r="D34" s="11">
        <f>FLOOR(B12/2,1)+C34</f>
        <v/>
      </c>
    </row>
    <row r="35">
      <c r="A35" s="12" t="inlineStr">
        <is>
          <t>死因分析（死分）</t>
        </is>
      </c>
      <c r="B35" s="8" t="inlineStr">
        <is>
          <t>16</t>
        </is>
      </c>
      <c r="C35" s="7" t="n">
        <v>1</v>
      </c>
      <c r="D35" s="11">
        <f>FLOOR(B16/2,1)+C35</f>
        <v/>
      </c>
    </row>
    <row r="36">
      <c r="A36" s="12" t="inlineStr">
        <is>
          <t>戰鬥（戰）</t>
        </is>
      </c>
      <c r="B36" s="8" t="inlineStr">
        <is>
          <t>14</t>
        </is>
      </c>
      <c r="C36" s="7" t="n">
        <v>1</v>
      </c>
      <c r="D36" s="11">
        <f>FLOOR(B14/2,1)+C36</f>
        <v/>
      </c>
    </row>
    <row r="37">
      <c r="A37" s="12" t="inlineStr">
        <is>
          <t>潛行（潛）</t>
        </is>
      </c>
      <c r="B37" s="8" t="inlineStr">
        <is>
          <t>14</t>
        </is>
      </c>
      <c r="C37" s="7" t="n">
        <v>2</v>
      </c>
      <c r="D37" s="11">
        <f>FLOOR(B14/2,1)+C37</f>
        <v/>
      </c>
    </row>
    <row r="38">
      <c r="A38" s="12" t="inlineStr">
        <is>
          <t>器械操作（器械）</t>
        </is>
      </c>
      <c r="B38" s="8" t="inlineStr">
        <is>
          <t>14</t>
        </is>
      </c>
      <c r="C38" s="7" t="n">
        <v>1</v>
      </c>
      <c r="D38" s="11">
        <f>FLOOR(B14/2,1)+C38</f>
        <v/>
      </c>
    </row>
    <row r="39">
      <c r="A39" s="12" t="inlineStr">
        <is>
          <t>說服（說）</t>
        </is>
      </c>
      <c r="B39" s="8" t="inlineStr">
        <is>
          <t>15</t>
        </is>
      </c>
      <c r="C39" s="7" t="n">
        <v>2</v>
      </c>
      <c r="D39" s="11">
        <f>FLOOR(B15/2,1)+C39</f>
        <v/>
      </c>
    </row>
    <row r="40">
      <c r="A40" s="12" t="inlineStr">
        <is>
          <t>記憶回溯（憶溯）</t>
        </is>
      </c>
      <c r="B40" s="8" t="inlineStr">
        <is>
          <t>13</t>
        </is>
      </c>
      <c r="C40" s="7" t="n">
        <v>2</v>
      </c>
      <c r="D40" s="11">
        <f>FLOOR(B13/2,1)+C40</f>
        <v/>
      </c>
    </row>
    <row r="41">
      <c r="A41" s="12" t="inlineStr">
        <is>
          <t>心理抗性（心抗）</t>
        </is>
      </c>
      <c r="B41" s="8" t="inlineStr">
        <is>
          <t>16</t>
        </is>
      </c>
      <c r="C41" s="7" t="n">
        <v>2</v>
      </c>
      <c r="D41" s="11">
        <f>FLOOR(B16/2,1)+C41</f>
        <v/>
      </c>
    </row>
    <row r="42">
      <c r="A42" s="12" t="inlineStr">
        <is>
          <t>鍊金（鍊）</t>
        </is>
      </c>
      <c r="B42" s="8" t="inlineStr">
        <is>
          <t>14</t>
        </is>
      </c>
      <c r="C42" s="7" t="n">
        <v>1</v>
      </c>
      <c r="D42" s="11">
        <f>FLOOR(B14/2,1)+C42</f>
        <v/>
      </c>
    </row>
    <row r="44">
      <c r="A44" s="2" t="inlineStr">
        <is>
          <t>五、戰鬥快速參照</t>
        </is>
      </c>
    </row>
    <row r="45">
      <c r="A45" s="3" t="inlineStr">
        <is>
          <t>項目</t>
        </is>
      </c>
      <c r="B45" s="5" t="inlineStr">
        <is>
          <t>數值</t>
        </is>
      </c>
      <c r="C45" s="3" t="inlineStr">
        <is>
          <t>說明</t>
        </is>
      </c>
    </row>
    <row r="46">
      <c r="A46" s="12" t="inlineStr">
        <is>
          <t>掩護修正</t>
        </is>
      </c>
      <c r="B46" s="7" t="n">
        <v>0</v>
      </c>
      <c r="C46" s="9" t="inlineStr">
        <is>
          <t>處於掩護中 +2</t>
        </is>
      </c>
    </row>
    <row r="47">
      <c r="A47" s="12" t="inlineStr">
        <is>
          <t>先攻</t>
        </is>
      </c>
      <c r="B47" s="11">
        <f>B12</f>
        <v/>
      </c>
      <c r="C47" s="9" t="inlineStr">
        <is>
          <t>先攻 = 洞察 + 1d10</t>
        </is>
      </c>
    </row>
    <row r="48">
      <c r="A48" s="12" t="inlineStr">
        <is>
          <t>防禦值</t>
        </is>
      </c>
      <c r="B48" s="11">
        <f>10+FLOOR(B14/2,1)+B24+B46</f>
        <v/>
      </c>
      <c r="C48" s="9" t="inlineStr">
        <is>
          <t>防禦 = 10 + 調(執) + 甲 + 掩護</t>
        </is>
      </c>
    </row>
    <row r="49">
      <c r="A49" s="12" t="inlineStr">
        <is>
          <t>攻擊加值（調(執)+戰）</t>
        </is>
      </c>
      <c r="B49" s="11">
        <f>FLOOR(B14/2,1)+C36</f>
        <v/>
      </c>
      <c r="C49" s="9" t="inlineStr">
        <is>
          <t>攻擊值 = d20 + 調(執) + 戰 + 記憶加成</t>
        </is>
      </c>
    </row>
    <row r="51">
      <c r="A51" s="2" t="inlineStr">
        <is>
          <t>六、生命值／傷勢追蹤</t>
        </is>
      </c>
    </row>
    <row r="52">
      <c r="A52" s="3" t="inlineStr">
        <is>
          <t>項目</t>
        </is>
      </c>
      <c r="B52" s="5" t="inlineStr">
        <is>
          <t>數值</t>
        </is>
      </c>
      <c r="C52" s="3" t="inlineStr">
        <is>
          <t>說明</t>
        </is>
      </c>
    </row>
    <row r="53">
      <c r="A53" s="12" t="inlineStr">
        <is>
          <t>生命值上限</t>
        </is>
      </c>
      <c r="B53" s="11">
        <f>B14+B16+5</f>
        <v/>
      </c>
      <c r="C53" s="9" t="inlineStr">
        <is>
          <t>生命值(生) 上限 = 15</t>
        </is>
      </c>
    </row>
    <row r="54">
      <c r="A54" s="12" t="inlineStr">
        <is>
          <t>當前生命值</t>
        </is>
      </c>
      <c r="B54" s="7">
        <f>B53</f>
        <v/>
      </c>
      <c r="C54" s="9" t="inlineStr">
        <is>
          <t>受傷後填入目前數值</t>
        </is>
      </c>
    </row>
    <row r="55">
      <c r="A55" s="12" t="inlineStr">
        <is>
          <t>剩餘比例</t>
        </is>
      </c>
      <c r="B55" s="11">
        <f>IF(B53&gt;0,B54/B53,0)</f>
        <v/>
      </c>
      <c r="C55" s="9" t="inlineStr">
        <is>
          <t>當前 / 上限</t>
        </is>
      </c>
    </row>
    <row r="56">
      <c r="A56" s="12" t="inlineStr">
        <is>
          <t>傷勢等級</t>
        </is>
      </c>
      <c r="B56" s="11">
        <f>IF(B54&lt;=0,"5 死亡",IF(B55&lt;=0.25,"4 致命傷",IF(B55&lt;=0.5,"3 重傷",IF(B55&lt;=0.75,"2 中傷",IF(B55&lt;=0.99,"1 輕傷","0 無傷")))))</f>
        <v/>
      </c>
      <c r="C56" s="9" t="inlineStr">
        <is>
          <t>依剩餘比例推算</t>
        </is>
      </c>
    </row>
    <row r="58">
      <c r="A58" s="2" t="inlineStr">
        <is>
          <t>七、裂痕追蹤</t>
        </is>
      </c>
    </row>
    <row r="59">
      <c r="A59" s="12" t="inlineStr">
        <is>
          <t>當前裂痕值</t>
        </is>
      </c>
      <c r="B59" s="7" t="n">
        <v>6</v>
      </c>
      <c r="C59" s="9" t="inlineStr">
        <is>
          <t>初始 1d6 = 6（站在邊緣）</t>
        </is>
      </c>
    </row>
    <row r="60">
      <c r="A60" s="12" t="inlineStr">
        <is>
          <t>裂痕階段</t>
        </is>
      </c>
      <c r="B60" s="11">
        <f>IF(B59&gt;=40,"V 失控",IF(B59&gt;=30,"IV 臨界",IF(B59&gt;=20,"III 破碎",IF(B59&gt;=10,"II 動搖","I 平靜")))))</f>
        <v/>
      </c>
      <c r="C60" s="9" t="inlineStr">
        <is>
          <t>I 平靜（6 &lt; 10）</t>
        </is>
      </c>
    </row>
    <row r="62">
      <c r="A62" s="2" t="inlineStr">
        <is>
          <t>八、本輪記憶碎片攜帶（總消耗 12 / 上限 23）</t>
        </is>
      </c>
    </row>
    <row r="63">
      <c r="A63" s="3" t="inlineStr">
        <is>
          <t>碎片類型</t>
        </is>
      </c>
      <c r="B63" s="5" t="inlineStr">
        <is>
          <t>消耗</t>
        </is>
      </c>
      <c r="C63" s="5" t="inlineStr">
        <is>
          <t>攜帶數</t>
        </is>
      </c>
      <c r="D63" s="3" t="inlineStr">
        <is>
          <t>小計</t>
        </is>
      </c>
    </row>
    <row r="64">
      <c r="A64" s="12" t="inlineStr">
        <is>
          <t>事件碎片（事碎）</t>
        </is>
      </c>
      <c r="B64" s="8" t="n">
        <v>1</v>
      </c>
      <c r="C64" s="7" t="n">
        <v>3</v>
      </c>
      <c r="D64" s="11">
        <f>B64*C64</f>
        <v/>
      </c>
    </row>
    <row r="65">
      <c r="A65" s="12" t="inlineStr">
        <is>
          <t>人物碎片（人碎）</t>
        </is>
      </c>
      <c r="B65" s="8" t="n">
        <v>1</v>
      </c>
      <c r="C65" s="7" t="n">
        <v>4</v>
      </c>
      <c r="D65" s="11">
        <f>B65*C65</f>
        <v/>
      </c>
    </row>
    <row r="66">
      <c r="A66" s="12" t="inlineStr">
        <is>
          <t>地點碎片（地碎）</t>
        </is>
      </c>
      <c r="B66" s="8" t="n">
        <v>2</v>
      </c>
      <c r="C66" s="7" t="n">
        <v>1</v>
      </c>
      <c r="D66" s="11">
        <f>B66*C66</f>
        <v/>
      </c>
    </row>
    <row r="67">
      <c r="A67" s="12" t="inlineStr">
        <is>
          <t>技能碎片（技碎）</t>
        </is>
      </c>
      <c r="B67" s="8" t="n">
        <v>2</v>
      </c>
      <c r="C67" s="7" t="n">
        <v>1</v>
      </c>
      <c r="D67" s="11">
        <f>B67*C67</f>
        <v/>
      </c>
    </row>
    <row r="68">
      <c r="A68" s="12" t="inlineStr">
        <is>
          <t>命運碎片（命碎）</t>
        </is>
      </c>
      <c r="B68" s="8" t="n">
        <v>5</v>
      </c>
      <c r="C68" s="7" t="n">
        <v>0</v>
      </c>
      <c r="D68" s="11">
        <f>B68*C68</f>
        <v/>
      </c>
    </row>
    <row r="69">
      <c r="A69" s="3" t="inlineStr">
        <is>
          <t>總消耗</t>
        </is>
      </c>
      <c r="D69" s="10">
        <f>SUM(D64:D68)</f>
        <v/>
      </c>
    </row>
    <row r="70">
      <c r="A70" s="3" t="inlineStr">
        <is>
          <t>是否超過上限</t>
        </is>
      </c>
      <c r="B70" s="10">
        <f>IF(D69&gt;=B13*2+5,"超過！","OK")</f>
        <v/>
      </c>
    </row>
  </sheetData>
  <mergeCells count="15">
    <mergeCell ref="A30:E30"/>
    <mergeCell ref="B9:E9"/>
    <mergeCell ref="B8:E8"/>
    <mergeCell ref="A62:E62"/>
    <mergeCell ref="B4:E4"/>
    <mergeCell ref="A10:E10"/>
    <mergeCell ref="B6:E6"/>
    <mergeCell ref="A19:E19"/>
    <mergeCell ref="A51:E51"/>
    <mergeCell ref="B7:E7"/>
    <mergeCell ref="A1:E1"/>
    <mergeCell ref="B5:E5"/>
    <mergeCell ref="A44:E44"/>
    <mergeCell ref="A58:E5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2026-07-17T01:08:35Z</dcterms:modified>
</cp:coreProperties>
</file>