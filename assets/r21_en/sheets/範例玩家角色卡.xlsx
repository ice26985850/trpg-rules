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ist·Truth Hunter" sheetId="1" state="visible" r:id="rId1"/>
    <sheet name="Doctor·Guardian Angel" sheetId="2" state="visible" r:id="rId2"/>
    <sheet name="Teacher·The Indomitable" sheetId="3" state="visible" r:id="rId3"/>
    <sheet name="Writer·The Curious" sheetId="4" state="visible" r:id="rId4"/>
    <sheet name="Social Worker·The Mediator" sheetId="5" state="visible" r:id="rId5"/>
    <sheet name="Detective·Dual-Peak 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Journalist·Truth Hunter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Journalist·Truth Hunter</t>
        </is>
      </c>
      <c r="C4" s="4" t="inlineStr">
        <is>
          <t>Age:</t>
        </is>
      </c>
      <c r="D4" s="5" t="inlineStr">
        <is>
          <t>28</t>
        </is>
      </c>
    </row>
    <row r="5">
      <c r="A5" s="4" t="inlineStr">
        <is>
          <t>Occupation:</t>
        </is>
      </c>
      <c r="B5" s="5" t="inlineStr">
        <is>
          <t>Investigative Journalist</t>
        </is>
      </c>
      <c r="C5" s="4" t="inlineStr">
        <is>
          <t>Background:</t>
        </is>
      </c>
      <c r="D5" s="5" t="inlineStr">
        <is>
          <t>Seeker</t>
        </is>
      </c>
    </row>
    <row r="6">
      <c r="A6" s="4" t="inlineStr">
        <is>
          <t>Time Attitude:</t>
        </is>
      </c>
      <c r="B6" s="5" t="inlineStr">
        <is>
          <t>Skeptic</t>
        </is>
      </c>
      <c r="C6" s="4" t="inlineStr">
        <is>
          <t>Core Relationship NPC:</t>
        </is>
      </c>
      <c r="D6" s="5" t="inlineStr">
        <is>
          <t>Lin Xiao (High School Teacher)</t>
        </is>
      </c>
    </row>
    <row r="7">
      <c r="A7" s="4" t="inlineStr">
        <is>
          <t>Hidden Information Card:</t>
        </is>
      </c>
      <c r="B7" s="5" t="inlineStr">
        <is>
          <t>#4 Reflection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3</v>
      </c>
      <c r="C11" s="8" t="n">
        <v>3</v>
      </c>
      <c r="D11" s="8" t="n">
        <v>2</v>
      </c>
      <c r="E11" s="8" t="n">
        <v>2</v>
      </c>
      <c r="F11" s="8" t="n">
        <v>2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Notebook and Pen</t>
        </is>
      </c>
    </row>
    <row r="26">
      <c r="A26" s="4" t="inlineStr">
        <is>
          <t>6. Voice Recorder</t>
        </is>
      </c>
    </row>
    <row r="27">
      <c r="A27" s="4" t="inlineStr">
        <is>
          <t>7. Old Camera</t>
        </is>
      </c>
    </row>
    <row r="28"/>
    <row r="29">
      <c r="A29" s="11" t="inlineStr">
        <is>
          <t>※ Insight advantage + Empathy disadvantage. "Eye for Flaws" once per loop can force the GM to reveal a contradiction. Suited for "Town Judgment Day".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Doctor·Guardian Angel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Doctor·Guardian Angel</t>
        </is>
      </c>
      <c r="C4" s="4" t="inlineStr">
        <is>
          <t>Age:</t>
        </is>
      </c>
      <c r="D4" s="5" t="inlineStr">
        <is>
          <t>35</t>
        </is>
      </c>
    </row>
    <row r="5">
      <c r="A5" s="4" t="inlineStr">
        <is>
          <t>Occupation:</t>
        </is>
      </c>
      <c r="B5" s="5" t="inlineStr">
        <is>
          <t>ER Doctor</t>
        </is>
      </c>
      <c r="C5" s="4" t="inlineStr">
        <is>
          <t>Background:</t>
        </is>
      </c>
      <c r="D5" s="5" t="inlineStr">
        <is>
          <t>Caregiver</t>
        </is>
      </c>
    </row>
    <row r="6">
      <c r="A6" s="4" t="inlineStr">
        <is>
          <t>Time Attitude:</t>
        </is>
      </c>
      <c r="B6" s="5" t="inlineStr">
        <is>
          <t>Guardian</t>
        </is>
      </c>
      <c r="C6" s="4" t="inlineStr">
        <is>
          <t>Core Relationship NPC:</t>
        </is>
      </c>
      <c r="D6" s="5" t="inlineStr">
        <is>
          <t>Zhang Mingde (The Deceased)</t>
        </is>
      </c>
    </row>
    <row r="7">
      <c r="A7" s="4" t="inlineStr">
        <is>
          <t>Hidden Information Card:</t>
        </is>
      </c>
      <c r="B7" s="5" t="inlineStr">
        <is>
          <t>#6 Unanswered Confession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2</v>
      </c>
      <c r="C11" s="8" t="n">
        <v>2</v>
      </c>
      <c r="D11" s="8" t="n">
        <v>2</v>
      </c>
      <c r="E11" s="8" t="n">
        <v>3</v>
      </c>
      <c r="F11" s="8" t="n">
        <v>3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Basic First-Aid Kit</t>
        </is>
      </c>
    </row>
    <row r="26">
      <c r="A26" s="4" t="inlineStr">
        <is>
          <t>6. Work Badge</t>
        </is>
      </c>
    </row>
    <row r="27">
      <c r="A27" s="4" t="inlineStr">
        <is>
          <t>7. Stethoscope</t>
        </is>
      </c>
    </row>
    <row r="28"/>
    <row r="29">
      <c r="A29" s="11" t="inlineStr">
        <is>
          <t>※ +2 Fatigue recovery when saving someone, +1 when witnessing death. "Guardian Instinct" can sense danger to the core NPC. Suited for "The Elevator".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Teacher·The Indomitable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Teacher·The Indomitable</t>
        </is>
      </c>
      <c r="C4" s="4" t="inlineStr">
        <is>
          <t>Age:</t>
        </is>
      </c>
      <c r="D4" s="5" t="inlineStr">
        <is>
          <t>42</t>
        </is>
      </c>
    </row>
    <row r="5">
      <c r="A5" s="4" t="inlineStr">
        <is>
          <t>Occupation:</t>
        </is>
      </c>
      <c r="B5" s="5" t="inlineStr">
        <is>
          <t>High School History Teacher</t>
        </is>
      </c>
      <c r="C5" s="4" t="inlineStr">
        <is>
          <t>Background:</t>
        </is>
      </c>
      <c r="D5" s="5" t="inlineStr">
        <is>
          <t>Seeker</t>
        </is>
      </c>
    </row>
    <row r="6">
      <c r="A6" s="4" t="inlineStr">
        <is>
          <t>Time Attitude:</t>
        </is>
      </c>
      <c r="B6" s="5" t="inlineStr">
        <is>
          <t>Fatalist</t>
        </is>
      </c>
      <c r="C6" s="4" t="inlineStr">
        <is>
          <t>Core Relationship NPC:</t>
        </is>
      </c>
      <c r="D6" s="5" t="inlineStr">
        <is>
          <t>Su Mian (Student)</t>
        </is>
      </c>
    </row>
    <row r="7">
      <c r="A7" s="4" t="inlineStr">
        <is>
          <t>Hidden Information Card:</t>
        </is>
      </c>
      <c r="B7" s="5" t="inlineStr">
        <is>
          <t>#8 Premonition Dream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2</v>
      </c>
      <c r="C11" s="8" t="n">
        <v>2</v>
      </c>
      <c r="D11" s="8" t="n">
        <v>3</v>
      </c>
      <c r="E11" s="8" t="n">
        <v>3</v>
      </c>
      <c r="F11" s="8" t="n">
        <v>2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Notebook and Pen</t>
        </is>
      </c>
    </row>
    <row r="26">
      <c r="A26" s="4" t="inlineStr">
        <is>
          <t>6. Textbook</t>
        </is>
      </c>
    </row>
    <row r="27"/>
    <row r="28">
      <c r="A28" s="11" t="inlineStr">
        <is>
          <t>※ Fatigue Threshold +5 (WIL3→11+5=16), fatigue source -1, Memory Anchors -1 (minimum 1). Suited for "The Last School Festival".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Writer·The Curious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Writer·The Curious</t>
        </is>
      </c>
      <c r="C4" s="4" t="inlineStr">
        <is>
          <t>Age:</t>
        </is>
      </c>
      <c r="D4" s="5" t="inlineStr">
        <is>
          <t>31</t>
        </is>
      </c>
    </row>
    <row r="5">
      <c r="A5" s="4" t="inlineStr">
        <is>
          <t>Occupation:</t>
        </is>
      </c>
      <c r="B5" s="5" t="inlineStr">
        <is>
          <t>Freelance Writer</t>
        </is>
      </c>
      <c r="C5" s="4" t="inlineStr">
        <is>
          <t>Background:</t>
        </is>
      </c>
      <c r="D5" s="5" t="inlineStr">
        <is>
          <t>Outsider</t>
        </is>
      </c>
    </row>
    <row r="6">
      <c r="A6" s="4" t="inlineStr">
        <is>
          <t>Time Attitude:</t>
        </is>
      </c>
      <c r="B6" s="5" t="inlineStr">
        <is>
          <t>Curious</t>
        </is>
      </c>
      <c r="C6" s="4" t="inlineStr">
        <is>
          <t>Core Relationship NPC:</t>
        </is>
      </c>
      <c r="D6" s="5" t="inlineStr">
        <is>
          <t>Chen Hongyuan (CEO)</t>
        </is>
      </c>
    </row>
    <row r="7">
      <c r="A7" s="4" t="inlineStr">
        <is>
          <t>Hidden Information Card:</t>
        </is>
      </c>
      <c r="B7" s="5" t="inlineStr">
        <is>
          <t>#5 The Slowing Watch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3</v>
      </c>
      <c r="C11" s="8" t="n">
        <v>2</v>
      </c>
      <c r="D11" s="8" t="n">
        <v>2</v>
      </c>
      <c r="E11" s="8" t="n">
        <v>2</v>
      </c>
      <c r="F11" s="8" t="n">
        <v>2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Sketchbook</t>
        </is>
      </c>
    </row>
    <row r="26">
      <c r="A26" s="4" t="inlineStr">
        <is>
          <t>6. Old Camera</t>
        </is>
      </c>
    </row>
    <row r="27"/>
    <row r="28">
      <c r="A28" s="11" t="inlineStr">
        <is>
          <t>※ Memory Anchor +1 (MEM3→Memory Anchor Points (MAP)=4+), Déjà Vu +1, degradation fatigue +1. "Detail Hunter" can force the GM to give observational details each loop. Suited for "The Infinite Meeting".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Social Worker·The Mediator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Social Worker·The Mediator</t>
        </is>
      </c>
      <c r="C4" s="4" t="inlineStr">
        <is>
          <t>Age:</t>
        </is>
      </c>
      <c r="D4" s="5" t="inlineStr">
        <is>
          <t>29</t>
        </is>
      </c>
    </row>
    <row r="5">
      <c r="A5" s="4" t="inlineStr">
        <is>
          <t>Occupation:</t>
        </is>
      </c>
      <c r="B5" s="5" t="inlineStr">
        <is>
          <t>Community Social Worker</t>
        </is>
      </c>
      <c r="C5" s="4" t="inlineStr">
        <is>
          <t>Background:</t>
        </is>
      </c>
      <c r="D5" s="5" t="inlineStr">
        <is>
          <t>Caregiver</t>
        </is>
      </c>
    </row>
    <row r="6">
      <c r="A6" s="4" t="inlineStr">
        <is>
          <t>Time Attitude:</t>
        </is>
      </c>
      <c r="B6" s="5" t="inlineStr">
        <is>
          <t>Optimist</t>
        </is>
      </c>
      <c r="C6" s="4" t="inlineStr">
        <is>
          <t>Core Relationship NPC:</t>
        </is>
      </c>
      <c r="D6" s="5" t="inlineStr">
        <is>
          <t>Grandma Lin (Tailor)</t>
        </is>
      </c>
    </row>
    <row r="7">
      <c r="A7" s="4" t="inlineStr">
        <is>
          <t>Hidden Information Card:</t>
        </is>
      </c>
      <c r="B7" s="5" t="inlineStr">
        <is>
          <t>#9 What You Cannot Say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2</v>
      </c>
      <c r="C11" s="8" t="n">
        <v>2</v>
      </c>
      <c r="D11" s="8" t="n">
        <v>2</v>
      </c>
      <c r="E11" s="8" t="n">
        <v>2</v>
      </c>
      <c r="F11" s="8" t="n">
        <v>3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Work Badge</t>
        </is>
      </c>
    </row>
    <row r="26">
      <c r="A26" s="4" t="inlineStr">
        <is>
          <t>6. Community Contact Book</t>
        </is>
      </c>
    </row>
    <row r="27"/>
    <row r="28">
      <c r="A28" s="11" t="inlineStr">
        <is>
          <t>※ -1 Fatigue when discovering a fragment. "Light of Hope" can grant an ally Will advantage each loop. Suited for any scenario — the team's morale pillar.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Example Character: Detective·Dual-Peak Type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Detective·Dual-Peak Type</t>
        </is>
      </c>
      <c r="C4" s="4" t="inlineStr">
        <is>
          <t>Age:</t>
        </is>
      </c>
      <c r="D4" s="5" t="inlineStr">
        <is>
          <t>38</t>
        </is>
      </c>
    </row>
    <row r="5">
      <c r="A5" s="4" t="inlineStr">
        <is>
          <t>Occupation:</t>
        </is>
      </c>
      <c r="B5" s="5" t="inlineStr">
        <is>
          <t>Detective (Homicide)</t>
        </is>
      </c>
      <c r="C5" s="4" t="inlineStr">
        <is>
          <t>Background:</t>
        </is>
      </c>
      <c r="D5" s="5" t="inlineStr">
        <is>
          <t>Law Enforcer</t>
        </is>
      </c>
    </row>
    <row r="6">
      <c r="A6" s="4" t="inlineStr">
        <is>
          <t>Time Attitude:</t>
        </is>
      </c>
      <c r="B6" s="5" t="inlineStr">
        <is>
          <t>Skeptic</t>
        </is>
      </c>
      <c r="C6" s="4" t="inlineStr">
        <is>
          <t>Core Relationship NPC:</t>
        </is>
      </c>
      <c r="D6" s="5" t="inlineStr">
        <is>
          <t>Jiang Xue (Chemistry Teacher)</t>
        </is>
      </c>
    </row>
    <row r="7">
      <c r="A7" s="4" t="inlineStr">
        <is>
          <t>Hidden Information Card:</t>
        </is>
      </c>
      <c r="B7" s="5" t="inlineStr">
        <is>
          <t>#1 The Figure</t>
        </is>
      </c>
    </row>
    <row r="8"/>
    <row r="9">
      <c r="A9" s="2" t="inlineStr">
        <is>
          <t>Five Attributes</t>
        </is>
      </c>
    </row>
    <row r="10">
      <c r="A10" s="6" t="inlineStr"/>
      <c r="B10" s="6" t="inlineStr">
        <is>
          <t>Memory (MEM)</t>
        </is>
      </c>
      <c r="C10" s="6" t="inlineStr">
        <is>
          <t>Insight (INS)</t>
        </is>
      </c>
      <c r="D10" s="6" t="inlineStr">
        <is>
          <t>Will (WIL)</t>
        </is>
      </c>
      <c r="E10" s="6" t="inlineStr">
        <is>
          <t>Action (ACT)</t>
        </is>
      </c>
      <c r="F10" s="6" t="inlineStr">
        <is>
          <t>Empathy (EMP)</t>
        </is>
      </c>
    </row>
    <row r="11">
      <c r="A11" s="7" t="inlineStr">
        <is>
          <t>Attribute Value</t>
        </is>
      </c>
      <c r="B11" s="8" t="n">
        <v>2</v>
      </c>
      <c r="C11" s="8" t="n">
        <v>3</v>
      </c>
      <c r="D11" s="8" t="n">
        <v>1</v>
      </c>
      <c r="E11" s="8" t="n">
        <v>3</v>
      </c>
      <c r="F11" s="8" t="n">
        <v>1</v>
      </c>
    </row>
    <row r="12">
      <c r="A12" s="7" t="inlineStr">
        <is>
          <t>Modifier (auto)</t>
        </is>
      </c>
      <c r="B12" s="9">
        <f>B11-2</f>
        <v/>
      </c>
      <c r="C12" s="9">
        <f>C11-2</f>
        <v/>
      </c>
      <c r="D12" s="9">
        <f>D11-2</f>
        <v/>
      </c>
      <c r="E12" s="9">
        <f>E11-2</f>
        <v/>
      </c>
      <c r="F12" s="9">
        <f>F11-2</f>
        <v/>
      </c>
    </row>
    <row r="13"/>
    <row r="14">
      <c r="A14" s="2" t="inlineStr">
        <is>
          <t>Derived Attributes (auto-calculated)</t>
        </is>
      </c>
    </row>
    <row r="15">
      <c r="A15" s="4" t="inlineStr">
        <is>
          <t>Memory Anchor Points (MAP)</t>
        </is>
      </c>
      <c r="G15" s="10">
        <f>B11+INT(C11/2)</f>
        <v/>
      </c>
    </row>
    <row r="16">
      <c r="A16" s="4" t="inlineStr">
        <is>
          <t>Loop Fatigue Threshold (LFT)</t>
        </is>
      </c>
      <c r="G16" s="10">
        <f>D11*2+5</f>
        <v/>
      </c>
    </row>
    <row r="17">
      <c r="A17" s="4" t="inlineStr">
        <is>
          <t>Daily Action Points (DAP)</t>
        </is>
      </c>
      <c r="G17" s="10">
        <f>8+(E11-2)</f>
        <v/>
      </c>
    </row>
    <row r="18">
      <c r="A18" s="4" t="inlineStr">
        <is>
          <t>Déjà Vu DC (Déjà Vu DC (DVD))</t>
        </is>
      </c>
      <c r="G18" s="10">
        <f>10-B4</f>
        <v/>
      </c>
    </row>
    <row r="19"/>
    <row r="20">
      <c r="A20" s="2" t="inlineStr">
        <is>
          <t>Equipment</t>
        </is>
      </c>
    </row>
    <row r="21">
      <c r="A21" s="4" t="inlineStr">
        <is>
          <t>1. Everyday Clothes</t>
        </is>
      </c>
    </row>
    <row r="22">
      <c r="A22" s="4" t="inlineStr">
        <is>
          <t>2. Mobile Phone</t>
        </is>
      </c>
    </row>
    <row r="23">
      <c r="A23" s="4" t="inlineStr">
        <is>
          <t>3. Wallet/ID</t>
        </is>
      </c>
    </row>
    <row r="24">
      <c r="A24" s="4" t="inlineStr">
        <is>
          <t>4. Keychain</t>
        </is>
      </c>
    </row>
    <row r="25">
      <c r="A25" s="4" t="inlineStr">
        <is>
          <t>5. Badge/ID</t>
        </is>
      </c>
    </row>
    <row r="26">
      <c r="A26" s="4" t="inlineStr">
        <is>
          <t>6. Handcuffs</t>
        </is>
      </c>
    </row>
    <row r="27">
      <c r="A27" s="4" t="inlineStr">
        <is>
          <t>7. Notepad</t>
        </is>
      </c>
    </row>
    <row r="28">
      <c r="A28" s="4" t="inlineStr">
        <is>
          <t>8. Walkie-Talkie</t>
        </is>
      </c>
    </row>
    <row r="29"/>
    <row r="30">
      <c r="A30" s="11" t="inlineStr">
        <is>
          <t>※ Dual-Peak type (INS3+ACT3) — Insight advantage + strong action, but Will 1 (Fatigue Threshold only 7) makes it extremely fragile. High risk, high reward.</t>
        </is>
      </c>
    </row>
  </sheetData>
  <mergeCells count="5">
    <mergeCell ref="A9:H9"/>
    <mergeCell ref="A3:H3"/>
    <mergeCell ref="A20:H20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2026-08-10T07:12:43Z</dcterms:modified>
</cp:coreProperties>
</file>