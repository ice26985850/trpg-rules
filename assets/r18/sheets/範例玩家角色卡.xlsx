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茅山主法師" sheetId="1" state="visible" r:id="rId1"/>
    <sheet name="六壬助手" sheetId="2" state="visible" r:id="rId2"/>
    <sheet name="閭山武師" sheetId="3" state="visible" r:id="rId3"/>
    <sheet name="自學靈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D9D9"/>
      </patternFill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程規瑶</author>
  </authors>
  <commentList>
    <comment ref="D51" authorId="0" shapeId="0">
      <text>
        <t>穿戴法袍時填寫防具加值：粗布法袍 +1／特製法袍 +2（見物品圖鑑 第六章 防具）。無防具則維持 0。護甲等級（AC）＝ 10 ＋ 身手修正值 ＋ 閃避 ＋ 防具加值。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玩家角色卡</t>
        </is>
      </c>
      <c r="B1" s="7" t="n"/>
      <c r="C1" s="7" t="n"/>
      <c r="D1" s="7" t="n"/>
      <c r="E1" s="7" t="n"/>
      <c r="F1" s="7" t="n"/>
      <c r="G1" s="7" t="n"/>
      <c r="H1" s="8" t="n"/>
    </row>
    <row r="3">
      <c r="A3" s="2" t="inlineStr">
        <is>
          <t>角色圖</t>
        </is>
      </c>
      <c r="B3" s="9" t="n"/>
      <c r="C3" s="10" t="n"/>
      <c r="D3" s="3" t="inlineStr">
        <is>
          <t>姓名</t>
        </is>
      </c>
      <c r="E3" s="4" t="inlineStr">
        <is>
          <t>阿堯</t>
        </is>
      </c>
    </row>
    <row r="4">
      <c r="A4" s="11" t="n"/>
      <c r="C4" s="12" t="n"/>
      <c r="D4" s="3" t="inlineStr">
        <is>
          <t>法脈</t>
        </is>
      </c>
      <c r="E4" s="4" t="inlineStr">
        <is>
          <t>茅山</t>
        </is>
      </c>
    </row>
    <row r="5">
      <c r="A5" s="11" t="n"/>
      <c r="C5" s="12" t="n"/>
      <c r="D5" s="3" t="inlineStr">
        <is>
          <t>職業</t>
        </is>
      </c>
      <c r="E5" s="4" t="inlineStr">
        <is>
          <t>主法師</t>
        </is>
      </c>
    </row>
    <row r="6">
      <c r="A6" s="13" t="n"/>
      <c r="B6" s="14" t="n"/>
      <c r="C6" s="15" t="n"/>
      <c r="D6" s="3" t="inlineStr">
        <is>
          <t>等級</t>
        </is>
      </c>
      <c r="E6" s="4" t="n">
        <v>1</v>
      </c>
    </row>
    <row r="7">
      <c r="D7" s="3" t="inlineStr">
        <is>
          <t>日常身分</t>
        </is>
      </c>
      <c r="E7" s="4" t="inlineStr">
        <is>
          <t>廟祝</t>
        </is>
      </c>
    </row>
    <row r="8">
      <c r="D8" s="3" t="inlineStr">
        <is>
          <t>職業體力加值</t>
        </is>
      </c>
      <c r="E8" s="4" t="n">
        <v>0</v>
      </c>
    </row>
    <row r="9">
      <c r="A9" s="3" t="inlineStr">
        <is>
          <t>五大屬性（數值 / 修正值）</t>
        </is>
      </c>
      <c r="B9" s="7" t="n"/>
      <c r="C9" s="8" t="n"/>
      <c r="D9" s="3" t="inlineStr">
        <is>
          <t>職業法力加值</t>
        </is>
      </c>
      <c r="E9" s="4" t="n">
        <v>5</v>
      </c>
    </row>
    <row r="10">
      <c r="A10" s="5" t="inlineStr">
        <is>
          <t>屬性</t>
        </is>
      </c>
      <c r="B10" s="5" t="inlineStr">
        <is>
          <t>數值</t>
        </is>
      </c>
      <c r="C10" s="5" t="inlineStr">
        <is>
          <t>修正值（Attr Mod）</t>
        </is>
      </c>
    </row>
    <row r="11">
      <c r="A11" s="4" t="inlineStr">
        <is>
          <t>身手（PHS）</t>
        </is>
      </c>
      <c r="B11" s="4" t="n">
        <v>3</v>
      </c>
      <c r="C11" s="4">
        <f>FLOOR((B11-5)/2, 1)</f>
        <v/>
      </c>
    </row>
    <row r="12">
      <c r="A12" s="4" t="inlineStr">
        <is>
          <t>道行（DOW）</t>
        </is>
      </c>
      <c r="B12" s="4" t="n">
        <v>8</v>
      </c>
      <c r="C12" s="4">
        <f>FLOOR((B12-5)/2, 1)</f>
        <v/>
      </c>
    </row>
    <row r="13">
      <c r="A13" s="4" t="inlineStr">
        <is>
          <t>靈感（INS）</t>
        </is>
      </c>
      <c r="B13" s="4" t="n">
        <v>4</v>
      </c>
      <c r="C13" s="4">
        <f>FLOOR((B13-5)/2, 1)</f>
        <v/>
      </c>
    </row>
    <row r="14">
      <c r="A14" s="4" t="inlineStr">
        <is>
          <t>知識（KNW）</t>
        </is>
      </c>
      <c r="B14" s="4" t="n">
        <v>6</v>
      </c>
      <c r="C14" s="4">
        <f>FLOOR((B14-5)/2, 1)</f>
        <v/>
      </c>
    </row>
    <row r="15">
      <c r="A15" s="4" t="inlineStr">
        <is>
          <t>定力（CMP）</t>
        </is>
      </c>
      <c r="B15" s="4" t="n">
        <v>4</v>
      </c>
      <c r="C15" s="4">
        <f>FLOOR((B15-5)/2, 1)</f>
        <v/>
      </c>
    </row>
    <row r="17">
      <c r="A17" s="3" t="inlineStr">
        <is>
          <t>衍生屬性</t>
        </is>
      </c>
      <c r="B17" s="7" t="n"/>
      <c r="C17" s="7" t="n"/>
      <c r="D17" s="7" t="n"/>
      <c r="E17" s="7" t="n"/>
      <c r="F17" s="8" t="n"/>
    </row>
    <row r="18">
      <c r="A18" s="6" t="inlineStr">
        <is>
          <t>體力（HP）上限</t>
        </is>
      </c>
      <c r="B18" s="4">
        <f>B11*3+10+($E$6-1)*2+$E$8</f>
        <v/>
      </c>
    </row>
    <row r="19">
      <c r="A19" s="6" t="inlineStr">
        <is>
          <t>法力池（MP）上限</t>
        </is>
      </c>
      <c r="B19" s="4">
        <f>B12*3+5+($E$6-1)*2+$E$9</f>
        <v/>
      </c>
    </row>
    <row r="20">
      <c r="A20" s="6" t="inlineStr">
        <is>
          <t>陰氣閾值（YT）</t>
        </is>
      </c>
      <c r="B20" s="4">
        <f>B15*2+B12</f>
        <v/>
      </c>
    </row>
    <row r="21">
      <c r="A21" s="6" t="inlineStr">
        <is>
          <t>靈視範圍（PR）（公尺）</t>
        </is>
      </c>
      <c r="B21" s="4">
        <f>B13*5</f>
        <v/>
      </c>
    </row>
    <row r="22">
      <c r="A22" s="6" t="inlineStr">
        <is>
          <t>附身抗性（PRZ）</t>
        </is>
      </c>
      <c r="B22" s="4">
        <f>C15</f>
        <v/>
      </c>
    </row>
    <row r="23">
      <c r="A23" s="6" t="inlineStr">
        <is>
          <t>陰氣值（YIN）（動態，起始0）</t>
        </is>
      </c>
      <c r="B23" s="4" t="n">
        <v>0</v>
      </c>
    </row>
    <row r="25">
      <c r="A25" s="3" t="inlineStr">
        <is>
          <t>技能表（等級 0-3 / 對應屬性修正值 / 技能總加值）</t>
        </is>
      </c>
      <c r="B25" s="7" t="n"/>
      <c r="C25" s="7" t="n"/>
      <c r="D25" s="7" t="n"/>
      <c r="E25" s="8" t="n"/>
    </row>
    <row r="26">
      <c r="A26" s="5" t="inlineStr">
        <is>
          <t>技能</t>
        </is>
      </c>
      <c r="B26" s="5" t="inlineStr">
        <is>
          <t>對應屬性</t>
        </is>
      </c>
      <c r="C26" s="5" t="inlineStr">
        <is>
          <t>等級(0-3)</t>
        </is>
      </c>
      <c r="D26" s="5" t="inlineStr">
        <is>
          <t>對應屬性修正值</t>
        </is>
      </c>
      <c r="E26" s="5" t="inlineStr">
        <is>
          <t>技能總加值</t>
        </is>
      </c>
    </row>
    <row r="27">
      <c r="A27" s="4" t="inlineStr">
        <is>
          <t>格鬥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閃避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攀爬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潛行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追跡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畫符</t>
        </is>
      </c>
      <c r="B32" s="4" t="inlineStr">
        <is>
          <t>DOW</t>
        </is>
      </c>
      <c r="C32" s="4" t="n">
        <v>1</v>
      </c>
      <c r="D32" s="4">
        <f>C12</f>
        <v/>
      </c>
      <c r="E32" s="4">
        <f>D32+C32</f>
        <v/>
      </c>
    </row>
    <row r="33">
      <c r="A33" s="4" t="inlineStr">
        <is>
          <t>咒語</t>
        </is>
      </c>
      <c r="B33" s="4" t="inlineStr">
        <is>
          <t>DOW</t>
        </is>
      </c>
      <c r="C33" s="4" t="n">
        <v>1</v>
      </c>
      <c r="D33" s="4">
        <f>C12</f>
        <v/>
      </c>
      <c r="E33" s="4">
        <f>D33+C33</f>
        <v/>
      </c>
    </row>
    <row r="34">
      <c r="A34" s="4" t="inlineStr">
        <is>
          <t>手印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開壇</t>
        </is>
      </c>
      <c r="B35" s="4" t="inlineStr">
        <is>
          <t>DOW</t>
        </is>
      </c>
      <c r="C35" s="4" t="n">
        <v>1</v>
      </c>
      <c r="D35" s="4">
        <f>C12</f>
        <v/>
      </c>
      <c r="E35" s="4">
        <f>D35+C35</f>
        <v/>
      </c>
    </row>
    <row r="36">
      <c r="A36" s="4" t="inlineStr">
        <is>
          <t>結界</t>
        </is>
      </c>
      <c r="B36" s="4" t="inlineStr">
        <is>
          <t>DOW</t>
        </is>
      </c>
      <c r="C36" s="4" t="n">
        <v>1</v>
      </c>
      <c r="D36" s="4">
        <f>C12</f>
        <v/>
      </c>
      <c r="E36" s="4">
        <f>D36+C36</f>
        <v/>
      </c>
    </row>
    <row r="37">
      <c r="A37" s="4" t="inlineStr">
        <is>
          <t>感知靈體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溝通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陰氣感知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直覺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民俗學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法脈知識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鑑識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文獻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意志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抗恐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鎮定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抗毒</t>
        </is>
      </c>
      <c r="B48" s="4" t="inlineStr">
        <is>
          <t>CMP</t>
        </is>
      </c>
      <c r="C48" s="4" t="n">
        <v>0</v>
      </c>
      <c r="D48" s="4">
        <f>C15</f>
        <v/>
      </c>
      <c r="E48" s="4">
        <f>D48+C48</f>
        <v/>
      </c>
    </row>
    <row r="50">
      <c r="A50" s="3" t="inlineStr">
        <is>
          <t>戰鬥</t>
        </is>
      </c>
      <c r="B50" s="7" t="n"/>
      <c r="C50" s="7" t="n"/>
      <c r="D50" s="7" t="n"/>
      <c r="E50" s="8" t="n"/>
    </row>
    <row r="51">
      <c r="A51" s="6" t="inlineStr">
        <is>
          <t>護甲等級（AC）</t>
        </is>
      </c>
      <c r="B51" s="4">
        <f>10+C11+C28+D51</f>
        <v/>
      </c>
      <c r="C51" t="inlineStr">
        <is>
          <t>防具加值</t>
        </is>
      </c>
      <c r="D51" t="n">
        <v>0</v>
      </c>
    </row>
    <row r="52">
      <c r="A52" s="6" t="inlineStr">
        <is>
          <t>先攻（INIT）加值</t>
        </is>
      </c>
      <c r="B52" s="4">
        <f>C11</f>
        <v/>
      </c>
    </row>
    <row r="53">
      <c r="A53" s="6" t="inlineStr">
        <is>
          <t>移動（MOVE）（公尺）</t>
        </is>
      </c>
      <c r="B53" s="4" t="n">
        <v>6</v>
      </c>
    </row>
    <row r="55">
      <c r="A55" s="3" t="inlineStr">
        <is>
          <t>裝備 / 符咒 / 材料清單（可手填）</t>
        </is>
      </c>
      <c r="B55" s="7" t="n"/>
      <c r="C55" s="7" t="n"/>
      <c r="D55" s="7" t="n"/>
      <c r="E55" s="8" t="n"/>
    </row>
    <row r="56">
      <c r="A56" s="5" t="inlineStr">
        <is>
          <t>名稱</t>
        </is>
      </c>
      <c r="B56" s="5" t="inlineStr">
        <is>
          <t>類型</t>
        </is>
      </c>
      <c r="C56" s="5" t="inlineStr">
        <is>
          <t>數量</t>
        </is>
      </c>
      <c r="D56" s="5" t="inlineStr">
        <is>
          <t>備註</t>
        </is>
      </c>
    </row>
    <row r="57">
      <c r="A57" s="4" t="inlineStr">
        <is>
          <t>桃木劍</t>
        </is>
      </c>
      <c r="B57" s="4" t="inlineStr">
        <is>
          <t>法器</t>
        </is>
      </c>
      <c r="C57" s="4" t="n">
        <v>1</v>
      </c>
      <c r="D57" s="4" t="inlineStr">
        <is>
          <t>對靈體/殭屍+2</t>
        </is>
      </c>
    </row>
    <row r="58">
      <c r="A58" s="4" t="inlineStr">
        <is>
          <t>符紙+硃砂+毛筆</t>
        </is>
      </c>
      <c r="B58" s="4" t="inlineStr">
        <is>
          <t>畫符三件套</t>
        </is>
      </c>
      <c r="C58" s="4" t="n">
        <v>1</v>
      </c>
      <c r="D58" s="4" t="inlineStr">
        <is>
          <t>畫符必備</t>
        </is>
      </c>
    </row>
    <row r="59">
      <c r="A59" s="4" t="inlineStr">
        <is>
          <t>香爐+線香</t>
        </is>
      </c>
      <c r="B59" s="4" t="inlineStr">
        <is>
          <t>開壇必備</t>
        </is>
      </c>
      <c r="C59" s="4" t="n">
        <v>1</v>
      </c>
      <c r="D59" s="4" t="inlineStr">
        <is>
          <t>開壇電源</t>
        </is>
      </c>
    </row>
    <row r="60">
      <c r="A60" s="4" t="inlineStr">
        <is>
          <t>八卦鏡</t>
        </is>
      </c>
      <c r="B60" s="4" t="inlineStr">
        <is>
          <t>佩戴</t>
        </is>
      </c>
      <c r="C60" s="4" t="n">
        <v>1</v>
      </c>
      <c r="D60" s="4" t="inlineStr">
        <is>
          <t>感知靈體+1</t>
        </is>
      </c>
    </row>
    <row r="61">
      <c r="A61" s="4" t="inlineStr">
        <is>
          <t>三清鈴</t>
        </is>
      </c>
      <c r="B61" s="4" t="inlineStr">
        <is>
          <t>道具</t>
        </is>
      </c>
      <c r="C61" s="4" t="n">
        <v>1</v>
      </c>
      <c r="D61" s="4" t="inlineStr">
        <is>
          <t>震懾低階靈體</t>
        </is>
      </c>
    </row>
    <row r="62">
      <c r="A62" s="4" t="inlineStr">
        <is>
          <t>鎮屍符</t>
        </is>
      </c>
      <c r="B62" s="4" t="inlineStr">
        <is>
          <t>符咒</t>
        </is>
      </c>
      <c r="C62" s="4" t="n">
        <v>3</v>
      </c>
      <c r="D62" s="4" t="inlineStr">
        <is>
          <t>定身(耗MP3)</t>
        </is>
      </c>
    </row>
    <row r="63">
      <c r="A63" s="4" t="inlineStr">
        <is>
          <t>驅邪符</t>
        </is>
      </c>
      <c r="B63" s="4" t="inlineStr">
        <is>
          <t>符咒</t>
        </is>
      </c>
      <c r="C63" s="4" t="n">
        <v>5</v>
      </c>
      <c r="D63" s="4" t="inlineStr">
        <is>
          <t>灼傷+逼退(耗MP2)</t>
        </is>
      </c>
    </row>
    <row r="64">
      <c r="A64" s="4" t="inlineStr">
        <is>
          <t>糯米</t>
        </is>
      </c>
      <c r="B64" s="4" t="inlineStr">
        <is>
          <t>材料</t>
        </is>
      </c>
      <c r="C64" s="4" t="n">
        <v>1</v>
      </c>
      <c r="D64" s="4" t="inlineStr">
        <is>
          <t>殭屍灼傷/拔毒</t>
        </is>
      </c>
    </row>
    <row r="66">
      <c r="A66" s="6" t="inlineStr">
        <is>
          <t>當前體力（HP）（手填，上限參照 B18）</t>
        </is>
      </c>
      <c r="B66" s="4" t="n">
        <v>19</v>
      </c>
    </row>
    <row r="67">
      <c r="A67" s="6" t="inlineStr">
        <is>
          <t>當前法力池（MP）（手填，上限參照 B19）</t>
        </is>
      </c>
      <c r="B67" s="4" t="n">
        <v>34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玩家角色卡</t>
        </is>
      </c>
      <c r="B1" s="7" t="n"/>
      <c r="C1" s="7" t="n"/>
      <c r="D1" s="7" t="n"/>
      <c r="E1" s="7" t="n"/>
      <c r="F1" s="7" t="n"/>
      <c r="G1" s="7" t="n"/>
      <c r="H1" s="8" t="n"/>
    </row>
    <row r="3">
      <c r="A3" s="2" t="inlineStr">
        <is>
          <t>角色圖</t>
        </is>
      </c>
      <c r="B3" s="9" t="n"/>
      <c r="C3" s="10" t="n"/>
      <c r="D3" s="3" t="inlineStr">
        <is>
          <t>姓名</t>
        </is>
      </c>
      <c r="E3" s="4" t="inlineStr">
        <is>
          <t>阿香</t>
        </is>
      </c>
    </row>
    <row r="4">
      <c r="A4" s="11" t="n"/>
      <c r="C4" s="12" t="n"/>
      <c r="D4" s="3" t="inlineStr">
        <is>
          <t>法脈</t>
        </is>
      </c>
      <c r="E4" s="4" t="inlineStr">
        <is>
          <t>六壬</t>
        </is>
      </c>
    </row>
    <row r="5">
      <c r="A5" s="11" t="n"/>
      <c r="C5" s="12" t="n"/>
      <c r="D5" s="3" t="inlineStr">
        <is>
          <t>職業</t>
        </is>
      </c>
      <c r="E5" s="4" t="inlineStr">
        <is>
          <t>助手/徒弟</t>
        </is>
      </c>
    </row>
    <row r="6">
      <c r="A6" s="13" t="n"/>
      <c r="B6" s="14" t="n"/>
      <c r="C6" s="15" t="n"/>
      <c r="D6" s="3" t="inlineStr">
        <is>
          <t>等級</t>
        </is>
      </c>
      <c r="E6" s="4" t="n">
        <v>1</v>
      </c>
    </row>
    <row r="7">
      <c r="D7" s="3" t="inlineStr">
        <is>
          <t>日常身分</t>
        </is>
      </c>
      <c r="E7" s="4" t="inlineStr">
        <is>
          <t>雜貨店幫工</t>
        </is>
      </c>
    </row>
    <row r="8">
      <c r="D8" s="3" t="inlineStr">
        <is>
          <t>職業體力加值</t>
        </is>
      </c>
      <c r="E8" s="4" t="n">
        <v>0</v>
      </c>
    </row>
    <row r="9">
      <c r="A9" s="3" t="inlineStr">
        <is>
          <t>五大屬性（數值 / 修正值）</t>
        </is>
      </c>
      <c r="B9" s="7" t="n"/>
      <c r="C9" s="8" t="n"/>
      <c r="D9" s="3" t="inlineStr">
        <is>
          <t>職業法力加值</t>
        </is>
      </c>
      <c r="E9" s="4" t="n">
        <v>0</v>
      </c>
    </row>
    <row r="10">
      <c r="A10" s="5" t="inlineStr">
        <is>
          <t>屬性</t>
        </is>
      </c>
      <c r="B10" s="5" t="inlineStr">
        <is>
          <t>數值</t>
        </is>
      </c>
      <c r="C10" s="5" t="inlineStr">
        <is>
          <t>修正值（Attr Mod）</t>
        </is>
      </c>
    </row>
    <row r="11">
      <c r="A11" s="4" t="inlineStr">
        <is>
          <t>身手（PHS）</t>
        </is>
      </c>
      <c r="B11" s="4" t="n">
        <v>3</v>
      </c>
      <c r="C11" s="4">
        <f>FLOOR((B11-5)/2, 1)</f>
        <v/>
      </c>
    </row>
    <row r="12">
      <c r="A12" s="4" t="inlineStr">
        <is>
          <t>道行（DOW）</t>
        </is>
      </c>
      <c r="B12" s="4" t="n">
        <v>7</v>
      </c>
      <c r="C12" s="4">
        <f>FLOOR((B12-5)/2, 1)</f>
        <v/>
      </c>
    </row>
    <row r="13">
      <c r="A13" s="4" t="inlineStr">
        <is>
          <t>靈感（INS）</t>
        </is>
      </c>
      <c r="B13" s="4" t="n">
        <v>4</v>
      </c>
      <c r="C13" s="4">
        <f>FLOOR((B13-5)/2, 1)</f>
        <v/>
      </c>
    </row>
    <row r="14">
      <c r="A14" s="4" t="inlineStr">
        <is>
          <t>知識（KNW）</t>
        </is>
      </c>
      <c r="B14" s="4" t="n">
        <v>3</v>
      </c>
      <c r="C14" s="4">
        <f>FLOOR((B14-5)/2, 1)</f>
        <v/>
      </c>
    </row>
    <row r="15">
      <c r="A15" s="4" t="inlineStr">
        <is>
          <t>定力（CMP）</t>
        </is>
      </c>
      <c r="B15" s="4" t="n">
        <v>8</v>
      </c>
      <c r="C15" s="4">
        <f>FLOOR((B15-5)/2, 1)</f>
        <v/>
      </c>
    </row>
    <row r="17">
      <c r="A17" s="3" t="inlineStr">
        <is>
          <t>衍生屬性</t>
        </is>
      </c>
      <c r="B17" s="7" t="n"/>
      <c r="C17" s="7" t="n"/>
      <c r="D17" s="7" t="n"/>
      <c r="E17" s="7" t="n"/>
      <c r="F17" s="8" t="n"/>
    </row>
    <row r="18">
      <c r="A18" s="6" t="inlineStr">
        <is>
          <t>體力（HP）上限</t>
        </is>
      </c>
      <c r="B18" s="4">
        <f>B11*3+10+($E$6-1)*2+$E$8</f>
        <v/>
      </c>
    </row>
    <row r="19">
      <c r="A19" s="6" t="inlineStr">
        <is>
          <t>法力池（MP）上限</t>
        </is>
      </c>
      <c r="B19" s="4">
        <f>B12*3+5+($E$6-1)*2+$E$9</f>
        <v/>
      </c>
    </row>
    <row r="20">
      <c r="A20" s="6" t="inlineStr">
        <is>
          <t>陰氣閾值（YT）</t>
        </is>
      </c>
      <c r="B20" s="4">
        <f>B15*2+B12</f>
        <v/>
      </c>
    </row>
    <row r="21">
      <c r="A21" s="6" t="inlineStr">
        <is>
          <t>靈視範圍（PR）（公尺）</t>
        </is>
      </c>
      <c r="B21" s="4">
        <f>B13*5</f>
        <v/>
      </c>
    </row>
    <row r="22">
      <c r="A22" s="6" t="inlineStr">
        <is>
          <t>附身抗性（PRZ）</t>
        </is>
      </c>
      <c r="B22" s="4">
        <f>C15</f>
        <v/>
      </c>
    </row>
    <row r="23">
      <c r="A23" s="6" t="inlineStr">
        <is>
          <t>陰氣值（YIN）（動態，起始0）</t>
        </is>
      </c>
      <c r="B23" s="4" t="n">
        <v>0</v>
      </c>
    </row>
    <row r="25">
      <c r="A25" s="3" t="inlineStr">
        <is>
          <t>技能表（等級 0-3 / 對應屬性修正值 / 技能總加值）</t>
        </is>
      </c>
      <c r="B25" s="7" t="n"/>
      <c r="C25" s="7" t="n"/>
      <c r="D25" s="7" t="n"/>
      <c r="E25" s="8" t="n"/>
    </row>
    <row r="26">
      <c r="A26" s="5" t="inlineStr">
        <is>
          <t>技能</t>
        </is>
      </c>
      <c r="B26" s="5" t="inlineStr">
        <is>
          <t>對應屬性</t>
        </is>
      </c>
      <c r="C26" s="5" t="inlineStr">
        <is>
          <t>等級(0-3)</t>
        </is>
      </c>
      <c r="D26" s="5" t="inlineStr">
        <is>
          <t>對應屬性修正值</t>
        </is>
      </c>
      <c r="E26" s="5" t="inlineStr">
        <is>
          <t>技能總加值</t>
        </is>
      </c>
    </row>
    <row r="27">
      <c r="A27" s="4" t="inlineStr">
        <is>
          <t>格鬥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閃避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攀爬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潛行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追跡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畫符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咒語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手印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開壇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結界</t>
        </is>
      </c>
      <c r="B36" s="4" t="inlineStr">
        <is>
          <t>DOW</t>
        </is>
      </c>
      <c r="C36" s="4" t="n">
        <v>1</v>
      </c>
      <c r="D36" s="4">
        <f>C12</f>
        <v/>
      </c>
      <c r="E36" s="4">
        <f>D36+C36</f>
        <v/>
      </c>
    </row>
    <row r="37">
      <c r="A37" s="4" t="inlineStr">
        <is>
          <t>感知靈體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溝通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陰氣感知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直覺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民俗學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法脈知識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鑑識</t>
        </is>
      </c>
      <c r="B43" s="4" t="inlineStr">
        <is>
          <t>KNW</t>
        </is>
      </c>
      <c r="C43" s="4" t="n">
        <v>1</v>
      </c>
      <c r="D43" s="4">
        <f>C14</f>
        <v/>
      </c>
      <c r="E43" s="4">
        <f>D43+C43</f>
        <v/>
      </c>
    </row>
    <row r="44">
      <c r="A44" s="4" t="inlineStr">
        <is>
          <t>文獻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意志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抗恐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鎮定</t>
        </is>
      </c>
      <c r="B47" s="4" t="inlineStr">
        <is>
          <t>CMP</t>
        </is>
      </c>
      <c r="C47" s="4" t="n">
        <v>1</v>
      </c>
      <c r="D47" s="4">
        <f>C15</f>
        <v/>
      </c>
      <c r="E47" s="4">
        <f>D47+C47</f>
        <v/>
      </c>
    </row>
    <row r="48">
      <c r="A48" s="4" t="inlineStr">
        <is>
          <t>抗毒</t>
        </is>
      </c>
      <c r="B48" s="4" t="inlineStr">
        <is>
          <t>CMP</t>
        </is>
      </c>
      <c r="C48" s="4" t="n">
        <v>1</v>
      </c>
      <c r="D48" s="4">
        <f>C15</f>
        <v/>
      </c>
      <c r="E48" s="4">
        <f>D48+C48</f>
        <v/>
      </c>
    </row>
    <row r="50">
      <c r="A50" s="3" t="inlineStr">
        <is>
          <t>戰鬥</t>
        </is>
      </c>
      <c r="B50" s="7" t="n"/>
      <c r="C50" s="7" t="n"/>
      <c r="D50" s="7" t="n"/>
      <c r="E50" s="8" t="n"/>
    </row>
    <row r="51">
      <c r="A51" s="6" t="inlineStr">
        <is>
          <t>護甲等級（AC）</t>
        </is>
      </c>
      <c r="B51" s="4">
        <f>10+C11+C28</f>
        <v/>
      </c>
    </row>
    <row r="52">
      <c r="A52" s="6" t="inlineStr">
        <is>
          <t>先攻（INIT）加值</t>
        </is>
      </c>
      <c r="B52" s="4">
        <f>C11</f>
        <v/>
      </c>
    </row>
    <row r="53">
      <c r="A53" s="6" t="inlineStr">
        <is>
          <t>移動（MOVE）（公尺）</t>
        </is>
      </c>
      <c r="B53" s="4" t="n">
        <v>6</v>
      </c>
    </row>
    <row r="55">
      <c r="A55" s="3" t="inlineStr">
        <is>
          <t>裝備 / 符咒 / 材料清單（可手填）</t>
        </is>
      </c>
      <c r="B55" s="7" t="n"/>
      <c r="C55" s="7" t="n"/>
      <c r="D55" s="7" t="n"/>
      <c r="E55" s="8" t="n"/>
    </row>
    <row r="56">
      <c r="A56" s="5" t="inlineStr">
        <is>
          <t>名稱</t>
        </is>
      </c>
      <c r="B56" s="5" t="inlineStr">
        <is>
          <t>類型</t>
        </is>
      </c>
      <c r="C56" s="5" t="inlineStr">
        <is>
          <t>數量</t>
        </is>
      </c>
      <c r="D56" s="5" t="inlineStr">
        <is>
          <t>備註</t>
        </is>
      </c>
    </row>
    <row r="57">
      <c r="A57" s="4" t="inlineStr">
        <is>
          <t>桃木劍</t>
        </is>
      </c>
      <c r="B57" s="4" t="inlineStr">
        <is>
          <t>法器</t>
        </is>
      </c>
      <c r="C57" s="4" t="n">
        <v>1</v>
      </c>
      <c r="D57" s="4" t="inlineStr">
        <is>
          <t>對靈體/殭屍+2</t>
        </is>
      </c>
    </row>
    <row r="58">
      <c r="A58" s="4" t="inlineStr">
        <is>
          <t>符紙+硃砂+毛筆</t>
        </is>
      </c>
      <c r="B58" s="4" t="inlineStr">
        <is>
          <t>畫符三件套</t>
        </is>
      </c>
      <c r="C58" s="4" t="n">
        <v>1</v>
      </c>
      <c r="D58" s="4" t="inlineStr">
        <is>
          <t>畫符必備</t>
        </is>
      </c>
    </row>
    <row r="59">
      <c r="A59" s="4" t="inlineStr">
        <is>
          <t>鐵板藏魂</t>
        </is>
      </c>
      <c r="B59" s="4" t="inlineStr">
        <is>
          <t>護身</t>
        </is>
      </c>
      <c r="C59" s="4" t="n">
        <v>1</v>
      </c>
      <c r="D59" s="4" t="inlineStr">
        <is>
          <t>六壬被動替死</t>
        </is>
      </c>
    </row>
    <row r="60">
      <c r="A60" s="4" t="inlineStr">
        <is>
          <t>引路符</t>
        </is>
      </c>
      <c r="B60" s="4" t="inlineStr">
        <is>
          <t>符咒</t>
        </is>
      </c>
      <c r="C60" s="4" t="n">
        <v>3</v>
      </c>
      <c r="D60" s="4" t="inlineStr">
        <is>
          <t>導航(耗MP1)</t>
        </is>
      </c>
    </row>
    <row r="61">
      <c r="A61" s="4" t="inlineStr">
        <is>
          <t>護身符</t>
        </is>
      </c>
      <c r="B61" s="4" t="inlineStr">
        <is>
          <t>符咒</t>
        </is>
      </c>
      <c r="C61" s="4" t="n">
        <v>3</v>
      </c>
      <c r="D61" s="4" t="inlineStr">
        <is>
          <t>抵禦1次攻擊</t>
        </is>
      </c>
    </row>
    <row r="62">
      <c r="A62" s="4" t="inlineStr">
        <is>
          <t>黑狗血</t>
        </is>
      </c>
      <c r="B62" s="4" t="inlineStr">
        <is>
          <t>材料</t>
        </is>
      </c>
      <c r="C62" s="4" t="n">
        <v>1</v>
      </c>
      <c r="D62" s="4" t="inlineStr">
        <is>
          <t>削弱殭屍</t>
        </is>
      </c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6">
      <c r="A66" s="6" t="inlineStr">
        <is>
          <t>當前體力（HP）（手填，上限參照 B18）</t>
        </is>
      </c>
      <c r="B66" s="4" t="n">
        <v>19</v>
      </c>
    </row>
    <row r="67">
      <c r="A67" s="6" t="inlineStr">
        <is>
          <t>當前法力池（MP）（手填，上限參照 B19）</t>
        </is>
      </c>
      <c r="B67" s="4" t="n">
        <v>26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玩家角色卡</t>
        </is>
      </c>
      <c r="B1" s="7" t="n"/>
      <c r="C1" s="7" t="n"/>
      <c r="D1" s="7" t="n"/>
      <c r="E1" s="7" t="n"/>
      <c r="F1" s="7" t="n"/>
      <c r="G1" s="7" t="n"/>
      <c r="H1" s="8" t="n"/>
    </row>
    <row r="3">
      <c r="A3" s="2" t="inlineStr">
        <is>
          <t>角色圖</t>
        </is>
      </c>
      <c r="B3" s="9" t="n"/>
      <c r="C3" s="10" t="n"/>
      <c r="D3" s="3" t="inlineStr">
        <is>
          <t>姓名</t>
        </is>
      </c>
      <c r="E3" s="4" t="inlineStr">
        <is>
          <t>阿成</t>
        </is>
      </c>
    </row>
    <row r="4">
      <c r="A4" s="11" t="n"/>
      <c r="C4" s="12" t="n"/>
      <c r="D4" s="3" t="inlineStr">
        <is>
          <t>法脈</t>
        </is>
      </c>
      <c r="E4" s="4" t="inlineStr">
        <is>
          <t>閭山</t>
        </is>
      </c>
    </row>
    <row r="5">
      <c r="A5" s="11" t="n"/>
      <c r="C5" s="12" t="n"/>
      <c r="D5" s="3" t="inlineStr">
        <is>
          <t>職業</t>
        </is>
      </c>
      <c r="E5" s="4" t="inlineStr">
        <is>
          <t>武師</t>
        </is>
      </c>
    </row>
    <row r="6">
      <c r="A6" s="13" t="n"/>
      <c r="B6" s="14" t="n"/>
      <c r="C6" s="15" t="n"/>
      <c r="D6" s="3" t="inlineStr">
        <is>
          <t>等級</t>
        </is>
      </c>
      <c r="E6" s="4" t="n">
        <v>1</v>
      </c>
    </row>
    <row r="7">
      <c r="D7" s="3" t="inlineStr">
        <is>
          <t>日常身分</t>
        </is>
      </c>
      <c r="E7" s="4" t="inlineStr">
        <is>
          <t>武館教練</t>
        </is>
      </c>
    </row>
    <row r="8">
      <c r="D8" s="3" t="inlineStr">
        <is>
          <t>職業體力加值</t>
        </is>
      </c>
      <c r="E8" s="4" t="n">
        <v>10</v>
      </c>
    </row>
    <row r="9">
      <c r="A9" s="3" t="inlineStr">
        <is>
          <t>五大屬性（數值 / 修正值）</t>
        </is>
      </c>
      <c r="B9" s="7" t="n"/>
      <c r="C9" s="8" t="n"/>
      <c r="D9" s="3" t="inlineStr">
        <is>
          <t>職業法力加值</t>
        </is>
      </c>
      <c r="E9" s="4" t="n">
        <v>0</v>
      </c>
    </row>
    <row r="10">
      <c r="A10" s="5" t="inlineStr">
        <is>
          <t>屬性</t>
        </is>
      </c>
      <c r="B10" s="5" t="inlineStr">
        <is>
          <t>數值</t>
        </is>
      </c>
      <c r="C10" s="5" t="inlineStr">
        <is>
          <t>修正值（Attr Mod）</t>
        </is>
      </c>
    </row>
    <row r="11">
      <c r="A11" s="4" t="inlineStr">
        <is>
          <t>身手（PHS）</t>
        </is>
      </c>
      <c r="B11" s="4" t="n">
        <v>6</v>
      </c>
      <c r="C11" s="4">
        <f>FLOOR((B11-5)/2, 1)</f>
        <v/>
      </c>
    </row>
    <row r="12">
      <c r="A12" s="4" t="inlineStr">
        <is>
          <t>道行（DOW）</t>
        </is>
      </c>
      <c r="B12" s="4" t="n">
        <v>6</v>
      </c>
      <c r="C12" s="4">
        <f>FLOOR((B12-5)/2, 1)</f>
        <v/>
      </c>
    </row>
    <row r="13">
      <c r="A13" s="4" t="inlineStr">
        <is>
          <t>靈感（INS）</t>
        </is>
      </c>
      <c r="B13" s="4" t="n">
        <v>6</v>
      </c>
      <c r="C13" s="4">
        <f>FLOOR((B13-5)/2, 1)</f>
        <v/>
      </c>
    </row>
    <row r="14">
      <c r="A14" s="4" t="inlineStr">
        <is>
          <t>知識（KNW）</t>
        </is>
      </c>
      <c r="B14" s="4" t="n">
        <v>4</v>
      </c>
      <c r="C14" s="4">
        <f>FLOOR((B14-5)/2, 1)</f>
        <v/>
      </c>
    </row>
    <row r="15">
      <c r="A15" s="4" t="inlineStr">
        <is>
          <t>定力（CMP）</t>
        </is>
      </c>
      <c r="B15" s="4" t="n">
        <v>3</v>
      </c>
      <c r="C15" s="4">
        <f>FLOOR((B15-5)/2, 1)</f>
        <v/>
      </c>
    </row>
    <row r="17">
      <c r="A17" s="3" t="inlineStr">
        <is>
          <t>衍生屬性</t>
        </is>
      </c>
      <c r="B17" s="7" t="n"/>
      <c r="C17" s="7" t="n"/>
      <c r="D17" s="7" t="n"/>
      <c r="E17" s="7" t="n"/>
      <c r="F17" s="8" t="n"/>
    </row>
    <row r="18">
      <c r="A18" s="6" t="inlineStr">
        <is>
          <t>體力（HP）上限</t>
        </is>
      </c>
      <c r="B18" s="4">
        <f>B11*3+10+($E$6-1)*2+$E$8</f>
        <v/>
      </c>
    </row>
    <row r="19">
      <c r="A19" s="6" t="inlineStr">
        <is>
          <t>法力池（MP）上限</t>
        </is>
      </c>
      <c r="B19" s="4">
        <f>B12*3+5+($E$6-1)*2+$E$9</f>
        <v/>
      </c>
    </row>
    <row r="20">
      <c r="A20" s="6" t="inlineStr">
        <is>
          <t>陰氣閾值（YT）</t>
        </is>
      </c>
      <c r="B20" s="4">
        <f>B15*2+B12</f>
        <v/>
      </c>
    </row>
    <row r="21">
      <c r="A21" s="6" t="inlineStr">
        <is>
          <t>靈視範圍（PR）（公尺）</t>
        </is>
      </c>
      <c r="B21" s="4">
        <f>B13*5</f>
        <v/>
      </c>
    </row>
    <row r="22">
      <c r="A22" s="6" t="inlineStr">
        <is>
          <t>附身抗性（PRZ）</t>
        </is>
      </c>
      <c r="B22" s="4">
        <f>C15</f>
        <v/>
      </c>
    </row>
    <row r="23">
      <c r="A23" s="6" t="inlineStr">
        <is>
          <t>陰氣值（YIN）（動態，起始0）</t>
        </is>
      </c>
      <c r="B23" s="4" t="n">
        <v>0</v>
      </c>
    </row>
    <row r="25">
      <c r="A25" s="3" t="inlineStr">
        <is>
          <t>技能表（等級 0-3 / 對應屬性修正值 / 技能總加值）</t>
        </is>
      </c>
      <c r="B25" s="7" t="n"/>
      <c r="C25" s="7" t="n"/>
      <c r="D25" s="7" t="n"/>
      <c r="E25" s="8" t="n"/>
    </row>
    <row r="26">
      <c r="A26" s="5" t="inlineStr">
        <is>
          <t>技能</t>
        </is>
      </c>
      <c r="B26" s="5" t="inlineStr">
        <is>
          <t>對應屬性</t>
        </is>
      </c>
      <c r="C26" s="5" t="inlineStr">
        <is>
          <t>等級(0-3)</t>
        </is>
      </c>
      <c r="D26" s="5" t="inlineStr">
        <is>
          <t>對應屬性修正值</t>
        </is>
      </c>
      <c r="E26" s="5" t="inlineStr">
        <is>
          <t>技能總加值</t>
        </is>
      </c>
    </row>
    <row r="27">
      <c r="A27" s="4" t="inlineStr">
        <is>
          <t>格鬥</t>
        </is>
      </c>
      <c r="B27" s="4" t="inlineStr">
        <is>
          <t>PHS</t>
        </is>
      </c>
      <c r="C27" s="4" t="n">
        <v>2</v>
      </c>
      <c r="D27" s="4">
        <f>C11</f>
        <v/>
      </c>
      <c r="E27" s="4">
        <f>D27+C27</f>
        <v/>
      </c>
    </row>
    <row r="28">
      <c r="A28" s="4" t="inlineStr">
        <is>
          <t>閃避</t>
        </is>
      </c>
      <c r="B28" s="4" t="inlineStr">
        <is>
          <t>PHS</t>
        </is>
      </c>
      <c r="C28" s="4" t="n">
        <v>1</v>
      </c>
      <c r="D28" s="4">
        <f>C11</f>
        <v/>
      </c>
      <c r="E28" s="4">
        <f>D28+C28</f>
        <v/>
      </c>
    </row>
    <row r="29">
      <c r="A29" s="4" t="inlineStr">
        <is>
          <t>攀爬</t>
        </is>
      </c>
      <c r="B29" s="4" t="inlineStr">
        <is>
          <t>PHS</t>
        </is>
      </c>
      <c r="C29" s="4" t="n">
        <v>1</v>
      </c>
      <c r="D29" s="4">
        <f>C11</f>
        <v/>
      </c>
      <c r="E29" s="4">
        <f>D29+C29</f>
        <v/>
      </c>
    </row>
    <row r="30">
      <c r="A30" s="4" t="inlineStr">
        <is>
          <t>潛行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追跡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畫符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咒語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手印</t>
        </is>
      </c>
      <c r="B34" s="4" t="inlineStr">
        <is>
          <t>DOW</t>
        </is>
      </c>
      <c r="C34" s="4" t="n">
        <v>1</v>
      </c>
      <c r="D34" s="4">
        <f>C12</f>
        <v/>
      </c>
      <c r="E34" s="4">
        <f>D34+C34</f>
        <v/>
      </c>
    </row>
    <row r="35">
      <c r="A35" s="4" t="inlineStr">
        <is>
          <t>開壇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結界</t>
        </is>
      </c>
      <c r="B36" s="4" t="inlineStr">
        <is>
          <t>DOW</t>
        </is>
      </c>
      <c r="C36" s="4" t="n">
        <v>0</v>
      </c>
      <c r="D36" s="4">
        <f>C12</f>
        <v/>
      </c>
      <c r="E36" s="4">
        <f>D36+C36</f>
        <v/>
      </c>
    </row>
    <row r="37">
      <c r="A37" s="4" t="inlineStr">
        <is>
          <t>感知靈體</t>
        </is>
      </c>
      <c r="B37" s="4" t="inlineStr">
        <is>
          <t>INS</t>
        </is>
      </c>
      <c r="C37" s="4" t="n">
        <v>0</v>
      </c>
      <c r="D37" s="4">
        <f>C13</f>
        <v/>
      </c>
      <c r="E37" s="4">
        <f>D37+C37</f>
        <v/>
      </c>
    </row>
    <row r="38">
      <c r="A38" s="4" t="inlineStr">
        <is>
          <t>溝通</t>
        </is>
      </c>
      <c r="B38" s="4" t="inlineStr">
        <is>
          <t>INS</t>
        </is>
      </c>
      <c r="C38" s="4" t="n">
        <v>0</v>
      </c>
      <c r="D38" s="4">
        <f>C13</f>
        <v/>
      </c>
      <c r="E38" s="4">
        <f>D38+C38</f>
        <v/>
      </c>
    </row>
    <row r="39">
      <c r="A39" s="4" t="inlineStr">
        <is>
          <t>陰氣感知</t>
        </is>
      </c>
      <c r="B39" s="4" t="inlineStr">
        <is>
          <t>INS</t>
        </is>
      </c>
      <c r="C39" s="4" t="n">
        <v>0</v>
      </c>
      <c r="D39" s="4">
        <f>C13</f>
        <v/>
      </c>
      <c r="E39" s="4">
        <f>D39+C39</f>
        <v/>
      </c>
    </row>
    <row r="40">
      <c r="A40" s="4" t="inlineStr">
        <is>
          <t>直覺</t>
        </is>
      </c>
      <c r="B40" s="4" t="inlineStr">
        <is>
          <t>INS</t>
        </is>
      </c>
      <c r="C40" s="4" t="n">
        <v>0</v>
      </c>
      <c r="D40" s="4">
        <f>C13</f>
        <v/>
      </c>
      <c r="E40" s="4">
        <f>D40+C40</f>
        <v/>
      </c>
    </row>
    <row r="41">
      <c r="A41" s="4" t="inlineStr">
        <is>
          <t>民俗學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法脈知識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鑑識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文獻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意志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抗恐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鎮定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抗毒</t>
        </is>
      </c>
      <c r="B48" s="4" t="inlineStr">
        <is>
          <t>CMP</t>
        </is>
      </c>
      <c r="C48" s="4" t="n">
        <v>1</v>
      </c>
      <c r="D48" s="4">
        <f>C15</f>
        <v/>
      </c>
      <c r="E48" s="4">
        <f>D48+C48</f>
        <v/>
      </c>
    </row>
    <row r="50">
      <c r="A50" s="3" t="inlineStr">
        <is>
          <t>戰鬥</t>
        </is>
      </c>
      <c r="B50" s="7" t="n"/>
      <c r="C50" s="7" t="n"/>
      <c r="D50" s="7" t="n"/>
      <c r="E50" s="8" t="n"/>
    </row>
    <row r="51">
      <c r="A51" s="6" t="inlineStr">
        <is>
          <t>護甲等級（AC）</t>
        </is>
      </c>
      <c r="B51" s="4">
        <f>10+C11+C28</f>
        <v/>
      </c>
    </row>
    <row r="52">
      <c r="A52" s="6" t="inlineStr">
        <is>
          <t>先攻（INIT）加值</t>
        </is>
      </c>
      <c r="B52" s="4">
        <f>C11</f>
        <v/>
      </c>
    </row>
    <row r="53">
      <c r="A53" s="6" t="inlineStr">
        <is>
          <t>移動（MOVE）（公尺）</t>
        </is>
      </c>
      <c r="B53" s="4" t="n">
        <v>6</v>
      </c>
    </row>
    <row r="55">
      <c r="A55" s="3" t="inlineStr">
        <is>
          <t>裝備 / 符咒 / 材料清單（可手填）</t>
        </is>
      </c>
      <c r="B55" s="7" t="n"/>
      <c r="C55" s="7" t="n"/>
      <c r="D55" s="7" t="n"/>
      <c r="E55" s="8" t="n"/>
    </row>
    <row r="56">
      <c r="A56" s="5" t="inlineStr">
        <is>
          <t>名稱</t>
        </is>
      </c>
      <c r="B56" s="5" t="inlineStr">
        <is>
          <t>類型</t>
        </is>
      </c>
      <c r="C56" s="5" t="inlineStr">
        <is>
          <t>數量</t>
        </is>
      </c>
      <c r="D56" s="5" t="inlineStr">
        <is>
          <t>備註</t>
        </is>
      </c>
    </row>
    <row r="57">
      <c r="A57" s="4" t="inlineStr">
        <is>
          <t>桃木劍</t>
        </is>
      </c>
      <c r="B57" s="4" t="inlineStr">
        <is>
          <t>法器</t>
        </is>
      </c>
      <c r="C57" s="4" t="n">
        <v>1</v>
      </c>
      <c r="D57" s="4" t="inlineStr">
        <is>
          <t>對靈體/殭屍+2</t>
        </is>
      </c>
    </row>
    <row r="58">
      <c r="A58" s="4" t="inlineStr">
        <is>
          <t>銅錢劍</t>
        </is>
      </c>
      <c r="B58" s="4" t="inlineStr">
        <is>
          <t>法器</t>
        </is>
      </c>
      <c r="C58" s="4" t="n">
        <v>1</v>
      </c>
      <c r="D58" s="4" t="inlineStr">
        <is>
          <t>對殭屍定身</t>
        </is>
      </c>
    </row>
    <row r="59">
      <c r="A59" s="4" t="inlineStr">
        <is>
          <t>鈴刀</t>
        </is>
      </c>
      <c r="B59" s="4" t="inlineStr">
        <is>
          <t>法器</t>
        </is>
      </c>
      <c r="C59" s="4" t="n">
        <v>1</v>
      </c>
      <c r="D59" s="4" t="inlineStr">
        <is>
          <t>閭山法器</t>
        </is>
      </c>
    </row>
    <row r="60">
      <c r="A60" s="4" t="inlineStr">
        <is>
          <t>八卦鏡</t>
        </is>
      </c>
      <c r="B60" s="4" t="inlineStr">
        <is>
          <t>佩戴</t>
        </is>
      </c>
      <c r="C60" s="4" t="n">
        <v>1</v>
      </c>
      <c r="D60" s="4" t="inlineStr">
        <is>
          <t>感知靈體+1</t>
        </is>
      </c>
    </row>
    <row r="61">
      <c r="A61" s="4" t="inlineStr">
        <is>
          <t>糯米</t>
        </is>
      </c>
      <c r="B61" s="4" t="inlineStr">
        <is>
          <t>材料</t>
        </is>
      </c>
      <c r="C61" s="4" t="n">
        <v>1</v>
      </c>
      <c r="D61" s="4" t="inlineStr">
        <is>
          <t>殭屍灼傷</t>
        </is>
      </c>
    </row>
    <row r="62">
      <c r="A62" s="4" t="inlineStr">
        <is>
          <t>鎮屍符</t>
        </is>
      </c>
      <c r="B62" s="4" t="inlineStr">
        <is>
          <t>符咒</t>
        </is>
      </c>
      <c r="C62" s="4" t="n">
        <v>2</v>
      </c>
      <c r="D62" s="4" t="inlineStr">
        <is>
          <t>定身(耗MP3)</t>
        </is>
      </c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6">
      <c r="A66" s="6" t="inlineStr">
        <is>
          <t>當前體力（HP）（手填，上限參照 B18）</t>
        </is>
      </c>
      <c r="B66" s="4" t="n">
        <v>38</v>
      </c>
    </row>
    <row r="67">
      <c r="A67" s="6" t="inlineStr">
        <is>
          <t>當前法力池（MP）（手填，上限參照 B19）</t>
        </is>
      </c>
      <c r="B67" s="4" t="n">
        <v>23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玩家角色卡</t>
        </is>
      </c>
      <c r="B1" s="7" t="n"/>
      <c r="C1" s="7" t="n"/>
      <c r="D1" s="7" t="n"/>
      <c r="E1" s="7" t="n"/>
      <c r="F1" s="7" t="n"/>
      <c r="G1" s="7" t="n"/>
      <c r="H1" s="8" t="n"/>
    </row>
    <row r="3">
      <c r="A3" s="2" t="inlineStr">
        <is>
          <t>角色圖</t>
        </is>
      </c>
      <c r="B3" s="9" t="n"/>
      <c r="C3" s="10" t="n"/>
      <c r="D3" s="3" t="inlineStr">
        <is>
          <t>姓名</t>
        </is>
      </c>
      <c r="E3" s="4" t="inlineStr">
        <is>
          <t>小嵐</t>
        </is>
      </c>
    </row>
    <row r="4">
      <c r="A4" s="11" t="n"/>
      <c r="C4" s="12" t="n"/>
      <c r="D4" s="3" t="inlineStr">
        <is>
          <t>法脈</t>
        </is>
      </c>
      <c r="E4" s="4" t="inlineStr">
        <is>
          <t>自學天賦</t>
        </is>
      </c>
    </row>
    <row r="5">
      <c r="A5" s="11" t="n"/>
      <c r="C5" s="12" t="n"/>
      <c r="D5" s="3" t="inlineStr">
        <is>
          <t>職業</t>
        </is>
      </c>
      <c r="E5" s="4" t="inlineStr">
        <is>
          <t>靈媒</t>
        </is>
      </c>
    </row>
    <row r="6">
      <c r="A6" s="13" t="n"/>
      <c r="B6" s="14" t="n"/>
      <c r="C6" s="15" t="n"/>
      <c r="D6" s="3" t="inlineStr">
        <is>
          <t>等級</t>
        </is>
      </c>
      <c r="E6" s="4" t="n">
        <v>1</v>
      </c>
    </row>
    <row r="7">
      <c r="D7" s="3" t="inlineStr">
        <is>
          <t>日常身分</t>
        </is>
      </c>
      <c r="E7" s="4" t="inlineStr">
        <is>
          <t>網拍店主</t>
        </is>
      </c>
    </row>
    <row r="8">
      <c r="D8" s="3" t="inlineStr">
        <is>
          <t>職業體力加值</t>
        </is>
      </c>
      <c r="E8" s="4" t="n">
        <v>0</v>
      </c>
    </row>
    <row r="9">
      <c r="A9" s="3" t="inlineStr">
        <is>
          <t>五大屬性（數值 / 修正值）</t>
        </is>
      </c>
      <c r="B9" s="7" t="n"/>
      <c r="C9" s="8" t="n"/>
      <c r="D9" s="3" t="inlineStr">
        <is>
          <t>職業法力加值</t>
        </is>
      </c>
      <c r="E9" s="4" t="n">
        <v>-2</v>
      </c>
    </row>
    <row r="10">
      <c r="A10" s="5" t="inlineStr">
        <is>
          <t>屬性</t>
        </is>
      </c>
      <c r="B10" s="5" t="inlineStr">
        <is>
          <t>數值</t>
        </is>
      </c>
      <c r="C10" s="5" t="inlineStr">
        <is>
          <t>修正值（Attr Mod）</t>
        </is>
      </c>
    </row>
    <row r="11">
      <c r="A11" s="4" t="inlineStr">
        <is>
          <t>身手（PHS）</t>
        </is>
      </c>
      <c r="B11" s="4" t="n">
        <v>4</v>
      </c>
      <c r="C11" s="4">
        <f>FLOOR((B11-5)/2, 1)</f>
        <v/>
      </c>
    </row>
    <row r="12">
      <c r="A12" s="4" t="inlineStr">
        <is>
          <t>道行（DOW）</t>
        </is>
      </c>
      <c r="B12" s="4" t="n">
        <v>4</v>
      </c>
      <c r="C12" s="4">
        <f>FLOOR((B12-5)/2, 1)</f>
        <v/>
      </c>
    </row>
    <row r="13">
      <c r="A13" s="4" t="inlineStr">
        <is>
          <t>靈感（INS）</t>
        </is>
      </c>
      <c r="B13" s="4" t="n">
        <v>9</v>
      </c>
      <c r="C13" s="4">
        <f>FLOOR((B13-5)/2, 1)</f>
        <v/>
      </c>
    </row>
    <row r="14">
      <c r="A14" s="4" t="inlineStr">
        <is>
          <t>知識（KNW）</t>
        </is>
      </c>
      <c r="B14" s="4" t="n">
        <v>4</v>
      </c>
      <c r="C14" s="4">
        <f>FLOOR((B14-5)/2, 1)</f>
        <v/>
      </c>
    </row>
    <row r="15">
      <c r="A15" s="4" t="inlineStr">
        <is>
          <t>定力（CMP）</t>
        </is>
      </c>
      <c r="B15" s="4" t="n">
        <v>4</v>
      </c>
      <c r="C15" s="4">
        <f>FLOOR((B15-5)/2, 1)</f>
        <v/>
      </c>
    </row>
    <row r="17">
      <c r="A17" s="3" t="inlineStr">
        <is>
          <t>衍生屬性</t>
        </is>
      </c>
      <c r="B17" s="7" t="n"/>
      <c r="C17" s="7" t="n"/>
      <c r="D17" s="7" t="n"/>
      <c r="E17" s="7" t="n"/>
      <c r="F17" s="8" t="n"/>
    </row>
    <row r="18">
      <c r="A18" s="6" t="inlineStr">
        <is>
          <t>體力（HP）上限</t>
        </is>
      </c>
      <c r="B18" s="4">
        <f>B11*3+10+($E$6-1)*2+$E$8</f>
        <v/>
      </c>
    </row>
    <row r="19">
      <c r="A19" s="6" t="inlineStr">
        <is>
          <t>法力池（MP）上限</t>
        </is>
      </c>
      <c r="B19" s="4">
        <f>B12*3+5+($E$6-1)*2+$E$9</f>
        <v/>
      </c>
    </row>
    <row r="20">
      <c r="A20" s="6" t="inlineStr">
        <is>
          <t>陰氣閾值（YT）</t>
        </is>
      </c>
      <c r="B20" s="4">
        <f>B15*2+B12</f>
        <v/>
      </c>
    </row>
    <row r="21">
      <c r="A21" s="6" t="inlineStr">
        <is>
          <t>靈視範圍（PR）（公尺）</t>
        </is>
      </c>
      <c r="B21" s="4">
        <f>B13*5</f>
        <v/>
      </c>
    </row>
    <row r="22">
      <c r="A22" s="6" t="inlineStr">
        <is>
          <t>附身抗性（PRZ）</t>
        </is>
      </c>
      <c r="B22" s="4">
        <f>C15</f>
        <v/>
      </c>
    </row>
    <row r="23">
      <c r="A23" s="6" t="inlineStr">
        <is>
          <t>陰氣值（YIN）（動態，起始0）</t>
        </is>
      </c>
      <c r="B23" s="4" t="n">
        <v>0</v>
      </c>
    </row>
    <row r="25">
      <c r="A25" s="3" t="inlineStr">
        <is>
          <t>技能表（等級 0-3 / 對應屬性修正值 / 技能總加值）</t>
        </is>
      </c>
      <c r="B25" s="7" t="n"/>
      <c r="C25" s="7" t="n"/>
      <c r="D25" s="7" t="n"/>
      <c r="E25" s="8" t="n"/>
    </row>
    <row r="26">
      <c r="A26" s="5" t="inlineStr">
        <is>
          <t>技能</t>
        </is>
      </c>
      <c r="B26" s="5" t="inlineStr">
        <is>
          <t>對應屬性</t>
        </is>
      </c>
      <c r="C26" s="5" t="inlineStr">
        <is>
          <t>等級(0-3)</t>
        </is>
      </c>
      <c r="D26" s="5" t="inlineStr">
        <is>
          <t>對應屬性修正值</t>
        </is>
      </c>
      <c r="E26" s="5" t="inlineStr">
        <is>
          <t>技能總加值</t>
        </is>
      </c>
    </row>
    <row r="27">
      <c r="A27" s="4" t="inlineStr">
        <is>
          <t>格鬥</t>
        </is>
      </c>
      <c r="B27" s="4" t="inlineStr">
        <is>
          <t>PHS</t>
        </is>
      </c>
      <c r="C27" s="4" t="n">
        <v>0</v>
      </c>
      <c r="D27" s="4">
        <f>C11</f>
        <v/>
      </c>
      <c r="E27" s="4">
        <f>D27+C27</f>
        <v/>
      </c>
    </row>
    <row r="28">
      <c r="A28" s="4" t="inlineStr">
        <is>
          <t>閃避</t>
        </is>
      </c>
      <c r="B28" s="4" t="inlineStr">
        <is>
          <t>PHS</t>
        </is>
      </c>
      <c r="C28" s="4" t="n">
        <v>0</v>
      </c>
      <c r="D28" s="4">
        <f>C11</f>
        <v/>
      </c>
      <c r="E28" s="4">
        <f>D28+C28</f>
        <v/>
      </c>
    </row>
    <row r="29">
      <c r="A29" s="4" t="inlineStr">
        <is>
          <t>攀爬</t>
        </is>
      </c>
      <c r="B29" s="4" t="inlineStr">
        <is>
          <t>PHS</t>
        </is>
      </c>
      <c r="C29" s="4" t="n">
        <v>0</v>
      </c>
      <c r="D29" s="4">
        <f>C11</f>
        <v/>
      </c>
      <c r="E29" s="4">
        <f>D29+C29</f>
        <v/>
      </c>
    </row>
    <row r="30">
      <c r="A30" s="4" t="inlineStr">
        <is>
          <t>潛行</t>
        </is>
      </c>
      <c r="B30" s="4" t="inlineStr">
        <is>
          <t>PHS</t>
        </is>
      </c>
      <c r="C30" s="4" t="n">
        <v>0</v>
      </c>
      <c r="D30" s="4">
        <f>C11</f>
        <v/>
      </c>
      <c r="E30" s="4">
        <f>D30+C30</f>
        <v/>
      </c>
    </row>
    <row r="31">
      <c r="A31" s="4" t="inlineStr">
        <is>
          <t>追跡</t>
        </is>
      </c>
      <c r="B31" s="4" t="inlineStr">
        <is>
          <t>PHS</t>
        </is>
      </c>
      <c r="C31" s="4" t="n">
        <v>0</v>
      </c>
      <c r="D31" s="4">
        <f>C11</f>
        <v/>
      </c>
      <c r="E31" s="4">
        <f>D31+C31</f>
        <v/>
      </c>
    </row>
    <row r="32">
      <c r="A32" s="4" t="inlineStr">
        <is>
          <t>畫符</t>
        </is>
      </c>
      <c r="B32" s="4" t="inlineStr">
        <is>
          <t>DOW</t>
        </is>
      </c>
      <c r="C32" s="4" t="n">
        <v>0</v>
      </c>
      <c r="D32" s="4">
        <f>C12</f>
        <v/>
      </c>
      <c r="E32" s="4">
        <f>D32+C32</f>
        <v/>
      </c>
    </row>
    <row r="33">
      <c r="A33" s="4" t="inlineStr">
        <is>
          <t>咒語</t>
        </is>
      </c>
      <c r="B33" s="4" t="inlineStr">
        <is>
          <t>DOW</t>
        </is>
      </c>
      <c r="C33" s="4" t="n">
        <v>0</v>
      </c>
      <c r="D33" s="4">
        <f>C12</f>
        <v/>
      </c>
      <c r="E33" s="4">
        <f>D33+C33</f>
        <v/>
      </c>
    </row>
    <row r="34">
      <c r="A34" s="4" t="inlineStr">
        <is>
          <t>手印</t>
        </is>
      </c>
      <c r="B34" s="4" t="inlineStr">
        <is>
          <t>DOW</t>
        </is>
      </c>
      <c r="C34" s="4" t="n">
        <v>0</v>
      </c>
      <c r="D34" s="4">
        <f>C12</f>
        <v/>
      </c>
      <c r="E34" s="4">
        <f>D34+C34</f>
        <v/>
      </c>
    </row>
    <row r="35">
      <c r="A35" s="4" t="inlineStr">
        <is>
          <t>開壇</t>
        </is>
      </c>
      <c r="B35" s="4" t="inlineStr">
        <is>
          <t>DOW</t>
        </is>
      </c>
      <c r="C35" s="4" t="n">
        <v>0</v>
      </c>
      <c r="D35" s="4">
        <f>C12</f>
        <v/>
      </c>
      <c r="E35" s="4">
        <f>D35+C35</f>
        <v/>
      </c>
    </row>
    <row r="36">
      <c r="A36" s="4" t="inlineStr">
        <is>
          <t>結界</t>
        </is>
      </c>
      <c r="B36" s="4" t="inlineStr">
        <is>
          <t>DOW</t>
        </is>
      </c>
      <c r="C36" s="4" t="n">
        <v>0</v>
      </c>
      <c r="D36" s="4">
        <f>C12</f>
        <v/>
      </c>
      <c r="E36" s="4">
        <f>D36+C36</f>
        <v/>
      </c>
    </row>
    <row r="37">
      <c r="A37" s="4" t="inlineStr">
        <is>
          <t>感知靈體</t>
        </is>
      </c>
      <c r="B37" s="4" t="inlineStr">
        <is>
          <t>INS</t>
        </is>
      </c>
      <c r="C37" s="4" t="n">
        <v>2</v>
      </c>
      <c r="D37" s="4">
        <f>C13</f>
        <v/>
      </c>
      <c r="E37" s="4">
        <f>D37+C37</f>
        <v/>
      </c>
    </row>
    <row r="38">
      <c r="A38" s="4" t="inlineStr">
        <is>
          <t>溝通</t>
        </is>
      </c>
      <c r="B38" s="4" t="inlineStr">
        <is>
          <t>INS</t>
        </is>
      </c>
      <c r="C38" s="4" t="n">
        <v>1</v>
      </c>
      <c r="D38" s="4">
        <f>C13</f>
        <v/>
      </c>
      <c r="E38" s="4">
        <f>D38+C38</f>
        <v/>
      </c>
    </row>
    <row r="39">
      <c r="A39" s="4" t="inlineStr">
        <is>
          <t>陰氣感知</t>
        </is>
      </c>
      <c r="B39" s="4" t="inlineStr">
        <is>
          <t>INS</t>
        </is>
      </c>
      <c r="C39" s="4" t="n">
        <v>1</v>
      </c>
      <c r="D39" s="4">
        <f>C13</f>
        <v/>
      </c>
      <c r="E39" s="4">
        <f>D39+C39</f>
        <v/>
      </c>
    </row>
    <row r="40">
      <c r="A40" s="4" t="inlineStr">
        <is>
          <t>直覺</t>
        </is>
      </c>
      <c r="B40" s="4" t="inlineStr">
        <is>
          <t>INS</t>
        </is>
      </c>
      <c r="C40" s="4" t="n">
        <v>1</v>
      </c>
      <c r="D40" s="4">
        <f>C13</f>
        <v/>
      </c>
      <c r="E40" s="4">
        <f>D40+C40</f>
        <v/>
      </c>
    </row>
    <row r="41">
      <c r="A41" s="4" t="inlineStr">
        <is>
          <t>民俗學</t>
        </is>
      </c>
      <c r="B41" s="4" t="inlineStr">
        <is>
          <t>KNW</t>
        </is>
      </c>
      <c r="C41" s="4" t="n">
        <v>0</v>
      </c>
      <c r="D41" s="4">
        <f>C14</f>
        <v/>
      </c>
      <c r="E41" s="4">
        <f>D41+C41</f>
        <v/>
      </c>
    </row>
    <row r="42">
      <c r="A42" s="4" t="inlineStr">
        <is>
          <t>法脈知識</t>
        </is>
      </c>
      <c r="B42" s="4" t="inlineStr">
        <is>
          <t>KNW</t>
        </is>
      </c>
      <c r="C42" s="4" t="n">
        <v>0</v>
      </c>
      <c r="D42" s="4">
        <f>C14</f>
        <v/>
      </c>
      <c r="E42" s="4">
        <f>D42+C42</f>
        <v/>
      </c>
    </row>
    <row r="43">
      <c r="A43" s="4" t="inlineStr">
        <is>
          <t>鑑識</t>
        </is>
      </c>
      <c r="B43" s="4" t="inlineStr">
        <is>
          <t>KNW</t>
        </is>
      </c>
      <c r="C43" s="4" t="n">
        <v>0</v>
      </c>
      <c r="D43" s="4">
        <f>C14</f>
        <v/>
      </c>
      <c r="E43" s="4">
        <f>D43+C43</f>
        <v/>
      </c>
    </row>
    <row r="44">
      <c r="A44" s="4" t="inlineStr">
        <is>
          <t>文獻</t>
        </is>
      </c>
      <c r="B44" s="4" t="inlineStr">
        <is>
          <t>KNW</t>
        </is>
      </c>
      <c r="C44" s="4" t="n">
        <v>0</v>
      </c>
      <c r="D44" s="4">
        <f>C14</f>
        <v/>
      </c>
      <c r="E44" s="4">
        <f>D44+C44</f>
        <v/>
      </c>
    </row>
    <row r="45">
      <c r="A45" s="4" t="inlineStr">
        <is>
          <t>意志</t>
        </is>
      </c>
      <c r="B45" s="4" t="inlineStr">
        <is>
          <t>CMP</t>
        </is>
      </c>
      <c r="C45" s="4" t="n">
        <v>0</v>
      </c>
      <c r="D45" s="4">
        <f>C15</f>
        <v/>
      </c>
      <c r="E45" s="4">
        <f>D45+C45</f>
        <v/>
      </c>
    </row>
    <row r="46">
      <c r="A46" s="4" t="inlineStr">
        <is>
          <t>抗恐</t>
        </is>
      </c>
      <c r="B46" s="4" t="inlineStr">
        <is>
          <t>CMP</t>
        </is>
      </c>
      <c r="C46" s="4" t="n">
        <v>0</v>
      </c>
      <c r="D46" s="4">
        <f>C15</f>
        <v/>
      </c>
      <c r="E46" s="4">
        <f>D46+C46</f>
        <v/>
      </c>
    </row>
    <row r="47">
      <c r="A47" s="4" t="inlineStr">
        <is>
          <t>鎮定</t>
        </is>
      </c>
      <c r="B47" s="4" t="inlineStr">
        <is>
          <t>CMP</t>
        </is>
      </c>
      <c r="C47" s="4" t="n">
        <v>0</v>
      </c>
      <c r="D47" s="4">
        <f>C15</f>
        <v/>
      </c>
      <c r="E47" s="4">
        <f>D47+C47</f>
        <v/>
      </c>
    </row>
    <row r="48">
      <c r="A48" s="4" t="inlineStr">
        <is>
          <t>抗毒</t>
        </is>
      </c>
      <c r="B48" s="4" t="inlineStr">
        <is>
          <t>CMP</t>
        </is>
      </c>
      <c r="C48" s="4" t="n">
        <v>0</v>
      </c>
      <c r="D48" s="4">
        <f>C15</f>
        <v/>
      </c>
      <c r="E48" s="4">
        <f>D48+C48</f>
        <v/>
      </c>
    </row>
    <row r="50">
      <c r="A50" s="3" t="inlineStr">
        <is>
          <t>戰鬥</t>
        </is>
      </c>
      <c r="B50" s="7" t="n"/>
      <c r="C50" s="7" t="n"/>
      <c r="D50" s="7" t="n"/>
      <c r="E50" s="8" t="n"/>
    </row>
    <row r="51">
      <c r="A51" s="6" t="inlineStr">
        <is>
          <t>護甲等級（AC）</t>
        </is>
      </c>
      <c r="B51" s="4">
        <f>10+C11+C28</f>
        <v/>
      </c>
    </row>
    <row r="52">
      <c r="A52" s="6" t="inlineStr">
        <is>
          <t>先攻（INIT）加值</t>
        </is>
      </c>
      <c r="B52" s="4">
        <f>C11</f>
        <v/>
      </c>
    </row>
    <row r="53">
      <c r="A53" s="6" t="inlineStr">
        <is>
          <t>移動（MOVE）（公尺）</t>
        </is>
      </c>
      <c r="B53" s="4" t="n">
        <v>6</v>
      </c>
    </row>
    <row r="55">
      <c r="A55" s="3" t="inlineStr">
        <is>
          <t>裝備 / 符咒 / 材料清單（可手填）</t>
        </is>
      </c>
      <c r="B55" s="7" t="n"/>
      <c r="C55" s="7" t="n"/>
      <c r="D55" s="7" t="n"/>
      <c r="E55" s="8" t="n"/>
    </row>
    <row r="56">
      <c r="A56" s="5" t="inlineStr">
        <is>
          <t>名稱</t>
        </is>
      </c>
      <c r="B56" s="5" t="inlineStr">
        <is>
          <t>類型</t>
        </is>
      </c>
      <c r="C56" s="5" t="inlineStr">
        <is>
          <t>數量</t>
        </is>
      </c>
      <c r="D56" s="5" t="inlineStr">
        <is>
          <t>備註</t>
        </is>
      </c>
    </row>
    <row r="57">
      <c r="A57" s="4" t="inlineStr">
        <is>
          <t>三清鈴</t>
        </is>
      </c>
      <c r="B57" s="4" t="inlineStr">
        <is>
          <t>道具</t>
        </is>
      </c>
      <c r="C57" s="4" t="n">
        <v>1</v>
      </c>
      <c r="D57" s="4" t="inlineStr">
        <is>
          <t>震懾低階靈體</t>
        </is>
      </c>
    </row>
    <row r="58">
      <c r="A58" s="4" t="inlineStr">
        <is>
          <t>八卦鏡</t>
        </is>
      </c>
      <c r="B58" s="4" t="inlineStr">
        <is>
          <t>佩戴</t>
        </is>
      </c>
      <c r="C58" s="4" t="n">
        <v>1</v>
      </c>
      <c r="D58" s="4" t="inlineStr">
        <is>
          <t>感知靈體+1</t>
        </is>
      </c>
    </row>
    <row r="59">
      <c r="A59" s="4" t="inlineStr">
        <is>
          <t>開眼符</t>
        </is>
      </c>
      <c r="B59" s="4" t="inlineStr">
        <is>
          <t>符咒</t>
        </is>
      </c>
      <c r="C59" s="4" t="n">
        <v>3</v>
      </c>
      <c r="D59" s="4" t="inlineStr">
        <is>
          <t>靈視+10m、見隱形、10分(耗MP3)</t>
        </is>
      </c>
    </row>
    <row r="60">
      <c r="A60" s="4" t="inlineStr">
        <is>
          <t>定魂符</t>
        </is>
      </c>
      <c r="B60" s="4" t="inlineStr">
        <is>
          <t>符咒</t>
        </is>
      </c>
      <c r="C60" s="4" t="n">
        <v>3</v>
      </c>
      <c r="D60" s="4" t="inlineStr">
        <is>
          <t>鎮靜2回合(耗MP2)</t>
        </is>
      </c>
    </row>
    <row r="61">
      <c r="A61" s="4" t="inlineStr">
        <is>
          <t>羅庚</t>
        </is>
      </c>
      <c r="B61" s="4" t="inlineStr">
        <is>
          <t>道具</t>
        </is>
      </c>
      <c r="C61" s="4" t="n">
        <v>1</v>
      </c>
      <c r="D61" s="4" t="inlineStr">
        <is>
          <t>陰氣感知+2</t>
        </is>
      </c>
    </row>
    <row r="62">
      <c r="A62" s="4" t="inlineStr">
        <is>
          <t>相機</t>
        </is>
      </c>
      <c r="B62" s="4" t="inlineStr">
        <is>
          <t>道具</t>
        </is>
      </c>
      <c r="C62" s="4" t="n">
        <v>1</v>
      </c>
      <c r="D62" s="4" t="inlineStr">
        <is>
          <t>記錄證據</t>
        </is>
      </c>
    </row>
    <row r="63">
      <c r="A63" s="4" t="inlineStr"/>
      <c r="B63" s="4" t="inlineStr"/>
      <c r="C63" s="4" t="inlineStr"/>
      <c r="D63" s="4" t="inlineStr"/>
    </row>
    <row r="64">
      <c r="A64" s="4" t="inlineStr"/>
      <c r="B64" s="4" t="inlineStr"/>
      <c r="C64" s="4" t="inlineStr"/>
      <c r="D64" s="4" t="inlineStr"/>
    </row>
    <row r="66">
      <c r="A66" s="6" t="inlineStr">
        <is>
          <t>當前體力（HP）（手填，上限參照 B18）</t>
        </is>
      </c>
      <c r="B66" s="4" t="n">
        <v>22</v>
      </c>
    </row>
    <row r="67">
      <c r="A67" s="6" t="inlineStr">
        <is>
          <t>當前法力池（MP）（手填，上限參照 B19）</t>
        </is>
      </c>
      <c r="B67" s="4" t="n">
        <v>15</v>
      </c>
    </row>
  </sheetData>
  <mergeCells count="7">
    <mergeCell ref="A55:E55"/>
    <mergeCell ref="A50:E50"/>
    <mergeCell ref="A25:E25"/>
    <mergeCell ref="A9:C9"/>
    <mergeCell ref="A17:F17"/>
    <mergeCell ref="A1:H1"/>
    <mergeCell ref="A3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2026-07-25T08:41:31Z</dcterms:created>
  <dcterms:modified xsi:type="dcterms:W3CDTF">2026-07-25T19:25:27Z</dcterms:modified>
</cp:coreProperties>
</file>