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九叔" sheetId="1" state="visible" r:id="rId1"/>
    <sheet name="牛頭阿炳" sheetId="2" state="visible" r:id="rId2"/>
    <sheet name="七叔公" sheetId="3" state="visible" r:id="rId3"/>
    <sheet name="程規瑶" sheetId="4" state="visible" r:id="rId4"/>
    <sheet name="無太師傅" sheetId="5" state="visible" r:id="rId5"/>
    <sheet name="陳法青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九叔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殯儀館老闆／入斂師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民間雜派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守住殯儀館內安寧，不讓死者作怪，維持陽陰兩界體面。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4</v>
      </c>
      <c r="C10" s="4">
        <f>FLOOR((B10-5)/2, 1)</f>
        <v/>
      </c>
    </row>
    <row r="11">
      <c r="A11" s="4" t="inlineStr">
        <is>
          <t>道行（DOW）</t>
        </is>
      </c>
      <c r="B11" s="4" t="n">
        <v>5</v>
      </c>
      <c r="C11" s="4">
        <f>FLOOR((B11-5)/2, 1)</f>
        <v/>
      </c>
    </row>
    <row r="12">
      <c r="A12" s="4" t="inlineStr">
        <is>
          <t>靈感（INS）</t>
        </is>
      </c>
      <c r="B12" s="4" t="n">
        <v>5</v>
      </c>
      <c r="C12" s="4">
        <f>FLOOR((B12-5)/2, 1)</f>
        <v/>
      </c>
    </row>
    <row r="13">
      <c r="A13" s="4" t="inlineStr">
        <is>
          <t>知識（KNW）</t>
        </is>
      </c>
      <c r="B13" s="4" t="n">
        <v>5</v>
      </c>
      <c r="C13" s="4">
        <f>FLOOR((B13-5)/2, 1)</f>
        <v/>
      </c>
    </row>
    <row r="14">
      <c r="A14" s="4" t="inlineStr">
        <is>
          <t>定力（CMP）</t>
        </is>
      </c>
      <c r="B14" s="4" t="n">
        <v>6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鑑識</t>
        </is>
      </c>
      <c r="B21" s="4" t="inlineStr">
        <is>
          <t>KNW</t>
        </is>
      </c>
      <c r="C21" s="4" t="n">
        <v>1</v>
      </c>
      <c r="D21" s="4">
        <f>C13</f>
        <v/>
      </c>
      <c r="E21" s="4">
        <f>D21+C21</f>
        <v/>
      </c>
    </row>
    <row r="22">
      <c r="A22" s="4" t="inlineStr">
        <is>
          <t>民俗學</t>
        </is>
      </c>
      <c r="B22" s="4" t="inlineStr">
        <is>
          <t>KNW</t>
        </is>
      </c>
      <c r="C22" s="4" t="n">
        <v>1</v>
      </c>
      <c r="D22" s="4">
        <f>C13</f>
        <v/>
      </c>
      <c r="E22" s="4">
        <f>D22+C22</f>
        <v/>
      </c>
    </row>
    <row r="23">
      <c r="A23" s="4" t="inlineStr">
        <is>
          <t>意志</t>
        </is>
      </c>
      <c r="B23" s="4" t="inlineStr">
        <is>
          <t>CMP</t>
        </is>
      </c>
      <c r="C23" s="4" t="n">
        <v>1</v>
      </c>
      <c r="D23" s="4">
        <f>C14</f>
        <v/>
      </c>
      <c r="E23" s="4">
        <f>D23+C23</f>
        <v/>
      </c>
    </row>
    <row r="24">
      <c r="A24" s="4" t="inlineStr">
        <is>
          <t>鎮定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「後生仔，這具……有點不對勁，你先莫靠近。」</t>
        </is>
      </c>
    </row>
    <row r="27">
      <c r="A27" s="3" t="inlineStr">
        <is>
          <t>動機</t>
        </is>
      </c>
      <c r="B27" s="5" t="inlineStr">
        <is>
          <t>守住殯儀館內安寧，不讓死者作怪，維持陽陰兩界體面。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牛頭阿炳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陰間差役（陰差）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陰司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緝拿逃逸亡魂歸案，維持陰間秩序，不許陽人插手。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6</v>
      </c>
      <c r="C10" s="4">
        <f>FLOOR((B10-5)/2, 1)</f>
        <v/>
      </c>
    </row>
    <row r="11">
      <c r="A11" s="4" t="inlineStr">
        <is>
          <t>道行（DOW）</t>
        </is>
      </c>
      <c r="B11" s="4" t="n">
        <v>3</v>
      </c>
      <c r="C11" s="4">
        <f>FLOOR((B11-5)/2, 1)</f>
        <v/>
      </c>
    </row>
    <row r="12">
      <c r="A12" s="4" t="inlineStr">
        <is>
          <t>靈感（INS）</t>
        </is>
      </c>
      <c r="B12" s="4" t="n">
        <v>4</v>
      </c>
      <c r="C12" s="4">
        <f>FLOOR((B12-5)/2, 1)</f>
        <v/>
      </c>
    </row>
    <row r="13">
      <c r="A13" s="4" t="inlineStr">
        <is>
          <t>知識（KNW）</t>
        </is>
      </c>
      <c r="B13" s="4" t="n">
        <v>3</v>
      </c>
      <c r="C13" s="4">
        <f>FLOOR((B13-5)/2, 1)</f>
        <v/>
      </c>
    </row>
    <row r="14">
      <c r="A14" s="4" t="inlineStr">
        <is>
          <t>定力（CMP）</t>
        </is>
      </c>
      <c r="B14" s="4" t="n">
        <v>8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格鬥</t>
        </is>
      </c>
      <c r="B21" s="4" t="inlineStr">
        <is>
          <t>PHS</t>
        </is>
      </c>
      <c r="C21" s="4" t="n">
        <v>2</v>
      </c>
      <c r="D21" s="4">
        <f>C10</f>
        <v/>
      </c>
      <c r="E21" s="4">
        <f>D21+C21</f>
        <v/>
      </c>
    </row>
    <row r="22">
      <c r="A22" s="4" t="inlineStr">
        <is>
          <t>意志</t>
        </is>
      </c>
      <c r="B22" s="4" t="inlineStr">
        <is>
          <t>CMP</t>
        </is>
      </c>
      <c r="C22" s="4" t="n">
        <v>2</v>
      </c>
      <c r="D22" s="4">
        <f>C14</f>
        <v/>
      </c>
      <c r="E22" s="4">
        <f>D22+C22</f>
        <v/>
      </c>
    </row>
    <row r="23">
      <c r="A23" s="4" t="inlineStr">
        <is>
          <t>追跡</t>
        </is>
      </c>
      <c r="B23" s="4" t="inlineStr">
        <is>
          <t>PHS</t>
        </is>
      </c>
      <c r="C23" s="4" t="n">
        <v>1</v>
      </c>
      <c r="D23" s="4">
        <f>C10</f>
        <v/>
      </c>
      <c r="E23" s="4">
        <f>D23+C23</f>
        <v/>
      </c>
    </row>
    <row r="24">
      <c r="A24" s="4" t="inlineStr">
        <is>
          <t>抗恐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「陽間的事莫管，把魂交來，省得動手。」</t>
        </is>
      </c>
    </row>
    <row r="27">
      <c r="A27" s="3" t="inlineStr">
        <is>
          <t>動機</t>
        </is>
      </c>
      <c r="B27" s="5" t="inlineStr">
        <is>
          <t>緝拿逃逸亡魂歸案，維持陰間秩序，不許陽人插手。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七叔公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九幽堂堂主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茅山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維持陰陽秩序，以符咒營生，照顧後輩收鬼師。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3</v>
      </c>
      <c r="C10" s="4">
        <f>FLOOR((B10-5)/2, 1)</f>
        <v/>
      </c>
    </row>
    <row r="11">
      <c r="A11" s="4" t="inlineStr">
        <is>
          <t>道行（DOW）</t>
        </is>
      </c>
      <c r="B11" s="4" t="n">
        <v>8</v>
      </c>
      <c r="C11" s="4">
        <f>FLOOR((B11-5)/2, 1)</f>
        <v/>
      </c>
    </row>
    <row r="12">
      <c r="A12" s="4" t="inlineStr">
        <is>
          <t>靈感（INS）</t>
        </is>
      </c>
      <c r="B12" s="4" t="n">
        <v>5</v>
      </c>
      <c r="C12" s="4">
        <f>FLOOR((B12-5)/2, 1)</f>
        <v/>
      </c>
    </row>
    <row r="13">
      <c r="A13" s="4" t="inlineStr">
        <is>
          <t>知識（KNW）</t>
        </is>
      </c>
      <c r="B13" s="4" t="n">
        <v>7</v>
      </c>
      <c r="C13" s="4">
        <f>FLOOR((B13-5)/2, 1)</f>
        <v/>
      </c>
    </row>
    <row r="14">
      <c r="A14" s="4" t="inlineStr">
        <is>
          <t>定力（CMP）</t>
        </is>
      </c>
      <c r="B14" s="4" t="n">
        <v>4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畫符</t>
        </is>
      </c>
      <c r="B21" s="4" t="inlineStr">
        <is>
          <t>DOW</t>
        </is>
      </c>
      <c r="C21" s="4" t="n">
        <v>2</v>
      </c>
      <c r="D21" s="4">
        <f>C11</f>
        <v/>
      </c>
      <c r="E21" s="4">
        <f>D21+C21</f>
        <v/>
      </c>
    </row>
    <row r="22">
      <c r="A22" s="4" t="inlineStr">
        <is>
          <t>開壇</t>
        </is>
      </c>
      <c r="B22" s="4" t="inlineStr">
        <is>
          <t>DOW</t>
        </is>
      </c>
      <c r="C22" s="4" t="n">
        <v>2</v>
      </c>
      <c r="D22" s="4">
        <f>C11</f>
        <v/>
      </c>
      <c r="E22" s="4">
        <f>D22+C22</f>
        <v/>
      </c>
    </row>
    <row r="23">
      <c r="A23" s="4" t="inlineStr">
        <is>
          <t>法脈知識</t>
        </is>
      </c>
      <c r="B23" s="4" t="inlineStr">
        <is>
          <t>KNW</t>
        </is>
      </c>
      <c r="C23" s="4" t="n">
        <v>1</v>
      </c>
      <c r="D23" s="4">
        <f>C13</f>
        <v/>
      </c>
      <c r="E23" s="4">
        <f>D23+C23</f>
        <v/>
      </c>
    </row>
    <row r="24">
      <c r="A24" s="4" t="inlineStr">
        <is>
          <t>結界</t>
        </is>
      </c>
      <c r="B24" s="4" t="inlineStr">
        <is>
          <t>DOW</t>
        </is>
      </c>
      <c r="C24" s="4" t="n">
        <v>1</v>
      </c>
      <c r="D24" s="4">
        <f>C11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「符者，心也正則靈。你這手勢，還嫩。」</t>
        </is>
      </c>
    </row>
    <row r="27">
      <c r="A27" s="3" t="inlineStr">
        <is>
          <t>動機</t>
        </is>
      </c>
      <c r="B27" s="5" t="inlineStr">
        <is>
          <t>維持陰陽秩序，以符咒營生，照顧後輩收鬼師。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程規瑶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收鬼師公會議事長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民間雜派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協調各法脈、訂定行規，避免收鬼師之間內鬥誤事。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4</v>
      </c>
      <c r="C10" s="4">
        <f>FLOOR((B10-5)/2, 1)</f>
        <v/>
      </c>
    </row>
    <row r="11">
      <c r="A11" s="4" t="inlineStr">
        <is>
          <t>道行（DOW）</t>
        </is>
      </c>
      <c r="B11" s="4" t="n">
        <v>6</v>
      </c>
      <c r="C11" s="4">
        <f>FLOOR((B11-5)/2, 1)</f>
        <v/>
      </c>
    </row>
    <row r="12">
      <c r="A12" s="4" t="inlineStr">
        <is>
          <t>靈感（INS）</t>
        </is>
      </c>
      <c r="B12" s="4" t="n">
        <v>6</v>
      </c>
      <c r="C12" s="4">
        <f>FLOOR((B12-5)/2, 1)</f>
        <v/>
      </c>
    </row>
    <row r="13">
      <c r="A13" s="4" t="inlineStr">
        <is>
          <t>知識（KNW）</t>
        </is>
      </c>
      <c r="B13" s="4" t="n">
        <v>8</v>
      </c>
      <c r="C13" s="4">
        <f>FLOOR((B13-5)/2, 1)</f>
        <v/>
      </c>
    </row>
    <row r="14">
      <c r="A14" s="4" t="inlineStr">
        <is>
          <t>定力（CMP）</t>
        </is>
      </c>
      <c r="B14" s="4" t="n">
        <v>6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民俗學</t>
        </is>
      </c>
      <c r="B21" s="4" t="inlineStr">
        <is>
          <t>KNW</t>
        </is>
      </c>
      <c r="C21" s="4" t="n">
        <v>2</v>
      </c>
      <c r="D21" s="4">
        <f>C13</f>
        <v/>
      </c>
      <c r="E21" s="4">
        <f>D21+C21</f>
        <v/>
      </c>
    </row>
    <row r="22">
      <c r="A22" s="4" t="inlineStr">
        <is>
          <t>文獻</t>
        </is>
      </c>
      <c r="B22" s="4" t="inlineStr">
        <is>
          <t>KNW</t>
        </is>
      </c>
      <c r="C22" s="4" t="n">
        <v>2</v>
      </c>
      <c r="D22" s="4">
        <f>C13</f>
        <v/>
      </c>
      <c r="E22" s="4">
        <f>D22+C22</f>
        <v/>
      </c>
    </row>
    <row r="23">
      <c r="A23" s="4" t="inlineStr">
        <is>
          <t>溝通</t>
        </is>
      </c>
      <c r="B23" s="4" t="inlineStr">
        <is>
          <t>INS</t>
        </is>
      </c>
      <c r="C23" s="4" t="n">
        <v>1</v>
      </c>
      <c r="D23" s="4">
        <f>C12</f>
        <v/>
      </c>
      <c r="E23" s="4">
        <f>D23+C23</f>
        <v/>
      </c>
    </row>
    <row r="24">
      <c r="A24" s="4" t="inlineStr">
        <is>
          <t>鎮定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「規矩立在前面，鬼才不敢越界。你們守好本分。」</t>
        </is>
      </c>
    </row>
    <row r="27">
      <c r="A27" s="3" t="inlineStr">
        <is>
          <t>動機</t>
        </is>
      </c>
      <c r="B27" s="5" t="inlineStr">
        <is>
          <t>協調各法脈、訂定行規，避免收鬼師之間內鬥誤事。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無太師傅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六壬代表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六壬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推廣六壬鐵板藏魂護身法，讓弱傳承者也能自保。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3</v>
      </c>
      <c r="C10" s="4">
        <f>FLOOR((B10-5)/2, 1)</f>
        <v/>
      </c>
    </row>
    <row r="11">
      <c r="A11" s="4" t="inlineStr">
        <is>
          <t>道行（DOW）</t>
        </is>
      </c>
      <c r="B11" s="4" t="n">
        <v>7</v>
      </c>
      <c r="C11" s="4">
        <f>FLOOR((B11-5)/2, 1)</f>
        <v/>
      </c>
    </row>
    <row r="12">
      <c r="A12" s="4" t="inlineStr">
        <is>
          <t>靈感（INS）</t>
        </is>
      </c>
      <c r="B12" s="4" t="n">
        <v>4</v>
      </c>
      <c r="C12" s="4">
        <f>FLOOR((B12-5)/2, 1)</f>
        <v/>
      </c>
    </row>
    <row r="13">
      <c r="A13" s="4" t="inlineStr">
        <is>
          <t>知識（KNW）</t>
        </is>
      </c>
      <c r="B13" s="4" t="n">
        <v>3</v>
      </c>
      <c r="C13" s="4">
        <f>FLOOR((B13-5)/2, 1)</f>
        <v/>
      </c>
    </row>
    <row r="14">
      <c r="A14" s="4" t="inlineStr">
        <is>
          <t>定力（CMP）</t>
        </is>
      </c>
      <c r="B14" s="4" t="n">
        <v>8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畫符</t>
        </is>
      </c>
      <c r="B21" s="4" t="inlineStr">
        <is>
          <t>DOW</t>
        </is>
      </c>
      <c r="C21" s="4" t="n">
        <v>1</v>
      </c>
      <c r="D21" s="4">
        <f>C11</f>
        <v/>
      </c>
      <c r="E21" s="4">
        <f>D21+C21</f>
        <v/>
      </c>
    </row>
    <row r="22">
      <c r="A22" s="4" t="inlineStr">
        <is>
          <t>結界</t>
        </is>
      </c>
      <c r="B22" s="4" t="inlineStr">
        <is>
          <t>DOW</t>
        </is>
      </c>
      <c r="C22" s="4" t="n">
        <v>1</v>
      </c>
      <c r="D22" s="4">
        <f>C11</f>
        <v/>
      </c>
      <c r="E22" s="4">
        <f>D22+C22</f>
        <v/>
      </c>
    </row>
    <row r="23">
      <c r="A23" s="4" t="inlineStr">
        <is>
          <t>意志</t>
        </is>
      </c>
      <c r="B23" s="4" t="inlineStr">
        <is>
          <t>CMP</t>
        </is>
      </c>
      <c r="C23" s="4" t="n">
        <v>2</v>
      </c>
      <c r="D23" s="4">
        <f>C14</f>
        <v/>
      </c>
      <c r="E23" s="4">
        <f>D23+C23</f>
        <v/>
      </c>
    </row>
    <row r="24">
      <c r="A24" s="4" t="inlineStr">
        <is>
          <t>護身符相關</t>
        </is>
      </c>
      <c r="B24" s="4" t="inlineStr">
        <is>
          <t>DOW</t>
        </is>
      </c>
      <c r="C24" s="4" t="n">
        <v>1</v>
      </c>
      <c r="D24" s="4">
        <f>C11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「鐵板一拍，魂就藏住了。急不得，符要即畫即靈。」</t>
        </is>
      </c>
    </row>
    <row r="27">
      <c r="A27" s="3" t="inlineStr">
        <is>
          <t>動機</t>
        </is>
      </c>
      <c r="B27" s="5" t="inlineStr">
        <is>
          <t>推廣六壬鐵板藏魂護身法，讓弱傳承者也能自保。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角色圖</t>
        </is>
      </c>
      <c r="B3" s="10" t="n"/>
      <c r="C3" s="11" t="n"/>
      <c r="D3" s="3" t="inlineStr">
        <is>
          <t>姓名</t>
        </is>
      </c>
      <c r="E3" s="4" t="inlineStr">
        <is>
          <t>陳法青</t>
        </is>
      </c>
    </row>
    <row r="4">
      <c r="A4" s="12" t="n"/>
      <c r="C4" s="13" t="n"/>
      <c r="D4" s="3" t="inlineStr">
        <is>
          <t>身分</t>
        </is>
      </c>
      <c r="E4" s="4" t="inlineStr">
        <is>
          <t>閭山代表</t>
        </is>
      </c>
    </row>
    <row r="5">
      <c r="A5" s="12" t="n"/>
      <c r="C5" s="13" t="n"/>
      <c r="D5" s="3" t="inlineStr">
        <is>
          <t>法脈/陣營</t>
        </is>
      </c>
      <c r="E5" s="4" t="inlineStr">
        <is>
          <t>閭山</t>
        </is>
      </c>
    </row>
    <row r="6">
      <c r="A6" s="14" t="n"/>
      <c r="B6" s="15" t="n"/>
      <c r="C6" s="16" t="n"/>
      <c r="D6" s="3" t="inlineStr">
        <is>
          <t>動機</t>
        </is>
      </c>
      <c r="E6" s="5" t="inlineStr">
        <is>
          <t>以法器與巫法鎮煞，證明閭山近身硬碰硬也鎮得住鬼。</t>
        </is>
      </c>
    </row>
    <row r="7"/>
    <row r="8">
      <c r="A8" s="3" t="inlineStr">
        <is>
          <t>屬性 / 修正值</t>
        </is>
      </c>
      <c r="B8" s="8" t="n"/>
      <c r="C8" s="9" t="n"/>
    </row>
    <row r="9">
      <c r="A9" s="6" t="inlineStr">
        <is>
          <t>屬性</t>
        </is>
      </c>
      <c r="B9" s="6" t="inlineStr">
        <is>
          <t>數值</t>
        </is>
      </c>
      <c r="C9" s="6" t="inlineStr">
        <is>
          <t>修正值</t>
        </is>
      </c>
    </row>
    <row r="10">
      <c r="A10" s="4" t="inlineStr">
        <is>
          <t>身手（PHS）</t>
        </is>
      </c>
      <c r="B10" s="4" t="n">
        <v>6</v>
      </c>
      <c r="C10" s="4">
        <f>FLOOR((B10-5)/2, 1)</f>
        <v/>
      </c>
    </row>
    <row r="11">
      <c r="A11" s="4" t="inlineStr">
        <is>
          <t>道行（DOW）</t>
        </is>
      </c>
      <c r="B11" s="4" t="n">
        <v>6</v>
      </c>
      <c r="C11" s="4">
        <f>FLOOR((B11-5)/2, 1)</f>
        <v/>
      </c>
    </row>
    <row r="12">
      <c r="A12" s="4" t="inlineStr">
        <is>
          <t>靈感（INS）</t>
        </is>
      </c>
      <c r="B12" s="4" t="n">
        <v>6</v>
      </c>
      <c r="C12" s="4">
        <f>FLOOR((B12-5)/2, 1)</f>
        <v/>
      </c>
    </row>
    <row r="13">
      <c r="A13" s="4" t="inlineStr">
        <is>
          <t>知識（KNW）</t>
        </is>
      </c>
      <c r="B13" s="4" t="n">
        <v>4</v>
      </c>
      <c r="C13" s="4">
        <f>FLOOR((B13-5)/2, 1)</f>
        <v/>
      </c>
    </row>
    <row r="14">
      <c r="A14" s="4" t="inlineStr">
        <is>
          <t>定力（CMP）</t>
        </is>
      </c>
      <c r="B14" s="4" t="n">
        <v>3</v>
      </c>
      <c r="C14" s="4">
        <f>FLOOR((B14-5)/2, 1)</f>
        <v/>
      </c>
    </row>
    <row r="15"/>
    <row r="16">
      <c r="A16" s="3" t="inlineStr">
        <is>
          <t>衍生</t>
        </is>
      </c>
      <c r="B16" s="8" t="n"/>
      <c r="C16" s="8" t="n"/>
      <c r="D16" s="9" t="n"/>
    </row>
    <row r="17">
      <c r="A17" s="7" t="inlineStr">
        <is>
          <t>體力（HP）上限</t>
        </is>
      </c>
      <c r="B17" s="4">
        <f>B10*3+10</f>
        <v/>
      </c>
    </row>
    <row r="18"/>
    <row r="19">
      <c r="A19" s="3" t="inlineStr">
        <is>
          <t>技能（數項）</t>
        </is>
      </c>
      <c r="B19" s="8" t="n"/>
      <c r="C19" s="8" t="n"/>
      <c r="D19" s="8" t="n"/>
      <c r="E19" s="9" t="n"/>
    </row>
    <row r="20">
      <c r="A20" s="6" t="inlineStr">
        <is>
          <t>技能</t>
        </is>
      </c>
      <c r="B20" s="6" t="inlineStr">
        <is>
          <t>屬性</t>
        </is>
      </c>
      <c r="C20" s="6" t="inlineStr">
        <is>
          <t>等級</t>
        </is>
      </c>
      <c r="D20" s="6" t="inlineStr">
        <is>
          <t>屬性修正值</t>
        </is>
      </c>
      <c r="E20" s="6" t="inlineStr">
        <is>
          <t>總加值</t>
        </is>
      </c>
    </row>
    <row r="21">
      <c r="A21" s="4" t="inlineStr">
        <is>
          <t>格鬥</t>
        </is>
      </c>
      <c r="B21" s="4" t="inlineStr">
        <is>
          <t>PHS</t>
        </is>
      </c>
      <c r="C21" s="4" t="n">
        <v>2</v>
      </c>
      <c r="D21" s="4">
        <f>C10</f>
        <v/>
      </c>
      <c r="E21" s="4">
        <f>D21+C21</f>
        <v/>
      </c>
    </row>
    <row r="22">
      <c r="A22" s="4" t="inlineStr">
        <is>
          <t>手印</t>
        </is>
      </c>
      <c r="B22" s="4" t="inlineStr">
        <is>
          <t>DOW</t>
        </is>
      </c>
      <c r="C22" s="4" t="n">
        <v>1</v>
      </c>
      <c r="D22" s="4">
        <f>C11</f>
        <v/>
      </c>
      <c r="E22" s="4">
        <f>D22+C22</f>
        <v/>
      </c>
    </row>
    <row r="23">
      <c r="A23" s="4" t="inlineStr">
        <is>
          <t>攀爬</t>
        </is>
      </c>
      <c r="B23" s="4" t="inlineStr">
        <is>
          <t>PHS</t>
        </is>
      </c>
      <c r="C23" s="4" t="n">
        <v>1</v>
      </c>
      <c r="D23" s="4">
        <f>C10</f>
        <v/>
      </c>
      <c r="E23" s="4">
        <f>D23+C23</f>
        <v/>
      </c>
    </row>
    <row r="24">
      <c r="A24" s="4" t="inlineStr">
        <is>
          <t>抗毒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對話示例</t>
        </is>
      </c>
      <c r="B26" s="5" t="inlineStr">
        <is>
          <t>「紅頭驅邪黑頭渡，法器在手，鬼莫近身。」</t>
        </is>
      </c>
    </row>
    <row r="27">
      <c r="A27" s="3" t="inlineStr">
        <is>
          <t>動機</t>
        </is>
      </c>
      <c r="B27" s="5" t="inlineStr">
        <is>
          <t>以法器與巫法鎮煞，證明閭山近身硬碰硬也鎮得住鬼。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2026-07-25T11:42:10Z</dcterms:modified>
</cp:coreProperties>
</file>