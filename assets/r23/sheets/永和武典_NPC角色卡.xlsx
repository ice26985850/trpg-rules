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輸玄" sheetId="1" state="visible" r:id="rId1"/>
    <sheet name="厲殘陽" sheetId="2" state="visible" r:id="rId2"/>
    <sheet name="墨染" sheetId="3" state="visible" r:id="rId3"/>
    <sheet name="夜修羅" sheetId="4" state="visible" r:id="rId4"/>
    <sheet name="孟婆" sheetId="5" state="visible" r:id="rId5"/>
    <sheet name="慧覺" sheetId="6" state="visible" r:id="rId6"/>
    <sheet name="曹少欽" sheetId="7" state="visible" r:id="rId7"/>
    <sheet name="朱雀" sheetId="8" state="visible" r:id="rId8"/>
    <sheet name="柳生煙" sheetId="9" state="visible" r:id="rId9"/>
    <sheet name="段天涯" sheetId="10" state="visible" r:id="rId10"/>
    <sheet name="沈萬金" sheetId="11" state="visible" r:id="rId11"/>
    <sheet name="白鶴" sheetId="12" state="visible" r:id="rId12"/>
    <sheet name="紫陽" sheetId="13" state="visible" r:id="rId13"/>
    <sheet name="蘇青囊" sheetId="14" state="visible" r:id="rId14"/>
    <sheet name="趙無極" sheetId="15" state="visible" r:id="rId15"/>
    <sheet name="陸沉淵" sheetId="16" state="visible" r:id="rId16"/>
    <sheet name="韓鐵衣" sheetId="17" state="visible" r:id="rId17"/>
    <sheet name="柳生煙(同伴)" sheetId="18" state="visible" r:id="rId18"/>
    <sheet name="段天涯(同伴)" sheetId="19" state="visible" r:id="rId19"/>
    <sheet name="韓鐵衣(同伴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color rgb="001a1a2e"/>
      <sz val="18"/>
    </font>
    <font>
      <name val="Microsoft YaHei"/>
      <b val="1"/>
      <color rgb="002c3e50"/>
      <sz val="12"/>
    </font>
    <font>
      <name val="Microsoft YaHei"/>
      <b val="1"/>
      <color rgb="001a1a2e"/>
      <sz val="16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公輸玄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千機閣</t>
        </is>
      </c>
    </row>
    <row r="6">
      <c r="A6" s="6" t="inlineStr">
        <is>
          <t>概念</t>
        </is>
      </c>
      <c r="B6" s="8" t="inlineStr">
        <is>
          <t>千機閣閣主，算術天才，正面戰力二流但機關戰術超一流。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2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10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8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千機訣·推演</t>
        </is>
      </c>
      <c r="B51" s="7" t="inlineStr">
        <is>
          <t>特殊</t>
        </is>
      </c>
      <c r="C51" s="7" t="inlineStr">
        <is>
          <t>上乘</t>
        </is>
      </c>
      <c r="D51" s="7" t="inlineStr">
        <is>
          <t>—</t>
        </is>
      </c>
      <c r="E51" s="7" t="inlineStr">
        <is>
          <t>推演</t>
        </is>
      </c>
      <c r="F51" s="7" t="inlineStr">
        <is>
          <t>4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標記目標</t>
        </is>
      </c>
    </row>
    <row r="52">
      <c r="A52" s="7" t="inlineStr">
        <is>
          <t>暴雨梨花針</t>
        </is>
      </c>
      <c r="B52" s="7" t="inlineStr">
        <is>
          <t>暗器</t>
        </is>
      </c>
      <c r="C52" s="7" t="inlineStr">
        <is>
          <t>上乘</t>
        </is>
      </c>
      <c r="D52" s="7" t="inlineStr">
        <is>
          <t>遠</t>
        </is>
      </c>
      <c r="E52" s="7" t="inlineStr">
        <is>
          <t>暴雨</t>
        </is>
      </c>
      <c r="F52" s="7" t="inlineStr">
        <is>
          <t>6</t>
        </is>
      </c>
      <c r="G52" s="7" t="inlineStr">
        <is>
          <t>+6</t>
        </is>
      </c>
      <c r="H52" s="7" t="inlineStr">
        <is>
          <t>3d4+5 羣體</t>
        </is>
      </c>
    </row>
    <row r="53">
      <c r="A53" s="7" t="inlineStr">
        <is>
          <t>銅人陣</t>
        </is>
      </c>
      <c r="B53" s="7" t="inlineStr">
        <is>
          <t>特殊·機關</t>
        </is>
      </c>
      <c r="C53" s="7" t="inlineStr">
        <is>
          <t>上乘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5</t>
        </is>
      </c>
      <c r="G53" s="7" t="inlineStr">
        <is>
          <t>—</t>
        </is>
      </c>
      <c r="H53" s="7" t="inlineStr">
        <is>
          <t>召喚銅人護盾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10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可拜師(難度（DC）16): 暴雨梨花針+千機訣+機關術。</t>
        </is>
      </c>
    </row>
    <row r="72">
      <c r="A72" t="inlineStr">
        <is>
          <t>拜師禮: 機關通訊器+機關陷阱圖紙x1+出師: VIP鑰匙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厲殘陽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血月教</t>
        </is>
      </c>
    </row>
    <row r="6">
      <c r="A6" s="6" t="inlineStr">
        <is>
          <t>概念</t>
        </is>
      </c>
      <c r="B6" s="8" t="inlineStr">
        <is>
          <t>血月教大護法，以戰鬥為信仰的狂人，渾身傷疤，越戰越狂。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8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5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追魂刀</t>
        </is>
      </c>
      <c r="B51" s="7" t="inlineStr">
        <is>
          <t>外功·刀法</t>
        </is>
      </c>
      <c r="C51" s="7" t="inlineStr">
        <is>
          <t>進階</t>
        </is>
      </c>
      <c r="D51" s="7" t="inlineStr">
        <is>
          <t>快</t>
        </is>
      </c>
      <c r="E51" s="7" t="inlineStr">
        <is>
          <t>追魂</t>
        </is>
      </c>
      <c r="F51" s="7" t="inlineStr">
        <is>
          <t>3</t>
        </is>
      </c>
      <c r="G51" s="7" t="inlineStr">
        <is>
          <t>+4</t>
        </is>
      </c>
      <c r="H51" s="7" t="inlineStr">
        <is>
          <t>2d8+膂(+4)</t>
        </is>
      </c>
    </row>
    <row r="52">
      <c r="A52" s="7" t="inlineStr">
        <is>
          <t>血影步</t>
        </is>
      </c>
      <c r="B52" s="7" t="inlineStr">
        <is>
          <t>輕功</t>
        </is>
      </c>
      <c r="C52" s="7" t="inlineStr">
        <is>
          <t>進階</t>
        </is>
      </c>
      <c r="D52" s="7" t="inlineStr">
        <is>
          <t>快</t>
        </is>
      </c>
      <c r="E52" s="7" t="inlineStr">
        <is>
          <t>—</t>
        </is>
      </c>
      <c r="F52" s="7" t="inlineStr">
        <is>
          <t>3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機動+2</t>
        </is>
      </c>
    </row>
    <row r="53">
      <c r="A53" s="7" t="inlineStr">
        <is>
          <t>殘陽斬</t>
        </is>
      </c>
      <c r="B53" s="7" t="inlineStr">
        <is>
          <t>外功·刀法</t>
        </is>
      </c>
      <c r="C53" s="7" t="inlineStr">
        <is>
          <t>上乘</t>
        </is>
      </c>
      <c r="D53" s="7" t="inlineStr">
        <is>
          <t>剛</t>
        </is>
      </c>
      <c r="E53" s="7" t="inlineStr">
        <is>
          <t>殘陽</t>
        </is>
      </c>
      <c r="F53" s="7" t="inlineStr">
        <is>
          <t>6</t>
        </is>
      </c>
      <c r="G53" s="7" t="inlineStr">
        <is>
          <t>+5</t>
        </is>
      </c>
      <c r="H53" s="7" t="inlineStr">
        <is>
          <t>4d6+膂(+4)</t>
        </is>
      </c>
    </row>
    <row r="54">
      <c r="A54" s="7" t="inlineStr">
        <is>
          <t>天魔解體</t>
        </is>
      </c>
      <c r="B54" s="7" t="inlineStr">
        <is>
          <t>內功</t>
        </is>
      </c>
      <c r="C54" s="7" t="inlineStr">
        <is>
          <t>禁術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生命值（HP）50%</t>
        </is>
      </c>
      <c r="G54" s="7" t="inlineStr">
        <is>
          <t>—</t>
        </is>
      </c>
      <c r="H54" s="7" t="inlineStr">
        <is>
          <t>屬性飆升每回合自損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30</t>
        </is>
      </c>
    </row>
    <row r="71">
      <c r="A71" t="inlineStr">
        <is>
          <t>可拜師(難度（DC）14): 追魂刀+天魔解體(禁術)。</t>
        </is>
      </c>
    </row>
    <row r="72">
      <c r="A72" t="inlineStr">
        <is>
          <t>拜師禮: 血牙雙刀(仿製)+試煉場通行證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墨染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藥王谷幽冥堂主，毒術天才，厭世感與毒系的冷酷魅力。</t>
        </is>
      </c>
      <c r="C6" s="2" t="n"/>
      <c r="D6" s="3" t="n"/>
      <c r="E6" s="6" t="inlineStr">
        <is>
          <t>境界</t>
        </is>
      </c>
      <c r="F6" s="7" t="inlineStr">
        <is>
          <t>融會貫通</t>
        </is>
      </c>
      <c r="G6" s="6" t="inlineStr">
        <is>
          <t>內功係數</t>
        </is>
      </c>
      <c r="H6" s="7" t="inlineStr">
        <is>
          <t>2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6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腐骨掌</t>
        </is>
      </c>
      <c r="B51" s="7" t="inlineStr">
        <is>
          <t>外功·毒術</t>
        </is>
      </c>
      <c r="C51" s="7" t="inlineStr">
        <is>
          <t>進階</t>
        </is>
      </c>
      <c r="D51" s="7" t="inlineStr">
        <is>
          <t>柔</t>
        </is>
      </c>
      <c r="E51" s="7" t="inlineStr">
        <is>
          <t>蝕骨</t>
        </is>
      </c>
      <c r="F51" s="7" t="inlineStr">
        <is>
          <t>3</t>
        </is>
      </c>
      <c r="G51" s="7" t="inlineStr">
        <is>
          <t>+3</t>
        </is>
      </c>
      <c r="H51" s="7" t="inlineStr">
        <is>
          <t>2d6+毒(1d4/回合)</t>
        </is>
      </c>
    </row>
    <row r="52">
      <c r="A52" s="7" t="inlineStr">
        <is>
          <t>五毒經</t>
        </is>
      </c>
      <c r="B52" s="7" t="inlineStr">
        <is>
          <t>特殊·毒術</t>
        </is>
      </c>
      <c r="C52" s="7" t="inlineStr">
        <is>
          <t>進階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2-4</t>
        </is>
      </c>
      <c r="G52" s="7" t="inlineStr">
        <is>
          <t>—</t>
        </is>
      </c>
      <c r="H52" s="7" t="inlineStr">
        <is>
          <t>疊加中毒層數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0</t>
        </is>
      </c>
      <c r="D69" s="6" t="inlineStr">
        <is>
          <t>惡名值</t>
        </is>
      </c>
      <c r="E69" s="7" t="inlineStr">
        <is>
          <t>15</t>
        </is>
      </c>
    </row>
    <row r="71">
      <c r="A71" t="inlineStr">
        <is>
          <t>可拜師(難度（DC）14): 腐骨掌+五毒經+毒術。</t>
        </is>
      </c>
    </row>
    <row r="72">
      <c r="A72" t="inlineStr">
        <is>
          <t>拜師禮: 毒針囊(x20)+出師: 毒術實驗室鑰匙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夜修羅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血月教</t>
        </is>
      </c>
    </row>
    <row r="6">
      <c r="A6" s="6" t="inlineStr">
        <is>
          <t>概念</t>
        </is>
      </c>
      <c r="B6" s="8" t="inlineStr">
        <is>
          <t>血月教教主，來歷成謎，戴修羅面具，最有腦子的魔頭。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7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6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4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血月魔功</t>
        </is>
      </c>
      <c r="B51" s="7" t="inlineStr">
        <is>
          <t>內功</t>
        </is>
      </c>
      <c r="C51" s="7" t="inlineStr">
        <is>
          <t>絕世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內功係數5</t>
        </is>
      </c>
    </row>
    <row r="52">
      <c r="A52" s="7" t="inlineStr">
        <is>
          <t>修羅劍·滅</t>
        </is>
      </c>
      <c r="B52" s="7" t="inlineStr">
        <is>
          <t>外功·劍術</t>
        </is>
      </c>
      <c r="C52" s="7" t="inlineStr">
        <is>
          <t>上乘</t>
        </is>
      </c>
      <c r="D52" s="7" t="inlineStr">
        <is>
          <t>剛</t>
        </is>
      </c>
      <c r="E52" s="7" t="inlineStr">
        <is>
          <t>滅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4d8+膂(+3)</t>
        </is>
      </c>
    </row>
    <row r="53">
      <c r="A53" s="7" t="inlineStr">
        <is>
          <t>血影步·幻</t>
        </is>
      </c>
      <c r="B53" s="7" t="inlineStr">
        <is>
          <t>輕功</t>
        </is>
      </c>
      <c r="C53" s="7" t="inlineStr">
        <is>
          <t>上乘</t>
        </is>
      </c>
      <c r="D53" s="7" t="inlineStr">
        <is>
          <t>快</t>
        </is>
      </c>
      <c r="E53" s="7" t="inlineStr">
        <is>
          <t>—</t>
        </is>
      </c>
      <c r="F53" s="7" t="inlineStr">
        <is>
          <t>4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先手+4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-30</t>
        </is>
      </c>
      <c r="D69" s="6" t="inlineStr">
        <is>
          <t>惡名值</t>
        </is>
      </c>
      <c r="E69" s="7" t="inlineStr">
        <is>
          <t>50</t>
        </is>
      </c>
    </row>
    <row r="71">
      <c r="A71" t="inlineStr">
        <is>
          <t>可拜師(難度（DC）16): 修羅劍+血月魔功(絕學)。</t>
        </is>
      </c>
    </row>
    <row r="72">
      <c r="A72" t="inlineStr">
        <is>
          <t>拜師禮: 修羅面具+血月教庇護令+暗紅披風(首殺後)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孟婆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忘川樓</t>
        </is>
      </c>
    </row>
    <row r="6">
      <c r="A6" s="6" t="inlineStr">
        <is>
          <t>概念</t>
        </is>
      </c>
      <c r="B6" s="8" t="inlineStr">
        <is>
          <t>忘川樓樓主，戴白瓷面具，暗殺術可威脅第五境。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9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5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7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4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4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4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5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索命十三式</t>
        </is>
      </c>
      <c r="B51" s="7" t="inlineStr">
        <is>
          <t>外功·短兵</t>
        </is>
      </c>
      <c r="C51" s="7" t="inlineStr">
        <is>
          <t>上乘</t>
        </is>
      </c>
      <c r="D51" s="7" t="inlineStr">
        <is>
          <t>快</t>
        </is>
      </c>
      <c r="E51" s="7" t="inlineStr">
        <is>
          <t>索命</t>
        </is>
      </c>
      <c r="F51" s="7" t="inlineStr">
        <is>
          <t>5</t>
        </is>
      </c>
      <c r="G51" s="7" t="inlineStr">
        <is>
          <t>+6</t>
        </is>
      </c>
      <c r="H51" s="7" t="inlineStr">
        <is>
          <t>3d6+身(+5) 潛行雙倍</t>
        </is>
      </c>
    </row>
    <row r="52">
      <c r="A52" s="7" t="inlineStr">
        <is>
          <t>無影訣</t>
        </is>
      </c>
      <c r="B52" s="7" t="inlineStr">
        <is>
          <t>輕功</t>
        </is>
      </c>
      <c r="C52" s="7" t="inlineStr">
        <is>
          <t>上乘</t>
        </is>
      </c>
      <c r="D52" s="7" t="inlineStr">
        <is>
          <t>快</t>
        </is>
      </c>
      <c r="E52" s="7" t="inlineStr">
        <is>
          <t>—</t>
        </is>
      </c>
      <c r="F52" s="7" t="inlineStr">
        <is>
          <t>4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暗殺標記</t>
        </is>
      </c>
    </row>
    <row r="53">
      <c r="A53" s="7" t="inlineStr">
        <is>
          <t>黃泉步</t>
        </is>
      </c>
      <c r="B53" s="7" t="inlineStr">
        <is>
          <t>輕功</t>
        </is>
      </c>
      <c r="C53" s="7" t="inlineStr">
        <is>
          <t>進階</t>
        </is>
      </c>
      <c r="D53" s="7" t="inlineStr">
        <is>
          <t>快</t>
        </is>
      </c>
      <c r="E53" s="7" t="inlineStr">
        <is>
          <t>—</t>
        </is>
      </c>
      <c r="F53" s="7" t="inlineStr">
        <is>
          <t>3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脫戰不觸發借機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-10</t>
        </is>
      </c>
      <c r="D69" s="6" t="inlineStr">
        <is>
          <t>惡名值</t>
        </is>
      </c>
      <c r="E69" s="7" t="inlineStr">
        <is>
          <t>40</t>
        </is>
      </c>
    </row>
    <row r="71">
      <c r="A71" t="inlineStr">
        <is>
          <t>可拜師(難度（DC）18): 索命十三式+無影訣+易容。</t>
        </is>
      </c>
    </row>
    <row r="72">
      <c r="A72" t="inlineStr">
        <is>
          <t>拜師禮: 無影短刃+出師禮: 免費刺殺令+易容面具(好感≥10)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慧覺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萬佛寺</t>
        </is>
      </c>
    </row>
    <row r="6">
      <c r="A6" s="6" t="inlineStr">
        <is>
          <t>概念</t>
        </is>
      </c>
      <c r="B6" s="8" t="inlineStr">
        <is>
          <t>萬佛寺方丈，第五境巔峯，得道高僧，無我境中的困惑者。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6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9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9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9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6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易筋經</t>
        </is>
      </c>
      <c r="B51" s="7" t="inlineStr">
        <is>
          <t>內功</t>
        </is>
      </c>
      <c r="C51" s="7" t="inlineStr">
        <is>
          <t>絕世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內功係數5 全屬性+1</t>
        </is>
      </c>
    </row>
    <row r="52">
      <c r="A52" s="7" t="inlineStr">
        <is>
          <t>如來神掌</t>
        </is>
      </c>
      <c r="B52" s="7" t="inlineStr">
        <is>
          <t>外功·拳掌</t>
        </is>
      </c>
      <c r="C52" s="7" t="inlineStr">
        <is>
          <t>絕學</t>
        </is>
      </c>
      <c r="D52" s="7" t="inlineStr">
        <is>
          <t>剛</t>
        </is>
      </c>
      <c r="E52" s="7" t="inlineStr">
        <is>
          <t>如來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5d6+膂(+2)</t>
        </is>
      </c>
    </row>
    <row r="53">
      <c r="A53" s="7" t="inlineStr">
        <is>
          <t>金剛不壞體</t>
        </is>
      </c>
      <c r="B53" s="7" t="inlineStr">
        <is>
          <t>特殊·硬功</t>
        </is>
      </c>
      <c r="C53" s="7" t="inlineStr">
        <is>
          <t>上乘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傷害減免+5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60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可拜師(難度（DC）18): 如來神掌+易筋經(絕學)。</t>
        </is>
      </c>
    </row>
    <row r="72">
      <c r="A72" t="inlineStr">
        <is>
          <t>拜師禮: 菩提珠(防走火+2)+出師禮: 金剛經手抄(長休+5生命值（HP）)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曹少欽</t>
        </is>
      </c>
      <c r="C5" s="3" t="n"/>
      <c r="D5" s="6" t="inlineStr">
        <is>
          <t>勢力</t>
        </is>
      </c>
      <c r="E5" s="7" t="inlineStr">
        <is>
          <t>西廠</t>
        </is>
      </c>
      <c r="F5" s="6" t="inlineStr">
        <is>
          <t>境界</t>
        </is>
      </c>
      <c r="G5" s="7" t="inlineStr">
        <is>
          <t>登峯造極</t>
        </is>
      </c>
      <c r="H5" s="4" t="inlineStr">
        <is>
          <t>5(絕世)</t>
        </is>
      </c>
    </row>
    <row r="6">
      <c r="A6" s="6" t="inlineStr">
        <is>
          <t>概念</t>
        </is>
      </c>
      <c r="B6" s="14" t="inlineStr">
        <is>
          <t>西廠掌印太監。修習吸星大法殘篇與玄陰指，朝廷暗面的掌控者。</t>
        </is>
      </c>
      <c r="C6" s="2" t="n"/>
      <c r="D6" s="2" t="n"/>
      <c r="E6" s="2" t="n"/>
      <c r="F6" s="2" t="n"/>
      <c r="G6" s="2" t="n"/>
      <c r="H6" s="3" t="n"/>
    </row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10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9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6</t>
        </is>
      </c>
      <c r="C15" s="10">
        <f>B15-4</f>
        <v/>
      </c>
      <c r="D15" s="4" t="n"/>
      <c r="E15" s="2" t="n"/>
      <c r="F15" s="3" t="n"/>
    </row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6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4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6</t>
        </is>
      </c>
    </row>
    <row r="33">
      <c r="A33" s="6" t="inlineStr">
        <is>
          <t>易容</t>
        </is>
      </c>
      <c r="B33" s="7" t="inlineStr">
        <is>
          <t>3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吸星大法·殘篇</t>
        </is>
      </c>
      <c r="B47" s="7" t="inlineStr">
        <is>
          <t>絕世內功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吸星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命中吸1d4真氣</t>
        </is>
      </c>
    </row>
    <row r="48">
      <c r="A48" s="7" t="inlineStr">
        <is>
          <t>玄陰指</t>
        </is>
      </c>
      <c r="B48" s="7" t="inlineStr">
        <is>
          <t>上乘·遠攻</t>
        </is>
      </c>
      <c r="C48" s="7" t="inlineStr">
        <is>
          <t>--</t>
        </is>
      </c>
      <c r="D48" s="7" t="inlineStr">
        <is>
          <t>遠</t>
        </is>
      </c>
      <c r="E48" s="7" t="inlineStr">
        <is>
          <t>玄陰</t>
        </is>
      </c>
      <c r="F48" s="7" t="inlineStr">
        <is>
          <t>4</t>
        </is>
      </c>
      <c r="G48" s="7" t="inlineStr">
        <is>
          <t>+6</t>
        </is>
      </c>
      <c r="H48" s="7" t="inlineStr">
        <is>
          <t>3d6+悟 封脈1回合</t>
        </is>
      </c>
    </row>
    <row r="49">
      <c r="A49" s="7" t="inlineStr">
        <is>
          <t>幻陰步</t>
        </is>
      </c>
      <c r="B49" s="7" t="inlineStr">
        <is>
          <t>上乘輕功</t>
        </is>
      </c>
      <c r="C49" s="7" t="inlineStr">
        <is>
          <t>--</t>
        </is>
      </c>
      <c r="D49" s="7" t="inlineStr">
        <is>
          <t>快</t>
        </is>
      </c>
      <c r="E49" s="7" t="inlineStr">
        <is>
          <t>--</t>
        </is>
      </c>
      <c r="F49" s="7" t="inlineStr">
        <is>
          <t>4</t>
        </is>
      </c>
      <c r="G49" s="7" t="inlineStr">
        <is>
          <t>--</t>
        </is>
      </c>
      <c r="H49" s="7" t="inlineStr">
        <is>
          <t>閃避+4</t>
        </is>
      </c>
    </row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玄陰指（空手）</t>
        </is>
      </c>
      <c r="B58" s="8" t="inlineStr">
        <is>
          <t>蟒袍</t>
        </is>
      </c>
      <c r="C58" s="14" t="inlineStr">
        <is>
          <t>終極NPC。防禦（DC）20。弱點:膂力低生命值（HP）中等。生命值（HP） 55, 真氣 55</t>
        </is>
      </c>
      <c r="D58" s="2" t="n"/>
      <c r="E58" s="2" t="n"/>
      <c r="F58" s="3" t="n"/>
    </row>
    <row r="61">
      <c r="A61" s="6" t="inlineStr">
        <is>
          <t>俠義值</t>
        </is>
      </c>
      <c r="B61" s="7" t="inlineStr">
        <is>
          <t>-20</t>
        </is>
      </c>
      <c r="D61" s="6" t="inlineStr">
        <is>
          <t>惡名值</t>
        </is>
      </c>
      <c r="E61" s="7" t="inlineStr">
        <is>
          <t>55</t>
        </is>
      </c>
    </row>
    <row r="63">
      <c r="A63" t="inlineStr">
        <is>
          <t>可拜師(難度（DC）20⚠): 玄陰指+吸星大法(必有後門)。</t>
        </is>
      </c>
    </row>
    <row r="64">
      <c r="A64" t="inlineStr">
        <is>
          <t>拜師禮: 西廠腰牌+玄陰指(後門版)⚠+密檔(首殺後)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朱雀</t>
        </is>
      </c>
      <c r="C5" s="3" t="n"/>
      <c r="D5" s="6" t="inlineStr">
        <is>
          <t>勢力</t>
        </is>
      </c>
      <c r="E5" s="7" t="inlineStr">
        <is>
          <t>西廠</t>
        </is>
      </c>
      <c r="F5" s="6" t="inlineStr">
        <is>
          <t>境界</t>
        </is>
      </c>
      <c r="G5" s="7" t="inlineStr">
        <is>
          <t>爐火純青</t>
        </is>
      </c>
      <c r="H5" s="4" t="inlineStr">
        <is>
          <t>3(正宗)</t>
        </is>
      </c>
    </row>
    <row r="6">
      <c r="A6" s="6" t="inlineStr">
        <is>
          <t>概念</t>
        </is>
      </c>
      <c r="B6" s="14" t="inlineStr">
        <is>
          <t>西廠四大暗探之首，專長臥底滲透。真實面目無人知曉。</t>
        </is>
      </c>
      <c r="C6" s="2" t="n"/>
      <c r="D6" s="2" t="n"/>
      <c r="E6" s="2" t="n"/>
      <c r="F6" s="2" t="n"/>
      <c r="G6" s="2" t="n"/>
      <c r="H6" s="3" t="n"/>
    </row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9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6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4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6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4</t>
        </is>
      </c>
    </row>
    <row r="33">
      <c r="A33" s="6" t="inlineStr">
        <is>
          <t>易容</t>
        </is>
      </c>
      <c r="B33" s="7" t="inlineStr">
        <is>
          <t>5</t>
        </is>
      </c>
    </row>
    <row r="34">
      <c r="A34" s="6" t="inlineStr">
        <is>
          <t>開鎖</t>
        </is>
      </c>
      <c r="B34" s="7" t="inlineStr">
        <is>
          <t>4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黃泉步</t>
        </is>
      </c>
      <c r="B47" s="7" t="inlineStr">
        <is>
          <t>進階輕功</t>
        </is>
      </c>
      <c r="C47" s="7" t="inlineStr">
        <is>
          <t>--</t>
        </is>
      </c>
      <c r="D47" s="7" t="inlineStr">
        <is>
          <t>快</t>
        </is>
      </c>
      <c r="E47" s="7" t="inlineStr">
        <is>
          <t>--</t>
        </is>
      </c>
      <c r="F47" s="7" t="inlineStr">
        <is>
          <t>3</t>
        </is>
      </c>
      <c r="G47" s="7" t="inlineStr">
        <is>
          <t>--</t>
        </is>
      </c>
      <c r="H47" s="7" t="inlineStr">
        <is>
          <t>脫戰不觸發借機</t>
        </is>
      </c>
    </row>
    <row r="48">
      <c r="A48" s="7" t="inlineStr">
        <is>
          <t>無影短刃</t>
        </is>
      </c>
      <c r="B48" s="7" t="inlineStr">
        <is>
          <t>暗殺術</t>
        </is>
      </c>
      <c r="C48" s="7" t="inlineStr">
        <is>
          <t>進階</t>
        </is>
      </c>
      <c r="D48" s="7" t="inlineStr">
        <is>
          <t>快</t>
        </is>
      </c>
      <c r="E48" s="7" t="inlineStr">
        <is>
          <t>暗殺</t>
        </is>
      </c>
      <c r="F48" s="7" t="inlineStr">
        <is>
          <t>2</t>
        </is>
      </c>
      <c r="G48" s="7" t="inlineStr">
        <is>
          <t>+5</t>
        </is>
      </c>
      <c r="H48" s="7" t="inlineStr">
        <is>
          <t>潛行雙倍2d6+身</t>
        </is>
      </c>
    </row>
    <row r="49">
      <c r="A49" s="7" t="inlineStr">
        <is>
          <t>易容術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偽裝為任意同體型者</t>
        </is>
      </c>
    </row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無影短刃(1d6+身)</t>
        </is>
      </c>
      <c r="B58" s="8" t="inlineStr">
        <is>
          <t>黑行衣</t>
        </is>
      </c>
      <c r="C58" s="14" t="inlineStr">
        <is>
          <t>滲透型NPC。生命值（HP） 40, 真氣 22。惡名記在西廠名下。</t>
        </is>
      </c>
      <c r="D58" s="2" t="n"/>
      <c r="E58" s="2" t="n"/>
      <c r="F58" s="3" t="n"/>
    </row>
    <row r="61">
      <c r="A61" s="6" t="inlineStr">
        <is>
          <t>俠義值</t>
        </is>
      </c>
      <c r="B61" s="7" t="inlineStr">
        <is>
          <t>0</t>
        </is>
      </c>
      <c r="D61" s="6" t="inlineStr">
        <is>
          <t>惡名值</t>
        </is>
      </c>
      <c r="E61" s="7" t="inlineStr">
        <is>
          <t>25</t>
        </is>
      </c>
    </row>
    <row r="63">
      <c r="A63" t="inlineStr">
        <is>
          <t>可拜師(難度（DC）16): 潛行+易容。暗中觀察。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柳生煙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藥王谷濟世堂首席，十九歲女醫，背藥箱行走江湖，不收錢治病。</t>
        </is>
      </c>
      <c r="C6" s="2" t="n"/>
      <c r="D6" s="3" t="n"/>
      <c r="E6" s="6" t="inlineStr">
        <is>
          <t>境界</t>
        </is>
      </c>
      <c r="F6" s="7" t="inlineStr">
        <is>
          <t>登堂入室</t>
        </is>
      </c>
      <c r="G6" s="6" t="inlineStr">
        <is>
          <t>內功係數</t>
        </is>
      </c>
      <c r="H6" s="7" t="inlineStr">
        <is>
          <t>2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2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5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5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4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藥王針法</t>
        </is>
      </c>
      <c r="B51" s="7" t="inlineStr">
        <is>
          <t>特殊·醫術</t>
        </is>
      </c>
      <c r="C51" s="7" t="inlineStr">
        <is>
          <t>入門</t>
        </is>
      </c>
      <c r="D51" s="7" t="inlineStr">
        <is>
          <t>—</t>
        </is>
      </c>
      <c r="E51" s="7" t="inlineStr">
        <is>
          <t>金針止血</t>
        </is>
      </c>
      <c r="F51" s="7" t="inlineStr">
        <is>
          <t>2</t>
        </is>
      </c>
      <c r="G51" s="7" t="inlineStr">
        <is>
          <t>+3</t>
        </is>
      </c>
      <c r="H51" s="7" t="inlineStr">
        <is>
          <t>治療2d8</t>
        </is>
      </c>
    </row>
    <row r="52">
      <c r="A52" s="7" t="inlineStr">
        <is>
          <t>百草心經</t>
        </is>
      </c>
      <c r="B52" s="7" t="inlineStr">
        <is>
          <t>內功</t>
        </is>
      </c>
      <c r="C52" s="7" t="inlineStr">
        <is>
          <t>入門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30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可拜師(難度（DC）10): 入門醫術。非武功線。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段天涯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天劍盟</t>
        </is>
      </c>
    </row>
    <row r="6">
      <c r="A6" s="6" t="inlineStr">
        <is>
          <t>概念</t>
        </is>
      </c>
      <c r="B6" s="8" t="inlineStr">
        <is>
          <t>天劍盟烈陽劍主，年約三十五，劍法剛猛霸道，少壯鷹派領袖。</t>
        </is>
      </c>
      <c r="C6" s="2" t="n"/>
      <c r="D6" s="3" t="n"/>
      <c r="E6" s="6" t="inlineStr">
        <is>
          <t>境界</t>
        </is>
      </c>
      <c r="F6" s="7" t="inlineStr">
        <is>
          <t>融會貫通</t>
        </is>
      </c>
      <c r="G6" s="6" t="inlineStr">
        <is>
          <t>內功係數</t>
        </is>
      </c>
      <c r="H6" s="7" t="inlineStr">
        <is>
          <t>3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7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6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5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5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4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4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烈陽劍法</t>
        </is>
      </c>
      <c r="B51" s="7" t="inlineStr">
        <is>
          <t>外功·劍術</t>
        </is>
      </c>
      <c r="C51" s="7" t="inlineStr">
        <is>
          <t>進階</t>
        </is>
      </c>
      <c r="D51" s="7" t="inlineStr">
        <is>
          <t>剛</t>
        </is>
      </c>
      <c r="E51" s="7" t="inlineStr">
        <is>
          <t>烈日焚天</t>
        </is>
      </c>
      <c r="F51" s="7" t="inlineStr">
        <is>
          <t>4</t>
        </is>
      </c>
      <c r="G51" s="7" t="inlineStr">
        <is>
          <t>+4</t>
        </is>
      </c>
      <c r="H51" s="7" t="inlineStr">
        <is>
          <t>3d6+膂(+3)</t>
        </is>
      </c>
    </row>
    <row r="52">
      <c r="A52" s="7" t="inlineStr">
        <is>
          <t>烈陽心經</t>
        </is>
      </c>
      <c r="B52" s="7" t="inlineStr">
        <is>
          <t>內功</t>
        </is>
      </c>
      <c r="C52" s="7" t="inlineStr">
        <is>
          <t>正宗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20</t>
        </is>
      </c>
      <c r="D69" s="6" t="inlineStr">
        <is>
          <t>惡名值</t>
        </is>
      </c>
      <c r="E69" s="7" t="inlineStr">
        <is>
          <t>5</t>
        </is>
      </c>
    </row>
    <row r="71">
      <c r="A71" t="inlineStr">
        <is>
          <t>可拜師(難度（DC）12): 烈陽劍法+烈陽心經。</t>
        </is>
      </c>
    </row>
    <row r="72">
      <c r="A72" t="inlineStr">
        <is>
          <t>贈禮: 烈陽劍(仿製)(精進至小有所成+好感≥10)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沈萬金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四海盟</t>
        </is>
      </c>
    </row>
    <row r="6">
      <c r="A6" s="6" t="inlineStr">
        <is>
          <t>概念</t>
        </is>
      </c>
      <c r="B6" s="8" t="inlineStr">
        <is>
          <t>四海盟大掌櫃，江湖首富，武功稀鬆但錢能通神。</t>
        </is>
      </c>
      <c r="C6" s="2" t="n"/>
      <c r="D6" s="3" t="n"/>
      <c r="E6" s="6" t="inlineStr">
        <is>
          <t>境界</t>
        </is>
      </c>
      <c r="F6" s="7" t="inlineStr">
        <is>
          <t>登堂入室</t>
        </is>
      </c>
      <c r="G6" s="6" t="inlineStr">
        <is>
          <t>內功係數</t>
        </is>
      </c>
      <c r="H6" s="7" t="inlineStr">
        <is>
          <t>1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6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5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8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6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金刀帖</t>
        </is>
      </c>
      <c r="B51" s="7" t="inlineStr">
        <is>
          <t>特殊</t>
        </is>
      </c>
      <c r="C51" s="7" t="inlineStr">
        <is>
          <t>—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召喚金刀衛護衛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15</t>
        </is>
      </c>
      <c r="D69" s="6" t="inlineStr">
        <is>
          <t>惡名值</t>
        </is>
      </c>
      <c r="E69" s="7" t="inlineStr">
        <is>
          <t>5</t>
        </is>
      </c>
    </row>
    <row r="71">
      <c r="A71" t="inlineStr">
        <is>
          <t>可拜師(難度（DC）10): 口才/江湖見識。贈50兩。</t>
        </is>
      </c>
    </row>
    <row r="72">
      <c r="A72" t="inlineStr">
        <is>
          <t>拜師禮: 啟動資金50兩(可分期)+四海盟貴賓卡(8折)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白鶴</t>
        </is>
      </c>
      <c r="C5" s="3" t="n"/>
      <c r="D5" s="6" t="inlineStr">
        <is>
          <t>勢力</t>
        </is>
      </c>
      <c r="E5" s="7" t="inlineStr">
        <is>
          <t>朝廷·禮部</t>
        </is>
      </c>
      <c r="F5" s="6" t="inlineStr">
        <is>
          <t>境界</t>
        </is>
      </c>
      <c r="G5" s="7" t="inlineStr">
        <is>
          <t>融會貫通</t>
        </is>
      </c>
      <c r="H5" s="4" t="inlineStr">
        <is>
          <t>0(無內功)</t>
        </is>
      </c>
    </row>
    <row r="6">
      <c r="A6" s="6" t="inlineStr">
        <is>
          <t>概念</t>
        </is>
      </c>
      <c r="B6" s="14" t="inlineStr">
        <is>
          <t>朝廷欽差，武舉主考官。不會武功但話術和權謀可鎮壓多數江湖人。</t>
        </is>
      </c>
      <c r="C6" s="2" t="n"/>
      <c r="D6" s="2" t="n"/>
      <c r="E6" s="2" t="n"/>
      <c r="F6" s="2" t="n"/>
      <c r="G6" s="2" t="n"/>
      <c r="H6" s="3" t="n"/>
    </row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2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3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3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8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8</t>
        </is>
      </c>
      <c r="C15" s="10">
        <f>B15-4</f>
        <v/>
      </c>
      <c r="D15" s="4" t="n"/>
      <c r="E15" s="2" t="n"/>
      <c r="F15" s="3" t="n"/>
    </row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3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5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0</t>
        </is>
      </c>
    </row>
    <row r="32">
      <c r="A32" s="6" t="inlineStr">
        <is>
          <t>察言觀色</t>
        </is>
      </c>
      <c r="B32" s="7" t="inlineStr">
        <is>
          <t>5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酌情辦理</t>
        </is>
      </c>
      <c r="B47" s="7" t="inlineStr">
        <is>
          <t>特殊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魅力對抗影響NPC態度</t>
        </is>
      </c>
    </row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無</t>
        </is>
      </c>
      <c r="B58" s="8" t="inlineStr">
        <is>
          <t>文官袍</t>
        </is>
      </c>
      <c r="C58" s="14" t="inlineStr">
        <is>
          <t>文官型NPC。不會武功。以話術/權謀/制度作戰。生命值（HP） 15</t>
        </is>
      </c>
      <c r="D58" s="2" t="n"/>
      <c r="E58" s="2" t="n"/>
      <c r="F58" s="3" t="n"/>
    </row>
    <row r="61">
      <c r="A61" s="6" t="inlineStr">
        <is>
          <t>俠義值</t>
        </is>
      </c>
      <c r="B61" s="7" t="inlineStr">
        <is>
          <t>10</t>
        </is>
      </c>
      <c r="D61" s="6" t="inlineStr">
        <is>
          <t>惡名值</t>
        </is>
      </c>
      <c r="E61" s="7" t="inlineStr">
        <is>
          <t>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紫陽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太虛宮</t>
        </is>
      </c>
    </row>
    <row r="6">
      <c r="A6" s="6" t="inlineStr">
        <is>
          <t>概念</t>
        </is>
      </c>
      <c r="B6" s="8" t="inlineStr">
        <is>
          <t>太虛宮劍閣首座，只會用劍說話的清冷道者，劍在鞘裡最可怕。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6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8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兩儀劍法</t>
        </is>
      </c>
      <c r="B51" s="7" t="inlineStr">
        <is>
          <t>外功·劍術</t>
        </is>
      </c>
      <c r="C51" s="7" t="inlineStr">
        <is>
          <t>上乘</t>
        </is>
      </c>
      <c r="D51" s="7" t="inlineStr">
        <is>
          <t>柔</t>
        </is>
      </c>
      <c r="E51" s="7" t="inlineStr">
        <is>
          <t>太極</t>
        </is>
      </c>
      <c r="F51" s="7" t="inlineStr">
        <is>
          <t>5</t>
        </is>
      </c>
      <c r="G51" s="7" t="inlineStr">
        <is>
          <t>+5</t>
        </is>
      </c>
      <c r="H51" s="7" t="inlineStr">
        <is>
          <t>3d6+膂(+2)</t>
        </is>
      </c>
    </row>
    <row r="52">
      <c r="A52" s="7" t="inlineStr">
        <is>
          <t>先天功</t>
        </is>
      </c>
      <c r="B52" s="7" t="inlineStr">
        <is>
          <t>內功</t>
        </is>
      </c>
      <c r="C52" s="7" t="inlineStr">
        <is>
          <t>上乘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25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可拜師(難度（DC）14): 兩儀劍法+先天功。每月指點。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蘇青囊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藥王谷</t>
        </is>
      </c>
    </row>
    <row r="6">
      <c r="A6" s="6" t="inlineStr">
        <is>
          <t>概念</t>
        </is>
      </c>
      <c r="B6" s="8" t="inlineStr">
        <is>
          <t>藥王谷谷主，年過五十貌若三十，天下第一神醫，不問立場只問病情。</t>
        </is>
      </c>
      <c r="C6" s="2" t="n"/>
      <c r="D6" s="3" t="n"/>
      <c r="E6" s="6" t="inlineStr">
        <is>
          <t>境界</t>
        </is>
      </c>
      <c r="F6" s="7" t="inlineStr">
        <is>
          <t>爐火純青</t>
        </is>
      </c>
      <c r="G6" s="6" t="inlineStr">
        <is>
          <t>內功係數</t>
        </is>
      </c>
      <c r="H6" s="7" t="inlineStr">
        <is>
          <t>3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3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5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6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9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8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7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6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藥王神針</t>
        </is>
      </c>
      <c r="B51" s="7" t="inlineStr">
        <is>
          <t>特殊·醫術</t>
        </is>
      </c>
      <c r="C51" s="7" t="inlineStr">
        <is>
          <t>上乘</t>
        </is>
      </c>
      <c r="D51" s="7" t="inlineStr">
        <is>
          <t>—</t>
        </is>
      </c>
      <c r="E51" s="7" t="inlineStr">
        <is>
          <t>九針渡穴</t>
        </is>
      </c>
      <c r="F51" s="7" t="inlineStr">
        <is>
          <t>4</t>
        </is>
      </c>
      <c r="G51" s="7" t="inlineStr">
        <is>
          <t>+5</t>
        </is>
      </c>
      <c r="H51" s="7" t="inlineStr">
        <is>
          <t>治療4d8</t>
        </is>
      </c>
    </row>
    <row r="52">
      <c r="A52" s="7" t="inlineStr">
        <is>
          <t>百草心經</t>
        </is>
      </c>
      <c r="B52" s="7" t="inlineStr">
        <is>
          <t>內功</t>
        </is>
      </c>
      <c r="C52" s="7" t="inlineStr">
        <is>
          <t>正宗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內功係數3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40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可拜師(難度（DC）14): 藥王神針+百草心經+醫術。</t>
        </is>
      </c>
    </row>
    <row r="72">
      <c r="A72" t="inlineStr">
        <is>
          <t>拜師禮: 藥箱(金瘡藥x5+小還丹x2)+出師禮: 蘇字招牌(賒帳20兩)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趙無極</t>
        </is>
      </c>
      <c r="C5" s="3" t="n"/>
      <c r="D5" s="6" t="inlineStr">
        <is>
          <t>勢力</t>
        </is>
      </c>
      <c r="E5" s="7" t="inlineStr">
        <is>
          <t>六扇門</t>
        </is>
      </c>
      <c r="F5" s="6" t="inlineStr">
        <is>
          <t>境界</t>
        </is>
      </c>
      <c r="G5" s="7" t="inlineStr">
        <is>
          <t>初窺門徑</t>
        </is>
      </c>
      <c r="H5" s="4" t="inlineStr">
        <is>
          <t>1(無內功)</t>
        </is>
      </c>
    </row>
    <row r="6">
      <c r="A6" s="6" t="inlineStr">
        <is>
          <t>概念</t>
        </is>
      </c>
      <c r="B6" s="14" t="inlineStr">
        <is>
          <t>六扇門見習捕快。入行三年未得真傳——代表朝廷最基層的武力。</t>
        </is>
      </c>
      <c r="C6" s="2" t="n"/>
      <c r="D6" s="2" t="n"/>
      <c r="E6" s="2" t="n"/>
      <c r="F6" s="2" t="n"/>
      <c r="G6" s="2" t="n"/>
      <c r="H6" s="3" t="n"/>
    </row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3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3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2</t>
        </is>
      </c>
    </row>
    <row r="32">
      <c r="A32" s="6" t="inlineStr">
        <is>
          <t>察言觀色</t>
        </is>
      </c>
      <c r="B32" s="7" t="inlineStr">
        <is>
          <t>1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0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1</t>
        </is>
      </c>
    </row>
    <row r="43">
      <c r="A43" s="6" t="inlineStr">
        <is>
          <t>劍法</t>
        </is>
      </c>
      <c r="B43" s="7" t="inlineStr">
        <is>
          <t>0</t>
        </is>
      </c>
    </row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六扇快刀·快刀緝捕</t>
        </is>
      </c>
      <c r="B47" s="7" t="inlineStr">
        <is>
          <t>外功·刀法</t>
        </is>
      </c>
      <c r="C47" s="7" t="inlineStr">
        <is>
          <t>入門</t>
        </is>
      </c>
      <c r="D47" s="7" t="inlineStr">
        <is>
          <t>快</t>
        </is>
      </c>
      <c r="E47" s="7" t="inlineStr">
        <is>
          <t>緝捕</t>
        </is>
      </c>
      <c r="F47" s="7" t="inlineStr">
        <is>
          <t>1</t>
        </is>
      </c>
      <c r="G47" s="7" t="inlineStr">
        <is>
          <t>+2</t>
        </is>
      </c>
      <c r="H47" s="7" t="inlineStr">
        <is>
          <t>1d8+膂 對已傷+1</t>
        </is>
      </c>
    </row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制式官刀(1d8+1)</t>
        </is>
      </c>
      <c r="B58" s="8" t="inlineStr">
        <is>
          <t>舊官服</t>
        </is>
      </c>
      <c r="C58" s="14" t="inlineStr">
        <is>
          <t>第一境巔峯。生命值（HP） 20, 真氣 4</t>
        </is>
      </c>
      <c r="D58" s="2" t="n"/>
      <c r="E58" s="2" t="n"/>
      <c r="F58" s="3" t="n"/>
    </row>
    <row r="61">
      <c r="A61" s="6" t="inlineStr">
        <is>
          <t>俠義值</t>
        </is>
      </c>
      <c r="B61" s="7" t="inlineStr">
        <is>
          <t>5</t>
        </is>
      </c>
      <c r="D61" s="6" t="inlineStr">
        <is>
          <t>惡名值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角色卡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7" t="inlineStr">
        <is>
          <t>陸沉淵</t>
        </is>
      </c>
      <c r="C5" s="6" t="inlineStr">
        <is>
          <t>玩家</t>
        </is>
      </c>
      <c r="D5" s="7" t="n"/>
      <c r="E5" s="6" t="inlineStr">
        <is>
          <t>門派</t>
        </is>
      </c>
      <c r="F5" s="7" t="inlineStr">
        <is>
          <t>天劍盟</t>
        </is>
      </c>
    </row>
    <row r="6">
      <c r="A6" s="6" t="inlineStr">
        <is>
          <t>概念</t>
        </is>
      </c>
      <c r="B6" s="8" t="inlineStr">
        <is>
          <t>天劍盟盟主，年過六旬的劍道泰斗。三十年前以一人一劍平定西域十三寇。</t>
        </is>
      </c>
      <c r="C6" s="2" t="n"/>
      <c r="D6" s="3" t="n"/>
      <c r="E6" s="6" t="inlineStr">
        <is>
          <t>境界</t>
        </is>
      </c>
      <c r="F6" s="7" t="inlineStr">
        <is>
          <t>登峯造極</t>
        </is>
      </c>
      <c r="G6" s="6" t="inlineStr">
        <is>
          <t>內功係數</t>
        </is>
      </c>
      <c r="H6" s="7" t="inlineStr">
        <is>
          <t>4</t>
        </is>
      </c>
    </row>
    <row r="8">
      <c r="A8" s="5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9</t>
        </is>
      </c>
      <c r="C10" s="10">
        <f>B10-4</f>
        <v/>
      </c>
      <c r="D10" s="4" t="inlineStr">
        <is>
          <t>肌肉力量、爆發力</t>
        </is>
      </c>
      <c r="E10" s="2" t="n"/>
      <c r="F10" s="3" t="n"/>
    </row>
    <row r="11">
      <c r="A11" s="6" t="inlineStr">
        <is>
          <t>身法（DEX）</t>
        </is>
      </c>
      <c r="B11" s="7" t="inlineStr">
        <is>
          <t>7</t>
        </is>
      </c>
      <c r="C11" s="10">
        <f>B11-4</f>
        <v/>
      </c>
      <c r="D11" s="4" t="inlineStr">
        <is>
          <t>速度、靈活、輕功</t>
        </is>
      </c>
      <c r="E11" s="2" t="n"/>
      <c r="F11" s="3" t="n"/>
    </row>
    <row r="12">
      <c r="A12" s="6" t="inlineStr">
        <is>
          <t>根骨（CON）</t>
        </is>
      </c>
      <c r="B12" s="7" t="inlineStr">
        <is>
          <t>8</t>
        </is>
      </c>
      <c r="C12" s="10">
        <f>B12-4</f>
        <v/>
      </c>
      <c r="D12" s="4" t="inlineStr">
        <is>
          <t>經脈承載、體質、生命韌性</t>
        </is>
      </c>
      <c r="E12" s="2" t="n"/>
      <c r="F12" s="3" t="n"/>
    </row>
    <row r="13">
      <c r="A13" s="6" t="inlineStr">
        <is>
          <t>悟性（INT）</t>
        </is>
      </c>
      <c r="B13" s="7" t="inlineStr">
        <is>
          <t>7</t>
        </is>
      </c>
      <c r="C13" s="10">
        <f>B13-4</f>
        <v/>
      </c>
      <c r="D13" s="4" t="inlineStr">
        <is>
          <t>武學領悟力、學習效率</t>
        </is>
      </c>
      <c r="E13" s="2" t="n"/>
      <c r="F13" s="3" t="n"/>
    </row>
    <row r="14">
      <c r="A14" s="6" t="inlineStr">
        <is>
          <t>定力（WIS）</t>
        </is>
      </c>
      <c r="B14" s="7" t="inlineStr">
        <is>
          <t>8</t>
        </is>
      </c>
      <c r="C14" s="10">
        <f>B14-4</f>
        <v/>
      </c>
      <c r="D14" s="4" t="inlineStr">
        <is>
          <t>意志力、心境穩定</t>
        </is>
      </c>
      <c r="E14" s="2" t="n"/>
      <c r="F14" s="3" t="n"/>
    </row>
    <row r="15">
      <c r="A15" s="6" t="inlineStr">
        <is>
          <t>魅力（CHA）</t>
        </is>
      </c>
      <c r="B15" s="7" t="inlineStr">
        <is>
          <t>7</t>
        </is>
      </c>
      <c r="C15" s="10">
        <f>B15-4</f>
        <v/>
      </c>
      <c r="D15" s="4" t="inlineStr">
        <is>
          <t>人格魅力、人際影響力</t>
        </is>
      </c>
      <c r="E15" s="2" t="n"/>
      <c r="F15" s="3" t="n"/>
    </row>
    <row r="16">
      <c r="A16" s="6" t="inlineStr">
        <is>
          <t>屬性合計</t>
        </is>
      </c>
      <c r="B16" s="3" t="n"/>
    </row>
    <row r="18">
      <c r="A18" s="5" t="inlineStr">
        <is>
          <t>— 衍生值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生命值（HP）</t>
        </is>
      </c>
      <c r="B19" s="4" t="inlineStr">
        <is>
          <t>根骨×5+境界加值</t>
        </is>
      </c>
      <c r="C19" s="2" t="n"/>
      <c r="D19" s="3" t="n"/>
      <c r="E19" s="11">
        <f>B12*5+IF(F6="登堂入室",5,IF(F6="融會貫通",10,IF(F6="爐火純青",15,IF(F6="登峯造極",20,IF(F6="返璞歸真",25,0)))))</f>
        <v/>
      </c>
      <c r="F19" s="3" t="n"/>
    </row>
    <row r="20">
      <c r="A20" s="6" t="inlineStr">
        <is>
          <t>真氣</t>
        </is>
      </c>
      <c r="B20" s="4" t="inlineStr">
        <is>
          <t>根骨×內功係數+境界加值</t>
        </is>
      </c>
      <c r="C20" s="2" t="n"/>
      <c r="D20" s="3" t="n"/>
      <c r="E20" s="11">
        <f>B12*VALUE(LEFT(H6,1))+IF(F6="登堂入室",3,IF(F6="融會貫通",6,IF(F6="爐火純青",10,IF(F6="登峯造極",15,IF(F6="返璞歸真",20,0)))))</f>
        <v/>
      </c>
      <c r="F20" s="3" t="n"/>
    </row>
    <row r="21">
      <c r="A21" s="6" t="inlineStr">
        <is>
          <t>先手</t>
        </is>
      </c>
      <c r="B21" s="4" t="inlineStr">
        <is>
          <t>身法+定力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閃避</t>
        </is>
      </c>
      <c r="B22" s="4" t="inlineStr">
        <is>
          <t>身法調整+輕功等級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防禦</t>
        </is>
      </c>
      <c r="B23" s="4" t="inlineStr">
        <is>
          <t>根骨調整+護甲值</t>
        </is>
      </c>
      <c r="C23" s="2" t="n"/>
      <c r="D23" s="3" t="n"/>
      <c r="E23" s="11">
        <f>C12+B43</f>
        <v/>
      </c>
      <c r="F23" s="3" t="n"/>
    </row>
    <row r="25">
      <c r="A25" s="5" t="inlineStr">
        <is>
          <t>— 技能 —</t>
        </is>
      </c>
      <c r="B25" s="3" t="n"/>
    </row>
    <row r="26">
      <c r="A26" s="9" t="inlineStr">
        <is>
          <t>技能</t>
        </is>
      </c>
      <c r="B26" s="9" t="inlineStr">
        <is>
          <t>等級</t>
        </is>
      </c>
      <c r="C26" s="9" t="inlineStr">
        <is>
          <t>加值</t>
        </is>
      </c>
      <c r="D26" s="9" t="inlineStr">
        <is>
          <t>對應屬性</t>
        </is>
      </c>
      <c r="E26" s="7" t="inlineStr">
        <is>
          <t>備註</t>
        </is>
      </c>
      <c r="F26" s="2" t="n"/>
      <c r="G26" s="2" t="n"/>
      <c r="H26" s="3" t="n"/>
    </row>
    <row r="27">
      <c r="A27" s="6" t="inlineStr">
        <is>
          <t>識武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江湖見識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輕功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口才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攀爬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潛行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追蹤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察言觀色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易容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開鎖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機關術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醫術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丹術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毒術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暗器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輕功等級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護甲值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刀法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劍法</t>
        </is>
      </c>
      <c r="B45" s="7" t="inlineStr">
        <is>
          <t>6</t>
        </is>
      </c>
      <c r="C45" s="4">
        <f>C10+B45</f>
        <v/>
      </c>
      <c r="D45" s="4" t="inlineStr">
        <is>
          <t>C10</t>
        </is>
      </c>
    </row>
    <row r="49">
      <c r="A49" s="5" t="inlineStr">
        <is>
          <t>— 武功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武功名</t>
        </is>
      </c>
      <c r="B50" s="9" t="inlineStr">
        <is>
          <t>類型</t>
        </is>
      </c>
      <c r="C50" s="9" t="inlineStr">
        <is>
          <t>層級·精進</t>
        </is>
      </c>
      <c r="D50" s="9" t="inlineStr">
        <is>
          <t>勁力</t>
        </is>
      </c>
      <c r="E50" s="9" t="inlineStr">
        <is>
          <t>招式</t>
        </is>
      </c>
      <c r="F50" s="9" t="inlineStr">
        <is>
          <t>真氣</t>
        </is>
      </c>
      <c r="G50" s="9" t="inlineStr">
        <is>
          <t>命中</t>
        </is>
      </c>
      <c r="H50" s="9" t="inlineStr">
        <is>
          <t>傷害/效果</t>
        </is>
      </c>
    </row>
    <row r="51">
      <c r="A51" s="7" t="inlineStr">
        <is>
          <t>獨孤九劍·破劍式</t>
        </is>
      </c>
      <c r="B51" s="7" t="inlineStr">
        <is>
          <t>外功·劍術</t>
        </is>
      </c>
      <c r="C51" s="7" t="inlineStr">
        <is>
          <t>上乘</t>
        </is>
      </c>
      <c r="D51" s="7" t="inlineStr">
        <is>
          <t>巧</t>
        </is>
      </c>
      <c r="E51" s="7" t="inlineStr">
        <is>
          <t>破劍式</t>
        </is>
      </c>
      <c r="F51" s="7" t="inlineStr">
        <is>
          <t>6</t>
        </is>
      </c>
      <c r="G51" s="7" t="inlineStr">
        <is>
          <t>+6</t>
        </is>
      </c>
      <c r="H51" s="7" t="inlineStr">
        <is>
          <t>3d8+5 破招</t>
        </is>
      </c>
    </row>
    <row r="52">
      <c r="A52" s="7" t="inlineStr">
        <is>
          <t>天劍訣·萬劍歸宗</t>
        </is>
      </c>
      <c r="B52" s="7" t="inlineStr">
        <is>
          <t>外功·劍術</t>
        </is>
      </c>
      <c r="C52" s="7" t="inlineStr">
        <is>
          <t>絕學</t>
        </is>
      </c>
      <c r="D52" s="7" t="inlineStr">
        <is>
          <t>剛</t>
        </is>
      </c>
      <c r="E52" s="7" t="inlineStr">
        <is>
          <t>萬劍歸宗</t>
        </is>
      </c>
      <c r="F52" s="7" t="inlineStr">
        <is>
          <t>10</t>
        </is>
      </c>
      <c r="G52" s="7" t="inlineStr">
        <is>
          <t>+8</t>
        </is>
      </c>
      <c r="H52" s="7" t="inlineStr">
        <is>
          <t>5d6+10 範圍攻擊</t>
        </is>
      </c>
    </row>
    <row r="53">
      <c r="A53" s="7" t="inlineStr">
        <is>
          <t>寒梅劍法·霜寒劍氣</t>
        </is>
      </c>
      <c r="B53" s="7" t="inlineStr">
        <is>
          <t>外功·劍術</t>
        </is>
      </c>
      <c r="C53" s="7" t="inlineStr">
        <is>
          <t>進階</t>
        </is>
      </c>
      <c r="D53" s="7" t="inlineStr">
        <is>
          <t>遠</t>
        </is>
      </c>
      <c r="E53" s="7" t="inlineStr">
        <is>
          <t>霜寒劍氣</t>
        </is>
      </c>
      <c r="F53" s="7" t="inlineStr">
        <is>
          <t>4</t>
        </is>
      </c>
      <c r="G53" s="7" t="inlineStr">
        <is>
          <t>+4</t>
        </is>
      </c>
      <c r="H53" s="7" t="inlineStr">
        <is>
          <t>2d6+5 三步距離</t>
        </is>
      </c>
    </row>
    <row r="54">
      <c r="A54" s="7" t="inlineStr">
        <is>
          <t>天劍心經</t>
        </is>
      </c>
      <c r="B54" s="7" t="inlineStr">
        <is>
          <t>內功</t>
        </is>
      </c>
      <c r="C54" s="7" t="inlineStr">
        <is>
          <t>上乘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內功係數4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61">
      <c r="A61" s="5" t="inlineStr">
        <is>
          <t>— 裝備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武器</t>
        </is>
      </c>
      <c r="B62" s="9" t="inlineStr">
        <is>
          <t>傷害</t>
        </is>
      </c>
      <c r="C62" s="9" t="inlineStr">
        <is>
          <t>命中修正</t>
        </is>
      </c>
      <c r="D62" s="9" t="inlineStr">
        <is>
          <t>護甲</t>
        </is>
      </c>
      <c r="E62" s="9" t="inlineStr">
        <is>
          <t>外傷減免</t>
        </is>
      </c>
      <c r="F62" s="9" t="inlineStr">
        <is>
          <t>道具</t>
        </is>
      </c>
    </row>
    <row r="63">
      <c r="A63" s="7" t="n"/>
      <c r="B63" s="3" t="n"/>
      <c r="D63" s="7" t="n"/>
      <c r="E63" s="2" t="n"/>
      <c r="F63" s="3" t="n"/>
    </row>
    <row r="69">
      <c r="A69" s="6" t="inlineStr">
        <is>
          <t>俠義值</t>
        </is>
      </c>
      <c r="B69" s="7" t="inlineStr">
        <is>
          <t>50</t>
        </is>
      </c>
      <c r="D69" s="6" t="inlineStr">
        <is>
          <t>惡名值</t>
        </is>
      </c>
      <c r="E69" s="7" t="inlineStr">
        <is>
          <t>0</t>
        </is>
      </c>
    </row>
    <row r="71">
      <c r="A71" t="inlineStr">
        <is>
          <t>可拜師(難度（DC）18): 天劍訣+寒梅劍法。需劍意試煉。</t>
        </is>
      </c>
    </row>
    <row r="72">
      <c r="A72" t="inlineStr">
        <is>
          <t>拜師禮: 劍譜抄本(借閱)+出師禮: 承影劍(仿製)+推薦函(俠義≥40)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朝廷NPC · 跑團規則工作室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3" t="inlineStr">
        <is>
          <t>— 基本資料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角色名</t>
        </is>
      </c>
      <c r="B5" s="6" t="inlineStr">
        <is>
          <t>韓鐵衣</t>
        </is>
      </c>
      <c r="C5" s="3" t="n"/>
      <c r="D5" s="6" t="inlineStr">
        <is>
          <t>勢力</t>
        </is>
      </c>
      <c r="E5" s="7" t="inlineStr">
        <is>
          <t>禁軍</t>
        </is>
      </c>
      <c r="F5" s="6" t="inlineStr">
        <is>
          <t>境界</t>
        </is>
      </c>
      <c r="G5" s="7" t="inlineStr">
        <is>
          <t>爐火純青</t>
        </is>
      </c>
      <c r="H5" s="4" t="inlineStr">
        <is>
          <t>3(正宗)</t>
        </is>
      </c>
    </row>
    <row r="6">
      <c r="A6" s="6" t="inlineStr">
        <is>
          <t>概念</t>
        </is>
      </c>
      <c r="B6" s="14" t="inlineStr">
        <is>
          <t>禁軍副統領，禁軍槍法唯一傳人。曾在皇城保衛戰獨守承天門。</t>
        </is>
      </c>
      <c r="C6" s="2" t="n"/>
      <c r="D6" s="2" t="n"/>
      <c r="E6" s="2" t="n"/>
      <c r="F6" s="2" t="n"/>
      <c r="G6" s="2" t="n"/>
      <c r="H6" s="3" t="n"/>
    </row>
    <row r="8">
      <c r="A8" s="13" t="inlineStr">
        <is>
          <t>— 六維屬性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屬性</t>
        </is>
      </c>
      <c r="B9" s="9" t="inlineStr">
        <is>
          <t>基礎值</t>
        </is>
      </c>
      <c r="C9" s="9" t="inlineStr">
        <is>
          <t>調整值</t>
        </is>
      </c>
      <c r="D9" s="9" t="inlineStr">
        <is>
          <t>描述</t>
        </is>
      </c>
    </row>
    <row r="10">
      <c r="A10" s="6" t="inlineStr">
        <is>
          <t>膂力（STR）</t>
        </is>
      </c>
      <c r="B10" s="7" t="inlineStr">
        <is>
          <t>9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身法（DEX）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根骨（CON）</t>
        </is>
      </c>
      <c r="B12" s="7" t="inlineStr">
        <is>
          <t>8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悟性（INT）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定力（WIS）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魅力（CHA）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7">
      <c r="A17" s="13" t="inlineStr">
        <is>
          <t>— 衍生值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生命值（HP）</t>
        </is>
      </c>
      <c r="B18" s="4" t="inlineStr">
        <is>
          <t>根骨x5+境界</t>
        </is>
      </c>
      <c r="C18" s="2" t="n"/>
      <c r="D18" s="3" t="n"/>
      <c r="E18" s="11">
        <f>B12*5+IF(F5="登堂入室",5,IF(F5="融會貫通",10,IF(F5="爐火純青",15,IF(F5="登峯造極",20,IF(F5="返璞歸真",25,0)))))</f>
        <v/>
      </c>
      <c r="F18" s="3" t="n"/>
    </row>
    <row r="19">
      <c r="A19" s="6" t="inlineStr">
        <is>
          <t>真氣</t>
        </is>
      </c>
      <c r="B19" s="4" t="inlineStr">
        <is>
          <t>根骨x內功係數+境界</t>
        </is>
      </c>
      <c r="C19" s="2" t="n"/>
      <c r="D19" s="3" t="n"/>
      <c r="E19" s="11">
        <f>B12*VALUE(LEFT(H5,1))+IF(F5="登堂入室",3,IF(F5="融會貫通",6,IF(F5="爐火純青",10,IF(F5="登峯造極",15,IF(F5="返璞歸真",20,0)))))</f>
        <v/>
      </c>
      <c r="F19" s="3" t="n"/>
    </row>
    <row r="20">
      <c r="A20" s="6" t="inlineStr">
        <is>
          <t>先手</t>
        </is>
      </c>
      <c r="B20" s="4" t="inlineStr">
        <is>
          <t>身法+定力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閃避</t>
        </is>
      </c>
      <c r="B21" s="4" t="inlineStr">
        <is>
          <t>身法調整值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防禦</t>
        </is>
      </c>
      <c r="B22" s="4" t="inlineStr">
        <is>
          <t>根骨調整值</t>
        </is>
      </c>
      <c r="C22" s="2" t="n"/>
      <c r="D22" s="3" t="n"/>
      <c r="E22" s="11">
        <f>C12</f>
        <v/>
      </c>
      <c r="F22" s="3" t="n"/>
    </row>
    <row r="24">
      <c r="A24" s="13" t="inlineStr">
        <is>
          <t>— 技能 —</t>
        </is>
      </c>
      <c r="B24" s="3" t="n"/>
    </row>
    <row r="25">
      <c r="A25" s="6" t="inlineStr">
        <is>
          <t>識武</t>
        </is>
      </c>
      <c r="B25" s="7" t="inlineStr">
        <is>
          <t>0</t>
        </is>
      </c>
    </row>
    <row r="26">
      <c r="A26" s="6" t="inlineStr">
        <is>
          <t>江湖見識</t>
        </is>
      </c>
      <c r="B26" s="7" t="inlineStr">
        <is>
          <t>0</t>
        </is>
      </c>
    </row>
    <row r="27">
      <c r="A27" s="6" t="inlineStr">
        <is>
          <t>輕功</t>
        </is>
      </c>
      <c r="B27" s="7" t="inlineStr">
        <is>
          <t>0</t>
        </is>
      </c>
    </row>
    <row r="28">
      <c r="A28" s="6" t="inlineStr">
        <is>
          <t>口才</t>
        </is>
      </c>
      <c r="B28" s="7" t="inlineStr">
        <is>
          <t>0</t>
        </is>
      </c>
    </row>
    <row r="29">
      <c r="A29" s="6" t="inlineStr">
        <is>
          <t>攀爬</t>
        </is>
      </c>
      <c r="B29" s="7" t="inlineStr">
        <is>
          <t>0</t>
        </is>
      </c>
    </row>
    <row r="30">
      <c r="A30" s="6" t="inlineStr">
        <is>
          <t>潛行</t>
        </is>
      </c>
      <c r="B30" s="7" t="inlineStr">
        <is>
          <t>0</t>
        </is>
      </c>
    </row>
    <row r="31">
      <c r="A31" s="6" t="inlineStr">
        <is>
          <t>追蹤</t>
        </is>
      </c>
      <c r="B31" s="7" t="inlineStr">
        <is>
          <t>2</t>
        </is>
      </c>
    </row>
    <row r="32">
      <c r="A32" s="6" t="inlineStr">
        <is>
          <t>察言觀色</t>
        </is>
      </c>
      <c r="B32" s="7" t="inlineStr">
        <is>
          <t>0</t>
        </is>
      </c>
    </row>
    <row r="33">
      <c r="A33" s="6" t="inlineStr">
        <is>
          <t>易容</t>
        </is>
      </c>
      <c r="B33" s="7" t="inlineStr">
        <is>
          <t>0</t>
        </is>
      </c>
    </row>
    <row r="34">
      <c r="A34" s="6" t="inlineStr">
        <is>
          <t>開鎖</t>
        </is>
      </c>
      <c r="B34" s="7" t="inlineStr">
        <is>
          <t>0</t>
        </is>
      </c>
    </row>
    <row r="35">
      <c r="A35" s="6" t="inlineStr">
        <is>
          <t>機關術</t>
        </is>
      </c>
      <c r="B35" s="7" t="inlineStr">
        <is>
          <t>0</t>
        </is>
      </c>
    </row>
    <row r="36">
      <c r="A36" s="6" t="inlineStr">
        <is>
          <t>醫術</t>
        </is>
      </c>
      <c r="B36" s="7" t="inlineStr">
        <is>
          <t>0</t>
        </is>
      </c>
    </row>
    <row r="37">
      <c r="A37" s="6" t="inlineStr">
        <is>
          <t>丹術</t>
        </is>
      </c>
      <c r="B37" s="7" t="inlineStr">
        <is>
          <t>0</t>
        </is>
      </c>
    </row>
    <row r="38">
      <c r="A38" s="6" t="inlineStr">
        <is>
          <t>毒術</t>
        </is>
      </c>
      <c r="B38" s="7" t="inlineStr">
        <is>
          <t>0</t>
        </is>
      </c>
    </row>
    <row r="39">
      <c r="A39" s="6" t="inlineStr">
        <is>
          <t>暗器</t>
        </is>
      </c>
      <c r="B39" s="7" t="inlineStr">
        <is>
          <t>0</t>
        </is>
      </c>
    </row>
    <row r="40">
      <c r="A40" s="6" t="inlineStr">
        <is>
          <t>棍法</t>
        </is>
      </c>
      <c r="B40" s="7" t="inlineStr">
        <is>
          <t>5</t>
        </is>
      </c>
    </row>
    <row r="41">
      <c r="A41" s="6" t="inlineStr">
        <is>
          <t>拳掌</t>
        </is>
      </c>
      <c r="B41" s="7" t="inlineStr">
        <is>
          <t>0</t>
        </is>
      </c>
    </row>
    <row r="42">
      <c r="A42" s="6" t="inlineStr">
        <is>
          <t>刀法</t>
        </is>
      </c>
      <c r="B42" s="7" t="inlineStr">
        <is>
          <t>0</t>
        </is>
      </c>
    </row>
    <row r="43">
      <c r="A43" s="6" t="inlineStr">
        <is>
          <t>劍法</t>
        </is>
      </c>
      <c r="B43" s="7" t="inlineStr">
        <is>
          <t>0</t>
        </is>
      </c>
    </row>
    <row r="45">
      <c r="A45" s="13" t="inlineStr">
        <is>
          <t>— 武功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武功名</t>
        </is>
      </c>
      <c r="B46" s="9" t="inlineStr">
        <is>
          <t>類型</t>
        </is>
      </c>
      <c r="C46" s="9" t="inlineStr">
        <is>
          <t>層級</t>
        </is>
      </c>
      <c r="D46" s="9" t="inlineStr">
        <is>
          <t>勁力</t>
        </is>
      </c>
      <c r="E46" s="9" t="inlineStr">
        <is>
          <t>招式</t>
        </is>
      </c>
      <c r="F46" s="9" t="inlineStr">
        <is>
          <t>真氣</t>
        </is>
      </c>
      <c r="G46" s="9" t="inlineStr">
        <is>
          <t>命中</t>
        </is>
      </c>
      <c r="H46" s="9" t="inlineStr">
        <is>
          <t>傷害/效果</t>
        </is>
      </c>
    </row>
    <row r="47">
      <c r="A47" s="7" t="inlineStr">
        <is>
          <t>禁軍槍法·槍出遊龍</t>
        </is>
      </c>
      <c r="B47" s="7" t="inlineStr">
        <is>
          <t>外功·棍法</t>
        </is>
      </c>
      <c r="C47" s="7" t="inlineStr">
        <is>
          <t>精進</t>
        </is>
      </c>
      <c r="D47" s="7" t="inlineStr">
        <is>
          <t>剛</t>
        </is>
      </c>
      <c r="E47" s="7" t="inlineStr">
        <is>
          <t>遊龍</t>
        </is>
      </c>
      <c r="F47" s="7" t="inlineStr">
        <is>
          <t>4</t>
        </is>
      </c>
      <c r="G47" s="7" t="inlineStr">
        <is>
          <t>+4</t>
        </is>
      </c>
      <c r="H47" s="7" t="inlineStr">
        <is>
          <t>3d8+膂 先手+1d8</t>
        </is>
      </c>
    </row>
    <row r="48">
      <c r="A48" s="7" t="inlineStr">
        <is>
          <t>禁軍槍法·橫掃千軍</t>
        </is>
      </c>
      <c r="B48" s="7" t="inlineStr">
        <is>
          <t>外功·棍法</t>
        </is>
      </c>
      <c r="C48" s="7" t="inlineStr">
        <is>
          <t>進階</t>
        </is>
      </c>
      <c r="D48" s="7" t="inlineStr">
        <is>
          <t>剛</t>
        </is>
      </c>
      <c r="E48" s="7" t="inlineStr">
        <is>
          <t>橫掃</t>
        </is>
      </c>
      <c r="F48" s="7" t="inlineStr">
        <is>
          <t>2</t>
        </is>
      </c>
      <c r="G48" s="7" t="inlineStr">
        <is>
          <t>+1</t>
        </is>
      </c>
      <c r="H48" s="7" t="inlineStr">
        <is>
          <t>2d6+膂 鄰近雙目標</t>
        </is>
      </c>
    </row>
    <row r="49">
      <c r="A49" s="7" t="inlineStr">
        <is>
          <t>官威震懾</t>
        </is>
      </c>
      <c r="B49" s="7" t="inlineStr">
        <is>
          <t>特殊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定力對抗</t>
        </is>
      </c>
    </row>
    <row r="56">
      <c r="A56" s="13" t="inlineStr">
        <is>
          <t>— 裝備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武器</t>
        </is>
      </c>
      <c r="B57" s="9" t="inlineStr">
        <is>
          <t>護甲</t>
        </is>
      </c>
      <c r="C57" s="9" t="inlineStr">
        <is>
          <t>特殊</t>
        </is>
      </c>
    </row>
    <row r="58">
      <c r="A58" s="8" t="inlineStr">
        <is>
          <t>禁軍長槍(1d10)</t>
        </is>
      </c>
      <c r="B58" s="8" t="inlineStr">
        <is>
          <t>禁軍輕甲(減免2)</t>
        </is>
      </c>
      <c r="C58" s="14" t="inlineStr">
        <is>
          <t>第四境。朝廷終極武力。生命值（HP） 55, 真氣 34</t>
        </is>
      </c>
      <c r="D58" s="2" t="n"/>
      <c r="E58" s="2" t="n"/>
      <c r="F58" s="3" t="n"/>
    </row>
    <row r="61">
      <c r="A61" s="6" t="inlineStr">
        <is>
          <t>俠義值</t>
        </is>
      </c>
      <c r="B61" s="7" t="inlineStr">
        <is>
          <t>35</t>
        </is>
      </c>
      <c r="D61" s="6" t="inlineStr">
        <is>
          <t>惡名值</t>
        </is>
      </c>
      <c r="E61" s="7" t="inlineStr">
        <is>
          <t>0</t>
        </is>
      </c>
    </row>
    <row r="63">
      <c r="A63" t="inlineStr">
        <is>
          <t>可拜師(難度（DC）14): 禁軍槍法。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永 和 武 典</t>
        </is>
      </c>
    </row>
    <row r="2">
      <c r="A2" s="4" t="inlineStr">
        <is>
          <t>NPC同伴卡 · 單人專用</t>
        </is>
      </c>
    </row>
    <row r="4">
      <c r="A4" s="13" t="inlineStr">
        <is>
          <t>-- 基本資料 --</t>
        </is>
      </c>
    </row>
    <row r="5">
      <c r="A5" s="6" t="inlineStr">
        <is>
          <t>名稱</t>
        </is>
      </c>
      <c r="B5" s="6" t="inlineStr">
        <is>
          <t>柳生煙(同伴)</t>
        </is>
      </c>
      <c r="D5" s="6" t="inlineStr">
        <is>
          <t>門派</t>
        </is>
      </c>
      <c r="E5" s="7" t="inlineStr">
        <is>
          <t>藥王谷</t>
        </is>
      </c>
      <c r="F5" s="6" t="inlineStr">
        <is>
          <t>境界</t>
        </is>
      </c>
      <c r="G5" s="7" t="inlineStr">
        <is>
          <t>第二境·登堂入室</t>
        </is>
      </c>
      <c r="H5" s="3" t="n"/>
    </row>
    <row r="6">
      <c r="A6" s="6" t="inlineStr">
        <is>
          <t>概念</t>
        </is>
      </c>
      <c r="B6" s="14" t="inlineStr">
        <is>
          <t>藥王谷濟世堂年輕女醫。不收錢治病，心軟但手穩。為尋找失蹤的師父行走江湖。</t>
        </is>
      </c>
    </row>
    <row r="8">
      <c r="A8" s="6" t="inlineStr">
        <is>
          <t>膂</t>
        </is>
      </c>
      <c r="B8" s="7" t="n">
        <v>2</v>
      </c>
      <c r="C8" s="6" t="inlineStr">
        <is>
          <t>身</t>
        </is>
      </c>
      <c r="D8" s="7" t="n">
        <v>4</v>
      </c>
      <c r="E8" s="6" t="inlineStr">
        <is>
          <t>根</t>
        </is>
      </c>
      <c r="F8" s="7" t="n">
        <v>5</v>
      </c>
      <c r="G8" s="6" t="inlineStr">
        <is>
          <t>悟</t>
        </is>
      </c>
      <c r="H8" s="7" t="n">
        <v>6</v>
      </c>
      <c r="I8" s="6" t="inlineStr">
        <is>
          <t>定</t>
        </is>
      </c>
      <c r="J8" s="7" t="n">
        <v>5</v>
      </c>
      <c r="K8" s="6" t="inlineStr">
        <is>
          <t>魅</t>
        </is>
      </c>
      <c r="L8" s="7" t="n">
        <v>7</v>
      </c>
    </row>
    <row r="9">
      <c r="A9" s="9" t="inlineStr">
        <is>
          <t>HP</t>
        </is>
      </c>
      <c r="B9" s="9" t="inlineStr">
        <is>
          <t>先手</t>
        </is>
      </c>
      <c r="C9" s="9" t="inlineStr">
        <is>
          <t>防禦DC</t>
        </is>
      </c>
    </row>
    <row r="10">
      <c r="A10" s="16" t="n">
        <v>20</v>
      </c>
      <c r="B10" s="16" t="n">
        <v>9</v>
      </c>
      <c r="C10" s="16" t="inlineStr">
        <is>
          <t>DC12</t>
        </is>
      </c>
    </row>
    <row r="12">
      <c r="A12" s="13" t="inlineStr">
        <is>
          <t>-- 技能（簡化） --</t>
        </is>
      </c>
    </row>
    <row r="13">
      <c r="A13" s="6" t="inlineStr">
        <is>
          <t>醫術</t>
        </is>
      </c>
      <c r="B13" s="7" t="n">
        <v>3</v>
      </c>
    </row>
    <row r="14">
      <c r="A14" s="6" t="inlineStr">
        <is>
          <t>察言觀色</t>
        </is>
      </c>
      <c r="B14" s="7" t="n">
        <v>2</v>
      </c>
    </row>
    <row r="15">
      <c r="A15" s="6" t="inlineStr">
        <is>
          <t>識武</t>
        </is>
      </c>
      <c r="B15" s="7" t="n">
        <v>2</v>
      </c>
    </row>
    <row r="16">
      <c r="A16" s="6" t="inlineStr">
        <is>
          <t>丹術</t>
        </is>
      </c>
      <c r="B16" s="7" t="n">
        <v>2</v>
      </c>
    </row>
    <row r="18">
      <c r="A18" s="13" t="inlineStr">
        <is>
          <t>-- 招式與能力 --</t>
        </is>
      </c>
    </row>
    <row r="19">
      <c r="A19" s="9" t="inlineStr">
        <is>
          <t>名稱</t>
        </is>
      </c>
      <c r="B19" s="9" t="inlineStr">
        <is>
          <t>類型</t>
        </is>
      </c>
      <c r="C19" s="9" t="inlineStr">
        <is>
          <t>層級</t>
        </is>
      </c>
      <c r="D19" s="9" t="inlineStr">
        <is>
          <t>勁力</t>
        </is>
      </c>
      <c r="E19" s="9" t="inlineStr">
        <is>
          <t>招式</t>
        </is>
      </c>
      <c r="F19" s="9" t="inlineStr">
        <is>
          <t>使用次數</t>
        </is>
      </c>
      <c r="G19" s="9" t="inlineStr">
        <is>
          <t>命中</t>
        </is>
      </c>
      <c r="H19" s="9" t="inlineStr">
        <is>
          <t>傷害/效果</t>
        </is>
      </c>
    </row>
    <row r="20">
      <c r="A20" s="7" t="inlineStr">
        <is>
          <t>藥王針法</t>
        </is>
      </c>
      <c r="B20" s="7" t="inlineStr">
        <is>
          <t>特殊·醫術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金針止血</t>
        </is>
      </c>
      <c r="F20" s="7" t="inlineStr">
        <is>
          <t>2次/場</t>
        </is>
      </c>
      <c r="G20" s="7" t="inlineStr">
        <is>
          <t>+3</t>
        </is>
      </c>
      <c r="H20" s="7" t="inlineStr">
        <is>
          <t>治療2d8 HP</t>
        </is>
      </c>
    </row>
    <row r="21">
      <c r="A21" s="7" t="inlineStr">
        <is>
          <t>被動·醫者之心</t>
        </is>
      </c>
      <c r="B21" s="7" t="inlineStr">
        <is>
          <t>PC在柳生煙相鄰時，瀕死檢定DC-2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4">
      <c r="A24" s="13" t="inlineStr">
        <is>
          <t>-- 持有物品 --</t>
        </is>
      </c>
    </row>
    <row r="25">
      <c r="A25" s="14" t="inlineStr">
        <is>
          <t>金瘡藥×3（戰鬥外可給PC使用）</t>
        </is>
      </c>
    </row>
    <row r="27">
      <c r="A27" s="14" t="inlineStr">
        <is>
          <t>同伴規則見20_單人規則.md §4。不消耗真氣——改為招式使用次數限制。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永 和 武 典</t>
        </is>
      </c>
    </row>
    <row r="2">
      <c r="A2" s="4" t="inlineStr">
        <is>
          <t>NPC同伴卡 · 單人專用</t>
        </is>
      </c>
    </row>
    <row r="4">
      <c r="A4" s="13" t="inlineStr">
        <is>
          <t>-- 基本資料 --</t>
        </is>
      </c>
    </row>
    <row r="5">
      <c r="A5" s="6" t="inlineStr">
        <is>
          <t>名稱</t>
        </is>
      </c>
      <c r="B5" s="6" t="inlineStr">
        <is>
          <t>段天涯(同伴)</t>
        </is>
      </c>
      <c r="D5" s="6" t="inlineStr">
        <is>
          <t>門派</t>
        </is>
      </c>
      <c r="E5" s="7" t="inlineStr">
        <is>
          <t>天劍盟</t>
        </is>
      </c>
      <c r="F5" s="6" t="inlineStr">
        <is>
          <t>境界</t>
        </is>
      </c>
      <c r="G5" s="7" t="inlineStr">
        <is>
          <t>第三境·融會貫通</t>
        </is>
      </c>
      <c r="H5" s="3" t="n"/>
    </row>
    <row r="6">
      <c r="A6" s="6" t="inlineStr">
        <is>
          <t>概念</t>
        </is>
      </c>
      <c r="B6" s="14" t="inlineStr">
        <is>
          <t>天劍盟烈陽劍主·簡化版。年輕有為卻陷入「正道的代價」困境。在禪位之爭中選擇獨行。</t>
        </is>
      </c>
    </row>
    <row r="8">
      <c r="A8" s="6" t="inlineStr">
        <is>
          <t>膂</t>
        </is>
      </c>
      <c r="B8" s="7" t="n">
        <v>7</v>
      </c>
      <c r="C8" s="6" t="inlineStr">
        <is>
          <t>身</t>
        </is>
      </c>
      <c r="D8" s="7" t="n">
        <v>6</v>
      </c>
      <c r="E8" s="6" t="inlineStr">
        <is>
          <t>根</t>
        </is>
      </c>
      <c r="F8" s="7" t="n">
        <v>5</v>
      </c>
      <c r="G8" s="6" t="inlineStr">
        <is>
          <t>悟</t>
        </is>
      </c>
      <c r="H8" s="7" t="n">
        <v>5</v>
      </c>
      <c r="I8" s="6" t="inlineStr">
        <is>
          <t>定</t>
        </is>
      </c>
      <c r="J8" s="7" t="n">
        <v>5</v>
      </c>
      <c r="K8" s="6" t="inlineStr">
        <is>
          <t>魅</t>
        </is>
      </c>
      <c r="L8" s="7" t="n">
        <v>5</v>
      </c>
    </row>
    <row r="9">
      <c r="A9" s="9" t="inlineStr">
        <is>
          <t>HP</t>
        </is>
      </c>
      <c r="B9" s="9" t="inlineStr">
        <is>
          <t>先手</t>
        </is>
      </c>
      <c r="C9" s="9" t="inlineStr">
        <is>
          <t>防禦DC</t>
        </is>
      </c>
    </row>
    <row r="10">
      <c r="A10" s="16" t="n">
        <v>30</v>
      </c>
      <c r="B10" s="16" t="n">
        <v>11</v>
      </c>
      <c r="C10" s="16" t="inlineStr">
        <is>
          <t>DC14</t>
        </is>
      </c>
    </row>
    <row r="12">
      <c r="A12" s="13" t="inlineStr">
        <is>
          <t>-- 技能（簡化） --</t>
        </is>
      </c>
    </row>
    <row r="13">
      <c r="A13" s="6" t="inlineStr">
        <is>
          <t>劍法</t>
        </is>
      </c>
      <c r="B13" s="7" t="n">
        <v>4</v>
      </c>
    </row>
    <row r="14">
      <c r="A14" s="6" t="inlineStr">
        <is>
          <t>識武</t>
        </is>
      </c>
      <c r="B14" s="7" t="n">
        <v>3</v>
      </c>
    </row>
    <row r="15">
      <c r="A15" s="6" t="inlineStr">
        <is>
          <t>威嚇</t>
        </is>
      </c>
      <c r="B15" s="7" t="n">
        <v>2</v>
      </c>
    </row>
    <row r="16">
      <c r="A16" s="6" t="inlineStr">
        <is>
          <t>江湖見識</t>
        </is>
      </c>
      <c r="B16" s="7" t="n">
        <v>2</v>
      </c>
    </row>
    <row r="18">
      <c r="A18" s="13" t="inlineStr">
        <is>
          <t>-- 招式與能力 --</t>
        </is>
      </c>
    </row>
    <row r="19">
      <c r="A19" s="9" t="inlineStr">
        <is>
          <t>名稱</t>
        </is>
      </c>
      <c r="B19" s="9" t="inlineStr">
        <is>
          <t>類型</t>
        </is>
      </c>
      <c r="C19" s="9" t="inlineStr">
        <is>
          <t>層級</t>
        </is>
      </c>
      <c r="D19" s="9" t="inlineStr">
        <is>
          <t>勁力</t>
        </is>
      </c>
      <c r="E19" s="9" t="inlineStr">
        <is>
          <t>招式</t>
        </is>
      </c>
      <c r="F19" s="9" t="inlineStr">
        <is>
          <t>使用次數</t>
        </is>
      </c>
      <c r="G19" s="9" t="inlineStr">
        <is>
          <t>命中</t>
        </is>
      </c>
      <c r="H19" s="9" t="inlineStr">
        <is>
          <t>傷害/效果</t>
        </is>
      </c>
    </row>
    <row r="20">
      <c r="A20" s="7" t="inlineStr">
        <is>
          <t>烈陽劍法·烈日焚天</t>
        </is>
      </c>
      <c r="B20" s="7" t="inlineStr">
        <is>
          <t>外功·劍術</t>
        </is>
      </c>
      <c r="C20" s="7" t="inlineStr">
        <is>
          <t>進階</t>
        </is>
      </c>
      <c r="D20" s="7" t="inlineStr">
        <is>
          <t>剛</t>
        </is>
      </c>
      <c r="E20" s="7" t="inlineStr">
        <is>
          <t>烈日</t>
        </is>
      </c>
      <c r="F20" s="7" t="inlineStr">
        <is>
          <t>3次/場</t>
        </is>
      </c>
      <c r="G20" s="7" t="inlineStr">
        <is>
          <t>+5</t>
        </is>
      </c>
      <c r="H20" s="7" t="inlineStr">
        <is>
          <t>3d6+膂(+3)</t>
        </is>
      </c>
    </row>
    <row r="21">
      <c r="A21" s="7" t="inlineStr">
        <is>
          <t>被動·劍意</t>
        </is>
      </c>
      <c r="B21" s="7" t="inlineStr">
        <is>
          <t>每場戰鬥首回合自動識招一次（悟性DC12）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4">
      <c r="A24" s="13" t="inlineStr">
        <is>
          <t>-- 持有物品 --</t>
        </is>
      </c>
    </row>
    <row r="25">
      <c r="A25" s="14" t="inlineStr">
        <is>
          <t>烈陽劍（仿製·1d8+1）</t>
        </is>
      </c>
    </row>
    <row r="27">
      <c r="A27" s="14" t="inlineStr">
        <is>
          <t>同伴規則見20_單人規則.md §4。武功不消耗真氣——改為使用次數。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永 和 武 典</t>
        </is>
      </c>
    </row>
    <row r="2">
      <c r="A2" s="4" t="inlineStr">
        <is>
          <t>NPC同伴卡 · 單人專用</t>
        </is>
      </c>
    </row>
    <row r="4">
      <c r="A4" s="13" t="inlineStr">
        <is>
          <t>-- 基本資料 --</t>
        </is>
      </c>
    </row>
    <row r="5">
      <c r="A5" s="6" t="inlineStr">
        <is>
          <t>名稱</t>
        </is>
      </c>
      <c r="B5" s="6" t="inlineStr">
        <is>
          <t>韓鐵衣(同伴)</t>
        </is>
      </c>
      <c r="D5" s="6" t="inlineStr">
        <is>
          <t>門派</t>
        </is>
      </c>
      <c r="E5" s="7" t="inlineStr">
        <is>
          <t>禁軍</t>
        </is>
      </c>
      <c r="F5" s="6" t="inlineStr">
        <is>
          <t>境界</t>
        </is>
      </c>
      <c r="G5" s="7" t="inlineStr">
        <is>
          <t>第四境·爐火純青</t>
        </is>
      </c>
      <c r="H5" s="3" t="n"/>
    </row>
    <row r="6">
      <c r="A6" s="6" t="inlineStr">
        <is>
          <t>概念</t>
        </is>
      </c>
      <c r="B6" s="14" t="inlineStr">
        <is>
          <t>禁軍副統領·簡化版。身材魁梧如鐵塔的正直軍人。在官場被壓了十年——寧折不彎。</t>
        </is>
      </c>
    </row>
    <row r="8">
      <c r="A8" s="6" t="inlineStr">
        <is>
          <t>膂</t>
        </is>
      </c>
      <c r="B8" s="7" t="n">
        <v>9</v>
      </c>
      <c r="C8" s="6" t="inlineStr">
        <is>
          <t>身</t>
        </is>
      </c>
      <c r="D8" s="7" t="n">
        <v>4</v>
      </c>
      <c r="E8" s="6" t="inlineStr">
        <is>
          <t>根</t>
        </is>
      </c>
      <c r="F8" s="7" t="n">
        <v>7</v>
      </c>
      <c r="G8" s="6" t="inlineStr">
        <is>
          <t>悟</t>
        </is>
      </c>
      <c r="H8" s="7" t="n">
        <v>4</v>
      </c>
      <c r="I8" s="6" t="inlineStr">
        <is>
          <t>定</t>
        </is>
      </c>
      <c r="J8" s="7" t="n">
        <v>7</v>
      </c>
      <c r="K8" s="6" t="inlineStr">
        <is>
          <t>魅</t>
        </is>
      </c>
      <c r="L8" s="7" t="n">
        <v>3</v>
      </c>
    </row>
    <row r="9">
      <c r="A9" s="9" t="inlineStr">
        <is>
          <t>HP</t>
        </is>
      </c>
      <c r="B9" s="9" t="inlineStr">
        <is>
          <t>先手</t>
        </is>
      </c>
      <c r="C9" s="9" t="inlineStr">
        <is>
          <t>防禦DC</t>
        </is>
      </c>
    </row>
    <row r="10">
      <c r="A10" s="16" t="n">
        <v>45</v>
      </c>
      <c r="B10" s="16" t="n">
        <v>11</v>
      </c>
      <c r="C10" s="16" t="inlineStr">
        <is>
          <t>DC17</t>
        </is>
      </c>
    </row>
    <row r="12">
      <c r="A12" s="13" t="inlineStr">
        <is>
          <t>-- 技能（簡化） --</t>
        </is>
      </c>
    </row>
    <row r="13">
      <c r="A13" s="6" t="inlineStr">
        <is>
          <t>槍法</t>
        </is>
      </c>
      <c r="B13" s="7" t="n">
        <v>4</v>
      </c>
    </row>
    <row r="14">
      <c r="A14" s="6" t="inlineStr">
        <is>
          <t>威嚇</t>
        </is>
      </c>
      <c r="B14" s="7" t="n">
        <v>3</v>
      </c>
    </row>
    <row r="15">
      <c r="A15" s="6" t="inlineStr">
        <is>
          <t>追蹤</t>
        </is>
      </c>
      <c r="B15" s="7" t="n">
        <v>2</v>
      </c>
    </row>
    <row r="16">
      <c r="A16" s="6" t="inlineStr">
        <is>
          <t>棍法</t>
        </is>
      </c>
      <c r="B16" s="7" t="n">
        <v>4</v>
      </c>
    </row>
    <row r="18">
      <c r="A18" s="13" t="inlineStr">
        <is>
          <t>-- 招式與能力 --</t>
        </is>
      </c>
    </row>
    <row r="19">
      <c r="A19" s="9" t="inlineStr">
        <is>
          <t>名稱</t>
        </is>
      </c>
      <c r="B19" s="9" t="inlineStr">
        <is>
          <t>類型</t>
        </is>
      </c>
      <c r="C19" s="9" t="inlineStr">
        <is>
          <t>層級</t>
        </is>
      </c>
      <c r="D19" s="9" t="inlineStr">
        <is>
          <t>勁力</t>
        </is>
      </c>
      <c r="E19" s="9" t="inlineStr">
        <is>
          <t>招式</t>
        </is>
      </c>
      <c r="F19" s="9" t="inlineStr">
        <is>
          <t>使用次數</t>
        </is>
      </c>
      <c r="G19" s="9" t="inlineStr">
        <is>
          <t>命中</t>
        </is>
      </c>
      <c r="H19" s="9" t="inlineStr">
        <is>
          <t>傷害/效果</t>
        </is>
      </c>
    </row>
    <row r="20">
      <c r="A20" s="7" t="inlineStr">
        <is>
          <t>禁軍槍法·槍出遊龍</t>
        </is>
      </c>
      <c r="B20" s="7" t="inlineStr">
        <is>
          <t>外功·棍法</t>
        </is>
      </c>
      <c r="C20" s="7" t="inlineStr">
        <is>
          <t>精進</t>
        </is>
      </c>
      <c r="D20" s="7" t="inlineStr">
        <is>
          <t>剛</t>
        </is>
      </c>
      <c r="E20" s="7" t="inlineStr">
        <is>
          <t>遊龍</t>
        </is>
      </c>
      <c r="F20" s="7" t="inlineStr">
        <is>
          <t>4次/場</t>
        </is>
      </c>
      <c r="G20" s="7" t="inlineStr">
        <is>
          <t>+5</t>
        </is>
      </c>
      <c r="H20" s="7" t="inlineStr">
        <is>
          <t>3d8+膂(+5)</t>
        </is>
      </c>
    </row>
    <row r="21">
      <c r="A21" s="7" t="inlineStr">
        <is>
          <t>遠程掩護（被動）</t>
        </is>
      </c>
      <c r="B21" s="7" t="inlineStr">
        <is>
          <t>每日1次——對PC指定的單一目標造成2d6傷害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4">
      <c r="A24" s="13" t="inlineStr">
        <is>
          <t>-- 持有物品 --</t>
        </is>
      </c>
    </row>
    <row r="25">
      <c r="A25" s="14" t="inlineStr">
        <is>
          <t>禁軍長槍（1d10）+ 禁軍輕甲（減免2）</t>
        </is>
      </c>
    </row>
    <row r="27">
      <c r="A27" s="14" t="inlineStr">
        <is>
          <t>同伴規則見20_單人規則.md §4。不消耗真氣——改為使用次數。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2026-06-21T18:24:56Z</dcterms:created>
  <dcterms:modified xsi:type="dcterms:W3CDTF">2026-07-18T20:03:42Z</dcterms:modified>
</cp:coreProperties>
</file>