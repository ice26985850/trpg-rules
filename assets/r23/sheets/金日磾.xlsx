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劇本敵人卡</t>
        </is>
      </c>
    </row>
    <row r="4">
      <c r="A4" s="3" t="inlineStr">
        <is>
          <t>-- 基本資料 --</t>
        </is>
      </c>
    </row>
    <row r="5">
      <c r="A5" s="4" t="inlineStr">
        <is>
          <t>角色名</t>
        </is>
      </c>
      <c r="B5" s="5" t="inlineStr">
        <is>
          <t>金日磾</t>
        </is>
      </c>
      <c r="C5" s="4" t="inlineStr">
        <is>
          <t>門派</t>
        </is>
      </c>
      <c r="D5" s="5" t="inlineStr">
        <is>
          <t>蠻族</t>
        </is>
      </c>
      <c r="E5" s="4" t="inlineStr">
        <is>
          <t>境界</t>
        </is>
      </c>
      <c r="F5" s="5" t="inlineStr">
        <is>
          <t>返璞歸真</t>
        </is>
      </c>
      <c r="G5" s="4" t="inlineStr">
        <is>
          <t>內功係數</t>
        </is>
      </c>
      <c r="H5" s="5" t="inlineStr">
        <is>
          <t>1(無內功)</t>
        </is>
      </c>
    </row>
    <row r="6">
      <c r="A6" s="4" t="inlineStr">
        <is>
          <t>概念</t>
        </is>
      </c>
      <c r="B6" s="6" t="inlineStr">
        <is>
          <t>蠻族最高統帥，擁有與萬象洞天武脈同源的「獸王之血」。草原連續大旱被迫南侵。</t>
        </is>
      </c>
    </row>
    <row r="8">
      <c r="A8" s="3" t="inlineStr">
        <is>
          <t>-- 六維屬性 --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11</t>
        </is>
      </c>
      <c r="C10" s="8">
        <f>B10-4</f>
        <v/>
      </c>
      <c r="D10" s="2" t="inlineStr"/>
    </row>
    <row r="11">
      <c r="A11" s="4" t="inlineStr">
        <is>
          <t>身法 DEX</t>
        </is>
      </c>
      <c r="B11" s="5" t="inlineStr">
        <is>
          <t>7</t>
        </is>
      </c>
      <c r="C11" s="8">
        <f>B11-4</f>
        <v/>
      </c>
      <c r="D11" s="2" t="inlineStr"/>
    </row>
    <row r="12">
      <c r="A12" s="4" t="inlineStr">
        <is>
          <t>根骨 CON</t>
        </is>
      </c>
      <c r="B12" s="5" t="inlineStr">
        <is>
          <t>10</t>
        </is>
      </c>
      <c r="C12" s="8">
        <f>B12-4</f>
        <v/>
      </c>
      <c r="D12" s="2" t="inlineStr"/>
    </row>
    <row r="13">
      <c r="A13" s="4" t="inlineStr">
        <is>
          <t>悟性 INT</t>
        </is>
      </c>
      <c r="B13" s="5" t="inlineStr">
        <is>
          <t>4</t>
        </is>
      </c>
      <c r="C13" s="8">
        <f>B13-4</f>
        <v/>
      </c>
      <c r="D13" s="2" t="inlineStr"/>
    </row>
    <row r="14">
      <c r="A14" s="4" t="inlineStr">
        <is>
          <t>定力 WIS</t>
        </is>
      </c>
      <c r="B14" s="5" t="inlineStr">
        <is>
          <t>8</t>
        </is>
      </c>
      <c r="C14" s="8">
        <f>B14-4</f>
        <v/>
      </c>
      <c r="D14" s="2" t="inlineStr"/>
    </row>
    <row r="15">
      <c r="A15" s="4" t="inlineStr">
        <is>
          <t>魅力 CHA</t>
        </is>
      </c>
      <c r="B15" s="5" t="inlineStr">
        <is>
          <t>5</t>
        </is>
      </c>
      <c r="C15" s="8">
        <f>B15-4</f>
        <v/>
      </c>
      <c r="D15" s="2" t="inlineStr"/>
    </row>
    <row r="17">
      <c r="A17" s="3" t="inlineStr">
        <is>
          <t>-- 衍生值 --</t>
        </is>
      </c>
    </row>
    <row r="18">
      <c r="A18" s="4" t="inlineStr">
        <is>
          <t>HP</t>
        </is>
      </c>
      <c r="B18" s="2" t="inlineStr">
        <is>
          <t>根骨x5+境界</t>
        </is>
      </c>
      <c r="E18" s="9">
        <f>B12*5+IF(F6="登堂入室",5,IF(F6="融會貫通",10,IF(F6="爐火純青",15,IF(F6="登峯造極",20,IF(F6="返璞歸真",25,0)))))</f>
        <v/>
      </c>
    </row>
    <row r="19">
      <c r="A19" s="4" t="inlineStr">
        <is>
          <t>真氣</t>
        </is>
      </c>
      <c r="B19" s="2" t="inlineStr">
        <is>
          <t>根骨x內功係數+境界</t>
        </is>
      </c>
      <c r="E19" s="9">
        <f>B12*VALUE(LEFT(H5,1))+IF(F6="登堂入室",3,IF(F6="融會貫通",6,IF(F6="爐火純青",10,IF(F6="登峯造極",15,IF(F6="返璞歸真",20,0)))))</f>
        <v/>
      </c>
    </row>
    <row r="20">
      <c r="A20" s="4" t="inlineStr">
        <is>
          <t>先手</t>
        </is>
      </c>
      <c r="B20" s="2" t="inlineStr">
        <is>
          <t>身法+定力</t>
        </is>
      </c>
      <c r="E20" s="9">
        <f>B11+B14</f>
        <v/>
      </c>
    </row>
    <row r="21">
      <c r="A21" s="4" t="inlineStr">
        <is>
          <t>閃避</t>
        </is>
      </c>
      <c r="B21" s="2" t="inlineStr">
        <is>
          <t>身法調整值</t>
        </is>
      </c>
      <c r="E21" s="9">
        <f>C11</f>
        <v/>
      </c>
    </row>
    <row r="22">
      <c r="A22" s="4" t="inlineStr">
        <is>
          <t>防禦</t>
        </is>
      </c>
      <c r="B22" s="2" t="inlineStr">
        <is>
          <t>根骨調整值</t>
        </is>
      </c>
      <c r="E22" s="9">
        <f>C12</f>
        <v/>
      </c>
    </row>
    <row r="24">
      <c r="A24" s="3" t="inlineStr">
        <is>
          <t>-- 技能 --</t>
        </is>
      </c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4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5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-- 武功 --</t>
        </is>
      </c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碎山斬</t>
        </is>
      </c>
      <c r="B47" s="5" t="inlineStr">
        <is>
          <t>外功·鈍器</t>
        </is>
      </c>
      <c r="C47" s="5" t="inlineStr">
        <is>
          <t>絕學</t>
        </is>
      </c>
      <c r="D47" s="5" t="inlineStr">
        <is>
          <t>剛</t>
        </is>
      </c>
      <c r="E47" s="5" t="inlineStr">
        <is>
          <t>碎山</t>
        </is>
      </c>
      <c r="F47" s="5" t="inlineStr">
        <is>
          <t>--</t>
        </is>
      </c>
      <c r="G47" s="5" t="inlineStr">
        <is>
          <t>+8</t>
        </is>
      </c>
      <c r="H47" s="5" t="inlineStr">
        <is>
          <t>4d10+膂x2 擊退3步</t>
        </is>
      </c>
    </row>
    <row r="48">
      <c r="A48" s="5" t="inlineStr">
        <is>
          <t>大地咆哮</t>
        </is>
      </c>
      <c r="B48" s="5" t="inlineStr">
        <is>
          <t>範圍攻擊</t>
        </is>
      </c>
      <c r="C48" s="5" t="inlineStr">
        <is>
          <t>絕學</t>
        </is>
      </c>
      <c r="D48" s="5" t="inlineStr">
        <is>
          <t>剛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DC18</t>
        </is>
      </c>
      <c r="H48" s="5" t="inlineStr">
        <is>
          <t>3d8+3 半徑3步</t>
        </is>
      </c>
    </row>
    <row r="49">
      <c r="A49" s="5" t="inlineStr">
        <is>
          <t>狼羣召喚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召喚3隻幽靈狼(HP20)</t>
        </is>
      </c>
    </row>
    <row r="50">
      <c r="A50" s="5" t="inlineStr">
        <is>
          <t>獸王之血</t>
        </is>
      </c>
      <c r="B50" s="5" t="inlineStr">
        <is>
          <t>被動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5" t="inlineStr">
        <is>
          <t>每失1HP獲血怒,5點=命中+1(至多+5)</t>
        </is>
      </c>
    </row>
    <row r="56">
      <c r="A56" s="3" t="inlineStr">
        <is>
          <t>-- 裝備 --</t>
        </is>
      </c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巨型戰錘 (4d10)</t>
        </is>
      </c>
      <c r="B58" s="6" t="inlineStr">
        <is>
          <t>獸骨戰甲</t>
        </is>
      </c>
      <c r="C58" s="10" t="inlineStr">
        <is>
          <t>終局Boss·第六境。弱點：內傷對其1.5倍。可和平路線(魅力DC22)。HP 100</t>
        </is>
      </c>
    </row>
    <row r="61">
      <c r="A61" s="4" t="inlineStr">
        <is>
          <t>俠義值</t>
        </is>
      </c>
      <c r="B61" s="5" t="inlineStr">
        <is>
          <t>-40</t>
        </is>
      </c>
      <c r="D61" s="4" t="inlineStr">
        <is>
          <t>惡名值</t>
        </is>
      </c>
      <c r="E61" s="5" t="inlineStr">
        <is>
          <t>60</t>
        </is>
      </c>
    </row>
  </sheetData>
  <mergeCells count="26">
    <mergeCell ref="A24:B24"/>
    <mergeCell ref="D11:F11"/>
    <mergeCell ref="D13:F13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