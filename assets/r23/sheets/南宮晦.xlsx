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劇本敵人卡</t>
        </is>
      </c>
    </row>
    <row r="4">
      <c r="A4" s="3" t="inlineStr">
        <is>
          <t>-- 基本資料 --</t>
        </is>
      </c>
    </row>
    <row r="5">
      <c r="A5" s="4" t="inlineStr">
        <is>
          <t>角色名</t>
        </is>
      </c>
      <c r="B5" s="5" t="inlineStr">
        <is>
          <t>南宮晦</t>
        </is>
      </c>
      <c r="C5" s="4" t="inlineStr">
        <is>
          <t>門派</t>
        </is>
      </c>
      <c r="D5" s="5" t="inlineStr">
        <is>
          <t>藥王谷(叛)</t>
        </is>
      </c>
      <c r="E5" s="4" t="inlineStr">
        <is>
          <t>境界</t>
        </is>
      </c>
      <c r="F5" s="5" t="inlineStr">
        <is>
          <t>爐火純青</t>
        </is>
      </c>
      <c r="G5" s="4" t="inlineStr">
        <is>
          <t>內功係數</t>
        </is>
      </c>
      <c r="H5" s="5" t="inlineStr">
        <is>
          <t>3(正宗)</t>
        </is>
      </c>
    </row>
    <row r="6">
      <c r="A6" s="4" t="inlineStr">
        <is>
          <t>概念</t>
        </is>
      </c>
      <c r="B6" s="6" t="inlineStr">
        <is>
          <t>原藥王谷幽冥堂副堂主，叛逃後投靠血月教。家人被扣為人質。</t>
        </is>
      </c>
    </row>
    <row r="8">
      <c r="A8" s="3" t="inlineStr">
        <is>
          <t>-- 六維屬性 --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4</t>
        </is>
      </c>
      <c r="C10" s="8">
        <f>B10-4</f>
        <v/>
      </c>
      <c r="D10" s="2" t="inlineStr"/>
    </row>
    <row r="11">
      <c r="A11" s="4" t="inlineStr">
        <is>
          <t>身法 DEX</t>
        </is>
      </c>
      <c r="B11" s="5" t="inlineStr">
        <is>
          <t>6</t>
        </is>
      </c>
      <c r="C11" s="8">
        <f>B11-4</f>
        <v/>
      </c>
      <c r="D11" s="2" t="inlineStr"/>
    </row>
    <row r="12">
      <c r="A12" s="4" t="inlineStr">
        <is>
          <t>根骨 CON</t>
        </is>
      </c>
      <c r="B12" s="5" t="inlineStr">
        <is>
          <t>6</t>
        </is>
      </c>
      <c r="C12" s="8">
        <f>B12-4</f>
        <v/>
      </c>
      <c r="D12" s="2" t="inlineStr"/>
    </row>
    <row r="13">
      <c r="A13" s="4" t="inlineStr">
        <is>
          <t>悟性 INT</t>
        </is>
      </c>
      <c r="B13" s="5" t="inlineStr">
        <is>
          <t>7</t>
        </is>
      </c>
      <c r="C13" s="8">
        <f>B13-4</f>
        <v/>
      </c>
      <c r="D13" s="2" t="inlineStr"/>
    </row>
    <row r="14">
      <c r="A14" s="4" t="inlineStr">
        <is>
          <t>定力 WIS</t>
        </is>
      </c>
      <c r="B14" s="5" t="inlineStr">
        <is>
          <t>5</t>
        </is>
      </c>
      <c r="C14" s="8">
        <f>B14-4</f>
        <v/>
      </c>
      <c r="D14" s="2" t="inlineStr"/>
    </row>
    <row r="15">
      <c r="A15" s="4" t="inlineStr">
        <is>
          <t>魅力 CHA</t>
        </is>
      </c>
      <c r="B15" s="5" t="inlineStr">
        <is>
          <t>3</t>
        </is>
      </c>
      <c r="C15" s="8">
        <f>B15-4</f>
        <v/>
      </c>
      <c r="D15" s="2" t="inlineStr"/>
    </row>
    <row r="17">
      <c r="A17" s="3" t="inlineStr">
        <is>
          <t>-- 衍生值 --</t>
        </is>
      </c>
    </row>
    <row r="18">
      <c r="A18" s="4" t="inlineStr">
        <is>
          <t>HP</t>
        </is>
      </c>
      <c r="B18" s="2" t="inlineStr">
        <is>
          <t>根骨x5+境界</t>
        </is>
      </c>
      <c r="E18" s="9">
        <f>B12*5+IF(F6="登堂入室",5,IF(F6="融會貫通",10,IF(F6="爐火純青",15,IF(F6="登峯造極",20,IF(F6="返璞歸真",25,0)))))</f>
        <v/>
      </c>
    </row>
    <row r="19">
      <c r="A19" s="4" t="inlineStr">
        <is>
          <t>真氣</t>
        </is>
      </c>
      <c r="B19" s="2" t="inlineStr">
        <is>
          <t>根骨x內功係數+境界</t>
        </is>
      </c>
      <c r="E19" s="9">
        <f>B12*VALUE(LEFT(H5,1))+IF(F6="登堂入室",3,IF(F6="融會貫通",6,IF(F6="爐火純青",10,IF(F6="登峯造極",15,IF(F6="返璞歸真",20,0)))))</f>
        <v/>
      </c>
    </row>
    <row r="20">
      <c r="A20" s="4" t="inlineStr">
        <is>
          <t>先手</t>
        </is>
      </c>
      <c r="B20" s="2" t="inlineStr">
        <is>
          <t>身法+定力</t>
        </is>
      </c>
      <c r="E20" s="9">
        <f>B11+B14</f>
        <v/>
      </c>
    </row>
    <row r="21">
      <c r="A21" s="4" t="inlineStr">
        <is>
          <t>閃避</t>
        </is>
      </c>
      <c r="B21" s="2" t="inlineStr">
        <is>
          <t>身法調整值</t>
        </is>
      </c>
      <c r="E21" s="9">
        <f>C11</f>
        <v/>
      </c>
    </row>
    <row r="22">
      <c r="A22" s="4" t="inlineStr">
        <is>
          <t>防禦</t>
        </is>
      </c>
      <c r="B22" s="2" t="inlineStr">
        <is>
          <t>根骨調整值</t>
        </is>
      </c>
      <c r="E22" s="9">
        <f>C12</f>
        <v/>
      </c>
    </row>
    <row r="24">
      <c r="A24" s="3" t="inlineStr">
        <is>
          <t>-- 技能 --</t>
        </is>
      </c>
    </row>
    <row r="25">
      <c r="A25" s="4" t="inlineStr">
        <is>
          <t>識武</t>
        </is>
      </c>
      <c r="B25" s="5" t="inlineStr">
        <is>
          <t>0</t>
        </is>
      </c>
    </row>
    <row r="26">
      <c r="A26" s="4" t="inlineStr">
        <is>
          <t>江湖見識</t>
        </is>
      </c>
      <c r="B26" s="5" t="inlineStr">
        <is>
          <t>0</t>
        </is>
      </c>
    </row>
    <row r="27">
      <c r="A27" s="4" t="inlineStr">
        <is>
          <t>輕功</t>
        </is>
      </c>
      <c r="B27" s="5" t="inlineStr">
        <is>
          <t>0</t>
        </is>
      </c>
    </row>
    <row r="28">
      <c r="A28" s="4" t="inlineStr">
        <is>
          <t>口才</t>
        </is>
      </c>
      <c r="B28" s="5" t="inlineStr">
        <is>
          <t>0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3</t>
        </is>
      </c>
    </row>
    <row r="31">
      <c r="A31" s="4" t="inlineStr">
        <is>
          <t>追蹤</t>
        </is>
      </c>
      <c r="B31" s="5" t="inlineStr">
        <is>
          <t>0</t>
        </is>
      </c>
    </row>
    <row r="32">
      <c r="A32" s="4" t="inlineStr">
        <is>
          <t>察言觀色</t>
        </is>
      </c>
      <c r="B32" s="5" t="inlineStr">
        <is>
          <t>0</t>
        </is>
      </c>
    </row>
    <row r="33">
      <c r="A33" s="4" t="inlineStr">
        <is>
          <t>易容</t>
        </is>
      </c>
      <c r="B33" s="5" t="inlineStr">
        <is>
          <t>0</t>
        </is>
      </c>
    </row>
    <row r="34">
      <c r="A34" s="4" t="inlineStr">
        <is>
          <t>開鎖</t>
        </is>
      </c>
      <c r="B34" s="5" t="inlineStr">
        <is>
          <t>0</t>
        </is>
      </c>
    </row>
    <row r="35">
      <c r="A35" s="4" t="inlineStr">
        <is>
          <t>機關術</t>
        </is>
      </c>
      <c r="B35" s="5" t="inlineStr">
        <is>
          <t>0</t>
        </is>
      </c>
    </row>
    <row r="36">
      <c r="A36" s="4" t="inlineStr">
        <is>
          <t>醫術</t>
        </is>
      </c>
      <c r="B36" s="5" t="inlineStr">
        <is>
          <t>4</t>
        </is>
      </c>
    </row>
    <row r="37">
      <c r="A37" s="4" t="inlineStr">
        <is>
          <t>丹術</t>
        </is>
      </c>
      <c r="B37" s="5" t="inlineStr">
        <is>
          <t>4</t>
        </is>
      </c>
    </row>
    <row r="38">
      <c r="A38" s="4" t="inlineStr">
        <is>
          <t>毒術</t>
        </is>
      </c>
      <c r="B38" s="5" t="inlineStr">
        <is>
          <t>5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0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0</t>
        </is>
      </c>
    </row>
    <row r="43">
      <c r="A43" s="4" t="inlineStr">
        <is>
          <t>劍法</t>
        </is>
      </c>
      <c r="B43" s="5" t="inlineStr">
        <is>
          <t>0</t>
        </is>
      </c>
    </row>
    <row r="45">
      <c r="A45" s="3" t="inlineStr">
        <is>
          <t>-- 武功 --</t>
        </is>
      </c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腐骨掌</t>
        </is>
      </c>
      <c r="B47" s="5" t="inlineStr">
        <is>
          <t>外功·毒術</t>
        </is>
      </c>
      <c r="C47" s="5" t="inlineStr">
        <is>
          <t>上乘</t>
        </is>
      </c>
      <c r="D47" s="5" t="inlineStr">
        <is>
          <t>柔</t>
        </is>
      </c>
      <c r="E47" s="5" t="inlineStr">
        <is>
          <t>蝕骨</t>
        </is>
      </c>
      <c r="F47" s="5" t="inlineStr">
        <is>
          <t>4</t>
        </is>
      </c>
      <c r="G47" s="5" t="inlineStr">
        <is>
          <t>+6</t>
        </is>
      </c>
      <c r="H47" s="5" t="inlineStr">
        <is>
          <t>3d6+3+中毒2d4/回合</t>
        </is>
      </c>
    </row>
    <row r="48">
      <c r="A48" s="5" t="inlineStr">
        <is>
          <t>回春訣</t>
        </is>
      </c>
      <c r="B48" s="5" t="inlineStr">
        <is>
          <t>特殊·醫術</t>
        </is>
      </c>
      <c r="C48" s="5" t="inlineStr">
        <is>
          <t>進階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3</t>
        </is>
      </c>
      <c r="G48" s="5" t="inlineStr">
        <is>
          <t>--</t>
        </is>
      </c>
      <c r="H48" s="5" t="inlineStr">
        <is>
          <t>自恢復3d6 HP</t>
        </is>
      </c>
    </row>
    <row r="49">
      <c r="A49" s="5" t="inlineStr">
        <is>
          <t>毒霧(瀕死)</t>
        </is>
      </c>
      <c r="B49" s="5" t="inlineStr">
        <is>
          <t>特殊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--</t>
        </is>
      </c>
      <c r="G49" s="5" t="inlineStr">
        <is>
          <t>--</t>
        </is>
      </c>
      <c r="H49" s="5" t="inlineStr">
        <is>
          <t>範圍中毒2d4/回合</t>
        </is>
      </c>
    </row>
    <row r="56">
      <c r="A56" s="3" t="inlineStr">
        <is>
          <t>-- 裝備 --</t>
        </is>
      </c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6" t="inlineStr">
        <is>
          <t>毒掌</t>
        </is>
      </c>
      <c r="B58" s="6" t="inlineStr">
        <is>
          <t>墨綠長袍</t>
        </is>
      </c>
      <c r="C58" s="10" t="inlineStr">
        <is>
          <t>Boss機制：每回合自動回1d6 HP(火攻可破)；瀕死釋放毒霧。HP 45，真氣 30</t>
        </is>
      </c>
    </row>
    <row r="61">
      <c r="A61" s="4" t="inlineStr">
        <is>
          <t>俠義值</t>
        </is>
      </c>
      <c r="B61" s="5" t="inlineStr">
        <is>
          <t>-20</t>
        </is>
      </c>
      <c r="D61" s="4" t="inlineStr">
        <is>
          <t>惡名值</t>
        </is>
      </c>
      <c r="E61" s="5" t="inlineStr">
        <is>
          <t>30</t>
        </is>
      </c>
    </row>
  </sheetData>
  <mergeCells count="26">
    <mergeCell ref="A24:B24"/>
    <mergeCell ref="D11:F11"/>
    <mergeCell ref="D13:F13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