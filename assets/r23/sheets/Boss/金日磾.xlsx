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角色卡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Microsoft YaHei"/>
      <b val="1"/>
      <color rgb="001a1a2e"/>
      <sz val="20"/>
    </font>
    <font>
      <name val="Microsoft YaHei"/>
      <color rgb="00666666"/>
      <sz val="9"/>
    </font>
    <font>
      <name val="Microsoft YaHei"/>
      <b val="1"/>
      <color rgb="002c3e50"/>
      <sz val="13"/>
    </font>
    <font>
      <name val="Microsoft YaHei"/>
      <b val="1"/>
      <color rgb="0034495e"/>
      <sz val="10"/>
    </font>
    <font>
      <name val="Microsoft YaHei"/>
      <sz val="10"/>
    </font>
    <font>
      <name val="Microsoft YaHei"/>
      <b val="1"/>
      <color rgb="00FFFFFF"/>
      <sz val="9"/>
    </font>
    <font>
      <name val="Microsoft YaHei"/>
      <b val="1"/>
      <i val="1"/>
      <sz val="10"/>
    </font>
    <font>
      <name val="Microsoft YaHei"/>
      <b val="1"/>
      <color rgb="001a1a2e"/>
      <sz val="14"/>
    </font>
  </fonts>
  <fills count="2">
    <fill>
      <patternFill/>
    </fill>
    <fill>
      <patternFill patternType="gray125"/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 style="thin"/>
      <bottom style="thin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8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0" fillId="0" borderId="5" pivotButton="0" quotePrefix="0" xfId="0"/>
    <xf numFmtId="0" fontId="0" fillId="0" borderId="4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cols>
    <col width="5" customWidth="1" min="1" max="1"/>
    <col width="16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2" customWidth="1" min="8" max="8"/>
  </cols>
  <sheetData>
    <row r="1" ht="35" customHeight="1">
      <c r="A1" s="1" t="inlineStr">
        <is>
          <t>永 和 武 典</t>
        </is>
      </c>
      <c r="B1" s="11" t="n"/>
      <c r="C1" s="11" t="n"/>
      <c r="D1" s="11" t="n"/>
      <c r="E1" s="11" t="n"/>
      <c r="F1" s="11" t="n"/>
      <c r="G1" s="11" t="n"/>
      <c r="H1" s="12" t="n"/>
    </row>
    <row r="2">
      <c r="A2" s="2" t="inlineStr">
        <is>
          <t>劇本敵人卡</t>
        </is>
      </c>
      <c r="B2" s="11" t="n"/>
      <c r="C2" s="11" t="n"/>
      <c r="D2" s="11" t="n"/>
      <c r="E2" s="11" t="n"/>
      <c r="F2" s="11" t="n"/>
      <c r="G2" s="11" t="n"/>
      <c r="H2" s="12" t="n"/>
    </row>
    <row r="3"/>
    <row r="4">
      <c r="A4" s="3" t="inlineStr">
        <is>
          <t>-- 基本資料 --</t>
        </is>
      </c>
      <c r="B4" s="11" t="n"/>
      <c r="C4" s="11" t="n"/>
      <c r="D4" s="11" t="n"/>
      <c r="E4" s="11" t="n"/>
      <c r="F4" s="11" t="n"/>
      <c r="G4" s="11" t="n"/>
      <c r="H4" s="12" t="n"/>
    </row>
    <row r="5">
      <c r="A5" s="4" t="inlineStr">
        <is>
          <t>角色名</t>
        </is>
      </c>
      <c r="B5" s="5" t="inlineStr">
        <is>
          <t>金日磾</t>
        </is>
      </c>
      <c r="C5" s="4" t="inlineStr">
        <is>
          <t>門派</t>
        </is>
      </c>
      <c r="D5" s="5" t="inlineStr">
        <is>
          <t>蠻族</t>
        </is>
      </c>
      <c r="E5" s="4" t="inlineStr">
        <is>
          <t>境界</t>
        </is>
      </c>
      <c r="F5" s="5" t="inlineStr">
        <is>
          <t>返璞歸真</t>
        </is>
      </c>
      <c r="G5" s="4" t="inlineStr">
        <is>
          <t>內功係數</t>
        </is>
      </c>
      <c r="H5" s="5" t="inlineStr">
        <is>
          <t>1(無內功)</t>
        </is>
      </c>
    </row>
    <row r="6">
      <c r="A6" s="4" t="inlineStr">
        <is>
          <t>概念</t>
        </is>
      </c>
      <c r="B6" s="6" t="inlineStr">
        <is>
          <t>蠻族最高統帥，擁有與萬象洞天武脈同源的「獸王之血」。草原連續大旱被迫南侵。</t>
        </is>
      </c>
      <c r="C6" s="11" t="n"/>
      <c r="D6" s="11" t="n"/>
      <c r="E6" s="11" t="n"/>
      <c r="F6" s="11" t="n"/>
      <c r="G6" s="11" t="n"/>
      <c r="H6" s="12" t="n"/>
    </row>
    <row r="7"/>
    <row r="8">
      <c r="A8" s="3" t="inlineStr">
        <is>
          <t>-- 六維屬性 --</t>
        </is>
      </c>
      <c r="B8" s="11" t="n"/>
      <c r="C8" s="11" t="n"/>
      <c r="D8" s="11" t="n"/>
      <c r="E8" s="11" t="n"/>
      <c r="F8" s="11" t="n"/>
      <c r="G8" s="11" t="n"/>
      <c r="H8" s="12" t="n"/>
    </row>
    <row r="9">
      <c r="A9" s="7" t="inlineStr">
        <is>
          <t>屬性</t>
        </is>
      </c>
      <c r="B9" s="7" t="inlineStr">
        <is>
          <t>基礎值</t>
        </is>
      </c>
      <c r="C9" s="7" t="inlineStr">
        <is>
          <t>調整值</t>
        </is>
      </c>
      <c r="D9" s="7" t="inlineStr">
        <is>
          <t>描述</t>
        </is>
      </c>
    </row>
    <row r="10">
      <c r="A10" s="4" t="inlineStr">
        <is>
          <t>膂力（STR）</t>
        </is>
      </c>
      <c r="B10" s="5" t="inlineStr">
        <is>
          <t>11</t>
        </is>
      </c>
      <c r="C10" s="8">
        <f>B10-4</f>
        <v/>
      </c>
      <c r="D10" s="2" t="inlineStr"/>
      <c r="E10" s="11" t="n"/>
      <c r="F10" s="12" t="n"/>
    </row>
    <row r="11">
      <c r="A11" s="4" t="inlineStr">
        <is>
          <t>身法（DEX）</t>
        </is>
      </c>
      <c r="B11" s="5" t="inlineStr">
        <is>
          <t>7</t>
        </is>
      </c>
      <c r="C11" s="8">
        <f>B11-4</f>
        <v/>
      </c>
      <c r="D11" s="2" t="inlineStr"/>
      <c r="E11" s="11" t="n"/>
      <c r="F11" s="12" t="n"/>
    </row>
    <row r="12">
      <c r="A12" s="4" t="inlineStr">
        <is>
          <t>根骨（CON）</t>
        </is>
      </c>
      <c r="B12" s="5" t="inlineStr">
        <is>
          <t>10</t>
        </is>
      </c>
      <c r="C12" s="8">
        <f>B12-4</f>
        <v/>
      </c>
      <c r="D12" s="2" t="inlineStr"/>
      <c r="E12" s="11" t="n"/>
      <c r="F12" s="12" t="n"/>
    </row>
    <row r="13">
      <c r="A13" s="4" t="inlineStr">
        <is>
          <t>悟性（INT）</t>
        </is>
      </c>
      <c r="B13" s="5" t="inlineStr">
        <is>
          <t>4</t>
        </is>
      </c>
      <c r="C13" s="8">
        <f>B13-4</f>
        <v/>
      </c>
      <c r="D13" s="2" t="inlineStr"/>
      <c r="E13" s="11" t="n"/>
      <c r="F13" s="12" t="n"/>
    </row>
    <row r="14">
      <c r="A14" s="4" t="inlineStr">
        <is>
          <t>定力（WIS）</t>
        </is>
      </c>
      <c r="B14" s="5" t="inlineStr">
        <is>
          <t>8</t>
        </is>
      </c>
      <c r="C14" s="8">
        <f>B14-4</f>
        <v/>
      </c>
      <c r="D14" s="2" t="inlineStr"/>
      <c r="E14" s="11" t="n"/>
      <c r="F14" s="12" t="n"/>
    </row>
    <row r="15">
      <c r="A15" s="4" t="inlineStr">
        <is>
          <t>魅力（CHA）</t>
        </is>
      </c>
      <c r="B15" s="5" t="inlineStr">
        <is>
          <t>5</t>
        </is>
      </c>
      <c r="C15" s="8">
        <f>B15-4</f>
        <v/>
      </c>
      <c r="D15" s="2" t="inlineStr"/>
      <c r="E15" s="11" t="n"/>
      <c r="F15" s="12" t="n"/>
    </row>
    <row r="16"/>
    <row r="17">
      <c r="A17" s="3" t="inlineStr">
        <is>
          <t>-- 衍生值 --</t>
        </is>
      </c>
      <c r="B17" s="11" t="n"/>
      <c r="C17" s="11" t="n"/>
      <c r="D17" s="11" t="n"/>
      <c r="E17" s="11" t="n"/>
      <c r="F17" s="11" t="n"/>
      <c r="G17" s="11" t="n"/>
      <c r="H17" s="12" t="n"/>
    </row>
    <row r="18">
      <c r="A18" s="4" t="inlineStr">
        <is>
          <t>生命值（HP）</t>
        </is>
      </c>
      <c r="B18" s="2" t="inlineStr">
        <is>
          <t>根骨x5+境界</t>
        </is>
      </c>
      <c r="C18" s="11" t="n"/>
      <c r="D18" s="12" t="n"/>
      <c r="E18" s="9">
        <f>B12*5+IF(F6="登堂入室",5,IF(F6="融會貫通",10,IF(F6="爐火純青",15,IF(F6="登峯造極",20,IF(F6="返璞歸真",25,0)))))</f>
        <v/>
      </c>
      <c r="F18" s="12" t="n"/>
    </row>
    <row r="19">
      <c r="A19" s="4" t="inlineStr">
        <is>
          <t>真氣</t>
        </is>
      </c>
      <c r="B19" s="2" t="inlineStr">
        <is>
          <t>根骨x內功係數+境界</t>
        </is>
      </c>
      <c r="C19" s="11" t="n"/>
      <c r="D19" s="12" t="n"/>
      <c r="E19" s="9">
        <f>B12*VALUE(LEFT(H5,1))+IF(F6="登堂入室",3,IF(F6="融會貫通",6,IF(F6="爐火純青",10,IF(F6="登峯造極",15,IF(F6="返璞歸真",20,0)))))</f>
        <v/>
      </c>
      <c r="F19" s="12" t="n"/>
    </row>
    <row r="20">
      <c r="A20" s="4" t="inlineStr">
        <is>
          <t>先手</t>
        </is>
      </c>
      <c r="B20" s="2" t="inlineStr">
        <is>
          <t>身法+定力</t>
        </is>
      </c>
      <c r="C20" s="11" t="n"/>
      <c r="D20" s="12" t="n"/>
      <c r="E20" s="9">
        <f>B11+B14</f>
        <v/>
      </c>
      <c r="F20" s="12" t="n"/>
    </row>
    <row r="21">
      <c r="A21" s="4" t="inlineStr">
        <is>
          <t>閃避</t>
        </is>
      </c>
      <c r="B21" s="2" t="inlineStr">
        <is>
          <t>身法調整值</t>
        </is>
      </c>
      <c r="C21" s="11" t="n"/>
      <c r="D21" s="12" t="n"/>
      <c r="E21" s="9">
        <f>C11</f>
        <v/>
      </c>
      <c r="F21" s="12" t="n"/>
    </row>
    <row r="22">
      <c r="A22" s="4" t="inlineStr">
        <is>
          <t>防禦</t>
        </is>
      </c>
      <c r="B22" s="2" t="inlineStr">
        <is>
          <t>根骨調整值</t>
        </is>
      </c>
      <c r="C22" s="11" t="n"/>
      <c r="D22" s="12" t="n"/>
      <c r="E22" s="9">
        <f>C12</f>
        <v/>
      </c>
      <c r="F22" s="12" t="n"/>
    </row>
    <row r="23"/>
    <row r="24">
      <c r="A24" s="3" t="inlineStr">
        <is>
          <t>-- 技能 --</t>
        </is>
      </c>
      <c r="B24" s="12" t="n"/>
    </row>
    <row r="25">
      <c r="A25" s="4" t="inlineStr">
        <is>
          <t>識武</t>
        </is>
      </c>
      <c r="B25" s="5" t="inlineStr">
        <is>
          <t>0</t>
        </is>
      </c>
    </row>
    <row r="26">
      <c r="A26" s="4" t="inlineStr">
        <is>
          <t>江湖見識</t>
        </is>
      </c>
      <c r="B26" s="5" t="inlineStr">
        <is>
          <t>0</t>
        </is>
      </c>
    </row>
    <row r="27">
      <c r="A27" s="4" t="inlineStr">
        <is>
          <t>輕功</t>
        </is>
      </c>
      <c r="B27" s="5" t="inlineStr">
        <is>
          <t>0</t>
        </is>
      </c>
    </row>
    <row r="28">
      <c r="A28" s="4" t="inlineStr">
        <is>
          <t>口才</t>
        </is>
      </c>
      <c r="B28" s="5" t="inlineStr">
        <is>
          <t>0</t>
        </is>
      </c>
    </row>
    <row r="29">
      <c r="A29" s="4" t="inlineStr">
        <is>
          <t>攀爬</t>
        </is>
      </c>
      <c r="B29" s="5" t="inlineStr">
        <is>
          <t>0</t>
        </is>
      </c>
    </row>
    <row r="30">
      <c r="A30" s="4" t="inlineStr">
        <is>
          <t>潛行</t>
        </is>
      </c>
      <c r="B30" s="5" t="inlineStr">
        <is>
          <t>0</t>
        </is>
      </c>
    </row>
    <row r="31">
      <c r="A31" s="4" t="inlineStr">
        <is>
          <t>追蹤</t>
        </is>
      </c>
      <c r="B31" s="5" t="inlineStr">
        <is>
          <t>4</t>
        </is>
      </c>
    </row>
    <row r="32">
      <c r="A32" s="4" t="inlineStr">
        <is>
          <t>察言觀色</t>
        </is>
      </c>
      <c r="B32" s="5" t="inlineStr">
        <is>
          <t>0</t>
        </is>
      </c>
    </row>
    <row r="33">
      <c r="A33" s="4" t="inlineStr">
        <is>
          <t>易容</t>
        </is>
      </c>
      <c r="B33" s="5" t="inlineStr">
        <is>
          <t>0</t>
        </is>
      </c>
    </row>
    <row r="34">
      <c r="A34" s="4" t="inlineStr">
        <is>
          <t>開鎖</t>
        </is>
      </c>
      <c r="B34" s="5" t="inlineStr">
        <is>
          <t>0</t>
        </is>
      </c>
    </row>
    <row r="35">
      <c r="A35" s="4" t="inlineStr">
        <is>
          <t>機關術</t>
        </is>
      </c>
      <c r="B35" s="5" t="inlineStr">
        <is>
          <t>0</t>
        </is>
      </c>
    </row>
    <row r="36">
      <c r="A36" s="4" t="inlineStr">
        <is>
          <t>醫術</t>
        </is>
      </c>
      <c r="B36" s="5" t="inlineStr">
        <is>
          <t>0</t>
        </is>
      </c>
    </row>
    <row r="37">
      <c r="A37" s="4" t="inlineStr">
        <is>
          <t>丹術</t>
        </is>
      </c>
      <c r="B37" s="5" t="inlineStr">
        <is>
          <t>0</t>
        </is>
      </c>
    </row>
    <row r="38">
      <c r="A38" s="4" t="inlineStr">
        <is>
          <t>毒術</t>
        </is>
      </c>
      <c r="B38" s="5" t="inlineStr">
        <is>
          <t>0</t>
        </is>
      </c>
    </row>
    <row r="39">
      <c r="A39" s="4" t="inlineStr">
        <is>
          <t>暗器</t>
        </is>
      </c>
      <c r="B39" s="5" t="inlineStr">
        <is>
          <t>0</t>
        </is>
      </c>
    </row>
    <row r="40">
      <c r="A40" s="4" t="inlineStr">
        <is>
          <t>棍法</t>
        </is>
      </c>
      <c r="B40" s="5" t="inlineStr">
        <is>
          <t>5</t>
        </is>
      </c>
    </row>
    <row r="41">
      <c r="A41" s="4" t="inlineStr">
        <is>
          <t>拳掌</t>
        </is>
      </c>
      <c r="B41" s="5" t="inlineStr">
        <is>
          <t>0</t>
        </is>
      </c>
    </row>
    <row r="42">
      <c r="A42" s="4" t="inlineStr">
        <is>
          <t>刀法</t>
        </is>
      </c>
      <c r="B42" s="5" t="inlineStr">
        <is>
          <t>0</t>
        </is>
      </c>
    </row>
    <row r="43">
      <c r="A43" s="4" t="inlineStr">
        <is>
          <t>劍法</t>
        </is>
      </c>
      <c r="B43" s="5" t="inlineStr">
        <is>
          <t>0</t>
        </is>
      </c>
    </row>
    <row r="44"/>
    <row r="45">
      <c r="A45" s="3" t="inlineStr">
        <is>
          <t>-- 武功 --</t>
        </is>
      </c>
      <c r="B45" s="11" t="n"/>
      <c r="C45" s="11" t="n"/>
      <c r="D45" s="11" t="n"/>
      <c r="E45" s="11" t="n"/>
      <c r="F45" s="11" t="n"/>
      <c r="G45" s="11" t="n"/>
      <c r="H45" s="12" t="n"/>
    </row>
    <row r="46">
      <c r="A46" s="7" t="inlineStr">
        <is>
          <t>武功名</t>
        </is>
      </c>
      <c r="B46" s="7" t="inlineStr">
        <is>
          <t>類型</t>
        </is>
      </c>
      <c r="C46" s="7" t="inlineStr">
        <is>
          <t>層級</t>
        </is>
      </c>
      <c r="D46" s="7" t="inlineStr">
        <is>
          <t>勁力</t>
        </is>
      </c>
      <c r="E46" s="7" t="inlineStr">
        <is>
          <t>招式</t>
        </is>
      </c>
      <c r="F46" s="7" t="inlineStr">
        <is>
          <t>真氣</t>
        </is>
      </c>
      <c r="G46" s="7" t="inlineStr">
        <is>
          <t>命中</t>
        </is>
      </c>
      <c r="H46" s="7" t="inlineStr">
        <is>
          <t>傷害/效果</t>
        </is>
      </c>
    </row>
    <row r="47">
      <c r="A47" s="5" t="inlineStr">
        <is>
          <t>碎山斬</t>
        </is>
      </c>
      <c r="B47" s="5" t="inlineStr">
        <is>
          <t>外功·鈍器</t>
        </is>
      </c>
      <c r="C47" s="5" t="inlineStr">
        <is>
          <t>絕學</t>
        </is>
      </c>
      <c r="D47" s="5" t="inlineStr">
        <is>
          <t>剛</t>
        </is>
      </c>
      <c r="E47" s="5" t="inlineStr">
        <is>
          <t>碎山</t>
        </is>
      </c>
      <c r="F47" s="5" t="inlineStr">
        <is>
          <t>--</t>
        </is>
      </c>
      <c r="G47" s="5" t="inlineStr">
        <is>
          <t>+8</t>
        </is>
      </c>
      <c r="H47" s="5" t="inlineStr">
        <is>
          <t>4d10+膂x2 擊退3步</t>
        </is>
      </c>
    </row>
    <row r="48">
      <c r="A48" s="5" t="inlineStr">
        <is>
          <t>大地咆哮</t>
        </is>
      </c>
      <c r="B48" s="5" t="inlineStr">
        <is>
          <t>範圍攻擊</t>
        </is>
      </c>
      <c r="C48" s="5" t="inlineStr">
        <is>
          <t>絕學</t>
        </is>
      </c>
      <c r="D48" s="5" t="inlineStr">
        <is>
          <t>剛</t>
        </is>
      </c>
      <c r="E48" s="5" t="inlineStr">
        <is>
          <t>--</t>
        </is>
      </c>
      <c r="F48" s="5" t="inlineStr">
        <is>
          <t>--</t>
        </is>
      </c>
      <c r="G48" s="5" t="inlineStr">
        <is>
          <t>難度（DC）18</t>
        </is>
      </c>
      <c r="H48" s="5" t="inlineStr">
        <is>
          <t>3d8+3 半徑3步</t>
        </is>
      </c>
    </row>
    <row r="49">
      <c r="A49" s="5" t="inlineStr">
        <is>
          <t>狼羣召喚</t>
        </is>
      </c>
      <c r="B49" s="5" t="inlineStr">
        <is>
          <t>特殊</t>
        </is>
      </c>
      <c r="C49" s="5" t="inlineStr">
        <is>
          <t>--</t>
        </is>
      </c>
      <c r="D49" s="5" t="inlineStr">
        <is>
          <t>--</t>
        </is>
      </c>
      <c r="E49" s="5" t="inlineStr">
        <is>
          <t>--</t>
        </is>
      </c>
      <c r="F49" s="5" t="inlineStr">
        <is>
          <t>--</t>
        </is>
      </c>
      <c r="G49" s="5" t="inlineStr">
        <is>
          <t>--</t>
        </is>
      </c>
      <c r="H49" s="5" t="inlineStr">
        <is>
          <t>召喚3隻幽靈狼(生命值（HP）20)</t>
        </is>
      </c>
    </row>
    <row r="50">
      <c r="A50" s="5" t="inlineStr">
        <is>
          <t>獸王之血</t>
        </is>
      </c>
      <c r="B50" s="5" t="inlineStr">
        <is>
          <t>被動</t>
        </is>
      </c>
      <c r="C50" s="5" t="inlineStr">
        <is>
          <t>--</t>
        </is>
      </c>
      <c r="D50" s="5" t="inlineStr">
        <is>
          <t>--</t>
        </is>
      </c>
      <c r="E50" s="5" t="inlineStr">
        <is>
          <t>--</t>
        </is>
      </c>
      <c r="F50" s="5" t="inlineStr">
        <is>
          <t>--</t>
        </is>
      </c>
      <c r="G50" s="5" t="inlineStr">
        <is>
          <t>--</t>
        </is>
      </c>
      <c r="H50" s="5" t="inlineStr">
        <is>
          <t>每失1生命值（HP）獲血怒,5點=命中+1(至多+5)</t>
        </is>
      </c>
    </row>
    <row r="51"/>
    <row r="52"/>
    <row r="53"/>
    <row r="54"/>
    <row r="55"/>
    <row r="56">
      <c r="A56" s="3" t="inlineStr">
        <is>
          <t>-- 裝備 --</t>
        </is>
      </c>
      <c r="B56" s="11" t="n"/>
      <c r="C56" s="11" t="n"/>
      <c r="D56" s="11" t="n"/>
      <c r="E56" s="11" t="n"/>
      <c r="F56" s="11" t="n"/>
      <c r="G56" s="11" t="n"/>
      <c r="H56" s="12" t="n"/>
    </row>
    <row r="57">
      <c r="A57" s="7" t="inlineStr">
        <is>
          <t>武器</t>
        </is>
      </c>
      <c r="B57" s="7" t="inlineStr">
        <is>
          <t>護甲</t>
        </is>
      </c>
      <c r="C57" s="7" t="inlineStr">
        <is>
          <t>特殊</t>
        </is>
      </c>
    </row>
    <row r="58">
      <c r="A58" s="6" t="inlineStr">
        <is>
          <t>巨型戰錘 (4d10)</t>
        </is>
      </c>
      <c r="B58" s="6" t="inlineStr">
        <is>
          <t>獸骨戰甲</t>
        </is>
      </c>
      <c r="C58" s="10" t="inlineStr">
        <is>
          <t>終局Boss·第六境。弱點：內傷對其1.5倍。可和平路線(魅力難度（DC）22)。生命值（HP） 100</t>
        </is>
      </c>
      <c r="D58" s="11" t="n"/>
      <c r="E58" s="11" t="n"/>
      <c r="F58" s="12" t="n"/>
    </row>
    <row r="59"/>
    <row r="60"/>
    <row r="61">
      <c r="A61" s="4" t="inlineStr">
        <is>
          <t>俠義值</t>
        </is>
      </c>
      <c r="B61" s="5" t="inlineStr">
        <is>
          <t>-40</t>
        </is>
      </c>
      <c r="D61" s="4" t="inlineStr">
        <is>
          <t>惡名值</t>
        </is>
      </c>
      <c r="E61" s="5" t="inlineStr">
        <is>
          <t>60</t>
        </is>
      </c>
    </row>
  </sheetData>
  <mergeCells count="26">
    <mergeCell ref="A24:B24"/>
    <mergeCell ref="D13:F13"/>
    <mergeCell ref="D11:F11"/>
    <mergeCell ref="B6:H6"/>
    <mergeCell ref="A1:H1"/>
    <mergeCell ref="A45:H45"/>
    <mergeCell ref="B19:D19"/>
    <mergeCell ref="E20:F20"/>
    <mergeCell ref="E19:F19"/>
    <mergeCell ref="D12:F12"/>
    <mergeCell ref="C58:F58"/>
    <mergeCell ref="D15:F15"/>
    <mergeCell ref="B20:D20"/>
    <mergeCell ref="A56:H56"/>
    <mergeCell ref="D14:F14"/>
    <mergeCell ref="A2:H2"/>
    <mergeCell ref="A8:H8"/>
    <mergeCell ref="A17:H17"/>
    <mergeCell ref="D10:F10"/>
    <mergeCell ref="A4:H4"/>
    <mergeCell ref="B22:D22"/>
    <mergeCell ref="B18:D18"/>
    <mergeCell ref="E22:F22"/>
    <mergeCell ref="B21:D21"/>
    <mergeCell ref="E18:F18"/>
    <mergeCell ref="E21:F21"/>
  </mergeCells>
  <pageMargins left="0.75" right="0.75" top="1" bottom="1" header="0.5" footer="0.5"/>
  <pageSetup orientation="portrait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2026-06-18T16:47:17Z</dcterms:created>
  <dcterms:modified xsi:type="dcterms:W3CDTF">2026-07-18T18:59:50Z</dcterms:modified>
</cp:coreProperties>
</file>