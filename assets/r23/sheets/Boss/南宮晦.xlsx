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劇本敵人卡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-- 基本資料 --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角色名</t>
        </is>
      </c>
      <c r="B5" s="5" t="inlineStr">
        <is>
          <t>南宮晦</t>
        </is>
      </c>
      <c r="C5" s="4" t="inlineStr">
        <is>
          <t>門派</t>
        </is>
      </c>
      <c r="D5" s="5" t="inlineStr">
        <is>
          <t>藥王谷(叛)</t>
        </is>
      </c>
      <c r="E5" s="4" t="inlineStr">
        <is>
          <t>境界</t>
        </is>
      </c>
      <c r="F5" s="5" t="inlineStr">
        <is>
          <t>爐火純青</t>
        </is>
      </c>
      <c r="G5" s="4" t="inlineStr">
        <is>
          <t>內功係數</t>
        </is>
      </c>
      <c r="H5" s="5" t="inlineStr">
        <is>
          <t>3(正宗)</t>
        </is>
      </c>
    </row>
    <row r="6">
      <c r="A6" s="4" t="inlineStr">
        <is>
          <t>概念</t>
        </is>
      </c>
      <c r="B6" s="6" t="inlineStr">
        <is>
          <t>原藥王谷幽冥堂副堂主，叛逃後投靠血月教。家人被扣為人質。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-- 六維屬性 --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4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身法（DEX）</t>
        </is>
      </c>
      <c r="B11" s="5" t="inlineStr">
        <is>
          <t>6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根骨（CON）</t>
        </is>
      </c>
      <c r="B12" s="5" t="inlineStr">
        <is>
          <t>6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悟性（INT）</t>
        </is>
      </c>
      <c r="B13" s="5" t="inlineStr">
        <is>
          <t>7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定力（WIS）</t>
        </is>
      </c>
      <c r="B14" s="5" t="inlineStr">
        <is>
          <t>5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魅力（CHA）</t>
        </is>
      </c>
      <c r="B15" s="5" t="inlineStr">
        <is>
          <t>3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-- 衍生值 --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生命值（HP）</t>
        </is>
      </c>
      <c r="B18" s="2" t="inlineStr">
        <is>
          <t>根骨x5+境界</t>
        </is>
      </c>
      <c r="C18" s="11" t="n"/>
      <c r="D18" s="12" t="n"/>
      <c r="E18" s="9">
        <f>B12*5+IF(F6="登堂入室",5,IF(F6="融會貫通",10,IF(F6="爐火純青",15,IF(F6="登峯造極",20,IF(F6="返璞歸真",25,0)))))</f>
        <v/>
      </c>
      <c r="F18" s="12" t="n"/>
    </row>
    <row r="19">
      <c r="A19" s="4" t="inlineStr">
        <is>
          <t>真氣</t>
        </is>
      </c>
      <c r="B19" s="2" t="inlineStr">
        <is>
          <t>根骨x內功係數+境界</t>
        </is>
      </c>
      <c r="C19" s="11" t="n"/>
      <c r="D19" s="12" t="n"/>
      <c r="E19" s="9">
        <f>B12*VALUE(LEFT(H5,1))+IF(F6="登堂入室",3,IF(F6="融會貫通",6,IF(F6="爐火純青",10,IF(F6="登峯造極",15,IF(F6="返璞歸真",20,0)))))</f>
        <v/>
      </c>
      <c r="F19" s="12" t="n"/>
    </row>
    <row r="20">
      <c r="A20" s="4" t="inlineStr">
        <is>
          <t>先手</t>
        </is>
      </c>
      <c r="B20" s="2" t="inlineStr">
        <is>
          <t>身法+定力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閃避</t>
        </is>
      </c>
      <c r="B21" s="2" t="inlineStr">
        <is>
          <t>身法調整值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防禦</t>
        </is>
      </c>
      <c r="B22" s="2" t="inlineStr">
        <is>
          <t>根骨調整值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-- 技能 --</t>
        </is>
      </c>
      <c r="B24" s="12" t="n"/>
    </row>
    <row r="25">
      <c r="A25" s="4" t="inlineStr">
        <is>
          <t>識武</t>
        </is>
      </c>
      <c r="B25" s="5" t="inlineStr">
        <is>
          <t>0</t>
        </is>
      </c>
    </row>
    <row r="26">
      <c r="A26" s="4" t="inlineStr">
        <is>
          <t>江湖見識</t>
        </is>
      </c>
      <c r="B26" s="5" t="inlineStr">
        <is>
          <t>0</t>
        </is>
      </c>
    </row>
    <row r="27">
      <c r="A27" s="4" t="inlineStr">
        <is>
          <t>輕功</t>
        </is>
      </c>
      <c r="B27" s="5" t="inlineStr">
        <is>
          <t>0</t>
        </is>
      </c>
    </row>
    <row r="28">
      <c r="A28" s="4" t="inlineStr">
        <is>
          <t>口才</t>
        </is>
      </c>
      <c r="B28" s="5" t="inlineStr">
        <is>
          <t>0</t>
        </is>
      </c>
    </row>
    <row r="29">
      <c r="A29" s="4" t="inlineStr">
        <is>
          <t>攀爬</t>
        </is>
      </c>
      <c r="B29" s="5" t="inlineStr">
        <is>
          <t>0</t>
        </is>
      </c>
    </row>
    <row r="30">
      <c r="A30" s="4" t="inlineStr">
        <is>
          <t>潛行</t>
        </is>
      </c>
      <c r="B30" s="5" t="inlineStr">
        <is>
          <t>3</t>
        </is>
      </c>
    </row>
    <row r="31">
      <c r="A31" s="4" t="inlineStr">
        <is>
          <t>追蹤</t>
        </is>
      </c>
      <c r="B31" s="5" t="inlineStr">
        <is>
          <t>0</t>
        </is>
      </c>
    </row>
    <row r="32">
      <c r="A32" s="4" t="inlineStr">
        <is>
          <t>察言觀色</t>
        </is>
      </c>
      <c r="B32" s="5" t="inlineStr">
        <is>
          <t>0</t>
        </is>
      </c>
    </row>
    <row r="33">
      <c r="A33" s="4" t="inlineStr">
        <is>
          <t>易容</t>
        </is>
      </c>
      <c r="B33" s="5" t="inlineStr">
        <is>
          <t>0</t>
        </is>
      </c>
    </row>
    <row r="34">
      <c r="A34" s="4" t="inlineStr">
        <is>
          <t>開鎖</t>
        </is>
      </c>
      <c r="B34" s="5" t="inlineStr">
        <is>
          <t>0</t>
        </is>
      </c>
    </row>
    <row r="35">
      <c r="A35" s="4" t="inlineStr">
        <is>
          <t>機關術</t>
        </is>
      </c>
      <c r="B35" s="5" t="inlineStr">
        <is>
          <t>0</t>
        </is>
      </c>
    </row>
    <row r="36">
      <c r="A36" s="4" t="inlineStr">
        <is>
          <t>醫術</t>
        </is>
      </c>
      <c r="B36" s="5" t="inlineStr">
        <is>
          <t>4</t>
        </is>
      </c>
    </row>
    <row r="37">
      <c r="A37" s="4" t="inlineStr">
        <is>
          <t>丹術</t>
        </is>
      </c>
      <c r="B37" s="5" t="inlineStr">
        <is>
          <t>4</t>
        </is>
      </c>
    </row>
    <row r="38">
      <c r="A38" s="4" t="inlineStr">
        <is>
          <t>毒術</t>
        </is>
      </c>
      <c r="B38" s="5" t="inlineStr">
        <is>
          <t>5</t>
        </is>
      </c>
    </row>
    <row r="39">
      <c r="A39" s="4" t="inlineStr">
        <is>
          <t>暗器</t>
        </is>
      </c>
      <c r="B39" s="5" t="inlineStr">
        <is>
          <t>0</t>
        </is>
      </c>
    </row>
    <row r="40">
      <c r="A40" s="4" t="inlineStr">
        <is>
          <t>棍法</t>
        </is>
      </c>
      <c r="B40" s="5" t="inlineStr">
        <is>
          <t>0</t>
        </is>
      </c>
    </row>
    <row r="41">
      <c r="A41" s="4" t="inlineStr">
        <is>
          <t>拳掌</t>
        </is>
      </c>
      <c r="B41" s="5" t="inlineStr">
        <is>
          <t>0</t>
        </is>
      </c>
    </row>
    <row r="42">
      <c r="A42" s="4" t="inlineStr">
        <is>
          <t>刀法</t>
        </is>
      </c>
      <c r="B42" s="5" t="inlineStr">
        <is>
          <t>0</t>
        </is>
      </c>
    </row>
    <row r="43">
      <c r="A43" s="4" t="inlineStr">
        <is>
          <t>劍法</t>
        </is>
      </c>
      <c r="B43" s="5" t="inlineStr">
        <is>
          <t>0</t>
        </is>
      </c>
    </row>
    <row r="44"/>
    <row r="45">
      <c r="A45" s="3" t="inlineStr">
        <is>
          <t>-- 武功 --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武功名</t>
        </is>
      </c>
      <c r="B46" s="7" t="inlineStr">
        <is>
          <t>類型</t>
        </is>
      </c>
      <c r="C46" s="7" t="inlineStr">
        <is>
          <t>層級</t>
        </is>
      </c>
      <c r="D46" s="7" t="inlineStr">
        <is>
          <t>勁力</t>
        </is>
      </c>
      <c r="E46" s="7" t="inlineStr">
        <is>
          <t>招式</t>
        </is>
      </c>
      <c r="F46" s="7" t="inlineStr">
        <is>
          <t>真氣</t>
        </is>
      </c>
      <c r="G46" s="7" t="inlineStr">
        <is>
          <t>命中</t>
        </is>
      </c>
      <c r="H46" s="7" t="inlineStr">
        <is>
          <t>傷害/效果</t>
        </is>
      </c>
    </row>
    <row r="47">
      <c r="A47" s="5" t="inlineStr">
        <is>
          <t>腐骨掌</t>
        </is>
      </c>
      <c r="B47" s="5" t="inlineStr">
        <is>
          <t>外功·毒術</t>
        </is>
      </c>
      <c r="C47" s="5" t="inlineStr">
        <is>
          <t>上乘</t>
        </is>
      </c>
      <c r="D47" s="5" t="inlineStr">
        <is>
          <t>柔</t>
        </is>
      </c>
      <c r="E47" s="5" t="inlineStr">
        <is>
          <t>蝕骨</t>
        </is>
      </c>
      <c r="F47" s="5" t="inlineStr">
        <is>
          <t>4</t>
        </is>
      </c>
      <c r="G47" s="5" t="inlineStr">
        <is>
          <t>+6</t>
        </is>
      </c>
      <c r="H47" s="5" t="inlineStr">
        <is>
          <t>3d6+3+中毒2d4/回合</t>
        </is>
      </c>
    </row>
    <row r="48">
      <c r="A48" s="5" t="inlineStr">
        <is>
          <t>回春訣</t>
        </is>
      </c>
      <c r="B48" s="5" t="inlineStr">
        <is>
          <t>特殊·醫術</t>
        </is>
      </c>
      <c r="C48" s="5" t="inlineStr">
        <is>
          <t>進階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3</t>
        </is>
      </c>
      <c r="G48" s="5" t="inlineStr">
        <is>
          <t>--</t>
        </is>
      </c>
      <c r="H48" s="5" t="inlineStr">
        <is>
          <t>自恢復3d6 生命值（HP）</t>
        </is>
      </c>
    </row>
    <row r="49">
      <c r="A49" s="5" t="inlineStr">
        <is>
          <t>毒霧(瀕死)</t>
        </is>
      </c>
      <c r="B49" s="5" t="inlineStr">
        <is>
          <t>特殊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--</t>
        </is>
      </c>
      <c r="G49" s="5" t="inlineStr">
        <is>
          <t>--</t>
        </is>
      </c>
      <c r="H49" s="5" t="inlineStr">
        <is>
          <t>範圍中毒2d4/回合</t>
        </is>
      </c>
    </row>
    <row r="50"/>
    <row r="51"/>
    <row r="52"/>
    <row r="53"/>
    <row r="54"/>
    <row r="55"/>
    <row r="56">
      <c r="A56" s="3" t="inlineStr">
        <is>
          <t>-- 裝備 --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武器</t>
        </is>
      </c>
      <c r="B57" s="7" t="inlineStr">
        <is>
          <t>護甲</t>
        </is>
      </c>
      <c r="C57" s="7" t="inlineStr">
        <is>
          <t>特殊</t>
        </is>
      </c>
    </row>
    <row r="58">
      <c r="A58" s="6" t="inlineStr">
        <is>
          <t>毒掌</t>
        </is>
      </c>
      <c r="B58" s="6" t="inlineStr">
        <is>
          <t>墨綠長袍</t>
        </is>
      </c>
      <c r="C58" s="10" t="inlineStr">
        <is>
          <t>Boss機制：每回合自動回1d6 生命值（HP）(火攻可破)；瀕死釋放毒霧。生命值（HP） 45，真氣 30</t>
        </is>
      </c>
      <c r="D58" s="11" t="n"/>
      <c r="E58" s="11" t="n"/>
      <c r="F58" s="12" t="n"/>
    </row>
    <row r="59"/>
    <row r="60"/>
    <row r="61">
      <c r="A61" s="4" t="inlineStr">
        <is>
          <t>俠義值</t>
        </is>
      </c>
      <c r="B61" s="5" t="inlineStr">
        <is>
          <t>-20</t>
        </is>
      </c>
      <c r="D61" s="4" t="inlineStr">
        <is>
          <t>惡名值</t>
        </is>
      </c>
      <c r="E61" s="5" t="inlineStr">
        <is>
          <t>30</t>
        </is>
      </c>
    </row>
  </sheetData>
  <mergeCells count="26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2026-06-18T16:47:17Z</dcterms:created>
  <dcterms:modified xsi:type="dcterms:W3CDTF">2026-07-18T18:54:04Z</dcterms:modified>
</cp:coreProperties>
</file>