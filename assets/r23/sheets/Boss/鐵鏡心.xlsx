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劇本敵人卡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基本資料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角色名</t>
        </is>
      </c>
      <c r="B5" s="5" t="inlineStr">
        <is>
          <t>鐵鏡心</t>
        </is>
      </c>
      <c r="C5" s="4" t="inlineStr">
        <is>
          <t>門派</t>
        </is>
      </c>
      <c r="D5" s="5" t="inlineStr">
        <is>
          <t>六扇門</t>
        </is>
      </c>
      <c r="E5" s="4" t="inlineStr">
        <is>
          <t>境界</t>
        </is>
      </c>
      <c r="F5" s="5" t="inlineStr">
        <is>
          <t>爐火純青</t>
        </is>
      </c>
      <c r="G5" s="4" t="inlineStr">
        <is>
          <t>內功係數</t>
        </is>
      </c>
      <c r="H5" s="5" t="inlineStr">
        <is>
          <t>3(正宗)</t>
        </is>
      </c>
    </row>
    <row r="6">
      <c r="A6" s="4" t="inlineStr">
        <is>
          <t>概念</t>
        </is>
      </c>
      <c r="B6" s="6" t="inlineStr">
        <is>
          <t>六扇門洛陽分堂堂主，朝廷在江湖的終極武裝。鐵面無私，武功剛正不留餘地。天榜#8。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六維屬性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8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身法（DEX）</t>
        </is>
      </c>
      <c r="B11" s="5" t="inlineStr">
        <is>
          <t>5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根骨（CON）</t>
        </is>
      </c>
      <c r="B12" s="5" t="inlineStr">
        <is>
          <t>7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悟性（INT）</t>
        </is>
      </c>
      <c r="B13" s="5" t="inlineStr">
        <is>
          <t>5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定力（WIS）</t>
        </is>
      </c>
      <c r="B14" s="5" t="inlineStr">
        <is>
          <t>7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魅力（CHA）</t>
        </is>
      </c>
      <c r="B15" s="5" t="inlineStr">
        <is>
          <t>4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衍生值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生命值（HP）</t>
        </is>
      </c>
      <c r="B18" s="2" t="inlineStr">
        <is>
          <t>根骨x5+境界</t>
        </is>
      </c>
      <c r="C18" s="11" t="n"/>
      <c r="D18" s="12" t="n"/>
      <c r="E18" s="9">
        <f>B12*5+IF(F6="登堂入室",5,IF(F6="融會貫通",10,IF(F6="爐火純青",15,IF(F6="登峯造極",20,IF(F6="返璞歸真",25,0)))))</f>
        <v/>
      </c>
      <c r="F18" s="12" t="n"/>
    </row>
    <row r="19">
      <c r="A19" s="4" t="inlineStr">
        <is>
          <t>真氣</t>
        </is>
      </c>
      <c r="B19" s="2" t="inlineStr">
        <is>
          <t>根骨x內功係數+境界</t>
        </is>
      </c>
      <c r="C19" s="11" t="n"/>
      <c r="D19" s="12" t="n"/>
      <c r="E19" s="9">
        <f>B12*VALUE(LEFT(H5,1))+IF(F6="登堂入室",3,IF(F6="融會貫通",6,IF(F6="爐火純青",10,IF(F6="登峯造極",15,IF(F6="返璞歸真",20,0)))))</f>
        <v/>
      </c>
      <c r="F19" s="12" t="n"/>
    </row>
    <row r="20">
      <c r="A20" s="4" t="inlineStr">
        <is>
          <t>先手</t>
        </is>
      </c>
      <c r="B20" s="2" t="inlineStr">
        <is>
          <t>身法+定力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閃避</t>
        </is>
      </c>
      <c r="B21" s="2" t="inlineStr">
        <is>
          <t>身法調整值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防禦</t>
        </is>
      </c>
      <c r="B22" s="2" t="inlineStr">
        <is>
          <t>根骨調整值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技能 --</t>
        </is>
      </c>
      <c r="B24" s="12" t="n"/>
    </row>
    <row r="25">
      <c r="A25" s="4" t="inlineStr">
        <is>
          <t>識武</t>
        </is>
      </c>
      <c r="B25" s="5" t="inlineStr">
        <is>
          <t>4</t>
        </is>
      </c>
    </row>
    <row r="26">
      <c r="A26" s="4" t="inlineStr">
        <is>
          <t>江湖見識</t>
        </is>
      </c>
      <c r="B26" s="5" t="inlineStr">
        <is>
          <t>3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0</t>
        </is>
      </c>
    </row>
    <row r="31">
      <c r="A31" s="4" t="inlineStr">
        <is>
          <t>追蹤</t>
        </is>
      </c>
      <c r="B31" s="5" t="inlineStr">
        <is>
          <t>3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4</t>
        </is>
      </c>
    </row>
    <row r="43">
      <c r="A43" s="4" t="inlineStr">
        <is>
          <t>劍法</t>
        </is>
      </c>
      <c r="B43" s="5" t="inlineStr">
        <is>
          <t>0</t>
        </is>
      </c>
    </row>
    <row r="44"/>
    <row r="45">
      <c r="A45" s="3" t="inlineStr">
        <is>
          <t>-- 武功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鐵面刀法</t>
        </is>
      </c>
      <c r="B47" s="5" t="inlineStr">
        <is>
          <t>外功·刀法</t>
        </is>
      </c>
      <c r="C47" s="5" t="inlineStr">
        <is>
          <t>進階</t>
        </is>
      </c>
      <c r="D47" s="5" t="inlineStr">
        <is>
          <t>剛</t>
        </is>
      </c>
      <c r="E47" s="5" t="inlineStr">
        <is>
          <t>鐵面無私</t>
        </is>
      </c>
      <c r="F47" s="5" t="inlineStr">
        <is>
          <t>3</t>
        </is>
      </c>
      <c r="G47" s="5" t="inlineStr">
        <is>
          <t>+5</t>
        </is>
      </c>
      <c r="H47" s="5" t="inlineStr">
        <is>
          <t>3d6+4</t>
        </is>
      </c>
    </row>
    <row r="48">
      <c r="A48" s="5" t="inlineStr">
        <is>
          <t>六扇心法</t>
        </is>
      </c>
      <c r="B48" s="5" t="inlineStr">
        <is>
          <t>內功</t>
        </is>
      </c>
      <c r="C48" s="5" t="inlineStr">
        <is>
          <t>正宗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內功係數3</t>
        </is>
      </c>
    </row>
    <row r="49">
      <c r="A49" s="5" t="inlineStr">
        <is>
          <t>官威震懾</t>
        </is>
      </c>
      <c r="B49" s="5" t="inlineStr">
        <is>
          <t>特殊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2</t>
        </is>
      </c>
      <c r="G49" s="5" t="inlineStr">
        <is>
          <t>--</t>
        </is>
      </c>
      <c r="H49" s="5" t="inlineStr">
        <is>
          <t>定力對抗失敗則命中-2</t>
        </is>
      </c>
    </row>
    <row r="50"/>
    <row r="51"/>
    <row r="52"/>
    <row r="53"/>
    <row r="54"/>
    <row r="55"/>
    <row r="56">
      <c r="A56" s="3" t="inlineStr">
        <is>
          <t>-- 裝備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6" t="inlineStr">
        <is>
          <t>官制長刀 (1d8+2)</t>
        </is>
      </c>
      <c r="B58" s="6" t="inlineStr">
        <is>
          <t>六扇門官服</t>
        </is>
      </c>
      <c r="C58" s="10" t="inlineStr">
        <is>
          <t>天榜#8。第四境數據用於劇本第二章洛陽。</t>
        </is>
      </c>
      <c r="D58" s="11" t="n"/>
      <c r="E58" s="11" t="n"/>
      <c r="F58" s="12" t="n"/>
    </row>
    <row r="59"/>
    <row r="60"/>
    <row r="61">
      <c r="A61" s="4" t="inlineStr">
        <is>
          <t>俠義值</t>
        </is>
      </c>
      <c r="B61" s="5" t="inlineStr">
        <is>
          <t>30</t>
        </is>
      </c>
      <c r="D61" s="4" t="inlineStr">
        <is>
          <t>惡名值</t>
        </is>
      </c>
      <c r="E61" s="5" t="inlineStr">
        <is>
          <t>0</t>
        </is>
      </c>
    </row>
    <row r="62"/>
    <row r="63">
      <c r="A63" t="inlineStr">
        <is>
          <t>可拜師(難度（DC）14): 六扇快刀+六扇心法。</t>
        </is>
      </c>
    </row>
    <row r="64">
      <c r="A64" t="inlineStr">
        <is>
          <t>拜師禮: 六扇門金牌(臨時)+出師: 通緝撤銷令(好感≥15)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2026-06-18T16:47:17Z</dcterms:created>
  <dcterms:modified xsi:type="dcterms:W3CDTF">2026-07-18T18:54:04Z</dcterms:modified>
</cp:coreProperties>
</file>