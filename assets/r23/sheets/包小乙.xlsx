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</row>
    <row r="2">
      <c r="A2" s="2" t="inlineStr">
        <is>
          <t>角色卡 · 跑團規則工作室</t>
        </is>
      </c>
    </row>
    <row r="4">
      <c r="A4" s="3" t="inlineStr">
        <is>
          <t>— 基本資料 —</t>
        </is>
      </c>
    </row>
    <row r="5">
      <c r="A5" s="4" t="inlineStr">
        <is>
          <t>角色名</t>
        </is>
      </c>
      <c r="B5" s="5" t="inlineStr">
        <is>
          <t>包小乙</t>
        </is>
      </c>
      <c r="C5" s="4" t="inlineStr">
        <is>
          <t>玩家</t>
        </is>
      </c>
      <c r="D5" s="5" t="inlineStr"/>
      <c r="E5" s="4" t="inlineStr">
        <is>
          <t>門派</t>
        </is>
      </c>
      <c r="F5" s="5" t="inlineStr">
        <is>
          <t>機宗(丐幫)</t>
        </is>
      </c>
    </row>
    <row r="6">
      <c r="A6" s="4" t="inlineStr">
        <is>
          <t>概念</t>
        </is>
      </c>
      <c r="B6" s="6" t="inlineStr">
        <is>
          <t>丐幫年輕弟子，從小在街上混大的，什麼人都認識、什麼地方都去過。隊伍裡的萬金油。</t>
        </is>
      </c>
      <c r="E6" s="4" t="inlineStr">
        <is>
          <t>境界</t>
        </is>
      </c>
      <c r="F6" s="5" t="inlineStr">
        <is>
          <t>初窺門徑</t>
        </is>
      </c>
      <c r="G6" s="4" t="inlineStr">
        <is>
          <t>內功係數</t>
        </is>
      </c>
      <c r="H6" s="5" t="inlineStr">
        <is>
          <t>2</t>
        </is>
      </c>
    </row>
    <row r="8">
      <c r="A8" s="3" t="inlineStr">
        <is>
          <t>— 六維屬性 —</t>
        </is>
      </c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 STR</t>
        </is>
      </c>
      <c r="B10" s="5" t="inlineStr">
        <is>
          <t>4</t>
        </is>
      </c>
      <c r="C10" s="8">
        <f>B10-4</f>
        <v/>
      </c>
      <c r="D10" s="2" t="inlineStr">
        <is>
          <t>肌肉力量、爆發力</t>
        </is>
      </c>
    </row>
    <row r="11">
      <c r="A11" s="4" t="inlineStr">
        <is>
          <t>身法 DEX</t>
        </is>
      </c>
      <c r="B11" s="5" t="inlineStr">
        <is>
          <t>5</t>
        </is>
      </c>
      <c r="C11" s="8">
        <f>B11-4</f>
        <v/>
      </c>
      <c r="D11" s="2" t="inlineStr">
        <is>
          <t>速度、靈活、輕功</t>
        </is>
      </c>
    </row>
    <row r="12">
      <c r="A12" s="4" t="inlineStr">
        <is>
          <t>根骨 CON</t>
        </is>
      </c>
      <c r="B12" s="5" t="inlineStr">
        <is>
          <t>5</t>
        </is>
      </c>
      <c r="C12" s="8">
        <f>B12-4</f>
        <v/>
      </c>
      <c r="D12" s="2" t="inlineStr">
        <is>
          <t>經脈承載、體質、生命韌性</t>
        </is>
      </c>
    </row>
    <row r="13">
      <c r="A13" s="4" t="inlineStr">
        <is>
          <t>悟性 INT</t>
        </is>
      </c>
      <c r="B13" s="5" t="inlineStr">
        <is>
          <t>5</t>
        </is>
      </c>
      <c r="C13" s="8">
        <f>B13-4</f>
        <v/>
      </c>
      <c r="D13" s="2" t="inlineStr">
        <is>
          <t>武學領悟力、學習效率</t>
        </is>
      </c>
    </row>
    <row r="14">
      <c r="A14" s="4" t="inlineStr">
        <is>
          <t>定力 WIS</t>
        </is>
      </c>
      <c r="B14" s="5" t="inlineStr">
        <is>
          <t>3</t>
        </is>
      </c>
      <c r="C14" s="8">
        <f>B14-4</f>
        <v/>
      </c>
      <c r="D14" s="2" t="inlineStr">
        <is>
          <t>意志力、心境穩定</t>
        </is>
      </c>
    </row>
    <row r="15">
      <c r="A15" s="4" t="inlineStr">
        <is>
          <t>魅力 CHA</t>
        </is>
      </c>
      <c r="B15" s="5" t="inlineStr">
        <is>
          <t>5</t>
        </is>
      </c>
      <c r="C15" s="8">
        <f>B15-4</f>
        <v/>
      </c>
      <c r="D15" s="2" t="inlineStr">
        <is>
          <t>人格魅力、人際影響力</t>
        </is>
      </c>
    </row>
    <row r="16">
      <c r="A16" s="4" t="inlineStr">
        <is>
          <t>屬性合計</t>
        </is>
      </c>
    </row>
    <row r="18">
      <c r="A18" s="3" t="inlineStr">
        <is>
          <t>— 衍生值 —</t>
        </is>
      </c>
    </row>
    <row r="19">
      <c r="A19" s="4" t="inlineStr">
        <is>
          <t>HP（生命值）</t>
        </is>
      </c>
      <c r="B19" s="2" t="inlineStr">
        <is>
          <t>根骨×5+境界加值</t>
        </is>
      </c>
      <c r="E19" s="9">
        <f>B12*5+IF(F6="登堂入室",5,IF(F6="融會貫通",10,IF(F6="爐火純青",15,IF(F6="登峯造極",20,IF(F6="返璞歸真",25,0)))))</f>
        <v/>
      </c>
    </row>
    <row r="20">
      <c r="A20" s="4" t="inlineStr">
        <is>
          <t>真氣</t>
        </is>
      </c>
      <c r="B20" s="2" t="inlineStr">
        <is>
          <t>根骨×內功係數+境界加值</t>
        </is>
      </c>
      <c r="E20" s="9">
        <f>B12*VALUE(LEFT(H8,1))+IF(F6="登堂入室",3,IF(F6="融會貫通",6,IF(F6="爐火純青",10,IF(F6="登峯造極",15,IF(F6="返璞歸真",20,0)))))</f>
        <v/>
      </c>
    </row>
    <row r="21">
      <c r="A21" s="4" t="inlineStr">
        <is>
          <t>先手</t>
        </is>
      </c>
      <c r="B21" s="2" t="inlineStr">
        <is>
          <t>身法+定力</t>
        </is>
      </c>
      <c r="E21" s="9">
        <f>B11+B14</f>
        <v/>
      </c>
    </row>
    <row r="22">
      <c r="A22" s="4" t="inlineStr">
        <is>
          <t>閃避</t>
        </is>
      </c>
      <c r="B22" s="2" t="inlineStr">
        <is>
          <t>身法調整+輕功等級</t>
        </is>
      </c>
      <c r="E22" s="9">
        <f>C11+B42</f>
        <v/>
      </c>
    </row>
    <row r="23">
      <c r="A23" s="4" t="inlineStr">
        <is>
          <t>防禦</t>
        </is>
      </c>
      <c r="B23" s="2" t="inlineStr">
        <is>
          <t>根骨調整+護甲值</t>
        </is>
      </c>
      <c r="E23" s="9">
        <f>C12+B43</f>
        <v/>
      </c>
    </row>
    <row r="25">
      <c r="A25" s="3" t="inlineStr">
        <is>
          <t>— 技能 —</t>
        </is>
      </c>
    </row>
    <row r="26">
      <c r="A26" s="7" t="inlineStr">
        <is>
          <t>技能</t>
        </is>
      </c>
      <c r="B26" s="7" t="inlineStr">
        <is>
          <t>等級</t>
        </is>
      </c>
      <c r="C26" s="7" t="inlineStr">
        <is>
          <t>加值</t>
        </is>
      </c>
      <c r="D26" s="7" t="inlineStr">
        <is>
          <t>對應屬性</t>
        </is>
      </c>
      <c r="E26" s="5" t="inlineStr">
        <is>
          <t>備註</t>
        </is>
      </c>
    </row>
    <row r="27">
      <c r="A27" s="4" t="inlineStr">
        <is>
          <t>識武</t>
        </is>
      </c>
      <c r="B27" s="5" t="inlineStr">
        <is>
          <t>0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江湖見識</t>
        </is>
      </c>
      <c r="B28" s="5" t="inlineStr">
        <is>
          <t>5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輕功</t>
        </is>
      </c>
      <c r="B29" s="5" t="inlineStr">
        <is>
          <t>1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口才</t>
        </is>
      </c>
      <c r="B30" s="5" t="inlineStr">
        <is>
          <t>3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攀爬</t>
        </is>
      </c>
      <c r="B31" s="5" t="inlineStr">
        <is>
          <t>1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潛行</t>
        </is>
      </c>
      <c r="B32" s="5" t="inlineStr">
        <is>
          <t>1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追蹤</t>
        </is>
      </c>
      <c r="B33" s="5" t="inlineStr">
        <is>
          <t>3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察言觀色</t>
        </is>
      </c>
      <c r="B34" s="5" t="inlineStr">
        <is>
          <t>3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易容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開鎖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機關術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醫術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丹術</t>
        </is>
      </c>
      <c r="B39" s="5" t="inlineStr">
        <is>
          <t>0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毒術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暗器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輕功等級</t>
        </is>
      </c>
      <c r="B42" s="5" t="inlineStr">
        <is>
          <t>1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護甲值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刀法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劍法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9">
      <c r="A49" s="3" t="inlineStr">
        <is>
          <t>— 武功 —</t>
        </is>
      </c>
    </row>
    <row r="50">
      <c r="A50" s="7" t="inlineStr">
        <is>
          <t>武功名</t>
        </is>
      </c>
      <c r="B50" s="7" t="inlineStr">
        <is>
          <t>類型</t>
        </is>
      </c>
      <c r="C50" s="7" t="inlineStr">
        <is>
          <t>層級·精進</t>
        </is>
      </c>
      <c r="D50" s="7" t="inlineStr">
        <is>
          <t>勁力</t>
        </is>
      </c>
      <c r="E50" s="7" t="inlineStr">
        <is>
          <t>招式</t>
        </is>
      </c>
      <c r="F50" s="7" t="inlineStr">
        <is>
          <t>真氣</t>
        </is>
      </c>
      <c r="G50" s="7" t="inlineStr">
        <is>
          <t>命中</t>
        </is>
      </c>
      <c r="H50" s="7" t="inlineStr">
        <is>
          <t>傷害/效果</t>
        </is>
      </c>
    </row>
    <row r="51">
      <c r="A51" s="5" t="inlineStr">
        <is>
          <t>打狗棒法</t>
        </is>
      </c>
      <c r="B51" s="5" t="inlineStr">
        <is>
          <t>外功·棍法</t>
        </is>
      </c>
      <c r="C51" s="5" t="inlineStr">
        <is>
          <t>入門·初窺門徑</t>
        </is>
      </c>
      <c r="D51" s="5" t="inlineStr">
        <is>
          <t>巧</t>
        </is>
      </c>
      <c r="E51" s="5" t="inlineStr">
        <is>
          <t>棒打惡犬</t>
        </is>
      </c>
      <c r="F51" s="5" t="inlineStr">
        <is>
          <t>1</t>
        </is>
      </c>
      <c r="G51" s="5" t="inlineStr">
        <is>
          <t>+1</t>
        </is>
      </c>
      <c r="H51" s="5" t="inlineStr">
        <is>
          <t>1d6+膂(0) 繳械</t>
        </is>
      </c>
    </row>
    <row r="52">
      <c r="A52" s="5" t="inlineStr">
        <is>
          <t>叫化心法</t>
        </is>
      </c>
      <c r="B52" s="5" t="inlineStr">
        <is>
          <t>內功·心法</t>
        </is>
      </c>
      <c r="C52" s="5" t="inlineStr">
        <is>
          <t>入門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—</t>
        </is>
      </c>
      <c r="G52" s="5" t="inlineStr">
        <is>
          <t>—</t>
        </is>
      </c>
      <c r="H52" s="5" t="inlineStr">
        <is>
          <t>內功係數2，真氣池10</t>
        </is>
      </c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61">
      <c r="A61" s="3" t="inlineStr">
        <is>
          <t>— 裝備 —</t>
        </is>
      </c>
    </row>
    <row r="62">
      <c r="A62" s="7" t="inlineStr">
        <is>
          <t>武器</t>
        </is>
      </c>
      <c r="B62" s="7" t="inlineStr">
        <is>
          <t>傷害</t>
        </is>
      </c>
      <c r="C62" s="7" t="inlineStr">
        <is>
          <t>命中修正</t>
        </is>
      </c>
      <c r="D62" s="7" t="inlineStr">
        <is>
          <t>護甲</t>
        </is>
      </c>
      <c r="E62" s="7" t="inlineStr">
        <is>
          <t>外傷減免</t>
        </is>
      </c>
      <c r="F62" s="7" t="inlineStr">
        <is>
          <t>道具</t>
        </is>
      </c>
    </row>
    <row r="63">
      <c r="A63" s="5" t="inlineStr"/>
      <c r="B63" s="10" t="n"/>
      <c r="D63" s="5" t="inlineStr"/>
      <c r="E63" s="11" t="n"/>
      <c r="F63" s="10" t="n"/>
    </row>
    <row r="69">
      <c r="A69" s="4" t="inlineStr">
        <is>
          <t>俠義值</t>
        </is>
      </c>
      <c r="B69" s="5" t="inlineStr">
        <is>
          <t>10</t>
        </is>
      </c>
      <c r="D69" s="4" t="inlineStr">
        <is>
          <t>惡名值</t>
        </is>
      </c>
      <c r="E69" s="5" t="inlineStr">
        <is>
          <t>0</t>
        </is>
      </c>
    </row>
  </sheetData>
  <mergeCells count="29">
    <mergeCell ref="D11:F11"/>
    <mergeCell ref="D13:F13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2026-07-18T20:03:31Z</dcterms:created>
  <dcterms:modified xsi:type="dcterms:W3CDTF">2026-07-18T20:03:31Z</dcterms:modified>
</cp:coreProperties>
</file>