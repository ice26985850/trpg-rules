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角色卡 · 跑團規則工作室</t>
        </is>
      </c>
      <c r="B2" s="11" t="n"/>
      <c r="C2" s="11" t="n"/>
      <c r="D2" s="11" t="n"/>
      <c r="E2" s="11" t="n"/>
      <c r="F2" s="11" t="n"/>
      <c r="G2" s="11" t="n"/>
      <c r="H2" s="10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角色名</t>
        </is>
      </c>
      <c r="B5" s="5" t="inlineStr">
        <is>
          <t>公輸玄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千機閣</t>
        </is>
      </c>
    </row>
    <row r="6">
      <c r="A6" s="4" t="inlineStr">
        <is>
          <t>概念</t>
        </is>
      </c>
      <c r="B6" s="6" t="inlineStr">
        <is>
          <t>千機閣閣主，算術天才，正面戰力二流但機關戰術超一流。</t>
        </is>
      </c>
      <c r="C6" s="11" t="n"/>
      <c r="D6" s="10" t="n"/>
      <c r="E6" s="4" t="inlineStr">
        <is>
          <t>境界</t>
        </is>
      </c>
      <c r="F6" s="5" t="inlineStr">
        <is>
          <t>爐火純青</t>
        </is>
      </c>
      <c r="G6" s="4" t="inlineStr">
        <is>
          <t>內功係數</t>
        </is>
      </c>
      <c r="H6" s="5" t="inlineStr">
        <is>
          <t>2</t>
        </is>
      </c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3</t>
        </is>
      </c>
      <c r="C10" s="8">
        <f>B10-4</f>
        <v/>
      </c>
      <c r="D10" s="2" t="inlineStr">
        <is>
          <t>肌肉力量、爆發力</t>
        </is>
      </c>
      <c r="E10" s="11" t="n"/>
      <c r="F10" s="10" t="n"/>
    </row>
    <row r="11">
      <c r="A11" s="4" t="inlineStr">
        <is>
          <t>身法（DEX）</t>
        </is>
      </c>
      <c r="B11" s="5" t="inlineStr">
        <is>
          <t>5</t>
        </is>
      </c>
      <c r="C11" s="8">
        <f>B11-4</f>
        <v/>
      </c>
      <c r="D11" s="2" t="inlineStr">
        <is>
          <t>速度、靈活、輕功</t>
        </is>
      </c>
      <c r="E11" s="11" t="n"/>
      <c r="F11" s="10" t="n"/>
    </row>
    <row r="12">
      <c r="A12" s="4" t="inlineStr">
        <is>
          <t>根骨（CON）</t>
        </is>
      </c>
      <c r="B12" s="5" t="inlineStr">
        <is>
          <t>5</t>
        </is>
      </c>
      <c r="C12" s="8">
        <f>B12-4</f>
        <v/>
      </c>
      <c r="D12" s="2" t="inlineStr">
        <is>
          <t>經脈承載、體質、生命韌性</t>
        </is>
      </c>
      <c r="E12" s="11" t="n"/>
      <c r="F12" s="10" t="n"/>
    </row>
    <row r="13">
      <c r="A13" s="4" t="inlineStr">
        <is>
          <t>悟性（INT）</t>
        </is>
      </c>
      <c r="B13" s="5" t="inlineStr">
        <is>
          <t>10</t>
        </is>
      </c>
      <c r="C13" s="8">
        <f>B13-4</f>
        <v/>
      </c>
      <c r="D13" s="2" t="inlineStr">
        <is>
          <t>武學領悟力、學習效率</t>
        </is>
      </c>
      <c r="E13" s="11" t="n"/>
      <c r="F13" s="10" t="n"/>
    </row>
    <row r="14">
      <c r="A14" s="4" t="inlineStr">
        <is>
          <t>定力（WIS）</t>
        </is>
      </c>
      <c r="B14" s="5" t="inlineStr">
        <is>
          <t>7</t>
        </is>
      </c>
      <c r="C14" s="8">
        <f>B14-4</f>
        <v/>
      </c>
      <c r="D14" s="2" t="inlineStr">
        <is>
          <t>意志力、心境穩定</t>
        </is>
      </c>
      <c r="E14" s="11" t="n"/>
      <c r="F14" s="10" t="n"/>
    </row>
    <row r="15">
      <c r="A15" s="4" t="inlineStr">
        <is>
          <t>魅力（CHA）</t>
        </is>
      </c>
      <c r="B15" s="5" t="inlineStr">
        <is>
          <t>4</t>
        </is>
      </c>
      <c r="C15" s="8">
        <f>B15-4</f>
        <v/>
      </c>
      <c r="D15" s="2" t="inlineStr">
        <is>
          <t>人格魅力、人際影響力</t>
        </is>
      </c>
      <c r="E15" s="11" t="n"/>
      <c r="F15" s="10" t="n"/>
    </row>
    <row r="16">
      <c r="A16" s="4" t="inlineStr">
        <is>
          <t>屬性合計</t>
        </is>
      </c>
      <c r="B16" s="10" t="n"/>
    </row>
    <row r="18">
      <c r="A18" s="3" t="inlineStr">
        <is>
          <t>— 衍生值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生命值（HP）</t>
        </is>
      </c>
      <c r="B19" s="2" t="inlineStr">
        <is>
          <t>根骨×5+境界加值</t>
        </is>
      </c>
      <c r="C19" s="11" t="n"/>
      <c r="D19" s="10" t="n"/>
      <c r="E19" s="9">
        <f>B12*5+IF(F6="登堂入室",5,IF(F6="融會貫通",10,IF(F6="爐火純青",15,IF(F6="登峯造極",20,IF(F6="返璞歸真",25,0)))))</f>
        <v/>
      </c>
      <c r="F19" s="10" t="n"/>
    </row>
    <row r="20">
      <c r="A20" s="4" t="inlineStr">
        <is>
          <t>真氣</t>
        </is>
      </c>
      <c r="B20" s="2" t="inlineStr">
        <is>
          <t>根骨×內功係數+境界加值</t>
        </is>
      </c>
      <c r="C20" s="11" t="n"/>
      <c r="D20" s="10" t="n"/>
      <c r="E20" s="9">
        <f>B12*VALUE(LEFT(H6,1))+IF(F6="登堂入室",3,IF(F6="融會貫通",6,IF(F6="爐火純青",10,IF(F6="登峯造極",15,IF(F6="返璞歸真",20,0)))))</f>
        <v/>
      </c>
      <c r="F20" s="10" t="n"/>
    </row>
    <row r="21">
      <c r="A21" s="4" t="inlineStr">
        <is>
          <t>先手</t>
        </is>
      </c>
      <c r="B21" s="2" t="inlineStr">
        <is>
          <t>身法+定力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閃避</t>
        </is>
      </c>
      <c r="B22" s="2" t="inlineStr">
        <is>
          <t>身法調整+輕功等級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防禦</t>
        </is>
      </c>
      <c r="B23" s="2" t="inlineStr">
        <is>
          <t>根骨調整+護甲值</t>
        </is>
      </c>
      <c r="C23" s="11" t="n"/>
      <c r="D23" s="10" t="n"/>
      <c r="E23" s="9">
        <f>C12+B43</f>
        <v/>
      </c>
      <c r="F23" s="10" t="n"/>
    </row>
    <row r="25">
      <c r="A25" s="3" t="inlineStr">
        <is>
          <t>— 技能 —</t>
        </is>
      </c>
      <c r="B25" s="10" t="n"/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  <c r="F26" s="11" t="n"/>
      <c r="G26" s="11" t="n"/>
      <c r="H26" s="10" t="n"/>
    </row>
    <row r="27">
      <c r="A27" s="4" t="inlineStr">
        <is>
          <t>識武</t>
        </is>
      </c>
      <c r="B27" s="5" t="inlineStr">
        <is>
          <t>6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3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8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千機訣·推演</t>
        </is>
      </c>
      <c r="B51" s="5" t="inlineStr">
        <is>
          <t>特殊</t>
        </is>
      </c>
      <c r="C51" s="5" t="inlineStr">
        <is>
          <t>上乘</t>
        </is>
      </c>
      <c r="D51" s="5" t="inlineStr">
        <is>
          <t>—</t>
        </is>
      </c>
      <c r="E51" s="5" t="inlineStr">
        <is>
          <t>推演</t>
        </is>
      </c>
      <c r="F51" s="5" t="inlineStr">
        <is>
          <t>4</t>
        </is>
      </c>
      <c r="G51" s="5" t="inlineStr">
        <is>
          <t>—</t>
        </is>
      </c>
      <c r="H51" s="5" t="inlineStr">
        <is>
          <t>—</t>
        </is>
      </c>
      <c r="I51" s="5" t="inlineStr">
        <is>
          <t>標記目標</t>
        </is>
      </c>
    </row>
    <row r="52">
      <c r="A52" s="5" t="inlineStr">
        <is>
          <t>暴雨梨花針</t>
        </is>
      </c>
      <c r="B52" s="5" t="inlineStr">
        <is>
          <t>暗器</t>
        </is>
      </c>
      <c r="C52" s="5" t="inlineStr">
        <is>
          <t>上乘</t>
        </is>
      </c>
      <c r="D52" s="5" t="inlineStr">
        <is>
          <t>遠</t>
        </is>
      </c>
      <c r="E52" s="5" t="inlineStr">
        <is>
          <t>暴雨</t>
        </is>
      </c>
      <c r="F52" s="5" t="inlineStr">
        <is>
          <t>6</t>
        </is>
      </c>
      <c r="G52" s="5" t="inlineStr">
        <is>
          <t>+6</t>
        </is>
      </c>
      <c r="H52" s="5" t="inlineStr">
        <is>
          <t>3d4+5 羣體</t>
        </is>
      </c>
    </row>
    <row r="53">
      <c r="A53" s="5" t="inlineStr">
        <is>
          <t>銅人陣</t>
        </is>
      </c>
      <c r="B53" s="5" t="inlineStr">
        <is>
          <t>特殊·機關</t>
        </is>
      </c>
      <c r="C53" s="5" t="inlineStr">
        <is>
          <t>上乘</t>
        </is>
      </c>
      <c r="D53" s="5" t="inlineStr">
        <is>
          <t>—</t>
        </is>
      </c>
      <c r="E53" s="5" t="inlineStr">
        <is>
          <t>—</t>
        </is>
      </c>
      <c r="F53" s="5" t="inlineStr">
        <is>
          <t>5</t>
        </is>
      </c>
      <c r="G53" s="5" t="inlineStr">
        <is>
          <t>—</t>
        </is>
      </c>
      <c r="H53" s="5" t="inlineStr">
        <is>
          <t>召喚銅人護盾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10</t>
        </is>
      </c>
      <c r="D69" s="4" t="inlineStr">
        <is>
          <t>惡名值</t>
        </is>
      </c>
      <c r="E69" s="5" t="inlineStr">
        <is>
          <t>0</t>
        </is>
      </c>
    </row>
    <row r="71">
      <c r="A71" t="inlineStr">
        <is>
          <t>可拜師(難度（DC）16): 暴雨梨花針+千機訣+機關術。</t>
        </is>
      </c>
    </row>
    <row r="72">
      <c r="A72" t="inlineStr">
        <is>
          <t>拜師禮: 機關通訊器+機關陷阱圖紙x1+出師: VIP鑰匙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2026-06-18T03:25:41Z</dcterms:created>
  <dcterms:modified xsi:type="dcterms:W3CDTF">2026-07-18T20:03:42Z</dcterms:modified>
</cp:coreProperties>
</file>