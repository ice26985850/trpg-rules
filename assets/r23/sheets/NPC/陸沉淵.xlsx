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角色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Microsoft YaHei"/>
      <b val="1"/>
      <color rgb="001a1a2e"/>
      <sz val="20"/>
    </font>
    <font>
      <name val="Microsoft YaHei"/>
      <color rgb="00666666"/>
      <sz val="9"/>
    </font>
    <font>
      <name val="Microsoft YaHei"/>
      <b val="1"/>
      <color rgb="002c3e50"/>
      <sz val="13"/>
    </font>
    <font>
      <name val="Microsoft YaHei"/>
      <b val="1"/>
      <color rgb="0034495e"/>
      <sz val="10"/>
    </font>
    <font>
      <name val="Microsoft YaHei"/>
      <sz val="10"/>
    </font>
    <font>
      <name val="Microsoft YaHei"/>
      <b val="1"/>
      <color rgb="00FFFFFF"/>
      <sz val="9"/>
    </font>
    <font>
      <name val="Microsoft YaHei"/>
      <b val="1"/>
      <i val="1"/>
      <sz val="10"/>
    </font>
    <font>
      <name val="Microsoft YaHei"/>
      <b val="1"/>
      <color rgb="001a1a2e"/>
      <sz val="14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2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</cols>
  <sheetData>
    <row r="1" ht="35" customHeight="1">
      <c r="A1" s="1" t="inlineStr">
        <is>
          <t>永 和 武 典</t>
        </is>
      </c>
      <c r="B1" s="11" t="n"/>
      <c r="C1" s="11" t="n"/>
      <c r="D1" s="11" t="n"/>
      <c r="E1" s="11" t="n"/>
      <c r="F1" s="11" t="n"/>
      <c r="G1" s="11" t="n"/>
      <c r="H1" s="10" t="n"/>
    </row>
    <row r="2">
      <c r="A2" s="2" t="inlineStr">
        <is>
          <t>角色卡 · 跑團規則工作室</t>
        </is>
      </c>
      <c r="B2" s="11" t="n"/>
      <c r="C2" s="11" t="n"/>
      <c r="D2" s="11" t="n"/>
      <c r="E2" s="11" t="n"/>
      <c r="F2" s="11" t="n"/>
      <c r="G2" s="11" t="n"/>
      <c r="H2" s="10" t="n"/>
    </row>
    <row r="4">
      <c r="A4" s="3" t="inlineStr">
        <is>
          <t>— 基本資料 —</t>
        </is>
      </c>
      <c r="B4" s="11" t="n"/>
      <c r="C4" s="11" t="n"/>
      <c r="D4" s="11" t="n"/>
      <c r="E4" s="11" t="n"/>
      <c r="F4" s="11" t="n"/>
      <c r="G4" s="11" t="n"/>
      <c r="H4" s="10" t="n"/>
    </row>
    <row r="5">
      <c r="A5" s="4" t="inlineStr">
        <is>
          <t>角色名</t>
        </is>
      </c>
      <c r="B5" s="5" t="inlineStr">
        <is>
          <t>陸沉淵</t>
        </is>
      </c>
      <c r="C5" s="4" t="inlineStr">
        <is>
          <t>玩家</t>
        </is>
      </c>
      <c r="D5" s="5" t="inlineStr"/>
      <c r="E5" s="4" t="inlineStr">
        <is>
          <t>門派</t>
        </is>
      </c>
      <c r="F5" s="5" t="inlineStr">
        <is>
          <t>天劍盟</t>
        </is>
      </c>
    </row>
    <row r="6">
      <c r="A6" s="4" t="inlineStr">
        <is>
          <t>概念</t>
        </is>
      </c>
      <c r="B6" s="6" t="inlineStr">
        <is>
          <t>天劍盟盟主，年過六旬的劍道泰斗。三十年前以一人一劍平定西域十三寇。</t>
        </is>
      </c>
      <c r="C6" s="11" t="n"/>
      <c r="D6" s="10" t="n"/>
      <c r="E6" s="4" t="inlineStr">
        <is>
          <t>境界</t>
        </is>
      </c>
      <c r="F6" s="5" t="inlineStr">
        <is>
          <t>登峯造極</t>
        </is>
      </c>
      <c r="G6" s="4" t="inlineStr">
        <is>
          <t>內功係數</t>
        </is>
      </c>
      <c r="H6" s="5" t="inlineStr">
        <is>
          <t>4</t>
        </is>
      </c>
    </row>
    <row r="8">
      <c r="A8" s="3" t="inlineStr">
        <is>
          <t>— 六維屬性 —</t>
        </is>
      </c>
      <c r="B8" s="11" t="n"/>
      <c r="C8" s="11" t="n"/>
      <c r="D8" s="11" t="n"/>
      <c r="E8" s="11" t="n"/>
      <c r="F8" s="11" t="n"/>
      <c r="G8" s="11" t="n"/>
      <c r="H8" s="10" t="n"/>
    </row>
    <row r="9">
      <c r="A9" s="7" t="inlineStr">
        <is>
          <t>屬性</t>
        </is>
      </c>
      <c r="B9" s="7" t="inlineStr">
        <is>
          <t>基礎值</t>
        </is>
      </c>
      <c r="C9" s="7" t="inlineStr">
        <is>
          <t>調整值</t>
        </is>
      </c>
      <c r="D9" s="7" t="inlineStr">
        <is>
          <t>描述</t>
        </is>
      </c>
    </row>
    <row r="10">
      <c r="A10" s="4" t="inlineStr">
        <is>
          <t>膂力（STR）</t>
        </is>
      </c>
      <c r="B10" s="5" t="inlineStr">
        <is>
          <t>9</t>
        </is>
      </c>
      <c r="C10" s="8">
        <f>B10-4</f>
        <v/>
      </c>
      <c r="D10" s="2" t="inlineStr">
        <is>
          <t>肌肉力量、爆發力</t>
        </is>
      </c>
      <c r="E10" s="11" t="n"/>
      <c r="F10" s="10" t="n"/>
    </row>
    <row r="11">
      <c r="A11" s="4" t="inlineStr">
        <is>
          <t>身法（DEX）</t>
        </is>
      </c>
      <c r="B11" s="5" t="inlineStr">
        <is>
          <t>7</t>
        </is>
      </c>
      <c r="C11" s="8">
        <f>B11-4</f>
        <v/>
      </c>
      <c r="D11" s="2" t="inlineStr">
        <is>
          <t>速度、靈活、輕功</t>
        </is>
      </c>
      <c r="E11" s="11" t="n"/>
      <c r="F11" s="10" t="n"/>
    </row>
    <row r="12">
      <c r="A12" s="4" t="inlineStr">
        <is>
          <t>根骨（CON）</t>
        </is>
      </c>
      <c r="B12" s="5" t="inlineStr">
        <is>
          <t>8</t>
        </is>
      </c>
      <c r="C12" s="8">
        <f>B12-4</f>
        <v/>
      </c>
      <c r="D12" s="2" t="inlineStr">
        <is>
          <t>經脈承載、體質、生命韌性</t>
        </is>
      </c>
      <c r="E12" s="11" t="n"/>
      <c r="F12" s="10" t="n"/>
    </row>
    <row r="13">
      <c r="A13" s="4" t="inlineStr">
        <is>
          <t>悟性（INT）</t>
        </is>
      </c>
      <c r="B13" s="5" t="inlineStr">
        <is>
          <t>7</t>
        </is>
      </c>
      <c r="C13" s="8">
        <f>B13-4</f>
        <v/>
      </c>
      <c r="D13" s="2" t="inlineStr">
        <is>
          <t>武學領悟力、學習效率</t>
        </is>
      </c>
      <c r="E13" s="11" t="n"/>
      <c r="F13" s="10" t="n"/>
    </row>
    <row r="14">
      <c r="A14" s="4" t="inlineStr">
        <is>
          <t>定力（WIS）</t>
        </is>
      </c>
      <c r="B14" s="5" t="inlineStr">
        <is>
          <t>8</t>
        </is>
      </c>
      <c r="C14" s="8">
        <f>B14-4</f>
        <v/>
      </c>
      <c r="D14" s="2" t="inlineStr">
        <is>
          <t>意志力、心境穩定</t>
        </is>
      </c>
      <c r="E14" s="11" t="n"/>
      <c r="F14" s="10" t="n"/>
    </row>
    <row r="15">
      <c r="A15" s="4" t="inlineStr">
        <is>
          <t>魅力（CHA）</t>
        </is>
      </c>
      <c r="B15" s="5" t="inlineStr">
        <is>
          <t>7</t>
        </is>
      </c>
      <c r="C15" s="8">
        <f>B15-4</f>
        <v/>
      </c>
      <c r="D15" s="2" t="inlineStr">
        <is>
          <t>人格魅力、人際影響力</t>
        </is>
      </c>
      <c r="E15" s="11" t="n"/>
      <c r="F15" s="10" t="n"/>
    </row>
    <row r="16">
      <c r="A16" s="4" t="inlineStr">
        <is>
          <t>屬性合計</t>
        </is>
      </c>
      <c r="B16" s="10" t="n"/>
    </row>
    <row r="18">
      <c r="A18" s="3" t="inlineStr">
        <is>
          <t>— 衍生值 —</t>
        </is>
      </c>
      <c r="B18" s="11" t="n"/>
      <c r="C18" s="11" t="n"/>
      <c r="D18" s="11" t="n"/>
      <c r="E18" s="11" t="n"/>
      <c r="F18" s="11" t="n"/>
      <c r="G18" s="11" t="n"/>
      <c r="H18" s="10" t="n"/>
    </row>
    <row r="19">
      <c r="A19" s="4" t="inlineStr">
        <is>
          <t>生命值（HP）</t>
        </is>
      </c>
      <c r="B19" s="2" t="inlineStr">
        <is>
          <t>根骨×5+境界加值</t>
        </is>
      </c>
      <c r="C19" s="11" t="n"/>
      <c r="D19" s="10" t="n"/>
      <c r="E19" s="9">
        <f>B12*5+IF(F6="登堂入室",5,IF(F6="融會貫通",10,IF(F6="爐火純青",15,IF(F6="登峯造極",20,IF(F6="返璞歸真",25,0)))))</f>
        <v/>
      </c>
      <c r="F19" s="10" t="n"/>
    </row>
    <row r="20">
      <c r="A20" s="4" t="inlineStr">
        <is>
          <t>真氣</t>
        </is>
      </c>
      <c r="B20" s="2" t="inlineStr">
        <is>
          <t>根骨×內功係數+境界加值</t>
        </is>
      </c>
      <c r="C20" s="11" t="n"/>
      <c r="D20" s="10" t="n"/>
      <c r="E20" s="9">
        <f>B12*VALUE(LEFT(H6,1))+IF(F6="登堂入室",3,IF(F6="融會貫通",6,IF(F6="爐火純青",10,IF(F6="登峯造極",15,IF(F6="返璞歸真",20,0)))))</f>
        <v/>
      </c>
      <c r="F20" s="10" t="n"/>
    </row>
    <row r="21">
      <c r="A21" s="4" t="inlineStr">
        <is>
          <t>先手</t>
        </is>
      </c>
      <c r="B21" s="2" t="inlineStr">
        <is>
          <t>身法+定力</t>
        </is>
      </c>
      <c r="C21" s="11" t="n"/>
      <c r="D21" s="10" t="n"/>
      <c r="E21" s="9">
        <f>B11+B14</f>
        <v/>
      </c>
      <c r="F21" s="10" t="n"/>
    </row>
    <row r="22">
      <c r="A22" s="4" t="inlineStr">
        <is>
          <t>閃避</t>
        </is>
      </c>
      <c r="B22" s="2" t="inlineStr">
        <is>
          <t>身法調整+輕功等級</t>
        </is>
      </c>
      <c r="C22" s="11" t="n"/>
      <c r="D22" s="10" t="n"/>
      <c r="E22" s="9">
        <f>C11+B42</f>
        <v/>
      </c>
      <c r="F22" s="10" t="n"/>
    </row>
    <row r="23">
      <c r="A23" s="4" t="inlineStr">
        <is>
          <t>防禦</t>
        </is>
      </c>
      <c r="B23" s="2" t="inlineStr">
        <is>
          <t>根骨調整+護甲值</t>
        </is>
      </c>
      <c r="C23" s="11" t="n"/>
      <c r="D23" s="10" t="n"/>
      <c r="E23" s="9">
        <f>C12+B43</f>
        <v/>
      </c>
      <c r="F23" s="10" t="n"/>
    </row>
    <row r="25">
      <c r="A25" s="3" t="inlineStr">
        <is>
          <t>— 技能 —</t>
        </is>
      </c>
      <c r="B25" s="10" t="n"/>
    </row>
    <row r="26">
      <c r="A26" s="7" t="inlineStr">
        <is>
          <t>技能</t>
        </is>
      </c>
      <c r="B26" s="7" t="inlineStr">
        <is>
          <t>等級</t>
        </is>
      </c>
      <c r="C26" s="7" t="inlineStr">
        <is>
          <t>加值</t>
        </is>
      </c>
      <c r="D26" s="7" t="inlineStr">
        <is>
          <t>對應屬性</t>
        </is>
      </c>
      <c r="E26" s="5" t="inlineStr">
        <is>
          <t>備註</t>
        </is>
      </c>
      <c r="F26" s="11" t="n"/>
      <c r="G26" s="11" t="n"/>
      <c r="H26" s="10" t="n"/>
    </row>
    <row r="27">
      <c r="A27" s="4" t="inlineStr">
        <is>
          <t>識武</t>
        </is>
      </c>
      <c r="B27" s="5" t="inlineStr">
        <is>
          <t>6</t>
        </is>
      </c>
      <c r="C27" s="2">
        <f>C10+B27</f>
        <v/>
      </c>
      <c r="D27" s="2" t="inlineStr">
        <is>
          <t>C10</t>
        </is>
      </c>
    </row>
    <row r="28">
      <c r="A28" s="4" t="inlineStr">
        <is>
          <t>江湖見識</t>
        </is>
      </c>
      <c r="B28" s="5" t="inlineStr">
        <is>
          <t>5</t>
        </is>
      </c>
      <c r="C28" s="2">
        <f>C10+B28</f>
        <v/>
      </c>
      <c r="D28" s="2" t="inlineStr">
        <is>
          <t>C10</t>
        </is>
      </c>
    </row>
    <row r="29">
      <c r="A29" s="4" t="inlineStr">
        <is>
          <t>輕功</t>
        </is>
      </c>
      <c r="B29" s="5" t="inlineStr">
        <is>
          <t>0</t>
        </is>
      </c>
      <c r="C29" s="2">
        <f>C10+B29</f>
        <v/>
      </c>
      <c r="D29" s="2" t="inlineStr">
        <is>
          <t>C10</t>
        </is>
      </c>
    </row>
    <row r="30">
      <c r="A30" s="4" t="inlineStr">
        <is>
          <t>口才</t>
        </is>
      </c>
      <c r="B30" s="5" t="inlineStr">
        <is>
          <t>0</t>
        </is>
      </c>
      <c r="C30" s="2">
        <f>C10+B30</f>
        <v/>
      </c>
      <c r="D30" s="2" t="inlineStr">
        <is>
          <t>C10</t>
        </is>
      </c>
    </row>
    <row r="31">
      <c r="A31" s="4" t="inlineStr">
        <is>
          <t>攀爬</t>
        </is>
      </c>
      <c r="B31" s="5" t="inlineStr">
        <is>
          <t>0</t>
        </is>
      </c>
      <c r="C31" s="2">
        <f>C10+B31</f>
        <v/>
      </c>
      <c r="D31" s="2" t="inlineStr">
        <is>
          <t>C10</t>
        </is>
      </c>
    </row>
    <row r="32">
      <c r="A32" s="4" t="inlineStr">
        <is>
          <t>潛行</t>
        </is>
      </c>
      <c r="B32" s="5" t="inlineStr">
        <is>
          <t>0</t>
        </is>
      </c>
      <c r="C32" s="2">
        <f>C10+B32</f>
        <v/>
      </c>
      <c r="D32" s="2" t="inlineStr">
        <is>
          <t>C10</t>
        </is>
      </c>
    </row>
    <row r="33">
      <c r="A33" s="4" t="inlineStr">
        <is>
          <t>追蹤</t>
        </is>
      </c>
      <c r="B33" s="5" t="inlineStr">
        <is>
          <t>0</t>
        </is>
      </c>
      <c r="C33" s="2">
        <f>C10+B33</f>
        <v/>
      </c>
      <c r="D33" s="2" t="inlineStr">
        <is>
          <t>C10</t>
        </is>
      </c>
    </row>
    <row r="34">
      <c r="A34" s="4" t="inlineStr">
        <is>
          <t>察言觀色</t>
        </is>
      </c>
      <c r="B34" s="5" t="inlineStr">
        <is>
          <t>5</t>
        </is>
      </c>
      <c r="C34" s="2">
        <f>C10+B34</f>
        <v/>
      </c>
      <c r="D34" s="2" t="inlineStr">
        <is>
          <t>C10</t>
        </is>
      </c>
    </row>
    <row r="35">
      <c r="A35" s="4" t="inlineStr">
        <is>
          <t>易容</t>
        </is>
      </c>
      <c r="B35" s="5" t="inlineStr">
        <is>
          <t>0</t>
        </is>
      </c>
      <c r="C35" s="2">
        <f>C10+B35</f>
        <v/>
      </c>
      <c r="D35" s="2" t="inlineStr">
        <is>
          <t>C10</t>
        </is>
      </c>
    </row>
    <row r="36">
      <c r="A36" s="4" t="inlineStr">
        <is>
          <t>開鎖</t>
        </is>
      </c>
      <c r="B36" s="5" t="inlineStr">
        <is>
          <t>0</t>
        </is>
      </c>
      <c r="C36" s="2">
        <f>C10+B36</f>
        <v/>
      </c>
      <c r="D36" s="2" t="inlineStr">
        <is>
          <t>C10</t>
        </is>
      </c>
    </row>
    <row r="37">
      <c r="A37" s="4" t="inlineStr">
        <is>
          <t>機關術</t>
        </is>
      </c>
      <c r="B37" s="5" t="inlineStr">
        <is>
          <t>0</t>
        </is>
      </c>
      <c r="C37" s="2">
        <f>C10+B37</f>
        <v/>
      </c>
      <c r="D37" s="2" t="inlineStr">
        <is>
          <t>C10</t>
        </is>
      </c>
    </row>
    <row r="38">
      <c r="A38" s="4" t="inlineStr">
        <is>
          <t>醫術</t>
        </is>
      </c>
      <c r="B38" s="5" t="inlineStr">
        <is>
          <t>0</t>
        </is>
      </c>
      <c r="C38" s="2">
        <f>C10+B38</f>
        <v/>
      </c>
      <c r="D38" s="2" t="inlineStr">
        <is>
          <t>C10</t>
        </is>
      </c>
    </row>
    <row r="39">
      <c r="A39" s="4" t="inlineStr">
        <is>
          <t>丹術</t>
        </is>
      </c>
      <c r="B39" s="5" t="inlineStr">
        <is>
          <t>0</t>
        </is>
      </c>
      <c r="C39" s="2">
        <f>C10+B39</f>
        <v/>
      </c>
      <c r="D39" s="2" t="inlineStr">
        <is>
          <t>C10</t>
        </is>
      </c>
    </row>
    <row r="40">
      <c r="A40" s="4" t="inlineStr">
        <is>
          <t>毒術</t>
        </is>
      </c>
      <c r="B40" s="5" t="inlineStr">
        <is>
          <t>0</t>
        </is>
      </c>
      <c r="C40" s="2">
        <f>C10+B40</f>
        <v/>
      </c>
      <c r="D40" s="2" t="inlineStr">
        <is>
          <t>C10</t>
        </is>
      </c>
    </row>
    <row r="41">
      <c r="A41" s="4" t="inlineStr">
        <is>
          <t>暗器</t>
        </is>
      </c>
      <c r="B41" s="5" t="inlineStr">
        <is>
          <t>0</t>
        </is>
      </c>
      <c r="C41" s="2">
        <f>C10+B41</f>
        <v/>
      </c>
      <c r="D41" s="2" t="inlineStr">
        <is>
          <t>C10</t>
        </is>
      </c>
    </row>
    <row r="42">
      <c r="A42" s="2" t="inlineStr">
        <is>
          <t>輕功等級</t>
        </is>
      </c>
      <c r="B42" s="5" t="inlineStr">
        <is>
          <t>0</t>
        </is>
      </c>
      <c r="C42" s="2">
        <f>C10+B42</f>
        <v/>
      </c>
      <c r="D42" s="2" t="inlineStr">
        <is>
          <t>C10</t>
        </is>
      </c>
    </row>
    <row r="43">
      <c r="A43" s="2" t="inlineStr">
        <is>
          <t>護甲值</t>
        </is>
      </c>
      <c r="B43" s="5" t="inlineStr">
        <is>
          <t>0</t>
        </is>
      </c>
      <c r="C43" s="2">
        <f>C10+B43</f>
        <v/>
      </c>
      <c r="D43" s="2" t="inlineStr">
        <is>
          <t>C10</t>
        </is>
      </c>
    </row>
    <row r="44">
      <c r="A44" s="4" t="inlineStr">
        <is>
          <t>刀法</t>
        </is>
      </c>
      <c r="B44" s="5" t="inlineStr">
        <is>
          <t>0</t>
        </is>
      </c>
      <c r="C44" s="2">
        <f>C10+B44</f>
        <v/>
      </c>
      <c r="D44" s="2" t="inlineStr">
        <is>
          <t>C10</t>
        </is>
      </c>
    </row>
    <row r="45">
      <c r="A45" s="4" t="inlineStr">
        <is>
          <t>劍法</t>
        </is>
      </c>
      <c r="B45" s="5" t="inlineStr">
        <is>
          <t>6</t>
        </is>
      </c>
      <c r="C45" s="2">
        <f>C10+B45</f>
        <v/>
      </c>
      <c r="D45" s="2" t="inlineStr">
        <is>
          <t>C10</t>
        </is>
      </c>
    </row>
    <row r="49">
      <c r="A49" s="3" t="inlineStr">
        <is>
          <t>— 武功 —</t>
        </is>
      </c>
      <c r="B49" s="11" t="n"/>
      <c r="C49" s="11" t="n"/>
      <c r="D49" s="11" t="n"/>
      <c r="E49" s="11" t="n"/>
      <c r="F49" s="11" t="n"/>
      <c r="G49" s="11" t="n"/>
      <c r="H49" s="10" t="n"/>
    </row>
    <row r="50">
      <c r="A50" s="7" t="inlineStr">
        <is>
          <t>武功名</t>
        </is>
      </c>
      <c r="B50" s="7" t="inlineStr">
        <is>
          <t>類型</t>
        </is>
      </c>
      <c r="C50" s="7" t="inlineStr">
        <is>
          <t>層級·精進</t>
        </is>
      </c>
      <c r="D50" s="7" t="inlineStr">
        <is>
          <t>勁力</t>
        </is>
      </c>
      <c r="E50" s="7" t="inlineStr">
        <is>
          <t>招式</t>
        </is>
      </c>
      <c r="F50" s="7" t="inlineStr">
        <is>
          <t>真氣</t>
        </is>
      </c>
      <c r="G50" s="7" t="inlineStr">
        <is>
          <t>命中</t>
        </is>
      </c>
      <c r="H50" s="7" t="inlineStr">
        <is>
          <t>傷害/效果</t>
        </is>
      </c>
    </row>
    <row r="51">
      <c r="A51" s="5" t="inlineStr">
        <is>
          <t>獨孤九劍·破劍式</t>
        </is>
      </c>
      <c r="B51" s="5" t="inlineStr">
        <is>
          <t>外功·劍術</t>
        </is>
      </c>
      <c r="C51" s="5" t="inlineStr">
        <is>
          <t>上乘</t>
        </is>
      </c>
      <c r="D51" s="5" t="inlineStr">
        <is>
          <t>巧</t>
        </is>
      </c>
      <c r="E51" s="5" t="inlineStr">
        <is>
          <t>破劍式</t>
        </is>
      </c>
      <c r="F51" s="5" t="inlineStr">
        <is>
          <t>6</t>
        </is>
      </c>
      <c r="G51" s="5" t="inlineStr">
        <is>
          <t>+6</t>
        </is>
      </c>
      <c r="H51" s="5" t="inlineStr">
        <is>
          <t>3d8+5 破招</t>
        </is>
      </c>
    </row>
    <row r="52">
      <c r="A52" s="5" t="inlineStr">
        <is>
          <t>天劍訣·萬劍歸宗</t>
        </is>
      </c>
      <c r="B52" s="5" t="inlineStr">
        <is>
          <t>外功·劍術</t>
        </is>
      </c>
      <c r="C52" s="5" t="inlineStr">
        <is>
          <t>絕學</t>
        </is>
      </c>
      <c r="D52" s="5" t="inlineStr">
        <is>
          <t>剛</t>
        </is>
      </c>
      <c r="E52" s="5" t="inlineStr">
        <is>
          <t>萬劍歸宗</t>
        </is>
      </c>
      <c r="F52" s="5" t="inlineStr">
        <is>
          <t>10</t>
        </is>
      </c>
      <c r="G52" s="5" t="inlineStr">
        <is>
          <t>+8</t>
        </is>
      </c>
      <c r="H52" s="5" t="inlineStr">
        <is>
          <t>5d6+10 範圍攻擊</t>
        </is>
      </c>
    </row>
    <row r="53">
      <c r="A53" s="5" t="inlineStr">
        <is>
          <t>寒梅劍法·霜寒劍氣</t>
        </is>
      </c>
      <c r="B53" s="5" t="inlineStr">
        <is>
          <t>外功·劍術</t>
        </is>
      </c>
      <c r="C53" s="5" t="inlineStr">
        <is>
          <t>進階</t>
        </is>
      </c>
      <c r="D53" s="5" t="inlineStr">
        <is>
          <t>遠</t>
        </is>
      </c>
      <c r="E53" s="5" t="inlineStr">
        <is>
          <t>霜寒劍氣</t>
        </is>
      </c>
      <c r="F53" s="5" t="inlineStr">
        <is>
          <t>4</t>
        </is>
      </c>
      <c r="G53" s="5" t="inlineStr">
        <is>
          <t>+4</t>
        </is>
      </c>
      <c r="H53" s="5" t="inlineStr">
        <is>
          <t>2d6+5 三步距離</t>
        </is>
      </c>
    </row>
    <row r="54">
      <c r="A54" s="5" t="inlineStr">
        <is>
          <t>天劍心經</t>
        </is>
      </c>
      <c r="B54" s="5" t="inlineStr">
        <is>
          <t>內功</t>
        </is>
      </c>
      <c r="C54" s="5" t="inlineStr">
        <is>
          <t>上乘</t>
        </is>
      </c>
      <c r="D54" s="5" t="inlineStr">
        <is>
          <t>—</t>
        </is>
      </c>
      <c r="E54" s="5" t="inlineStr">
        <is>
          <t>—</t>
        </is>
      </c>
      <c r="F54" s="5" t="inlineStr">
        <is>
          <t>—</t>
        </is>
      </c>
      <c r="G54" s="5" t="inlineStr">
        <is>
          <t>—</t>
        </is>
      </c>
      <c r="H54" s="5" t="inlineStr">
        <is>
          <t>內功係數4</t>
        </is>
      </c>
    </row>
    <row r="55">
      <c r="A55" s="5" t="inlineStr"/>
      <c r="B55" s="5" t="inlineStr"/>
      <c r="C55" s="5" t="inlineStr"/>
      <c r="D55" s="5" t="inlineStr"/>
      <c r="E55" s="5" t="inlineStr"/>
      <c r="F55" s="5" t="inlineStr"/>
      <c r="G55" s="5" t="inlineStr"/>
      <c r="H55" s="5" t="inlineStr"/>
    </row>
    <row r="56">
      <c r="A56" s="5" t="inlineStr"/>
      <c r="B56" s="5" t="inlineStr"/>
      <c r="C56" s="5" t="inlineStr"/>
      <c r="D56" s="5" t="inlineStr"/>
      <c r="E56" s="5" t="inlineStr"/>
      <c r="F56" s="5" t="inlineStr"/>
      <c r="G56" s="5" t="inlineStr"/>
      <c r="H56" s="5" t="inlineStr"/>
    </row>
    <row r="57">
      <c r="A57" s="5" t="inlineStr"/>
      <c r="B57" s="5" t="inlineStr"/>
      <c r="C57" s="5" t="inlineStr"/>
      <c r="D57" s="5" t="inlineStr"/>
      <c r="E57" s="5" t="inlineStr"/>
      <c r="F57" s="5" t="inlineStr"/>
      <c r="G57" s="5" t="inlineStr"/>
      <c r="H57" s="5" t="inlineStr"/>
    </row>
    <row r="58">
      <c r="A58" s="5" t="inlineStr"/>
      <c r="B58" s="5" t="inlineStr"/>
      <c r="C58" s="5" t="inlineStr"/>
      <c r="D58" s="5" t="inlineStr"/>
      <c r="E58" s="5" t="inlineStr"/>
      <c r="F58" s="5" t="inlineStr"/>
      <c r="G58" s="5" t="inlineStr"/>
      <c r="H58" s="5" t="inlineStr"/>
    </row>
    <row r="61">
      <c r="A61" s="3" t="inlineStr">
        <is>
          <t>— 裝備 —</t>
        </is>
      </c>
      <c r="B61" s="11" t="n"/>
      <c r="C61" s="11" t="n"/>
      <c r="D61" s="11" t="n"/>
      <c r="E61" s="11" t="n"/>
      <c r="F61" s="11" t="n"/>
      <c r="G61" s="11" t="n"/>
      <c r="H61" s="10" t="n"/>
    </row>
    <row r="62">
      <c r="A62" s="7" t="inlineStr">
        <is>
          <t>武器</t>
        </is>
      </c>
      <c r="B62" s="7" t="inlineStr">
        <is>
          <t>傷害</t>
        </is>
      </c>
      <c r="C62" s="7" t="inlineStr">
        <is>
          <t>命中修正</t>
        </is>
      </c>
      <c r="D62" s="7" t="inlineStr">
        <is>
          <t>護甲</t>
        </is>
      </c>
      <c r="E62" s="7" t="inlineStr">
        <is>
          <t>外傷減免</t>
        </is>
      </c>
      <c r="F62" s="7" t="inlineStr">
        <is>
          <t>道具</t>
        </is>
      </c>
    </row>
    <row r="63">
      <c r="A63" s="5" t="inlineStr"/>
      <c r="B63" s="10" t="n"/>
      <c r="D63" s="5" t="inlineStr"/>
      <c r="E63" s="11" t="n"/>
      <c r="F63" s="10" t="n"/>
    </row>
    <row r="69">
      <c r="A69" s="4" t="inlineStr">
        <is>
          <t>俠義值</t>
        </is>
      </c>
      <c r="B69" s="5" t="inlineStr">
        <is>
          <t>50</t>
        </is>
      </c>
      <c r="D69" s="4" t="inlineStr">
        <is>
          <t>惡名值</t>
        </is>
      </c>
      <c r="E69" s="5" t="inlineStr">
        <is>
          <t>0</t>
        </is>
      </c>
    </row>
    <row r="71">
      <c r="A71" t="inlineStr">
        <is>
          <t>可拜師(難度（DC）18): 天劍訣+寒梅劍法。需劍意試煉。</t>
        </is>
      </c>
    </row>
    <row r="72">
      <c r="A72" t="inlineStr">
        <is>
          <t>拜師禮: 劍譜抄本(借閱)+出師禮: 承影劍(仿製)+推薦函(俠義≥40)</t>
        </is>
      </c>
    </row>
  </sheetData>
  <mergeCells count="29">
    <mergeCell ref="D13:F13"/>
    <mergeCell ref="D11:F11"/>
    <mergeCell ref="E26:H26"/>
    <mergeCell ref="B23:D23"/>
    <mergeCell ref="E23:F23"/>
    <mergeCell ref="A49:H49"/>
    <mergeCell ref="A1:H1"/>
    <mergeCell ref="A61:H61"/>
    <mergeCell ref="A16:B16"/>
    <mergeCell ref="B19:D19"/>
    <mergeCell ref="E20:F20"/>
    <mergeCell ref="A25:B25"/>
    <mergeCell ref="E19:F19"/>
    <mergeCell ref="D12:F12"/>
    <mergeCell ref="B6:D6"/>
    <mergeCell ref="D15:F15"/>
    <mergeCell ref="B20:D20"/>
    <mergeCell ref="A18:H18"/>
    <mergeCell ref="D14:F14"/>
    <mergeCell ref="A2:H2"/>
    <mergeCell ref="A8:H8"/>
    <mergeCell ref="D63:F63"/>
    <mergeCell ref="D10:F10"/>
    <mergeCell ref="A4:H4"/>
    <mergeCell ref="B22:D22"/>
    <mergeCell ref="A63:B63"/>
    <mergeCell ref="E22:F22"/>
    <mergeCell ref="B21:D21"/>
    <mergeCell ref="E21:F21"/>
  </mergeCells>
  <pageMargins left="0.75" right="0.75" top="1" bottom="1" header="0.5" footer="0.5"/>
  <pageSetup orientation="portrait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2026-06-18T03:25:40Z</dcterms:created>
  <dcterms:modified xsi:type="dcterms:W3CDTF">2026-07-18T20:03:42Z</dcterms:modified>
</cp:coreProperties>
</file>