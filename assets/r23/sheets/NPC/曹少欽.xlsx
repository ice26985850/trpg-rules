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2c3e50"/>
      <sz val="12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朝廷NPC · 跑團規則工作室</t>
        </is>
      </c>
      <c r="B2" s="11" t="n"/>
      <c r="C2" s="11" t="n"/>
      <c r="D2" s="11" t="n"/>
      <c r="E2" s="11" t="n"/>
      <c r="F2" s="11" t="n"/>
      <c r="G2" s="11" t="n"/>
      <c r="H2" s="12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角色名</t>
        </is>
      </c>
      <c r="B5" s="4" t="inlineStr">
        <is>
          <t>曹少欽</t>
        </is>
      </c>
      <c r="C5" s="12" t="n"/>
      <c r="D5" s="4" t="inlineStr">
        <is>
          <t>勢力</t>
        </is>
      </c>
      <c r="E5" s="5" t="inlineStr">
        <is>
          <t>西廠</t>
        </is>
      </c>
      <c r="F5" s="4" t="inlineStr">
        <is>
          <t>境界</t>
        </is>
      </c>
      <c r="G5" s="5" t="inlineStr">
        <is>
          <t>登峯造極</t>
        </is>
      </c>
      <c r="H5" s="2" t="inlineStr">
        <is>
          <t>內功: 5(絕世)</t>
        </is>
      </c>
    </row>
    <row r="6">
      <c r="A6" s="4" t="inlineStr">
        <is>
          <t>概念</t>
        </is>
      </c>
      <c r="B6" s="6" t="inlineStr">
        <is>
          <t>西廠掌印太監。修習吸星大法殘篇與玄陰指，朝廷暗面的掌控者。</t>
        </is>
      </c>
      <c r="C6" s="11" t="n"/>
      <c r="D6" s="11" t="n"/>
      <c r="E6" s="11" t="n"/>
      <c r="F6" s="11" t="n"/>
      <c r="G6" s="11" t="n"/>
      <c r="H6" s="12" t="n"/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5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身法 DEX</t>
        </is>
      </c>
      <c r="B11" s="5" t="inlineStr">
        <is>
          <t>8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根骨 CON</t>
        </is>
      </c>
      <c r="B12" s="5" t="inlineStr">
        <is>
          <t>7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悟性 INT</t>
        </is>
      </c>
      <c r="B13" s="5" t="inlineStr">
        <is>
          <t>10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定力 WIS</t>
        </is>
      </c>
      <c r="B14" s="5" t="inlineStr">
        <is>
          <t>9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魅力 CHA</t>
        </is>
      </c>
      <c r="B15" s="5" t="inlineStr">
        <is>
          <t>6</t>
        </is>
      </c>
      <c r="C15" s="8">
        <f>B15-4</f>
        <v/>
      </c>
      <c r="D15" s="2" t="inlineStr"/>
      <c r="E15" s="11" t="n"/>
      <c r="F15" s="12" t="n"/>
    </row>
    <row r="17">
      <c r="A17" s="3" t="inlineStr">
        <is>
          <t>— 衍生值 —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HP</t>
        </is>
      </c>
      <c r="B18" s="2" t="inlineStr">
        <is>
          <t>根骨x5+境界</t>
        </is>
      </c>
      <c r="C18" s="11" t="n"/>
      <c r="D18" s="12" t="n"/>
      <c r="E18" s="9">
        <f>B12*5+IF(F5="登堂入室",5,IF(F5="融會貫通",10,IF(F5="爐火純青",15,IF(F5="登峯造極",20,IF(F5="返璞歸真",25,0)))))</f>
        <v/>
      </c>
      <c r="F18" s="12" t="n"/>
    </row>
    <row r="19">
      <c r="A19" s="4" t="inlineStr">
        <is>
          <t>真氣</t>
        </is>
      </c>
      <c r="B19" s="2" t="inlineStr">
        <is>
          <t>根骨x內功係數+境界</t>
        </is>
      </c>
      <c r="C19" s="11" t="n"/>
      <c r="D19" s="12" t="n"/>
      <c r="E19" s="9">
        <f>B12*VALUE(LEFT(H5,1))+IF(F5="登堂入室",3,IF(F5="融會貫通",6,IF(F5="爐火純青",10,IF(F5="登峯造極",15,IF(F5="返璞歸真",20,0)))))</f>
        <v/>
      </c>
      <c r="F19" s="12" t="n"/>
    </row>
    <row r="20">
      <c r="A20" s="4" t="inlineStr">
        <is>
          <t>先手</t>
        </is>
      </c>
      <c r="B20" s="2" t="inlineStr">
        <is>
          <t>身法+定力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閃避</t>
        </is>
      </c>
      <c r="B21" s="2" t="inlineStr">
        <is>
          <t>身法調整值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防禦</t>
        </is>
      </c>
      <c r="B22" s="2" t="inlineStr">
        <is>
          <t>根骨調整值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— 技能 —</t>
        </is>
      </c>
      <c r="B24" s="12" t="n"/>
    </row>
    <row r="25">
      <c r="A25" s="4" t="inlineStr">
        <is>
          <t>識武</t>
        </is>
      </c>
      <c r="B25" s="5" t="inlineStr">
        <is>
          <t>6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4</t>
        </is>
      </c>
    </row>
    <row r="31">
      <c r="A31" s="4" t="inlineStr">
        <is>
          <t>追蹤</t>
        </is>
      </c>
      <c r="B31" s="5" t="inlineStr">
        <is>
          <t>0</t>
        </is>
      </c>
    </row>
    <row r="32">
      <c r="A32" s="4" t="inlineStr">
        <is>
          <t>察言觀色</t>
        </is>
      </c>
      <c r="B32" s="5" t="inlineStr">
        <is>
          <t>6</t>
        </is>
      </c>
    </row>
    <row r="33">
      <c r="A33" s="4" t="inlineStr">
        <is>
          <t>易容</t>
        </is>
      </c>
      <c r="B33" s="5" t="inlineStr">
        <is>
          <t>3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0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0</t>
        </is>
      </c>
    </row>
    <row r="43">
      <c r="A43" s="4" t="inlineStr">
        <is>
          <t>劍法</t>
        </is>
      </c>
      <c r="B43" s="5" t="inlineStr">
        <is>
          <t>0</t>
        </is>
      </c>
    </row>
    <row r="45">
      <c r="A45" s="3" t="inlineStr">
        <is>
          <t>— 武功 —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吸星大法·殘篇</t>
        </is>
      </c>
      <c r="B47" s="5" t="inlineStr">
        <is>
          <t>絕世內功</t>
        </is>
      </c>
      <c r="C47" s="5" t="inlineStr">
        <is>
          <t>--</t>
        </is>
      </c>
      <c r="D47" s="5" t="inlineStr">
        <is>
          <t>--</t>
        </is>
      </c>
      <c r="E47" s="5" t="inlineStr">
        <is>
          <t>吸星</t>
        </is>
      </c>
      <c r="F47" s="5" t="inlineStr">
        <is>
          <t>--</t>
        </is>
      </c>
      <c r="G47" s="5" t="inlineStr">
        <is>
          <t>--</t>
        </is>
      </c>
      <c r="H47" s="5" t="inlineStr">
        <is>
          <t>命中吸1d4真氣</t>
        </is>
      </c>
    </row>
    <row r="48">
      <c r="A48" s="5" t="inlineStr">
        <is>
          <t>玄陰指</t>
        </is>
      </c>
      <c r="B48" s="5" t="inlineStr">
        <is>
          <t>上乘·遠攻</t>
        </is>
      </c>
      <c r="C48" s="5" t="inlineStr">
        <is>
          <t>--</t>
        </is>
      </c>
      <c r="D48" s="5" t="inlineStr">
        <is>
          <t>遠</t>
        </is>
      </c>
      <c r="E48" s="5" t="inlineStr">
        <is>
          <t>玄陰</t>
        </is>
      </c>
      <c r="F48" s="5" t="inlineStr">
        <is>
          <t>4</t>
        </is>
      </c>
      <c r="G48" s="5" t="inlineStr">
        <is>
          <t>+6</t>
        </is>
      </c>
      <c r="H48" s="5" t="inlineStr">
        <is>
          <t>3d6+悟 封脈1回合</t>
        </is>
      </c>
    </row>
    <row r="49">
      <c r="A49" s="5" t="inlineStr">
        <is>
          <t>幻陰步</t>
        </is>
      </c>
      <c r="B49" s="5" t="inlineStr">
        <is>
          <t>上乘輕功</t>
        </is>
      </c>
      <c r="C49" s="5" t="inlineStr">
        <is>
          <t>--</t>
        </is>
      </c>
      <c r="D49" s="5" t="inlineStr">
        <is>
          <t>快</t>
        </is>
      </c>
      <c r="E49" s="5" t="inlineStr">
        <is>
          <t>--</t>
        </is>
      </c>
      <c r="F49" s="5" t="inlineStr">
        <is>
          <t>4</t>
        </is>
      </c>
      <c r="G49" s="5" t="inlineStr">
        <is>
          <t>--</t>
        </is>
      </c>
      <c r="H49" s="5" t="inlineStr">
        <is>
          <t>閃避+4</t>
        </is>
      </c>
    </row>
    <row r="56">
      <c r="A56" s="3" t="inlineStr">
        <is>
          <t>— 裝備 —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10" t="inlineStr">
        <is>
          <t>玄陰指（空手）</t>
        </is>
      </c>
      <c r="B58" s="10" t="inlineStr">
        <is>
          <t>蟒袍</t>
        </is>
      </c>
      <c r="C58" s="6" t="inlineStr">
        <is>
          <t>終極NPC。防禦DC20。弱點:膂力低HP中等。HP 55, 真氣 55</t>
        </is>
      </c>
      <c r="D58" s="11" t="n"/>
      <c r="E58" s="11" t="n"/>
      <c r="F58" s="12" t="n"/>
    </row>
    <row r="61">
      <c r="A61" s="4" t="inlineStr">
        <is>
          <t>俠義值</t>
        </is>
      </c>
      <c r="B61" s="5" t="inlineStr">
        <is>
          <t>-20</t>
        </is>
      </c>
      <c r="D61" s="4" t="inlineStr">
        <is>
          <t>惡名值</t>
        </is>
      </c>
      <c r="E61" s="5" t="inlineStr">
        <is>
          <t>55</t>
        </is>
      </c>
    </row>
  </sheetData>
  <mergeCells count="27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5:C5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2026-07-18T20:03:42Z</dcterms:modified>
</cp:coreProperties>
</file>