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虎玄" sheetId="1" state="visible" r:id="rId1"/>
    <sheet name="月影" sheetId="2" state="visible" r:id="rId2"/>
    <sheet name="犬山忠義" sheetId="3" state="visible" r:id="rId3"/>
    <sheet name="鐵心" sheetId="4" state="visible" r:id="rId4"/>
    <sheet name="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  <sz val="12"/>
    </font>
    <font>
      <name val="Microsoft JhengHei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虎玄 — 虎族·虎威流 等級 5</t>
        </is>
      </c>
    </row>
    <row r="3">
      <c r="A3" s="2" t="inlineStr">
        <is>
          <t>角色名稱</t>
        </is>
      </c>
      <c r="B3" s="2" t="inlineStr">
        <is>
          <t>虎玄</t>
        </is>
      </c>
      <c r="C3" s="2" t="inlineStr">
        <is>
          <t>玩家</t>
        </is>
      </c>
      <c r="D3" s="2" t="inlineStr">
        <is>
          <t>範例</t>
        </is>
      </c>
    </row>
    <row r="4">
      <c r="A4" s="2" t="inlineStr">
        <is>
          <t>等級</t>
        </is>
      </c>
      <c r="B4" s="2" t="n">
        <v>5</v>
      </c>
      <c r="C4" s="2" t="inlineStr">
        <is>
          <t>修行值</t>
        </is>
      </c>
      <c r="D4" s="2" t="n">
        <v>3000</v>
      </c>
    </row>
    <row r="5">
      <c r="A5" s="2" t="inlineStr">
        <is>
          <t>獸族</t>
        </is>
      </c>
      <c r="B5" s="2" t="inlineStr">
        <is>
          <t>虎族</t>
        </is>
      </c>
      <c r="C5" s="2" t="inlineStr">
        <is>
          <t>流派</t>
        </is>
      </c>
      <c r="D5" s="2" t="inlineStr">
        <is>
          <t>虎威流</t>
        </is>
      </c>
    </row>
    <row r="6">
      <c r="A6" s="2" t="inlineStr">
        <is>
          <t>背景</t>
        </is>
      </c>
      <c r="B6" s="2" t="inlineStr">
        <is>
          <t>武士世家</t>
        </is>
      </c>
      <c r="C6" s="2" t="inlineStr">
        <is>
          <t>流派修行值</t>
        </is>
      </c>
      <c r="D6" s="2" t="n">
        <v>35</v>
      </c>
    </row>
    <row r="7">
      <c r="A7" s="2" t="inlineStr">
        <is>
          <t>忠誠對象</t>
        </is>
      </c>
      <c r="B7" s="2" t="inlineStr">
        <is>
          <t>流派（宗師）</t>
        </is>
      </c>
      <c r="C7" s="2" t="inlineStr">
        <is>
          <t>義理值</t>
        </is>
      </c>
      <c r="D7" s="2" t="n">
        <v>3</v>
      </c>
    </row>
    <row r="8">
      <c r="A8" s="2" t="inlineStr">
        <is>
          <t>羈絆對象</t>
        </is>
      </c>
      <c r="B8" s="2" t="inlineStr">
        <is>
          <t>犬山忠義</t>
        </is>
      </c>
      <c r="C8" s="2" t="inlineStr">
        <is>
          <t>羈絆類型</t>
        </is>
      </c>
      <c r="D8" s="2" t="inlineStr">
        <is>
          <t>生死之交</t>
        </is>
      </c>
    </row>
    <row r="9">
      <c r="A9" s="2" t="inlineStr">
        <is>
          <t>刀的來源</t>
        </is>
      </c>
      <c r="B9" s="2" t="inlineStr">
        <is>
          <t>師傅傳承</t>
        </is>
      </c>
      <c r="C9" s="2" t="inlineStr">
        <is>
          <t>刀名</t>
        </is>
      </c>
      <c r="D9" s="2" t="inlineStr">
        <is>
          <t>虎爪（業物）</t>
        </is>
      </c>
    </row>
    <row r="10">
      <c r="A10" s="2" t="n"/>
      <c r="B10" s="2" t="n"/>
      <c r="C10" s="2" t="n"/>
      <c r="D10" s="2" t="n"/>
    </row>
    <row r="11">
      <c r="A11" s="2" t="inlineStr">
        <is>
          <t>五大屬性</t>
        </is>
      </c>
      <c r="B11" s="2" t="n"/>
      <c r="C11" s="2" t="n"/>
      <c r="D11" s="2" t="n"/>
    </row>
    <row r="12">
      <c r="A12" s="2" t="inlineStr">
        <is>
          <t>劍術</t>
        </is>
      </c>
      <c r="B12" s="2" t="n">
        <v>8</v>
      </c>
      <c r="C12" s="2" t="n"/>
      <c r="D12" s="2" t="n"/>
    </row>
    <row r="13">
      <c r="A13" s="2" t="inlineStr">
        <is>
          <t>體魄</t>
        </is>
      </c>
      <c r="B13" s="2" t="n">
        <v>5</v>
      </c>
      <c r="C13" s="2" t="n"/>
      <c r="D13" s="2" t="n"/>
    </row>
    <row r="14">
      <c r="A14" s="2" t="inlineStr">
        <is>
          <t>妖力</t>
        </is>
      </c>
      <c r="B14" s="2" t="n">
        <v>5</v>
      </c>
      <c r="C14" s="2" t="n"/>
      <c r="D14" s="2" t="n"/>
    </row>
    <row r="15">
      <c r="A15" s="2" t="inlineStr">
        <is>
          <t>機敏</t>
        </is>
      </c>
      <c r="B15" s="2" t="n">
        <v>5</v>
      </c>
      <c r="C15" s="2" t="n"/>
      <c r="D15" s="2" t="n"/>
    </row>
    <row r="16">
      <c r="A16" s="2" t="inlineStr">
        <is>
          <t>魂魄</t>
        </is>
      </c>
      <c r="B16" s="2" t="n">
        <v>4</v>
      </c>
      <c r="C16" s="2" t="n"/>
      <c r="D16" s="2" t="n"/>
    </row>
    <row r="17">
      <c r="A17" s="2" t="inlineStr">
        <is>
          <t>衍生屬性</t>
        </is>
      </c>
      <c r="B17" s="2" t="n"/>
      <c r="C17" s="2" t="n"/>
      <c r="D17" s="2" t="n"/>
    </row>
    <row r="18">
      <c r="A18" s="2" t="inlineStr">
        <is>
          <t>生命值（HP）</t>
        </is>
      </c>
      <c r="B18" s="2">
        <f> 40</f>
        <v/>
      </c>
      <c r="C18" s="2" t="n"/>
      <c r="D18" s="2" t="n"/>
    </row>
    <row r="19">
      <c r="A19" s="2" t="inlineStr">
        <is>
          <t>防禦值（DV）</t>
        </is>
      </c>
      <c r="B19" s="2">
        <f> 15</f>
        <v/>
      </c>
      <c r="C19" s="2" t="n"/>
      <c r="D19" s="2" t="n"/>
    </row>
    <row r="20">
      <c r="A20" s="2" t="inlineStr">
        <is>
          <t>移動力</t>
        </is>
      </c>
      <c r="B20" s="2">
        <f> 10</f>
        <v/>
      </c>
      <c r="C20" s="2" t="n"/>
      <c r="D20" s="2" t="n"/>
    </row>
    <row r="21">
      <c r="A21" s="2" t="inlineStr">
        <is>
          <t>妖氣池上限</t>
        </is>
      </c>
      <c r="B21" s="2">
        <f> 15</f>
        <v/>
      </c>
      <c r="C21" s="2" t="n"/>
      <c r="D21" s="2" t="n"/>
    </row>
    <row r="22">
      <c r="A22" s="2" t="inlineStr">
        <is>
          <t>妖氣值（當前）</t>
        </is>
      </c>
      <c r="B22" s="2" t="inlineStr">
        <is>
          <t>0</t>
        </is>
      </c>
      <c r="C22" s="2" t="n"/>
      <c r="D22" s="2" t="n"/>
    </row>
    <row r="23">
      <c r="A23" s="2" t="inlineStr">
        <is>
          <t>先攻</t>
        </is>
      </c>
      <c r="B23" s="2">
        <f> 5 +1d6</f>
        <v/>
      </c>
      <c r="C23" s="2" t="n"/>
      <c r="D23" s="2" t="n"/>
    </row>
    <row r="24">
      <c r="A24" s="2" t="inlineStr">
        <is>
          <t>刀緣值</t>
        </is>
      </c>
      <c r="B24" s="2">
        <f> 20</f>
        <v/>
      </c>
      <c r="C24" s="2" t="n"/>
      <c r="D24" s="2" t="n"/>
    </row>
    <row r="25">
      <c r="A25" s="2" t="inlineStr">
        <is>
          <t>劍氣值</t>
        </is>
      </c>
      <c r="B25" s="2">
        <f> 15</f>
        <v/>
      </c>
      <c r="C25" s="2" t="n"/>
      <c r="D25" s="2" t="n"/>
    </row>
    <row r="26">
      <c r="A26" s="2" t="n"/>
      <c r="B26" s="2" t="n"/>
      <c r="C26" s="2" t="n"/>
      <c r="D26" s="2" t="n"/>
    </row>
  </sheetData>
  <mergeCells count="3">
    <mergeCell ref="A1:D1"/>
    <mergeCell ref="A17:D17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月影 — 兔族·月影流 等級 5</t>
        </is>
      </c>
    </row>
    <row r="3">
      <c r="A3" s="2" t="inlineStr">
        <is>
          <t>角色名稱</t>
        </is>
      </c>
      <c r="B3" s="2" t="inlineStr">
        <is>
          <t>月影</t>
        </is>
      </c>
      <c r="C3" s="2" t="inlineStr">
        <is>
          <t>玩家</t>
        </is>
      </c>
      <c r="D3" s="2" t="inlineStr">
        <is>
          <t>範例</t>
        </is>
      </c>
    </row>
    <row r="4">
      <c r="A4" s="2" t="inlineStr">
        <is>
          <t>等級</t>
        </is>
      </c>
      <c r="B4" s="2" t="n">
        <v>5</v>
      </c>
      <c r="C4" s="2" t="inlineStr">
        <is>
          <t>修行值</t>
        </is>
      </c>
      <c r="D4" s="2" t="n">
        <v>3000</v>
      </c>
    </row>
    <row r="5">
      <c r="A5" s="2" t="inlineStr">
        <is>
          <t>獸族</t>
        </is>
      </c>
      <c r="B5" s="2" t="inlineStr">
        <is>
          <t>兔族</t>
        </is>
      </c>
      <c r="C5" s="2" t="inlineStr">
        <is>
          <t>流派</t>
        </is>
      </c>
      <c r="D5" s="2" t="inlineStr">
        <is>
          <t>月影流</t>
        </is>
      </c>
    </row>
    <row r="6">
      <c r="A6" s="2" t="inlineStr">
        <is>
          <t>背景</t>
        </is>
      </c>
      <c r="B6" s="2" t="inlineStr">
        <is>
          <t>神社之子</t>
        </is>
      </c>
      <c r="C6" s="2" t="inlineStr">
        <is>
          <t>流派修行值</t>
        </is>
      </c>
      <c r="D6" s="2" t="n">
        <v>35</v>
      </c>
    </row>
    <row r="7">
      <c r="A7" s="2" t="inlineStr">
        <is>
          <t>忠誠對象</t>
        </is>
      </c>
      <c r="B7" s="2" t="inlineStr">
        <is>
          <t>自己（信念）</t>
        </is>
      </c>
      <c r="C7" s="2" t="inlineStr">
        <is>
          <t>義理值</t>
        </is>
      </c>
      <c r="D7" s="2" t="n">
        <v>3</v>
      </c>
    </row>
    <row r="8">
      <c r="A8" s="2" t="inlineStr">
        <is>
          <t>羈絆對象</t>
        </is>
      </c>
      <c r="B8" s="2" t="inlineStr">
        <is>
          <t>迅</t>
        </is>
      </c>
      <c r="C8" s="2" t="inlineStr">
        <is>
          <t>羈絆類型</t>
        </is>
      </c>
      <c r="D8" s="2" t="inlineStr">
        <is>
          <t>師徒之情</t>
        </is>
      </c>
    </row>
    <row r="9">
      <c r="A9" s="2" t="inlineStr">
        <is>
          <t>刀的來源</t>
        </is>
      </c>
      <c r="B9" s="2" t="inlineStr">
        <is>
          <t>流派授予</t>
        </is>
      </c>
      <c r="C9" s="2" t="inlineStr">
        <is>
          <t>刀名</t>
        </is>
      </c>
      <c r="D9" s="2" t="inlineStr">
        <is>
          <t>月の雫（業物）</t>
        </is>
      </c>
    </row>
    <row r="10">
      <c r="A10" s="2" t="n"/>
      <c r="B10" s="2" t="n"/>
      <c r="C10" s="2" t="n"/>
      <c r="D10" s="2" t="n"/>
    </row>
    <row r="11">
      <c r="A11" s="2" t="inlineStr">
        <is>
          <t>五大屬性</t>
        </is>
      </c>
      <c r="B11" s="2" t="n"/>
      <c r="C11" s="2" t="n"/>
      <c r="D11" s="2" t="n"/>
    </row>
    <row r="12">
      <c r="A12" s="2" t="inlineStr">
        <is>
          <t>劍術</t>
        </is>
      </c>
      <c r="B12" s="2" t="n">
        <v>5</v>
      </c>
      <c r="C12" s="2" t="n"/>
      <c r="D12" s="2" t="n"/>
    </row>
    <row r="13">
      <c r="A13" s="2" t="inlineStr">
        <is>
          <t>體魄</t>
        </is>
      </c>
      <c r="B13" s="2" t="n">
        <v>3</v>
      </c>
      <c r="C13" s="2" t="n"/>
      <c r="D13" s="2" t="n"/>
    </row>
    <row r="14">
      <c r="A14" s="2" t="inlineStr">
        <is>
          <t>妖力</t>
        </is>
      </c>
      <c r="B14" s="2" t="n">
        <v>5</v>
      </c>
      <c r="C14" s="2" t="n"/>
      <c r="D14" s="2" t="n"/>
    </row>
    <row r="15">
      <c r="A15" s="2" t="inlineStr">
        <is>
          <t>機敏</t>
        </is>
      </c>
      <c r="B15" s="2" t="n">
        <v>8</v>
      </c>
      <c r="C15" s="2" t="n"/>
      <c r="D15" s="2" t="n"/>
    </row>
    <row r="16">
      <c r="A16" s="2" t="inlineStr">
        <is>
          <t>魂魄</t>
        </is>
      </c>
      <c r="B16" s="2" t="n">
        <v>6</v>
      </c>
      <c r="C16" s="2" t="n"/>
      <c r="D16" s="2" t="n"/>
    </row>
    <row r="17">
      <c r="A17" s="2" t="inlineStr">
        <is>
          <t>衍生屬性</t>
        </is>
      </c>
      <c r="B17" s="2" t="n"/>
      <c r="C17" s="2" t="n"/>
      <c r="D17" s="2" t="n"/>
    </row>
    <row r="18">
      <c r="A18" s="2" t="inlineStr">
        <is>
          <t>生命值（HP）</t>
        </is>
      </c>
      <c r="B18" s="2">
        <f> 30</f>
        <v/>
      </c>
      <c r="C18" s="2" t="n"/>
      <c r="D18" s="2" t="n"/>
    </row>
    <row r="19">
      <c r="A19" s="2" t="inlineStr">
        <is>
          <t>防禦值（DV）</t>
        </is>
      </c>
      <c r="B19" s="2">
        <f> 18</f>
        <v/>
      </c>
      <c r="C19" s="2" t="n"/>
      <c r="D19" s="2" t="n"/>
    </row>
    <row r="20">
      <c r="A20" s="2" t="inlineStr">
        <is>
          <t>移動力</t>
        </is>
      </c>
      <c r="B20" s="2">
        <f> 13</f>
        <v/>
      </c>
      <c r="C20" s="2" t="n"/>
      <c r="D20" s="2" t="n"/>
    </row>
    <row r="21">
      <c r="A21" s="2" t="inlineStr">
        <is>
          <t>妖氣池上限</t>
        </is>
      </c>
      <c r="B21" s="2">
        <f> 15</f>
        <v/>
      </c>
      <c r="C21" s="2" t="n"/>
      <c r="D21" s="2" t="n"/>
    </row>
    <row r="22">
      <c r="A22" s="2" t="inlineStr">
        <is>
          <t>妖氣值（當前）</t>
        </is>
      </c>
      <c r="B22" s="2" t="inlineStr">
        <is>
          <t>0</t>
        </is>
      </c>
      <c r="C22" s="2" t="n"/>
      <c r="D22" s="2" t="n"/>
    </row>
    <row r="23">
      <c r="A23" s="2" t="inlineStr">
        <is>
          <t>先攻</t>
        </is>
      </c>
      <c r="B23" s="2">
        <f> 8 +1d6</f>
        <v/>
      </c>
      <c r="C23" s="2" t="n"/>
      <c r="D23" s="2" t="n"/>
    </row>
    <row r="24">
      <c r="A24" s="2" t="inlineStr">
        <is>
          <t>刀緣值</t>
        </is>
      </c>
      <c r="B24" s="2">
        <f> 30</f>
        <v/>
      </c>
      <c r="C24" s="2" t="n"/>
      <c r="D24" s="2" t="n"/>
    </row>
    <row r="25">
      <c r="A25" s="2" t="inlineStr">
        <is>
          <t>劍氣值</t>
        </is>
      </c>
      <c r="B25" s="2">
        <f> 14</f>
        <v/>
      </c>
      <c r="C25" s="2" t="n"/>
      <c r="D25" s="2" t="n"/>
    </row>
    <row r="26">
      <c r="A26" s="2" t="n"/>
      <c r="B26" s="2" t="n"/>
      <c r="C26" s="2" t="n"/>
      <c r="D26" s="2" t="n"/>
    </row>
  </sheetData>
  <mergeCells count="3">
    <mergeCell ref="A1:D1"/>
    <mergeCell ref="A17:D17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犬山忠義 — 犬族·忠義流 等級 5</t>
        </is>
      </c>
    </row>
    <row r="3">
      <c r="A3" s="2" t="inlineStr">
        <is>
          <t>角色名稱</t>
        </is>
      </c>
      <c r="B3" s="2" t="inlineStr">
        <is>
          <t>犬山忠義</t>
        </is>
      </c>
      <c r="C3" s="2" t="inlineStr">
        <is>
          <t>玩家</t>
        </is>
      </c>
      <c r="D3" s="2" t="inlineStr">
        <is>
          <t>範例</t>
        </is>
      </c>
    </row>
    <row r="4">
      <c r="A4" s="2" t="inlineStr">
        <is>
          <t>等級</t>
        </is>
      </c>
      <c r="B4" s="2" t="n">
        <v>5</v>
      </c>
      <c r="C4" s="2" t="inlineStr">
        <is>
          <t>修行值</t>
        </is>
      </c>
      <c r="D4" s="2" t="n">
        <v>3000</v>
      </c>
    </row>
    <row r="5">
      <c r="A5" s="2" t="inlineStr">
        <is>
          <t>獸族</t>
        </is>
      </c>
      <c r="B5" s="2" t="inlineStr">
        <is>
          <t>犬族</t>
        </is>
      </c>
      <c r="C5" s="2" t="inlineStr">
        <is>
          <t>流派</t>
        </is>
      </c>
      <c r="D5" s="2" t="inlineStr">
        <is>
          <t>忠義流</t>
        </is>
      </c>
    </row>
    <row r="6">
      <c r="A6" s="2" t="inlineStr">
        <is>
          <t>背景</t>
        </is>
      </c>
      <c r="B6" s="2" t="inlineStr">
        <is>
          <t>武士世家</t>
        </is>
      </c>
      <c r="C6" s="2" t="inlineStr">
        <is>
          <t>流派修行值</t>
        </is>
      </c>
      <c r="D6" s="2" t="n">
        <v>35</v>
      </c>
    </row>
    <row r="7">
      <c r="A7" s="2" t="inlineStr">
        <is>
          <t>忠誠對象</t>
        </is>
      </c>
      <c r="B7" s="2" t="inlineStr">
        <is>
          <t>同伴</t>
        </is>
      </c>
      <c r="C7" s="2" t="inlineStr">
        <is>
          <t>義理值</t>
        </is>
      </c>
      <c r="D7" s="2" t="n">
        <v>3</v>
      </c>
    </row>
    <row r="8">
      <c r="A8" s="2" t="inlineStr">
        <is>
          <t>羈絆對象</t>
        </is>
      </c>
      <c r="B8" s="2" t="inlineStr">
        <is>
          <t>虎玄</t>
        </is>
      </c>
      <c r="C8" s="2" t="inlineStr">
        <is>
          <t>羈絆類型</t>
        </is>
      </c>
      <c r="D8" s="2" t="inlineStr">
        <is>
          <t>生死之交</t>
        </is>
      </c>
    </row>
    <row r="9">
      <c r="A9" s="2" t="inlineStr">
        <is>
          <t>刀的來源</t>
        </is>
      </c>
      <c r="B9" s="2" t="inlineStr">
        <is>
          <t>家傳之寶</t>
        </is>
      </c>
      <c r="C9" s="2" t="inlineStr">
        <is>
          <t>刀名</t>
        </is>
      </c>
      <c r="D9" s="2" t="inlineStr">
        <is>
          <t>義（家傳業物）</t>
        </is>
      </c>
    </row>
    <row r="10">
      <c r="A10" s="2" t="n"/>
      <c r="B10" s="2" t="n"/>
      <c r="C10" s="2" t="n"/>
      <c r="D10" s="2" t="n"/>
    </row>
    <row r="11">
      <c r="A11" s="2" t="inlineStr">
        <is>
          <t>五大屬性</t>
        </is>
      </c>
      <c r="B11" s="2" t="n"/>
      <c r="C11" s="2" t="n"/>
      <c r="D11" s="2" t="n"/>
    </row>
    <row r="12">
      <c r="A12" s="2" t="inlineStr">
        <is>
          <t>劍術</t>
        </is>
      </c>
      <c r="B12" s="2" t="n">
        <v>6</v>
      </c>
      <c r="C12" s="2" t="n"/>
      <c r="D12" s="2" t="n"/>
    </row>
    <row r="13">
      <c r="A13" s="2" t="inlineStr">
        <is>
          <t>體魄</t>
        </is>
      </c>
      <c r="B13" s="2" t="n">
        <v>6</v>
      </c>
      <c r="C13" s="2" t="n"/>
      <c r="D13" s="2" t="n"/>
    </row>
    <row r="14">
      <c r="A14" s="2" t="inlineStr">
        <is>
          <t>妖力</t>
        </is>
      </c>
      <c r="B14" s="2" t="n">
        <v>4</v>
      </c>
      <c r="C14" s="2" t="n"/>
      <c r="D14" s="2" t="n"/>
    </row>
    <row r="15">
      <c r="A15" s="2" t="inlineStr">
        <is>
          <t>機敏</t>
        </is>
      </c>
      <c r="B15" s="2" t="n">
        <v>5</v>
      </c>
      <c r="C15" s="2" t="n"/>
      <c r="D15" s="2" t="n"/>
    </row>
    <row r="16">
      <c r="A16" s="2" t="inlineStr">
        <is>
          <t>魂魄</t>
        </is>
      </c>
      <c r="B16" s="2" t="n">
        <v>6</v>
      </c>
      <c r="C16" s="2" t="n"/>
      <c r="D16" s="2" t="n"/>
    </row>
    <row r="17">
      <c r="A17" s="2" t="inlineStr">
        <is>
          <t>衍生屬性</t>
        </is>
      </c>
      <c r="B17" s="2" t="n"/>
      <c r="C17" s="2" t="n"/>
      <c r="D17" s="2" t="n"/>
    </row>
    <row r="18">
      <c r="A18" s="2" t="inlineStr">
        <is>
          <t>生命值（HP）</t>
        </is>
      </c>
      <c r="B18" s="2">
        <f> 45</f>
        <v/>
      </c>
      <c r="C18" s="2" t="n"/>
      <c r="D18" s="2" t="n"/>
    </row>
    <row r="19">
      <c r="A19" s="2" t="inlineStr">
        <is>
          <t>防禦值（DV）</t>
        </is>
      </c>
      <c r="B19" s="2">
        <f> 15</f>
        <v/>
      </c>
      <c r="C19" s="2" t="n"/>
      <c r="D19" s="2" t="n"/>
    </row>
    <row r="20">
      <c r="A20" s="2" t="inlineStr">
        <is>
          <t>移動力</t>
        </is>
      </c>
      <c r="B20" s="2">
        <f> 10</f>
        <v/>
      </c>
      <c r="C20" s="2" t="n"/>
      <c r="D20" s="2" t="n"/>
    </row>
    <row r="21">
      <c r="A21" s="2" t="inlineStr">
        <is>
          <t>妖氣池上限</t>
        </is>
      </c>
      <c r="B21" s="2">
        <f> 13</f>
        <v/>
      </c>
      <c r="C21" s="2" t="n"/>
      <c r="D21" s="2" t="n"/>
    </row>
    <row r="22">
      <c r="A22" s="2" t="inlineStr">
        <is>
          <t>妖氣值（當前）</t>
        </is>
      </c>
      <c r="B22" s="2" t="inlineStr">
        <is>
          <t>0</t>
        </is>
      </c>
      <c r="C22" s="2" t="n"/>
      <c r="D22" s="2" t="n"/>
    </row>
    <row r="23">
      <c r="A23" s="2" t="inlineStr">
        <is>
          <t>先攻</t>
        </is>
      </c>
      <c r="B23" s="2">
        <f> 5 +1d6</f>
        <v/>
      </c>
      <c r="C23" s="2" t="n"/>
      <c r="D23" s="2" t="n"/>
    </row>
    <row r="24">
      <c r="A24" s="2" t="inlineStr">
        <is>
          <t>刀緣值</t>
        </is>
      </c>
      <c r="B24" s="2">
        <f> 30</f>
        <v/>
      </c>
      <c r="C24" s="2" t="n"/>
      <c r="D24" s="2" t="n"/>
    </row>
    <row r="25">
      <c r="A25" s="2" t="inlineStr">
        <is>
          <t>劍氣值</t>
        </is>
      </c>
      <c r="B25" s="2">
        <f> 15</f>
        <v/>
      </c>
      <c r="C25" s="2" t="n"/>
      <c r="D25" s="2" t="n"/>
    </row>
    <row r="26">
      <c r="A26" s="2" t="n"/>
      <c r="B26" s="2" t="n"/>
      <c r="C26" s="2" t="n"/>
      <c r="D26" s="2" t="n"/>
    </row>
  </sheetData>
  <mergeCells count="3">
    <mergeCell ref="A1:D1"/>
    <mergeCell ref="A17:D17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鐵心 — 牛族·不動流 等級 5</t>
        </is>
      </c>
    </row>
    <row r="3">
      <c r="A3" s="2" t="inlineStr">
        <is>
          <t>角色名稱</t>
        </is>
      </c>
      <c r="B3" s="2" t="inlineStr">
        <is>
          <t>鐵心</t>
        </is>
      </c>
      <c r="C3" s="2" t="inlineStr">
        <is>
          <t>玩家</t>
        </is>
      </c>
      <c r="D3" s="2" t="inlineStr">
        <is>
          <t>範例</t>
        </is>
      </c>
    </row>
    <row r="4">
      <c r="A4" s="2" t="inlineStr">
        <is>
          <t>等級</t>
        </is>
      </c>
      <c r="B4" s="2" t="n">
        <v>5</v>
      </c>
      <c r="C4" s="2" t="inlineStr">
        <is>
          <t>修行值</t>
        </is>
      </c>
      <c r="D4" s="2" t="n">
        <v>3000</v>
      </c>
    </row>
    <row r="5">
      <c r="A5" s="2" t="inlineStr">
        <is>
          <t>獸族</t>
        </is>
      </c>
      <c r="B5" s="2" t="inlineStr">
        <is>
          <t>牛族</t>
        </is>
      </c>
      <c r="C5" s="2" t="inlineStr">
        <is>
          <t>流派</t>
        </is>
      </c>
      <c r="D5" s="2" t="inlineStr">
        <is>
          <t>不動流</t>
        </is>
      </c>
    </row>
    <row r="6">
      <c r="A6" s="2" t="inlineStr">
        <is>
          <t>背景</t>
        </is>
      </c>
      <c r="B6" s="2" t="inlineStr">
        <is>
          <t>刀匠之裔</t>
        </is>
      </c>
      <c r="C6" s="2" t="inlineStr">
        <is>
          <t>流派修行值</t>
        </is>
      </c>
      <c r="D6" s="2" t="n">
        <v>35</v>
      </c>
    </row>
    <row r="7">
      <c r="A7" s="2" t="inlineStr">
        <is>
          <t>忠誠對象</t>
        </is>
      </c>
      <c r="B7" s="2" t="inlineStr">
        <is>
          <t>家族</t>
        </is>
      </c>
      <c r="C7" s="2" t="inlineStr">
        <is>
          <t>義理值</t>
        </is>
      </c>
      <c r="D7" s="2" t="n">
        <v>3</v>
      </c>
    </row>
    <row r="8">
      <c r="A8" s="2" t="inlineStr">
        <is>
          <t>羈絆對象</t>
        </is>
      </c>
      <c r="B8" s="2" t="inlineStr">
        <is>
          <t>師傅</t>
        </is>
      </c>
      <c r="C8" s="2" t="inlineStr">
        <is>
          <t>羈絆類型</t>
        </is>
      </c>
      <c r="D8" s="2" t="inlineStr">
        <is>
          <t>師徒之情</t>
        </is>
      </c>
    </row>
    <row r="9">
      <c r="A9" s="2" t="inlineStr">
        <is>
          <t>刀的來源</t>
        </is>
      </c>
      <c r="B9" s="2" t="inlineStr">
        <is>
          <t>自己鍛造</t>
        </is>
      </c>
      <c r="C9" s="2" t="inlineStr">
        <is>
          <t>刀名</t>
        </is>
      </c>
      <c r="D9" s="2" t="inlineStr">
        <is>
          <t>岩戸（業物）</t>
        </is>
      </c>
    </row>
    <row r="10">
      <c r="A10" s="2" t="n"/>
      <c r="B10" s="2" t="n"/>
      <c r="C10" s="2" t="n"/>
      <c r="D10" s="2" t="n"/>
    </row>
    <row r="11">
      <c r="A11" s="2" t="inlineStr">
        <is>
          <t>五大屬性</t>
        </is>
      </c>
      <c r="B11" s="2" t="n"/>
      <c r="C11" s="2" t="n"/>
      <c r="D11" s="2" t="n"/>
    </row>
    <row r="12">
      <c r="A12" s="2" t="inlineStr">
        <is>
          <t>劍術</t>
        </is>
      </c>
      <c r="B12" s="2" t="n">
        <v>4</v>
      </c>
      <c r="C12" s="2" t="n"/>
      <c r="D12" s="2" t="n"/>
    </row>
    <row r="13">
      <c r="A13" s="2" t="inlineStr">
        <is>
          <t>體魄</t>
        </is>
      </c>
      <c r="B13" s="2" t="n">
        <v>8</v>
      </c>
      <c r="C13" s="2" t="n"/>
      <c r="D13" s="2" t="n"/>
    </row>
    <row r="14">
      <c r="A14" s="2" t="inlineStr">
        <is>
          <t>妖力</t>
        </is>
      </c>
      <c r="B14" s="2" t="n">
        <v>5</v>
      </c>
      <c r="C14" s="2" t="n"/>
      <c r="D14" s="2" t="n"/>
    </row>
    <row r="15">
      <c r="A15" s="2" t="inlineStr">
        <is>
          <t>機敏</t>
        </is>
      </c>
      <c r="B15" s="2" t="n">
        <v>3</v>
      </c>
      <c r="C15" s="2" t="n"/>
      <c r="D15" s="2" t="n"/>
    </row>
    <row r="16">
      <c r="A16" s="2" t="inlineStr">
        <is>
          <t>魂魄</t>
        </is>
      </c>
      <c r="B16" s="2" t="n">
        <v>7</v>
      </c>
      <c r="C16" s="2" t="n"/>
      <c r="D16" s="2" t="n"/>
    </row>
    <row r="17">
      <c r="A17" s="2" t="inlineStr">
        <is>
          <t>衍生屬性</t>
        </is>
      </c>
      <c r="B17" s="2" t="n"/>
      <c r="C17" s="2" t="n"/>
      <c r="D17" s="2" t="n"/>
    </row>
    <row r="18">
      <c r="A18" s="2" t="inlineStr">
        <is>
          <t>生命值（HP）</t>
        </is>
      </c>
      <c r="B18" s="2">
        <f> 55</f>
        <v/>
      </c>
      <c r="C18" s="2" t="n"/>
      <c r="D18" s="2" t="n"/>
    </row>
    <row r="19">
      <c r="A19" s="2" t="inlineStr">
        <is>
          <t>防禦值（DV）</t>
        </is>
      </c>
      <c r="B19" s="2">
        <f> 13</f>
        <v/>
      </c>
      <c r="C19" s="2" t="n"/>
      <c r="D19" s="2" t="n"/>
    </row>
    <row r="20">
      <c r="A20" s="2" t="inlineStr">
        <is>
          <t>移動力</t>
        </is>
      </c>
      <c r="B20" s="2">
        <f> 8</f>
        <v/>
      </c>
      <c r="C20" s="2" t="n"/>
      <c r="D20" s="2" t="n"/>
    </row>
    <row r="21">
      <c r="A21" s="2" t="inlineStr">
        <is>
          <t>妖氣池上限</t>
        </is>
      </c>
      <c r="B21" s="2">
        <f> 15</f>
        <v/>
      </c>
      <c r="C21" s="2" t="n"/>
      <c r="D21" s="2" t="n"/>
    </row>
    <row r="22">
      <c r="A22" s="2" t="inlineStr">
        <is>
          <t>妖氣值（當前）</t>
        </is>
      </c>
      <c r="B22" s="2" t="inlineStr">
        <is>
          <t>0</t>
        </is>
      </c>
      <c r="C22" s="2" t="n"/>
      <c r="D22" s="2" t="n"/>
    </row>
    <row r="23">
      <c r="A23" s="2" t="inlineStr">
        <is>
          <t>先攻</t>
        </is>
      </c>
      <c r="B23" s="2">
        <f> 3 +1d6</f>
        <v/>
      </c>
      <c r="C23" s="2" t="n"/>
      <c r="D23" s="2" t="n"/>
    </row>
    <row r="24">
      <c r="A24" s="2" t="inlineStr">
        <is>
          <t>刀緣值</t>
        </is>
      </c>
      <c r="B24" s="2">
        <f> 35</f>
        <v/>
      </c>
      <c r="C24" s="2" t="n"/>
      <c r="D24" s="2" t="n"/>
    </row>
    <row r="25">
      <c r="A25" s="2" t="inlineStr">
        <is>
          <t>劍氣值</t>
        </is>
      </c>
      <c r="B25" s="2">
        <f> 14</f>
        <v/>
      </c>
      <c r="C25" s="2" t="n"/>
      <c r="D25" s="2" t="n"/>
    </row>
    <row r="26">
      <c r="A26" s="2" t="n"/>
      <c r="B26" s="2" t="n"/>
      <c r="C26" s="2" t="n"/>
      <c r="D26" s="2" t="n"/>
    </row>
  </sheetData>
  <mergeCells count="3">
    <mergeCell ref="A1:D1"/>
    <mergeCell ref="A17:D17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迅 — 馬族·疾風流 等級 5</t>
        </is>
      </c>
    </row>
    <row r="3">
      <c r="A3" s="2" t="inlineStr">
        <is>
          <t>角色名稱</t>
        </is>
      </c>
      <c r="B3" s="2" t="inlineStr">
        <is>
          <t>迅</t>
        </is>
      </c>
      <c r="C3" s="2" t="inlineStr">
        <is>
          <t>玩家</t>
        </is>
      </c>
      <c r="D3" s="2" t="inlineStr">
        <is>
          <t>範例</t>
        </is>
      </c>
    </row>
    <row r="4">
      <c r="A4" s="2" t="inlineStr">
        <is>
          <t>等級</t>
        </is>
      </c>
      <c r="B4" s="2" t="n">
        <v>5</v>
      </c>
      <c r="C4" s="2" t="inlineStr">
        <is>
          <t>修行值</t>
        </is>
      </c>
      <c r="D4" s="2" t="n">
        <v>3000</v>
      </c>
    </row>
    <row r="5">
      <c r="A5" s="2" t="inlineStr">
        <is>
          <t>獸族</t>
        </is>
      </c>
      <c r="B5" s="2" t="inlineStr">
        <is>
          <t>馬族</t>
        </is>
      </c>
      <c r="C5" s="2" t="inlineStr">
        <is>
          <t>流派</t>
        </is>
      </c>
      <c r="D5" s="2" t="inlineStr">
        <is>
          <t>疾風流</t>
        </is>
      </c>
    </row>
    <row r="6">
      <c r="A6" s="2" t="inlineStr">
        <is>
          <t>背景</t>
        </is>
      </c>
      <c r="B6" s="2" t="inlineStr">
        <is>
          <t>野武士</t>
        </is>
      </c>
      <c r="C6" s="2" t="inlineStr">
        <is>
          <t>流派修行值</t>
        </is>
      </c>
      <c r="D6" s="2" t="n">
        <v>35</v>
      </c>
    </row>
    <row r="7">
      <c r="A7" s="2" t="inlineStr">
        <is>
          <t>忠誠對象</t>
        </is>
      </c>
      <c r="B7" s="2" t="inlineStr">
        <is>
          <t>無（在尋找）</t>
        </is>
      </c>
      <c r="C7" s="2" t="inlineStr">
        <is>
          <t>義理值</t>
        </is>
      </c>
      <c r="D7" s="2" t="n">
        <v>0</v>
      </c>
    </row>
    <row r="8">
      <c r="A8" s="2" t="inlineStr">
        <is>
          <t>羈絆對象</t>
        </is>
      </c>
      <c r="B8" s="2" t="inlineStr">
        <is>
          <t>月影</t>
        </is>
      </c>
      <c r="C8" s="2" t="inlineStr">
        <is>
          <t>羈絆類型</t>
        </is>
      </c>
      <c r="D8" s="2" t="inlineStr">
        <is>
          <t>恩義</t>
        </is>
      </c>
    </row>
    <row r="9">
      <c r="A9" s="2" t="inlineStr">
        <is>
          <t>刀的來源</t>
        </is>
      </c>
      <c r="B9" s="2" t="inlineStr">
        <is>
          <t>戰場上撿的</t>
        </is>
      </c>
      <c r="C9" s="2" t="inlineStr">
        <is>
          <t>刀名</t>
        </is>
      </c>
      <c r="D9" s="2" t="inlineStr">
        <is>
          <t>無銘打刀</t>
        </is>
      </c>
    </row>
    <row r="10">
      <c r="A10" s="2" t="n"/>
      <c r="B10" s="2" t="n"/>
      <c r="C10" s="2" t="n"/>
      <c r="D10" s="2" t="n"/>
    </row>
    <row r="11">
      <c r="A11" s="2" t="inlineStr">
        <is>
          <t>五大屬性</t>
        </is>
      </c>
      <c r="B11" s="2" t="n"/>
      <c r="C11" s="2" t="n"/>
      <c r="D11" s="2" t="n"/>
    </row>
    <row r="12">
      <c r="A12" s="2" t="inlineStr">
        <is>
          <t>劍術</t>
        </is>
      </c>
      <c r="B12" s="2" t="n">
        <v>7</v>
      </c>
      <c r="C12" s="2" t="n"/>
      <c r="D12" s="2" t="n"/>
    </row>
    <row r="13">
      <c r="A13" s="2" t="inlineStr">
        <is>
          <t>體魄</t>
        </is>
      </c>
      <c r="B13" s="2" t="n">
        <v>5</v>
      </c>
      <c r="C13" s="2" t="n"/>
      <c r="D13" s="2" t="n"/>
    </row>
    <row r="14">
      <c r="A14" s="2" t="inlineStr">
        <is>
          <t>妖力</t>
        </is>
      </c>
      <c r="B14" s="2" t="n">
        <v>4</v>
      </c>
      <c r="C14" s="2" t="n"/>
      <c r="D14" s="2" t="n"/>
    </row>
    <row r="15">
      <c r="A15" s="2" t="inlineStr">
        <is>
          <t>機敏</t>
        </is>
      </c>
      <c r="B15" s="2" t="n">
        <v>7</v>
      </c>
      <c r="C15" s="2" t="n"/>
      <c r="D15" s="2" t="n"/>
    </row>
    <row r="16">
      <c r="A16" s="2" t="inlineStr">
        <is>
          <t>魂魄</t>
        </is>
      </c>
      <c r="B16" s="2" t="n">
        <v>4</v>
      </c>
      <c r="C16" s="2" t="n"/>
      <c r="D16" s="2" t="n"/>
    </row>
    <row r="17">
      <c r="A17" s="2" t="inlineStr">
        <is>
          <t>衍生屬性</t>
        </is>
      </c>
      <c r="B17" s="2" t="n"/>
      <c r="C17" s="2" t="n"/>
      <c r="D17" s="2" t="n"/>
    </row>
    <row r="18">
      <c r="A18" s="2" t="inlineStr">
        <is>
          <t>生命值（HP）</t>
        </is>
      </c>
      <c r="B18" s="2">
        <f> 40</f>
        <v/>
      </c>
      <c r="C18" s="2" t="n"/>
      <c r="D18" s="2" t="n"/>
    </row>
    <row r="19">
      <c r="A19" s="2" t="inlineStr">
        <is>
          <t>防禦值（DV）</t>
        </is>
      </c>
      <c r="B19" s="2">
        <f> 17</f>
        <v/>
      </c>
      <c r="C19" s="2" t="n"/>
      <c r="D19" s="2" t="n"/>
    </row>
    <row r="20">
      <c r="A20" s="2" t="inlineStr">
        <is>
          <t>移動力</t>
        </is>
      </c>
      <c r="B20" s="2">
        <f> 12</f>
        <v/>
      </c>
      <c r="C20" s="2" t="n"/>
      <c r="D20" s="2" t="n"/>
    </row>
    <row r="21">
      <c r="A21" s="2" t="inlineStr">
        <is>
          <t>妖氣池上限</t>
        </is>
      </c>
      <c r="B21" s="2">
        <f> 13</f>
        <v/>
      </c>
      <c r="C21" s="2" t="n"/>
      <c r="D21" s="2" t="n"/>
    </row>
    <row r="22">
      <c r="A22" s="2" t="inlineStr">
        <is>
          <t>妖氣值（當前）</t>
        </is>
      </c>
      <c r="B22" s="2" t="inlineStr">
        <is>
          <t>0</t>
        </is>
      </c>
      <c r="C22" s="2" t="n"/>
      <c r="D22" s="2" t="n"/>
    </row>
    <row r="23">
      <c r="A23" s="2" t="inlineStr">
        <is>
          <t>先攻</t>
        </is>
      </c>
      <c r="B23" s="2">
        <f> 7 +1d6</f>
        <v/>
      </c>
      <c r="C23" s="2" t="n"/>
      <c r="D23" s="2" t="n"/>
    </row>
    <row r="24">
      <c r="A24" s="2" t="inlineStr">
        <is>
          <t>刀緣值</t>
        </is>
      </c>
      <c r="B24" s="2">
        <f> 20</f>
        <v/>
      </c>
      <c r="C24" s="2" t="n"/>
      <c r="D24" s="2" t="n"/>
    </row>
    <row r="25">
      <c r="A25" s="2" t="inlineStr">
        <is>
          <t>劍氣值</t>
        </is>
      </c>
      <c r="B25" s="2">
        <f> 14</f>
        <v/>
      </c>
      <c r="C25" s="2" t="n"/>
      <c r="D25" s="2" t="n"/>
    </row>
    <row r="26">
      <c r="A26" s="2" t="n"/>
      <c r="B26" s="2" t="n"/>
      <c r="C26" s="2" t="n"/>
      <c r="D26" s="2" t="n"/>
    </row>
  </sheetData>
  <mergeCells count="3">
    <mergeCell ref="A1:D1"/>
    <mergeCell ref="A17:D17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2026-07-13T07:22:02Z</dcterms:created>
  <dcterms:modified xsi:type="dcterms:W3CDTF">2026-07-13T07:22:02Z</dcterms:modified>
</cp:coreProperties>
</file>