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333333"/>
      <sz val="16"/>
    </font>
    <font>
      <name val="微軟正黑體"/>
      <b val="1"/>
      <color rgb="00FFFFFF"/>
      <sz val="11"/>
    </font>
    <font>
      <name val="微軟正黑體"/>
      <sz val="11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E8E8"/>
        <bgColor rgb="00E8E8E8"/>
      </patternFill>
    </fill>
    <fill>
      <patternFill patternType="solid">
        <fgColor rgb="00FEF9E7"/>
        <bgColor rgb="00FEF9E7"/>
      </patternFill>
    </fill>
    <fill>
      <patternFill patternType="solid">
        <fgColor rgb="00D4E6F1"/>
        <bgColor rgb="00D4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9BD5"/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20" customWidth="1" min="8" max="8"/>
  </cols>
  <sheetData>
    <row r="1" ht="36" customHeight="1">
      <c r="A1" s="1" t="inlineStr">
        <is>
          <t>獸人戰國 TRPG NPC 角色卡</t>
        </is>
      </c>
    </row>
    <row r="3" ht="24" customHeight="1">
      <c r="A3" s="2" t="inlineStr">
        <is>
          <t>基本資訊</t>
        </is>
      </c>
    </row>
    <row r="4">
      <c r="A4" s="3" t="inlineStr">
        <is>
          <t>角色名</t>
        </is>
      </c>
      <c r="B4" s="4" t="inlineStr"/>
      <c r="C4" s="3" t="inlineStr">
        <is>
          <t>獸族</t>
        </is>
      </c>
      <c r="D4" s="4" t="inlineStr"/>
    </row>
    <row r="5">
      <c r="A5" s="3" t="inlineStr">
        <is>
          <t>職業／身分</t>
        </is>
      </c>
      <c r="B5" s="4" t="inlineStr"/>
      <c r="C5" s="3" t="inlineStr">
        <is>
          <t>等級</t>
        </is>
      </c>
      <c r="D5" s="4" t="inlineStr"/>
    </row>
    <row r="7" ht="24" customHeight="1">
      <c r="A7" s="2" t="inlineStr">
        <is>
          <t>五大屬性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4" t="inlineStr"/>
      <c r="B9" s="4" t="inlineStr"/>
      <c r="C9" s="4" t="inlineStr"/>
      <c r="D9" s="4" t="inlineStr"/>
      <c r="E9" s="4" t="inlineStr"/>
    </row>
    <row r="11" ht="24" customHeight="1">
      <c r="A11" s="2" t="inlineStr">
        <is>
          <t>衍生數值（自動計算）</t>
        </is>
      </c>
    </row>
    <row r="12">
      <c r="A12" s="3" t="inlineStr">
        <is>
          <t>生命值（HP）</t>
        </is>
      </c>
      <c r="B12" s="6">
        <f>B9*5+B5*3</f>
        <v/>
      </c>
      <c r="C12" s="7" t="inlineStr">
        <is>
          <t>最大HP</t>
        </is>
      </c>
      <c r="E12" s="3" t="inlineStr">
        <is>
          <t>當前 HP</t>
        </is>
      </c>
      <c r="F12" s="4" t="inlineStr"/>
      <c r="G12" s="3" t="inlineStr">
        <is>
          <t>防具DV修正</t>
        </is>
      </c>
    </row>
    <row r="13">
      <c r="A13" s="3" t="inlineStr">
        <is>
          <t>防禦值（DV）</t>
        </is>
      </c>
      <c r="B13" s="6">
        <f>10+D9+G13</f>
        <v/>
      </c>
      <c r="C13" s="7" t="inlineStr">
        <is>
          <t>（含防具修正）</t>
        </is>
      </c>
      <c r="G13" s="4" t="inlineStr"/>
    </row>
    <row r="14">
      <c r="A14" s="3" t="inlineStr">
        <is>
          <t>移動力</t>
        </is>
      </c>
      <c r="B14" s="6">
        <f>5+D9</f>
        <v/>
      </c>
      <c r="C14" s="7" t="inlineStr">
        <is>
          <t>格</t>
        </is>
      </c>
    </row>
    <row r="15">
      <c r="A15" s="3" t="inlineStr">
        <is>
          <t>先攻加值</t>
        </is>
      </c>
      <c r="B15" s="6">
        <f>D9</f>
        <v/>
      </c>
      <c r="C15" s="7" t="inlineStr">
        <is>
          <t>（+1d6）</t>
        </is>
      </c>
    </row>
    <row r="16">
      <c r="A16" s="3" t="inlineStr">
        <is>
          <t>刀緣值</t>
        </is>
      </c>
      <c r="B16" s="6">
        <f>E9*5</f>
        <v/>
      </c>
      <c r="C16" s="7" t="inlineStr"/>
      <c r="G16" s="3" t="inlineStr">
        <is>
          <t>流派修行值</t>
        </is>
      </c>
    </row>
    <row r="17">
      <c r="A17" s="3" t="inlineStr">
        <is>
          <t>劍氣值</t>
        </is>
      </c>
      <c r="B17" s="6">
        <f>INT(A9+E9+G17/10)</f>
        <v/>
      </c>
      <c r="C17" s="7" t="inlineStr"/>
      <c r="G17" s="4" t="inlineStr"/>
    </row>
    <row r="19" ht="24" customHeight="1">
      <c r="A19" s="2" t="inlineStr">
        <is>
          <t>相關技能</t>
        </is>
      </c>
      <c r="J19" s="3" t="inlineStr">
        <is>
          <t>熟練加值對照表</t>
        </is>
      </c>
    </row>
    <row r="20">
      <c r="A20" s="5" t="inlineStr">
        <is>
          <t>技能名稱</t>
        </is>
      </c>
      <c r="B20" s="5" t="inlineStr">
        <is>
          <t>熟練度</t>
        </is>
      </c>
      <c r="C20" s="5" t="inlineStr">
        <is>
          <t>屬性對應</t>
        </is>
      </c>
      <c r="D20" s="5" t="inlineStr">
        <is>
          <t>屬性值</t>
        </is>
      </c>
      <c r="E20" s="5" t="inlineStr">
        <is>
          <t>總加值</t>
        </is>
      </c>
      <c r="F20" s="5" t="inlineStr"/>
      <c r="G20" s="5" t="inlineStr"/>
      <c r="H20" s="5" t="inlineStr"/>
      <c r="J20" s="8" t="inlineStr">
        <is>
          <t>未修</t>
        </is>
      </c>
      <c r="K20" s="8" t="n">
        <v>-2</v>
      </c>
    </row>
    <row r="21">
      <c r="A21" s="4" t="inlineStr">
        <is>
          <t>刀術</t>
        </is>
      </c>
      <c r="B21" s="4" t="inlineStr">
        <is>
          <t>初傳</t>
        </is>
      </c>
      <c r="C21" s="8" t="inlineStr">
        <is>
          <t>(劍術)</t>
        </is>
      </c>
      <c r="D21" s="6" t="inlineStr">
        <is>
          <t>'NPC角色卡'!A9</t>
        </is>
      </c>
      <c r="E21" s="6">
        <f>D21+VLOOKUP(B21,J20:K24,2,0)</f>
        <v/>
      </c>
      <c r="J21" s="8" t="inlineStr">
        <is>
          <t>初傳</t>
        </is>
      </c>
      <c r="K21" s="8" t="n">
        <v>0</v>
      </c>
    </row>
    <row r="22">
      <c r="A22" s="4" t="inlineStr">
        <is>
          <t>體術</t>
        </is>
      </c>
      <c r="B22" s="4" t="inlineStr">
        <is>
          <t>初傳</t>
        </is>
      </c>
      <c r="C22" s="8" t="inlineStr">
        <is>
          <t>(體魄)</t>
        </is>
      </c>
      <c r="D22" s="6" t="inlineStr">
        <is>
          <t>'NPC角色卡'!B9</t>
        </is>
      </c>
      <c r="E22" s="6">
        <f>D22+VLOOKUP(B22,J20:K24,2,0)</f>
        <v/>
      </c>
      <c r="J22" s="8" t="inlineStr">
        <is>
          <t>中傳</t>
        </is>
      </c>
      <c r="K22" s="8" t="n">
        <v>2</v>
      </c>
    </row>
    <row r="23">
      <c r="A23" s="4" t="inlineStr">
        <is>
          <t>威壓</t>
        </is>
      </c>
      <c r="B23" s="4" t="inlineStr">
        <is>
          <t>初傳</t>
        </is>
      </c>
      <c r="C23" s="8" t="inlineStr">
        <is>
          <t>(魂魄)</t>
        </is>
      </c>
      <c r="D23" s="6" t="inlineStr">
        <is>
          <t>'NPC角色卡'!E9</t>
        </is>
      </c>
      <c r="E23" s="6">
        <f>D23+VLOOKUP(B23,J20:K24,2,0)</f>
        <v/>
      </c>
      <c r="J23" s="8" t="inlineStr">
        <is>
          <t>奧傳</t>
        </is>
      </c>
      <c r="K23" s="8" t="n">
        <v>4</v>
      </c>
    </row>
    <row r="24">
      <c r="A24" s="4" t="inlineStr">
        <is>
          <t>說服</t>
        </is>
      </c>
      <c r="B24" s="4" t="inlineStr">
        <is>
          <t>初傳</t>
        </is>
      </c>
      <c r="C24" s="8" t="inlineStr">
        <is>
          <t>(魂魄)</t>
        </is>
      </c>
      <c r="D24" s="6" t="inlineStr">
        <is>
          <t>'NPC角色卡'!E9</t>
        </is>
      </c>
      <c r="E24" s="6">
        <f>D24+VLOOKUP(B24,J20:K24,2,0)</f>
        <v/>
      </c>
      <c r="J24" s="8" t="inlineStr">
        <is>
          <t>皆傳</t>
        </is>
      </c>
      <c r="K24" s="8" t="n">
        <v>6</v>
      </c>
    </row>
    <row r="25">
      <c r="A25" s="4" t="inlineStr">
        <is>
          <t>洞察</t>
        </is>
      </c>
      <c r="B25" s="4" t="inlineStr">
        <is>
          <t>初傳</t>
        </is>
      </c>
      <c r="C25" s="8" t="inlineStr">
        <is>
          <t>(機敏)</t>
        </is>
      </c>
      <c r="D25" s="6" t="inlineStr">
        <is>
          <t>'NPC角色卡'!D9</t>
        </is>
      </c>
      <c r="E25" s="6">
        <f>D25+VLOOKUP(B25,J20:K24,2,0)</f>
        <v/>
      </c>
    </row>
    <row r="26">
      <c r="A26" s="4" t="inlineStr">
        <is>
          <t>知覺</t>
        </is>
      </c>
      <c r="B26" s="4" t="inlineStr">
        <is>
          <t>初傳</t>
        </is>
      </c>
      <c r="C26" s="8" t="inlineStr">
        <is>
          <t>(機敏)</t>
        </is>
      </c>
      <c r="D26" s="6" t="inlineStr">
        <is>
          <t>'NPC角色卡'!D9</t>
        </is>
      </c>
      <c r="E26" s="6">
        <f>D26+VLOOKUP(B26,J20:K24,2,0)</f>
        <v/>
      </c>
    </row>
    <row r="27">
      <c r="A27" s="4" t="inlineStr">
        <is>
          <t>兵法</t>
        </is>
      </c>
      <c r="B27" s="4" t="inlineStr">
        <is>
          <t>初傳</t>
        </is>
      </c>
      <c r="C27" s="8" t="inlineStr">
        <is>
          <t>(劍術)</t>
        </is>
      </c>
      <c r="D27" s="6" t="inlineStr">
        <is>
          <t>'NPC角色卡'!A9</t>
        </is>
      </c>
      <c r="E27" s="6">
        <f>D27+VLOOKUP(B27,J20:K24,2,0)</f>
        <v/>
      </c>
    </row>
    <row r="28">
      <c r="A28" s="4" t="inlineStr">
        <is>
          <t>鍛造</t>
        </is>
      </c>
      <c r="B28" s="4" t="inlineStr">
        <is>
          <t>初傳</t>
        </is>
      </c>
      <c r="C28" s="8" t="inlineStr">
        <is>
          <t>(體魄)</t>
        </is>
      </c>
      <c r="D28" s="6" t="inlineStr">
        <is>
          <t>'NPC角色卡'!B9</t>
        </is>
      </c>
      <c r="E28" s="6">
        <f>D28+VLOOKUP(B28,J20:K24,2,0)</f>
        <v/>
      </c>
    </row>
    <row r="30" ht="24" customHeight="1">
      <c r="A30" s="2" t="inlineStr">
        <is>
          <t>裝備</t>
        </is>
      </c>
    </row>
    <row r="31">
      <c r="A31" s="5" t="inlineStr">
        <is>
          <t>裝備名稱</t>
        </is>
      </c>
      <c r="B31" s="5" t="inlineStr">
        <is>
          <t>類型</t>
        </is>
      </c>
      <c r="C31" s="5" t="inlineStr">
        <is>
          <t>效果</t>
        </is>
      </c>
      <c r="D31" s="5" t="inlineStr"/>
      <c r="E31" s="5" t="inlineStr"/>
      <c r="F31" s="5" t="inlineStr"/>
      <c r="G31" s="5" t="inlineStr"/>
      <c r="H31" s="5" t="inlineStr"/>
    </row>
    <row r="32">
      <c r="A32" s="4" t="inlineStr"/>
      <c r="B32" s="4" t="inlineStr"/>
      <c r="C32" s="4" t="inlineStr"/>
    </row>
    <row r="33">
      <c r="A33" s="4" t="inlineStr"/>
      <c r="B33" s="4" t="inlineStr"/>
      <c r="C33" s="4" t="inlineStr"/>
    </row>
    <row r="34">
      <c r="A34" s="4" t="inlineStr"/>
      <c r="B34" s="4" t="inlineStr"/>
      <c r="C34" s="4" t="inlineStr"/>
    </row>
    <row r="35">
      <c r="A35" s="4" t="inlineStr"/>
      <c r="B35" s="4" t="inlineStr"/>
      <c r="C35" s="4" t="inlineStr"/>
    </row>
    <row r="37" ht="24" customHeight="1">
      <c r="A37" s="2" t="inlineStr">
        <is>
          <t>特殊能力</t>
        </is>
      </c>
    </row>
    <row r="38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</row>
    <row r="39">
      <c r="A39" s="9" t="inlineStr"/>
      <c r="B39" s="9" t="inlineStr"/>
      <c r="C39" s="9" t="inlineStr"/>
      <c r="D39" s="9" t="inlineStr"/>
      <c r="E39" s="9" t="inlineStr"/>
      <c r="F39" s="9" t="inlineStr"/>
      <c r="G39" s="9" t="inlineStr"/>
    </row>
    <row r="40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</row>
    <row r="4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</row>
    <row r="42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</row>
  </sheetData>
  <mergeCells count="7">
    <mergeCell ref="A3:H3"/>
    <mergeCell ref="A30:H30"/>
    <mergeCell ref="A7:H7"/>
    <mergeCell ref="A19:H19"/>
    <mergeCell ref="A11:H11"/>
    <mergeCell ref="A1:H1"/>
    <mergeCell ref="A37:H37"/>
  </mergeCells>
  <dataValidations count="3">
    <dataValidation sqref="D4" showDropDown="0" showInputMessage="0" showErrorMessage="0" allowBlank="0" type="list">
      <formula1>"虎族,兔族,犬族,牛族,馬族,龍族,蛇族,鼠族,雞族,羊族,狐族,貓族,狼族,猿族"</formula1>
    </dataValidation>
    <dataValidation sqref="A9 B9 C9 D9 E9" showDropDown="0" showInputMessage="0" showErrorMessage="0" allowBlank="0" error="请输入1-12之间的属性值" type="whole" operator="between">
      <formula1>1</formula1>
      <formula2>12</formula2>
    </dataValidation>
    <dataValidation sqref="B21 B22 B23 B24 B25 B26 B27 B28" showDropDown="0" showInputMessage="0" showErrorMessage="0" allowBlank="0" type="list">
      <formula1>"未修,初傳,中傳,奧傳,皆傳"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2026-07-11T09:22:14Z</dcterms:created>
  <dcterms:modified xsi:type="dcterms:W3CDTF">2026-07-11T09:22:14Z</dcterms:modified>
</cp:coreProperties>
</file>