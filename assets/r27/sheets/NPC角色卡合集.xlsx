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虎嵐齋" sheetId="1" state="visible" r:id="rId1"/>
    <sheet name="犬塚義重" sheetId="2" state="visible" r:id="rId2"/>
    <sheet name="月読姫" sheetId="3" state="visible" r:id="rId3"/>
    <sheet name="龍神司" sheetId="4" state="visible" r:id="rId4"/>
    <sheet name="淨海僧正" sheetId="5" state="visible" r:id="rId5"/>
    <sheet name="鳳凰院光秀" sheetId="6" state="visible" r:id="rId6"/>
    <sheet name="蛇目千代" sheetId="7" state="visible" r:id="rId7"/>
    <sheet name="鼠小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333333"/>
      <sz val="16"/>
    </font>
    <font>
      <name val="微軟正黑體"/>
      <b val="1"/>
      <color rgb="00FFFFFF"/>
      <sz val="11"/>
    </font>
    <font>
      <name val="微軟正黑體"/>
      <sz val="11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E8E8"/>
        <bgColor rgb="00E8E8E8"/>
      </patternFill>
    </fill>
    <fill>
      <patternFill patternType="solid">
        <fgColor rgb="00FEF9E7"/>
        <bgColor rgb="00FEF9E7"/>
      </patternFill>
    </fill>
    <fill>
      <patternFill patternType="solid">
        <fgColor rgb="00D4E6F1"/>
        <bgColor rgb="00D4E6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獸人戰國 TRPG NPC — 虎嵐齋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虎嵐齋</t>
        </is>
      </c>
      <c r="C4" s="3" t="inlineStr">
        <is>
          <t>獸族</t>
        </is>
      </c>
      <c r="D4" s="4" t="inlineStr">
        <is>
          <t>虎族</t>
        </is>
      </c>
      <c r="E4" s="3" t="inlineStr">
        <is>
          <t>流派</t>
        </is>
      </c>
      <c r="F4" s="4" t="inlineStr">
        <is>
          <t>虎威流</t>
        </is>
      </c>
      <c r="G4" s="3" t="inlineStr">
        <is>
          <t>等級</t>
        </is>
      </c>
      <c r="H4" s="4" t="n">
        <v>18</v>
      </c>
    </row>
    <row r="5">
      <c r="A5" s="3" t="inlineStr">
        <is>
          <t>身分</t>
        </is>
      </c>
      <c r="B5" s="4" t="inlineStr">
        <is>
          <t>虎族大名·虎威流宗師</t>
        </is>
      </c>
      <c r="C5" s="3" t="inlineStr">
        <is>
          <t>忠誠對象</t>
        </is>
      </c>
      <c r="D5" s="4" t="inlineStr">
        <is>
          <t>虎族全體</t>
        </is>
      </c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12</v>
      </c>
      <c r="B9" s="6" t="n">
        <v>11</v>
      </c>
      <c r="C9" s="6" t="n">
        <v>5</v>
      </c>
      <c r="D9" s="6" t="n">
        <v>8</v>
      </c>
      <c r="E9" s="6" t="n">
        <v>11</v>
      </c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B9*5+18*3</f>
        <v/>
      </c>
      <c r="E12" s="3" t="inlineStr">
        <is>
          <t>當前 HP</t>
        </is>
      </c>
      <c r="F12" s="4" t="inlineStr"/>
    </row>
    <row r="13">
      <c r="A13" s="3" t="inlineStr">
        <is>
          <t>防禦值（DV）</t>
        </is>
      </c>
      <c r="B13" s="6">
        <f>10+D9+G13</f>
        <v/>
      </c>
      <c r="G13" s="4" t="inlineStr"/>
    </row>
    <row r="14">
      <c r="A14" s="3" t="inlineStr">
        <is>
          <t>移動力</t>
        </is>
      </c>
      <c r="B14" s="6">
        <f>5+D9</f>
        <v/>
      </c>
    </row>
    <row r="15">
      <c r="A15" s="3" t="inlineStr">
        <is>
          <t>先攻加值</t>
        </is>
      </c>
      <c r="B15" s="6">
        <f>D9</f>
        <v/>
      </c>
    </row>
    <row r="16">
      <c r="A16" s="3" t="inlineStr">
        <is>
          <t>刀緣值</t>
        </is>
      </c>
      <c r="B16" s="6">
        <f>E9*5</f>
        <v/>
      </c>
    </row>
    <row r="17">
      <c r="A17" s="3" t="inlineStr">
        <is>
          <t>劍氣值</t>
        </is>
      </c>
      <c r="B17" s="6">
        <f>INT(A9+E9+G17/10)</f>
        <v/>
      </c>
    </row>
    <row r="19" ht="24" customHeight="1">
      <c r="A19" s="2" t="inlineStr">
        <is>
          <t>關鍵技能</t>
        </is>
      </c>
      <c r="J19" s="3" t="inlineStr">
        <is>
          <t>熟練加值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總加值</t>
        </is>
      </c>
      <c r="D20" s="5" t="inlineStr">
        <is>
          <t>備註</t>
        </is>
      </c>
      <c r="E20" s="5" t="inlineStr"/>
      <c r="F20" s="5" t="inlineStr"/>
      <c r="G20" s="5" t="inlineStr"/>
      <c r="H20" s="5" t="inlineStr"/>
      <c r="J20" s="7" t="inlineStr">
        <is>
          <t>未修</t>
        </is>
      </c>
      <c r="K20" s="7" t="n">
        <v>-2</v>
      </c>
    </row>
    <row r="21">
      <c r="A21" s="4" t="inlineStr">
        <is>
          <t>刀術</t>
        </is>
      </c>
      <c r="B21" s="4" t="inlineStr">
        <is>
          <t>皆傳</t>
        </is>
      </c>
      <c r="C21" s="6">
        <f>A9+VLOOKUP(B21,J20:K24,2,0)</f>
        <v/>
      </c>
      <c r="D21" s="8" t="inlineStr">
        <is>
          <t>虎威流招式傷害+2</t>
        </is>
      </c>
      <c r="J21" s="7" t="inlineStr">
        <is>
          <t>初傳</t>
        </is>
      </c>
      <c r="K21" s="7" t="n">
        <v>0</v>
      </c>
    </row>
    <row r="22">
      <c r="A22" s="4" t="inlineStr">
        <is>
          <t>威壓</t>
        </is>
      </c>
      <c r="B22" s="4" t="inlineStr">
        <is>
          <t>皆傳</t>
        </is>
      </c>
      <c r="C22" s="6">
        <f>E9+VLOOKUP(B22,J20:K24,2,0)</f>
        <v/>
      </c>
      <c r="D22" s="8" t="inlineStr"/>
      <c r="J22" s="7" t="inlineStr">
        <is>
          <t>中傳</t>
        </is>
      </c>
      <c r="K22" s="7" t="n">
        <v>2</v>
      </c>
    </row>
    <row r="23">
      <c r="A23" s="4" t="inlineStr">
        <is>
          <t>兵法</t>
        </is>
      </c>
      <c r="B23" s="4" t="inlineStr">
        <is>
          <t>奧傳</t>
        </is>
      </c>
      <c r="C23" s="6">
        <f>A9+VLOOKUP(B23,J20:K24,2,0)</f>
        <v/>
      </c>
      <c r="D23" s="8" t="inlineStr"/>
      <c r="J23" s="7" t="inlineStr">
        <is>
          <t>奧傳</t>
        </is>
      </c>
      <c r="K23" s="7" t="n">
        <v>4</v>
      </c>
    </row>
    <row r="24">
      <c r="A24" s="4" t="inlineStr">
        <is>
          <t>體術</t>
        </is>
      </c>
      <c r="B24" s="4" t="inlineStr">
        <is>
          <t>奧傳</t>
        </is>
      </c>
      <c r="C24" s="6">
        <f>B9+VLOOKUP(B24,J20:K24,2,0)</f>
        <v/>
      </c>
      <c r="D24" s="8" t="inlineStr"/>
      <c r="J24" s="7" t="inlineStr">
        <is>
          <t>皆傳</t>
        </is>
      </c>
      <c r="K24" s="7" t="n">
        <v>6</v>
      </c>
    </row>
    <row r="25">
      <c r="A25" s="4" t="inlineStr">
        <is>
          <t>洞察</t>
        </is>
      </c>
      <c r="B25" s="4" t="inlineStr">
        <is>
          <t>奧傳</t>
        </is>
      </c>
      <c r="C25" s="6">
        <f>D9+VLOOKUP(B25,J20:K24,2,0)</f>
        <v/>
      </c>
      <c r="D25" s="8" t="inlineStr"/>
    </row>
    <row r="26">
      <c r="A26" s="4" t="inlineStr">
        <is>
          <t>說服</t>
        </is>
      </c>
      <c r="B26" s="4" t="inlineStr">
        <is>
          <t>中傳</t>
        </is>
      </c>
      <c r="C26" s="6">
        <f>E9+VLOOKUP(B26,J20:K24,2,0)</f>
        <v/>
      </c>
      <c r="D26" s="8" t="inlineStr"/>
    </row>
    <row r="27">
      <c r="A27" s="4" t="inlineStr">
        <is>
          <t>鍛造</t>
        </is>
      </c>
      <c r="B27" s="4" t="inlineStr">
        <is>
          <t>中傳</t>
        </is>
      </c>
      <c r="C27" s="6">
        <f>B9+VLOOKUP(B27,J20:K24,2,0)</f>
        <v/>
      </c>
      <c r="D27" s="8" t="inlineStr"/>
    </row>
    <row r="29" ht="24" customHeight="1">
      <c r="A29" s="2" t="inlineStr">
        <is>
          <t>裝備與特殊能力</t>
        </is>
      </c>
    </row>
    <row r="30">
      <c r="A30" s="9" t="inlineStr">
        <is>
          <t>虎威大太刀（傳說級）</t>
        </is>
      </c>
      <c r="B30" s="10" t="n"/>
      <c r="C30" s="10" t="n"/>
      <c r="D30" s="10" t="n"/>
      <c r="E30" s="11" t="n"/>
    </row>
    <row r="31">
      <c r="A31" s="9" t="inlineStr">
        <is>
          <t>虎威大鎧（DV修正+6）</t>
        </is>
      </c>
      <c r="B31" s="10" t="n"/>
      <c r="C31" s="10" t="n"/>
      <c r="D31" s="10" t="n"/>
      <c r="E31" s="11" t="n"/>
    </row>
    <row r="32">
      <c r="A32" s="9" t="inlineStr">
        <is>
          <t>虎族軍配（指揮用）</t>
        </is>
      </c>
      <c r="B32" s="10" t="n"/>
      <c r="C32" s="10" t="n"/>
      <c r="D32" s="10" t="n"/>
      <c r="E32" s="11" t="n"/>
    </row>
    <row r="34" ht="24" customHeight="1">
      <c r="A34" s="2" t="inlineStr">
        <is>
          <t>特殊能力</t>
        </is>
      </c>
    </row>
    <row r="35">
      <c r="A35" s="9" t="inlineStr">
        <is>
          <t>虎威霸氣：開場所有敵方需通過魂魄對抗，失敗則震懾1回合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宗師之威：虎威流招式傷害+2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大名指揮：可命令範圍內虎族士兵獲得+2命中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虎族血脈覺醒：HP低於一半時屬性+2</t>
        </is>
      </c>
      <c r="B38" s="10" t="n"/>
      <c r="C38" s="10" t="n"/>
      <c r="D38" s="10" t="n"/>
      <c r="E38" s="10" t="n"/>
      <c r="F38" s="10" t="n"/>
      <c r="G38" s="10" t="n"/>
      <c r="H38" s="11" t="n"/>
    </row>
  </sheetData>
  <mergeCells count="14">
    <mergeCell ref="A30:E30"/>
    <mergeCell ref="A3:H3"/>
    <mergeCell ref="A29:H29"/>
    <mergeCell ref="A7:H7"/>
    <mergeCell ref="A35:H35"/>
    <mergeCell ref="A38:H38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獸人戰國 TRPG NPC — 犬塚義重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犬塚義重</t>
        </is>
      </c>
      <c r="C4" s="3" t="inlineStr">
        <is>
          <t>獸族</t>
        </is>
      </c>
      <c r="D4" s="4" t="inlineStr">
        <is>
          <t>犬族</t>
        </is>
      </c>
      <c r="E4" s="3" t="inlineStr">
        <is>
          <t>流派</t>
        </is>
      </c>
      <c r="F4" s="4" t="inlineStr">
        <is>
          <t>忠義流</t>
        </is>
      </c>
      <c r="G4" s="3" t="inlineStr">
        <is>
          <t>等級</t>
        </is>
      </c>
      <c r="H4" s="4" t="n">
        <v>17</v>
      </c>
    </row>
    <row r="5">
      <c r="A5" s="3" t="inlineStr">
        <is>
          <t>身分</t>
        </is>
      </c>
      <c r="B5" s="4" t="inlineStr">
        <is>
          <t>犬族大名·忠義流宗師</t>
        </is>
      </c>
      <c r="C5" s="3" t="inlineStr">
        <is>
          <t>忠誠對象</t>
        </is>
      </c>
      <c r="D5" s="4" t="inlineStr">
        <is>
          <t>犬族與同盟</t>
        </is>
      </c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10</v>
      </c>
      <c r="B9" s="6" t="n">
        <v>10</v>
      </c>
      <c r="C9" s="6" t="n">
        <v>3</v>
      </c>
      <c r="D9" s="6" t="n">
        <v>9</v>
      </c>
      <c r="E9" s="6" t="n">
        <v>10</v>
      </c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B9*5+17*3</f>
        <v/>
      </c>
      <c r="E12" s="3" t="inlineStr">
        <is>
          <t>當前 HP</t>
        </is>
      </c>
      <c r="F12" s="4" t="inlineStr"/>
    </row>
    <row r="13">
      <c r="A13" s="3" t="inlineStr">
        <is>
          <t>防禦值（DV）</t>
        </is>
      </c>
      <c r="B13" s="6">
        <f>10+D9+G13</f>
        <v/>
      </c>
      <c r="G13" s="4" t="inlineStr"/>
    </row>
    <row r="14">
      <c r="A14" s="3" t="inlineStr">
        <is>
          <t>移動力</t>
        </is>
      </c>
      <c r="B14" s="6">
        <f>5+D9</f>
        <v/>
      </c>
    </row>
    <row r="15">
      <c r="A15" s="3" t="inlineStr">
        <is>
          <t>先攻加值</t>
        </is>
      </c>
      <c r="B15" s="6">
        <f>D9</f>
        <v/>
      </c>
    </row>
    <row r="16">
      <c r="A16" s="3" t="inlineStr">
        <is>
          <t>刀緣值</t>
        </is>
      </c>
      <c r="B16" s="6">
        <f>E9*5</f>
        <v/>
      </c>
    </row>
    <row r="17">
      <c r="A17" s="3" t="inlineStr">
        <is>
          <t>劍氣值</t>
        </is>
      </c>
      <c r="B17" s="6">
        <f>INT(A9+E9+G17/10)</f>
        <v/>
      </c>
    </row>
    <row r="19" ht="24" customHeight="1">
      <c r="A19" s="2" t="inlineStr">
        <is>
          <t>關鍵技能</t>
        </is>
      </c>
      <c r="J19" s="3" t="inlineStr">
        <is>
          <t>熟練加值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總加值</t>
        </is>
      </c>
      <c r="D20" s="5" t="inlineStr">
        <is>
          <t>備註</t>
        </is>
      </c>
      <c r="E20" s="5" t="inlineStr"/>
      <c r="F20" s="5" t="inlineStr"/>
      <c r="G20" s="5" t="inlineStr"/>
      <c r="H20" s="5" t="inlineStr"/>
      <c r="J20" s="7" t="inlineStr">
        <is>
          <t>未修</t>
        </is>
      </c>
      <c r="K20" s="7" t="n">
        <v>-2</v>
      </c>
    </row>
    <row r="21">
      <c r="A21" s="4" t="inlineStr">
        <is>
          <t>刀術</t>
        </is>
      </c>
      <c r="B21" s="4" t="inlineStr">
        <is>
          <t>皆傳</t>
        </is>
      </c>
      <c r="C21" s="6">
        <f>A9+VLOOKUP(B21,J20:K24,2,0)</f>
        <v/>
      </c>
      <c r="D21" s="8" t="inlineStr">
        <is>
          <t>忠義流招式+2命中</t>
        </is>
      </c>
      <c r="J21" s="7" t="inlineStr">
        <is>
          <t>初傳</t>
        </is>
      </c>
      <c r="K21" s="7" t="n">
        <v>0</v>
      </c>
    </row>
    <row r="22">
      <c r="A22" s="4" t="inlineStr">
        <is>
          <t>說服</t>
        </is>
      </c>
      <c r="B22" s="4" t="inlineStr">
        <is>
          <t>皆傳</t>
        </is>
      </c>
      <c r="C22" s="6">
        <f>E9+VLOOKUP(B22,J20:K24,2,0)</f>
        <v/>
      </c>
      <c r="D22" s="8" t="inlineStr"/>
      <c r="J22" s="7" t="inlineStr">
        <is>
          <t>中傳</t>
        </is>
      </c>
      <c r="K22" s="7" t="n">
        <v>2</v>
      </c>
    </row>
    <row r="23">
      <c r="A23" s="4" t="inlineStr">
        <is>
          <t>洞察</t>
        </is>
      </c>
      <c r="B23" s="4" t="inlineStr">
        <is>
          <t>奧傳</t>
        </is>
      </c>
      <c r="C23" s="6">
        <f>D9+VLOOKUP(B23,J20:K24,2,0)</f>
        <v/>
      </c>
      <c r="D23" s="8" t="inlineStr"/>
      <c r="J23" s="7" t="inlineStr">
        <is>
          <t>奧傳</t>
        </is>
      </c>
      <c r="K23" s="7" t="n">
        <v>4</v>
      </c>
    </row>
    <row r="24">
      <c r="A24" s="4" t="inlineStr">
        <is>
          <t>追跡</t>
        </is>
      </c>
      <c r="B24" s="4" t="inlineStr">
        <is>
          <t>奧傳</t>
        </is>
      </c>
      <c r="C24" s="6">
        <f>A9+VLOOKUP(B24,J20:K24,2,0)</f>
        <v/>
      </c>
      <c r="D24" s="8" t="inlineStr"/>
      <c r="J24" s="7" t="inlineStr">
        <is>
          <t>皆傳</t>
        </is>
      </c>
      <c r="K24" s="7" t="n">
        <v>6</v>
      </c>
    </row>
    <row r="25">
      <c r="A25" s="4" t="inlineStr">
        <is>
          <t>知覺</t>
        </is>
      </c>
      <c r="B25" s="4" t="inlineStr">
        <is>
          <t>奧傳</t>
        </is>
      </c>
      <c r="C25" s="6">
        <f>D9+VLOOKUP(B25,J20:K24,2,0)</f>
        <v/>
      </c>
      <c r="D25" s="8" t="inlineStr"/>
    </row>
    <row r="26">
      <c r="A26" s="4" t="inlineStr">
        <is>
          <t>兵法</t>
        </is>
      </c>
      <c r="B26" s="4" t="inlineStr">
        <is>
          <t>奧傳</t>
        </is>
      </c>
      <c r="C26" s="6">
        <f>A9+VLOOKUP(B26,J20:K24,2,0)</f>
        <v/>
      </c>
      <c r="D26" s="8" t="inlineStr"/>
    </row>
    <row r="27">
      <c r="A27" s="4" t="inlineStr">
        <is>
          <t>槍術</t>
        </is>
      </c>
      <c r="B27" s="4" t="inlineStr">
        <is>
          <t>中傳</t>
        </is>
      </c>
      <c r="C27" s="6">
        <f>A9+VLOOKUP(B27,J20:K24,2,0)</f>
        <v/>
      </c>
      <c r="D27" s="8" t="inlineStr"/>
    </row>
    <row r="29" ht="24" customHeight="1">
      <c r="A29" s="2" t="inlineStr">
        <is>
          <t>裝備與特殊能力</t>
        </is>
      </c>
    </row>
    <row r="30">
      <c r="A30" s="9" t="inlineStr">
        <is>
          <t>忠義正宗（傳說級）</t>
        </is>
      </c>
      <c r="B30" s="10" t="n"/>
      <c r="C30" s="10" t="n"/>
      <c r="D30" s="10" t="n"/>
      <c r="E30" s="11" t="n"/>
    </row>
    <row r="31">
      <c r="A31" s="9" t="inlineStr">
        <is>
          <t>犬族具足（DV修正+5）</t>
        </is>
      </c>
      <c r="B31" s="10" t="n"/>
      <c r="C31" s="10" t="n"/>
      <c r="D31" s="10" t="n"/>
      <c r="E31" s="11" t="n"/>
    </row>
    <row r="32">
      <c r="A32" s="9" t="inlineStr">
        <is>
          <t>同盟軍旗</t>
        </is>
      </c>
      <c r="B32" s="10" t="n"/>
      <c r="C32" s="10" t="n"/>
      <c r="D32" s="10" t="n"/>
      <c r="E32" s="11" t="n"/>
    </row>
    <row r="34" ht="24" customHeight="1">
      <c r="A34" s="2" t="inlineStr">
        <is>
          <t>特殊能力</t>
        </is>
      </c>
    </row>
    <row r="35">
      <c r="A35" s="9" t="inlineStr">
        <is>
          <t>忠義守護：可代替範圍內友方承受攻擊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宗師之絆：與忠義流弟子間可無視距離通訊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犬族嗅覺：自動察覺範圍內隱形目標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義理燃燒：消耗義理值使下一擊必定暴擊</t>
        </is>
      </c>
      <c r="B38" s="10" t="n"/>
      <c r="C38" s="10" t="n"/>
      <c r="D38" s="10" t="n"/>
      <c r="E38" s="10" t="n"/>
      <c r="F38" s="10" t="n"/>
      <c r="G38" s="10" t="n"/>
      <c r="H38" s="11" t="n"/>
    </row>
  </sheetData>
  <mergeCells count="14">
    <mergeCell ref="A30:E30"/>
    <mergeCell ref="A3:H3"/>
    <mergeCell ref="A29:H29"/>
    <mergeCell ref="A7:H7"/>
    <mergeCell ref="A35:H35"/>
    <mergeCell ref="A38:H38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獸人戰國 TRPG NPC — 月読姫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月読姫</t>
        </is>
      </c>
      <c r="C4" s="3" t="inlineStr">
        <is>
          <t>獸族</t>
        </is>
      </c>
      <c r="D4" s="4" t="inlineStr">
        <is>
          <t>兔族</t>
        </is>
      </c>
      <c r="E4" s="3" t="inlineStr">
        <is>
          <t>流派</t>
        </is>
      </c>
      <c r="F4" s="4" t="inlineStr">
        <is>
          <t>月影流</t>
        </is>
      </c>
      <c r="G4" s="3" t="inlineStr">
        <is>
          <t>等級</t>
        </is>
      </c>
      <c r="H4" s="4" t="n">
        <v>16</v>
      </c>
    </row>
    <row r="5">
      <c r="A5" s="3" t="inlineStr">
        <is>
          <t>身分</t>
        </is>
      </c>
      <c r="B5" s="4" t="inlineStr">
        <is>
          <t>兔族巫女·月影流宗師</t>
        </is>
      </c>
      <c r="C5" s="3" t="inlineStr">
        <is>
          <t>忠誠對象</t>
        </is>
      </c>
      <c r="D5" s="4" t="inlineStr">
        <is>
          <t>神社與兔族子民</t>
        </is>
      </c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5</v>
      </c>
      <c r="B9" s="6" t="n">
        <v>5</v>
      </c>
      <c r="C9" s="6" t="n">
        <v>12</v>
      </c>
      <c r="D9" s="6" t="n">
        <v>9</v>
      </c>
      <c r="E9" s="6" t="n">
        <v>12</v>
      </c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B9*5+16*3</f>
        <v/>
      </c>
      <c r="E12" s="3" t="inlineStr">
        <is>
          <t>當前 HP</t>
        </is>
      </c>
      <c r="F12" s="4" t="inlineStr"/>
    </row>
    <row r="13">
      <c r="A13" s="3" t="inlineStr">
        <is>
          <t>防禦值（DV）</t>
        </is>
      </c>
      <c r="B13" s="6">
        <f>10+D9+G13</f>
        <v/>
      </c>
      <c r="G13" s="4" t="inlineStr"/>
    </row>
    <row r="14">
      <c r="A14" s="3" t="inlineStr">
        <is>
          <t>移動力</t>
        </is>
      </c>
      <c r="B14" s="6">
        <f>5+D9</f>
        <v/>
      </c>
    </row>
    <row r="15">
      <c r="A15" s="3" t="inlineStr">
        <is>
          <t>先攻加值</t>
        </is>
      </c>
      <c r="B15" s="6">
        <f>D9</f>
        <v/>
      </c>
    </row>
    <row r="16">
      <c r="A16" s="3" t="inlineStr">
        <is>
          <t>刀緣值</t>
        </is>
      </c>
      <c r="B16" s="6">
        <f>E9*5</f>
        <v/>
      </c>
    </row>
    <row r="17">
      <c r="A17" s="3" t="inlineStr">
        <is>
          <t>劍氣值</t>
        </is>
      </c>
      <c r="B17" s="6">
        <f>INT(A9+E9+G17/10)</f>
        <v/>
      </c>
    </row>
    <row r="19" ht="24" customHeight="1">
      <c r="A19" s="2" t="inlineStr">
        <is>
          <t>關鍵技能</t>
        </is>
      </c>
      <c r="J19" s="3" t="inlineStr">
        <is>
          <t>熟練加值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總加值</t>
        </is>
      </c>
      <c r="D20" s="5" t="inlineStr">
        <is>
          <t>備註</t>
        </is>
      </c>
      <c r="E20" s="5" t="inlineStr"/>
      <c r="F20" s="5" t="inlineStr"/>
      <c r="G20" s="5" t="inlineStr"/>
      <c r="H20" s="5" t="inlineStr"/>
      <c r="J20" s="7" t="inlineStr">
        <is>
          <t>未修</t>
        </is>
      </c>
      <c r="K20" s="7" t="n">
        <v>-2</v>
      </c>
    </row>
    <row r="21">
      <c r="A21" s="4" t="inlineStr">
        <is>
          <t>陰陽道</t>
        </is>
      </c>
      <c r="B21" s="4" t="inlineStr">
        <is>
          <t>皆傳</t>
        </is>
      </c>
      <c r="C21" s="6">
        <f>C9+VLOOKUP(B21,J20:K24,2,0)</f>
        <v/>
      </c>
      <c r="D21" s="8" t="inlineStr">
        <is>
          <t>儀式時間減半</t>
        </is>
      </c>
      <c r="J21" s="7" t="inlineStr">
        <is>
          <t>初傳</t>
        </is>
      </c>
      <c r="K21" s="7" t="n">
        <v>0</v>
      </c>
    </row>
    <row r="22">
      <c r="A22" s="4" t="inlineStr">
        <is>
          <t>弓術</t>
        </is>
      </c>
      <c r="B22" s="4" t="inlineStr">
        <is>
          <t>奧傳</t>
        </is>
      </c>
      <c r="C22" s="6">
        <f>D9+VLOOKUP(B22,J20:K24,2,0)</f>
        <v/>
      </c>
      <c r="D22" s="8" t="inlineStr"/>
      <c r="J22" s="7" t="inlineStr">
        <is>
          <t>中傳</t>
        </is>
      </c>
      <c r="K22" s="7" t="n">
        <v>2</v>
      </c>
    </row>
    <row r="23">
      <c r="A23" s="4" t="inlineStr">
        <is>
          <t>醫術</t>
        </is>
      </c>
      <c r="B23" s="4" t="inlineStr">
        <is>
          <t>奧傳</t>
        </is>
      </c>
      <c r="C23" s="6">
        <f>E9+VLOOKUP(B23,J20:K24,2,0)</f>
        <v/>
      </c>
      <c r="D23" s="8" t="inlineStr"/>
      <c r="J23" s="7" t="inlineStr">
        <is>
          <t>奧傳</t>
        </is>
      </c>
      <c r="K23" s="7" t="n">
        <v>4</v>
      </c>
    </row>
    <row r="24">
      <c r="A24" s="4" t="inlineStr">
        <is>
          <t>洞察</t>
        </is>
      </c>
      <c r="B24" s="4" t="inlineStr">
        <is>
          <t>皆傳</t>
        </is>
      </c>
      <c r="C24" s="6">
        <f>D9+VLOOKUP(B24,J20:K24,2,0)</f>
        <v/>
      </c>
      <c r="D24" s="8" t="inlineStr"/>
      <c r="J24" s="7" t="inlineStr">
        <is>
          <t>皆傳</t>
        </is>
      </c>
      <c r="K24" s="7" t="n">
        <v>6</v>
      </c>
    </row>
    <row r="25">
      <c r="A25" s="4" t="inlineStr">
        <is>
          <t>知覺</t>
        </is>
      </c>
      <c r="B25" s="4" t="inlineStr">
        <is>
          <t>奧傳</t>
        </is>
      </c>
      <c r="C25" s="6">
        <f>D9+VLOOKUP(B25,J20:K24,2,0)</f>
        <v/>
      </c>
      <c r="D25" s="8" t="inlineStr"/>
    </row>
    <row r="26">
      <c r="A26" s="4" t="inlineStr">
        <is>
          <t>禮儀</t>
        </is>
      </c>
      <c r="B26" s="4" t="inlineStr">
        <is>
          <t>奧傳</t>
        </is>
      </c>
      <c r="C26" s="6">
        <f>E9+VLOOKUP(B26,J20:K24,2,0)</f>
        <v/>
      </c>
      <c r="D26" s="8" t="inlineStr"/>
    </row>
    <row r="27">
      <c r="A27" s="4" t="inlineStr">
        <is>
          <t>調藥</t>
        </is>
      </c>
      <c r="B27" s="4" t="inlineStr">
        <is>
          <t>中傳</t>
        </is>
      </c>
      <c r="C27" s="6">
        <f>C9+VLOOKUP(B27,J20:K24,2,0)</f>
        <v/>
      </c>
      <c r="D27" s="8" t="inlineStr"/>
    </row>
    <row r="29" ht="24" customHeight="1">
      <c r="A29" s="2" t="inlineStr">
        <is>
          <t>裝備與特殊能力</t>
        </is>
      </c>
    </row>
    <row r="30">
      <c r="A30" s="9" t="inlineStr">
        <is>
          <t>月讀神弓（傳說級）</t>
        </is>
      </c>
      <c r="B30" s="10" t="n"/>
      <c r="C30" s="10" t="n"/>
      <c r="D30" s="10" t="n"/>
      <c r="E30" s="11" t="n"/>
    </row>
    <row r="31">
      <c r="A31" s="9" t="inlineStr">
        <is>
          <t>巫女淨衣（DV修正+2）</t>
        </is>
      </c>
      <c r="B31" s="10" t="n"/>
      <c r="C31" s="10" t="n"/>
      <c r="D31" s="10" t="n"/>
      <c r="E31" s="11" t="n"/>
    </row>
    <row r="32">
      <c r="A32" s="9" t="inlineStr">
        <is>
          <t>月讀鈴（法器，陰陽道+2）</t>
        </is>
      </c>
      <c r="B32" s="10" t="n"/>
      <c r="C32" s="10" t="n"/>
      <c r="D32" s="10" t="n"/>
      <c r="E32" s="11" t="n"/>
    </row>
    <row r="34" ht="24" customHeight="1">
      <c r="A34" s="2" t="inlineStr">
        <is>
          <t>特殊能力</t>
        </is>
      </c>
    </row>
    <row r="35">
      <c r="A35" s="9" t="inlineStr">
        <is>
          <t>月光加護：夜晚戰鬥時全屬性+1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淨化之光：可解除詛咒/妖化效果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預知夢：戰鬥前可獲知敵方佈陣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兔族靈敏：閃避遠程攻擊時DV+2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9" t="inlineStr">
        <is>
          <t>宗師之眼：可看穿所有幻術</t>
        </is>
      </c>
      <c r="B39" s="10" t="n"/>
      <c r="C39" s="10" t="n"/>
      <c r="D39" s="10" t="n"/>
      <c r="E39" s="10" t="n"/>
      <c r="F39" s="10" t="n"/>
      <c r="G39" s="10" t="n"/>
      <c r="H39" s="11" t="n"/>
    </row>
  </sheetData>
  <mergeCells count="15">
    <mergeCell ref="A30:E30"/>
    <mergeCell ref="A3:H3"/>
    <mergeCell ref="A39:H39"/>
    <mergeCell ref="A29:H29"/>
    <mergeCell ref="A7:H7"/>
    <mergeCell ref="A35:H35"/>
    <mergeCell ref="A38:H38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獸人戰國 TRPG NPC — 龍神司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龍神司</t>
        </is>
      </c>
      <c r="C4" s="3" t="inlineStr">
        <is>
          <t>獸族</t>
        </is>
      </c>
      <c r="D4" s="4" t="inlineStr">
        <is>
          <t>龍族</t>
        </is>
      </c>
      <c r="E4" s="3" t="inlineStr">
        <is>
          <t>流派</t>
        </is>
      </c>
      <c r="F4" s="4" t="inlineStr">
        <is>
          <t>昇龍流</t>
        </is>
      </c>
      <c r="G4" s="3" t="inlineStr">
        <is>
          <t>等級</t>
        </is>
      </c>
      <c r="H4" s="4" t="n">
        <v>19</v>
      </c>
    </row>
    <row r="5">
      <c r="A5" s="3" t="inlineStr">
        <is>
          <t>身分</t>
        </is>
      </c>
      <c r="B5" s="4" t="inlineStr">
        <is>
          <t>龍族守護者·昇龍流宗師</t>
        </is>
      </c>
      <c r="C5" s="3" t="inlineStr">
        <is>
          <t>忠誠對象</t>
        </is>
      </c>
      <c r="D5" s="4" t="inlineStr">
        <is>
          <t>龍神與世界的平衡</t>
        </is>
      </c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12</v>
      </c>
      <c r="B9" s="6" t="n">
        <v>12</v>
      </c>
      <c r="C9" s="6" t="n">
        <v>10</v>
      </c>
      <c r="D9" s="6" t="n">
        <v>10</v>
      </c>
      <c r="E9" s="6" t="n">
        <v>12</v>
      </c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B9*5+19*3</f>
        <v/>
      </c>
      <c r="E12" s="3" t="inlineStr">
        <is>
          <t>當前 HP</t>
        </is>
      </c>
      <c r="F12" s="4" t="inlineStr"/>
    </row>
    <row r="13">
      <c r="A13" s="3" t="inlineStr">
        <is>
          <t>防禦值（DV）</t>
        </is>
      </c>
      <c r="B13" s="6">
        <f>10+D9+G13</f>
        <v/>
      </c>
      <c r="G13" s="4" t="inlineStr"/>
    </row>
    <row r="14">
      <c r="A14" s="3" t="inlineStr">
        <is>
          <t>移動力</t>
        </is>
      </c>
      <c r="B14" s="6">
        <f>5+D9</f>
        <v/>
      </c>
    </row>
    <row r="15">
      <c r="A15" s="3" t="inlineStr">
        <is>
          <t>先攻加值</t>
        </is>
      </c>
      <c r="B15" s="6">
        <f>D9</f>
        <v/>
      </c>
    </row>
    <row r="16">
      <c r="A16" s="3" t="inlineStr">
        <is>
          <t>刀緣值</t>
        </is>
      </c>
      <c r="B16" s="6">
        <f>E9*5</f>
        <v/>
      </c>
    </row>
    <row r="17">
      <c r="A17" s="3" t="inlineStr">
        <is>
          <t>劍氣值</t>
        </is>
      </c>
      <c r="B17" s="6">
        <f>INT(A9+E9+G17/10)</f>
        <v/>
      </c>
    </row>
    <row r="19" ht="24" customHeight="1">
      <c r="A19" s="2" t="inlineStr">
        <is>
          <t>關鍵技能</t>
        </is>
      </c>
      <c r="J19" s="3" t="inlineStr">
        <is>
          <t>熟練加值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總加值</t>
        </is>
      </c>
      <c r="D20" s="5" t="inlineStr">
        <is>
          <t>備註</t>
        </is>
      </c>
      <c r="E20" s="5" t="inlineStr"/>
      <c r="F20" s="5" t="inlineStr"/>
      <c r="G20" s="5" t="inlineStr"/>
      <c r="H20" s="5" t="inlineStr"/>
      <c r="J20" s="7" t="inlineStr">
        <is>
          <t>未修</t>
        </is>
      </c>
      <c r="K20" s="7" t="n">
        <v>-2</v>
      </c>
    </row>
    <row r="21">
      <c r="A21" s="4" t="inlineStr">
        <is>
          <t>刀術</t>
        </is>
      </c>
      <c r="B21" s="4" t="inlineStr">
        <is>
          <t>皆傳</t>
        </is>
      </c>
      <c r="C21" s="6">
        <f>A9+VLOOKUP(B21,J20:K24,2,0)</f>
        <v/>
      </c>
      <c r="D21" s="8" t="inlineStr">
        <is>
          <t>昇龍流招式範圍+1</t>
        </is>
      </c>
      <c r="J21" s="7" t="inlineStr">
        <is>
          <t>初傳</t>
        </is>
      </c>
      <c r="K21" s="7" t="n">
        <v>0</v>
      </c>
    </row>
    <row r="22">
      <c r="A22" s="4" t="inlineStr">
        <is>
          <t>體術</t>
        </is>
      </c>
      <c r="B22" s="4" t="inlineStr">
        <is>
          <t>皆傳</t>
        </is>
      </c>
      <c r="C22" s="6">
        <f>B9+VLOOKUP(B22,J20:K24,2,0)</f>
        <v/>
      </c>
      <c r="D22" s="8" t="inlineStr"/>
      <c r="J22" s="7" t="inlineStr">
        <is>
          <t>中傳</t>
        </is>
      </c>
      <c r="K22" s="7" t="n">
        <v>2</v>
      </c>
    </row>
    <row r="23">
      <c r="A23" s="4" t="inlineStr">
        <is>
          <t>兵法</t>
        </is>
      </c>
      <c r="B23" s="4" t="inlineStr">
        <is>
          <t>皆傳</t>
        </is>
      </c>
      <c r="C23" s="6">
        <f>A9+VLOOKUP(B23,J20:K24,2,0)</f>
        <v/>
      </c>
      <c r="D23" s="8" t="inlineStr"/>
      <c r="J23" s="7" t="inlineStr">
        <is>
          <t>奧傳</t>
        </is>
      </c>
      <c r="K23" s="7" t="n">
        <v>4</v>
      </c>
    </row>
    <row r="24">
      <c r="A24" s="4" t="inlineStr">
        <is>
          <t>威壓</t>
        </is>
      </c>
      <c r="B24" s="4" t="inlineStr">
        <is>
          <t>皆傳</t>
        </is>
      </c>
      <c r="C24" s="6">
        <f>E9+VLOOKUP(B24,J20:K24,2,0)</f>
        <v/>
      </c>
      <c r="D24" s="8" t="inlineStr"/>
      <c r="J24" s="7" t="inlineStr">
        <is>
          <t>皆傳</t>
        </is>
      </c>
      <c r="K24" s="7" t="n">
        <v>6</v>
      </c>
    </row>
    <row r="25">
      <c r="A25" s="4" t="inlineStr">
        <is>
          <t>說服</t>
        </is>
      </c>
      <c r="B25" s="4" t="inlineStr">
        <is>
          <t>奧傳</t>
        </is>
      </c>
      <c r="C25" s="6">
        <f>E9+VLOOKUP(B25,J20:K24,2,0)</f>
        <v/>
      </c>
      <c r="D25" s="8" t="inlineStr"/>
    </row>
    <row r="26">
      <c r="A26" s="4" t="inlineStr">
        <is>
          <t>洞察</t>
        </is>
      </c>
      <c r="B26" s="4" t="inlineStr">
        <is>
          <t>皆傳</t>
        </is>
      </c>
      <c r="C26" s="6">
        <f>D9+VLOOKUP(B26,J20:K24,2,0)</f>
        <v/>
      </c>
      <c r="D26" s="8" t="inlineStr"/>
    </row>
    <row r="27">
      <c r="A27" s="4" t="inlineStr">
        <is>
          <t>陰陽道</t>
        </is>
      </c>
      <c r="B27" s="4" t="inlineStr">
        <is>
          <t>奧傳</t>
        </is>
      </c>
      <c r="C27" s="6">
        <f>C9+VLOOKUP(B27,J20:K24,2,0)</f>
        <v/>
      </c>
      <c r="D27" s="8" t="inlineStr"/>
    </row>
    <row r="29" ht="24" customHeight="1">
      <c r="A29" s="2" t="inlineStr">
        <is>
          <t>裝備與特殊能力</t>
        </is>
      </c>
    </row>
    <row r="30">
      <c r="A30" s="9" t="inlineStr">
        <is>
          <t>龍鱗太刀（神話級）</t>
        </is>
      </c>
      <c r="B30" s="10" t="n"/>
      <c r="C30" s="10" t="n"/>
      <c r="D30" s="10" t="n"/>
      <c r="E30" s="11" t="n"/>
    </row>
    <row r="31">
      <c r="A31" s="9" t="inlineStr">
        <is>
          <t>龍鱗鎧（DV修正+8）</t>
        </is>
      </c>
      <c r="B31" s="10" t="n"/>
      <c r="C31" s="10" t="n"/>
      <c r="D31" s="10" t="n"/>
      <c r="E31" s="11" t="n"/>
    </row>
    <row r="32">
      <c r="A32" s="9" t="inlineStr">
        <is>
          <t>龍神勾玉（全屬性+1）</t>
        </is>
      </c>
      <c r="B32" s="10" t="n"/>
      <c r="C32" s="10" t="n"/>
      <c r="D32" s="10" t="n"/>
      <c r="E32" s="11" t="n"/>
    </row>
    <row r="34" ht="24" customHeight="1">
      <c r="A34" s="2" t="inlineStr">
        <is>
          <t>特殊能力</t>
        </is>
      </c>
    </row>
    <row r="35">
      <c r="A35" s="9" t="inlineStr">
        <is>
          <t>龍神降臨：1次/日，10回合內全屬性+3，HP回復全滿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龍威：範圍內敵方每回合需通過魂魄對抗，失敗攻擊-2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龍族再生：每回合自動回復HP 10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昇龍霸：對單體造成無視防禦的傷害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9" t="inlineStr">
        <is>
          <t>宗師之理：可教導任何流派招式給弟子</t>
        </is>
      </c>
      <c r="B39" s="10" t="n"/>
      <c r="C39" s="10" t="n"/>
      <c r="D39" s="10" t="n"/>
      <c r="E39" s="10" t="n"/>
      <c r="F39" s="10" t="n"/>
      <c r="G39" s="10" t="n"/>
      <c r="H39" s="11" t="n"/>
    </row>
    <row r="40">
      <c r="A40" s="9" t="inlineStr">
        <is>
          <t>龍鱗防護：物理傷害減免5</t>
        </is>
      </c>
      <c r="B40" s="10" t="n"/>
      <c r="C40" s="10" t="n"/>
      <c r="D40" s="10" t="n"/>
      <c r="E40" s="10" t="n"/>
      <c r="F40" s="10" t="n"/>
      <c r="G40" s="10" t="n"/>
      <c r="H40" s="11" t="n"/>
    </row>
  </sheetData>
  <mergeCells count="16">
    <mergeCell ref="A30:E30"/>
    <mergeCell ref="A3:H3"/>
    <mergeCell ref="A39:H39"/>
    <mergeCell ref="A29:H29"/>
    <mergeCell ref="A7:H7"/>
    <mergeCell ref="A35:H35"/>
    <mergeCell ref="A38:H38"/>
    <mergeCell ref="A40:H40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獸人戰國 TRPG NPC — 淨海僧正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淨海僧正</t>
        </is>
      </c>
      <c r="C4" s="3" t="inlineStr">
        <is>
          <t>獸族</t>
        </is>
      </c>
      <c r="D4" s="4" t="inlineStr">
        <is>
          <t>羊族</t>
        </is>
      </c>
      <c r="E4" s="3" t="inlineStr">
        <is>
          <t>流派</t>
        </is>
      </c>
      <c r="F4" s="4" t="inlineStr">
        <is>
          <t>淨土流</t>
        </is>
      </c>
      <c r="G4" s="3" t="inlineStr">
        <is>
          <t>等級</t>
        </is>
      </c>
      <c r="H4" s="4" t="n">
        <v>17</v>
      </c>
    </row>
    <row r="5">
      <c r="A5" s="3" t="inlineStr">
        <is>
          <t>身分</t>
        </is>
      </c>
      <c r="B5" s="4" t="inlineStr">
        <is>
          <t>羊族僧侶·淨土流宗師</t>
        </is>
      </c>
      <c r="C5" s="3" t="inlineStr">
        <is>
          <t>忠誠對象</t>
        </is>
      </c>
      <c r="D5" s="4" t="inlineStr">
        <is>
          <t>淨土寺與眾生</t>
        </is>
      </c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6</v>
      </c>
      <c r="B9" s="6" t="n">
        <v>9</v>
      </c>
      <c r="C9" s="6" t="n">
        <v>8</v>
      </c>
      <c r="D9" s="6" t="n">
        <v>7</v>
      </c>
      <c r="E9" s="6" t="n">
        <v>12</v>
      </c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B9*5+17*3</f>
        <v/>
      </c>
      <c r="E12" s="3" t="inlineStr">
        <is>
          <t>當前 HP</t>
        </is>
      </c>
      <c r="F12" s="4" t="inlineStr"/>
    </row>
    <row r="13">
      <c r="A13" s="3" t="inlineStr">
        <is>
          <t>防禦值（DV）</t>
        </is>
      </c>
      <c r="B13" s="6">
        <f>10+D9+G13</f>
        <v/>
      </c>
      <c r="G13" s="4" t="inlineStr"/>
    </row>
    <row r="14">
      <c r="A14" s="3" t="inlineStr">
        <is>
          <t>移動力</t>
        </is>
      </c>
      <c r="B14" s="6">
        <f>5+D9</f>
        <v/>
      </c>
    </row>
    <row r="15">
      <c r="A15" s="3" t="inlineStr">
        <is>
          <t>先攻加值</t>
        </is>
      </c>
      <c r="B15" s="6">
        <f>D9</f>
        <v/>
      </c>
    </row>
    <row r="16">
      <c r="A16" s="3" t="inlineStr">
        <is>
          <t>刀緣值</t>
        </is>
      </c>
      <c r="B16" s="6">
        <f>E9*5</f>
        <v/>
      </c>
    </row>
    <row r="17">
      <c r="A17" s="3" t="inlineStr">
        <is>
          <t>劍氣值</t>
        </is>
      </c>
      <c r="B17" s="6">
        <f>INT(A9+E9+G17/10)</f>
        <v/>
      </c>
    </row>
    <row r="19" ht="24" customHeight="1">
      <c r="A19" s="2" t="inlineStr">
        <is>
          <t>關鍵技能</t>
        </is>
      </c>
      <c r="J19" s="3" t="inlineStr">
        <is>
          <t>熟練加值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總加值</t>
        </is>
      </c>
      <c r="D20" s="5" t="inlineStr">
        <is>
          <t>備註</t>
        </is>
      </c>
      <c r="E20" s="5" t="inlineStr"/>
      <c r="F20" s="5" t="inlineStr"/>
      <c r="G20" s="5" t="inlineStr"/>
      <c r="H20" s="5" t="inlineStr"/>
      <c r="J20" s="7" t="inlineStr">
        <is>
          <t>未修</t>
        </is>
      </c>
      <c r="K20" s="7" t="n">
        <v>-2</v>
      </c>
    </row>
    <row r="21">
      <c r="A21" s="4" t="inlineStr">
        <is>
          <t>醫術</t>
        </is>
      </c>
      <c r="B21" s="4" t="inlineStr">
        <is>
          <t>皆傳</t>
        </is>
      </c>
      <c r="C21" s="6">
        <f>E9+VLOOKUP(B21,J20:K24,2,0)</f>
        <v/>
      </c>
      <c r="D21" s="8" t="inlineStr">
        <is>
          <t>治療量+50%</t>
        </is>
      </c>
      <c r="J21" s="7" t="inlineStr">
        <is>
          <t>初傳</t>
        </is>
      </c>
      <c r="K21" s="7" t="n">
        <v>0</v>
      </c>
    </row>
    <row r="22">
      <c r="A22" s="4" t="inlineStr">
        <is>
          <t>禮儀</t>
        </is>
      </c>
      <c r="B22" s="4" t="inlineStr">
        <is>
          <t>皆傳</t>
        </is>
      </c>
      <c r="C22" s="6">
        <f>E9+VLOOKUP(B22,J20:K24,2,0)</f>
        <v/>
      </c>
      <c r="D22" s="8" t="inlineStr"/>
      <c r="J22" s="7" t="inlineStr">
        <is>
          <t>中傳</t>
        </is>
      </c>
      <c r="K22" s="7" t="n">
        <v>2</v>
      </c>
    </row>
    <row r="23">
      <c r="A23" s="4" t="inlineStr">
        <is>
          <t>說服</t>
        </is>
      </c>
      <c r="B23" s="4" t="inlineStr">
        <is>
          <t>奧傳</t>
        </is>
      </c>
      <c r="C23" s="6">
        <f>E9+VLOOKUP(B23,J20:K24,2,0)</f>
        <v/>
      </c>
      <c r="D23" s="8" t="inlineStr"/>
      <c r="J23" s="7" t="inlineStr">
        <is>
          <t>奧傳</t>
        </is>
      </c>
      <c r="K23" s="7" t="n">
        <v>4</v>
      </c>
    </row>
    <row r="24">
      <c r="A24" s="4" t="inlineStr">
        <is>
          <t>體術</t>
        </is>
      </c>
      <c r="B24" s="4" t="inlineStr">
        <is>
          <t>中傳</t>
        </is>
      </c>
      <c r="C24" s="6">
        <f>B9+VLOOKUP(B24,J20:K24,2,0)</f>
        <v/>
      </c>
      <c r="D24" s="8" t="inlineStr"/>
      <c r="J24" s="7" t="inlineStr">
        <is>
          <t>皆傳</t>
        </is>
      </c>
      <c r="K24" s="7" t="n">
        <v>6</v>
      </c>
    </row>
    <row r="25">
      <c r="A25" s="4" t="inlineStr">
        <is>
          <t>洞察</t>
        </is>
      </c>
      <c r="B25" s="4" t="inlineStr">
        <is>
          <t>奧傳</t>
        </is>
      </c>
      <c r="C25" s="6">
        <f>D9+VLOOKUP(B25,J20:K24,2,0)</f>
        <v/>
      </c>
      <c r="D25" s="8" t="inlineStr"/>
    </row>
    <row r="26">
      <c r="A26" s="4" t="inlineStr">
        <is>
          <t>茶道</t>
        </is>
      </c>
      <c r="B26" s="4" t="inlineStr">
        <is>
          <t>皆傳</t>
        </is>
      </c>
      <c r="C26" s="6">
        <f>A9+VLOOKUP(B26,J20:K24,2,0)</f>
        <v/>
      </c>
      <c r="D26" s="8" t="inlineStr"/>
    </row>
    <row r="27">
      <c r="A27" s="4" t="inlineStr">
        <is>
          <t>調藥</t>
        </is>
      </c>
      <c r="B27" s="4" t="inlineStr">
        <is>
          <t>奧傳</t>
        </is>
      </c>
      <c r="C27" s="6">
        <f>C9+VLOOKUP(B27,J20:K24,2,0)</f>
        <v/>
      </c>
      <c r="D27" s="8" t="inlineStr"/>
    </row>
    <row r="29" ht="24" customHeight="1">
      <c r="A29" s="2" t="inlineStr">
        <is>
          <t>裝備與特殊能力</t>
        </is>
      </c>
    </row>
    <row r="30">
      <c r="A30" s="9" t="inlineStr">
        <is>
          <t>淨土數珠（法器）</t>
        </is>
      </c>
      <c r="B30" s="10" t="n"/>
      <c r="C30" s="10" t="n"/>
      <c r="D30" s="10" t="n"/>
      <c r="E30" s="11" t="n"/>
    </row>
    <row r="31">
      <c r="A31" s="9" t="inlineStr">
        <is>
          <t>僧衣（DV修正+1）</t>
        </is>
      </c>
      <c r="B31" s="10" t="n"/>
      <c r="C31" s="10" t="n"/>
      <c r="D31" s="10" t="n"/>
      <c r="E31" s="11" t="n"/>
    </row>
    <row r="32">
      <c r="A32" s="9" t="inlineStr">
        <is>
          <t>藥箱（治療道具齊全）</t>
        </is>
      </c>
      <c r="B32" s="10" t="n"/>
      <c r="C32" s="10" t="n"/>
      <c r="D32" s="10" t="n"/>
      <c r="E32" s="11" t="n"/>
    </row>
    <row r="34" ht="24" customHeight="1">
      <c r="A34" s="2" t="inlineStr">
        <is>
          <t>特殊能力</t>
        </is>
      </c>
    </row>
    <row r="35">
      <c r="A35" s="9" t="inlineStr">
        <is>
          <t>淨土癒合：範圍治療，回復HP=（魂魄值）×3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不動明王護法：自身DV+3，免疫精神效果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羊族慈愛：感知範圍內所有友方HP狀態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宗師的智慧：可解除任何異常狀態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9" t="inlineStr">
        <is>
          <t>因果報應：對邪惡生物傷害+2d6</t>
        </is>
      </c>
      <c r="B39" s="10" t="n"/>
      <c r="C39" s="10" t="n"/>
      <c r="D39" s="10" t="n"/>
      <c r="E39" s="10" t="n"/>
      <c r="F39" s="10" t="n"/>
      <c r="G39" s="10" t="n"/>
      <c r="H39" s="11" t="n"/>
    </row>
  </sheetData>
  <mergeCells count="15">
    <mergeCell ref="A30:E30"/>
    <mergeCell ref="A3:H3"/>
    <mergeCell ref="A39:H39"/>
    <mergeCell ref="A29:H29"/>
    <mergeCell ref="A7:H7"/>
    <mergeCell ref="A35:H35"/>
    <mergeCell ref="A38:H38"/>
    <mergeCell ref="A19:H19"/>
    <mergeCell ref="A11:H11"/>
    <mergeCell ref="A32:E32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獸人戰國 TRPG NPC — 鳳凰院光秀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鳳凰院光秀</t>
        </is>
      </c>
      <c r="C4" s="3" t="inlineStr">
        <is>
          <t>獸族</t>
        </is>
      </c>
      <c r="D4" s="4" t="inlineStr">
        <is>
          <t>雞族</t>
        </is>
      </c>
      <c r="E4" s="3" t="inlineStr">
        <is>
          <t>流派</t>
        </is>
      </c>
      <c r="F4" s="4" t="inlineStr">
        <is>
          <t>鳳凰流</t>
        </is>
      </c>
      <c r="G4" s="3" t="inlineStr">
        <is>
          <t>等級</t>
        </is>
      </c>
      <c r="H4" s="4" t="n">
        <v>15</v>
      </c>
    </row>
    <row r="5">
      <c r="A5" s="3" t="inlineStr">
        <is>
          <t>身分</t>
        </is>
      </c>
      <c r="B5" s="4" t="inlineStr">
        <is>
          <t>雞族弓術師範·鳳凰流宗師</t>
        </is>
      </c>
      <c r="C5" s="3" t="inlineStr">
        <is>
          <t>忠誠對象</t>
        </is>
      </c>
      <c r="D5" s="4" t="inlineStr">
        <is>
          <t>雞族與鳳凰流傳承</t>
        </is>
      </c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7</v>
      </c>
      <c r="B9" s="6" t="n">
        <v>5</v>
      </c>
      <c r="C9" s="6" t="n">
        <v>8</v>
      </c>
      <c r="D9" s="6" t="n">
        <v>10</v>
      </c>
      <c r="E9" s="6" t="n">
        <v>9</v>
      </c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B9*5+15*3</f>
        <v/>
      </c>
      <c r="E12" s="3" t="inlineStr">
        <is>
          <t>當前 HP</t>
        </is>
      </c>
      <c r="F12" s="4" t="inlineStr"/>
    </row>
    <row r="13">
      <c r="A13" s="3" t="inlineStr">
        <is>
          <t>防禦值（DV）</t>
        </is>
      </c>
      <c r="B13" s="6">
        <f>10+D9+G13</f>
        <v/>
      </c>
      <c r="G13" s="4" t="inlineStr"/>
    </row>
    <row r="14">
      <c r="A14" s="3" t="inlineStr">
        <is>
          <t>移動力</t>
        </is>
      </c>
      <c r="B14" s="6">
        <f>5+D9</f>
        <v/>
      </c>
    </row>
    <row r="15">
      <c r="A15" s="3" t="inlineStr">
        <is>
          <t>先攻加值</t>
        </is>
      </c>
      <c r="B15" s="6">
        <f>D9</f>
        <v/>
      </c>
    </row>
    <row r="16">
      <c r="A16" s="3" t="inlineStr">
        <is>
          <t>刀緣值</t>
        </is>
      </c>
      <c r="B16" s="6">
        <f>E9*5</f>
        <v/>
      </c>
    </row>
    <row r="17">
      <c r="A17" s="3" t="inlineStr">
        <is>
          <t>劍氣值</t>
        </is>
      </c>
      <c r="B17" s="6">
        <f>INT(A9+E9+G17/10)</f>
        <v/>
      </c>
    </row>
    <row r="19" ht="24" customHeight="1">
      <c r="A19" s="2" t="inlineStr">
        <is>
          <t>關鍵技能</t>
        </is>
      </c>
      <c r="J19" s="3" t="inlineStr">
        <is>
          <t>熟練加值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總加值</t>
        </is>
      </c>
      <c r="D20" s="5" t="inlineStr">
        <is>
          <t>備註</t>
        </is>
      </c>
      <c r="E20" s="5" t="inlineStr"/>
      <c r="F20" s="5" t="inlineStr"/>
      <c r="G20" s="5" t="inlineStr"/>
      <c r="H20" s="5" t="inlineStr"/>
      <c r="J20" s="7" t="inlineStr">
        <is>
          <t>未修</t>
        </is>
      </c>
      <c r="K20" s="7" t="n">
        <v>-2</v>
      </c>
    </row>
    <row r="21">
      <c r="A21" s="4" t="inlineStr">
        <is>
          <t>弓術</t>
        </is>
      </c>
      <c r="B21" s="4" t="inlineStr">
        <is>
          <t>皆傳</t>
        </is>
      </c>
      <c r="C21" s="6">
        <f>D9+VLOOKUP(B21,J20:K24,2,0)</f>
        <v/>
      </c>
      <c r="D21" s="8" t="inlineStr">
        <is>
          <t>鳳凰流弓術命中+2</t>
        </is>
      </c>
      <c r="J21" s="7" t="inlineStr">
        <is>
          <t>初傳</t>
        </is>
      </c>
      <c r="K21" s="7" t="n">
        <v>0</v>
      </c>
    </row>
    <row r="22">
      <c r="A22" s="4" t="inlineStr">
        <is>
          <t>禮儀</t>
        </is>
      </c>
      <c r="B22" s="4" t="inlineStr">
        <is>
          <t>奧傳</t>
        </is>
      </c>
      <c r="C22" s="6">
        <f>E9+VLOOKUP(B22,J20:K24,2,0)</f>
        <v/>
      </c>
      <c r="D22" s="8" t="inlineStr"/>
      <c r="J22" s="7" t="inlineStr">
        <is>
          <t>中傳</t>
        </is>
      </c>
      <c r="K22" s="7" t="n">
        <v>2</v>
      </c>
    </row>
    <row r="23">
      <c r="A23" s="4" t="inlineStr">
        <is>
          <t>洞察</t>
        </is>
      </c>
      <c r="B23" s="4" t="inlineStr">
        <is>
          <t>奧傳</t>
        </is>
      </c>
      <c r="C23" s="6">
        <f>D9+VLOOKUP(B23,J20:K24,2,0)</f>
        <v/>
      </c>
      <c r="D23" s="8" t="inlineStr"/>
      <c r="J23" s="7" t="inlineStr">
        <is>
          <t>奧傳</t>
        </is>
      </c>
      <c r="K23" s="7" t="n">
        <v>4</v>
      </c>
    </row>
    <row r="24">
      <c r="A24" s="4" t="inlineStr">
        <is>
          <t>知覺</t>
        </is>
      </c>
      <c r="B24" s="4" t="inlineStr">
        <is>
          <t>奧傳</t>
        </is>
      </c>
      <c r="C24" s="6">
        <f>D9+VLOOKUP(B24,J20:K24,2,0)</f>
        <v/>
      </c>
      <c r="D24" s="8" t="inlineStr"/>
      <c r="J24" s="7" t="inlineStr">
        <is>
          <t>皆傳</t>
        </is>
      </c>
      <c r="K24" s="7" t="n">
        <v>6</v>
      </c>
    </row>
    <row r="25">
      <c r="A25" s="4" t="inlineStr">
        <is>
          <t>說服</t>
        </is>
      </c>
      <c r="B25" s="4" t="inlineStr">
        <is>
          <t>中傳</t>
        </is>
      </c>
      <c r="C25" s="6">
        <f>E9+VLOOKUP(B25,J20:K24,2,0)</f>
        <v/>
      </c>
      <c r="D25" s="8" t="inlineStr"/>
    </row>
    <row r="26">
      <c r="A26" s="4" t="inlineStr">
        <is>
          <t>威壓</t>
        </is>
      </c>
      <c r="B26" s="4" t="inlineStr">
        <is>
          <t>中傳</t>
        </is>
      </c>
      <c r="C26" s="6">
        <f>E9+VLOOKUP(B26,J20:K24,2,0)</f>
        <v/>
      </c>
      <c r="D26" s="8" t="inlineStr"/>
    </row>
    <row r="27">
      <c r="A27" s="4" t="inlineStr">
        <is>
          <t>兵法</t>
        </is>
      </c>
      <c r="B27" s="4" t="inlineStr">
        <is>
          <t>中傳</t>
        </is>
      </c>
      <c r="C27" s="6">
        <f>A9+VLOOKUP(B27,J20:K24,2,0)</f>
        <v/>
      </c>
      <c r="D27" s="8" t="inlineStr"/>
    </row>
    <row r="29" ht="24" customHeight="1">
      <c r="A29" s="2" t="inlineStr">
        <is>
          <t>裝備與特殊能力</t>
        </is>
      </c>
    </row>
    <row r="30">
      <c r="A30" s="9" t="inlineStr">
        <is>
          <t>鳳凰長弓（傳說級，射程極長）</t>
        </is>
      </c>
      <c r="B30" s="10" t="n"/>
      <c r="C30" s="10" t="n"/>
      <c r="D30" s="10" t="n"/>
      <c r="E30" s="11" t="n"/>
    </row>
    <row r="31">
      <c r="A31" s="9" t="inlineStr">
        <is>
          <t>羽衣輕鎧（DV修正+3，不減移動）</t>
        </is>
      </c>
      <c r="B31" s="10" t="n"/>
      <c r="C31" s="10" t="n"/>
      <c r="D31" s="10" t="n"/>
      <c r="E31" s="11" t="n"/>
    </row>
    <row r="33" ht="24" customHeight="1">
      <c r="A33" s="2" t="inlineStr">
        <is>
          <t>特殊能力</t>
        </is>
      </c>
    </row>
    <row r="34">
      <c r="A34" s="9" t="inlineStr">
        <is>
          <t>鳳凰矢：消耗5刀氣，遠程攻擊必定命中且暴擊</t>
        </is>
      </c>
      <c r="B34" s="10" t="n"/>
      <c r="C34" s="10" t="n"/>
      <c r="D34" s="10" t="n"/>
      <c r="E34" s="10" t="n"/>
      <c r="F34" s="10" t="n"/>
      <c r="G34" s="10" t="n"/>
      <c r="H34" s="11" t="n"/>
    </row>
    <row r="35">
      <c r="A35" s="9" t="inlineStr">
        <is>
          <t>火羽散射：對範圍內敵方全體進行遠程攻擊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雞族晨鳴：開場全隊先攻+2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宗師之矢：遠程攻擊可無視掩體</t>
        </is>
      </c>
      <c r="B37" s="10" t="n"/>
      <c r="C37" s="10" t="n"/>
      <c r="D37" s="10" t="n"/>
      <c r="E37" s="10" t="n"/>
      <c r="F37" s="10" t="n"/>
      <c r="G37" s="10" t="n"/>
      <c r="H37" s="11" t="n"/>
    </row>
  </sheetData>
  <mergeCells count="13">
    <mergeCell ref="A30:E30"/>
    <mergeCell ref="A3:H3"/>
    <mergeCell ref="A29:H29"/>
    <mergeCell ref="A7:H7"/>
    <mergeCell ref="A35:H35"/>
    <mergeCell ref="A19:H19"/>
    <mergeCell ref="A11:H11"/>
    <mergeCell ref="A33:H33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獸人戰國 TRPG NPC — 蛇目千代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蛇目千代</t>
        </is>
      </c>
      <c r="C4" s="3" t="inlineStr">
        <is>
          <t>獸族</t>
        </is>
      </c>
      <c r="D4" s="4" t="inlineStr">
        <is>
          <t>蛇族</t>
        </is>
      </c>
      <c r="E4" s="3" t="inlineStr">
        <is>
          <t>流派</t>
        </is>
      </c>
      <c r="F4" s="4" t="inlineStr">
        <is>
          <t>蛇咬流</t>
        </is>
      </c>
      <c r="G4" s="3" t="inlineStr">
        <is>
          <t>等級</t>
        </is>
      </c>
      <c r="H4" s="4" t="n">
        <v>15</v>
      </c>
    </row>
    <row r="5">
      <c r="A5" s="3" t="inlineStr">
        <is>
          <t>身分</t>
        </is>
      </c>
      <c r="B5" s="4" t="inlineStr">
        <is>
          <t>蛇族大名·蛇咬流宗師</t>
        </is>
      </c>
      <c r="C5" s="3" t="inlineStr">
        <is>
          <t>忠誠對象</t>
        </is>
      </c>
      <c r="D5" s="4" t="inlineStr">
        <is>
          <t>蛇族與自身野心</t>
        </is>
      </c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9</v>
      </c>
      <c r="B9" s="6" t="n">
        <v>6</v>
      </c>
      <c r="C9" s="6" t="n">
        <v>10</v>
      </c>
      <c r="D9" s="6" t="n">
        <v>10</v>
      </c>
      <c r="E9" s="6" t="n">
        <v>8</v>
      </c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B9*5+15*3</f>
        <v/>
      </c>
      <c r="E12" s="3" t="inlineStr">
        <is>
          <t>當前 HP</t>
        </is>
      </c>
      <c r="F12" s="4" t="inlineStr"/>
    </row>
    <row r="13">
      <c r="A13" s="3" t="inlineStr">
        <is>
          <t>防禦值（DV）</t>
        </is>
      </c>
      <c r="B13" s="6">
        <f>10+D9+G13</f>
        <v/>
      </c>
      <c r="G13" s="4" t="inlineStr"/>
    </row>
    <row r="14">
      <c r="A14" s="3" t="inlineStr">
        <is>
          <t>移動力</t>
        </is>
      </c>
      <c r="B14" s="6">
        <f>5+D9</f>
        <v/>
      </c>
    </row>
    <row r="15">
      <c r="A15" s="3" t="inlineStr">
        <is>
          <t>先攻加值</t>
        </is>
      </c>
      <c r="B15" s="6">
        <f>D9</f>
        <v/>
      </c>
    </row>
    <row r="16">
      <c r="A16" s="3" t="inlineStr">
        <is>
          <t>刀緣值</t>
        </is>
      </c>
      <c r="B16" s="6">
        <f>E9*5</f>
        <v/>
      </c>
    </row>
    <row r="17">
      <c r="A17" s="3" t="inlineStr">
        <is>
          <t>劍氣值</t>
        </is>
      </c>
      <c r="B17" s="6">
        <f>INT(A9+E9+G17/10)</f>
        <v/>
      </c>
    </row>
    <row r="19" ht="24" customHeight="1">
      <c r="A19" s="2" t="inlineStr">
        <is>
          <t>關鍵技能</t>
        </is>
      </c>
      <c r="J19" s="3" t="inlineStr">
        <is>
          <t>熟練加值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總加值</t>
        </is>
      </c>
      <c r="D20" s="5" t="inlineStr">
        <is>
          <t>備註</t>
        </is>
      </c>
      <c r="E20" s="5" t="inlineStr"/>
      <c r="F20" s="5" t="inlineStr"/>
      <c r="G20" s="5" t="inlineStr"/>
      <c r="H20" s="5" t="inlineStr"/>
      <c r="J20" s="7" t="inlineStr">
        <is>
          <t>未修</t>
        </is>
      </c>
      <c r="K20" s="7" t="n">
        <v>-2</v>
      </c>
    </row>
    <row r="21">
      <c r="A21" s="4" t="inlineStr">
        <is>
          <t>刀術</t>
        </is>
      </c>
      <c r="B21" s="4" t="inlineStr">
        <is>
          <t>奧傳</t>
        </is>
      </c>
      <c r="C21" s="6">
        <f>A9+VLOOKUP(B21,J20:K24,2,0)</f>
        <v/>
      </c>
      <c r="D21" s="8" t="inlineStr">
        <is>
          <t>蛇咬流攻擊附帶毒素</t>
        </is>
      </c>
      <c r="J21" s="7" t="inlineStr">
        <is>
          <t>初傳</t>
        </is>
      </c>
      <c r="K21" s="7" t="n">
        <v>0</v>
      </c>
    </row>
    <row r="22">
      <c r="A22" s="4" t="inlineStr">
        <is>
          <t>潛行</t>
        </is>
      </c>
      <c r="B22" s="4" t="inlineStr">
        <is>
          <t>皆傳</t>
        </is>
      </c>
      <c r="C22" s="6">
        <f>D9+VLOOKUP(B22,J20:K24,2,0)</f>
        <v/>
      </c>
      <c r="D22" s="8" t="inlineStr"/>
      <c r="J22" s="7" t="inlineStr">
        <is>
          <t>中傳</t>
        </is>
      </c>
      <c r="K22" s="7" t="n">
        <v>2</v>
      </c>
    </row>
    <row r="23">
      <c r="A23" s="4" t="inlineStr">
        <is>
          <t>欺瞞</t>
        </is>
      </c>
      <c r="B23" s="4" t="inlineStr">
        <is>
          <t>奧傳</t>
        </is>
      </c>
      <c r="C23" s="6">
        <f>A9+VLOOKUP(B23,J20:K24,2,0)</f>
        <v/>
      </c>
      <c r="D23" s="8" t="inlineStr"/>
      <c r="J23" s="7" t="inlineStr">
        <is>
          <t>奧傳</t>
        </is>
      </c>
      <c r="K23" s="7" t="n">
        <v>4</v>
      </c>
    </row>
    <row r="24">
      <c r="A24" s="4" t="inlineStr">
        <is>
          <t>威壓</t>
        </is>
      </c>
      <c r="B24" s="4" t="inlineStr">
        <is>
          <t>奧傳</t>
        </is>
      </c>
      <c r="C24" s="6">
        <f>E9+VLOOKUP(B24,J20:K24,2,0)</f>
        <v/>
      </c>
      <c r="D24" s="8" t="inlineStr"/>
      <c r="J24" s="7" t="inlineStr">
        <is>
          <t>皆傳</t>
        </is>
      </c>
      <c r="K24" s="7" t="n">
        <v>6</v>
      </c>
    </row>
    <row r="25">
      <c r="A25" s="4" t="inlineStr">
        <is>
          <t>洞察</t>
        </is>
      </c>
      <c r="B25" s="4" t="inlineStr">
        <is>
          <t>奧傳</t>
        </is>
      </c>
      <c r="C25" s="6">
        <f>D9+VLOOKUP(B25,J20:K24,2,0)</f>
        <v/>
      </c>
      <c r="D25" s="8" t="inlineStr"/>
    </row>
    <row r="26">
      <c r="A26" s="4" t="inlineStr">
        <is>
          <t>知覺</t>
        </is>
      </c>
      <c r="B26" s="4" t="inlineStr">
        <is>
          <t>奧傳</t>
        </is>
      </c>
      <c r="C26" s="6">
        <f>D9+VLOOKUP(B26,J20:K24,2,0)</f>
        <v/>
      </c>
      <c r="D26" s="8" t="inlineStr"/>
    </row>
    <row r="27">
      <c r="A27" s="4" t="inlineStr">
        <is>
          <t>調藥</t>
        </is>
      </c>
      <c r="B27" s="4" t="inlineStr">
        <is>
          <t>奧傳</t>
        </is>
      </c>
      <c r="C27" s="6">
        <f>C9+VLOOKUP(B27,J20:K24,2,0)</f>
        <v/>
      </c>
      <c r="D27" s="8" t="inlineStr"/>
    </row>
    <row r="29" ht="24" customHeight="1">
      <c r="A29" s="2" t="inlineStr">
        <is>
          <t>裝備與特殊能力</t>
        </is>
      </c>
    </row>
    <row r="30">
      <c r="A30" s="9" t="inlineStr">
        <is>
          <t>蛇咬毒刀（毒素附加）</t>
        </is>
      </c>
      <c r="B30" s="10" t="n"/>
      <c r="C30" s="10" t="n"/>
      <c r="D30" s="10" t="n"/>
      <c r="E30" s="11" t="n"/>
    </row>
    <row r="31">
      <c r="A31" s="9" t="inlineStr">
        <is>
          <t>蛇鱗衣（DV修正+3，暗視能力）</t>
        </is>
      </c>
      <c r="B31" s="10" t="n"/>
      <c r="C31" s="10" t="n"/>
      <c r="D31" s="10" t="n"/>
      <c r="E31" s="11" t="n"/>
    </row>
    <row r="33" ht="24" customHeight="1">
      <c r="A33" s="2" t="inlineStr">
        <is>
          <t>特殊能力</t>
        </is>
      </c>
    </row>
    <row r="34">
      <c r="A34" s="9" t="inlineStr">
        <is>
          <t>蛇毒之咬：攻擊命中後目標需通過體魄豁免否則中毒（每回合1d6傷害）</t>
        </is>
      </c>
      <c r="B34" s="10" t="n"/>
      <c r="C34" s="10" t="n"/>
      <c r="D34" s="10" t="n"/>
      <c r="E34" s="10" t="n"/>
      <c r="F34" s="10" t="n"/>
      <c r="G34" s="10" t="n"/>
      <c r="H34" s="11" t="n"/>
    </row>
    <row r="35">
      <c r="A35" s="9" t="inlineStr">
        <is>
          <t>蛇行潛影：潛行移動不觸發機會攻擊</t>
        </is>
      </c>
      <c r="B35" s="10" t="n"/>
      <c r="C35" s="10" t="n"/>
      <c r="D35" s="10" t="n"/>
      <c r="E35" s="10" t="n"/>
      <c r="F35" s="10" t="n"/>
      <c r="G35" s="10" t="n"/>
      <c r="H35" s="11" t="n"/>
    </row>
    <row r="36">
      <c r="A36" s="9" t="inlineStr">
        <is>
          <t>蛇族催眠：與目標目光接觸可催眠（魂魄對抗）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毒性免疫：免疫所有毒素效果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影之步：可無視障礙物移動</t>
        </is>
      </c>
      <c r="B38" s="10" t="n"/>
      <c r="C38" s="10" t="n"/>
      <c r="D38" s="10" t="n"/>
      <c r="E38" s="10" t="n"/>
      <c r="F38" s="10" t="n"/>
      <c r="G38" s="10" t="n"/>
      <c r="H38" s="11" t="n"/>
    </row>
  </sheetData>
  <mergeCells count="14">
    <mergeCell ref="A30:E30"/>
    <mergeCell ref="A3:H3"/>
    <mergeCell ref="A29:H29"/>
    <mergeCell ref="A7:H7"/>
    <mergeCell ref="A35:H35"/>
    <mergeCell ref="A38:H38"/>
    <mergeCell ref="A19:H19"/>
    <mergeCell ref="A11:H11"/>
    <mergeCell ref="A33:H33"/>
    <mergeCell ref="A36:H36"/>
    <mergeCell ref="A1:H1"/>
    <mergeCell ref="A37:H37"/>
    <mergeCell ref="A31:E31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1" t="inlineStr">
        <is>
          <t>獸人戰國 TRPG NPC — 鼠小僧</t>
        </is>
      </c>
    </row>
    <row r="3" ht="24" customHeight="1">
      <c r="A3" s="2" t="inlineStr">
        <is>
          <t>基本資訊</t>
        </is>
      </c>
    </row>
    <row r="4">
      <c r="A4" s="3" t="inlineStr">
        <is>
          <t>名稱</t>
        </is>
      </c>
      <c r="B4" s="4" t="inlineStr">
        <is>
          <t>鼠小僧</t>
        </is>
      </c>
      <c r="C4" s="3" t="inlineStr">
        <is>
          <t>獸族</t>
        </is>
      </c>
      <c r="D4" s="4" t="inlineStr">
        <is>
          <t>鼠族</t>
        </is>
      </c>
      <c r="E4" s="3" t="inlineStr">
        <is>
          <t>流派</t>
        </is>
      </c>
      <c r="F4" s="4" t="inlineStr">
        <is>
          <t>潛影流</t>
        </is>
      </c>
      <c r="G4" s="3" t="inlineStr">
        <is>
          <t>等級</t>
        </is>
      </c>
      <c r="H4" s="4" t="n">
        <v>10</v>
      </c>
    </row>
    <row r="5">
      <c r="A5" s="3" t="inlineStr">
        <is>
          <t>身分</t>
        </is>
      </c>
      <c r="B5" s="4" t="inlineStr">
        <is>
          <t>鼠族忍者·潛影流高手</t>
        </is>
      </c>
      <c r="C5" s="3" t="inlineStr">
        <is>
          <t>忠誠對象</t>
        </is>
      </c>
      <c r="D5" s="4" t="inlineStr">
        <is>
          <t>出價最高者</t>
        </is>
      </c>
    </row>
    <row r="7" ht="24" customHeight="1">
      <c r="A7" s="2" t="inlineStr">
        <is>
          <t>五大屬性</t>
        </is>
      </c>
    </row>
    <row r="8">
      <c r="A8" s="5" t="inlineStr">
        <is>
          <t>劍術</t>
        </is>
      </c>
      <c r="B8" s="5" t="inlineStr">
        <is>
          <t>體魄</t>
        </is>
      </c>
      <c r="C8" s="5" t="inlineStr">
        <is>
          <t>妖力</t>
        </is>
      </c>
      <c r="D8" s="5" t="inlineStr">
        <is>
          <t>機敏</t>
        </is>
      </c>
      <c r="E8" s="5" t="inlineStr">
        <is>
          <t>魂魄</t>
        </is>
      </c>
    </row>
    <row r="9">
      <c r="A9" s="6" t="n">
        <v>6</v>
      </c>
      <c r="B9" s="6" t="n">
        <v>4</v>
      </c>
      <c r="C9" s="6" t="n">
        <v>5</v>
      </c>
      <c r="D9" s="6" t="n">
        <v>10</v>
      </c>
      <c r="E9" s="6" t="n">
        <v>7</v>
      </c>
    </row>
    <row r="11" ht="24" customHeight="1">
      <c r="A11" s="2" t="inlineStr">
        <is>
          <t>衍生數值（自動計算）</t>
        </is>
      </c>
    </row>
    <row r="12">
      <c r="A12" s="3" t="inlineStr">
        <is>
          <t>生命值（HP）</t>
        </is>
      </c>
      <c r="B12" s="6">
        <f>B9*5+10*3</f>
        <v/>
      </c>
      <c r="E12" s="3" t="inlineStr">
        <is>
          <t>當前 HP</t>
        </is>
      </c>
      <c r="F12" s="4" t="inlineStr"/>
    </row>
    <row r="13">
      <c r="A13" s="3" t="inlineStr">
        <is>
          <t>防禦值（DV）</t>
        </is>
      </c>
      <c r="B13" s="6">
        <f>10+D9+G13</f>
        <v/>
      </c>
      <c r="G13" s="4" t="inlineStr"/>
    </row>
    <row r="14">
      <c r="A14" s="3" t="inlineStr">
        <is>
          <t>移動力</t>
        </is>
      </c>
      <c r="B14" s="6">
        <f>5+D9</f>
        <v/>
      </c>
    </row>
    <row r="15">
      <c r="A15" s="3" t="inlineStr">
        <is>
          <t>先攻加值</t>
        </is>
      </c>
      <c r="B15" s="6">
        <f>D9</f>
        <v/>
      </c>
    </row>
    <row r="16">
      <c r="A16" s="3" t="inlineStr">
        <is>
          <t>刀緣值</t>
        </is>
      </c>
      <c r="B16" s="6">
        <f>E9*5</f>
        <v/>
      </c>
    </row>
    <row r="17">
      <c r="A17" s="3" t="inlineStr">
        <is>
          <t>劍氣值</t>
        </is>
      </c>
      <c r="B17" s="6">
        <f>INT(A9+E9+G17/10)</f>
        <v/>
      </c>
    </row>
    <row r="19" ht="24" customHeight="1">
      <c r="A19" s="2" t="inlineStr">
        <is>
          <t>關鍵技能</t>
        </is>
      </c>
      <c r="J19" s="3" t="inlineStr">
        <is>
          <t>熟練加值</t>
        </is>
      </c>
    </row>
    <row r="20">
      <c r="A20" s="5" t="inlineStr">
        <is>
          <t>技能名稱</t>
        </is>
      </c>
      <c r="B20" s="5" t="inlineStr">
        <is>
          <t>熟練度</t>
        </is>
      </c>
      <c r="C20" s="5" t="inlineStr">
        <is>
          <t>總加值</t>
        </is>
      </c>
      <c r="D20" s="5" t="inlineStr">
        <is>
          <t>備註</t>
        </is>
      </c>
      <c r="E20" s="5" t="inlineStr"/>
      <c r="F20" s="5" t="inlineStr"/>
      <c r="G20" s="5" t="inlineStr"/>
      <c r="H20" s="5" t="inlineStr"/>
      <c r="J20" s="7" t="inlineStr">
        <is>
          <t>未修</t>
        </is>
      </c>
      <c r="K20" s="7" t="n">
        <v>-2</v>
      </c>
    </row>
    <row r="21">
      <c r="A21" s="4" t="inlineStr">
        <is>
          <t>潛行</t>
        </is>
      </c>
      <c r="B21" s="4" t="inlineStr">
        <is>
          <t>皆傳</t>
        </is>
      </c>
      <c r="C21" s="6">
        <f>D9+VLOOKUP(B21,J20:K24,2,0)</f>
        <v/>
      </c>
      <c r="D21" s="8" t="inlineStr">
        <is>
          <t>潛行時無聲無息</t>
        </is>
      </c>
      <c r="J21" s="7" t="inlineStr">
        <is>
          <t>初傳</t>
        </is>
      </c>
      <c r="K21" s="7" t="n">
        <v>0</v>
      </c>
    </row>
    <row r="22">
      <c r="A22" s="4" t="inlineStr">
        <is>
          <t>機關</t>
        </is>
      </c>
      <c r="B22" s="4" t="inlineStr">
        <is>
          <t>奧傳</t>
        </is>
      </c>
      <c r="C22" s="6">
        <f>D9+VLOOKUP(B22,J20:K24,2,0)</f>
        <v/>
      </c>
      <c r="D22" s="8" t="inlineStr"/>
      <c r="J22" s="7" t="inlineStr">
        <is>
          <t>中傳</t>
        </is>
      </c>
      <c r="K22" s="7" t="n">
        <v>2</v>
      </c>
    </row>
    <row r="23">
      <c r="A23" s="4" t="inlineStr">
        <is>
          <t>知覺</t>
        </is>
      </c>
      <c r="B23" s="4" t="inlineStr">
        <is>
          <t>奧傳</t>
        </is>
      </c>
      <c r="C23" s="6">
        <f>D9+VLOOKUP(B23,J20:K24,2,0)</f>
        <v/>
      </c>
      <c r="D23" s="8" t="inlineStr"/>
      <c r="J23" s="7" t="inlineStr">
        <is>
          <t>奧傳</t>
        </is>
      </c>
      <c r="K23" s="7" t="n">
        <v>4</v>
      </c>
    </row>
    <row r="24">
      <c r="A24" s="4" t="inlineStr">
        <is>
          <t>體術</t>
        </is>
      </c>
      <c r="B24" s="4" t="inlineStr">
        <is>
          <t>中傳</t>
        </is>
      </c>
      <c r="C24" s="6">
        <f>B9+VLOOKUP(B24,J20:K24,2,0)</f>
        <v/>
      </c>
      <c r="D24" s="8" t="inlineStr"/>
      <c r="J24" s="7" t="inlineStr">
        <is>
          <t>皆傳</t>
        </is>
      </c>
      <c r="K24" s="7" t="n">
        <v>6</v>
      </c>
    </row>
    <row r="25">
      <c r="A25" s="4" t="inlineStr">
        <is>
          <t>攀爬</t>
        </is>
      </c>
      <c r="B25" s="4" t="inlineStr">
        <is>
          <t>奧傳</t>
        </is>
      </c>
      <c r="C25" s="6">
        <f>A9+VLOOKUP(B25,J20:K24,2,0)</f>
        <v/>
      </c>
      <c r="D25" s="8" t="inlineStr"/>
    </row>
    <row r="26">
      <c r="A26" s="4" t="inlineStr">
        <is>
          <t>欺瞞</t>
        </is>
      </c>
      <c r="B26" s="4" t="inlineStr">
        <is>
          <t>中傳</t>
        </is>
      </c>
      <c r="C26" s="6">
        <f>A9+VLOOKUP(B26,J20:K24,2,0)</f>
        <v/>
      </c>
      <c r="D26" s="8" t="inlineStr"/>
    </row>
    <row r="27">
      <c r="A27" s="4" t="inlineStr">
        <is>
          <t>洞察</t>
        </is>
      </c>
      <c r="B27" s="4" t="inlineStr">
        <is>
          <t>中傳</t>
        </is>
      </c>
      <c r="C27" s="6">
        <f>D9+VLOOKUP(B27,J20:K24,2,0)</f>
        <v/>
      </c>
      <c r="D27" s="8" t="inlineStr"/>
    </row>
    <row r="29" ht="24" customHeight="1">
      <c r="A29" s="2" t="inlineStr">
        <is>
          <t>裝備與特殊能力</t>
        </is>
      </c>
    </row>
    <row r="30">
      <c r="A30" s="9" t="inlineStr">
        <is>
          <t>忍者刀（短刀）</t>
        </is>
      </c>
      <c r="B30" s="10" t="n"/>
      <c r="C30" s="10" t="n"/>
      <c r="D30" s="10" t="n"/>
      <c r="E30" s="11" t="n"/>
    </row>
    <row r="31">
      <c r="A31" s="9" t="inlineStr">
        <is>
          <t>手裡劍×20</t>
        </is>
      </c>
      <c r="B31" s="10" t="n"/>
      <c r="C31" s="10" t="n"/>
      <c r="D31" s="10" t="n"/>
      <c r="E31" s="11" t="n"/>
    </row>
    <row r="32">
      <c r="A32" s="9" t="inlineStr">
        <is>
          <t>煙霧彈×5</t>
        </is>
      </c>
      <c r="B32" s="10" t="n"/>
      <c r="C32" s="10" t="n"/>
      <c r="D32" s="10" t="n"/>
      <c r="E32" s="11" t="n"/>
    </row>
    <row r="33">
      <c r="A33" s="9" t="inlineStr">
        <is>
          <t>鉤繩</t>
        </is>
      </c>
      <c r="B33" s="10" t="n"/>
      <c r="C33" s="10" t="n"/>
      <c r="D33" s="10" t="n"/>
      <c r="E33" s="11" t="n"/>
    </row>
    <row r="35" ht="24" customHeight="1">
      <c r="A35" s="2" t="inlineStr">
        <is>
          <t>特殊能力</t>
        </is>
      </c>
    </row>
    <row r="36">
      <c r="A36" s="9" t="inlineStr">
        <is>
          <t>影遁：戰鬥中消耗1動作隱身1回合</t>
        </is>
      </c>
      <c r="B36" s="10" t="n"/>
      <c r="C36" s="10" t="n"/>
      <c r="D36" s="10" t="n"/>
      <c r="E36" s="10" t="n"/>
      <c r="F36" s="10" t="n"/>
      <c r="G36" s="10" t="n"/>
      <c r="H36" s="11" t="n"/>
    </row>
    <row r="37">
      <c r="A37" s="9" t="inlineStr">
        <is>
          <t>鼠族潛入：可通過狹小空間</t>
        </is>
      </c>
      <c r="B37" s="10" t="n"/>
      <c r="C37" s="10" t="n"/>
      <c r="D37" s="10" t="n"/>
      <c r="E37" s="10" t="n"/>
      <c r="F37" s="10" t="n"/>
      <c r="G37" s="10" t="n"/>
      <c r="H37" s="11" t="n"/>
    </row>
    <row r="38">
      <c r="A38" s="9" t="inlineStr">
        <is>
          <t>機關破解：自動發現並解除範圍內陷阱</t>
        </is>
      </c>
      <c r="B38" s="10" t="n"/>
      <c r="C38" s="10" t="n"/>
      <c r="D38" s="10" t="n"/>
      <c r="E38" s="10" t="n"/>
      <c r="F38" s="10" t="n"/>
      <c r="G38" s="10" t="n"/>
      <c r="H38" s="11" t="n"/>
    </row>
    <row r="39">
      <c r="A39" s="9" t="inlineStr">
        <is>
          <t>忍者疾走：全速移動仍可保持潛行</t>
        </is>
      </c>
      <c r="B39" s="10" t="n"/>
      <c r="C39" s="10" t="n"/>
      <c r="D39" s="10" t="n"/>
      <c r="E39" s="10" t="n"/>
      <c r="F39" s="10" t="n"/>
      <c r="G39" s="10" t="n"/>
      <c r="H39" s="11" t="n"/>
    </row>
  </sheetData>
  <mergeCells count="15">
    <mergeCell ref="A30:E30"/>
    <mergeCell ref="A3:H3"/>
    <mergeCell ref="A39:H39"/>
    <mergeCell ref="A29:H29"/>
    <mergeCell ref="A7:H7"/>
    <mergeCell ref="A35:H35"/>
    <mergeCell ref="A38:H38"/>
    <mergeCell ref="A33:E33"/>
    <mergeCell ref="A19:H19"/>
    <mergeCell ref="A11:H11"/>
    <mergeCell ref="A32:E32"/>
    <mergeCell ref="A36:H36"/>
    <mergeCell ref="A1:H1"/>
    <mergeCell ref="A37:H37"/>
    <mergeCell ref="A31:E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2026-07-11T09:22:14Z</dcterms:created>
  <dcterms:modified xsi:type="dcterms:W3CDTF">2026-07-11T09:22:14Z</dcterms:modified>
</cp:coreProperties>
</file>