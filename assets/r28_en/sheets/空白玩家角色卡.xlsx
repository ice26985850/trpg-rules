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1" customWidth="1" min="4" max="4"/>
    <col width="22" customWidth="1" min="5" max="5"/>
    <col width="13" customWidth="1" min="6" max="6"/>
    <col width="20" customWidth="1" min="7" max="7"/>
    <col width="20" customWidth="1" min="8" max="8"/>
    <col width="11" customWidth="1" min="9" max="9"/>
    <col width="4" customWidth="1" min="10" max="10"/>
    <col width="8" customWidth="1" min="11" max="11"/>
    <col width="4" customWidth="1" min="12" max="12"/>
    <col width="9" customWidth="1" min="13" max="13"/>
    <col width="4" customWidth="1" min="14" max="14"/>
    <col width="6" customWidth="1" min="15" max="15"/>
    <col width="4" customWidth="1" min="16" max="16"/>
  </cols>
  <sheetData>
    <row r="1">
      <c r="A1" s="1" t="inlineStr">
        <is>
          <t>Otherworld Invasion TRPG — Player Sheet v2.0</t>
        </is>
      </c>
    </row>
    <row r="2"/>
    <row r="3">
      <c r="A3" s="2" t="inlineStr">
        <is>
          <t>Basic Info</t>
        </is>
      </c>
      <c r="B3" s="8" t="n"/>
      <c r="C3" s="8" t="n"/>
      <c r="D3" s="8" t="n"/>
      <c r="E3" s="8" t="n"/>
      <c r="F3" s="8" t="n"/>
      <c r="G3" s="8" t="n"/>
      <c r="H3" s="9" t="n"/>
    </row>
    <row r="4">
      <c r="A4" s="4" t="inlineStr">
        <is>
          <t>Player Name</t>
        </is>
      </c>
      <c r="B4" s="5" t="n"/>
      <c r="C4" s="4" t="inlineStr">
        <is>
          <t>Character Name</t>
        </is>
      </c>
      <c r="D4" s="5" t="n">
        <v>1</v>
      </c>
      <c r="E4" s="4" t="inlineStr">
        <is>
          <t>Character Level</t>
        </is>
      </c>
      <c r="F4" s="5" t="n"/>
      <c r="G4" s="4" t="inlineStr">
        <is>
          <t>Title</t>
        </is>
      </c>
      <c r="H4" s="5" t="n"/>
      <c r="I4" s="4" t="inlineStr">
        <is>
          <t>Background</t>
        </is>
      </c>
      <c r="J4" s="5" t="n"/>
      <c r="K4" s="4" t="inlineStr">
        <is>
          <t>Awakening Scenario</t>
        </is>
      </c>
      <c r="L4" s="5" t="n"/>
      <c r="M4" s="4" t="inlineStr">
        <is>
          <t>Character EXP</t>
        </is>
      </c>
      <c r="N4" s="5" t="n"/>
      <c r="O4" s="4" t="inlineStr">
        <is>
          <t>Drive</t>
        </is>
      </c>
      <c r="P4" s="5" t="n"/>
    </row>
    <row r="5"/>
    <row r="6">
      <c r="A6" s="2" t="inlineStr">
        <is>
          <t>Six Core Attributes</t>
        </is>
      </c>
      <c r="B6" s="8" t="n"/>
      <c r="C6" s="8" t="n"/>
      <c r="D6" s="8" t="n"/>
      <c r="E6" s="8" t="n"/>
      <c r="F6" s="8" t="n"/>
      <c r="G6" s="8" t="n"/>
      <c r="H6" s="9" t="n"/>
    </row>
    <row r="7">
      <c r="A7" s="4" t="inlineStr">
        <is>
          <t>Strength (STR)</t>
        </is>
      </c>
      <c r="B7" s="4" t="inlineStr">
        <is>
          <t>Dexterity (DEX)</t>
        </is>
      </c>
      <c r="C7" s="4" t="inlineStr">
        <is>
          <t>Constitution (CON)</t>
        </is>
      </c>
      <c r="D7" s="4" t="inlineStr">
        <is>
          <t>Intelligence (INT)</t>
        </is>
      </c>
      <c r="E7" s="4" t="inlineStr">
        <is>
          <t>Wisdom (WIS)</t>
        </is>
      </c>
      <c r="F7" s="4" t="inlineStr">
        <is>
          <t>Spirit (SPI)</t>
        </is>
      </c>
    </row>
    <row r="8">
      <c r="A8" s="5" t="n">
        <v>10</v>
      </c>
      <c r="B8" s="5" t="n">
        <v>10</v>
      </c>
      <c r="C8" s="5" t="n">
        <v>10</v>
      </c>
      <c r="D8" s="5" t="n">
        <v>10</v>
      </c>
      <c r="E8" s="5" t="n">
        <v>10</v>
      </c>
      <c r="F8" s="5" t="n">
        <v>10</v>
      </c>
    </row>
    <row r="9">
      <c r="A9" s="4" t="inlineStr">
        <is>
          <t>Available Attribute Points</t>
        </is>
      </c>
      <c r="B9" s="5" t="n">
        <v>30</v>
      </c>
      <c r="D9" s="4" t="inlineStr">
        <is>
          <t>Step Cost</t>
        </is>
      </c>
      <c r="E9" s="5" t="inlineStr">
        <is>
          <t>≤10=1, 11-20=1, 21-40=2...</t>
        </is>
      </c>
    </row>
    <row r="10"/>
    <row r="11">
      <c r="A11" s="2" t="inlineStr">
        <is>
          <t>Derived Stats</t>
        </is>
      </c>
      <c r="B11" s="8" t="n"/>
      <c r="C11" s="8" t="n"/>
      <c r="D11" s="8" t="n"/>
      <c r="E11" s="8" t="n"/>
      <c r="F11" s="8" t="n"/>
      <c r="G11" s="8" t="n"/>
      <c r="H11" s="9" t="n"/>
    </row>
    <row r="12">
      <c r="A12" s="4" t="inlineStr">
        <is>
          <t>HP</t>
        </is>
      </c>
      <c r="B12" s="4" t="inlineStr">
        <is>
          <t>MP</t>
        </is>
      </c>
      <c r="C12" s="4" t="inlineStr">
        <is>
          <t>PATK</t>
        </is>
      </c>
      <c r="D12" s="4" t="inlineStr">
        <is>
          <t>MATK</t>
        </is>
      </c>
      <c r="E12" s="4" t="inlineStr">
        <is>
          <t>PDEF</t>
        </is>
      </c>
      <c r="F12" s="4" t="inlineStr">
        <is>
          <t>MDEF</t>
        </is>
      </c>
      <c r="G12" s="4" t="inlineStr">
        <is>
          <t>HIT%</t>
        </is>
      </c>
      <c r="H12" s="4" t="inlineStr">
        <is>
          <t>DGE%</t>
        </is>
      </c>
      <c r="I12" s="4" t="inlineStr">
        <is>
          <t>CRT%</t>
        </is>
      </c>
    </row>
    <row r="13">
      <c r="A13" s="5">
        <f>C8*10+D4*5</f>
        <v/>
      </c>
      <c r="B13" s="5">
        <f>F8*5+D4*3</f>
        <v/>
      </c>
      <c r="C13" s="5">
        <f>A8*2+0</f>
        <v/>
      </c>
      <c r="D13" s="5">
        <f>D8*2+0</f>
        <v/>
      </c>
      <c r="E13" s="5">
        <f>C8*1.5+0</f>
        <v/>
      </c>
      <c r="F13" s="5">
        <f>F8*1.5+0</f>
        <v/>
      </c>
      <c r="G13" s="5">
        <f>MIN(50+E8*3,95)</f>
        <v/>
      </c>
      <c r="H13" s="5">
        <f>MIN(10+B8*2,60)</f>
        <v/>
      </c>
      <c r="I13" s="5">
        <f>5+B8*1</f>
        <v/>
      </c>
    </row>
    <row r="14">
      <c r="A14" s="4" t="inlineStr">
        <is>
          <t>Weapon Bonus</t>
        </is>
      </c>
      <c r="B14" s="5" t="n">
        <v>0</v>
      </c>
      <c r="C14" s="4" t="inlineStr">
        <is>
          <t>Armor Bonus</t>
        </is>
      </c>
      <c r="D14" s="5" t="n">
        <v>0</v>
      </c>
      <c r="E14" s="4" t="inlineStr">
        <is>
          <t>Accessory Bonus</t>
        </is>
      </c>
      <c r="F14" s="5" t="n">
        <v>0</v>
      </c>
      <c r="G14" s="4" t="inlineStr">
        <is>
          <t>Gold G</t>
        </is>
      </c>
      <c r="H14" s="5" t="n">
        <v>50</v>
      </c>
    </row>
    <row r="15"/>
    <row r="16">
      <c r="A16" s="6" t="inlineStr">
        <is>
          <t>Class System</t>
        </is>
      </c>
      <c r="B16" s="8" t="n"/>
      <c r="C16" s="8" t="n"/>
      <c r="D16" s="8" t="n"/>
      <c r="E16" s="8" t="n"/>
      <c r="F16" s="8" t="n"/>
      <c r="G16" s="8" t="n"/>
      <c r="H16" s="9" t="n"/>
    </row>
    <row r="17">
      <c r="A17" s="4" t="inlineStr">
        <is>
          <t>Main Class 1</t>
        </is>
      </c>
      <c r="B17" s="5" t="inlineStr">
        <is>
          <t>Vanguard</t>
        </is>
      </c>
      <c r="C17" s="4" t="inlineStr">
        <is>
          <t>Level</t>
        </is>
      </c>
      <c r="D17" s="5" t="n">
        <v>1</v>
      </c>
      <c r="E17" s="4" t="inlineStr">
        <is>
          <t>EXP</t>
        </is>
      </c>
      <c r="F17" s="5" t="n">
        <v>0</v>
      </c>
      <c r="G17" s="4" t="inlineStr">
        <is>
          <t>Branch</t>
        </is>
      </c>
      <c r="H17" s="5" t="n"/>
    </row>
    <row r="18">
      <c r="A18" s="4" t="inlineStr">
        <is>
          <t>Main Class 2</t>
        </is>
      </c>
      <c r="B18" s="5" t="n"/>
      <c r="C18" s="4" t="inlineStr">
        <is>
          <t>Level</t>
        </is>
      </c>
      <c r="D18" s="5" t="n"/>
      <c r="E18" s="4" t="inlineStr">
        <is>
          <t>EXP</t>
        </is>
      </c>
      <c r="F18" s="5" t="n"/>
      <c r="G18" s="4" t="inlineStr">
        <is>
          <t>Branch</t>
        </is>
      </c>
      <c r="H18" s="5" t="n"/>
    </row>
    <row r="19">
      <c r="A19" s="4" t="inlineStr">
        <is>
          <t>Sub Class 1</t>
        </is>
      </c>
      <c r="B19" s="5" t="n"/>
      <c r="C19" s="4" t="inlineStr">
        <is>
          <t>Level</t>
        </is>
      </c>
      <c r="D19" s="5" t="n"/>
      <c r="E19" s="4" t="inlineStr">
        <is>
          <t>EXP</t>
        </is>
      </c>
      <c r="F19" s="5" t="n"/>
      <c r="G19" s="4" t="inlineStr">
        <is>
          <t>Sub Class 2</t>
        </is>
      </c>
      <c r="H19" s="5" t="n"/>
    </row>
    <row r="20">
      <c r="A20" s="4" t="inlineStr">
        <is>
          <t>Sub Class 2 Level</t>
        </is>
      </c>
      <c r="B20" s="5" t="n"/>
      <c r="C20" s="4" t="inlineStr">
        <is>
          <t>Sub Class 3</t>
        </is>
      </c>
      <c r="D20" s="5" t="n"/>
      <c r="E20" s="4" t="inlineStr">
        <is>
          <t>Sub Class 3 Level</t>
        </is>
      </c>
      <c r="F20" s="5" t="n"/>
      <c r="G20" s="4" t="inlineStr">
        <is>
          <t>Deity Class</t>
        </is>
      </c>
      <c r="H20" s="5" t="n"/>
    </row>
    <row r="21">
      <c r="A21" s="4" t="inlineStr">
        <is>
          <t>Total Class Levels</t>
        </is>
      </c>
      <c r="B21" s="5" t="n">
        <v>1</v>
      </c>
      <c r="C21" s="4" t="inlineStr">
        <is>
          <t>Cap (≤ Character Level)</t>
        </is>
      </c>
      <c r="D21" s="5" t="inlineStr">
        <is>
          <t>≤ D4</t>
        </is>
      </c>
      <c r="E21" s="4" t="inlineStr">
        <is>
          <t>Damage Multiplier</t>
        </is>
      </c>
      <c r="F21" s="5">
        <f>1+B4/20</f>
        <v/>
      </c>
      <c r="G21" s="4" t="inlineStr">
        <is>
          <t>(Base Power × Multiplier)</t>
        </is>
      </c>
      <c r="H21" s="5" t="n"/>
    </row>
    <row r="22"/>
    <row r="23">
      <c r="A23" s="2" t="inlineStr">
        <is>
          <t>Unlocked Skills</t>
        </is>
      </c>
      <c r="B23" s="8" t="n"/>
      <c r="C23" s="8" t="n"/>
      <c r="D23" s="8" t="n"/>
      <c r="E23" s="8" t="n"/>
      <c r="F23" s="8" t="n"/>
      <c r="G23" s="8" t="n"/>
      <c r="H23" s="9" t="n"/>
    </row>
    <row r="24">
      <c r="A24" s="4" t="inlineStr">
        <is>
          <t>Skill Name</t>
        </is>
      </c>
      <c r="B24" s="4" t="inlineStr">
        <is>
          <t>Source Class</t>
        </is>
      </c>
      <c r="C24" s="4" t="inlineStr">
        <is>
          <t>Base Power</t>
        </is>
      </c>
      <c r="D24" s="4" t="inlineStr">
        <is>
          <t>MP Cost</t>
        </is>
      </c>
      <c r="E24" s="4" t="inlineStr">
        <is>
          <t>Cooldown</t>
        </is>
      </c>
      <c r="F24" s="4" t="inlineStr">
        <is>
          <t>Damage Type</t>
        </is>
      </c>
      <c r="G24" s="4" t="inlineStr">
        <is>
          <t>Effect</t>
        </is>
      </c>
      <c r="H24" s="4" t="inlineStr">
        <is>
          <t>Notes</t>
        </is>
      </c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/>
    <row r="34">
      <c r="A34" s="2" t="inlineStr">
        <is>
          <t>Awakening Skill</t>
        </is>
      </c>
      <c r="B34" s="8" t="n"/>
      <c r="C34" s="8" t="n"/>
      <c r="D34" s="8" t="n"/>
      <c r="E34" s="8" t="n"/>
      <c r="F34" s="8" t="n"/>
      <c r="G34" s="8" t="n"/>
      <c r="H34" s="9" t="n"/>
    </row>
    <row r="35">
      <c r="A35" s="4" t="inlineStr">
        <is>
          <t>Skill Name</t>
        </is>
      </c>
      <c r="B35" s="5" t="n"/>
      <c r="D35" s="4" t="inlineStr">
        <is>
          <t>Base Effect</t>
        </is>
      </c>
      <c r="E35" s="5" t="n"/>
    </row>
    <row r="36">
      <c r="A36" s="4" t="inlineStr">
        <is>
          <t>Evolution I</t>
        </is>
      </c>
      <c r="B36" s="5" t="n"/>
      <c r="D36" s="4" t="inlineStr">
        <is>
          <t>Evolution II</t>
        </is>
      </c>
      <c r="E36" s="5" t="n"/>
    </row>
    <row r="37"/>
    <row r="38">
      <c r="A38" s="2" t="inlineStr">
        <is>
          <t>Equipment</t>
        </is>
      </c>
      <c r="B38" s="8" t="n"/>
      <c r="C38" s="8" t="n"/>
      <c r="D38" s="8" t="n"/>
      <c r="E38" s="8" t="n"/>
      <c r="F38" s="8" t="n"/>
      <c r="G38" s="8" t="n"/>
      <c r="H38" s="9" t="n"/>
    </row>
    <row r="39">
      <c r="A39" s="4" t="inlineStr">
        <is>
          <t>Slot</t>
        </is>
      </c>
      <c r="B39" s="4" t="inlineStr">
        <is>
          <t>Equipment Name</t>
        </is>
      </c>
      <c r="C39" s="4" t="inlineStr">
        <is>
          <t>Color</t>
        </is>
      </c>
      <c r="D39" s="4" t="inlineStr">
        <is>
          <t>Rarity</t>
        </is>
      </c>
      <c r="E39" s="4" t="inlineStr">
        <is>
          <t>Bonus</t>
        </is>
      </c>
      <c r="F39" s="4" t="inlineStr">
        <is>
          <t>Effect</t>
        </is>
      </c>
      <c r="G39" s="4" t="inlineStr">
        <is>
          <t>Notes</t>
        </is>
      </c>
    </row>
    <row r="40">
      <c r="A40" s="5" t="inlineStr">
        <is>
          <t>Weapon</t>
        </is>
      </c>
      <c r="B40" s="5" t="n"/>
      <c r="C40" s="5" t="n"/>
      <c r="D40" s="5" t="n"/>
      <c r="E40" s="5" t="n"/>
      <c r="F40" s="5" t="n"/>
      <c r="G40" s="5" t="n"/>
      <c r="H40" s="5" t="n"/>
    </row>
    <row r="41">
      <c r="A41" s="5" t="inlineStr">
        <is>
          <t>Body</t>
        </is>
      </c>
      <c r="B41" s="5" t="n"/>
      <c r="C41" s="5" t="n"/>
      <c r="D41" s="5" t="n"/>
      <c r="E41" s="5" t="n"/>
      <c r="F41" s="5" t="n"/>
      <c r="G41" s="5" t="n"/>
      <c r="H41" s="5" t="n"/>
    </row>
    <row r="42">
      <c r="A42" s="5" t="inlineStr">
        <is>
          <t>Feet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s="5" t="inlineStr">
        <is>
          <t>Accessory 1</t>
        </is>
      </c>
      <c r="B43" s="5" t="n"/>
      <c r="C43" s="5" t="n"/>
      <c r="D43" s="5" t="n"/>
      <c r="E43" s="5" t="n"/>
      <c r="F43" s="5" t="n"/>
      <c r="G43" s="5" t="n"/>
      <c r="H43" s="5" t="n"/>
    </row>
    <row r="44">
      <c r="A44" s="5" t="inlineStr">
        <is>
          <t>Accessory 2</t>
        </is>
      </c>
      <c r="B44" s="5" t="n"/>
      <c r="C44" s="5" t="n"/>
      <c r="D44" s="5" t="n"/>
      <c r="E44" s="5" t="n"/>
      <c r="F44" s="5" t="n"/>
      <c r="G44" s="5" t="n"/>
      <c r="H44" s="5" t="n"/>
    </row>
    <row r="45"/>
    <row r="46">
      <c r="A46" s="2" t="inlineStr">
        <is>
          <t>Items</t>
        </is>
      </c>
      <c r="B46" s="8" t="n"/>
      <c r="C46" s="8" t="n"/>
      <c r="D46" s="8" t="n"/>
      <c r="E46" s="8" t="n"/>
      <c r="F46" s="8" t="n"/>
      <c r="G46" s="8" t="n"/>
      <c r="H46" s="9" t="n"/>
    </row>
    <row r="47">
      <c r="A47" s="4" t="inlineStr">
        <is>
          <t>Item Name</t>
        </is>
      </c>
      <c r="B47" s="4" t="inlineStr">
        <is>
          <t>Quantity</t>
        </is>
      </c>
      <c r="C47" s="4" t="inlineStr">
        <is>
          <t>Effect</t>
        </is>
      </c>
      <c r="D47" s="4" t="inlineStr">
        <is>
          <t>Notes</t>
        </is>
      </c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</sheetData>
  <mergeCells count="9">
    <mergeCell ref="A3:H3"/>
    <mergeCell ref="A46:H46"/>
    <mergeCell ref="A38:H38"/>
    <mergeCell ref="A16:H16"/>
    <mergeCell ref="A11:H11"/>
    <mergeCell ref="A1:H1"/>
    <mergeCell ref="A23:H23"/>
    <mergeCell ref="A6:H6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2026-08-10T17:17:42Z</dcterms:modified>
</cp:coreProperties>
</file>