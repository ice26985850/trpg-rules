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艦員" sheetId="1" state="visible" r:id="rId1"/>
    <sheet name="警衛" sheetId="2" state="visible" r:id="rId2"/>
    <sheet name="陸戰" sheetId="3" state="visible" r:id="rId3"/>
    <sheet name="砲台" sheetId="4" state="visible" r:id="rId4"/>
    <sheet name="機器人" sheetId="5" state="visible" r:id="rId5"/>
    <sheet name="蟲守" sheetId="6" state="visible" r:id="rId6"/>
    <sheet name="指揮官" sheetId="7" state="visible" r:id="rId7"/>
    <sheet name="矽基" sheetId="8" state="visible" r:id="rId8"/>
    <sheet name="能量實體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敵人：艦員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類型</t>
        </is>
      </c>
      <c r="B4" s="6" t="inlineStr">
        <is>
          <t>人類守軍</t>
        </is>
      </c>
      <c r="C4" s="7" t="n"/>
      <c r="D4" s="7" t="n"/>
      <c r="E4" s="8" t="n"/>
    </row>
    <row r="5">
      <c r="A5" s="5" t="inlineStr">
        <is>
          <t>層級</t>
        </is>
      </c>
      <c r="B5" s="6" t="inlineStr">
        <is>
          <t>雜兵</t>
        </is>
      </c>
      <c r="C5" s="7" t="n"/>
      <c r="D5" s="7" t="n"/>
      <c r="E5" s="8" t="n"/>
    </row>
    <row r="6">
      <c r="A6" s="5" t="inlineStr">
        <is>
          <t>挑戰等級（CR）</t>
        </is>
      </c>
      <c r="B6" s="6" t="inlineStr">
        <is>
          <t>1/2</t>
        </is>
      </c>
      <c r="C6" s="7" t="n"/>
      <c r="D6" s="7" t="n"/>
      <c r="E6" s="8" t="n"/>
    </row>
    <row r="7">
      <c r="A7" s="5" t="inlineStr">
        <is>
          <t>重力適應</t>
        </is>
      </c>
      <c r="B7" s="6" t="inlineStr">
        <is>
          <t>標準重力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8</v>
      </c>
      <c r="C11" s="11">
        <f>INT((B11-9)/2)</f>
        <v/>
      </c>
    </row>
    <row r="12">
      <c r="A12" s="5" t="inlineStr">
        <is>
          <t>工程（ENG）</t>
        </is>
      </c>
      <c r="B12" s="10" t="n">
        <v>8</v>
      </c>
      <c r="C12" s="11">
        <f>INT((B12-9)/2)</f>
        <v/>
      </c>
    </row>
    <row r="13">
      <c r="A13" s="5" t="inlineStr">
        <is>
          <t>機動（MOB）</t>
        </is>
      </c>
      <c r="B13" s="10" t="n">
        <v>10</v>
      </c>
      <c r="C13" s="11">
        <f>INT((B13-9)/2)</f>
        <v/>
      </c>
    </row>
    <row r="14">
      <c r="A14" s="5" t="inlineStr">
        <is>
          <t>感知（PER）</t>
        </is>
      </c>
      <c r="B14" s="10" t="n">
        <v>8</v>
      </c>
      <c r="C14" s="11">
        <f>INT((B14-9)/2)</f>
        <v/>
      </c>
    </row>
    <row r="15">
      <c r="A15" s="5" t="inlineStr">
        <is>
          <t>韌性（RES）</t>
        </is>
      </c>
      <c r="B15" s="10" t="n">
        <v>8</v>
      </c>
      <c r="C15" s="11">
        <f>INT((B15-9)/2)</f>
        <v/>
      </c>
    </row>
    <row r="17">
      <c r="A17" s="3" t="inlineStr">
        <is>
          <t>三、戰鬥數值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1" t="n">
        <v>12</v>
      </c>
      <c r="C19" s="12" t="inlineStr"/>
    </row>
    <row r="20">
      <c r="A20" s="5" t="inlineStr">
        <is>
          <t>裝甲完整度（ARMR）</t>
        </is>
      </c>
      <c r="B20" s="11" t="n">
        <v>4</v>
      </c>
      <c r="C20" s="12" t="inlineStr"/>
    </row>
    <row r="21">
      <c r="A21" s="5" t="inlineStr">
        <is>
          <t>防禦等級（DEF）</t>
        </is>
      </c>
      <c r="B21" s="11" t="n">
        <v>12</v>
      </c>
      <c r="C21" s="12" t="inlineStr">
        <is>
          <t>10+機動修飾+護甲</t>
        </is>
      </c>
    </row>
    <row r="22">
      <c r="A22" s="5" t="inlineStr">
        <is>
          <t>先攻（INIT）</t>
        </is>
      </c>
      <c r="B22" s="11" t="inlineStr">
        <is>
          <t>+0+1d10</t>
        </is>
      </c>
      <c r="C22" s="12" t="inlineStr">
        <is>
          <t>機動修飾+1d10</t>
        </is>
      </c>
    </row>
    <row r="23">
      <c r="A23" s="5" t="inlineStr">
        <is>
          <t>攻擊</t>
        </is>
      </c>
      <c r="B23" s="10" t="inlineStr">
        <is>
          <t>手槍 1d6 實彈</t>
        </is>
      </c>
      <c r="C23" s="12" t="inlineStr"/>
    </row>
    <row r="24">
      <c r="A24" s="5" t="inlineStr">
        <is>
          <t>特殊能力</t>
        </is>
      </c>
      <c r="B24" s="10" t="inlineStr">
        <is>
          <t>缺乏訓練；呼叫增援</t>
        </is>
      </c>
      <c r="C24" s="12" t="inlineStr"/>
    </row>
    <row r="25">
      <c r="A25" s="5" t="inlineStr">
        <is>
          <t>AI 行為</t>
        </is>
      </c>
      <c r="B25" s="10" t="inlineStr">
        <is>
          <t>缺乏訓練；呼叫增援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敵人：警衛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類型</t>
        </is>
      </c>
      <c r="B4" s="6" t="inlineStr">
        <is>
          <t>人類守軍</t>
        </is>
      </c>
      <c r="C4" s="7" t="n"/>
      <c r="D4" s="7" t="n"/>
      <c r="E4" s="8" t="n"/>
    </row>
    <row r="5">
      <c r="A5" s="5" t="inlineStr">
        <is>
          <t>層級</t>
        </is>
      </c>
      <c r="B5" s="6" t="inlineStr">
        <is>
          <t>標準</t>
        </is>
      </c>
      <c r="C5" s="7" t="n"/>
      <c r="D5" s="7" t="n"/>
      <c r="E5" s="8" t="n"/>
    </row>
    <row r="6">
      <c r="A6" s="5" t="inlineStr">
        <is>
          <t>挑戰等級（CR）</t>
        </is>
      </c>
      <c r="B6" s="6" t="inlineStr">
        <is>
          <t>2</t>
        </is>
      </c>
      <c r="C6" s="7" t="n"/>
      <c r="D6" s="7" t="n"/>
      <c r="E6" s="8" t="n"/>
    </row>
    <row r="7">
      <c r="A7" s="5" t="inlineStr">
        <is>
          <t>重力適應</t>
        </is>
      </c>
      <c r="B7" s="6" t="inlineStr">
        <is>
          <t>標準/低重力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12</v>
      </c>
      <c r="C11" s="11">
        <f>INT((B11-9)/2)</f>
        <v/>
      </c>
    </row>
    <row r="12">
      <c r="A12" s="5" t="inlineStr">
        <is>
          <t>工程（ENG）</t>
        </is>
      </c>
      <c r="B12" s="10" t="n">
        <v>10</v>
      </c>
      <c r="C12" s="11">
        <f>INT((B12-9)/2)</f>
        <v/>
      </c>
    </row>
    <row r="13">
      <c r="A13" s="5" t="inlineStr">
        <is>
          <t>機動（MOB）</t>
        </is>
      </c>
      <c r="B13" s="10" t="n">
        <v>12</v>
      </c>
      <c r="C13" s="11">
        <f>INT((B13-9)/2)</f>
        <v/>
      </c>
    </row>
    <row r="14">
      <c r="A14" s="5" t="inlineStr">
        <is>
          <t>感知（PER）</t>
        </is>
      </c>
      <c r="B14" s="10" t="n">
        <v>10</v>
      </c>
      <c r="C14" s="11">
        <f>INT((B14-9)/2)</f>
        <v/>
      </c>
    </row>
    <row r="15">
      <c r="A15" s="5" t="inlineStr">
        <is>
          <t>韌性（RES）</t>
        </is>
      </c>
      <c r="B15" s="10" t="n">
        <v>10</v>
      </c>
      <c r="C15" s="11">
        <f>INT((B15-9)/2)</f>
        <v/>
      </c>
    </row>
    <row r="17">
      <c r="A17" s="3" t="inlineStr">
        <is>
          <t>三、戰鬥數值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1" t="n">
        <v>18</v>
      </c>
      <c r="C19" s="12" t="inlineStr"/>
    </row>
    <row r="20">
      <c r="A20" s="5" t="inlineStr">
        <is>
          <t>裝甲完整度（ARMR）</t>
        </is>
      </c>
      <c r="B20" s="11" t="n">
        <v>6</v>
      </c>
      <c r="C20" s="12" t="inlineStr"/>
    </row>
    <row r="21">
      <c r="A21" s="5" t="inlineStr">
        <is>
          <t>防禦等級（DEF）</t>
        </is>
      </c>
      <c r="B21" s="11" t="n">
        <v>15</v>
      </c>
      <c r="C21" s="12" t="inlineStr">
        <is>
          <t>10+機動修飾+護甲</t>
        </is>
      </c>
    </row>
    <row r="22">
      <c r="A22" s="5" t="inlineStr">
        <is>
          <t>先攻（INIT）</t>
        </is>
      </c>
      <c r="B22" s="11" t="inlineStr">
        <is>
          <t>+1+1d10</t>
        </is>
      </c>
      <c r="C22" s="12" t="inlineStr">
        <is>
          <t>機動修飾+1d10</t>
        </is>
      </c>
    </row>
    <row r="23">
      <c r="A23" s="5" t="inlineStr">
        <is>
          <t>攻擊</t>
        </is>
      </c>
      <c r="B23" s="10" t="inlineStr">
        <is>
          <t>突擊步槍 2d6+2 實彈；戰鬥刀</t>
        </is>
      </c>
      <c r="C23" s="12" t="inlineStr"/>
    </row>
    <row r="24">
      <c r="A24" s="5" t="inlineStr">
        <is>
          <t>特殊能力</t>
        </is>
      </c>
      <c r="B24" s="10" t="inlineStr">
        <is>
          <t>巡邏；呼叫增援</t>
        </is>
      </c>
      <c r="C24" s="12" t="inlineStr"/>
    </row>
    <row r="25">
      <c r="A25" s="5" t="inlineStr">
        <is>
          <t>AI 行為</t>
        </is>
      </c>
      <c r="B25" s="10" t="inlineStr">
        <is>
          <t>巡邏；呼叫增援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敵人：陸戰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類型</t>
        </is>
      </c>
      <c r="B4" s="6" t="inlineStr">
        <is>
          <t>人類守軍</t>
        </is>
      </c>
      <c r="C4" s="7" t="n"/>
      <c r="D4" s="7" t="n"/>
      <c r="E4" s="8" t="n"/>
    </row>
    <row r="5">
      <c r="A5" s="5" t="inlineStr">
        <is>
          <t>層級</t>
        </is>
      </c>
      <c r="B5" s="6" t="inlineStr">
        <is>
          <t>菁英</t>
        </is>
      </c>
      <c r="C5" s="7" t="n"/>
      <c r="D5" s="7" t="n"/>
      <c r="E5" s="8" t="n"/>
    </row>
    <row r="6">
      <c r="A6" s="5" t="inlineStr">
        <is>
          <t>挑戰等級（CR）</t>
        </is>
      </c>
      <c r="B6" s="6" t="inlineStr">
        <is>
          <t>3</t>
        </is>
      </c>
      <c r="C6" s="7" t="n"/>
      <c r="D6" s="7" t="n"/>
      <c r="E6" s="8" t="n"/>
    </row>
    <row r="7">
      <c r="A7" s="5" t="inlineStr">
        <is>
          <t>重力適應</t>
        </is>
      </c>
      <c r="B7" s="6" t="inlineStr">
        <is>
          <t>標準/低重力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14</v>
      </c>
      <c r="C11" s="11">
        <f>INT((B11-9)/2)</f>
        <v/>
      </c>
    </row>
    <row r="12">
      <c r="A12" s="5" t="inlineStr">
        <is>
          <t>工程（ENG）</t>
        </is>
      </c>
      <c r="B12" s="10" t="n">
        <v>8</v>
      </c>
      <c r="C12" s="11">
        <f>INT((B12-9)/2)</f>
        <v/>
      </c>
    </row>
    <row r="13">
      <c r="A13" s="5" t="inlineStr">
        <is>
          <t>機動（MOB）</t>
        </is>
      </c>
      <c r="B13" s="10" t="n">
        <v>12</v>
      </c>
      <c r="C13" s="11">
        <f>INT((B13-9)/2)</f>
        <v/>
      </c>
    </row>
    <row r="14">
      <c r="A14" s="5" t="inlineStr">
        <is>
          <t>感知（PER）</t>
        </is>
      </c>
      <c r="B14" s="10" t="n">
        <v>10</v>
      </c>
      <c r="C14" s="11">
        <f>INT((B14-9)/2)</f>
        <v/>
      </c>
    </row>
    <row r="15">
      <c r="A15" s="5" t="inlineStr">
        <is>
          <t>韌性（RES）</t>
        </is>
      </c>
      <c r="B15" s="10" t="n">
        <v>14</v>
      </c>
      <c r="C15" s="11">
        <f>INT((B15-9)/2)</f>
        <v/>
      </c>
    </row>
    <row r="17">
      <c r="A17" s="3" t="inlineStr">
        <is>
          <t>三、戰鬥數值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1" t="n">
        <v>26</v>
      </c>
      <c r="C19" s="12" t="inlineStr"/>
    </row>
    <row r="20">
      <c r="A20" s="5" t="inlineStr">
        <is>
          <t>裝甲完整度（ARMR）</t>
        </is>
      </c>
      <c r="B20" s="11" t="n">
        <v>10</v>
      </c>
      <c r="C20" s="12" t="inlineStr"/>
    </row>
    <row r="21">
      <c r="A21" s="5" t="inlineStr">
        <is>
          <t>防禦等級（DEF）</t>
        </is>
      </c>
      <c r="B21" s="11" t="n">
        <v>16</v>
      </c>
      <c r="C21" s="12" t="inlineStr">
        <is>
          <t>10+機動修飾+護甲</t>
        </is>
      </c>
    </row>
    <row r="22">
      <c r="A22" s="5" t="inlineStr">
        <is>
          <t>先攻（INIT）</t>
        </is>
      </c>
      <c r="B22" s="11" t="inlineStr">
        <is>
          <t>+1+1d10</t>
        </is>
      </c>
      <c r="C22" s="12" t="inlineStr">
        <is>
          <t>機動修飾+1d10</t>
        </is>
      </c>
    </row>
    <row r="23">
      <c r="A23" s="5" t="inlineStr">
        <is>
          <t>攻擊</t>
        </is>
      </c>
      <c r="B23" s="10" t="inlineStr">
        <is>
          <t>突擊步槍 2d6+2；破片手榴彈</t>
        </is>
      </c>
      <c r="C23" s="12" t="inlineStr"/>
    </row>
    <row r="24">
      <c r="A24" s="5" t="inlineStr">
        <is>
          <t>特殊能力</t>
        </is>
      </c>
      <c r="B24" s="10" t="inlineStr">
        <is>
          <t>戰術掩護；交叉火力</t>
        </is>
      </c>
      <c r="C24" s="12" t="inlineStr"/>
    </row>
    <row r="25">
      <c r="A25" s="5" t="inlineStr">
        <is>
          <t>AI 行為</t>
        </is>
      </c>
      <c r="B25" s="10" t="inlineStr">
        <is>
          <t>戰術掩護；交叉火力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敵人：砲台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類型</t>
        </is>
      </c>
      <c r="B4" s="6" t="inlineStr">
        <is>
          <t>自動防禦</t>
        </is>
      </c>
      <c r="C4" s="7" t="n"/>
      <c r="D4" s="7" t="n"/>
      <c r="E4" s="8" t="n"/>
    </row>
    <row r="5">
      <c r="A5" s="5" t="inlineStr">
        <is>
          <t>層級</t>
        </is>
      </c>
      <c r="B5" s="6" t="inlineStr">
        <is>
          <t>標準</t>
        </is>
      </c>
      <c r="C5" s="7" t="n"/>
      <c r="D5" s="7" t="n"/>
      <c r="E5" s="8" t="n"/>
    </row>
    <row r="6">
      <c r="A6" s="5" t="inlineStr">
        <is>
          <t>挑戰等級（CR）</t>
        </is>
      </c>
      <c r="B6" s="6" t="inlineStr">
        <is>
          <t>2</t>
        </is>
      </c>
      <c r="C6" s="7" t="n"/>
      <c r="D6" s="7" t="n"/>
      <c r="E6" s="8" t="n"/>
    </row>
    <row r="7">
      <c r="A7" s="5" t="inlineStr">
        <is>
          <t>重力適應</t>
        </is>
      </c>
      <c r="B7" s="6" t="inlineStr">
        <is>
          <t>全部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14</v>
      </c>
      <c r="C11" s="11">
        <f>INT((B11-9)/2)</f>
        <v/>
      </c>
    </row>
    <row r="12">
      <c r="A12" s="5" t="inlineStr">
        <is>
          <t>工程（ENG）</t>
        </is>
      </c>
      <c r="B12" s="10" t="n">
        <v>0</v>
      </c>
      <c r="C12" s="11">
        <f>INT((B12-9)/2)</f>
        <v/>
      </c>
    </row>
    <row r="13">
      <c r="A13" s="5" t="inlineStr">
        <is>
          <t>機動（MOB）</t>
        </is>
      </c>
      <c r="B13" s="10" t="n">
        <v>0</v>
      </c>
      <c r="C13" s="11">
        <f>INT((B13-9)/2)</f>
        <v/>
      </c>
    </row>
    <row r="14">
      <c r="A14" s="5" t="inlineStr">
        <is>
          <t>感知（PER）</t>
        </is>
      </c>
      <c r="B14" s="10" t="n">
        <v>0</v>
      </c>
      <c r="C14" s="11">
        <f>INT((B14-9)/2)</f>
        <v/>
      </c>
    </row>
    <row r="15">
      <c r="A15" s="5" t="inlineStr">
        <is>
          <t>韌性（RES）</t>
        </is>
      </c>
      <c r="B15" s="10" t="n">
        <v>0</v>
      </c>
      <c r="C15" s="11">
        <f>INT((B15-9)/2)</f>
        <v/>
      </c>
    </row>
    <row r="17">
      <c r="A17" s="3" t="inlineStr">
        <is>
          <t>三、戰鬥數值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1" t="n">
        <v>16</v>
      </c>
      <c r="C19" s="12" t="inlineStr"/>
    </row>
    <row r="20">
      <c r="A20" s="5" t="inlineStr">
        <is>
          <t>裝甲完整度（ARMR）</t>
        </is>
      </c>
      <c r="B20" s="11" t="n">
        <v>6</v>
      </c>
      <c r="C20" s="12" t="inlineStr"/>
    </row>
    <row r="21">
      <c r="A21" s="5" t="inlineStr">
        <is>
          <t>防禦等級（DEF）</t>
        </is>
      </c>
      <c r="B21" s="11" t="n">
        <v>16</v>
      </c>
      <c r="C21" s="12" t="inlineStr">
        <is>
          <t>10+機動修飾+護甲</t>
        </is>
      </c>
    </row>
    <row r="22">
      <c r="A22" s="5" t="inlineStr">
        <is>
          <t>先攻（INIT）</t>
        </is>
      </c>
      <c r="B22" s="11" t="inlineStr">
        <is>
          <t>+0+1d10</t>
        </is>
      </c>
      <c r="C22" s="12" t="inlineStr">
        <is>
          <t>機動修飾+1d10</t>
        </is>
      </c>
    </row>
    <row r="23">
      <c r="A23" s="5" t="inlineStr">
        <is>
          <t>攻擊</t>
        </is>
      </c>
      <c r="B23" s="10" t="inlineStr">
        <is>
          <t>自動機槍 2d6 實彈</t>
        </is>
      </c>
      <c r="C23" s="12" t="inlineStr"/>
    </row>
    <row r="24">
      <c r="A24" s="5" t="inlineStr">
        <is>
          <t>特殊能力</t>
        </is>
      </c>
      <c r="B24" s="10" t="inlineStr">
        <is>
          <t>紅外線+運動偵測；可破解</t>
        </is>
      </c>
      <c r="C24" s="12" t="inlineStr"/>
    </row>
    <row r="25">
      <c r="A25" s="5" t="inlineStr">
        <is>
          <t>AI 行為</t>
        </is>
      </c>
      <c r="B25" s="10" t="inlineStr">
        <is>
          <t>紅外線+運動偵測；可破解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敵人：機器人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類型</t>
        </is>
      </c>
      <c r="B4" s="6" t="inlineStr">
        <is>
          <t>自動防禦</t>
        </is>
      </c>
      <c r="C4" s="7" t="n"/>
      <c r="D4" s="7" t="n"/>
      <c r="E4" s="8" t="n"/>
    </row>
    <row r="5">
      <c r="A5" s="5" t="inlineStr">
        <is>
          <t>層級</t>
        </is>
      </c>
      <c r="B5" s="6" t="inlineStr">
        <is>
          <t>菁英</t>
        </is>
      </c>
      <c r="C5" s="7" t="n"/>
      <c r="D5" s="7" t="n"/>
      <c r="E5" s="8" t="n"/>
    </row>
    <row r="6">
      <c r="A6" s="5" t="inlineStr">
        <is>
          <t>挑戰等級（CR）</t>
        </is>
      </c>
      <c r="B6" s="6" t="inlineStr">
        <is>
          <t>4</t>
        </is>
      </c>
      <c r="C6" s="7" t="n"/>
      <c r="D6" s="7" t="n"/>
      <c r="E6" s="8" t="n"/>
    </row>
    <row r="7">
      <c r="A7" s="5" t="inlineStr">
        <is>
          <t>重力適應</t>
        </is>
      </c>
      <c r="B7" s="6" t="inlineStr">
        <is>
          <t>全部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16</v>
      </c>
      <c r="C11" s="11">
        <f>INT((B11-9)/2)</f>
        <v/>
      </c>
    </row>
    <row r="12">
      <c r="A12" s="5" t="inlineStr">
        <is>
          <t>工程（ENG）</t>
        </is>
      </c>
      <c r="B12" s="10" t="n">
        <v>0</v>
      </c>
      <c r="C12" s="11">
        <f>INT((B12-9)/2)</f>
        <v/>
      </c>
    </row>
    <row r="13">
      <c r="A13" s="5" t="inlineStr">
        <is>
          <t>機動（MOB）</t>
        </is>
      </c>
      <c r="B13" s="10" t="n">
        <v>12</v>
      </c>
      <c r="C13" s="11">
        <f>INT((B13-9)/2)</f>
        <v/>
      </c>
    </row>
    <row r="14">
      <c r="A14" s="5" t="inlineStr">
        <is>
          <t>感知（PER）</t>
        </is>
      </c>
      <c r="B14" s="10" t="n">
        <v>14</v>
      </c>
      <c r="C14" s="11">
        <f>INT((B14-9)/2)</f>
        <v/>
      </c>
    </row>
    <row r="15">
      <c r="A15" s="5" t="inlineStr">
        <is>
          <t>韌性（RES）</t>
        </is>
      </c>
      <c r="B15" s="10" t="n">
        <v>0</v>
      </c>
      <c r="C15" s="11">
        <f>INT((B15-9)/2)</f>
        <v/>
      </c>
    </row>
    <row r="17">
      <c r="A17" s="3" t="inlineStr">
        <is>
          <t>三、戰鬥數值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1" t="n">
        <v>24</v>
      </c>
      <c r="C19" s="12" t="inlineStr"/>
    </row>
    <row r="20">
      <c r="A20" s="5" t="inlineStr">
        <is>
          <t>裝甲完整度（ARMR）</t>
        </is>
      </c>
      <c r="B20" s="11" t="n">
        <v>8</v>
      </c>
      <c r="C20" s="12" t="inlineStr"/>
    </row>
    <row r="21">
      <c r="A21" s="5" t="inlineStr">
        <is>
          <t>防禦等級（DEF）</t>
        </is>
      </c>
      <c r="B21" s="11" t="n">
        <v>18</v>
      </c>
      <c r="C21" s="12" t="inlineStr">
        <is>
          <t>10+機動修飾+護甲</t>
        </is>
      </c>
    </row>
    <row r="22">
      <c r="A22" s="5" t="inlineStr">
        <is>
          <t>先攻（INIT）</t>
        </is>
      </c>
      <c r="B22" s="11" t="inlineStr">
        <is>
          <t>+1+1d10</t>
        </is>
      </c>
      <c r="C22" s="12" t="inlineStr">
        <is>
          <t>機動修飾+1d10</t>
        </is>
      </c>
    </row>
    <row r="23">
      <c r="A23" s="5" t="inlineStr">
        <is>
          <t>攻擊</t>
        </is>
      </c>
      <c r="B23" s="10" t="inlineStr">
        <is>
          <t>雙管機砲 2d8 實彈；切割臂</t>
        </is>
      </c>
      <c r="C23" s="12" t="inlineStr"/>
    </row>
    <row r="24">
      <c r="A24" s="5" t="inlineStr">
        <is>
          <t>特殊能力</t>
        </is>
      </c>
      <c r="B24" s="10" t="inlineStr">
        <is>
          <t>自我修復；免疫生化/心靈</t>
        </is>
      </c>
      <c r="C24" s="12" t="inlineStr"/>
    </row>
    <row r="25">
      <c r="A25" s="5" t="inlineStr">
        <is>
          <t>AI 行為</t>
        </is>
      </c>
      <c r="B25" s="10" t="inlineStr">
        <is>
          <t>自我修復；免疫生化/心靈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敵人：蟲守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類型</t>
        </is>
      </c>
      <c r="B4" s="6" t="inlineStr">
        <is>
          <t>外星生物</t>
        </is>
      </c>
      <c r="C4" s="7" t="n"/>
      <c r="D4" s="7" t="n"/>
      <c r="E4" s="8" t="n"/>
    </row>
    <row r="5">
      <c r="A5" s="5" t="inlineStr">
        <is>
          <t>層級</t>
        </is>
      </c>
      <c r="B5" s="6" t="inlineStr">
        <is>
          <t>菁英</t>
        </is>
      </c>
      <c r="C5" s="7" t="n"/>
      <c r="D5" s="7" t="n"/>
      <c r="E5" s="8" t="n"/>
    </row>
    <row r="6">
      <c r="A6" s="5" t="inlineStr">
        <is>
          <t>挑戰等級（CR）</t>
        </is>
      </c>
      <c r="B6" s="6" t="inlineStr">
        <is>
          <t>4</t>
        </is>
      </c>
      <c r="C6" s="7" t="n"/>
      <c r="D6" s="7" t="n"/>
      <c r="E6" s="8" t="n"/>
    </row>
    <row r="7">
      <c r="A7" s="5" t="inlineStr">
        <is>
          <t>重力適應</t>
        </is>
      </c>
      <c r="B7" s="6" t="inlineStr">
        <is>
          <t>全部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16</v>
      </c>
      <c r="C11" s="11">
        <f>INT((B11-9)/2)</f>
        <v/>
      </c>
    </row>
    <row r="12">
      <c r="A12" s="5" t="inlineStr">
        <is>
          <t>工程（ENG）</t>
        </is>
      </c>
      <c r="B12" s="10" t="n">
        <v>4</v>
      </c>
      <c r="C12" s="11">
        <f>INT((B12-9)/2)</f>
        <v/>
      </c>
    </row>
    <row r="13">
      <c r="A13" s="5" t="inlineStr">
        <is>
          <t>機動（MOB）</t>
        </is>
      </c>
      <c r="B13" s="10" t="n">
        <v>8</v>
      </c>
      <c r="C13" s="11">
        <f>INT((B13-9)/2)</f>
        <v/>
      </c>
    </row>
    <row r="14">
      <c r="A14" s="5" t="inlineStr">
        <is>
          <t>感知（PER）</t>
        </is>
      </c>
      <c r="B14" s="10" t="n">
        <v>12</v>
      </c>
      <c r="C14" s="11">
        <f>INT((B14-9)/2)</f>
        <v/>
      </c>
    </row>
    <row r="15">
      <c r="A15" s="5" t="inlineStr">
        <is>
          <t>韌性（RES）</t>
        </is>
      </c>
      <c r="B15" s="10" t="n">
        <v>18</v>
      </c>
      <c r="C15" s="11">
        <f>INT((B15-9)/2)</f>
        <v/>
      </c>
    </row>
    <row r="17">
      <c r="A17" s="3" t="inlineStr">
        <is>
          <t>三、戰鬥數值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1" t="n">
        <v>22</v>
      </c>
      <c r="C19" s="12" t="inlineStr"/>
    </row>
    <row r="20">
      <c r="A20" s="5" t="inlineStr">
        <is>
          <t>裝甲完整度（ARMR）</t>
        </is>
      </c>
      <c r="B20" s="11" t="n">
        <v>6</v>
      </c>
      <c r="C20" s="12" t="inlineStr"/>
    </row>
    <row r="21">
      <c r="A21" s="5" t="inlineStr">
        <is>
          <t>防禦等級（DEF）</t>
        </is>
      </c>
      <c r="B21" s="11" t="n">
        <v>18</v>
      </c>
      <c r="C21" s="12" t="inlineStr">
        <is>
          <t>10+機動修飾+護甲</t>
        </is>
      </c>
    </row>
    <row r="22">
      <c r="A22" s="5" t="inlineStr">
        <is>
          <t>先攻（INIT）</t>
        </is>
      </c>
      <c r="B22" s="11" t="inlineStr">
        <is>
          <t>+0+1d10</t>
        </is>
      </c>
      <c r="C22" s="12" t="inlineStr">
        <is>
          <t>機動修飾+1d10</t>
        </is>
      </c>
    </row>
    <row r="23">
      <c r="A23" s="5" t="inlineStr">
        <is>
          <t>攻擊</t>
        </is>
      </c>
      <c r="B23" s="10" t="inlineStr">
        <is>
          <t>巨型鐮刀 2d8+3 實彈</t>
        </is>
      </c>
      <c r="C23" s="12" t="inlineStr"/>
    </row>
    <row r="24">
      <c r="A24" s="5" t="inlineStr">
        <is>
          <t>特殊能力</t>
        </is>
      </c>
      <c r="B24" s="10" t="inlineStr">
        <is>
          <t>甲殼護甲（實彈−2）</t>
        </is>
      </c>
      <c r="C24" s="12" t="inlineStr"/>
    </row>
    <row r="25">
      <c r="A25" s="5" t="inlineStr">
        <is>
          <t>AI 行為</t>
        </is>
      </c>
      <c r="B25" s="10" t="inlineStr">
        <is>
          <t>甲殼護甲（實彈−2）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敵人：指揮官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類型</t>
        </is>
      </c>
      <c r="B4" s="6" t="inlineStr">
        <is>
          <t>人類守軍</t>
        </is>
      </c>
      <c r="C4" s="7" t="n"/>
      <c r="D4" s="7" t="n"/>
      <c r="E4" s="8" t="n"/>
    </row>
    <row r="5">
      <c r="A5" s="5" t="inlineStr">
        <is>
          <t>層級</t>
        </is>
      </c>
      <c r="B5" s="6" t="inlineStr">
        <is>
          <t>首領</t>
        </is>
      </c>
      <c r="C5" s="7" t="n"/>
      <c r="D5" s="7" t="n"/>
      <c r="E5" s="8" t="n"/>
    </row>
    <row r="6">
      <c r="A6" s="5" t="inlineStr">
        <is>
          <t>挑戰等級（CR）</t>
        </is>
      </c>
      <c r="B6" s="6" t="inlineStr">
        <is>
          <t>5</t>
        </is>
      </c>
      <c r="C6" s="7" t="n"/>
      <c r="D6" s="7" t="n"/>
      <c r="E6" s="8" t="n"/>
    </row>
    <row r="7">
      <c r="A7" s="5" t="inlineStr">
        <is>
          <t>重力適應</t>
        </is>
      </c>
      <c r="B7" s="6" t="inlineStr">
        <is>
          <t>全部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16</v>
      </c>
      <c r="C11" s="11">
        <f>INT((B11-9)/2)</f>
        <v/>
      </c>
    </row>
    <row r="12">
      <c r="A12" s="5" t="inlineStr">
        <is>
          <t>工程（ENG）</t>
        </is>
      </c>
      <c r="B12" s="10" t="n">
        <v>14</v>
      </c>
      <c r="C12" s="11">
        <f>INT((B12-9)/2)</f>
        <v/>
      </c>
    </row>
    <row r="13">
      <c r="A13" s="5" t="inlineStr">
        <is>
          <t>機動（MOB）</t>
        </is>
      </c>
      <c r="B13" s="10" t="n">
        <v>14</v>
      </c>
      <c r="C13" s="11">
        <f>INT((B13-9)/2)</f>
        <v/>
      </c>
    </row>
    <row r="14">
      <c r="A14" s="5" t="inlineStr">
        <is>
          <t>感知（PER）</t>
        </is>
      </c>
      <c r="B14" s="10" t="n">
        <v>14</v>
      </c>
      <c r="C14" s="11">
        <f>INT((B14-9)/2)</f>
        <v/>
      </c>
    </row>
    <row r="15">
      <c r="A15" s="5" t="inlineStr">
        <is>
          <t>韌性（RES）</t>
        </is>
      </c>
      <c r="B15" s="10" t="n">
        <v>16</v>
      </c>
      <c r="C15" s="11">
        <f>INT((B15-9)/2)</f>
        <v/>
      </c>
    </row>
    <row r="17">
      <c r="A17" s="3" t="inlineStr">
        <is>
          <t>三、戰鬥數值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1" t="n">
        <v>40</v>
      </c>
      <c r="C19" s="12" t="inlineStr"/>
    </row>
    <row r="20">
      <c r="A20" s="5" t="inlineStr">
        <is>
          <t>裝甲完整度（ARMR）</t>
        </is>
      </c>
      <c r="B20" s="11" t="n">
        <v>14</v>
      </c>
      <c r="C20" s="12" t="inlineStr"/>
    </row>
    <row r="21">
      <c r="A21" s="5" t="inlineStr">
        <is>
          <t>防禦等級（DEF）</t>
        </is>
      </c>
      <c r="B21" s="11" t="n">
        <v>18</v>
      </c>
      <c r="C21" s="12" t="inlineStr">
        <is>
          <t>10+機動修飾+護甲</t>
        </is>
      </c>
    </row>
    <row r="22">
      <c r="A22" s="5" t="inlineStr">
        <is>
          <t>先攻（INIT）</t>
        </is>
      </c>
      <c r="B22" s="11" t="inlineStr">
        <is>
          <t>+2+1d10</t>
        </is>
      </c>
      <c r="C22" s="12" t="inlineStr">
        <is>
          <t>機動修飾+1d10</t>
        </is>
      </c>
    </row>
    <row r="23">
      <c r="A23" s="5" t="inlineStr">
        <is>
          <t>攻擊</t>
        </is>
      </c>
      <c r="B23" s="10" t="inlineStr">
        <is>
          <t>指揮官手槍 2d6+3；電擊指揮刀(暈眩)</t>
        </is>
      </c>
      <c r="C23" s="12" t="inlineStr"/>
    </row>
    <row r="24">
      <c r="A24" s="5" t="inlineStr">
        <is>
          <t>特殊能力</t>
        </is>
      </c>
      <c r="B24" s="10" t="inlineStr">
        <is>
          <t>戰術指揮；啟動自毀</t>
        </is>
      </c>
      <c r="C24" s="12" t="inlineStr"/>
    </row>
    <row r="25">
      <c r="A25" s="5" t="inlineStr">
        <is>
          <t>AI 行為</t>
        </is>
      </c>
      <c r="B25" s="10" t="inlineStr">
        <is>
          <t>戰術指揮；啟動自毀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敵人：矽基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類型</t>
        </is>
      </c>
      <c r="B4" s="6" t="inlineStr">
        <is>
          <t>外星生物</t>
        </is>
      </c>
      <c r="C4" s="7" t="n"/>
      <c r="D4" s="7" t="n"/>
      <c r="E4" s="8" t="n"/>
    </row>
    <row r="5">
      <c r="A5" s="5" t="inlineStr">
        <is>
          <t>層級</t>
        </is>
      </c>
      <c r="B5" s="6" t="inlineStr">
        <is>
          <t>首領</t>
        </is>
      </c>
      <c r="C5" s="7" t="n"/>
      <c r="D5" s="7" t="n"/>
      <c r="E5" s="8" t="n"/>
    </row>
    <row r="6">
      <c r="A6" s="5" t="inlineStr">
        <is>
          <t>挑戰等級（CR）</t>
        </is>
      </c>
      <c r="B6" s="6" t="inlineStr">
        <is>
          <t>5</t>
        </is>
      </c>
      <c r="C6" s="7" t="n"/>
      <c r="D6" s="7" t="n"/>
      <c r="E6" s="8" t="n"/>
    </row>
    <row r="7">
      <c r="A7" s="5" t="inlineStr">
        <is>
          <t>重力適應</t>
        </is>
      </c>
      <c r="B7" s="6" t="inlineStr">
        <is>
          <t>全部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8</v>
      </c>
      <c r="C11" s="11">
        <f>INT((B11-9)/2)</f>
        <v/>
      </c>
    </row>
    <row r="12">
      <c r="A12" s="5" t="inlineStr">
        <is>
          <t>工程（ENG）</t>
        </is>
      </c>
      <c r="B12" s="10" t="n">
        <v>6</v>
      </c>
      <c r="C12" s="11">
        <f>INT((B12-9)/2)</f>
        <v/>
      </c>
    </row>
    <row r="13">
      <c r="A13" s="5" t="inlineStr">
        <is>
          <t>機動（MOB）</t>
        </is>
      </c>
      <c r="B13" s="10" t="n">
        <v>8</v>
      </c>
      <c r="C13" s="11">
        <f>INT((B13-9)/2)</f>
        <v/>
      </c>
    </row>
    <row r="14">
      <c r="A14" s="5" t="inlineStr">
        <is>
          <t>感知（PER）</t>
        </is>
      </c>
      <c r="B14" s="10" t="n">
        <v>18</v>
      </c>
      <c r="C14" s="11">
        <f>INT((B14-9)/2)</f>
        <v/>
      </c>
    </row>
    <row r="15">
      <c r="A15" s="5" t="inlineStr">
        <is>
          <t>韌性（RES）</t>
        </is>
      </c>
      <c r="B15" s="10" t="n">
        <v>18</v>
      </c>
      <c r="C15" s="11">
        <f>INT((B15-9)/2)</f>
        <v/>
      </c>
    </row>
    <row r="17">
      <c r="A17" s="3" t="inlineStr">
        <is>
          <t>三、戰鬥數值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1" t="n">
        <v>30</v>
      </c>
      <c r="C19" s="12" t="inlineStr"/>
    </row>
    <row r="20">
      <c r="A20" s="5" t="inlineStr">
        <is>
          <t>裝甲完整度（ARMR）</t>
        </is>
      </c>
      <c r="B20" s="11" t="n">
        <v>12</v>
      </c>
      <c r="C20" s="12" t="inlineStr"/>
    </row>
    <row r="21">
      <c r="A21" s="5" t="inlineStr">
        <is>
          <t>防禦等級（DEF）</t>
        </is>
      </c>
      <c r="B21" s="11" t="n">
        <v>18</v>
      </c>
      <c r="C21" s="12" t="inlineStr">
        <is>
          <t>10+機動修飾+護甲</t>
        </is>
      </c>
    </row>
    <row r="22">
      <c r="A22" s="5" t="inlineStr">
        <is>
          <t>先攻（INIT）</t>
        </is>
      </c>
      <c r="B22" s="11" t="inlineStr">
        <is>
          <t>+0+1d10</t>
        </is>
      </c>
      <c r="C22" s="12" t="inlineStr">
        <is>
          <t>機動修飾+1d10</t>
        </is>
      </c>
    </row>
    <row r="23">
      <c r="A23" s="5" t="inlineStr">
        <is>
          <t>攻擊</t>
        </is>
      </c>
      <c r="B23" s="10" t="inlineStr">
        <is>
          <t>結晶衝擊 2d8 能量傷害</t>
        </is>
      </c>
      <c r="C23" s="12" t="inlineStr"/>
    </row>
    <row r="24">
      <c r="A24" s="5" t="inlineStr">
        <is>
          <t>特殊能力</t>
        </is>
      </c>
      <c r="B24" s="10" t="inlineStr">
        <is>
          <t>再生 2；弱點 火焰×2、實彈×1（無減免）</t>
        </is>
      </c>
      <c r="C24" s="12" t="inlineStr"/>
    </row>
    <row r="25">
      <c r="A25" s="5" t="inlineStr">
        <is>
          <t>AI 行為</t>
        </is>
      </c>
      <c r="B25" s="10" t="inlineStr">
        <is>
          <t>再生 2；弱點 火焰×2、實彈×1（無減免）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敵人：能量實體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類型</t>
        </is>
      </c>
      <c r="B4" s="6" t="inlineStr">
        <is>
          <t>能量生命</t>
        </is>
      </c>
      <c r="C4" s="7" t="n"/>
      <c r="D4" s="7" t="n"/>
      <c r="E4" s="8" t="n"/>
    </row>
    <row r="5">
      <c r="A5" s="5" t="inlineStr">
        <is>
          <t>層級</t>
        </is>
      </c>
      <c r="B5" s="6" t="inlineStr">
        <is>
          <t>特殊</t>
        </is>
      </c>
      <c r="C5" s="7" t="n"/>
      <c r="D5" s="7" t="n"/>
      <c r="E5" s="8" t="n"/>
    </row>
    <row r="6">
      <c r="A6" s="5" t="inlineStr">
        <is>
          <t>挑戰等級（CR）</t>
        </is>
      </c>
      <c r="B6" s="6" t="inlineStr">
        <is>
          <t>6</t>
        </is>
      </c>
      <c r="C6" s="7" t="n"/>
      <c r="D6" s="7" t="n"/>
      <c r="E6" s="8" t="n"/>
    </row>
    <row r="7">
      <c r="A7" s="5" t="inlineStr">
        <is>
          <t>重力適應</t>
        </is>
      </c>
      <c r="B7" s="6" t="inlineStr">
        <is>
          <t>全部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10</v>
      </c>
      <c r="C11" s="11">
        <f>INT((B11-9)/2)</f>
        <v/>
      </c>
    </row>
    <row r="12">
      <c r="A12" s="5" t="inlineStr">
        <is>
          <t>工程（ENG）</t>
        </is>
      </c>
      <c r="B12" s="10" t="n">
        <v>10</v>
      </c>
      <c r="C12" s="11">
        <f>INT((B12-9)/2)</f>
        <v/>
      </c>
    </row>
    <row r="13">
      <c r="A13" s="5" t="inlineStr">
        <is>
          <t>機動（MOB）</t>
        </is>
      </c>
      <c r="B13" s="10" t="n">
        <v>12</v>
      </c>
      <c r="C13" s="11">
        <f>INT((B13-9)/2)</f>
        <v/>
      </c>
    </row>
    <row r="14">
      <c r="A14" s="5" t="inlineStr">
        <is>
          <t>感知（PER）</t>
        </is>
      </c>
      <c r="B14" s="10" t="n">
        <v>14</v>
      </c>
      <c r="C14" s="11">
        <f>INT((B14-9)/2)</f>
        <v/>
      </c>
    </row>
    <row r="15">
      <c r="A15" s="5" t="inlineStr">
        <is>
          <t>韌性（RES）</t>
        </is>
      </c>
      <c r="B15" s="10" t="n">
        <v>10</v>
      </c>
      <c r="C15" s="11">
        <f>INT((B15-9)/2)</f>
        <v/>
      </c>
    </row>
    <row r="17">
      <c r="A17" s="3" t="inlineStr">
        <is>
          <t>三、戰鬥數值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1" t="n">
        <v>24</v>
      </c>
      <c r="C19" s="12" t="inlineStr"/>
    </row>
    <row r="20">
      <c r="A20" s="5" t="inlineStr">
        <is>
          <t>裝甲完整度（ARMR）</t>
        </is>
      </c>
      <c r="B20" s="11" t="n">
        <v>0</v>
      </c>
      <c r="C20" s="12" t="inlineStr"/>
    </row>
    <row r="21">
      <c r="A21" s="5" t="inlineStr">
        <is>
          <t>防禦等級（DEF）</t>
        </is>
      </c>
      <c r="B21" s="11" t="n">
        <v>22</v>
      </c>
      <c r="C21" s="12" t="inlineStr">
        <is>
          <t>10+機動修飾+護甲</t>
        </is>
      </c>
    </row>
    <row r="22">
      <c r="A22" s="5" t="inlineStr">
        <is>
          <t>先攻（INIT）</t>
        </is>
      </c>
      <c r="B22" s="11" t="inlineStr">
        <is>
          <t>+2+1d10</t>
        </is>
      </c>
      <c r="C22" s="12" t="inlineStr">
        <is>
          <t>機動修飾+1d10</t>
        </is>
      </c>
    </row>
    <row r="23">
      <c r="A23" s="5" t="inlineStr">
        <is>
          <t>攻擊</t>
        </is>
      </c>
      <c r="B23" s="10" t="inlineStr">
        <is>
          <t>能量脈衝 2d10 能量傷害</t>
        </is>
      </c>
      <c r="C23" s="12" t="inlineStr"/>
    </row>
    <row r="24">
      <c r="A24" s="5" t="inlineStr">
        <is>
          <t>特殊能力</t>
        </is>
      </c>
      <c r="B24" s="10" t="inlineStr">
        <is>
          <t>虛體；僅能量/精神傷害可傷</t>
        </is>
      </c>
      <c r="C24" s="12" t="inlineStr"/>
    </row>
    <row r="25">
      <c r="A25" s="5" t="inlineStr">
        <is>
          <t>AI 行為</t>
        </is>
      </c>
      <c r="B25" s="10" t="inlineStr">
        <is>
          <t>虛體；僅能量/精神傷害可傷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2026-07-13T18:53:06Z</dcterms:created>
  <dcterms:modified xsi:type="dcterms:W3CDTF">2026-07-13T18:53:06Z</dcterms:modified>
</cp:coreProperties>
</file>