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玩家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1F3864"/>
      <sz val="12"/>
    </font>
    <font>
      <name val="Microsoft JhengHei"/>
      <b val="1"/>
      <sz val="10"/>
    </font>
    <font>
      <name val="Microsoft JhengHei"/>
      <sz val="10"/>
    </font>
    <font>
      <name val="Microsoft JhengHe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E2EFDA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0" pivotButton="0" quotePrefix="0" xfId="0"/>
    <xf numFmtId="0" fontId="3" fillId="0" borderId="1" pivotButton="0" quotePrefix="0" xfId="0"/>
    <xf numFmtId="0" fontId="4" fillId="4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星艦突擊登艦隊 —— 玩家角色卡（空白）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3" t="inlineStr">
        <is>
          <t>一、基本資料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姓名</t>
        </is>
      </c>
      <c r="B4" s="6" t="inlineStr"/>
      <c r="C4" s="7" t="n"/>
      <c r="D4" s="8" t="n"/>
    </row>
    <row r="5">
      <c r="A5" s="5" t="inlineStr">
        <is>
          <t>兵種</t>
        </is>
      </c>
      <c r="B5" s="6" t="inlineStr"/>
      <c r="C5" s="7" t="n"/>
      <c r="D5" s="8" t="n"/>
    </row>
    <row r="6">
      <c r="A6" s="5" t="inlineStr">
        <is>
          <t>背景</t>
        </is>
      </c>
      <c r="B6" s="6" t="inlineStr"/>
      <c r="C6" s="7" t="n"/>
      <c r="D6" s="8" t="n"/>
    </row>
    <row r="7">
      <c r="A7" s="5" t="inlineStr">
        <is>
          <t>等級</t>
        </is>
      </c>
      <c r="B7" s="6" t="n">
        <v>1</v>
      </c>
      <c r="C7" s="7" t="n"/>
      <c r="D7" s="8" t="n"/>
    </row>
    <row r="8">
      <c r="A8" s="5" t="inlineStr">
        <is>
          <t>聲望階級</t>
        </is>
      </c>
      <c r="B8" s="6" t="inlineStr"/>
      <c r="C8" s="7" t="n"/>
      <c r="D8" s="8" t="n"/>
    </row>
    <row r="9">
      <c r="A9" s="5" t="inlineStr">
        <is>
          <t>恐懼之艦</t>
        </is>
      </c>
      <c r="B9" s="6" t="inlineStr"/>
      <c r="C9" s="7" t="n"/>
      <c r="D9" s="8" t="n"/>
    </row>
    <row r="10">
      <c r="A10" s="5" t="inlineStr">
        <is>
          <t>恐懼之艦修正（由 GM 套用）</t>
        </is>
      </c>
      <c r="B10" s="6" t="inlineStr"/>
      <c r="C10" s="7" t="n"/>
      <c r="D10" s="8" t="n"/>
    </row>
    <row r="11">
      <c r="A11" s="3" t="inlineStr">
        <is>
          <t>二、五大屬性（起始基值 8，填寫後自動計算修飾值）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9" t="inlineStr">
        <is>
          <t>屬性</t>
        </is>
      </c>
      <c r="B12" s="9" t="inlineStr">
        <is>
          <t>屬性值</t>
        </is>
      </c>
      <c r="C12" s="9" t="inlineStr">
        <is>
          <t>修飾值</t>
        </is>
      </c>
      <c r="D12" s="9" t="inlineStr">
        <is>
          <t>說明</t>
        </is>
      </c>
    </row>
    <row r="13">
      <c r="A13" s="5" t="inlineStr">
        <is>
          <t>戰術（TAC）</t>
        </is>
      </c>
      <c r="B13" s="10" t="n">
        <v>8</v>
      </c>
      <c r="C13" s="11">
        <f>INT((B13-9)/2)</f>
        <v/>
      </c>
      <c r="D13" s="12" t="inlineStr">
        <is>
          <t>修飾值 = (屬性值−9)÷2 向下取整</t>
        </is>
      </c>
    </row>
    <row r="14">
      <c r="A14" s="5" t="inlineStr">
        <is>
          <t>工程（ENG）</t>
        </is>
      </c>
      <c r="B14" s="10" t="n">
        <v>8</v>
      </c>
      <c r="C14" s="11">
        <f>INT((B14-9)/2)</f>
        <v/>
      </c>
      <c r="D14" s="12" t="inlineStr">
        <is>
          <t>修飾值 = (屬性值−9)÷2 向下取整</t>
        </is>
      </c>
    </row>
    <row r="15">
      <c r="A15" s="5" t="inlineStr">
        <is>
          <t>機動（MOB）</t>
        </is>
      </c>
      <c r="B15" s="10" t="n">
        <v>8</v>
      </c>
      <c r="C15" s="11">
        <f>INT((B15-9)/2)</f>
        <v/>
      </c>
      <c r="D15" s="12" t="inlineStr">
        <is>
          <t>修飾值 = (屬性值−9)÷2 向下取整</t>
        </is>
      </c>
    </row>
    <row r="16">
      <c r="A16" s="5" t="inlineStr">
        <is>
          <t>感知（PER）</t>
        </is>
      </c>
      <c r="B16" s="10" t="n">
        <v>8</v>
      </c>
      <c r="C16" s="11">
        <f>INT((B16-9)/2)</f>
        <v/>
      </c>
      <c r="D16" s="12" t="inlineStr">
        <is>
          <t>修飾值 = (屬性值−9)÷2 向下取整</t>
        </is>
      </c>
    </row>
    <row r="17">
      <c r="A17" s="5" t="inlineStr">
        <is>
          <t>韌性（RES）</t>
        </is>
      </c>
      <c r="B17" s="10" t="n">
        <v>8</v>
      </c>
      <c r="C17" s="11">
        <f>INT((B17-9)/2)</f>
        <v/>
      </c>
      <c r="D17" s="12" t="inlineStr">
        <is>
          <t>修飾值 = (屬性值−9)÷2 向下取整</t>
        </is>
      </c>
    </row>
    <row r="19">
      <c r="A19" s="3" t="inlineStr">
        <is>
          <t>三、衍生屬性（自動計算；標 * 項需填寫下方輸入欄）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  <row r="20">
      <c r="A20" s="9" t="inlineStr">
        <is>
          <t>衍生屬性</t>
        </is>
      </c>
      <c r="B20" s="9" t="inlineStr">
        <is>
          <t>計算值</t>
        </is>
      </c>
      <c r="C20" s="9" t="inlineStr">
        <is>
          <t>公式 / 說明</t>
        </is>
      </c>
    </row>
    <row r="21">
      <c r="A21" s="5" t="inlineStr">
        <is>
          <t>生命值（HP）</t>
        </is>
      </c>
      <c r="B21" s="11">
        <f>B17*2+B28</f>
        <v/>
      </c>
      <c r="C21" s="12">
        <f> 韌性×2 + 兵種基礎值（B28）</f>
        <v/>
      </c>
    </row>
    <row r="22">
      <c r="A22" s="5" t="inlineStr">
        <is>
          <t>氧氣儲備</t>
        </is>
      </c>
      <c r="B22" s="11">
        <f>B17*2+5</f>
        <v/>
      </c>
      <c r="C22" s="12">
        <f> 韌性×2 + 5（回合）</f>
        <v/>
      </c>
    </row>
    <row r="23">
      <c r="A23" s="5" t="inlineStr">
        <is>
          <t>裝甲完整度（ARMR）</t>
        </is>
      </c>
      <c r="B23" s="11">
        <f>INT(B17*1.5)+B29</f>
        <v/>
      </c>
      <c r="C23" s="12">
        <f> ⌊韌性×1.5⌋ + 裝備護甲加成（B29）</f>
        <v/>
      </c>
    </row>
    <row r="24">
      <c r="A24" s="5" t="inlineStr">
        <is>
          <t>系統破解上限</t>
        </is>
      </c>
      <c r="B24" s="11">
        <f>ROUNDUP(B14*0.5,0)</f>
        <v/>
      </c>
      <c r="C24" s="12">
        <f> ⌈工程×0.5⌉（向上取整）</f>
        <v/>
      </c>
    </row>
    <row r="25">
      <c r="A25" s="5" t="inlineStr">
        <is>
          <t>負重上限</t>
        </is>
      </c>
      <c r="B25" s="11">
        <f>(B13+B17)*2</f>
        <v/>
      </c>
      <c r="C25" s="12">
        <f> (戰術+韌性)×2（公斤）</f>
        <v/>
      </c>
    </row>
    <row r="26">
      <c r="A26" s="5" t="inlineStr">
        <is>
          <t>防禦等級（DEF）</t>
        </is>
      </c>
      <c r="B26" s="11">
        <f>10+C15+B30</f>
        <v/>
      </c>
      <c r="C26" s="12">
        <f> 10 + 機動修飾 + 護甲加值（B30）</f>
        <v/>
      </c>
    </row>
    <row r="27">
      <c r="A27" s="5" t="inlineStr">
        <is>
          <t>先攻（INIT）</t>
        </is>
      </c>
      <c r="B27" s="11">
        <f>C15&amp;"+1d10"</f>
        <v/>
      </c>
      <c r="C27" s="12">
        <f> 機動修飾 + 1d10</f>
        <v/>
      </c>
    </row>
    <row r="28">
      <c r="A28" s="5" t="inlineStr">
        <is>
          <t>兵種基礎 HP（輸入）*</t>
        </is>
      </c>
      <c r="B28" s="10" t="n">
        <v>12</v>
      </c>
      <c r="C28" s="12" t="inlineStr">
        <is>
          <t>由玩家/GM 依兵種與裝備填寫</t>
        </is>
      </c>
    </row>
    <row r="29">
      <c r="A29" s="5" t="inlineStr">
        <is>
          <t>裝備護甲加成（輸入）*</t>
        </is>
      </c>
      <c r="B29" s="10" t="n">
        <v>4</v>
      </c>
      <c r="C29" s="12" t="inlineStr">
        <is>
          <t>由玩家/GM 依兵種與裝備填寫</t>
        </is>
      </c>
    </row>
    <row r="30">
      <c r="A30" s="5" t="inlineStr">
        <is>
          <t>護甲加值（輸入）*</t>
        </is>
      </c>
      <c r="B30" s="10" t="n">
        <v>4</v>
      </c>
      <c r="C30" s="12" t="inlineStr">
        <is>
          <t>由玩家/GM 依兵種與裝備填寫</t>
        </is>
      </c>
    </row>
    <row r="32">
      <c r="A32" s="3" t="inlineStr">
        <is>
          <t>四、技能熟練（20 項；技能總值 = 屬性修飾 + 熟練加值）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</row>
    <row r="33">
      <c r="A33" s="9" t="inlineStr">
        <is>
          <t>技能</t>
        </is>
      </c>
      <c r="B33" s="9" t="inlineStr">
        <is>
          <t>關聯屬性</t>
        </is>
      </c>
      <c r="C33" s="9" t="inlineStr">
        <is>
          <t>屬性修飾</t>
        </is>
      </c>
      <c r="D33" s="9" t="inlineStr">
        <is>
          <t>熟練等級</t>
        </is>
      </c>
      <c r="E33" s="9" t="inlineStr">
        <is>
          <t>熟練加值</t>
        </is>
      </c>
      <c r="F33" s="9" t="inlineStr">
        <is>
          <t>技能總值</t>
        </is>
      </c>
    </row>
    <row r="34">
      <c r="A34" s="5" t="inlineStr">
        <is>
          <t>近戰攻擊</t>
        </is>
      </c>
      <c r="B34" s="13" t="inlineStr">
        <is>
          <t>TAC</t>
        </is>
      </c>
      <c r="C34" s="11">
        <f>C13</f>
        <v/>
      </c>
      <c r="D34" s="10" t="inlineStr">
        <is>
          <t>未受訓</t>
        </is>
      </c>
      <c r="E34" s="11">
        <f>IF(D34="","",IF(D34="未受訓",0,IF(D34="熟練",2,IF(D34="專家",4,6))))</f>
        <v/>
      </c>
      <c r="F34" s="11">
        <f>C34+E34</f>
        <v/>
      </c>
    </row>
    <row r="35">
      <c r="A35" s="5" t="inlineStr">
        <is>
          <t>遠程射擊</t>
        </is>
      </c>
      <c r="B35" s="13" t="inlineStr">
        <is>
          <t>TAC</t>
        </is>
      </c>
      <c r="C35" s="11">
        <f>C13</f>
        <v/>
      </c>
      <c r="D35" s="10" t="inlineStr">
        <is>
          <t>未受訓</t>
        </is>
      </c>
      <c r="E35" s="11">
        <f>IF(D35="","",IF(D35="未受訓",0,IF(D35="熟練",2,IF(D35="專家",4,6))))</f>
        <v/>
      </c>
      <c r="F35" s="11">
        <f>C35+E35</f>
        <v/>
      </c>
    </row>
    <row r="36">
      <c r="A36" s="5" t="inlineStr">
        <is>
          <t>爆破</t>
        </is>
      </c>
      <c r="B36" s="13" t="inlineStr">
        <is>
          <t>TAC</t>
        </is>
      </c>
      <c r="C36" s="11">
        <f>C13</f>
        <v/>
      </c>
      <c r="D36" s="10" t="inlineStr">
        <is>
          <t>未受訓</t>
        </is>
      </c>
      <c r="E36" s="11">
        <f>IF(D36="","",IF(D36="未受訓",0,IF(D36="熟練",2,IF(D36="專家",4,6))))</f>
        <v/>
      </c>
      <c r="F36" s="11">
        <f>C36+E36</f>
        <v/>
      </c>
    </row>
    <row r="37">
      <c r="A37" s="5" t="inlineStr">
        <is>
          <t>戰術指揮</t>
        </is>
      </c>
      <c r="B37" s="13" t="inlineStr">
        <is>
          <t>TAC</t>
        </is>
      </c>
      <c r="C37" s="11">
        <f>C13</f>
        <v/>
      </c>
      <c r="D37" s="10" t="inlineStr">
        <is>
          <t>未受訓</t>
        </is>
      </c>
      <c r="E37" s="11">
        <f>IF(D37="","",IF(D37="未受訓",0,IF(D37="熟練",2,IF(D37="專家",4,6))))</f>
        <v/>
      </c>
      <c r="F37" s="11">
        <f>C37+E37</f>
        <v/>
      </c>
    </row>
    <row r="38">
      <c r="A38" s="5" t="inlineStr">
        <is>
          <t>系統破解</t>
        </is>
      </c>
      <c r="B38" s="13" t="inlineStr">
        <is>
          <t>ENG</t>
        </is>
      </c>
      <c r="C38" s="11">
        <f>C14</f>
        <v/>
      </c>
      <c r="D38" s="10" t="inlineStr">
        <is>
          <t>未受訓</t>
        </is>
      </c>
      <c r="E38" s="11">
        <f>IF(D38="","",IF(D38="未受訓",0,IF(D38="熟練",2,IF(D38="專家",4,6))))</f>
        <v/>
      </c>
      <c r="F38" s="11">
        <f>C38+E38</f>
        <v/>
      </c>
    </row>
    <row r="39">
      <c r="A39" s="5" t="inlineStr">
        <is>
          <t>設備維修</t>
        </is>
      </c>
      <c r="B39" s="13" t="inlineStr">
        <is>
          <t>ENG</t>
        </is>
      </c>
      <c r="C39" s="11">
        <f>C14</f>
        <v/>
      </c>
      <c r="D39" s="10" t="inlineStr">
        <is>
          <t>未受訓</t>
        </is>
      </c>
      <c r="E39" s="11">
        <f>IF(D39="","",IF(D39="未受訓",0,IF(D39="熟練",2,IF(D39="專家",4,6))))</f>
        <v/>
      </c>
      <c r="F39" s="11">
        <f>C39+E39</f>
        <v/>
      </c>
    </row>
    <row r="40">
      <c r="A40" s="5" t="inlineStr">
        <is>
          <t>電子戰</t>
        </is>
      </c>
      <c r="B40" s="13" t="inlineStr">
        <is>
          <t>ENG</t>
        </is>
      </c>
      <c r="C40" s="11">
        <f>C14</f>
        <v/>
      </c>
      <c r="D40" s="10" t="inlineStr">
        <is>
          <t>未受訓</t>
        </is>
      </c>
      <c r="E40" s="11">
        <f>IF(D40="","",IF(D40="未受訓",0,IF(D40="熟練",2,IF(D40="專家",4,6))))</f>
        <v/>
      </c>
      <c r="F40" s="11">
        <f>C40+E40</f>
        <v/>
      </c>
    </row>
    <row r="41">
      <c r="A41" s="5" t="inlineStr">
        <is>
          <t>艦船工程</t>
        </is>
      </c>
      <c r="B41" s="13" t="inlineStr">
        <is>
          <t>ENG</t>
        </is>
      </c>
      <c r="C41" s="11">
        <f>C14</f>
        <v/>
      </c>
      <c r="D41" s="10" t="inlineStr">
        <is>
          <t>未受訓</t>
        </is>
      </c>
      <c r="E41" s="11">
        <f>IF(D41="","",IF(D41="未受訓",0,IF(D41="熟練",2,IF(D41="專家",4,6))))</f>
        <v/>
      </c>
      <c r="F41" s="11">
        <f>C41+E41</f>
        <v/>
      </c>
    </row>
    <row r="42">
      <c r="A42" s="5" t="inlineStr">
        <is>
          <t>零重力移動</t>
        </is>
      </c>
      <c r="B42" s="13" t="inlineStr">
        <is>
          <t>MOB</t>
        </is>
      </c>
      <c r="C42" s="11">
        <f>C15</f>
        <v/>
      </c>
      <c r="D42" s="10" t="inlineStr">
        <is>
          <t>未受訓</t>
        </is>
      </c>
      <c r="E42" s="11">
        <f>IF(D42="","",IF(D42="未受訓",0,IF(D42="熟練",2,IF(D42="專家",4,6))))</f>
        <v/>
      </c>
      <c r="F42" s="11">
        <f>C42+E42</f>
        <v/>
      </c>
    </row>
    <row r="43">
      <c r="A43" s="5" t="inlineStr">
        <is>
          <t>規避</t>
        </is>
      </c>
      <c r="B43" s="13" t="inlineStr">
        <is>
          <t>MOB</t>
        </is>
      </c>
      <c r="C43" s="11">
        <f>C15</f>
        <v/>
      </c>
      <c r="D43" s="10" t="inlineStr">
        <is>
          <t>未受訓</t>
        </is>
      </c>
      <c r="E43" s="11">
        <f>IF(D43="","",IF(D43="未受訓",0,IF(D43="熟練",2,IF(D43="專家",4,6))))</f>
        <v/>
      </c>
      <c r="F43" s="11">
        <f>C43+E43</f>
        <v/>
      </c>
    </row>
    <row r="44">
      <c r="A44" s="5" t="inlineStr">
        <is>
          <t>潛行</t>
        </is>
      </c>
      <c r="B44" s="13" t="inlineStr">
        <is>
          <t>MOB</t>
        </is>
      </c>
      <c r="C44" s="11">
        <f>C15</f>
        <v/>
      </c>
      <c r="D44" s="10" t="inlineStr">
        <is>
          <t>未受訓</t>
        </is>
      </c>
      <c r="E44" s="11">
        <f>IF(D44="","",IF(D44="未受訓",0,IF(D44="熟練",2,IF(D44="專家",4,6))))</f>
        <v/>
      </c>
      <c r="F44" s="11">
        <f>C44+E44</f>
        <v/>
      </c>
    </row>
    <row r="45">
      <c r="A45" s="5" t="inlineStr">
        <is>
          <t>跳躍突進</t>
        </is>
      </c>
      <c r="B45" s="13" t="inlineStr">
        <is>
          <t>MOB</t>
        </is>
      </c>
      <c r="C45" s="11">
        <f>C15</f>
        <v/>
      </c>
      <c r="D45" s="10" t="inlineStr">
        <is>
          <t>未受訓</t>
        </is>
      </c>
      <c r="E45" s="11">
        <f>IF(D45="","",IF(D45="未受訓",0,IF(D45="熟練",2,IF(D45="專家",4,6))))</f>
        <v/>
      </c>
      <c r="F45" s="11">
        <f>C45+E45</f>
        <v/>
      </c>
    </row>
    <row r="46">
      <c r="A46" s="5" t="inlineStr">
        <is>
          <t>環境掃描</t>
        </is>
      </c>
      <c r="B46" s="13" t="inlineStr">
        <is>
          <t>PER</t>
        </is>
      </c>
      <c r="C46" s="11">
        <f>C16</f>
        <v/>
      </c>
      <c r="D46" s="10" t="inlineStr">
        <is>
          <t>未受訓</t>
        </is>
      </c>
      <c r="E46" s="11">
        <f>IF(D46="","",IF(D46="未受訓",0,IF(D46="熟練",2,IF(D46="專家",4,6))))</f>
        <v/>
      </c>
      <c r="F46" s="11">
        <f>C46+E46</f>
        <v/>
      </c>
    </row>
    <row r="47">
      <c r="A47" s="5" t="inlineStr">
        <is>
          <t>威脅偵測</t>
        </is>
      </c>
      <c r="B47" s="13" t="inlineStr">
        <is>
          <t>PER</t>
        </is>
      </c>
      <c r="C47" s="11">
        <f>C16</f>
        <v/>
      </c>
      <c r="D47" s="10" t="inlineStr">
        <is>
          <t>未受訓</t>
        </is>
      </c>
      <c r="E47" s="11">
        <f>IF(D47="","",IF(D47="未受訓",0,IF(D47="熟練",2,IF(D47="專家",4,6))))</f>
        <v/>
      </c>
      <c r="F47" s="11">
        <f>C47+E47</f>
        <v/>
      </c>
    </row>
    <row r="48">
      <c r="A48" s="5" t="inlineStr">
        <is>
          <t>追蹤</t>
        </is>
      </c>
      <c r="B48" s="13" t="inlineStr">
        <is>
          <t>PER</t>
        </is>
      </c>
      <c r="C48" s="11">
        <f>C16</f>
        <v/>
      </c>
      <c r="D48" s="10" t="inlineStr">
        <is>
          <t>未受訓</t>
        </is>
      </c>
      <c r="E48" s="11">
        <f>IF(D48="","",IF(D48="未受訓",0,IF(D48="熟練",2,IF(D48="專家",4,6))))</f>
        <v/>
      </c>
      <c r="F48" s="11">
        <f>C48+E48</f>
        <v/>
      </c>
    </row>
    <row r="49">
      <c r="A49" s="5" t="inlineStr">
        <is>
          <t>先制</t>
        </is>
      </c>
      <c r="B49" s="13" t="inlineStr">
        <is>
          <t>PER</t>
        </is>
      </c>
      <c r="C49" s="11">
        <f>C16</f>
        <v/>
      </c>
      <c r="D49" s="10" t="inlineStr">
        <is>
          <t>未受訓</t>
        </is>
      </c>
      <c r="E49" s="11">
        <f>IF(D49="","",IF(D49="未受訓",0,IF(D49="熟練",2,IF(D49="專家",4,6))))</f>
        <v/>
      </c>
      <c r="F49" s="11">
        <f>C49+E49</f>
        <v/>
      </c>
    </row>
    <row r="50">
      <c r="A50" s="5" t="inlineStr">
        <is>
          <t>承受傷害</t>
        </is>
      </c>
      <c r="B50" s="13" t="inlineStr">
        <is>
          <t>RES</t>
        </is>
      </c>
      <c r="C50" s="11">
        <f>C17</f>
        <v/>
      </c>
      <c r="D50" s="10" t="inlineStr">
        <is>
          <t>未受訓</t>
        </is>
      </c>
      <c r="E50" s="11">
        <f>IF(D50="","",IF(D50="未受訓",0,IF(D50="熟練",2,IF(D50="專家",4,6))))</f>
        <v/>
      </c>
      <c r="F50" s="11">
        <f>C50+E50</f>
        <v/>
      </c>
    </row>
    <row r="51">
      <c r="A51" s="5" t="inlineStr">
        <is>
          <t>意志抵抗</t>
        </is>
      </c>
      <c r="B51" s="13" t="inlineStr">
        <is>
          <t>RES</t>
        </is>
      </c>
      <c r="C51" s="11">
        <f>C17</f>
        <v/>
      </c>
      <c r="D51" s="10" t="inlineStr">
        <is>
          <t>未受訓</t>
        </is>
      </c>
      <c r="E51" s="11">
        <f>IF(D51="","",IF(D51="未受訓",0,IF(D51="熟練",2,IF(D51="專家",4,6))))</f>
        <v/>
      </c>
      <c r="F51" s="11">
        <f>C51+E51</f>
        <v/>
      </c>
    </row>
    <row r="52">
      <c r="A52" s="5" t="inlineStr">
        <is>
          <t>缺氧耐受</t>
        </is>
      </c>
      <c r="B52" s="13" t="inlineStr">
        <is>
          <t>RES</t>
        </is>
      </c>
      <c r="C52" s="11">
        <f>C17</f>
        <v/>
      </c>
      <c r="D52" s="10" t="inlineStr">
        <is>
          <t>未受訓</t>
        </is>
      </c>
      <c r="E52" s="11">
        <f>IF(D52="","",IF(D52="未受訓",0,IF(D52="熟練",2,IF(D52="專家",4,6))))</f>
        <v/>
      </c>
      <c r="F52" s="11">
        <f>C52+E52</f>
        <v/>
      </c>
    </row>
    <row r="53">
      <c r="A53" s="5" t="inlineStr">
        <is>
          <t>超載極限</t>
        </is>
      </c>
      <c r="B53" s="13" t="inlineStr">
        <is>
          <t>RES</t>
        </is>
      </c>
      <c r="C53" s="11">
        <f>C17</f>
        <v/>
      </c>
      <c r="D53" s="10" t="inlineStr">
        <is>
          <t>未受訓</t>
        </is>
      </c>
      <c r="E53" s="11">
        <f>IF(D53="","",IF(D53="未受訓",0,IF(D53="熟練",2,IF(D53="專家",4,6))))</f>
        <v/>
      </c>
      <c r="F53" s="11">
        <f>C53+E53</f>
        <v/>
      </c>
    </row>
    <row r="55">
      <c r="A55" s="3" t="inlineStr">
        <is>
          <t>五、裝備（自行填寫初始裝備）</t>
        </is>
      </c>
      <c r="B55" s="4" t="n"/>
      <c r="C55" s="4" t="n"/>
      <c r="D55" s="4" t="n"/>
      <c r="E55" s="4" t="n"/>
      <c r="F55" s="4" t="n"/>
      <c r="G55" s="4" t="n"/>
      <c r="H55" s="4" t="n"/>
      <c r="I55" s="4" t="n"/>
    </row>
    <row r="56">
      <c r="A56" s="9" t="inlineStr">
        <is>
          <t>裝備名稱</t>
        </is>
      </c>
      <c r="B56" s="9" t="inlineStr">
        <is>
          <t>類型</t>
        </is>
      </c>
      <c r="C56" s="9" t="inlineStr">
        <is>
          <t>數值/效果</t>
        </is>
      </c>
      <c r="D56" s="9" t="inlineStr">
        <is>
          <t>重量</t>
        </is>
      </c>
    </row>
    <row r="57">
      <c r="A57" s="6" t="inlineStr"/>
      <c r="B57" s="6" t="inlineStr"/>
      <c r="C57" s="6" t="inlineStr"/>
      <c r="D57" s="6" t="inlineStr"/>
    </row>
    <row r="58">
      <c r="A58" s="6" t="inlineStr"/>
      <c r="B58" s="6" t="inlineStr"/>
      <c r="C58" s="6" t="inlineStr"/>
      <c r="D58" s="6" t="inlineStr"/>
    </row>
    <row r="59">
      <c r="A59" s="6" t="inlineStr"/>
      <c r="B59" s="6" t="inlineStr"/>
      <c r="C59" s="6" t="inlineStr"/>
      <c r="D59" s="6" t="inlineStr"/>
    </row>
    <row r="60">
      <c r="A60" s="6" t="inlineStr"/>
      <c r="B60" s="6" t="inlineStr"/>
      <c r="C60" s="6" t="inlineStr"/>
      <c r="D60" s="6" t="inlineStr"/>
    </row>
    <row r="61">
      <c r="A61" s="6" t="inlineStr"/>
      <c r="B61" s="6" t="inlineStr"/>
      <c r="C61" s="6" t="inlineStr"/>
      <c r="D61" s="6" t="inlineStr"/>
    </row>
    <row r="62">
      <c r="A62" s="6" t="inlineStr"/>
      <c r="B62" s="6" t="inlineStr"/>
      <c r="C62" s="6" t="inlineStr"/>
      <c r="D62" s="6" t="inlineStr"/>
    </row>
    <row r="63">
      <c r="A63" s="6" t="inlineStr"/>
      <c r="B63" s="6" t="inlineStr"/>
      <c r="C63" s="6" t="inlineStr"/>
      <c r="D63" s="6" t="inlineStr"/>
    </row>
    <row r="64">
      <c r="A64" s="6" t="inlineStr"/>
      <c r="B64" s="6" t="inlineStr"/>
      <c r="C64" s="6" t="inlineStr"/>
      <c r="D64" s="6" t="inlineStr"/>
    </row>
  </sheetData>
  <mergeCells count="13">
    <mergeCell ref="B10:D10"/>
    <mergeCell ref="B5:D5"/>
    <mergeCell ref="A19:I19"/>
    <mergeCell ref="A11:I11"/>
    <mergeCell ref="A32:I32"/>
    <mergeCell ref="B8:D8"/>
    <mergeCell ref="B4:D4"/>
    <mergeCell ref="A1:I1"/>
    <mergeCell ref="B9:D9"/>
    <mergeCell ref="A3:I3"/>
    <mergeCell ref="A55:I55"/>
    <mergeCell ref="B7:D7"/>
    <mergeCell ref="B6:D6"/>
  </mergeCells>
  <dataValidations count="1">
    <dataValidation sqref="D34 D35 D36 D37 D38 D39 D40 D41 D42 D43 D44 D45 D46 D47 D48 D49 D50 D51 D52 D53" showDropDown="0" showInputMessage="0" showErrorMessage="0" allowBlank="1" type="list">
      <formula1>"未受訓,熟練,專家,大師"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2026-07-13T18:53:06Z</dcterms:created>
  <dcterms:modified xsi:type="dcterms:W3CDTF">2026-07-13T18:53:06Z</dcterms:modified>
</cp:coreProperties>
</file>