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莫羅艦長" sheetId="1" state="visible" r:id="rId1"/>
    <sheet name="凱恩（叛逃者）" sheetId="2" state="visible" r:id="rId2"/>
    <sheet name="Kirk（AI隊友）" sheetId="3" state="visible" r:id="rId3"/>
    <sheet name="Ada（AI隊友）" sheetId="4" state="visible" r:id="rId4"/>
    <sheet name="Lin（AI隊友）" sheetId="5" state="visible" r:id="rId5"/>
    <sheet name="Ghost（AI隊友）" sheetId="6" state="visible" r:id="rId6"/>
    <sheet name="Bastion（AI隊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1F3864"/>
      <sz val="12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/>
    </xf>
    <xf numFmtId="0" fontId="0" fillId="3" borderId="0" pivotButton="0" quotePrefix="0" xfId="0"/>
    <xf numFmtId="0" fontId="3" fillId="0" borderId="1" pivotButton="0" quotePrefix="0" xfId="0"/>
    <xf numFmtId="0" fontId="4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30" customWidth="1" min="4" max="4"/>
    <col width="10" customWidth="1" min="5" max="5"/>
  </cols>
  <sheetData>
    <row r="1">
      <c r="A1" s="1" t="inlineStr">
        <is>
          <t>NPC：莫羅艦長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一、基本資料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身分/職務</t>
        </is>
      </c>
      <c r="B4" s="6" t="inlineStr">
        <is>
          <t>仲裁者號艦長</t>
        </is>
      </c>
      <c r="C4" s="7" t="n"/>
      <c r="D4" s="7" t="n"/>
      <c r="E4" s="8" t="n"/>
    </row>
    <row r="5">
      <c r="A5" s="5" t="inlineStr">
        <is>
          <t>所屬勢力</t>
        </is>
      </c>
      <c r="B5" s="6" t="inlineStr">
        <is>
          <t>人類星際協約</t>
        </is>
      </c>
      <c r="C5" s="7" t="n"/>
      <c r="D5" s="7" t="n"/>
      <c r="E5" s="8" t="n"/>
    </row>
    <row r="6">
      <c r="A6" s="5" t="inlineStr">
        <is>
          <t>性格特徵</t>
        </is>
      </c>
      <c r="B6" s="6" t="inlineStr">
        <is>
          <t>冷靜沉著但不失幽默；對隊員如母親般保護</t>
        </is>
      </c>
      <c r="C6" s="7" t="n"/>
      <c r="D6" s="7" t="n"/>
      <c r="E6" s="8" t="n"/>
    </row>
    <row r="7">
      <c r="A7" s="5" t="inlineStr">
        <is>
          <t>與小隊關係</t>
        </is>
      </c>
      <c r="B7" s="6" t="inlineStr">
        <is>
          <t>任務成功後的簡報與支援來源</t>
        </is>
      </c>
      <c r="C7" s="7" t="n"/>
      <c r="D7" s="7" t="n"/>
      <c r="E7" s="8" t="n"/>
    </row>
    <row r="9">
      <c r="A9" s="3" t="inlineStr">
        <is>
          <t>二、屬性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9" t="inlineStr">
        <is>
          <t>屬性</t>
        </is>
      </c>
      <c r="B10" s="9" t="inlineStr">
        <is>
          <t>值</t>
        </is>
      </c>
      <c r="C10" s="9" t="inlineStr">
        <is>
          <t>修飾值</t>
        </is>
      </c>
    </row>
    <row r="11">
      <c r="A11" s="5" t="inlineStr">
        <is>
          <t>戰術（TAC）</t>
        </is>
      </c>
      <c r="B11" s="10" t="n">
        <v>14</v>
      </c>
      <c r="C11" s="11">
        <f>INT((B11-9)/2)</f>
        <v/>
      </c>
    </row>
    <row r="12">
      <c r="A12" s="5" t="inlineStr">
        <is>
          <t>工程（ENG）</t>
        </is>
      </c>
      <c r="B12" s="10" t="n">
        <v>12</v>
      </c>
      <c r="C12" s="11">
        <f>INT((B12-9)/2)</f>
        <v/>
      </c>
    </row>
    <row r="13">
      <c r="A13" s="5" t="inlineStr">
        <is>
          <t>機動（MOB）</t>
        </is>
      </c>
      <c r="B13" s="10" t="n">
        <v>12</v>
      </c>
      <c r="C13" s="11">
        <f>INT((B13-9)/2)</f>
        <v/>
      </c>
    </row>
    <row r="14">
      <c r="A14" s="5" t="inlineStr">
        <is>
          <t>感知（PER）</t>
        </is>
      </c>
      <c r="B14" s="10" t="n">
        <v>16</v>
      </c>
      <c r="C14" s="11">
        <f>INT((B14-9)/2)</f>
        <v/>
      </c>
    </row>
    <row r="15">
      <c r="A15" s="5" t="inlineStr">
        <is>
          <t>韌性（RES）</t>
        </is>
      </c>
      <c r="B15" s="10" t="n">
        <v>16</v>
      </c>
      <c r="C15" s="11">
        <f>INT((B15-9)/2)</f>
        <v/>
      </c>
    </row>
    <row r="17">
      <c r="A17" s="3" t="inlineStr">
        <is>
          <t>三、重要數值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9" t="inlineStr">
        <is>
          <t>項目</t>
        </is>
      </c>
      <c r="B18" s="9" t="inlineStr">
        <is>
          <t>值</t>
        </is>
      </c>
      <c r="C18" s="9" t="inlineStr">
        <is>
          <t>說明</t>
        </is>
      </c>
    </row>
    <row r="19">
      <c r="A19" s="5" t="inlineStr">
        <is>
          <t>生命值（HP）</t>
        </is>
      </c>
      <c r="B19" s="10" t="n">
        <v>28</v>
      </c>
      <c r="C19" s="12" t="inlineStr"/>
    </row>
    <row r="20">
      <c r="A20" s="5" t="inlineStr">
        <is>
          <t>防禦等級（DEF）</t>
        </is>
      </c>
      <c r="B20" s="10" t="n">
        <v>16</v>
      </c>
      <c r="C20" s="12" t="inlineStr">
        <is>
          <t>10+機動修飾+護甲</t>
        </is>
      </c>
    </row>
    <row r="21">
      <c r="A21" s="5" t="inlineStr">
        <is>
          <t>先攻（INIT）</t>
        </is>
      </c>
      <c r="B21" s="10">
        <f>C13&amp;"+1d10"</f>
        <v/>
      </c>
      <c r="C21" s="12" t="inlineStr">
        <is>
          <t>機動修飾+1d10</t>
        </is>
      </c>
    </row>
    <row r="22">
      <c r="A22" s="5" t="inlineStr">
        <is>
          <t>特殊能力</t>
        </is>
      </c>
      <c r="B22" s="11" t="inlineStr">
        <is>
          <t>戰術指揮、全艦砲火掩護、戰略情報</t>
        </is>
      </c>
      <c r="C22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30" customWidth="1" min="4" max="4"/>
    <col width="10" customWidth="1" min="5" max="5"/>
  </cols>
  <sheetData>
    <row r="1">
      <c r="A1" s="1" t="inlineStr">
        <is>
          <t>NPC：凱恩（叛逃者）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一、基本資料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身分/職務</t>
        </is>
      </c>
      <c r="B4" s="6" t="inlineStr">
        <is>
          <t>同盟指揮官（叛逃）</t>
        </is>
      </c>
      <c r="C4" s="7" t="n"/>
      <c r="D4" s="7" t="n"/>
      <c r="E4" s="8" t="n"/>
    </row>
    <row r="5">
      <c r="A5" s="5" t="inlineStr">
        <is>
          <t>所屬勢力</t>
        </is>
      </c>
      <c r="B5" s="6" t="inlineStr">
        <is>
          <t>自由星系同盟</t>
        </is>
      </c>
      <c r="C5" s="7" t="n"/>
      <c r="D5" s="7" t="n"/>
      <c r="E5" s="8" t="n"/>
    </row>
    <row r="6">
      <c r="A6" s="5" t="inlineStr">
        <is>
          <t>性格特徵</t>
        </is>
      </c>
      <c r="B6" s="6" t="inlineStr">
        <is>
          <t>厭倦戰爭，想帶走艦隊機密</t>
        </is>
      </c>
      <c r="C6" s="7" t="n"/>
      <c r="D6" s="7" t="n"/>
      <c r="E6" s="8" t="n"/>
    </row>
    <row r="7">
      <c r="A7" s="5" t="inlineStr">
        <is>
          <t>與小隊關係</t>
        </is>
      </c>
      <c r="B7" s="6" t="inlineStr">
        <is>
          <t>S4 劇本需活著帶出；忠誠衛隊追殺</t>
        </is>
      </c>
      <c r="C7" s="7" t="n"/>
      <c r="D7" s="7" t="n"/>
      <c r="E7" s="8" t="n"/>
    </row>
    <row r="9">
      <c r="A9" s="3" t="inlineStr">
        <is>
          <t>二、屬性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9" t="inlineStr">
        <is>
          <t>屬性</t>
        </is>
      </c>
      <c r="B10" s="9" t="inlineStr">
        <is>
          <t>值</t>
        </is>
      </c>
      <c r="C10" s="9" t="inlineStr">
        <is>
          <t>修飾值</t>
        </is>
      </c>
    </row>
    <row r="11">
      <c r="A11" s="5" t="inlineStr">
        <is>
          <t>戰術（TAC）</t>
        </is>
      </c>
      <c r="B11" s="10" t="n">
        <v>16</v>
      </c>
      <c r="C11" s="11">
        <f>INT((B11-9)/2)</f>
        <v/>
      </c>
    </row>
    <row r="12">
      <c r="A12" s="5" t="inlineStr">
        <is>
          <t>工程（ENG）</t>
        </is>
      </c>
      <c r="B12" s="10" t="n">
        <v>14</v>
      </c>
      <c r="C12" s="11">
        <f>INT((B12-9)/2)</f>
        <v/>
      </c>
    </row>
    <row r="13">
      <c r="A13" s="5" t="inlineStr">
        <is>
          <t>機動（MOB）</t>
        </is>
      </c>
      <c r="B13" s="10" t="n">
        <v>14</v>
      </c>
      <c r="C13" s="11">
        <f>INT((B13-9)/2)</f>
        <v/>
      </c>
    </row>
    <row r="14">
      <c r="A14" s="5" t="inlineStr">
        <is>
          <t>感知（PER）</t>
        </is>
      </c>
      <c r="B14" s="10" t="n">
        <v>14</v>
      </c>
      <c r="C14" s="11">
        <f>INT((B14-9)/2)</f>
        <v/>
      </c>
    </row>
    <row r="15">
      <c r="A15" s="5" t="inlineStr">
        <is>
          <t>韌性（RES）</t>
        </is>
      </c>
      <c r="B15" s="10" t="n">
        <v>16</v>
      </c>
      <c r="C15" s="11">
        <f>INT((B15-9)/2)</f>
        <v/>
      </c>
    </row>
    <row r="17">
      <c r="A17" s="3" t="inlineStr">
        <is>
          <t>三、重要數值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9" t="inlineStr">
        <is>
          <t>項目</t>
        </is>
      </c>
      <c r="B18" s="9" t="inlineStr">
        <is>
          <t>值</t>
        </is>
      </c>
      <c r="C18" s="9" t="inlineStr">
        <is>
          <t>說明</t>
        </is>
      </c>
    </row>
    <row r="19">
      <c r="A19" s="5" t="inlineStr">
        <is>
          <t>生命值（HP）</t>
        </is>
      </c>
      <c r="B19" s="10" t="n">
        <v>28</v>
      </c>
      <c r="C19" s="12" t="inlineStr"/>
    </row>
    <row r="20">
      <c r="A20" s="5" t="inlineStr">
        <is>
          <t>防禦等級（DEF）</t>
        </is>
      </c>
      <c r="B20" s="10" t="n">
        <v>16</v>
      </c>
      <c r="C20" s="12" t="inlineStr">
        <is>
          <t>10+機動修飾+護甲</t>
        </is>
      </c>
    </row>
    <row r="21">
      <c r="A21" s="5" t="inlineStr">
        <is>
          <t>先攻（INIT）</t>
        </is>
      </c>
      <c r="B21" s="10">
        <f>C13&amp;"+1d10"</f>
        <v/>
      </c>
      <c r="C21" s="12" t="inlineStr">
        <is>
          <t>機動修飾+1d10</t>
        </is>
      </c>
    </row>
    <row r="22">
      <c r="A22" s="5" t="inlineStr">
        <is>
          <t>特殊能力</t>
        </is>
      </c>
      <c r="B22" s="11" t="inlineStr">
        <is>
          <t>戰術指揮、啟動自毀、士氣光環</t>
        </is>
      </c>
      <c r="C22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30" customWidth="1" min="4" max="4"/>
    <col width="10" customWidth="1" min="5" max="5"/>
  </cols>
  <sheetData>
    <row r="1">
      <c r="A1" s="1" t="inlineStr">
        <is>
          <t>NPC：Kirk（AI隊友）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一、基本資料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身分/職務</t>
        </is>
      </c>
      <c r="B4" s="6" t="inlineStr">
        <is>
          <t>突擊型自律單元</t>
        </is>
      </c>
      <c r="C4" s="7" t="n"/>
      <c r="D4" s="7" t="n"/>
      <c r="E4" s="8" t="n"/>
    </row>
    <row r="5">
      <c r="A5" s="5" t="inlineStr">
        <is>
          <t>所屬勢力</t>
        </is>
      </c>
      <c r="B5" s="6" t="inlineStr">
        <is>
          <t>母艦 AI</t>
        </is>
      </c>
      <c r="C5" s="7" t="n"/>
      <c r="D5" s="7" t="n"/>
      <c r="E5" s="8" t="n"/>
    </row>
    <row r="6">
      <c r="A6" s="5" t="inlineStr">
        <is>
          <t>性格特徵</t>
        </is>
      </c>
      <c r="B6" s="6" t="inlineStr">
        <is>
          <t>可靠的前壓單位</t>
        </is>
      </c>
      <c r="C6" s="7" t="n"/>
      <c r="D6" s="7" t="n"/>
      <c r="E6" s="8" t="n"/>
    </row>
    <row r="7">
      <c r="A7" s="5" t="inlineStr">
        <is>
          <t>與小隊關係</t>
        </is>
      </c>
      <c r="B7" s="6" t="inlineStr">
        <is>
          <t>增援登艦隊支援</t>
        </is>
      </c>
      <c r="C7" s="7" t="n"/>
      <c r="D7" s="7" t="n"/>
      <c r="E7" s="8" t="n"/>
    </row>
    <row r="9">
      <c r="A9" s="3" t="inlineStr">
        <is>
          <t>二、屬性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9" t="inlineStr">
        <is>
          <t>屬性</t>
        </is>
      </c>
      <c r="B10" s="9" t="inlineStr">
        <is>
          <t>值</t>
        </is>
      </c>
      <c r="C10" s="9" t="inlineStr">
        <is>
          <t>修飾值</t>
        </is>
      </c>
    </row>
    <row r="11">
      <c r="A11" s="5" t="inlineStr">
        <is>
          <t>戰術（TAC）</t>
        </is>
      </c>
      <c r="B11" s="10" t="n">
        <v>14</v>
      </c>
      <c r="C11" s="11">
        <f>INT((B11-9)/2)</f>
        <v/>
      </c>
    </row>
    <row r="12">
      <c r="A12" s="5" t="inlineStr">
        <is>
          <t>工程（ENG）</t>
        </is>
      </c>
      <c r="B12" s="10" t="n">
        <v>10</v>
      </c>
      <c r="C12" s="11">
        <f>INT((B12-9)/2)</f>
        <v/>
      </c>
    </row>
    <row r="13">
      <c r="A13" s="5" t="inlineStr">
        <is>
          <t>機動（MOB）</t>
        </is>
      </c>
      <c r="B13" s="10" t="n">
        <v>12</v>
      </c>
      <c r="C13" s="11">
        <f>INT((B13-9)/2)</f>
        <v/>
      </c>
    </row>
    <row r="14">
      <c r="A14" s="5" t="inlineStr">
        <is>
          <t>感知（PER）</t>
        </is>
      </c>
      <c r="B14" s="10" t="n">
        <v>10</v>
      </c>
      <c r="C14" s="11">
        <f>INT((B14-9)/2)</f>
        <v/>
      </c>
    </row>
    <row r="15">
      <c r="A15" s="5" t="inlineStr">
        <is>
          <t>韌性（RES）</t>
        </is>
      </c>
      <c r="B15" s="10" t="n">
        <v>12</v>
      </c>
      <c r="C15" s="11">
        <f>INT((B15-9)/2)</f>
        <v/>
      </c>
    </row>
    <row r="17">
      <c r="A17" s="3" t="inlineStr">
        <is>
          <t>三、重要數值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9" t="inlineStr">
        <is>
          <t>項目</t>
        </is>
      </c>
      <c r="B18" s="9" t="inlineStr">
        <is>
          <t>值</t>
        </is>
      </c>
      <c r="C18" s="9" t="inlineStr">
        <is>
          <t>說明</t>
        </is>
      </c>
    </row>
    <row r="19">
      <c r="A19" s="5" t="inlineStr">
        <is>
          <t>生命值（HP）</t>
        </is>
      </c>
      <c r="B19" s="10" t="n">
        <v>20</v>
      </c>
      <c r="C19" s="12" t="inlineStr"/>
    </row>
    <row r="20">
      <c r="A20" s="5" t="inlineStr">
        <is>
          <t>防禦等級（DEF）</t>
        </is>
      </c>
      <c r="B20" s="10" t="n">
        <v>13</v>
      </c>
      <c r="C20" s="12" t="inlineStr">
        <is>
          <t>10+機動修飾+護甲</t>
        </is>
      </c>
    </row>
    <row r="21">
      <c r="A21" s="5" t="inlineStr">
        <is>
          <t>先攻（INIT）</t>
        </is>
      </c>
      <c r="B21" s="10">
        <f>C13&amp;"+1d10"</f>
        <v/>
      </c>
      <c r="C21" s="12" t="inlineStr">
        <is>
          <t>機動修飾+1d10</t>
        </is>
      </c>
    </row>
    <row r="22">
      <c r="A22" s="5" t="inlineStr">
        <is>
          <t>特殊能力</t>
        </is>
      </c>
      <c r="B22" s="11" t="inlineStr">
        <is>
          <t>突擊步槍 2d6+2；近戰+1d6</t>
        </is>
      </c>
      <c r="C22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30" customWidth="1" min="4" max="4"/>
    <col width="10" customWidth="1" min="5" max="5"/>
  </cols>
  <sheetData>
    <row r="1">
      <c r="A1" s="1" t="inlineStr">
        <is>
          <t>NPC：Ada（AI隊友）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一、基本資料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身分/職務</t>
        </is>
      </c>
      <c r="B4" s="6" t="inlineStr">
        <is>
          <t>工程型自律單元</t>
        </is>
      </c>
      <c r="C4" s="7" t="n"/>
      <c r="D4" s="7" t="n"/>
      <c r="E4" s="8" t="n"/>
    </row>
    <row r="5">
      <c r="A5" s="5" t="inlineStr">
        <is>
          <t>所屬勢力</t>
        </is>
      </c>
      <c r="B5" s="6" t="inlineStr">
        <is>
          <t>母艦 AI</t>
        </is>
      </c>
      <c r="C5" s="7" t="n"/>
      <c r="D5" s="7" t="n"/>
      <c r="E5" s="8" t="n"/>
    </row>
    <row r="6">
      <c r="A6" s="5" t="inlineStr">
        <is>
          <t>性格特徵</t>
        </is>
      </c>
      <c r="B6" s="6" t="inlineStr">
        <is>
          <t>冷靜的破解者</t>
        </is>
      </c>
      <c r="C6" s="7" t="n"/>
      <c r="D6" s="7" t="n"/>
      <c r="E6" s="8" t="n"/>
    </row>
    <row r="7">
      <c r="A7" s="5" t="inlineStr">
        <is>
          <t>與小隊關係</t>
        </is>
      </c>
      <c r="B7" s="6" t="inlineStr">
        <is>
          <t>增援登艦隊支援</t>
        </is>
      </c>
      <c r="C7" s="7" t="n"/>
      <c r="D7" s="7" t="n"/>
      <c r="E7" s="8" t="n"/>
    </row>
    <row r="9">
      <c r="A9" s="3" t="inlineStr">
        <is>
          <t>二、屬性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9" t="inlineStr">
        <is>
          <t>屬性</t>
        </is>
      </c>
      <c r="B10" s="9" t="inlineStr">
        <is>
          <t>值</t>
        </is>
      </c>
      <c r="C10" s="9" t="inlineStr">
        <is>
          <t>修飾值</t>
        </is>
      </c>
    </row>
    <row r="11">
      <c r="A11" s="5" t="inlineStr">
        <is>
          <t>戰術（TAC）</t>
        </is>
      </c>
      <c r="B11" s="10" t="n">
        <v>10</v>
      </c>
      <c r="C11" s="11">
        <f>INT((B11-9)/2)</f>
        <v/>
      </c>
    </row>
    <row r="12">
      <c r="A12" s="5" t="inlineStr">
        <is>
          <t>工程（ENG）</t>
        </is>
      </c>
      <c r="B12" s="10" t="n">
        <v>16</v>
      </c>
      <c r="C12" s="11">
        <f>INT((B12-9)/2)</f>
        <v/>
      </c>
    </row>
    <row r="13">
      <c r="A13" s="5" t="inlineStr">
        <is>
          <t>機動（MOB）</t>
        </is>
      </c>
      <c r="B13" s="10" t="n">
        <v>10</v>
      </c>
      <c r="C13" s="11">
        <f>INT((B13-9)/2)</f>
        <v/>
      </c>
    </row>
    <row r="14">
      <c r="A14" s="5" t="inlineStr">
        <is>
          <t>感知（PER）</t>
        </is>
      </c>
      <c r="B14" s="10" t="n">
        <v>12</v>
      </c>
      <c r="C14" s="11">
        <f>INT((B14-9)/2)</f>
        <v/>
      </c>
    </row>
    <row r="15">
      <c r="A15" s="5" t="inlineStr">
        <is>
          <t>韌性（RES）</t>
        </is>
      </c>
      <c r="B15" s="10" t="n">
        <v>12</v>
      </c>
      <c r="C15" s="11">
        <f>INT((B15-9)/2)</f>
        <v/>
      </c>
    </row>
    <row r="17">
      <c r="A17" s="3" t="inlineStr">
        <is>
          <t>三、重要數值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9" t="inlineStr">
        <is>
          <t>項目</t>
        </is>
      </c>
      <c r="B18" s="9" t="inlineStr">
        <is>
          <t>值</t>
        </is>
      </c>
      <c r="C18" s="9" t="inlineStr">
        <is>
          <t>說明</t>
        </is>
      </c>
    </row>
    <row r="19">
      <c r="A19" s="5" t="inlineStr">
        <is>
          <t>生命值（HP）</t>
        </is>
      </c>
      <c r="B19" s="10" t="n">
        <v>16</v>
      </c>
      <c r="C19" s="12" t="inlineStr"/>
    </row>
    <row r="20">
      <c r="A20" s="5" t="inlineStr">
        <is>
          <t>防禦等級（DEF）</t>
        </is>
      </c>
      <c r="B20" s="10" t="n">
        <v>12</v>
      </c>
      <c r="C20" s="12" t="inlineStr">
        <is>
          <t>10+機動修飾+護甲</t>
        </is>
      </c>
    </row>
    <row r="21">
      <c r="A21" s="5" t="inlineStr">
        <is>
          <t>先攻（INIT）</t>
        </is>
      </c>
      <c r="B21" s="10">
        <f>C13&amp;"+1d10"</f>
        <v/>
      </c>
      <c r="C21" s="12" t="inlineStr">
        <is>
          <t>機動修飾+1d10</t>
        </is>
      </c>
    </row>
    <row r="22">
      <c r="A22" s="5" t="inlineStr">
        <is>
          <t>特殊能力</t>
        </is>
      </c>
      <c r="B22" s="11" t="inlineStr">
        <is>
          <t>破解 DC15；建立臨時氣閘；等離子切割器</t>
        </is>
      </c>
      <c r="C22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30" customWidth="1" min="4" max="4"/>
    <col width="10" customWidth="1" min="5" max="5"/>
  </cols>
  <sheetData>
    <row r="1">
      <c r="A1" s="1" t="inlineStr">
        <is>
          <t>NPC：Lin（AI隊友）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一、基本資料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身分/職務</t>
        </is>
      </c>
      <c r="B4" s="6" t="inlineStr">
        <is>
          <t>醫療型自律單元</t>
        </is>
      </c>
      <c r="C4" s="7" t="n"/>
      <c r="D4" s="7" t="n"/>
      <c r="E4" s="8" t="n"/>
    </row>
    <row r="5">
      <c r="A5" s="5" t="inlineStr">
        <is>
          <t>所屬勢力</t>
        </is>
      </c>
      <c r="B5" s="6" t="inlineStr">
        <is>
          <t>母艦 AI</t>
        </is>
      </c>
      <c r="C5" s="7" t="n"/>
      <c r="D5" s="7" t="n"/>
      <c r="E5" s="8" t="n"/>
    </row>
    <row r="6">
      <c r="A6" s="5" t="inlineStr">
        <is>
          <t>性格特徵</t>
        </is>
      </c>
      <c r="B6" s="6" t="inlineStr">
        <is>
          <t>溫和的守護者</t>
        </is>
      </c>
      <c r="C6" s="7" t="n"/>
      <c r="D6" s="7" t="n"/>
      <c r="E6" s="8" t="n"/>
    </row>
    <row r="7">
      <c r="A7" s="5" t="inlineStr">
        <is>
          <t>與小隊關係</t>
        </is>
      </c>
      <c r="B7" s="6" t="inlineStr">
        <is>
          <t>增援登艦隊支援</t>
        </is>
      </c>
      <c r="C7" s="7" t="n"/>
      <c r="D7" s="7" t="n"/>
      <c r="E7" s="8" t="n"/>
    </row>
    <row r="9">
      <c r="A9" s="3" t="inlineStr">
        <is>
          <t>二、屬性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9" t="inlineStr">
        <is>
          <t>屬性</t>
        </is>
      </c>
      <c r="B10" s="9" t="inlineStr">
        <is>
          <t>值</t>
        </is>
      </c>
      <c r="C10" s="9" t="inlineStr">
        <is>
          <t>修飾值</t>
        </is>
      </c>
    </row>
    <row r="11">
      <c r="A11" s="5" t="inlineStr">
        <is>
          <t>戰術（TAC）</t>
        </is>
      </c>
      <c r="B11" s="10" t="n">
        <v>10</v>
      </c>
      <c r="C11" s="11">
        <f>INT((B11-9)/2)</f>
        <v/>
      </c>
    </row>
    <row r="12">
      <c r="A12" s="5" t="inlineStr">
        <is>
          <t>工程（ENG）</t>
        </is>
      </c>
      <c r="B12" s="10" t="n">
        <v>10</v>
      </c>
      <c r="C12" s="11">
        <f>INT((B12-9)/2)</f>
        <v/>
      </c>
    </row>
    <row r="13">
      <c r="A13" s="5" t="inlineStr">
        <is>
          <t>機動（MOB）</t>
        </is>
      </c>
      <c r="B13" s="10" t="n">
        <v>12</v>
      </c>
      <c r="C13" s="11">
        <f>INT((B13-9)/2)</f>
        <v/>
      </c>
    </row>
    <row r="14">
      <c r="A14" s="5" t="inlineStr">
        <is>
          <t>感知（PER）</t>
        </is>
      </c>
      <c r="B14" s="10" t="n">
        <v>12</v>
      </c>
      <c r="C14" s="11">
        <f>INT((B14-9)/2)</f>
        <v/>
      </c>
    </row>
    <row r="15">
      <c r="A15" s="5" t="inlineStr">
        <is>
          <t>韌性（RES）</t>
        </is>
      </c>
      <c r="B15" s="10" t="n">
        <v>14</v>
      </c>
      <c r="C15" s="11">
        <f>INT((B15-9)/2)</f>
        <v/>
      </c>
    </row>
    <row r="17">
      <c r="A17" s="3" t="inlineStr">
        <is>
          <t>三、重要數值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9" t="inlineStr">
        <is>
          <t>項目</t>
        </is>
      </c>
      <c r="B18" s="9" t="inlineStr">
        <is>
          <t>值</t>
        </is>
      </c>
      <c r="C18" s="9" t="inlineStr">
        <is>
          <t>說明</t>
        </is>
      </c>
    </row>
    <row r="19">
      <c r="A19" s="5" t="inlineStr">
        <is>
          <t>生命值（HP）</t>
        </is>
      </c>
      <c r="B19" s="10" t="n">
        <v>18</v>
      </c>
      <c r="C19" s="12" t="inlineStr"/>
    </row>
    <row r="20">
      <c r="A20" s="5" t="inlineStr">
        <is>
          <t>防禦等級（DEF）</t>
        </is>
      </c>
      <c r="B20" s="10" t="n">
        <v>12</v>
      </c>
      <c r="C20" s="12" t="inlineStr">
        <is>
          <t>10+機動修飾+護甲</t>
        </is>
      </c>
    </row>
    <row r="21">
      <c r="A21" s="5" t="inlineStr">
        <is>
          <t>先攻（INIT）</t>
        </is>
      </c>
      <c r="B21" s="10">
        <f>C13&amp;"+1d10"</f>
        <v/>
      </c>
      <c r="C21" s="12" t="inlineStr">
        <is>
          <t>機動修飾+1d10</t>
        </is>
      </c>
    </row>
    <row r="22">
      <c r="A22" s="5" t="inlineStr">
        <is>
          <t>特殊能力</t>
        </is>
      </c>
      <c r="B22" s="11" t="inlineStr">
        <is>
          <t>每回合治療 2d6 HP；1 次腎上腺素</t>
        </is>
      </c>
      <c r="C22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30" customWidth="1" min="4" max="4"/>
    <col width="10" customWidth="1" min="5" max="5"/>
  </cols>
  <sheetData>
    <row r="1">
      <c r="A1" s="1" t="inlineStr">
        <is>
          <t>NPC：Ghost（AI隊友）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一、基本資料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身分/職務</t>
        </is>
      </c>
      <c r="B4" s="6" t="inlineStr">
        <is>
          <t>偵察型自律單元</t>
        </is>
      </c>
      <c r="C4" s="7" t="n"/>
      <c r="D4" s="7" t="n"/>
      <c r="E4" s="8" t="n"/>
    </row>
    <row r="5">
      <c r="A5" s="5" t="inlineStr">
        <is>
          <t>所屬勢力</t>
        </is>
      </c>
      <c r="B5" s="6" t="inlineStr">
        <is>
          <t>母艦 AI</t>
        </is>
      </c>
      <c r="C5" s="7" t="n"/>
      <c r="D5" s="7" t="n"/>
      <c r="E5" s="8" t="n"/>
    </row>
    <row r="6">
      <c r="A6" s="5" t="inlineStr">
        <is>
          <t>性格特徵</t>
        </is>
      </c>
      <c r="B6" s="6" t="inlineStr">
        <is>
          <t>安靜的獵手</t>
        </is>
      </c>
      <c r="C6" s="7" t="n"/>
      <c r="D6" s="7" t="n"/>
      <c r="E6" s="8" t="n"/>
    </row>
    <row r="7">
      <c r="A7" s="5" t="inlineStr">
        <is>
          <t>與小隊關係</t>
        </is>
      </c>
      <c r="B7" s="6" t="inlineStr">
        <is>
          <t>增援登艦隊支援</t>
        </is>
      </c>
      <c r="C7" s="7" t="n"/>
      <c r="D7" s="7" t="n"/>
      <c r="E7" s="8" t="n"/>
    </row>
    <row r="9">
      <c r="A9" s="3" t="inlineStr">
        <is>
          <t>二、屬性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9" t="inlineStr">
        <is>
          <t>屬性</t>
        </is>
      </c>
      <c r="B10" s="9" t="inlineStr">
        <is>
          <t>值</t>
        </is>
      </c>
      <c r="C10" s="9" t="inlineStr">
        <is>
          <t>修飾值</t>
        </is>
      </c>
    </row>
    <row r="11">
      <c r="A11" s="5" t="inlineStr">
        <is>
          <t>戰術（TAC）</t>
        </is>
      </c>
      <c r="B11" s="10" t="n">
        <v>12</v>
      </c>
      <c r="C11" s="11">
        <f>INT((B11-9)/2)</f>
        <v/>
      </c>
    </row>
    <row r="12">
      <c r="A12" s="5" t="inlineStr">
        <is>
          <t>工程（ENG）</t>
        </is>
      </c>
      <c r="B12" s="10" t="n">
        <v>10</v>
      </c>
      <c r="C12" s="11">
        <f>INT((B12-9)/2)</f>
        <v/>
      </c>
    </row>
    <row r="13">
      <c r="A13" s="5" t="inlineStr">
        <is>
          <t>機動（MOB）</t>
        </is>
      </c>
      <c r="B13" s="10" t="n">
        <v>14</v>
      </c>
      <c r="C13" s="11">
        <f>INT((B13-9)/2)</f>
        <v/>
      </c>
    </row>
    <row r="14">
      <c r="A14" s="5" t="inlineStr">
        <is>
          <t>感知（PER）</t>
        </is>
      </c>
      <c r="B14" s="10" t="n">
        <v>16</v>
      </c>
      <c r="C14" s="11">
        <f>INT((B14-9)/2)</f>
        <v/>
      </c>
    </row>
    <row r="15">
      <c r="A15" s="5" t="inlineStr">
        <is>
          <t>韌性（RES）</t>
        </is>
      </c>
      <c r="B15" s="10" t="n">
        <v>10</v>
      </c>
      <c r="C15" s="11">
        <f>INT((B15-9)/2)</f>
        <v/>
      </c>
    </row>
    <row r="17">
      <c r="A17" s="3" t="inlineStr">
        <is>
          <t>三、重要數值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9" t="inlineStr">
        <is>
          <t>項目</t>
        </is>
      </c>
      <c r="B18" s="9" t="inlineStr">
        <is>
          <t>值</t>
        </is>
      </c>
      <c r="C18" s="9" t="inlineStr">
        <is>
          <t>說明</t>
        </is>
      </c>
    </row>
    <row r="19">
      <c r="A19" s="5" t="inlineStr">
        <is>
          <t>生命值（HP）</t>
        </is>
      </c>
      <c r="B19" s="10" t="n">
        <v>16</v>
      </c>
      <c r="C19" s="12" t="inlineStr"/>
    </row>
    <row r="20">
      <c r="A20" s="5" t="inlineStr">
        <is>
          <t>防禦等級（DEF）</t>
        </is>
      </c>
      <c r="B20" s="10" t="n">
        <v>13</v>
      </c>
      <c r="C20" s="12" t="inlineStr">
        <is>
          <t>10+機動修飾+護甲</t>
        </is>
      </c>
    </row>
    <row r="21">
      <c r="A21" s="5" t="inlineStr">
        <is>
          <t>先攻（INIT）</t>
        </is>
      </c>
      <c r="B21" s="10">
        <f>C13&amp;"+1d10"</f>
        <v/>
      </c>
      <c r="C21" s="12" t="inlineStr">
        <is>
          <t>機動修飾+1d10</t>
        </is>
      </c>
    </row>
    <row r="22">
      <c r="A22" s="5" t="inlineStr">
        <is>
          <t>特殊能力</t>
        </is>
      </c>
      <c r="B22" s="11" t="inlineStr">
        <is>
          <t>神射手步槍 1d10；威脅偵測優勢</t>
        </is>
      </c>
      <c r="C22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30" customWidth="1" min="4" max="4"/>
    <col width="10" customWidth="1" min="5" max="5"/>
  </cols>
  <sheetData>
    <row r="1">
      <c r="A1" s="1" t="inlineStr">
        <is>
          <t>NPC：Bastion（AI隊友）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一、基本資料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身分/職務</t>
        </is>
      </c>
      <c r="B4" s="6" t="inlineStr">
        <is>
          <t>重火力型自律單元</t>
        </is>
      </c>
      <c r="C4" s="7" t="n"/>
      <c r="D4" s="7" t="n"/>
      <c r="E4" s="8" t="n"/>
    </row>
    <row r="5">
      <c r="A5" s="5" t="inlineStr">
        <is>
          <t>所屬勢力</t>
        </is>
      </c>
      <c r="B5" s="6" t="inlineStr">
        <is>
          <t>母艦 AI</t>
        </is>
      </c>
      <c r="C5" s="7" t="n"/>
      <c r="D5" s="7" t="n"/>
      <c r="E5" s="8" t="n"/>
    </row>
    <row r="6">
      <c r="A6" s="5" t="inlineStr">
        <is>
          <t>性格特徵</t>
        </is>
      </c>
      <c r="B6" s="6" t="inlineStr">
        <is>
          <t>不移動的堡壘</t>
        </is>
      </c>
      <c r="C6" s="7" t="n"/>
      <c r="D6" s="7" t="n"/>
      <c r="E6" s="8" t="n"/>
    </row>
    <row r="7">
      <c r="A7" s="5" t="inlineStr">
        <is>
          <t>與小隊關係</t>
        </is>
      </c>
      <c r="B7" s="6" t="inlineStr">
        <is>
          <t>增援登艦隊支援</t>
        </is>
      </c>
      <c r="C7" s="7" t="n"/>
      <c r="D7" s="7" t="n"/>
      <c r="E7" s="8" t="n"/>
    </row>
    <row r="9">
      <c r="A9" s="3" t="inlineStr">
        <is>
          <t>二、屬性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9" t="inlineStr">
        <is>
          <t>屬性</t>
        </is>
      </c>
      <c r="B10" s="9" t="inlineStr">
        <is>
          <t>值</t>
        </is>
      </c>
      <c r="C10" s="9" t="inlineStr">
        <is>
          <t>修飾值</t>
        </is>
      </c>
    </row>
    <row r="11">
      <c r="A11" s="5" t="inlineStr">
        <is>
          <t>戰術（TAC）</t>
        </is>
      </c>
      <c r="B11" s="10" t="n">
        <v>14</v>
      </c>
      <c r="C11" s="11">
        <f>INT((B11-9)/2)</f>
        <v/>
      </c>
    </row>
    <row r="12">
      <c r="A12" s="5" t="inlineStr">
        <is>
          <t>工程（ENG）</t>
        </is>
      </c>
      <c r="B12" s="10" t="n">
        <v>10</v>
      </c>
      <c r="C12" s="11">
        <f>INT((B12-9)/2)</f>
        <v/>
      </c>
    </row>
    <row r="13">
      <c r="A13" s="5" t="inlineStr">
        <is>
          <t>機動（MOB）</t>
        </is>
      </c>
      <c r="B13" s="10" t="n">
        <v>10</v>
      </c>
      <c r="C13" s="11">
        <f>INT((B13-9)/2)</f>
        <v/>
      </c>
    </row>
    <row r="14">
      <c r="A14" s="5" t="inlineStr">
        <is>
          <t>感知（PER）</t>
        </is>
      </c>
      <c r="B14" s="10" t="n">
        <v>10</v>
      </c>
      <c r="C14" s="11">
        <f>INT((B14-9)/2)</f>
        <v/>
      </c>
    </row>
    <row r="15">
      <c r="A15" s="5" t="inlineStr">
        <is>
          <t>韌性（RES）</t>
        </is>
      </c>
      <c r="B15" s="10" t="n">
        <v>16</v>
      </c>
      <c r="C15" s="11">
        <f>INT((B15-9)/2)</f>
        <v/>
      </c>
    </row>
    <row r="17">
      <c r="A17" s="3" t="inlineStr">
        <is>
          <t>三、重要數值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9" t="inlineStr">
        <is>
          <t>項目</t>
        </is>
      </c>
      <c r="B18" s="9" t="inlineStr">
        <is>
          <t>值</t>
        </is>
      </c>
      <c r="C18" s="9" t="inlineStr">
        <is>
          <t>說明</t>
        </is>
      </c>
    </row>
    <row r="19">
      <c r="A19" s="5" t="inlineStr">
        <is>
          <t>生命值（HP）</t>
        </is>
      </c>
      <c r="B19" s="10" t="n">
        <v>24</v>
      </c>
      <c r="C19" s="12" t="inlineStr"/>
    </row>
    <row r="20">
      <c r="A20" s="5" t="inlineStr">
        <is>
          <t>防禦等級（DEF）</t>
        </is>
      </c>
      <c r="B20" s="10" t="n">
        <v>14</v>
      </c>
      <c r="C20" s="12" t="inlineStr">
        <is>
          <t>10+機動修飾+護甲</t>
        </is>
      </c>
    </row>
    <row r="21">
      <c r="A21" s="5" t="inlineStr">
        <is>
          <t>先攻（INIT）</t>
        </is>
      </c>
      <c r="B21" s="10">
        <f>C13&amp;"+1d10"</f>
        <v/>
      </c>
      <c r="C21" s="12" t="inlineStr">
        <is>
          <t>機動修飾+1d10</t>
        </is>
      </c>
    </row>
    <row r="22">
      <c r="A22" s="5" t="inlineStr">
        <is>
          <t>特殊能力</t>
        </is>
      </c>
      <c r="B22" s="11" t="inlineStr">
        <is>
          <t>班用機槍 2d8；火力壓制</t>
        </is>
      </c>
      <c r="C22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2026-07-13T18:53:06Z</dcterms:created>
  <dcterms:modified xsi:type="dcterms:W3CDTF">2026-07-13T18:53:06Z</dcterms:modified>
</cp:coreProperties>
</file>