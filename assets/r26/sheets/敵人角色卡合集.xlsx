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獵人TRPG_空白模板敵方卡" sheetId="1" state="visible" r:id="rId1"/>
    <sheet name="V5旗艦" sheetId="2" state="visible" r:id="rId2"/>
    <sheet name="V5特種兵" sheetId="3" state="visible" r:id="rId3"/>
    <sheet name="V5驅逐艦" sheetId="4" state="visible" r:id="rId4"/>
    <sheet name="「影步」艾爾文" sheetId="5" state="visible" r:id="rId5"/>
    <sheet name="「誓約拳」卡爾洛" sheetId="6" state="visible" r:id="rId6"/>
    <sheet name="古代淚海守衛" sheetId="7" state="visible" r:id="rId7"/>
    <sheet name="審判官" sheetId="8" state="visible" r:id="rId8"/>
    <sheet name="布利翁戰鬥機械" sheetId="9" state="visible" r:id="rId9"/>
    <sheet name="布利翁指揮機械" sheetId="10" state="visible" r:id="rId10"/>
    <sheet name="幻影旅團·戰鬥員A" sheetId="11" state="visible" r:id="rId11"/>
    <sheet name="幻影旅團·支援員" sheetId="12" state="visible" r:id="rId12"/>
    <sheet name="幻象守衛" sheetId="13" state="visible" r:id="rId13"/>
    <sheet name="東巴（新人殺手）" sheetId="14" state="visible" r:id="rId14"/>
    <sheet name="毒蛙群" sheetId="15" state="visible" r:id="rId15"/>
    <sheet name="深淵之牙·阿比薩爾" sheetId="16" state="visible" r:id="rId16"/>
    <sheet name="結晶守護獸" sheetId="17" state="visible" r:id="rId17"/>
    <sheet name="結晶龍" sheetId="18" state="visible" r:id="rId18"/>
    <sheet name="金的核心" sheetId="19" state="visible" r:id="rId19"/>
    <sheet name="阿比薩爾·空殼" sheetId="20" state="visible" r:id="rId20"/>
    <sheet name="雙尾蛇黑爾貝爾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right/>
      <bottom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7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敵方角色卡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5" t="inlineStr">
        <is>
          <t>挑戰等級（CR）</t>
        </is>
      </c>
      <c r="C4" s="5" t="inlineStr">
        <is>
          <t>類型（雜魚/中堅/頭目（BOSS））</t>
        </is>
      </c>
      <c r="D4" s="5" t="inlineStr">
        <is>
          <t>XP獎勵</t>
        </is>
      </c>
      <c r="E4" t="inlineStr">
        <is>
          <t>備註: XP獎勵欄=EP值(遭遇構建用)，角色XP見玩家手冊2-9</t>
        </is>
      </c>
    </row>
    <row r="5">
      <c r="A5" s="6" t="n"/>
      <c r="B5" s="7" t="n"/>
      <c r="C5" s="7" t="n"/>
      <c r="D5" s="7" t="n"/>
    </row>
    <row r="6"/>
    <row r="7">
      <c r="A7" s="2" t="inlineStr">
        <is>
          <t>戰鬥屬性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</t>
        </is>
      </c>
      <c r="D8" s="8" t="inlineStr">
        <is>
          <t>屬性</t>
        </is>
      </c>
      <c r="E8" s="8" t="inlineStr">
        <is>
          <t>數值</t>
        </is>
      </c>
      <c r="F8" s="8" t="inlineStr">
        <is>
          <t>修正</t>
        </is>
      </c>
    </row>
    <row r="9">
      <c r="A9" s="5" t="inlineStr">
        <is>
          <t>體質 體質（CON）</t>
        </is>
      </c>
      <c r="B9" s="7" t="n">
        <v>10</v>
      </c>
      <c r="C9" s="9">
        <f>FLOOR.MATH((B9-10)/2)</f>
        <v/>
      </c>
      <c r="D9" s="5" t="inlineStr">
        <is>
          <t>智力 智力（INT）</t>
        </is>
      </c>
      <c r="E9" s="7" t="n">
        <v>10</v>
      </c>
      <c r="F9" s="9">
        <f>FLOOR.MATH((E9-10)/2)</f>
        <v/>
      </c>
    </row>
    <row r="10">
      <c r="A10" s="5" t="inlineStr">
        <is>
          <t>敏捷 敏捷（DEX）</t>
        </is>
      </c>
      <c r="B10" s="7" t="n">
        <v>10</v>
      </c>
      <c r="C10" s="9">
        <f>FLOOR.MATH((B10-10)/2)</f>
        <v/>
      </c>
      <c r="D10" s="5" t="inlineStr">
        <is>
          <t>感知 感知（PER）</t>
        </is>
      </c>
      <c r="E10" s="7" t="n">
        <v>10</v>
      </c>
      <c r="F10" s="9">
        <f>FLOOR.MATH((E10-10)/2)</f>
        <v/>
      </c>
    </row>
    <row r="11">
      <c r="A11" s="5" t="inlineStr">
        <is>
          <t>意志 意志（WIL）</t>
        </is>
      </c>
      <c r="B11" s="7" t="n">
        <v>10</v>
      </c>
      <c r="C11" s="9">
        <f>FLOOR.MATH((B11-10)/2)</f>
        <v/>
      </c>
      <c r="D11" s="5" t="inlineStr">
        <is>
          <t>魅力 魅力（CHA）</t>
        </is>
      </c>
      <c r="E11" s="7" t="n">
        <v>10</v>
      </c>
      <c r="F11" s="9">
        <f>FLOOR.MATH((E11-10)/2)</f>
        <v/>
      </c>
    </row>
    <row r="12"/>
    <row r="13"/>
    <row r="14">
      <c r="A14" s="5" t="inlineStr">
        <is>
          <t>生命值（HP）</t>
        </is>
      </c>
      <c r="B14" s="7">
        <f>B9*5+10</f>
        <v/>
      </c>
      <c r="C14" s="5" t="inlineStr">
        <is>
          <t>念量（SP）</t>
        </is>
      </c>
      <c r="D14" s="7">
        <f>B11*5+10</f>
        <v/>
      </c>
      <c r="E14" s="5" t="inlineStr">
        <is>
          <t>防禦等級（AC）</t>
        </is>
      </c>
      <c r="F14" s="7">
        <f>10+C10</f>
        <v/>
      </c>
    </row>
    <row r="15">
      <c r="A15" s="5" t="inlineStr">
        <is>
          <t>先攻</t>
        </is>
      </c>
      <c r="B15" s="7">
        <f>C10+F10</f>
        <v/>
      </c>
      <c r="C15" s="5" t="inlineStr">
        <is>
          <t>念防禦</t>
        </is>
      </c>
      <c r="D15" s="7">
        <f>C11</f>
        <v/>
      </c>
      <c r="E15" s="5" t="inlineStr">
        <is>
          <t>移動力</t>
        </is>
      </c>
      <c r="F15" s="7">
        <f>B10</f>
        <v/>
      </c>
    </row>
    <row r="16"/>
    <row r="17">
      <c r="A17" s="2" t="inlineStr">
        <is>
          <t>攻擊</t>
        </is>
      </c>
      <c r="B17" s="3" t="n"/>
      <c r="C17" s="3" t="n"/>
      <c r="D17" s="3" t="n"/>
      <c r="E17" s="3" t="n"/>
      <c r="F17" s="4" t="n"/>
    </row>
    <row r="18">
      <c r="A18" s="8" t="inlineStr">
        <is>
          <t>攻擊名稱</t>
        </is>
      </c>
      <c r="B18" s="8" t="inlineStr">
        <is>
          <t>命中公式組件</t>
        </is>
      </c>
      <c r="C18" s="8" t="inlineStr">
        <is>
          <t>傷害骰</t>
        </is>
      </c>
      <c r="D18" s="8" t="inlineStr">
        <is>
          <t>傷害屬性修正</t>
        </is>
      </c>
      <c r="E18" s="8" t="inlineStr">
        <is>
          <t>總傷害(預覽)</t>
        </is>
      </c>
      <c r="F18" s="8" t="inlineStr">
        <is>
          <t>備註</t>
        </is>
      </c>
    </row>
    <row r="19">
      <c r="A19" s="6" t="n"/>
      <c r="B19" s="7" t="n"/>
      <c r="C19" s="7" t="n"/>
      <c r="D19" s="7" t="n"/>
      <c r="E19" s="7">
        <f>C19+D19</f>
        <v/>
      </c>
      <c r="F19" s="6" t="n"/>
    </row>
    <row r="20">
      <c r="A20" s="6" t="n"/>
      <c r="B20" s="7" t="n"/>
      <c r="C20" s="7" t="n"/>
      <c r="D20" s="7" t="n"/>
      <c r="E20" s="7">
        <f>C20+D20</f>
        <v/>
      </c>
      <c r="F20" s="6" t="n"/>
    </row>
    <row r="21">
      <c r="A21" s="6" t="n"/>
      <c r="B21" s="7" t="n"/>
      <c r="C21" s="7" t="n"/>
      <c r="D21" s="7" t="n"/>
      <c r="E21" s="7">
        <f>C21+D21</f>
        <v/>
      </c>
      <c r="F21" s="6" t="n"/>
    </row>
    <row r="22"/>
    <row r="23"/>
    <row r="24">
      <c r="A24" s="2" t="inlineStr">
        <is>
          <t>特殊能力 / 念能力</t>
        </is>
      </c>
      <c r="B24" s="3" t="n"/>
      <c r="C24" s="3" t="n"/>
      <c r="D24" s="3" t="n"/>
      <c r="E24" s="3" t="n"/>
      <c r="F24" s="4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/>
    <row r="32">
      <c r="A32" s="2" t="inlineStr">
        <is>
          <t>掉落 / 戰利品</t>
        </is>
      </c>
      <c r="B32" s="3" t="n"/>
      <c r="C32" s="3" t="n"/>
      <c r="D32" s="3" t="n"/>
      <c r="E32" s="3" t="n"/>
      <c r="F32" s="4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</sheetData>
  <mergeCells count="6">
    <mergeCell ref="A24:F24"/>
    <mergeCell ref="A1:F1"/>
    <mergeCell ref="A32:F32"/>
    <mergeCell ref="A17:F17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敵方：V5祕密艦隊旗艦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V5祕密艦隊旗艦</t>
        </is>
      </c>
    </row>
    <row r="5">
      <c r="A5" s="5" t="inlineStr">
        <is>
          <t>挑戰等級（CR）</t>
        </is>
      </c>
      <c r="B5" s="6" t="inlineStr">
        <is>
          <t>15</t>
        </is>
      </c>
    </row>
    <row r="6">
      <c r="A6" s="5" t="inlineStr">
        <is>
          <t>類型</t>
        </is>
      </c>
      <c r="B6" s="6" t="inlineStr">
        <is>
          <t>載具型BOSS</t>
        </is>
      </c>
    </row>
    <row r="7">
      <c r="A7" s="5" t="inlineStr">
        <is>
          <t>XP獎勵</t>
        </is>
      </c>
      <c r="B7" s="6" t="inlineStr">
        <is>
          <t>500 經驗點（XP）</t>
        </is>
      </c>
    </row>
    <row r="8">
      <c r="A8" s="2" t="inlineStr">
        <is>
          <t>基礎屬性（艦體）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24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6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18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14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16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8</v>
      </c>
      <c r="C15" s="9">
        <f>FLOOR.MATH((B15-10)/2)</f>
        <v/>
      </c>
    </row>
    <row r="16"/>
    <row r="17">
      <c r="A17" s="5" t="inlineStr">
        <is>
          <t>生命值（HP）</t>
        </is>
      </c>
      <c r="B17" s="7" t="n">
        <v>500</v>
      </c>
    </row>
    <row r="18">
      <c r="A18" s="5" t="inlineStr">
        <is>
          <t>念量（SP）</t>
        </is>
      </c>
      <c r="B18" s="7">
        <f>B14*5+50</f>
        <v/>
      </c>
    </row>
    <row r="19">
      <c r="A19" s="5" t="inlineStr">
        <is>
          <t>防禦等級（AC）</t>
        </is>
      </c>
      <c r="B19" s="7" t="n">
        <v>22</v>
      </c>
    </row>
    <row r="20">
      <c r="A20" s="5" t="inlineStr">
        <is>
          <t>先攻（自動）</t>
        </is>
      </c>
      <c r="B20" s="7">
        <f>C10+F10</f>
        <v/>
      </c>
    </row>
    <row r="21">
      <c r="A21" s="5" t="inlineStr">
        <is>
          <t>念防禦（自動）</t>
        </is>
      </c>
      <c r="B21" s="7">
        <f>C14</f>
        <v/>
      </c>
    </row>
    <row r="22">
      <c r="A22" s="5" t="inlineStr">
        <is>
          <t>移動力</t>
        </is>
      </c>
      <c r="B22" s="7">
        <f>B10</f>
        <v/>
      </c>
    </row>
    <row r="23"/>
    <row r="24">
      <c r="A24" s="8" t="inlineStr">
        <is>
          <t>攻擊名稱</t>
        </is>
      </c>
      <c r="B24" s="8" t="inlineStr">
        <is>
          <t>命中</t>
        </is>
      </c>
      <c r="C24" s="8" t="inlineStr">
        <is>
          <t>傷害骰</t>
        </is>
      </c>
      <c r="D24" s="8" t="inlineStr">
        <is>
          <t>傷害修正</t>
        </is>
      </c>
      <c r="E24" s="8" t="inlineStr">
        <is>
          <t>總傷害</t>
        </is>
      </c>
      <c r="F24" s="8" t="inlineStr">
        <is>
          <t>備註</t>
        </is>
      </c>
    </row>
    <row r="25">
      <c r="A25" s="6" t="inlineStr">
        <is>
          <t>反念砲（主砲）</t>
        </is>
      </c>
      <c r="B25" s="7" t="inlineStr">
        <is>
          <t>d20+12</t>
        </is>
      </c>
      <c r="C25" s="7" t="inlineStr">
        <is>
          <t>3d10</t>
        </is>
      </c>
      <c r="D25" s="7" t="n">
        <v>0</v>
      </c>
      <c r="E25" s="7">
        <f>C25+D25</f>
        <v/>
      </c>
      <c r="F25" s="6" t="inlineStr">
        <is>
          <t>能量傷害 無視念防禦 2回合冷卻</t>
        </is>
      </c>
    </row>
    <row r="26">
      <c r="A26" s="6" t="inlineStr">
        <is>
          <t>副砲×4</t>
        </is>
      </c>
      <c r="B26" s="7" t="inlineStr">
        <is>
          <t>d20+8</t>
        </is>
      </c>
      <c r="C26" s="7" t="inlineStr">
        <is>
          <t>2d8</t>
        </is>
      </c>
      <c r="D26" s="7" t="n">
        <v>0</v>
      </c>
      <c r="E26" s="7">
        <f>C26+D26</f>
        <v/>
      </c>
      <c r="F26" s="6" t="inlineStr">
        <is>
          <t>每回合可攻擊2次</t>
        </is>
      </c>
    </row>
    <row r="27"/>
    <row r="28">
      <c r="A28" s="6" t="inlineStr">
        <is>
          <t>反念力場（常駐）：範圍200m內所有念能力SP消耗×3。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反念護盾：對念攻擊免疫。物理攻擊正常生效。</t>
        </is>
      </c>
      <c r="B29" s="3" t="n"/>
      <c r="C29" s="3" t="n"/>
      <c r="D29" s="3" t="n"/>
      <c r="E29" s="3" t="n"/>
      <c r="F29" s="4" t="n"/>
    </row>
    <row r="30">
      <c r="A30" s="6" t="inlineStr">
        <is>
          <t>搭載V5特種兵×20（CR3），每回合可部署1d4名。</t>
        </is>
      </c>
      <c r="B30" s="3" t="n"/>
      <c r="C30" s="3" t="n"/>
      <c r="D30" s="3" t="n"/>
      <c r="E30" s="3" t="n"/>
      <c r="F30" s="4" t="n"/>
    </row>
    <row r="31">
      <c r="A31" s="6" t="inlineStr">
        <is>
          <t>弱點：引擎室（需潛入艦內 察覺DC20找到入口）。破壞引擎後AC-6、無法移動。</t>
        </is>
      </c>
      <c r="B31" s="3" t="n"/>
      <c r="C31" s="3" t="n"/>
      <c r="D31" s="3" t="n"/>
      <c r="E31" s="3" t="n"/>
      <c r="F31" s="4" t="n"/>
    </row>
    <row r="32"/>
    <row r="33">
      <c r="A33" s="2" t="inlineStr">
        <is>
          <t>掉落</t>
        </is>
      </c>
      <c r="B33" s="3" t="n"/>
      <c r="C33" s="3" t="n"/>
      <c r="D33" s="3" t="n"/>
      <c r="E33" s="3" t="n"/>
      <c r="F33" s="4" t="n"/>
    </row>
    <row r="34">
      <c r="A34" s="6" t="inlineStr">
        <is>
          <t>V5反念技術藍圖、V5最高機密檔案</t>
        </is>
      </c>
      <c r="B34" s="3" t="n"/>
      <c r="C34" s="3" t="n"/>
      <c r="D34" s="3" t="n"/>
      <c r="E34" s="3" t="n"/>
      <c r="F34" s="4" t="n"/>
    </row>
  </sheetData>
  <mergeCells count="9">
    <mergeCell ref="A33:F33"/>
    <mergeCell ref="A28:F28"/>
    <mergeCell ref="A1:F1"/>
    <mergeCell ref="A8:F8"/>
    <mergeCell ref="A31:F31"/>
    <mergeCell ref="A34:F34"/>
    <mergeCell ref="A3:F3"/>
    <mergeCell ref="A30:F30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敵方：V5特種兵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V5特種兵</t>
        </is>
      </c>
    </row>
    <row r="5">
      <c r="A5" s="5" t="inlineStr">
        <is>
          <t>挑戰等級（CR）</t>
        </is>
      </c>
      <c r="B5" s="6" t="inlineStr">
        <is>
          <t>3</t>
        </is>
      </c>
    </row>
    <row r="6">
      <c r="A6" s="5" t="inlineStr">
        <is>
          <t>類型</t>
        </is>
      </c>
      <c r="B6" s="6" t="inlineStr">
        <is>
          <t>雜魚級（小隊單位）</t>
        </is>
      </c>
    </row>
    <row r="7">
      <c r="A7" s="5" t="inlineStr">
        <is>
          <t>XP獎勵</t>
        </is>
      </c>
      <c r="B7" s="6" t="inlineStr">
        <is>
          <t>50 經驗點（XP）/名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14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14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12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10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12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8</v>
      </c>
      <c r="C15" s="9">
        <f>FLOOR.MATH((B15-10)/2)</f>
        <v/>
      </c>
    </row>
    <row r="16"/>
    <row r="17">
      <c r="A17" s="5" t="inlineStr">
        <is>
          <t>生命值（HP）</t>
        </is>
      </c>
      <c r="B17" s="7" t="n">
        <v>50</v>
      </c>
    </row>
    <row r="18">
      <c r="A18" s="5" t="inlineStr">
        <is>
          <t>念量（SP）</t>
        </is>
      </c>
      <c r="B18" s="7">
        <f>B14*5+10</f>
        <v/>
      </c>
    </row>
    <row r="19">
      <c r="A19" s="5" t="inlineStr">
        <is>
          <t>防禦等級（AC）</t>
        </is>
      </c>
      <c r="B19" s="7" t="n">
        <v>14</v>
      </c>
    </row>
    <row r="20">
      <c r="A20" s="5" t="inlineStr">
        <is>
          <t>先攻（自動）</t>
        </is>
      </c>
      <c r="B20" s="7">
        <f>C10+F10</f>
        <v/>
      </c>
    </row>
    <row r="21">
      <c r="A21" s="5" t="inlineStr">
        <is>
          <t>念防禦（自動）</t>
        </is>
      </c>
      <c r="B21" s="7">
        <f>C14</f>
        <v/>
      </c>
    </row>
    <row r="22">
      <c r="A22" s="5" t="inlineStr">
        <is>
          <t>移動力</t>
        </is>
      </c>
      <c r="B22" s="7">
        <f>B10</f>
        <v/>
      </c>
    </row>
    <row r="23"/>
    <row r="24">
      <c r="A24" s="8" t="inlineStr">
        <is>
          <t>攻擊名稱</t>
        </is>
      </c>
      <c r="B24" s="8" t="inlineStr">
        <is>
          <t>命中</t>
        </is>
      </c>
      <c r="C24" s="8" t="inlineStr">
        <is>
          <t>傷害骰</t>
        </is>
      </c>
      <c r="D24" s="8" t="inlineStr">
        <is>
          <t>傷害修正</t>
        </is>
      </c>
      <c r="E24" s="8" t="inlineStr">
        <is>
          <t>總傷害</t>
        </is>
      </c>
      <c r="F24" s="8" t="inlineStr">
        <is>
          <t>備註</t>
        </is>
      </c>
    </row>
    <row r="25">
      <c r="A25" s="6" t="inlineStr">
        <is>
          <t>反念步槍</t>
        </is>
      </c>
      <c r="B25" s="7" t="inlineStr">
        <is>
          <t>d20+5</t>
        </is>
      </c>
      <c r="C25" s="7" t="inlineStr">
        <is>
          <t>2d6</t>
        </is>
      </c>
      <c r="D25" s="7" t="n">
        <v>0</v>
      </c>
      <c r="E25" s="7">
        <f>C25+D25</f>
        <v/>
      </c>
      <c r="F25" s="6" t="inlineStr">
        <is>
          <t>無視念防禦 射程50m</t>
        </is>
      </c>
    </row>
    <row r="26">
      <c r="A26" s="6" t="inlineStr">
        <is>
          <t>近戰格鬥</t>
        </is>
      </c>
      <c r="B26" s="7" t="inlineStr">
        <is>
          <t>d20+4</t>
        </is>
      </c>
      <c r="C26" s="7" t="inlineStr">
        <is>
          <t>1d6</t>
        </is>
      </c>
      <c r="D26" s="7" t="n">
        <v>2</v>
      </c>
      <c r="E26" s="7">
        <f>C26+D26</f>
        <v/>
      </c>
      <c r="F26" s="6" t="inlineStr">
        <is>
          <t>敏捷修正</t>
        </is>
      </c>
    </row>
    <row r="27"/>
    <row r="28">
      <c r="A28" s="6" t="inlineStr">
        <is>
          <t>小隊戰術：3名以上同時在場時攻擊獲得優勢。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反念裝備：穿戴反念護甲（對念攻擊抗性）。</t>
        </is>
      </c>
      <c r="B29" s="3" t="n"/>
      <c r="C29" s="3" t="n"/>
      <c r="D29" s="3" t="n"/>
      <c r="E29" s="3" t="n"/>
      <c r="F29" s="4" t="n"/>
    </row>
    <row r="30">
      <c r="A30" s="6" t="inlineStr">
        <is>
          <t>沒有念能力——純科技部隊。</t>
        </is>
      </c>
      <c r="B30" s="3" t="n"/>
      <c r="C30" s="3" t="n"/>
      <c r="D30" s="3" t="n"/>
      <c r="E30" s="3" t="n"/>
      <c r="F30" s="4" t="n"/>
    </row>
    <row r="31"/>
    <row r="32">
      <c r="A32" s="2" t="inlineStr">
        <is>
          <t>掉落</t>
        </is>
      </c>
      <c r="B32" s="3" t="n"/>
      <c r="C32" s="3" t="n"/>
      <c r="D32" s="3" t="n"/>
      <c r="E32" s="3" t="n"/>
      <c r="F32" s="4" t="n"/>
    </row>
    <row r="33">
      <c r="A33" s="6" t="inlineStr">
        <is>
          <t>反念步槍（玩家可使用：2d6傷害 無視念防禦 射程50m）、反念護甲碎片</t>
        </is>
      </c>
      <c r="B33" s="3" t="n"/>
      <c r="C33" s="3" t="n"/>
      <c r="D33" s="3" t="n"/>
      <c r="E33" s="3" t="n"/>
      <c r="F33" s="4" t="n"/>
    </row>
  </sheetData>
  <mergeCells count="8">
    <mergeCell ref="A33:F33"/>
    <mergeCell ref="A28:F28"/>
    <mergeCell ref="A1:F1"/>
    <mergeCell ref="A32:F32"/>
    <mergeCell ref="A8:F8"/>
    <mergeCell ref="A3:F3"/>
    <mergeCell ref="A30:F30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敵方：V5驅逐艦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V5驅逐艦</t>
        </is>
      </c>
    </row>
    <row r="5">
      <c r="A5" s="5" t="inlineStr">
        <is>
          <t>挑戰等級（CR）</t>
        </is>
      </c>
      <c r="B5" s="6" t="inlineStr">
        <is>
          <t>10（共5艘）</t>
        </is>
      </c>
    </row>
    <row r="6">
      <c r="A6" s="5" t="inlineStr">
        <is>
          <t>類型</t>
        </is>
      </c>
      <c r="B6" s="6" t="inlineStr">
        <is>
          <t>載具型中堅</t>
        </is>
      </c>
    </row>
    <row r="7">
      <c r="A7" s="5" t="inlineStr">
        <is>
          <t>XP獎勵</t>
        </is>
      </c>
      <c r="B7" s="6" t="inlineStr">
        <is>
          <t>250 經驗點（XP）/艘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20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8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14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8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10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4</v>
      </c>
      <c r="C15" s="9">
        <f>FLOOR.MATH((B15-10)/2)</f>
        <v/>
      </c>
    </row>
    <row r="16"/>
    <row r="17">
      <c r="A17" s="5" t="inlineStr">
        <is>
          <t>生命值（HP）</t>
        </is>
      </c>
      <c r="B17" s="7" t="n">
        <v>250</v>
      </c>
    </row>
    <row r="18">
      <c r="A18" s="5" t="inlineStr">
        <is>
          <t>念量（SP）</t>
        </is>
      </c>
      <c r="B18" s="7">
        <f>B14*5+20</f>
        <v/>
      </c>
    </row>
    <row r="19">
      <c r="A19" s="5" t="inlineStr">
        <is>
          <t>防禦等級（AC）</t>
        </is>
      </c>
      <c r="B19" s="7" t="n">
        <v>18</v>
      </c>
    </row>
    <row r="20">
      <c r="A20" s="5" t="inlineStr">
        <is>
          <t>先攻（自動）</t>
        </is>
      </c>
      <c r="B20" s="7">
        <f>C10+F10</f>
        <v/>
      </c>
    </row>
    <row r="21">
      <c r="A21" s="5" t="inlineStr">
        <is>
          <t>念防禦（自動）</t>
        </is>
      </c>
      <c r="B21" s="7">
        <f>C14</f>
        <v/>
      </c>
    </row>
    <row r="22">
      <c r="A22" s="5" t="inlineStr">
        <is>
          <t>移動力</t>
        </is>
      </c>
      <c r="B22" s="7">
        <f>B10</f>
        <v/>
      </c>
    </row>
    <row r="23"/>
    <row r="24">
      <c r="A24" s="8" t="inlineStr">
        <is>
          <t>攻擊名稱</t>
        </is>
      </c>
      <c r="B24" s="8" t="inlineStr">
        <is>
          <t>命中</t>
        </is>
      </c>
      <c r="C24" s="8" t="inlineStr">
        <is>
          <t>傷害骰</t>
        </is>
      </c>
      <c r="D24" s="8" t="inlineStr">
        <is>
          <t>傷害修正</t>
        </is>
      </c>
      <c r="E24" s="8" t="inlineStr">
        <is>
          <t>總傷害</t>
        </is>
      </c>
      <c r="F24" s="8" t="inlineStr">
        <is>
          <t>備註</t>
        </is>
      </c>
    </row>
    <row r="25">
      <c r="A25" s="6" t="inlineStr">
        <is>
          <t>反念砲</t>
        </is>
      </c>
      <c r="B25" s="7" t="inlineStr">
        <is>
          <t>d20+9</t>
        </is>
      </c>
      <c r="C25" s="7" t="inlineStr">
        <is>
          <t>3d10</t>
        </is>
      </c>
      <c r="D25" s="7" t="n">
        <v>0</v>
      </c>
      <c r="E25" s="7">
        <f>C25+D25</f>
        <v/>
      </c>
      <c r="F25" s="6" t="inlineStr">
        <is>
          <t>能量傷害 無視念防禦</t>
        </is>
      </c>
    </row>
    <row r="26"/>
    <row r="27">
      <c r="A27" s="6" t="inlineStr">
        <is>
          <t>反念力場（輔助型）：範圍100m內SP消耗×2。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搭載V5特種兵×10（CR3）。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弱點：引擎室破壞後AC-4。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掉落</t>
        </is>
      </c>
      <c r="B31" s="3" t="n"/>
      <c r="C31" s="3" t="n"/>
      <c r="D31" s="3" t="n"/>
      <c r="E31" s="3" t="n"/>
      <c r="F31" s="4" t="n"/>
    </row>
    <row r="32">
      <c r="A32" s="6" t="inlineStr">
        <is>
          <t>V5反念技術碎片、軍用通訊設備</t>
        </is>
      </c>
      <c r="B32" s="3" t="n"/>
      <c r="C32" s="3" t="n"/>
      <c r="D32" s="3" t="n"/>
      <c r="E32" s="3" t="n"/>
      <c r="F32" s="4" t="n"/>
    </row>
  </sheetData>
  <mergeCells count="8">
    <mergeCell ref="A28:F28"/>
    <mergeCell ref="A1:F1"/>
    <mergeCell ref="A32:F32"/>
    <mergeCell ref="A27:F27"/>
    <mergeCell ref="A8:F8"/>
    <mergeCell ref="A31:F31"/>
    <mergeCell ref="A3:F3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敵方：「影步」艾爾文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「影步」艾爾文</t>
        </is>
      </c>
      <c r="C4" s="5" t="inlineStr">
        <is>
          <t>挑戰等級（CR）</t>
        </is>
      </c>
      <c r="D4" s="7" t="inlineStr">
        <is>
          <t>1</t>
        </is>
      </c>
    </row>
    <row r="5">
      <c r="A5" s="5" t="inlineStr">
        <is>
          <t>類型</t>
        </is>
      </c>
      <c r="B5" s="6" t="inlineStr">
        <is>
          <t>中堅級（準決賽對手）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12</v>
      </c>
      <c r="C9" s="9">
        <f>FLOOR.MATH((B9-10)/2)</f>
        <v/>
      </c>
    </row>
    <row r="10">
      <c r="A10" s="5" t="inlineStr">
        <is>
          <t>敏捷</t>
        </is>
      </c>
      <c r="B10" s="7" t="n">
        <v>16</v>
      </c>
      <c r="C10" s="9">
        <f>FLOOR.MATH((B10-10)/2)</f>
        <v/>
      </c>
    </row>
    <row r="11">
      <c r="A11" s="5" t="inlineStr">
        <is>
          <t>感知</t>
        </is>
      </c>
      <c r="B11" s="7" t="n">
        <v>13</v>
      </c>
      <c r="C11" s="9">
        <f>FLOOR.MATH((B11-10)/2)</f>
        <v/>
      </c>
    </row>
    <row r="12">
      <c r="A12" s="5" t="inlineStr">
        <is>
          <t>智力</t>
        </is>
      </c>
      <c r="B12" s="7" t="n">
        <v>10</v>
      </c>
      <c r="C12" s="9">
        <f>FLOOR.MATH((B12-10)/2)</f>
        <v/>
      </c>
    </row>
    <row r="13">
      <c r="A13" s="5" t="inlineStr">
        <is>
          <t>意志</t>
        </is>
      </c>
      <c r="B13" s="7" t="n">
        <v>12</v>
      </c>
      <c r="C13" s="9">
        <f>FLOOR.MATH((B13-10)/2)</f>
        <v/>
      </c>
    </row>
    <row r="14">
      <c r="A14" s="5" t="inlineStr">
        <is>
          <t>魅力</t>
        </is>
      </c>
      <c r="B14" s="7" t="n">
        <v>10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50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13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短劍</t>
        </is>
      </c>
      <c r="B22" s="7" t="inlineStr">
        <is>
          <t>+5</t>
        </is>
      </c>
      <c r="C22" s="7" t="inlineStr">
        <is>
          <t>1d6</t>
        </is>
      </c>
      <c r="D22" s="7" t="n">
        <v>3</v>
      </c>
      <c r="E22" s="7">
        <f>C22+D22</f>
        <v/>
      </c>
      <c r="F22" s="6" t="inlineStr">
        <is>
          <t>敏捷修正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影步（放出系SP2）：消耗移動動作5m瞬移，下次攻擊命中+2。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戰術：拉打、利用障害物。SP低於10後保守。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掉落 / 戰利品</t>
        </is>
      </c>
      <c r="B28" s="3" t="n"/>
      <c r="C28" s="3" t="n"/>
      <c r="D28" s="3" t="n"/>
      <c r="E28" s="3" t="n"/>
      <c r="F28" s="4" t="n"/>
    </row>
    <row r="29">
      <c r="A29" s="6" t="inlineStr">
        <is>
          <t>影步戰術筆記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敵方：「誓約拳」卡爾洛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「誓約拳」卡爾洛</t>
        </is>
      </c>
      <c r="C4" s="5" t="inlineStr">
        <is>
          <t>挑戰等級（CR）</t>
        </is>
      </c>
      <c r="D4" s="7" t="inlineStr">
        <is>
          <t>2</t>
        </is>
      </c>
    </row>
    <row r="5">
      <c r="A5" s="5" t="inlineStr">
        <is>
          <t>類型</t>
        </is>
      </c>
      <c r="B5" s="6" t="inlineStr">
        <is>
          <t>中堅級（決賽對手）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17</v>
      </c>
      <c r="C9" s="9">
        <f>FLOOR.MATH((B9-10)/2)</f>
        <v/>
      </c>
    </row>
    <row r="10">
      <c r="A10" s="5" t="inlineStr">
        <is>
          <t>敏捷</t>
        </is>
      </c>
      <c r="B10" s="7" t="n">
        <v>13</v>
      </c>
      <c r="C10" s="9">
        <f>FLOOR.MATH((B10-10)/2)</f>
        <v/>
      </c>
    </row>
    <row r="11">
      <c r="A11" s="5" t="inlineStr">
        <is>
          <t>感知</t>
        </is>
      </c>
      <c r="B11" s="7" t="n">
        <v>10</v>
      </c>
      <c r="C11" s="9">
        <f>FLOOR.MATH((B11-10)/2)</f>
        <v/>
      </c>
    </row>
    <row r="12">
      <c r="A12" s="5" t="inlineStr">
        <is>
          <t>智力</t>
        </is>
      </c>
      <c r="B12" s="7" t="n">
        <v>8</v>
      </c>
      <c r="C12" s="9">
        <f>FLOOR.MATH((B12-10)/2)</f>
        <v/>
      </c>
    </row>
    <row r="13">
      <c r="A13" s="5" t="inlineStr">
        <is>
          <t>意志</t>
        </is>
      </c>
      <c r="B13" s="7" t="n">
        <v>14</v>
      </c>
      <c r="C13" s="9">
        <f>FLOOR.MATH((B13-10)/2)</f>
        <v/>
      </c>
    </row>
    <row r="14">
      <c r="A14" s="5" t="inlineStr">
        <is>
          <t>魅力</t>
        </is>
      </c>
      <c r="B14" s="7" t="n">
        <v>10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70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12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普通拳</t>
        </is>
      </c>
      <c r="B22" s="7" t="inlineStr">
        <is>
          <t>+4</t>
        </is>
      </c>
      <c r="C22" s="7" t="inlineStr">
        <is>
          <t>1d8</t>
        </is>
      </c>
      <c r="D22" s="7" t="n">
        <v>3</v>
      </c>
      <c r="E22" s="7">
        <f>C22+D22</f>
        <v/>
      </c>
      <c r="F22" s="6" t="inlineStr">
        <is>
          <t>體質修正</t>
        </is>
      </c>
    </row>
    <row r="23">
      <c r="A23" s="6" t="inlineStr">
        <is>
          <t>誓約の拳</t>
        </is>
      </c>
      <c r="B23" s="7" t="inlineStr">
        <is>
          <t>+4</t>
        </is>
      </c>
      <c r="C23" s="7" t="inlineStr">
        <is>
          <t>3d6</t>
        </is>
      </c>
      <c r="D23" s="7" t="n">
        <v>3</v>
      </c>
      <c r="E23" s="7">
        <f>C23+D23</f>
        <v/>
      </c>
      <c r="F23" s="6" t="inlineStr">
        <is>
          <t>無視50%念防禦 每日3次</t>
        </is>
      </c>
    </row>
    <row r="24"/>
    <row r="25">
      <c r="A25" s="2" t="inlineStr">
        <is>
          <t>特殊能力</t>
        </is>
      </c>
      <c r="B25" s="3" t="n"/>
      <c r="C25" s="3" t="n"/>
      <c r="D25" s="3" t="n"/>
      <c r="E25" s="3" t="n"/>
      <c r="F25" s="4" t="n"/>
    </row>
    <row r="26">
      <c r="A26" s="6" t="inlineStr">
        <is>
          <t>誓約の拳(強化系SP3 BP4/4)：每日3次+1制約誓約點（BP）、使用後1回合無法移動+1制約誓約點（BP）、對手投降必須停手否則失念能力+2制約誓約點（BP）。+2d6(2制約誓約點（BP）)、無視一半念防禦(2制約誓約點（BP）)。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掉落 / 戰利品</t>
        </is>
      </c>
      <c r="B28" s="3" t="n"/>
      <c r="C28" s="3" t="n"/>
      <c r="D28" s="3" t="n"/>
      <c r="E28" s="3" t="n"/>
      <c r="F28" s="4" t="n"/>
    </row>
    <row r="29">
      <c r="A29" s="6" t="inlineStr">
        <is>
          <t>誓約拳修行筆記</t>
        </is>
      </c>
      <c r="B29" s="3" t="n"/>
      <c r="C29" s="3" t="n"/>
      <c r="D29" s="3" t="n"/>
      <c r="E29" s="3" t="n"/>
      <c r="F29" s="4" t="n"/>
    </row>
  </sheetData>
  <mergeCells count="9"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敵方：古代淚海守衛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古代淚海守衛</t>
        </is>
      </c>
      <c r="C4" s="5" t="inlineStr">
        <is>
          <t>挑戰等級（CR）</t>
        </is>
      </c>
      <c r="D4" s="7" t="inlineStr">
        <is>
          <t>12</t>
        </is>
      </c>
    </row>
    <row r="5">
      <c r="A5" s="5" t="inlineStr">
        <is>
          <t>類型</t>
        </is>
      </c>
      <c r="B5" s="6" t="inlineStr">
        <is>
          <t>BOSS級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18</v>
      </c>
      <c r="C9" s="9">
        <f>FLOOR.MATH((B9-10)/2)</f>
        <v/>
      </c>
    </row>
    <row r="10">
      <c r="A10" s="5" t="inlineStr">
        <is>
          <t>敏捷</t>
        </is>
      </c>
      <c r="B10" s="7" t="n">
        <v>14</v>
      </c>
      <c r="C10" s="9">
        <f>FLOOR.MATH((B10-10)/2)</f>
        <v/>
      </c>
    </row>
    <row r="11">
      <c r="A11" s="5" t="inlineStr">
        <is>
          <t>感知</t>
        </is>
      </c>
      <c r="B11" s="7" t="n">
        <v>16</v>
      </c>
      <c r="C11" s="9">
        <f>FLOOR.MATH((B11-10)/2)</f>
        <v/>
      </c>
    </row>
    <row r="12">
      <c r="A12" s="5" t="inlineStr">
        <is>
          <t>智力</t>
        </is>
      </c>
      <c r="B12" s="7" t="n">
        <v>12</v>
      </c>
      <c r="C12" s="9">
        <f>FLOOR.MATH((B12-10)/2)</f>
        <v/>
      </c>
    </row>
    <row r="13">
      <c r="A13" s="5" t="inlineStr">
        <is>
          <t>意志</t>
        </is>
      </c>
      <c r="B13" s="7" t="n">
        <v>18</v>
      </c>
      <c r="C13" s="9">
        <f>FLOOR.MATH((B13-10)/2)</f>
        <v/>
      </c>
    </row>
    <row r="14">
      <c r="A14" s="5" t="inlineStr">
        <is>
          <t>魅力</t>
        </is>
      </c>
      <c r="B14" s="7" t="n">
        <v>10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180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15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情緒衝擊波</t>
        </is>
      </c>
      <c r="B22" s="7" t="inlineStr">
        <is>
          <t>+7</t>
        </is>
      </c>
      <c r="C22" s="7" t="inlineStr">
        <is>
          <t>3d8</t>
        </is>
      </c>
      <c r="D22" s="7" t="n">
        <v>4</v>
      </c>
      <c r="E22" s="7">
        <f>C22+D22</f>
        <v/>
      </c>
      <c r="F22" s="6" t="inlineStr">
        <is>
          <t>念傷害 強韌DC18否則觸發情緒物理化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液體形態：物理攻擊獲得劣勢。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情緒連結：守衛屬性隨PC當前情緒變化（悲傷→攻擊+2、平靜→防禦等級（AC）-3）。</t>
        </is>
      </c>
      <c r="B26" s="3" t="n"/>
      <c r="C26" s="3" t="n"/>
      <c r="D26" s="3" t="n"/>
      <c r="E26" s="3" t="n"/>
      <c r="F26" s="4" t="n"/>
    </row>
    <row r="27">
      <c r="A27" s="6" t="inlineStr">
        <is>
          <t>範圍限制：無法離開淚海範圍。</t>
        </is>
      </c>
      <c r="B27" s="3" t="n"/>
      <c r="C27" s="3" t="n"/>
      <c r="D27" s="3" t="n"/>
      <c r="E27" s="3" t="n"/>
      <c r="F27" s="4" t="n"/>
    </row>
    <row r="28"/>
    <row r="29">
      <c r="A29" s="2" t="inlineStr">
        <is>
          <t>掉落 / 戰利品</t>
        </is>
      </c>
      <c r="B29" s="3" t="n"/>
      <c r="C29" s="3" t="n"/>
      <c r="D29" s="3" t="n"/>
      <c r="E29" s="3" t="n"/>
      <c r="F29" s="4" t="n"/>
    </row>
    <row r="30">
      <c r="A30" s="6" t="inlineStr">
        <is>
          <t>感情結晶×2</t>
        </is>
      </c>
      <c r="B30" s="3" t="n"/>
      <c r="C30" s="3" t="n"/>
      <c r="D30" s="3" t="n"/>
      <c r="E30" s="3" t="n"/>
      <c r="F30" s="4" t="n"/>
    </row>
  </sheetData>
  <mergeCells count="11">
    <mergeCell ref="A24:F24"/>
    <mergeCell ref="A3:F3"/>
    <mergeCell ref="A1:F1"/>
    <mergeCell ref="A27:F27"/>
    <mergeCell ref="A15:F15"/>
    <mergeCell ref="A26:F26"/>
    <mergeCell ref="A30:F30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敵方：審判官（第一文明的遺影）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審判官（第一文明的遺影）</t>
        </is>
      </c>
    </row>
    <row r="5">
      <c r="A5" s="5" t="inlineStr">
        <is>
          <t>挑戰等級（CR）</t>
        </is>
      </c>
      <c r="B5" s="6" t="inlineStr">
        <is>
          <t>20</t>
        </is>
      </c>
    </row>
    <row r="6">
      <c r="A6" s="5" t="inlineStr">
        <is>
          <t>類型</t>
        </is>
      </c>
      <c r="B6" s="6" t="inlineStr">
        <is>
          <t>終極BOSS（非必須戰鬥）</t>
        </is>
      </c>
    </row>
    <row r="7">
      <c r="A7" s="5" t="inlineStr">
        <is>
          <t>XP獎勵</t>
        </is>
      </c>
      <c r="B7" s="6" t="inlineStr">
        <is>
          <t>500 經驗點（XP）（若擊敗）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22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18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24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28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26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20</v>
      </c>
      <c r="C15" s="9">
        <f>FLOOR.MATH((B15-10)/2)</f>
        <v/>
      </c>
    </row>
    <row r="16"/>
    <row r="17">
      <c r="A17" s="2" t="inlineStr">
        <is>
          <t>戰鬥數值（三階段）</t>
        </is>
      </c>
      <c r="B17" s="3" t="n"/>
      <c r="C17" s="3" t="n"/>
      <c r="D17" s="3" t="n"/>
      <c r="E17" s="3" t="n"/>
      <c r="F17" s="4" t="n"/>
    </row>
    <row r="18">
      <c r="A18" s="5" t="inlineStr">
        <is>
          <t>生命值（HP）（總計）</t>
        </is>
      </c>
      <c r="B18" s="7" t="n">
        <v>400</v>
      </c>
    </row>
    <row r="19">
      <c r="A19" s="5" t="inlineStr">
        <is>
          <t>念量（SP）（自動）</t>
        </is>
      </c>
      <c r="B19" s="7">
        <f>B14*5+10</f>
        <v/>
      </c>
    </row>
    <row r="20">
      <c r="A20" s="5" t="inlineStr">
        <is>
          <t>防禦等級（AC）</t>
        </is>
      </c>
      <c r="B20" s="7" t="n">
        <v>24</v>
      </c>
    </row>
    <row r="21">
      <c r="A21" s="5" t="inlineStr">
        <is>
          <t>先攻（自動）</t>
        </is>
      </c>
      <c r="B21" s="7">
        <f>C10+F10</f>
        <v/>
      </c>
    </row>
    <row r="22"/>
    <row r="23">
      <c r="A23" s="2" t="inlineStr">
        <is>
          <t>三階段機制</t>
        </is>
      </c>
      <c r="B23" s="3" t="n"/>
      <c r="C23" s="3" t="n"/>
      <c r="D23" s="3" t="n"/>
      <c r="E23" s="3" t="n"/>
      <c r="F23" s="4" t="n"/>
    </row>
    <row r="24">
      <c r="A24" s="6" t="inlineStr">
        <is>
          <t>階段一（HP 100%~66%）：光之仲裁——審判官使用第一文明光能攻擊，d20+14命中，4d10能量傷害。每回合2次攻擊。</t>
        </is>
      </c>
      <c r="B24" s="3" t="n"/>
      <c r="C24" s="3" t="n"/>
      <c r="D24" s="3" t="n"/>
      <c r="E24" s="3" t="n"/>
      <c r="F24" s="4" t="n"/>
    </row>
    <row r="25">
      <c r="A25" s="6" t="inlineStr">
        <is>
          <t>階段二（HP 66%~33%）：重力領域——審判官展開重力場，範圍內全員移動力減半，每回合強韌DC 22否則倒地。攻擊變為3次/回合。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階段三（HP 33%~0%）：審判終結——審判官釋放第一文明終極兵器：空間切割。範圍30m，反射DC 25否則5d12力場傷害。使用後需冷卻2回合。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特殊機制</t>
        </is>
      </c>
      <c r="B28" s="3" t="n"/>
      <c r="C28" s="3" t="n"/>
      <c r="D28" s="3" t="n"/>
      <c r="E28" s="3" t="n"/>
      <c r="F28" s="4" t="n"/>
    </row>
    <row r="29">
      <c r="A29" s="6" t="inlineStr">
        <is>
          <t>審判官不是必須戰鬥的敵人。對話審判才是主要遊戲內容。</t>
        </is>
      </c>
      <c r="B29" s="3" t="n"/>
      <c r="C29" s="3" t="n"/>
      <c r="D29" s="3" t="n"/>
      <c r="E29" s="3" t="n"/>
      <c r="F29" s="4" t="n"/>
    </row>
    <row r="30">
      <c r="A30" s="6" t="inlineStr">
        <is>
          <t>若PC發起攻擊，審判官才會啟動戰鬥模式。PC可在任意回合停戰。</t>
        </is>
      </c>
      <c r="B30" s="3" t="n"/>
      <c r="C30" s="3" t="n"/>
      <c r="D30" s="3" t="n"/>
      <c r="E30" s="3" t="n"/>
      <c r="F30" s="4" t="n"/>
    </row>
    <row r="31"/>
    <row r="32">
      <c r="A32" s="2" t="inlineStr">
        <is>
          <t>掉落</t>
        </is>
      </c>
      <c r="B32" s="3" t="n"/>
      <c r="C32" s="3" t="n"/>
      <c r="D32" s="3" t="n"/>
      <c r="E32" s="3" t="n"/>
      <c r="F32" s="4" t="n"/>
    </row>
    <row r="33">
      <c r="A33" s="6" t="inlineStr">
        <is>
          <t>第一文明全知識結晶（究極質問一次）、經驗點（XP） 100（對話通過）/ 500（擊敗）</t>
        </is>
      </c>
      <c r="B33" s="3" t="n"/>
      <c r="C33" s="3" t="n"/>
      <c r="D33" s="3" t="n"/>
      <c r="E33" s="3" t="n"/>
      <c r="F33" s="4" t="n"/>
    </row>
  </sheetData>
  <mergeCells count="13">
    <mergeCell ref="A24:F24"/>
    <mergeCell ref="A33:F33"/>
    <mergeCell ref="A28:F28"/>
    <mergeCell ref="A3:F3"/>
    <mergeCell ref="A1:F1"/>
    <mergeCell ref="A23:F23"/>
    <mergeCell ref="A32:F32"/>
    <mergeCell ref="A8:F8"/>
    <mergeCell ref="A17:F17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敵方：布利翁戰鬥型機械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布利翁戰鬥型機械</t>
        </is>
      </c>
    </row>
    <row r="5">
      <c r="A5" s="5" t="inlineStr">
        <is>
          <t>挑戰等級（CR）</t>
        </is>
      </c>
      <c r="B5" s="6" t="inlineStr">
        <is>
          <t>8</t>
        </is>
      </c>
    </row>
    <row r="6">
      <c r="A6" s="5" t="inlineStr">
        <is>
          <t>類型</t>
        </is>
      </c>
      <c r="B6" s="6" t="inlineStr">
        <is>
          <t>中堅級（自律兵器）</t>
        </is>
      </c>
    </row>
    <row r="7">
      <c r="A7" s="5" t="inlineStr">
        <is>
          <t>XP獎勵</t>
        </is>
      </c>
      <c r="B7" s="6" t="inlineStr">
        <is>
          <t>200 經驗點（XP）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18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14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16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2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10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1</v>
      </c>
      <c r="C15" s="9">
        <f>FLOOR.MATH((B15-10)/2)</f>
        <v/>
      </c>
    </row>
    <row r="16"/>
    <row r="17">
      <c r="A17" s="5" t="inlineStr">
        <is>
          <t>生命值（HP）</t>
        </is>
      </c>
      <c r="B17" s="7" t="n">
        <v>100</v>
      </c>
    </row>
    <row r="18">
      <c r="A18" s="5" t="inlineStr">
        <is>
          <t>念量（SP）</t>
        </is>
      </c>
      <c r="B18" s="7">
        <f>B14*5+10</f>
        <v/>
      </c>
    </row>
    <row r="19">
      <c r="A19" s="5" t="inlineStr">
        <is>
          <t>防禦等級（AC）</t>
        </is>
      </c>
      <c r="B19" s="7" t="n">
        <v>20</v>
      </c>
    </row>
    <row r="20">
      <c r="A20" s="5" t="inlineStr">
        <is>
          <t>先攻（自動）</t>
        </is>
      </c>
      <c r="B20" s="7">
        <f>C10+F10</f>
        <v/>
      </c>
    </row>
    <row r="21">
      <c r="A21" s="5" t="inlineStr">
        <is>
          <t>念防禦（自動）</t>
        </is>
      </c>
      <c r="B21" s="7">
        <f>C14</f>
        <v/>
      </c>
    </row>
    <row r="22">
      <c r="A22" s="5" t="inlineStr">
        <is>
          <t>移動力</t>
        </is>
      </c>
      <c r="B22" s="7">
        <f>B10</f>
        <v/>
      </c>
    </row>
    <row r="23"/>
    <row r="24">
      <c r="A24" s="8" t="inlineStr">
        <is>
          <t>攻擊名稱</t>
        </is>
      </c>
      <c r="B24" s="8" t="inlineStr">
        <is>
          <t>命中</t>
        </is>
      </c>
      <c r="C24" s="8" t="inlineStr">
        <is>
          <t>傷害骰</t>
        </is>
      </c>
      <c r="D24" s="8" t="inlineStr">
        <is>
          <t>傷害修正</t>
        </is>
      </c>
      <c r="E24" s="8" t="inlineStr">
        <is>
          <t>總傷害</t>
        </is>
      </c>
      <c r="F24" s="8" t="inlineStr">
        <is>
          <t>備註</t>
        </is>
      </c>
    </row>
    <row r="25">
      <c r="A25" s="6" t="inlineStr">
        <is>
          <t>能量射線</t>
        </is>
      </c>
      <c r="B25" s="7" t="inlineStr">
        <is>
          <t>d20+9</t>
        </is>
      </c>
      <c r="C25" s="7" t="inlineStr">
        <is>
          <t>3d8</t>
        </is>
      </c>
      <c r="D25" s="7" t="n">
        <v>0</v>
      </c>
      <c r="E25" s="7">
        <f>C25+D25</f>
        <v/>
      </c>
      <c r="F25" s="6" t="inlineStr">
        <is>
          <t>能量傷害 無視物理護甲</t>
        </is>
      </c>
    </row>
    <row r="26"/>
    <row r="27">
      <c r="A27" s="6" t="inlineStr">
        <is>
          <t>合金護甲：物理攻擊減傷 -5。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弱點：電擊攻擊雙倍傷害。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駭入：智力DC22可使其癱瘓1d4回合。</t>
        </is>
      </c>
      <c r="B29" s="3" t="n"/>
      <c r="C29" s="3" t="n"/>
      <c r="D29" s="3" t="n"/>
      <c r="E29" s="3" t="n"/>
      <c r="F29" s="4" t="n"/>
    </row>
    <row r="30">
      <c r="A30" s="6" t="inlineStr">
        <is>
          <t>無心智：免疫所有精神狀態。</t>
        </is>
      </c>
      <c r="B30" s="3" t="n"/>
      <c r="C30" s="3" t="n"/>
      <c r="D30" s="3" t="n"/>
      <c r="E30" s="3" t="n"/>
      <c r="F30" s="4" t="n"/>
    </row>
    <row r="31"/>
    <row r="32">
      <c r="A32" s="2" t="inlineStr">
        <is>
          <t>掉落</t>
        </is>
      </c>
      <c r="B32" s="3" t="n"/>
      <c r="C32" s="3" t="n"/>
      <c r="D32" s="3" t="n"/>
      <c r="E32" s="3" t="n"/>
      <c r="F32" s="4" t="n"/>
    </row>
    <row r="33">
      <c r="A33" s="6" t="inlineStr">
        <is>
          <t>布利翁合金碎片（傳說級防具材料）、經驗點（XP） 200</t>
        </is>
      </c>
      <c r="B33" s="3" t="n"/>
      <c r="C33" s="3" t="n"/>
      <c r="D33" s="3" t="n"/>
      <c r="E33" s="3" t="n"/>
      <c r="F33" s="4" t="n"/>
    </row>
  </sheetData>
  <mergeCells count="9">
    <mergeCell ref="A33:F33"/>
    <mergeCell ref="A28:F28"/>
    <mergeCell ref="A1:F1"/>
    <mergeCell ref="A32:F32"/>
    <mergeCell ref="A27:F27"/>
    <mergeCell ref="A8:F8"/>
    <mergeCell ref="A3:F3"/>
    <mergeCell ref="A30:F30"/>
    <mergeCell ref="A29:F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敵方：布利翁指揮型機械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布利翁指揮型機械</t>
        </is>
      </c>
    </row>
    <row r="5">
      <c r="A5" s="5" t="inlineStr">
        <is>
          <t>挑戰等級（CR）</t>
        </is>
      </c>
      <c r="B5" s="6" t="inlineStr">
        <is>
          <t>12</t>
        </is>
      </c>
    </row>
    <row r="6">
      <c r="A6" s="5" t="inlineStr">
        <is>
          <t>類型</t>
        </is>
      </c>
      <c r="B6" s="6" t="inlineStr">
        <is>
          <t>BOSS級（指揮中樞）</t>
        </is>
      </c>
    </row>
    <row r="7">
      <c r="A7" s="5" t="inlineStr">
        <is>
          <t>XP獎勵</t>
        </is>
      </c>
      <c r="B7" s="6" t="inlineStr">
        <is>
          <t>350 經驗點（XP）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20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12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20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10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16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1</v>
      </c>
      <c r="C15" s="9">
        <f>FLOOR.MATH((B15-10)/2)</f>
        <v/>
      </c>
    </row>
    <row r="16"/>
    <row r="17">
      <c r="A17" s="5" t="inlineStr">
        <is>
          <t>生命值（HP）</t>
        </is>
      </c>
      <c r="B17" s="7" t="n">
        <v>200</v>
      </c>
    </row>
    <row r="18">
      <c r="A18" s="5" t="inlineStr">
        <is>
          <t>念量（SP）</t>
        </is>
      </c>
      <c r="B18" s="7">
        <f>B14*5+20</f>
        <v/>
      </c>
    </row>
    <row r="19">
      <c r="A19" s="5" t="inlineStr">
        <is>
          <t>防禦等級（AC）</t>
        </is>
      </c>
      <c r="B19" s="7" t="n">
        <v>22</v>
      </c>
    </row>
    <row r="20">
      <c r="A20" s="5" t="inlineStr">
        <is>
          <t>先攻（自動）</t>
        </is>
      </c>
      <c r="B20" s="7">
        <f>C10+F10</f>
        <v/>
      </c>
    </row>
    <row r="21">
      <c r="A21" s="5" t="inlineStr">
        <is>
          <t>念防禦（自動）</t>
        </is>
      </c>
      <c r="B21" s="7">
        <f>C14</f>
        <v/>
      </c>
    </row>
    <row r="22">
      <c r="A22" s="5" t="inlineStr">
        <is>
          <t>移動力</t>
        </is>
      </c>
      <c r="B22" s="7">
        <f>B10</f>
        <v/>
      </c>
    </row>
    <row r="23"/>
    <row r="24">
      <c r="A24" s="8" t="inlineStr">
        <is>
          <t>攻擊名稱</t>
        </is>
      </c>
      <c r="B24" s="8" t="inlineStr">
        <is>
          <t>命中</t>
        </is>
      </c>
      <c r="C24" s="8" t="inlineStr">
        <is>
          <t>傷害骰</t>
        </is>
      </c>
      <c r="D24" s="8" t="inlineStr">
        <is>
          <t>傷害修正</t>
        </is>
      </c>
      <c r="E24" s="8" t="inlineStr">
        <is>
          <t>總傷害</t>
        </is>
      </c>
      <c r="F24" s="8" t="inlineStr">
        <is>
          <t>備註</t>
        </is>
      </c>
    </row>
    <row r="25">
      <c r="A25" s="6" t="inlineStr">
        <is>
          <t>強化能量射線</t>
        </is>
      </c>
      <c r="B25" s="7" t="inlineStr">
        <is>
          <t>d20+11</t>
        </is>
      </c>
      <c r="C25" s="7" t="inlineStr">
        <is>
          <t>4d8</t>
        </is>
      </c>
      <c r="D25" s="7" t="n">
        <v>0</v>
      </c>
      <c r="E25" s="7">
        <f>C25+D25</f>
        <v/>
      </c>
      <c r="F25" s="6" t="inlineStr">
        <is>
          <t>能量傷害 無視物理護甲</t>
        </is>
      </c>
    </row>
    <row r="26"/>
    <row r="27">
      <c r="A27" s="6" t="inlineStr">
        <is>
          <t>指揮協調：每回合可給1台其他機械額外攻擊。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強化護盾：每回合自動恢復10 生命值（HP）。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弱點：控制台在指揮核心旁——輸入關機代碼（智力+念知識DC25+3人同時按開關）可關閉所有機械。</t>
        </is>
      </c>
      <c r="B29" s="3" t="n"/>
      <c r="C29" s="3" t="n"/>
      <c r="D29" s="3" t="n"/>
      <c r="E29" s="3" t="n"/>
      <c r="F29" s="4" t="n"/>
    </row>
    <row r="30">
      <c r="A30" s="6" t="inlineStr">
        <is>
          <t>合金護甲：物理攻擊減傷 -5。</t>
        </is>
      </c>
      <c r="B30" s="3" t="n"/>
      <c r="C30" s="3" t="n"/>
      <c r="D30" s="3" t="n"/>
      <c r="E30" s="3" t="n"/>
      <c r="F30" s="4" t="n"/>
    </row>
    <row r="31">
      <c r="A31" s="6" t="inlineStr">
        <is>
          <t>無心智：免疫所有精神狀態。</t>
        </is>
      </c>
      <c r="B31" s="3" t="n"/>
      <c r="C31" s="3" t="n"/>
      <c r="D31" s="3" t="n"/>
      <c r="E31" s="3" t="n"/>
      <c r="F31" s="4" t="n"/>
    </row>
    <row r="32"/>
    <row r="33">
      <c r="A33" s="2" t="inlineStr">
        <is>
          <t>掉落</t>
        </is>
      </c>
      <c r="B33" s="3" t="n"/>
      <c r="C33" s="3" t="n"/>
      <c r="D33" s="3" t="n"/>
      <c r="E33" s="3" t="n"/>
      <c r="F33" s="4" t="n"/>
    </row>
    <row r="34">
      <c r="A34" s="6" t="inlineStr">
        <is>
          <t>布利翁控制核心（召喚CR4偵查機械 維持SP3/回合）、經驗點（XP） 350</t>
        </is>
      </c>
      <c r="B34" s="3" t="n"/>
      <c r="C34" s="3" t="n"/>
      <c r="D34" s="3" t="n"/>
      <c r="E34" s="3" t="n"/>
      <c r="F34" s="4" t="n"/>
    </row>
  </sheetData>
  <mergeCells count="10">
    <mergeCell ref="A33:F33"/>
    <mergeCell ref="A28:F28"/>
    <mergeCell ref="A1:F1"/>
    <mergeCell ref="A27:F27"/>
    <mergeCell ref="A8:F8"/>
    <mergeCell ref="A31:F31"/>
    <mergeCell ref="A34:F34"/>
    <mergeCell ref="A3:F3"/>
    <mergeCell ref="A30:F30"/>
    <mergeCell ref="A29:F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敵方：幻影旅團·戰鬥員A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幻影旅團·戰鬥員A</t>
        </is>
      </c>
      <c r="C4" s="5" t="inlineStr">
        <is>
          <t>挑戰等級（CR）</t>
        </is>
      </c>
      <c r="D4" s="7" t="inlineStr">
        <is>
          <t>6</t>
        </is>
      </c>
    </row>
    <row r="5">
      <c r="A5" s="5" t="inlineStr">
        <is>
          <t>類型</t>
        </is>
      </c>
      <c r="B5" s="6" t="inlineStr">
        <is>
          <t>中堅級（旅團外圍成員）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16</v>
      </c>
      <c r="C9" s="9">
        <f>FLOOR.MATH((B9-10)/2)</f>
        <v/>
      </c>
    </row>
    <row r="10">
      <c r="A10" s="5" t="inlineStr">
        <is>
          <t>敏捷</t>
        </is>
      </c>
      <c r="B10" s="7" t="n">
        <v>15</v>
      </c>
      <c r="C10" s="9">
        <f>FLOOR.MATH((B10-10)/2)</f>
        <v/>
      </c>
    </row>
    <row r="11">
      <c r="A11" s="5" t="inlineStr">
        <is>
          <t>感知</t>
        </is>
      </c>
      <c r="B11" s="7" t="n">
        <v>12</v>
      </c>
      <c r="C11" s="9">
        <f>FLOOR.MATH((B11-10)/2)</f>
        <v/>
      </c>
    </row>
    <row r="12">
      <c r="A12" s="5" t="inlineStr">
        <is>
          <t>智力</t>
        </is>
      </c>
      <c r="B12" s="7" t="n">
        <v>10</v>
      </c>
      <c r="C12" s="9">
        <f>FLOOR.MATH((B12-10)/2)</f>
        <v/>
      </c>
    </row>
    <row r="13">
      <c r="A13" s="5" t="inlineStr">
        <is>
          <t>意志</t>
        </is>
      </c>
      <c r="B13" s="7" t="n">
        <v>14</v>
      </c>
      <c r="C13" s="9">
        <f>FLOOR.MATH((B13-10)/2)</f>
        <v/>
      </c>
    </row>
    <row r="14">
      <c r="A14" s="5" t="inlineStr">
        <is>
          <t>魅力</t>
        </is>
      </c>
      <c r="B14" s="7" t="n">
        <v>8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110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16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念刃</t>
        </is>
      </c>
      <c r="B22" s="7" t="inlineStr">
        <is>
          <t>+6</t>
        </is>
      </c>
      <c r="C22" s="7" t="inlineStr">
        <is>
          <t>2d8</t>
        </is>
      </c>
      <c r="D22" s="7" t="n">
        <v>2</v>
      </c>
      <c r="E22" s="7">
        <f>C22+D22</f>
        <v/>
      </c>
      <c r="F22" s="6" t="inlineStr">
        <is>
          <t>意志修正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旅團戰鬥員（強化系）：擅長正面壓制。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對獵人會主動通報旅團總部（不戀戰）。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掉落 / 戰利品</t>
        </is>
      </c>
      <c r="B28" s="3" t="n"/>
      <c r="C28" s="3" t="n"/>
      <c r="D28" s="3" t="n"/>
      <c r="E28" s="3" t="n"/>
      <c r="F28" s="4" t="n"/>
    </row>
    <row r="29">
      <c r="A29" s="6" t="inlineStr">
        <is>
          <t>旅團通訊裝置、暗夜之心（任務物品）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敵方：幻影旅團·支援員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幻影旅團·支援員</t>
        </is>
      </c>
      <c r="C4" s="5" t="inlineStr">
        <is>
          <t>挑戰等級（CR）</t>
        </is>
      </c>
      <c r="D4" s="7" t="inlineStr">
        <is>
          <t>4</t>
        </is>
      </c>
    </row>
    <row r="5">
      <c r="A5" s="5" t="inlineStr">
        <is>
          <t>類型</t>
        </is>
      </c>
      <c r="B5" s="6" t="inlineStr">
        <is>
          <t>中堅級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13</v>
      </c>
      <c r="C9" s="9">
        <f>FLOOR.MATH((B9-10)/2)</f>
        <v/>
      </c>
    </row>
    <row r="10">
      <c r="A10" s="5" t="inlineStr">
        <is>
          <t>敏捷</t>
        </is>
      </c>
      <c r="B10" s="7" t="n">
        <v>16</v>
      </c>
      <c r="C10" s="9">
        <f>FLOOR.MATH((B10-10)/2)</f>
        <v/>
      </c>
    </row>
    <row r="11">
      <c r="A11" s="5" t="inlineStr">
        <is>
          <t>感知</t>
        </is>
      </c>
      <c r="B11" s="7" t="n">
        <v>14</v>
      </c>
      <c r="C11" s="9">
        <f>FLOOR.MATH((B11-10)/2)</f>
        <v/>
      </c>
    </row>
    <row r="12">
      <c r="A12" s="5" t="inlineStr">
        <is>
          <t>智力</t>
        </is>
      </c>
      <c r="B12" s="7" t="n">
        <v>12</v>
      </c>
      <c r="C12" s="9">
        <f>FLOOR.MATH((B12-10)/2)</f>
        <v/>
      </c>
    </row>
    <row r="13">
      <c r="A13" s="5" t="inlineStr">
        <is>
          <t>意志</t>
        </is>
      </c>
      <c r="B13" s="7" t="n">
        <v>13</v>
      </c>
      <c r="C13" s="9">
        <f>FLOOR.MATH((B13-10)/2)</f>
        <v/>
      </c>
    </row>
    <row r="14">
      <c r="A14" s="5" t="inlineStr">
        <is>
          <t>魅力</t>
        </is>
      </c>
      <c r="B14" s="7" t="n">
        <v>10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80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14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雙匕首</t>
        </is>
      </c>
      <c r="B22" s="7" t="inlineStr">
        <is>
          <t>+6</t>
        </is>
      </c>
      <c r="C22" s="7" t="inlineStr">
        <is>
          <t>1d6</t>
        </is>
      </c>
      <c r="D22" s="7" t="n">
        <v>3</v>
      </c>
      <c r="E22" s="7">
        <f>C22+D22</f>
        <v/>
      </c>
      <c r="F22" s="6" t="inlineStr">
        <is>
          <t>敏捷修正 可攻擊2次/回合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確保撤退路線。使用煙霧彈和念陷阱進行區域控制。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如果戰鬥員A被壓制，會呼叫增援（需要在3回合內解決戰鬥）。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掉落 / 戰利品</t>
        </is>
      </c>
      <c r="B28" s="3" t="n"/>
      <c r="C28" s="3" t="n"/>
      <c r="D28" s="3" t="n"/>
      <c r="E28" s="3" t="n"/>
      <c r="F28" s="4" t="n"/>
    </row>
    <row r="29">
      <c r="A29" s="6" t="inlineStr">
        <is>
          <t>煙霧彈×3、脫出用地圖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敵方：幻象守衛（證明守護專用）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幻象守衛</t>
        </is>
      </c>
    </row>
    <row r="5">
      <c r="A5" s="5" t="inlineStr">
        <is>
          <t>挑戰等級（CR）</t>
        </is>
      </c>
      <c r="B5" s="6" t="inlineStr">
        <is>
          <t>6（同時出現2隻）</t>
        </is>
      </c>
    </row>
    <row r="6">
      <c r="A6" s="5" t="inlineStr">
        <is>
          <t>類型</t>
        </is>
      </c>
      <c r="B6" s="6" t="inlineStr">
        <is>
          <t>BOSS級召喚物</t>
        </is>
      </c>
    </row>
    <row r="7">
      <c r="A7" s="5" t="inlineStr">
        <is>
          <t>XP獎勵</t>
        </is>
      </c>
      <c r="B7" s="6" t="inlineStr">
        <is>
          <t>各150經驗點（XP）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14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16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12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6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16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2</v>
      </c>
      <c r="C15" s="9">
        <f>FLOOR.MATH((B15-10)/2)</f>
        <v/>
      </c>
    </row>
    <row r="16"/>
    <row r="17">
      <c r="A17" s="2" t="inlineStr">
        <is>
          <t>戰鬥數值</t>
        </is>
      </c>
      <c r="B17" s="3" t="n"/>
      <c r="C17" s="3" t="n"/>
      <c r="D17" s="3" t="n"/>
      <c r="E17" s="3" t="n"/>
      <c r="F17" s="4" t="n"/>
    </row>
    <row r="18">
      <c r="A18" s="5" t="inlineStr">
        <is>
          <t>生命值（HP）</t>
        </is>
      </c>
      <c r="B18" s="7" t="n">
        <v>80</v>
      </c>
    </row>
    <row r="19">
      <c r="A19" s="5" t="inlineStr">
        <is>
          <t>念量（SP）（自動）</t>
        </is>
      </c>
      <c r="B19" s="7">
        <f>B14*5+10</f>
        <v/>
      </c>
    </row>
    <row r="20">
      <c r="A20" s="5" t="inlineStr">
        <is>
          <t>防禦等級（AC）</t>
        </is>
      </c>
      <c r="B20" s="7" t="n">
        <v>14</v>
      </c>
    </row>
    <row r="21">
      <c r="A21" s="5" t="inlineStr">
        <is>
          <t>先攻（自動）</t>
        </is>
      </c>
      <c r="B21" s="7">
        <f>C10+F10</f>
        <v/>
      </c>
    </row>
    <row r="22">
      <c r="A22" s="5" t="inlineStr">
        <is>
          <t>念防禦（自動）</t>
        </is>
      </c>
      <c r="B22" s="7">
        <f>C14</f>
        <v/>
      </c>
    </row>
    <row r="23">
      <c r="A23" s="5" t="inlineStr">
        <is>
          <t>移動力</t>
        </is>
      </c>
      <c r="B23" s="7">
        <f>B10</f>
        <v/>
      </c>
    </row>
    <row r="24"/>
    <row r="25">
      <c r="A25" s="2" t="inlineStr">
        <is>
          <t>攻擊</t>
        </is>
      </c>
      <c r="B25" s="3" t="n"/>
      <c r="C25" s="3" t="n"/>
      <c r="D25" s="3" t="n"/>
      <c r="E25" s="3" t="n"/>
      <c r="F25" s="4" t="n"/>
    </row>
    <row r="26">
      <c r="A26" s="8" t="inlineStr">
        <is>
          <t>名稱</t>
        </is>
      </c>
      <c r="B26" s="8" t="inlineStr">
        <is>
          <t>命中</t>
        </is>
      </c>
      <c r="C26" s="8" t="inlineStr">
        <is>
          <t>傷害骰</t>
        </is>
      </c>
      <c r="D26" s="8" t="inlineStr">
        <is>
          <t>傷害修正</t>
        </is>
      </c>
      <c r="E26" s="8" t="inlineStr">
        <is>
          <t>總傷害</t>
        </is>
      </c>
      <c r="F26" s="8" t="inlineStr">
        <is>
          <t>備註</t>
        </is>
      </c>
    </row>
    <row r="27">
      <c r="A27" s="6" t="inlineStr">
        <is>
          <t>幻象衝擊</t>
        </is>
      </c>
      <c r="B27" s="7" t="inlineStr">
        <is>
          <t>d20+7</t>
        </is>
      </c>
      <c r="C27" s="7" t="inlineStr">
        <is>
          <t>2d8</t>
        </is>
      </c>
      <c r="D27" s="7" t="n">
        <v>0</v>
      </c>
      <c r="E27" s="7">
        <f>C27+D27</f>
        <v/>
      </c>
      <c r="F27" s="6" t="inlineStr">
        <is>
          <t>念傷害 無視物理護甲</t>
        </is>
      </c>
    </row>
    <row r="28"/>
    <row r="29">
      <c r="A29" s="2" t="inlineStr">
        <is>
          <t>特殊能力</t>
        </is>
      </c>
      <c r="B29" s="3" t="n"/>
      <c r="C29" s="3" t="n"/>
      <c r="D29" s="3" t="n"/>
      <c r="E29" s="3" t="n"/>
      <c r="F29" s="4" t="n"/>
    </row>
    <row r="30">
      <c r="A30" s="6" t="inlineStr">
        <is>
          <t>物理免疫：物理攻擊對幻象守衛無效。僅念攻擊或念能力可造成傷害。</t>
        </is>
      </c>
      <c r="B30" s="3" t="n"/>
      <c r="C30" s="3" t="n"/>
      <c r="D30" s="3" t="n"/>
      <c r="E30" s="3" t="n"/>
      <c r="F30" s="4" t="n"/>
    </row>
    <row r="31">
      <c r="A31" s="6" t="inlineStr">
        <is>
          <t>鎖定目標：只攻擊被門「選中」的PC（證明連結中直面記憶碎片者），不主動攻擊其他PC。</t>
        </is>
      </c>
      <c r="B31" s="3" t="n"/>
      <c r="C31" s="3" t="n"/>
      <c r="D31" s="3" t="n"/>
      <c r="E31" s="3" t="n"/>
      <c r="F31" s="4" t="n"/>
    </row>
    <row r="32">
      <c r="A32" s="6" t="inlineStr">
        <is>
          <t>雙向夾擊：2隻幻象守衛從兩側同時攻擊同一目標。若被攔截，1隻繼續攻擊原目標，另1隻轉向攔截者。</t>
        </is>
      </c>
      <c r="B32" s="3" t="n"/>
      <c r="C32" s="3" t="n"/>
      <c r="D32" s="3" t="n"/>
      <c r="E32" s="3" t="n"/>
      <c r="F32" s="4" t="n"/>
    </row>
    <row r="33">
      <c r="A33" s="6" t="inlineStr">
        <is>
          <t>無心智：免疫所有精神狀態（恐懼/混亂/魅惑）。</t>
        </is>
      </c>
      <c r="B33" s="3" t="n"/>
      <c r="C33" s="3" t="n"/>
      <c r="D33" s="3" t="n"/>
      <c r="E33" s="3" t="n"/>
      <c r="F33" s="4" t="n"/>
    </row>
    <row r="34"/>
    <row r="35">
      <c r="A35" s="2" t="inlineStr">
        <is>
          <t>掉落 / 戰利品</t>
        </is>
      </c>
      <c r="B35" s="3" t="n"/>
      <c r="C35" s="3" t="n"/>
      <c r="D35" s="3" t="n"/>
      <c r="E35" s="3" t="n"/>
      <c r="F35" s="4" t="n"/>
    </row>
    <row r="36">
      <c r="A36" s="6" t="inlineStr">
        <is>
          <t>無。幻象守衛被擊敗後化為光點消失。</t>
        </is>
      </c>
      <c r="B36" s="3" t="n"/>
      <c r="C36" s="3" t="n"/>
      <c r="D36" s="3" t="n"/>
      <c r="E36" s="3" t="n"/>
      <c r="F36" s="4" t="n"/>
    </row>
  </sheetData>
  <mergeCells count="12">
    <mergeCell ref="A33:F33"/>
    <mergeCell ref="A36:F36"/>
    <mergeCell ref="A1:F1"/>
    <mergeCell ref="A32:F32"/>
    <mergeCell ref="A8:F8"/>
    <mergeCell ref="A31:F31"/>
    <mergeCell ref="A17:F17"/>
    <mergeCell ref="A35:F35"/>
    <mergeCell ref="A3:F3"/>
    <mergeCell ref="A30:F30"/>
    <mergeCell ref="A29:F29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敵方：東巴（新人殺手）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東巴（新人殺手）</t>
        </is>
      </c>
      <c r="C4" s="5" t="inlineStr">
        <is>
          <t>挑戰等級（CR）</t>
        </is>
      </c>
      <c r="D4" s="7" t="inlineStr">
        <is>
          <t>1/4</t>
        </is>
      </c>
    </row>
    <row r="5">
      <c r="A5" s="5" t="inlineStr">
        <is>
          <t>類型</t>
        </is>
      </c>
      <c r="B5" s="6" t="inlineStr">
        <is>
          <t>雜魚級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10</v>
      </c>
      <c r="C9" s="9">
        <f>FLOOR.MATH((B9-10)/2)</f>
        <v/>
      </c>
    </row>
    <row r="10">
      <c r="A10" s="5" t="inlineStr">
        <is>
          <t>敏捷</t>
        </is>
      </c>
      <c r="B10" s="7" t="n">
        <v>12</v>
      </c>
      <c r="C10" s="9">
        <f>FLOOR.MATH((B10-10)/2)</f>
        <v/>
      </c>
    </row>
    <row r="11">
      <c r="A11" s="5" t="inlineStr">
        <is>
          <t>感知</t>
        </is>
      </c>
      <c r="B11" s="7" t="n">
        <v>14</v>
      </c>
      <c r="C11" s="9">
        <f>FLOOR.MATH((B11-10)/2)</f>
        <v/>
      </c>
    </row>
    <row r="12">
      <c r="A12" s="5" t="inlineStr">
        <is>
          <t>智力</t>
        </is>
      </c>
      <c r="B12" s="7" t="n">
        <v>12</v>
      </c>
      <c r="C12" s="9">
        <f>FLOOR.MATH((B12-10)/2)</f>
        <v/>
      </c>
    </row>
    <row r="13">
      <c r="A13" s="5" t="inlineStr">
        <is>
          <t>意志</t>
        </is>
      </c>
      <c r="B13" s="7" t="n">
        <v>8</v>
      </c>
      <c r="C13" s="9">
        <f>FLOOR.MATH((B13-10)/2)</f>
        <v/>
      </c>
    </row>
    <row r="14">
      <c r="A14" s="5" t="inlineStr">
        <is>
          <t>魅力</t>
        </is>
      </c>
      <c r="B14" s="7" t="n">
        <v>14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20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10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撒石灰</t>
        </is>
      </c>
      <c r="B22" s="7" t="inlineStr">
        <is>
          <t>+2</t>
        </is>
      </c>
      <c r="C22" s="7" t="inlineStr">
        <is>
          <t>1d4</t>
        </is>
      </c>
      <c r="D22" s="7" t="n">
        <v>0</v>
      </c>
      <c r="E22" s="7">
        <f>C22+D22</f>
        <v/>
      </c>
      <c r="F22" s="6" t="inlineStr">
        <is>
          <t>目盲DC12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新人殺手：對新人考生進行的欺騙檢定獲得優勢（欺騙+4）。</t>
        </is>
      </c>
      <c r="B25" s="3" t="n"/>
      <c r="C25" s="3" t="n"/>
      <c r="D25" s="3" t="n"/>
      <c r="E25" s="3" t="n"/>
      <c r="F25" s="4" t="n"/>
    </row>
    <row r="26"/>
    <row r="27">
      <c r="A27" s="2" t="inlineStr">
        <is>
          <t>掉落 / 戰利品</t>
        </is>
      </c>
      <c r="B27" s="3" t="n"/>
      <c r="C27" s="3" t="n"/>
      <c r="D27" s="3" t="n"/>
      <c r="E27" s="3" t="n"/>
      <c r="F27" s="4" t="n"/>
    </row>
    <row r="28">
      <c r="A28" s="6" t="inlineStr">
        <is>
          <t>果汁×3（其實是瀉藥）</t>
        </is>
      </c>
      <c r="B28" s="3" t="n"/>
      <c r="C28" s="3" t="n"/>
      <c r="D28" s="3" t="n"/>
      <c r="E28" s="3" t="n"/>
      <c r="F28" s="4" t="n"/>
    </row>
  </sheetData>
  <mergeCells count="9">
    <mergeCell ref="A24:F24"/>
    <mergeCell ref="A28:F28"/>
    <mergeCell ref="A1:F1"/>
    <mergeCell ref="A27:F27"/>
    <mergeCell ref="A3:F3"/>
    <mergeCell ref="A20:F20"/>
    <mergeCell ref="A15:F15"/>
    <mergeCell ref="A7:F7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敵方：毒蛙群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毒蛙群</t>
        </is>
      </c>
      <c r="C4" s="5" t="inlineStr">
        <is>
          <t>挑戰等級（CR）</t>
        </is>
      </c>
      <c r="D4" s="7" t="inlineStr">
        <is>
          <t>1/4</t>
        </is>
      </c>
    </row>
    <row r="5">
      <c r="A5" s="5" t="inlineStr">
        <is>
          <t>類型</t>
        </is>
      </c>
      <c r="B5" s="6" t="inlineStr">
        <is>
          <t>雜魚級×3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8</v>
      </c>
      <c r="C9" s="9">
        <f>FLOOR.MATH((B9-10)/2)</f>
        <v/>
      </c>
    </row>
    <row r="10">
      <c r="A10" s="5" t="inlineStr">
        <is>
          <t>敏捷</t>
        </is>
      </c>
      <c r="B10" s="7" t="n">
        <v>14</v>
      </c>
      <c r="C10" s="9">
        <f>FLOOR.MATH((B10-10)/2)</f>
        <v/>
      </c>
    </row>
    <row r="11">
      <c r="A11" s="5" t="inlineStr">
        <is>
          <t>感知</t>
        </is>
      </c>
      <c r="B11" s="7" t="n">
        <v>12</v>
      </c>
      <c r="C11" s="9">
        <f>FLOOR.MATH((B11-10)/2)</f>
        <v/>
      </c>
    </row>
    <row r="12">
      <c r="A12" s="5" t="inlineStr">
        <is>
          <t>智力</t>
        </is>
      </c>
      <c r="B12" s="7" t="n">
        <v>2</v>
      </c>
      <c r="C12" s="9">
        <f>FLOOR.MATH((B12-10)/2)</f>
        <v/>
      </c>
    </row>
    <row r="13">
      <c r="A13" s="5" t="inlineStr">
        <is>
          <t>意志</t>
        </is>
      </c>
      <c r="B13" s="7" t="n">
        <v>6</v>
      </c>
      <c r="C13" s="9">
        <f>FLOOR.MATH((B13-10)/2)</f>
        <v/>
      </c>
    </row>
    <row r="14">
      <c r="A14" s="5" t="inlineStr">
        <is>
          <t>魅力</t>
        </is>
      </c>
      <c r="B14" s="7" t="n">
        <v>2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15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11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毒舌</t>
        </is>
      </c>
      <c r="B22" s="7" t="inlineStr">
        <is>
          <t>+3</t>
        </is>
      </c>
      <c r="C22" s="7" t="inlineStr">
        <is>
          <t>1d4</t>
        </is>
      </c>
      <c r="D22" s="7" t="n">
        <v>0</v>
      </c>
      <c r="E22" s="7">
        <f>C22+D22</f>
        <v/>
      </c>
      <c r="F22" s="6" t="inlineStr">
        <is>
          <t>中毒Lv.1 強韌DC12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群體戰術：3隻以上同時在場時攻擊獲得優勢。</t>
        </is>
      </c>
      <c r="B25" s="3" t="n"/>
      <c r="C25" s="3" t="n"/>
      <c r="D25" s="3" t="n"/>
      <c r="E25" s="3" t="n"/>
      <c r="F25" s="4" t="n"/>
    </row>
    <row r="26"/>
    <row r="27">
      <c r="A27" s="2" t="inlineStr">
        <is>
          <t>掉落 / 戰利品</t>
        </is>
      </c>
      <c r="B27" s="3" t="n"/>
      <c r="C27" s="3" t="n"/>
      <c r="D27" s="3" t="n"/>
      <c r="E27" s="3" t="n"/>
      <c r="F27" s="4" t="n"/>
    </row>
    <row r="28">
      <c r="A28" s="6" t="inlineStr">
        <is>
          <t>毒蛙腺體（可製作解毒劑）</t>
        </is>
      </c>
      <c r="B28" s="3" t="n"/>
      <c r="C28" s="3" t="n"/>
      <c r="D28" s="3" t="n"/>
      <c r="E28" s="3" t="n"/>
      <c r="F28" s="4" t="n"/>
    </row>
  </sheetData>
  <mergeCells count="9">
    <mergeCell ref="A24:F24"/>
    <mergeCell ref="A28:F28"/>
    <mergeCell ref="A1:F1"/>
    <mergeCell ref="A27:F27"/>
    <mergeCell ref="A3:F3"/>
    <mergeCell ref="A20:F20"/>
    <mergeCell ref="A15:F15"/>
    <mergeCell ref="A7:F7"/>
    <mergeCell ref="A25:F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敵方：深淵之牙·阿比薩爾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深淵之牙·阿比薩爾</t>
        </is>
      </c>
      <c r="C4" s="5" t="inlineStr">
        <is>
          <t>挑戰等級（CR）</t>
        </is>
      </c>
      <c r="D4" s="7" t="inlineStr">
        <is>
          <t>10</t>
        </is>
      </c>
    </row>
    <row r="5">
      <c r="A5" s="5" t="inlineStr">
        <is>
          <t>類型</t>
        </is>
      </c>
      <c r="B5" s="6" t="inlineStr">
        <is>
          <t>BOSS級（部位系統）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20</v>
      </c>
      <c r="C9" s="9">
        <f>FLOOR.MATH((B9-10)/2)</f>
        <v/>
      </c>
    </row>
    <row r="10">
      <c r="A10" s="5" t="inlineStr">
        <is>
          <t>敏捷</t>
        </is>
      </c>
      <c r="B10" s="7" t="n">
        <v>10</v>
      </c>
      <c r="C10" s="9">
        <f>FLOOR.MATH((B10-10)/2)</f>
        <v/>
      </c>
    </row>
    <row r="11">
      <c r="A11" s="5" t="inlineStr">
        <is>
          <t>感知</t>
        </is>
      </c>
      <c r="B11" s="7" t="n">
        <v>16</v>
      </c>
      <c r="C11" s="9">
        <f>FLOOR.MATH((B11-10)/2)</f>
        <v/>
      </c>
    </row>
    <row r="12">
      <c r="A12" s="5" t="inlineStr">
        <is>
          <t>智力</t>
        </is>
      </c>
      <c r="B12" s="7" t="n">
        <v>6</v>
      </c>
      <c r="C12" s="9">
        <f>FLOOR.MATH((B12-10)/2)</f>
        <v/>
      </c>
    </row>
    <row r="13">
      <c r="A13" s="5" t="inlineStr">
        <is>
          <t>意志</t>
        </is>
      </c>
      <c r="B13" s="7" t="n">
        <v>18</v>
      </c>
      <c r="C13" s="9">
        <f>FLOOR.MATH((B13-10)/2)</f>
        <v/>
      </c>
    </row>
    <row r="14">
      <c r="A14" s="5" t="inlineStr">
        <is>
          <t>魅力</t>
        </is>
      </c>
      <c r="B14" s="7" t="n">
        <v>4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220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17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觸手×4</t>
        </is>
      </c>
      <c r="B22" s="7" t="inlineStr">
        <is>
          <t>+7</t>
        </is>
      </c>
      <c r="C22" s="7" t="inlineStr">
        <is>
          <t>1d10</t>
        </is>
      </c>
      <c r="D22" s="7" t="n">
        <v>5</v>
      </c>
      <c r="E22" s="7">
        <f>C22+D22</f>
        <v/>
      </c>
      <c r="F22" s="6" t="inlineStr">
        <is>
          <t>體質修正 每回合2-4次攻擊</t>
        </is>
      </c>
    </row>
    <row r="23">
      <c r="A23" s="6" t="inlineStr">
        <is>
          <t>吸收</t>
        </is>
      </c>
      <c r="B23" s="7" t="inlineStr">
        <is>
          <t>+5</t>
        </is>
      </c>
      <c r="C23" s="7" t="inlineStr">
        <is>
          <t>1d4(念量（SP）)</t>
        </is>
      </c>
      <c r="D23" s="7" t="n">
        <v>0</v>
      </c>
      <c r="E23" s="7">
        <f>C23+D23</f>
        <v/>
      </c>
      <c r="F23" s="6" t="inlineStr">
        <is>
          <t>命中後目標失去1d4念量（SP） 阿比薩爾回復等量HP</t>
        </is>
      </c>
    </row>
    <row r="24"/>
    <row r="25">
      <c r="A25" s="2" t="inlineStr">
        <is>
          <t>特殊能力</t>
        </is>
      </c>
      <c r="B25" s="3" t="n"/>
      <c r="C25" s="3" t="n"/>
      <c r="D25" s="3" t="n"/>
      <c r="E25" s="3" t="n"/>
      <c r="F25" s="4" t="n"/>
    </row>
    <row r="26">
      <c r="A26" s="6" t="inlineStr">
        <is>
          <t>部位系統：主體(HP100,AC17)、觸手×4(各HP30,AC15)、吸收口(HP50,AC13)、感知觸角(HP20,AC18)。</t>
        </is>
      </c>
      <c r="B26" s="3" t="n"/>
      <c r="C26" s="3" t="n"/>
      <c r="D26" s="3" t="n"/>
      <c r="E26" s="3" t="n"/>
      <c r="F26" s="4" t="n"/>
    </row>
    <row r="27">
      <c r="A27" s="6" t="inlineStr">
        <is>
          <t>弱點：硫磺（額外2d6火焰傷害）。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三階段：潛伏(觸手攻擊)→甦醒(4次攻擊/回合+空殼)→狂暴(吸收效果+移動力20m)。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空殼生成：吐出一回合前被吸收的生物空殼(CR1/2×d4)作為雜兵。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掉落 / 戰利品</t>
        </is>
      </c>
      <c r="B31" s="3" t="n"/>
      <c r="C31" s="3" t="n"/>
      <c r="D31" s="3" t="n"/>
      <c r="E31" s="3" t="n"/>
      <c r="F31" s="4" t="n"/>
    </row>
    <row r="32">
      <c r="A32" s="6" t="inlineStr">
        <is>
          <t>結晶核（念具材料）、硫磺結晶×2、刻有未知文字的石板（指向黑暗大陸座標）</t>
        </is>
      </c>
      <c r="B32" s="3" t="n"/>
      <c r="C32" s="3" t="n"/>
      <c r="D32" s="3" t="n"/>
      <c r="E32" s="3" t="n"/>
      <c r="F32" s="4" t="n"/>
    </row>
  </sheetData>
  <mergeCells count="12">
    <mergeCell ref="A28:F28"/>
    <mergeCell ref="A3:F3"/>
    <mergeCell ref="A1:F1"/>
    <mergeCell ref="A32:F32"/>
    <mergeCell ref="A27:F27"/>
    <mergeCell ref="A31:F3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敵方：結晶守護獸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結晶守護獸</t>
        </is>
      </c>
      <c r="C4" s="5" t="inlineStr">
        <is>
          <t>挑戰等級（CR）</t>
        </is>
      </c>
      <c r="D4" s="7" t="inlineStr">
        <is>
          <t>10</t>
        </is>
      </c>
    </row>
    <row r="5">
      <c r="A5" s="5" t="inlineStr">
        <is>
          <t>類型</t>
        </is>
      </c>
      <c r="B5" s="6" t="inlineStr">
        <is>
          <t>BOSS級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16</v>
      </c>
      <c r="C9" s="9">
        <f>FLOOR.MATH((B9-10)/2)</f>
        <v/>
      </c>
    </row>
    <row r="10">
      <c r="A10" s="5" t="inlineStr">
        <is>
          <t>敏捷</t>
        </is>
      </c>
      <c r="B10" s="7" t="n">
        <v>16</v>
      </c>
      <c r="C10" s="9">
        <f>FLOOR.MATH((B10-10)/2)</f>
        <v/>
      </c>
    </row>
    <row r="11">
      <c r="A11" s="5" t="inlineStr">
        <is>
          <t>感知</t>
        </is>
      </c>
      <c r="B11" s="7" t="n">
        <v>14</v>
      </c>
      <c r="C11" s="9">
        <f>FLOOR.MATH((B11-10)/2)</f>
        <v/>
      </c>
    </row>
    <row r="12">
      <c r="A12" s="5" t="inlineStr">
        <is>
          <t>智力</t>
        </is>
      </c>
      <c r="B12" s="7" t="n">
        <v>4</v>
      </c>
      <c r="C12" s="9">
        <f>FLOOR.MATH((B12-10)/2)</f>
        <v/>
      </c>
    </row>
    <row r="13">
      <c r="A13" s="5" t="inlineStr">
        <is>
          <t>意志</t>
        </is>
      </c>
      <c r="B13" s="7" t="n">
        <v>14</v>
      </c>
      <c r="C13" s="9">
        <f>FLOOR.MATH((B13-10)/2)</f>
        <v/>
      </c>
    </row>
    <row r="14">
      <c r="A14" s="5" t="inlineStr">
        <is>
          <t>魅力</t>
        </is>
      </c>
      <c r="B14" s="7" t="n">
        <v>4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120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18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結晶碎片散射</t>
        </is>
      </c>
      <c r="B22" s="7" t="inlineStr">
        <is>
          <t>反射DC17</t>
        </is>
      </c>
      <c r="C22" s="7" t="inlineStr">
        <is>
          <t>3d8</t>
        </is>
      </c>
      <c r="D22" s="7" t="n">
        <v>0</v>
      </c>
      <c r="E22" s="7">
        <f>C22+D22</f>
        <v/>
      </c>
      <c r="F22" s="6" t="inlineStr">
        <is>
          <t>範圍10m 反射DC17減半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結晶爆破：受到物理傷害時對攻擊者造成1d6反射傷害。</t>
        </is>
      </c>
      <c r="B25" s="3" t="n"/>
      <c r="C25" s="3" t="n"/>
      <c r="D25" s="3" t="n"/>
      <c r="E25" s="3" t="n"/>
      <c r="F25" s="4" t="n"/>
    </row>
    <row r="26"/>
    <row r="27">
      <c r="A27" s="2" t="inlineStr">
        <is>
          <t>掉落 / 戰利品</t>
        </is>
      </c>
      <c r="B27" s="3" t="n"/>
      <c r="C27" s="3" t="n"/>
      <c r="D27" s="3" t="n"/>
      <c r="E27" s="3" t="n"/>
      <c r="F27" s="4" t="n"/>
    </row>
    <row r="28">
      <c r="A28" s="6" t="inlineStr">
        <is>
          <t>記憶結晶碎片（消耗品：可詢問GM一個問題，答案真實但不一定完整）</t>
        </is>
      </c>
      <c r="B28" s="3" t="n"/>
      <c r="C28" s="3" t="n"/>
      <c r="D28" s="3" t="n"/>
      <c r="E28" s="3" t="n"/>
      <c r="F28" s="4" t="n"/>
    </row>
  </sheetData>
  <mergeCells count="9">
    <mergeCell ref="A24:F24"/>
    <mergeCell ref="A28:F28"/>
    <mergeCell ref="A1:F1"/>
    <mergeCell ref="A27:F27"/>
    <mergeCell ref="A3:F3"/>
    <mergeCell ref="A20:F20"/>
    <mergeCell ref="A15:F15"/>
    <mergeCell ref="A7:F7"/>
    <mergeCell ref="A25:F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敵方：結晶龍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結晶龍</t>
        </is>
      </c>
      <c r="C4" s="5" t="inlineStr">
        <is>
          <t>挑戰等級（CR）</t>
        </is>
      </c>
      <c r="D4" s="7" t="inlineStr">
        <is>
          <t>13</t>
        </is>
      </c>
    </row>
    <row r="5">
      <c r="A5" s="5" t="inlineStr">
        <is>
          <t>類型</t>
        </is>
      </c>
      <c r="B5" s="6" t="inlineStr">
        <is>
          <t>BOSS級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20</v>
      </c>
      <c r="C9" s="9">
        <f>FLOOR.MATH((B9-10)/2)</f>
        <v/>
      </c>
    </row>
    <row r="10">
      <c r="A10" s="5" t="inlineStr">
        <is>
          <t>敏捷</t>
        </is>
      </c>
      <c r="B10" s="7" t="n">
        <v>12</v>
      </c>
      <c r="C10" s="9">
        <f>FLOOR.MATH((B10-10)/2)</f>
        <v/>
      </c>
    </row>
    <row r="11">
      <c r="A11" s="5" t="inlineStr">
        <is>
          <t>感知</t>
        </is>
      </c>
      <c r="B11" s="7" t="n">
        <v>14</v>
      </c>
      <c r="C11" s="9">
        <f>FLOOR.MATH((B11-10)/2)</f>
        <v/>
      </c>
    </row>
    <row r="12">
      <c r="A12" s="5" t="inlineStr">
        <is>
          <t>智力</t>
        </is>
      </c>
      <c r="B12" s="7" t="n">
        <v>8</v>
      </c>
      <c r="C12" s="9">
        <f>FLOOR.MATH((B12-10)/2)</f>
        <v/>
      </c>
    </row>
    <row r="13">
      <c r="A13" s="5" t="inlineStr">
        <is>
          <t>意志</t>
        </is>
      </c>
      <c r="B13" s="7" t="n">
        <v>20</v>
      </c>
      <c r="C13" s="9">
        <f>FLOOR.MATH((B13-10)/2)</f>
        <v/>
      </c>
    </row>
    <row r="14">
      <c r="A14" s="5" t="inlineStr">
        <is>
          <t>魅力</t>
        </is>
      </c>
      <c r="B14" s="7" t="n">
        <v>6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250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20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結晶爪</t>
        </is>
      </c>
      <c r="B22" s="7" t="inlineStr">
        <is>
          <t>+8</t>
        </is>
      </c>
      <c r="C22" s="7" t="inlineStr">
        <is>
          <t>2d10</t>
        </is>
      </c>
      <c r="D22" s="7" t="n">
        <v>5</v>
      </c>
      <c r="E22" s="7">
        <f>C22+D22</f>
        <v/>
      </c>
      <c r="F22" s="6" t="inlineStr">
        <is>
          <t>體質修正</t>
        </is>
      </c>
    </row>
    <row r="23">
      <c r="A23" s="6" t="inlineStr">
        <is>
          <t>結晶化射線</t>
        </is>
      </c>
      <c r="B23" s="7" t="inlineStr">
        <is>
          <t>反射DC20</t>
        </is>
      </c>
      <c r="C23" s="7" t="inlineStr">
        <is>
          <t>(結晶化)</t>
        </is>
      </c>
      <c r="D23" s="7" t="n">
        <v>0</v>
      </c>
      <c r="E23" s="7">
        <f>C23+D23</f>
        <v/>
      </c>
      <c r="F23" s="6" t="inlineStr">
        <is>
          <t>直線30m 強韌DC20否則2次結晶化進度 2回合冷卻</t>
        </is>
      </c>
    </row>
    <row r="24"/>
    <row r="25">
      <c r="A25" s="2" t="inlineStr">
        <is>
          <t>特殊能力</t>
        </is>
      </c>
      <c r="B25" s="3" t="n"/>
      <c r="C25" s="3" t="n"/>
      <c r="D25" s="3" t="n"/>
      <c r="E25" s="3" t="n"/>
      <c r="F25" s="4" t="n"/>
    </row>
    <row r="26">
      <c r="A26" s="6" t="inlineStr">
        <is>
          <t>弱點：對火焰傷害無抗性。</t>
        </is>
      </c>
      <c r="B26" s="3" t="n"/>
      <c r="C26" s="3" t="n"/>
      <c r="D26" s="3" t="n"/>
      <c r="E26" s="3" t="n"/>
      <c r="F26" s="4" t="n"/>
    </row>
    <row r="27">
      <c r="A27" s="6" t="inlineStr">
        <is>
          <t>結晶化反傷：受到物理傷害時對攻擊者造成1d6反射傷害。</t>
        </is>
      </c>
      <c r="B27" s="3" t="n"/>
      <c r="C27" s="3" t="n"/>
      <c r="D27" s="3" t="n"/>
      <c r="E27" s="3" t="n"/>
      <c r="F27" s="4" t="n"/>
    </row>
    <row r="28"/>
    <row r="29">
      <c r="A29" s="2" t="inlineStr">
        <is>
          <t>掉落 / 戰利品</t>
        </is>
      </c>
      <c r="B29" s="3" t="n"/>
      <c r="C29" s="3" t="n"/>
      <c r="D29" s="3" t="n"/>
      <c r="E29" s="3" t="n"/>
      <c r="F29" s="4" t="n"/>
    </row>
    <row r="30">
      <c r="A30" s="6" t="inlineStr">
        <is>
          <t>逆結晶花（完全治癒結晶化症+12hr免疫）</t>
        </is>
      </c>
      <c r="B30" s="3" t="n"/>
      <c r="C30" s="3" t="n"/>
      <c r="D30" s="3" t="n"/>
      <c r="E30" s="3" t="n"/>
      <c r="F30" s="4" t="n"/>
    </row>
  </sheetData>
  <mergeCells count="10">
    <mergeCell ref="A3:F3"/>
    <mergeCell ref="A1:F1"/>
    <mergeCell ref="A27:F27"/>
    <mergeCell ref="A15:F15"/>
    <mergeCell ref="A26:F26"/>
    <mergeCell ref="A30:F30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敵方：金的核心（植物兵器）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金的核心</t>
        </is>
      </c>
    </row>
    <row r="5">
      <c r="A5" s="5" t="inlineStr">
        <is>
          <t>挑戰等級（CR）</t>
        </is>
      </c>
      <c r="B5" s="6" t="inlineStr">
        <is>
          <t>14</t>
        </is>
      </c>
    </row>
    <row r="6">
      <c r="A6" s="5" t="inlineStr">
        <is>
          <t>類型</t>
        </is>
      </c>
      <c r="B6" s="6" t="inlineStr">
        <is>
          <t>BOSS級（部位系統）</t>
        </is>
      </c>
    </row>
    <row r="7">
      <c r="A7" s="5" t="inlineStr">
        <is>
          <t>XP獎勵</t>
        </is>
      </c>
      <c r="B7" s="6" t="inlineStr">
        <is>
          <t>400 經驗點（XP）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20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12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18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4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16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2</v>
      </c>
      <c r="C15" s="9">
        <f>FLOOR.MATH((B15-10)/2)</f>
        <v/>
      </c>
    </row>
    <row r="16"/>
    <row r="17">
      <c r="A17" s="2" t="inlineStr">
        <is>
          <t>部位系統</t>
        </is>
      </c>
      <c r="B17" s="3" t="n"/>
      <c r="C17" s="3" t="n"/>
      <c r="D17" s="3" t="n"/>
      <c r="E17" s="3" t="n"/>
      <c r="F17" s="4" t="n"/>
    </row>
    <row r="18">
      <c r="A18" s="5" t="inlineStr">
        <is>
          <t>核心</t>
        </is>
      </c>
      <c r="B18" s="7" t="inlineStr">
        <is>
          <t>生命值（HP）: 300</t>
        </is>
      </c>
      <c r="C18" s="7" t="inlineStr">
        <is>
          <t>防禦等級（AC）: 18</t>
        </is>
      </c>
      <c r="D18" s="6" t="inlineStr">
        <is>
          <t>破壞後死亡</t>
        </is>
      </c>
    </row>
    <row r="19">
      <c r="A19" s="5" t="inlineStr">
        <is>
          <t>根系×6</t>
        </is>
      </c>
      <c r="B19" s="7" t="inlineStr">
        <is>
          <t>生命值（HP）: 各50</t>
        </is>
      </c>
      <c r="C19" s="7" t="inlineStr">
        <is>
          <t>防禦等級（AC）: 16</t>
        </is>
      </c>
      <c r="D19" s="6" t="inlineStr">
        <is>
          <t>全部破壞後核心AC-4 無法回復</t>
        </is>
      </c>
    </row>
    <row r="20"/>
    <row r="21"/>
    <row r="22">
      <c r="A22" s="8" t="inlineStr">
        <is>
          <t>攻擊名稱</t>
        </is>
      </c>
      <c r="B22" s="8" t="inlineStr">
        <is>
          <t>命中</t>
        </is>
      </c>
      <c r="C22" s="8" t="inlineStr">
        <is>
          <t>傷害骰</t>
        </is>
      </c>
      <c r="D22" s="8" t="inlineStr">
        <is>
          <t>傷害修正</t>
        </is>
      </c>
      <c r="E22" s="8" t="inlineStr">
        <is>
          <t>總傷害</t>
        </is>
      </c>
      <c r="F22" s="8" t="inlineStr">
        <is>
          <t>備註</t>
        </is>
      </c>
    </row>
    <row r="23">
      <c r="A23" s="6" t="inlineStr">
        <is>
          <t>藤蔓鞭擊（×3/回合）</t>
        </is>
      </c>
      <c r="B23" s="7" t="inlineStr">
        <is>
          <t>d20+10</t>
        </is>
      </c>
      <c r="C23" s="7" t="inlineStr">
        <is>
          <t>2d8</t>
        </is>
      </c>
      <c r="D23" s="7" t="n">
        <v>5</v>
      </c>
      <c r="E23" s="7">
        <f>C23+D23</f>
        <v/>
      </c>
      <c r="F23" s="6" t="inlineStr">
        <is>
          <t>穿刺 每回合3次攻擊</t>
        </is>
      </c>
    </row>
    <row r="24"/>
    <row r="25">
      <c r="A25" s="6" t="inlineStr">
        <is>
          <t>學習機制：每回合分析PC攻擊類型，該類型抗性+2（上限+6）。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針對防禦：第3回合起長出針對性防禦結構。</t>
        </is>
      </c>
      <c r="B26" s="3" t="n"/>
      <c r="C26" s="3" t="n"/>
      <c r="D26" s="3" t="n"/>
      <c r="E26" s="3" t="n"/>
      <c r="F26" s="4" t="n"/>
    </row>
    <row r="27">
      <c r="A27" s="6" t="inlineStr">
        <is>
          <t>模仿念能力：第4回合起模仿PC念能力雛形（SP消耗加倍）。</t>
        </is>
      </c>
      <c r="B27" s="3" t="n"/>
      <c r="C27" s="3" t="n"/>
      <c r="D27" s="3" t="n"/>
      <c r="E27" s="3" t="n"/>
      <c r="F27" s="4" t="n"/>
    </row>
    <row r="28">
      <c r="A28" s="6" t="inlineStr">
        <is>
          <t>孢子標記：自動標記所有進入領域的生物。可用念能力DC20或絕10分鐘清除。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弱點：無法學習從未見過的攻擊；清除孢子後需1回合重新分析。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掉落</t>
        </is>
      </c>
      <c r="B31" s="3" t="n"/>
      <c r="C31" s="3" t="n"/>
      <c r="D31" s="3" t="n"/>
      <c r="E31" s="3" t="n"/>
      <c r="F31" s="4" t="n"/>
    </row>
    <row r="32">
      <c r="A32" s="6" t="inlineStr">
        <is>
          <t>金的種子（種下後1小時長出防禦結界，24hr內全體AC+3）、經驗點（XP） 30-40</t>
        </is>
      </c>
      <c r="B32" s="3" t="n"/>
      <c r="C32" s="3" t="n"/>
      <c r="D32" s="3" t="n"/>
      <c r="E32" s="3" t="n"/>
      <c r="F32" s="4" t="n"/>
    </row>
  </sheetData>
  <mergeCells count="11">
    <mergeCell ref="A28:F28"/>
    <mergeCell ref="A3:F3"/>
    <mergeCell ref="A1:F1"/>
    <mergeCell ref="A32:F32"/>
    <mergeCell ref="A27:F27"/>
    <mergeCell ref="A8:F8"/>
    <mergeCell ref="A31:F31"/>
    <mergeCell ref="A17:F17"/>
    <mergeCell ref="A26:F26"/>
    <mergeCell ref="A29:F29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敵方：阿比薩爾·空殼</t>
        </is>
      </c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敵人名稱</t>
        </is>
      </c>
      <c r="B4" s="6" t="inlineStr">
        <is>
          <t>阿比薩爾·空殼</t>
        </is>
      </c>
      <c r="C4" s="5" t="inlineStr">
        <is>
          <t>挑戰等級（CR）</t>
        </is>
      </c>
      <c r="D4" s="7" t="inlineStr">
        <is>
          <t>1/2</t>
        </is>
      </c>
    </row>
    <row r="5">
      <c r="A5" s="5" t="inlineStr">
        <is>
          <t>類型</t>
        </is>
      </c>
      <c r="B5" s="6" t="inlineStr">
        <is>
          <t>雜魚級（召喚物）</t>
        </is>
      </c>
    </row>
    <row r="6"/>
    <row r="7">
      <c r="A7" s="2" t="inlineStr">
        <is>
          <t>基礎屬性</t>
        </is>
      </c>
      <c r="B7" s="3" t="n"/>
      <c r="C7" s="3" t="n"/>
      <c r="D7" s="3" t="n"/>
      <c r="E7" s="3" t="n"/>
      <c r="F7" s="4" t="n"/>
    </row>
    <row r="8">
      <c r="A8" s="8" t="inlineStr">
        <is>
          <t>屬性</t>
        </is>
      </c>
      <c r="B8" s="8" t="inlineStr">
        <is>
          <t>數值</t>
        </is>
      </c>
      <c r="C8" s="8" t="inlineStr">
        <is>
          <t>修正值</t>
        </is>
      </c>
    </row>
    <row r="9">
      <c r="A9" s="5" t="inlineStr">
        <is>
          <t>體質</t>
        </is>
      </c>
      <c r="B9" s="7" t="n">
        <v>12</v>
      </c>
      <c r="C9" s="9">
        <f>FLOOR.MATH((B9-10)/2)</f>
        <v/>
      </c>
    </row>
    <row r="10">
      <c r="A10" s="5" t="inlineStr">
        <is>
          <t>敏捷</t>
        </is>
      </c>
      <c r="B10" s="7" t="n">
        <v>8</v>
      </c>
      <c r="C10" s="9">
        <f>FLOOR.MATH((B10-10)/2)</f>
        <v/>
      </c>
    </row>
    <row r="11">
      <c r="A11" s="5" t="inlineStr">
        <is>
          <t>感知</t>
        </is>
      </c>
      <c r="B11" s="7" t="n">
        <v>4</v>
      </c>
      <c r="C11" s="9">
        <f>FLOOR.MATH((B11-10)/2)</f>
        <v/>
      </c>
    </row>
    <row r="12">
      <c r="A12" s="5" t="inlineStr">
        <is>
          <t>智力</t>
        </is>
      </c>
      <c r="B12" s="7" t="n">
        <v>1</v>
      </c>
      <c r="C12" s="9">
        <f>FLOOR.MATH((B12-10)/2)</f>
        <v/>
      </c>
    </row>
    <row r="13">
      <c r="A13" s="5" t="inlineStr">
        <is>
          <t>意志</t>
        </is>
      </c>
      <c r="B13" s="7" t="n">
        <v>4</v>
      </c>
      <c r="C13" s="9">
        <f>FLOOR.MATH((B13-10)/2)</f>
        <v/>
      </c>
    </row>
    <row r="14">
      <c r="A14" s="5" t="inlineStr">
        <is>
          <t>魅力</t>
        </is>
      </c>
      <c r="B14" s="7" t="n">
        <v>1</v>
      </c>
      <c r="C14" s="9">
        <f>FLOOR.MATH((B14-10)/2)</f>
        <v/>
      </c>
    </row>
    <row r="15">
      <c r="A15" s="2" t="inlineStr">
        <is>
          <t>戰鬥數值</t>
        </is>
      </c>
      <c r="B15" s="3" t="n"/>
      <c r="C15" s="3" t="n"/>
      <c r="D15" s="3" t="n"/>
      <c r="E15" s="3" t="n"/>
      <c r="F15" s="4" t="n"/>
    </row>
    <row r="16">
      <c r="A16" s="5" t="inlineStr">
        <is>
          <t>生命值（HP）</t>
        </is>
      </c>
      <c r="B16" s="7" t="n">
        <v>25</v>
      </c>
      <c r="C16" s="5" t="inlineStr">
        <is>
          <t>念量（SP）（自動）</t>
        </is>
      </c>
      <c r="D16" s="7">
        <f>B14*5+10</f>
        <v/>
      </c>
    </row>
    <row r="17">
      <c r="A17" s="5" t="inlineStr">
        <is>
          <t>防禦等級（AC）</t>
        </is>
      </c>
      <c r="B17" s="7" t="n">
        <v>10</v>
      </c>
      <c r="C17" s="5" t="inlineStr">
        <is>
          <t>先攻（自動）</t>
        </is>
      </c>
      <c r="D17" s="7">
        <f>C9+C10</f>
        <v/>
      </c>
    </row>
    <row r="18">
      <c r="A18" s="5" t="inlineStr">
        <is>
          <t>念防禦（自動）</t>
        </is>
      </c>
      <c r="B18" s="7">
        <f>C14</f>
        <v/>
      </c>
      <c r="C18" s="5" t="inlineStr">
        <is>
          <t>移動力</t>
        </is>
      </c>
      <c r="D18" s="7">
        <f>B9</f>
        <v/>
      </c>
    </row>
    <row r="19"/>
    <row r="20">
      <c r="A20" s="2" t="inlineStr">
        <is>
          <t>攻擊</t>
        </is>
      </c>
      <c r="B20" s="3" t="n"/>
      <c r="C20" s="3" t="n"/>
      <c r="D20" s="3" t="n"/>
      <c r="E20" s="3" t="n"/>
      <c r="F20" s="4" t="n"/>
    </row>
    <row r="21">
      <c r="A21" s="8" t="inlineStr">
        <is>
          <t>攻擊名稱</t>
        </is>
      </c>
      <c r="B21" s="8" t="inlineStr">
        <is>
          <t>命中加值</t>
        </is>
      </c>
      <c r="C21" s="8" t="inlineStr">
        <is>
          <t>傷害骰</t>
        </is>
      </c>
      <c r="D21" s="8" t="inlineStr">
        <is>
          <t>傷害修正</t>
        </is>
      </c>
      <c r="E21" s="8" t="inlineStr">
        <is>
          <t>總傷害</t>
        </is>
      </c>
      <c r="F21" s="8" t="inlineStr">
        <is>
          <t>備註</t>
        </is>
      </c>
    </row>
    <row r="22">
      <c r="A22" s="6" t="inlineStr">
        <is>
          <t>撞擊</t>
        </is>
      </c>
      <c r="B22" s="7" t="inlineStr">
        <is>
          <t>+1</t>
        </is>
      </c>
      <c r="C22" s="7" t="inlineStr">
        <is>
          <t>1d6</t>
        </is>
      </c>
      <c r="D22" s="7" t="n">
        <v>1</v>
      </c>
      <c r="E22" s="7">
        <f>C22+D22</f>
        <v/>
      </c>
      <c r="F22" s="6" t="inlineStr">
        <is>
          <t>緩慢移動</t>
        </is>
      </c>
    </row>
    <row r="23"/>
    <row r="24">
      <c r="A24" s="2" t="inlineStr">
        <is>
          <t>特殊能力</t>
        </is>
      </c>
      <c r="B24" s="3" t="n"/>
      <c r="C24" s="3" t="n"/>
      <c r="D24" s="3" t="n"/>
      <c r="E24" s="3" t="n"/>
      <c r="F24" s="4" t="n"/>
    </row>
    <row r="25">
      <c r="A25" s="6" t="inlineStr">
        <is>
          <t>殘留念場：被破壞後釋放，範圍內意志DC12否則恐懼Lv.1。</t>
        </is>
      </c>
      <c r="B25" s="3" t="n"/>
      <c r="C25" s="3" t="n"/>
      <c r="D25" s="3" t="n"/>
      <c r="E25" s="3" t="n"/>
      <c r="F25" s="4" t="n"/>
    </row>
    <row r="26">
      <c r="A26" s="6" t="inlineStr">
        <is>
          <t>數量：阿比薩爾甦醒階段每回合生成d4隻。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掉落 / 戰利品</t>
        </is>
      </c>
      <c r="B28" s="3" t="n"/>
      <c r="C28" s="3" t="n"/>
      <c r="D28" s="3" t="n"/>
      <c r="E28" s="3" t="n"/>
      <c r="F28" s="4" t="n"/>
    </row>
    <row r="29">
      <c r="A29" s="6" t="inlineStr">
        <is>
          <t>無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獵人 TRPG  敵方：雙尾蛇·黑爾貝爾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基本資訊</t>
        </is>
      </c>
      <c r="B3" s="3" t="n"/>
      <c r="C3" s="3" t="n"/>
      <c r="D3" s="3" t="n"/>
      <c r="E3" s="3" t="n"/>
      <c r="F3" s="4" t="n"/>
    </row>
    <row r="4">
      <c r="A4" s="5" t="inlineStr">
        <is>
          <t>名稱</t>
        </is>
      </c>
      <c r="B4" s="6" t="inlineStr">
        <is>
          <t>雙尾蛇·黑爾貝爾</t>
        </is>
      </c>
    </row>
    <row r="5">
      <c r="A5" s="5" t="inlineStr">
        <is>
          <t>挑戰等級（CR）</t>
        </is>
      </c>
      <c r="B5" s="6" t="inlineStr">
        <is>
          <t>18</t>
        </is>
      </c>
    </row>
    <row r="6">
      <c r="A6" s="5" t="inlineStr">
        <is>
          <t>類型</t>
        </is>
      </c>
      <c r="B6" s="6" t="inlineStr">
        <is>
          <t>傳說級（部位系統討伐）</t>
        </is>
      </c>
    </row>
    <row r="7">
      <c r="A7" s="5" t="inlineStr">
        <is>
          <t>XP獎勵</t>
        </is>
      </c>
      <c r="B7" s="6" t="inlineStr">
        <is>
          <t>800 經驗點（XP）</t>
        </is>
      </c>
    </row>
    <row r="8">
      <c r="A8" s="2" t="inlineStr">
        <is>
          <t>基礎屬性</t>
        </is>
      </c>
      <c r="B8" s="3" t="n"/>
      <c r="C8" s="3" t="n"/>
      <c r="D8" s="3" t="n"/>
      <c r="E8" s="3" t="n"/>
      <c r="F8" s="4" t="n"/>
    </row>
    <row r="9">
      <c r="A9" s="8" t="inlineStr">
        <is>
          <t>屬性</t>
        </is>
      </c>
      <c r="B9" s="8" t="inlineStr">
        <is>
          <t>數值</t>
        </is>
      </c>
      <c r="C9" s="8" t="inlineStr">
        <is>
          <t>修正值</t>
        </is>
      </c>
    </row>
    <row r="10">
      <c r="A10" s="5" t="inlineStr">
        <is>
          <t>體質 體質（CON）</t>
        </is>
      </c>
      <c r="B10" s="7" t="n">
        <v>24</v>
      </c>
      <c r="C10" s="9">
        <f>FLOOR.MATH((B10-10)/2)</f>
        <v/>
      </c>
    </row>
    <row r="11">
      <c r="A11" s="5" t="inlineStr">
        <is>
          <t>敏捷 敏捷（DEX）</t>
        </is>
      </c>
      <c r="B11" s="7" t="n">
        <v>16</v>
      </c>
      <c r="C11" s="9">
        <f>FLOOR.MATH((B11-10)/2)</f>
        <v/>
      </c>
    </row>
    <row r="12">
      <c r="A12" s="5" t="inlineStr">
        <is>
          <t>感知 感知（PER）</t>
        </is>
      </c>
      <c r="B12" s="7" t="n">
        <v>14</v>
      </c>
      <c r="C12" s="9">
        <f>FLOOR.MATH((B12-10)/2)</f>
        <v/>
      </c>
    </row>
    <row r="13">
      <c r="A13" s="5" t="inlineStr">
        <is>
          <t>智力 智力（INT）</t>
        </is>
      </c>
      <c r="B13" s="7" t="n">
        <v>6</v>
      </c>
      <c r="C13" s="9">
        <f>FLOOR.MATH((B13-10)/2)</f>
        <v/>
      </c>
    </row>
    <row r="14">
      <c r="A14" s="5" t="inlineStr">
        <is>
          <t>意志 意志（WIL）</t>
        </is>
      </c>
      <c r="B14" s="7" t="n">
        <v>12</v>
      </c>
      <c r="C14" s="9">
        <f>FLOOR.MATH((B14-10)/2)</f>
        <v/>
      </c>
    </row>
    <row r="15">
      <c r="A15" s="5" t="inlineStr">
        <is>
          <t>魅力 魅力（CHA）</t>
        </is>
      </c>
      <c r="B15" s="7" t="n">
        <v>2</v>
      </c>
      <c r="C15" s="9">
        <f>FLOOR.MATH((B15-10)/2)</f>
        <v/>
      </c>
    </row>
    <row r="16"/>
    <row r="17">
      <c r="A17" s="2" t="inlineStr">
        <is>
          <t>部位系統（合計HP 500）</t>
        </is>
      </c>
      <c r="B17" s="3" t="n"/>
      <c r="C17" s="3" t="n"/>
      <c r="D17" s="3" t="n"/>
      <c r="E17" s="3" t="n"/>
      <c r="F17" s="4" t="n"/>
    </row>
    <row r="18">
      <c r="A18" s="5" t="inlineStr">
        <is>
          <t>頭部</t>
        </is>
      </c>
      <c r="B18" s="7" t="inlineStr">
        <is>
          <t>生命值（HP）: 200</t>
        </is>
      </c>
      <c r="C18" s="7" t="inlineStr">
        <is>
          <t>防禦等級（AC）: 22</t>
        </is>
      </c>
      <c r="D18" s="6" t="inlineStr">
        <is>
          <t>破壞後無法吞噬</t>
        </is>
      </c>
    </row>
    <row r="19">
      <c r="A19" s="5" t="inlineStr">
        <is>
          <t>身體（核心）</t>
        </is>
      </c>
      <c r="B19" s="7" t="inlineStr">
        <is>
          <t>生命值（HP）: 300</t>
        </is>
      </c>
      <c r="C19" s="7" t="inlineStr">
        <is>
          <t>防禦等級（AC）: 20</t>
        </is>
      </c>
      <c r="D19" s="6" t="inlineStr">
        <is>
          <t>破壞後死亡</t>
        </is>
      </c>
    </row>
    <row r="20">
      <c r="A20" s="5" t="inlineStr">
        <is>
          <t>左尾（物質消化）</t>
        </is>
      </c>
      <c r="B20" s="7" t="inlineStr">
        <is>
          <t>生命值（HP）: 120</t>
        </is>
      </c>
      <c r="C20" s="7" t="inlineStr">
        <is>
          <t>防禦等級（AC）: 18</t>
        </is>
      </c>
      <c r="D20" s="6" t="inlineStr">
        <is>
          <t>破壞後物理抗性消失</t>
        </is>
      </c>
    </row>
    <row r="21">
      <c r="A21" s="5" t="inlineStr">
        <is>
          <t>右尾（念消化）</t>
        </is>
      </c>
      <c r="B21" s="7" t="inlineStr">
        <is>
          <t>生命值（HP）: 120</t>
        </is>
      </c>
      <c r="C21" s="7" t="inlineStr">
        <is>
          <t>防禦等級（AC）: 18</t>
        </is>
      </c>
      <c r="D21" s="6" t="inlineStr">
        <is>
          <t>破壞後念攻擊抗性消失</t>
        </is>
      </c>
    </row>
    <row r="22"/>
    <row r="23">
      <c r="A23" s="8" t="inlineStr">
        <is>
          <t>攻擊名稱</t>
        </is>
      </c>
      <c r="B23" s="8" t="inlineStr">
        <is>
          <t>命中</t>
        </is>
      </c>
      <c r="C23" s="8" t="inlineStr">
        <is>
          <t>傷害骰</t>
        </is>
      </c>
      <c r="D23" s="8" t="inlineStr">
        <is>
          <t>傷害修正</t>
        </is>
      </c>
      <c r="E23" s="8" t="inlineStr">
        <is>
          <t>總傷害</t>
        </is>
      </c>
      <c r="F23" s="8" t="inlineStr">
        <is>
          <t>備註</t>
        </is>
      </c>
    </row>
    <row r="24">
      <c r="A24" s="6" t="inlineStr">
        <is>
          <t>吞噬（頭部）</t>
        </is>
      </c>
      <c r="B24" s="7" t="inlineStr">
        <is>
          <t>d20+12</t>
        </is>
      </c>
      <c r="C24" s="7" t="inlineStr">
        <is>
          <t>4d10</t>
        </is>
      </c>
      <c r="D24" s="7" t="n">
        <v>7</v>
      </c>
      <c r="E24" s="7">
        <f>C24+D24</f>
        <v/>
      </c>
      <c r="F24" s="6" t="inlineStr">
        <is>
          <t>強韌DC22否則被吞（每回合4d6酸蝕）</t>
        </is>
      </c>
    </row>
    <row r="25">
      <c r="A25" s="6" t="inlineStr">
        <is>
          <t>尾掃（雙尾 範圍20m）</t>
        </is>
      </c>
      <c r="B25" s="7" t="inlineStr">
        <is>
          <t>d20+10</t>
        </is>
      </c>
      <c r="C25" s="7" t="inlineStr">
        <is>
          <t>3d10</t>
        </is>
      </c>
      <c r="D25" s="7" t="n">
        <v>7</v>
      </c>
      <c r="E25" s="7">
        <f>C25+D25</f>
        <v/>
      </c>
      <c r="F25" s="6" t="inlineStr">
        <is>
          <t>反射DC18減半</t>
        </is>
      </c>
    </row>
    <row r="26">
      <c r="A26" s="6" t="inlineStr">
        <is>
          <t>念吸收（右尾 範圍30m）</t>
        </is>
      </c>
      <c r="B26" s="7" t="inlineStr">
        <is>
          <t>自動命中</t>
        </is>
      </c>
      <c r="C26" s="7" t="inlineStr">
        <is>
          <t>念量（SP）-2d6</t>
        </is>
      </c>
      <c r="D26" s="7" t="n">
        <v>0</v>
      </c>
      <c r="E26" s="7">
        <f>C26+D26</f>
        <v/>
      </c>
      <c r="F26" s="6" t="inlineStr">
        <is>
          <t>黑爾貝爾回復等量HP</t>
        </is>
      </c>
    </row>
    <row r="27"/>
    <row r="28">
      <c r="A28" s="6" t="inlineStr">
        <is>
          <t>每回合3次行動（從以上攻擊中選擇）。</t>
        </is>
      </c>
      <c r="B28" s="3" t="n"/>
      <c r="C28" s="3" t="n"/>
      <c r="D28" s="3" t="n"/>
      <c r="E28" s="3" t="n"/>
      <c r="F28" s="4" t="n"/>
    </row>
    <row r="29">
      <c r="A29" s="6" t="inlineStr">
        <is>
          <t>弱點：沉睡期間AC-4、先攻-5。</t>
        </is>
      </c>
      <c r="B29" s="3" t="n"/>
      <c r="C29" s="3" t="n"/>
      <c r="D29" s="3" t="n"/>
      <c r="E29" s="3" t="n"/>
      <c r="F29" s="4" t="n"/>
    </row>
    <row r="30">
      <c r="A30" s="6" t="inlineStr">
        <is>
          <t>雙尾聯結神經（察覺DC20）：同時攻擊雙尾時傷害×1.5。</t>
        </is>
      </c>
      <c r="B30" s="3" t="n"/>
      <c r="C30" s="3" t="n"/>
      <c r="D30" s="3" t="n"/>
      <c r="E30" s="3" t="n"/>
      <c r="F30" s="4" t="n"/>
    </row>
    <row r="31">
      <c r="A31" s="6" t="inlineStr">
        <is>
          <t>鱗片護甲：物理攻擊減傷 -5。</t>
        </is>
      </c>
      <c r="B31" s="3" t="n"/>
      <c r="C31" s="3" t="n"/>
      <c r="D31" s="3" t="n"/>
      <c r="E31" s="3" t="n"/>
      <c r="F31" s="4" t="n"/>
    </row>
    <row r="32"/>
    <row r="33">
      <c r="A33" s="2" t="inlineStr">
        <is>
          <t>掉落</t>
        </is>
      </c>
      <c r="B33" s="3" t="n"/>
      <c r="C33" s="3" t="n"/>
      <c r="D33" s="3" t="n"/>
      <c r="E33" s="3" t="n"/>
      <c r="F33" s="4" t="n"/>
    </row>
    <row r="34">
      <c r="A34" s="6" t="inlineStr">
        <is>
          <t>黑爾貝爾鱗片×10（AC+3 念防禦+2防具材料）、雙尾結晶（吸收型念具材料）、經驗點（XP） 60-80</t>
        </is>
      </c>
      <c r="B34" s="3" t="n"/>
      <c r="C34" s="3" t="n"/>
      <c r="D34" s="3" t="n"/>
      <c r="E34" s="3" t="n"/>
      <c r="F34" s="4" t="n"/>
    </row>
  </sheetData>
  <mergeCells count="10">
    <mergeCell ref="A33:F33"/>
    <mergeCell ref="A28:F28"/>
    <mergeCell ref="A1:F1"/>
    <mergeCell ref="A8:F8"/>
    <mergeCell ref="A31:F31"/>
    <mergeCell ref="A17:F17"/>
    <mergeCell ref="A34:F34"/>
    <mergeCell ref="A3:F3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2026-06-21T15:45:35Z</dcterms:created>
  <dcterms:modified xsi:type="dcterms:W3CDTF">2026-07-18T14:30:39Z</dcterms:modified>
</cp:coreProperties>
</file>