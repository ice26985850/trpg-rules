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模板" sheetId="1" state="visible" r:id="rId1"/>
    <sheet name="人形使いの瑪莉" sheetId="2" state="visible" r:id="rId2"/>
    <sheet name="剛拳の格倫" sheetId="3" state="visible" r:id="rId3"/>
    <sheet name="幻惑の美月" sheetId="4" state="visible" r:id="rId4"/>
    <sheet name="念彈の蓮" sheetId="5" state="visible" r:id="rId5"/>
    <sheet name="鎖匠の凱" sheetId="6" state="visible" r:id="rId6"/>
    <sheet name="預見のシン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right/>
      <bottom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7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HUNTER×HUNTER TRPG  玩家角色卡</t>
        </is>
      </c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5" t="inlineStr">
        <is>
          <t>姓名</t>
        </is>
      </c>
      <c r="B4" s="6" t="n"/>
      <c r="C4" s="3" t="n"/>
      <c r="D4" s="4" t="n"/>
      <c r="E4" s="5" t="inlineStr">
        <is>
          <t>系別</t>
        </is>
      </c>
      <c r="F4" s="6" t="n"/>
      <c r="G4" s="3" t="n"/>
      <c r="H4" s="4" t="n"/>
    </row>
    <row r="5">
      <c r="A5" s="7" t="inlineStr">
        <is>
          <t>獵人領域</t>
        </is>
      </c>
      <c r="B5" s="8" t="n"/>
      <c r="C5" s="3" t="n"/>
      <c r="D5" s="4" t="n"/>
      <c r="E5" s="7" t="inlineStr">
        <is>
          <t>成長階段</t>
        </is>
      </c>
      <c r="F5" s="8" t="n"/>
      <c r="G5" s="3" t="n"/>
      <c r="H5" s="4" t="n"/>
    </row>
    <row r="6">
      <c r="A6" s="7" t="inlineStr">
        <is>
          <t>累計XP</t>
        </is>
      </c>
      <c r="B6" s="8" t="n"/>
      <c r="C6" s="3" t="n"/>
      <c r="D6" s="4" t="n"/>
      <c r="E6" s="7" t="inlineStr">
        <is>
          <t>BP上限</t>
        </is>
      </c>
      <c r="F6" s="8" t="n"/>
      <c r="G6" s="3" t="n"/>
      <c r="H6" s="4" t="n"/>
    </row>
    <row r="7">
      <c r="A7" s="2" t="inlineStr">
        <is>
          <t>基礎屬性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4" t="n"/>
    </row>
    <row r="8">
      <c r="A8" s="9" t="inlineStr">
        <is>
          <t>屬性</t>
        </is>
      </c>
      <c r="B8" s="9" t="inlineStr">
        <is>
          <t>數值</t>
        </is>
      </c>
      <c r="C8" s="9" t="inlineStr">
        <is>
          <t>修正值</t>
        </is>
      </c>
      <c r="D8" s="9" t="inlineStr">
        <is>
          <t>屬性</t>
        </is>
      </c>
      <c r="E8" s="9" t="inlineStr">
        <is>
          <t>數值</t>
        </is>
      </c>
      <c r="F8" s="9" t="inlineStr">
        <is>
          <t>修正值</t>
        </is>
      </c>
    </row>
    <row r="9">
      <c r="A9" s="7" t="inlineStr">
        <is>
          <t>體質 體質（CON）</t>
        </is>
      </c>
      <c r="B9" s="8" t="n">
        <v>8</v>
      </c>
      <c r="C9" s="10">
        <f>FLOOR.MATH((B9-10)/2)</f>
        <v/>
      </c>
      <c r="D9" s="7" t="inlineStr">
        <is>
          <t>智力 智力（INT）</t>
        </is>
      </c>
      <c r="E9" s="8" t="n">
        <v>8</v>
      </c>
      <c r="F9" s="10">
        <f>FLOOR.MATH((E9-10)/2)</f>
        <v/>
      </c>
    </row>
    <row r="10">
      <c r="A10" s="7" t="inlineStr">
        <is>
          <t>敏捷 敏捷（DEX）</t>
        </is>
      </c>
      <c r="B10" s="8" t="n">
        <v>8</v>
      </c>
      <c r="C10" s="10">
        <f>FLOOR.MATH((B10-10)/2)</f>
        <v/>
      </c>
      <c r="D10" s="7" t="inlineStr">
        <is>
          <t>感知 感知（PER）</t>
        </is>
      </c>
      <c r="E10" s="8" t="n">
        <v>8</v>
      </c>
      <c r="F10" s="10">
        <f>FLOOR.MATH((E10-10)/2)</f>
        <v/>
      </c>
    </row>
    <row r="11">
      <c r="A11" s="7" t="inlineStr">
        <is>
          <t>意志 意志（WIL）</t>
        </is>
      </c>
      <c r="B11" s="8" t="n">
        <v>8</v>
      </c>
      <c r="C11" s="10">
        <f>FLOOR.MATH((B11-10)/2)</f>
        <v/>
      </c>
      <c r="D11" s="7" t="inlineStr">
        <is>
          <t>魅力 魅力（CHA）</t>
        </is>
      </c>
      <c r="E11" s="8" t="n">
        <v>8</v>
      </c>
      <c r="F11" s="10">
        <f>FLOOR.MATH((E11-10)/2)</f>
        <v/>
      </c>
    </row>
    <row r="12"/>
    <row r="13">
      <c r="A13" s="2" t="inlineStr">
        <is>
          <t>衍生屬性</t>
        </is>
      </c>
      <c r="B13" s="3" t="n"/>
      <c r="C13" s="3" t="n"/>
      <c r="D13" s="3" t="n"/>
      <c r="E13" s="3" t="n"/>
      <c r="F13" s="4" t="n"/>
    </row>
    <row r="14">
      <c r="A14" s="7" t="inlineStr">
        <is>
          <t>生命值（HP）</t>
        </is>
      </c>
      <c r="B14" s="8">
        <f>B9*5+10</f>
        <v/>
      </c>
    </row>
    <row r="15">
      <c r="A15" s="7" t="inlineStr">
        <is>
          <t>念量（SP）</t>
        </is>
      </c>
      <c r="B15" s="8">
        <f>B11*5+10</f>
        <v/>
      </c>
    </row>
    <row r="16">
      <c r="A16" s="7" t="inlineStr">
        <is>
          <t>防禦等級（AC）</t>
        </is>
      </c>
      <c r="B16" s="8">
        <f>10+C10+D20</f>
        <v/>
      </c>
    </row>
    <row r="17">
      <c r="A17" s="7" t="inlineStr">
        <is>
          <t>先攻值</t>
        </is>
      </c>
      <c r="B17" s="8">
        <f>C10+F10</f>
        <v/>
      </c>
    </row>
    <row r="18">
      <c r="A18" s="7" t="inlineStr">
        <is>
          <t>念防禦（ND）</t>
        </is>
      </c>
      <c r="B18" s="8">
        <f>F11+D20</f>
        <v/>
      </c>
    </row>
    <row r="19">
      <c r="A19" s="7" t="inlineStr">
        <is>
          <t>移動力</t>
        </is>
      </c>
      <c r="B19" s="8">
        <f>B10</f>
        <v/>
      </c>
    </row>
    <row r="20"/>
    <row r="21">
      <c r="A21" s="2" t="inlineStr">
        <is>
          <t>四大行</t>
        </is>
      </c>
      <c r="B21" s="3" t="n"/>
      <c r="C21" s="3" t="n"/>
      <c r="D21" s="3" t="n"/>
      <c r="E21" s="3" t="n"/>
      <c r="F21" s="4" t="n"/>
    </row>
    <row r="22">
      <c r="A22" s="9" t="inlineStr">
        <is>
          <t>技術</t>
        </is>
      </c>
      <c r="B22" s="9" t="inlineStr">
        <is>
          <t>等級</t>
        </is>
      </c>
      <c r="C22" s="9" t="inlineStr">
        <is>
          <t>SP消耗</t>
        </is>
      </c>
      <c r="D22" s="9" t="inlineStr">
        <is>
          <t>念防禦加成（輸入）</t>
        </is>
      </c>
    </row>
    <row r="23">
      <c r="A23" s="7" t="inlineStr">
        <is>
          <t>纏（Ten）</t>
        </is>
      </c>
      <c r="B23" s="8" t="n"/>
      <c r="C23" s="8" t="n"/>
      <c r="D23" s="8" t="n"/>
    </row>
    <row r="24">
      <c r="A24" s="7" t="inlineStr">
        <is>
          <t>絕（Zetsu）</t>
        </is>
      </c>
      <c r="B24" s="8" t="n"/>
      <c r="C24" s="8" t="n"/>
      <c r="D24" s="8" t="n"/>
    </row>
    <row r="25">
      <c r="A25" s="7" t="inlineStr">
        <is>
          <t>練（Ren）</t>
        </is>
      </c>
      <c r="B25" s="8" t="n"/>
      <c r="C25" s="8" t="n"/>
      <c r="D25" s="8" t="n"/>
    </row>
    <row r="26">
      <c r="A26" s="7" t="inlineStr">
        <is>
          <t>發（Hatsu）</t>
        </is>
      </c>
      <c r="B26" s="8" t="n"/>
      <c r="C26" s="8" t="n"/>
      <c r="D26" s="8" t="n"/>
    </row>
    <row r="27"/>
    <row r="28">
      <c r="A28" s="7" t="inlineStr">
        <is>
          <t>四大行熟練度加成總和</t>
        </is>
      </c>
      <c r="D28" s="8">
        <f>SUM(D23:D26)</f>
        <v/>
      </c>
    </row>
    <row r="29"/>
    <row r="30">
      <c r="A30" s="2" t="inlineStr">
        <is>
          <t>高階應用技</t>
        </is>
      </c>
      <c r="B30" s="3" t="n"/>
      <c r="C30" s="3" t="n"/>
      <c r="D30" s="3" t="n"/>
      <c r="E30" s="3" t="n"/>
      <c r="F30" s="4" t="n"/>
    </row>
    <row r="31">
      <c r="A31" s="9" t="inlineStr">
        <is>
          <t>技術</t>
        </is>
      </c>
      <c r="B31" s="9" t="inlineStr">
        <is>
          <t>等級</t>
        </is>
      </c>
      <c r="C31" s="9" t="inlineStr">
        <is>
          <t>SP消耗</t>
        </is>
      </c>
      <c r="D31" s="9" t="inlineStr">
        <is>
          <t>前置</t>
        </is>
      </c>
    </row>
    <row r="32">
      <c r="A32" s="7" t="inlineStr">
        <is>
          <t>凝（Gyo）</t>
        </is>
      </c>
      <c r="B32" s="8" t="n"/>
    </row>
    <row r="33">
      <c r="A33" s="7" t="inlineStr">
        <is>
          <t>圓（En）</t>
        </is>
      </c>
      <c r="B33" s="8" t="n"/>
    </row>
    <row r="34">
      <c r="A34" s="7" t="inlineStr">
        <is>
          <t>隱（In）</t>
        </is>
      </c>
      <c r="B34" s="8" t="n"/>
    </row>
    <row r="35">
      <c r="A35" s="7" t="inlineStr">
        <is>
          <t>硬（Ko）</t>
        </is>
      </c>
      <c r="B35" s="8" t="n"/>
    </row>
    <row r="36">
      <c r="A36" s="7" t="inlineStr">
        <is>
          <t>堅（Ken）</t>
        </is>
      </c>
      <c r="B36" s="8" t="n"/>
    </row>
    <row r="37">
      <c r="A37" s="7" t="inlineStr">
        <is>
          <t>流（Ryu）</t>
        </is>
      </c>
      <c r="B37" s="8" t="n"/>
    </row>
    <row r="38"/>
    <row r="39">
      <c r="A39" s="2" t="inlineStr">
        <is>
          <t>技能熟練（輸入熟練加值：0 / 2 / 4 / 6）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</row>
    <row r="40">
      <c r="A40" s="11" t="inlineStr">
        <is>
          <t>念知識</t>
        </is>
      </c>
      <c r="B40" s="8" t="n"/>
      <c r="D40" s="11" t="inlineStr">
        <is>
          <t>念控制</t>
        </is>
      </c>
      <c r="E40" s="8" t="n"/>
      <c r="G40" s="11" t="inlineStr">
        <is>
          <t>交涉</t>
        </is>
      </c>
      <c r="H40" s="8" t="n"/>
    </row>
    <row r="41">
      <c r="A41" s="11" t="inlineStr">
        <is>
          <t>調查</t>
        </is>
      </c>
      <c r="B41" s="8" t="n"/>
      <c r="D41" s="11" t="inlineStr">
        <is>
          <t>專注</t>
        </is>
      </c>
      <c r="E41" s="8" t="n"/>
      <c r="G41" s="11" t="inlineStr">
        <is>
          <t>欺騙</t>
        </is>
      </c>
      <c r="H41" s="8" t="n"/>
    </row>
    <row r="42">
      <c r="A42" s="11" t="inlineStr">
        <is>
          <t>醫學</t>
        </is>
      </c>
      <c r="B42" s="8" t="n"/>
      <c r="D42" s="11" t="inlineStr">
        <is>
          <t>勇氣</t>
        </is>
      </c>
      <c r="E42" s="8" t="n"/>
      <c r="G42" s="11" t="inlineStr">
        <is>
          <t>威嚇</t>
        </is>
      </c>
      <c r="H42" s="8" t="n"/>
    </row>
    <row r="43">
      <c r="A43" s="11" t="inlineStr">
        <is>
          <t>戰術</t>
        </is>
      </c>
      <c r="B43" s="8" t="n"/>
      <c r="D43" s="11" t="inlineStr">
        <is>
          <t>誓約</t>
        </is>
      </c>
      <c r="E43" s="8" t="n"/>
      <c r="G43" s="11" t="inlineStr">
        <is>
          <t>領袖</t>
        </is>
      </c>
      <c r="H43" s="8" t="n"/>
    </row>
    <row r="44"/>
    <row r="45"/>
    <row r="46"/>
    <row r="47"/>
    <row r="48"/>
    <row r="49"/>
    <row r="50"/>
    <row r="51"/>
    <row r="52"/>
    <row r="53"/>
    <row r="54"/>
    <row r="55">
      <c r="A55" s="2" t="inlineStr">
        <is>
          <t>念能力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</row>
    <row r="56">
      <c r="A56" s="9" t="inlineStr">
        <is>
          <t>能力名稱</t>
        </is>
      </c>
      <c r="B56" s="9" t="inlineStr">
        <is>
          <t>系別</t>
        </is>
      </c>
      <c r="C56" s="9" t="inlineStr">
        <is>
          <t>基礎SP</t>
        </is>
      </c>
      <c r="D56" s="9" t="inlineStr">
        <is>
          <t>制約(BP收入)</t>
        </is>
      </c>
      <c r="E56" s="9" t="inlineStr">
        <is>
          <t>增強(BP支出)</t>
        </is>
      </c>
      <c r="F56" s="9" t="inlineStr">
        <is>
          <t>BP收支</t>
        </is>
      </c>
      <c r="G56" s="9" t="inlineStr">
        <is>
          <t>最終SP</t>
        </is>
      </c>
      <c r="H56" s="9" t="inlineStr">
        <is>
          <t>效果描述</t>
        </is>
      </c>
    </row>
    <row r="57">
      <c r="A57" s="8" t="n"/>
      <c r="B57" s="8" t="n"/>
      <c r="C57" s="8" t="n"/>
      <c r="D57" s="8" t="n"/>
      <c r="E57" s="8" t="n"/>
      <c r="F57" s="8">
        <f>D57-E57</f>
        <v/>
      </c>
      <c r="G57" s="8">
        <f>C57</f>
        <v/>
      </c>
      <c r="H57" s="11" t="n"/>
    </row>
    <row r="58">
      <c r="A58" s="8" t="n"/>
      <c r="B58" s="8" t="n"/>
      <c r="C58" s="8" t="n"/>
      <c r="D58" s="8" t="n"/>
      <c r="E58" s="8" t="n"/>
      <c r="F58" s="8">
        <f>D58-E58</f>
        <v/>
      </c>
      <c r="G58" s="8">
        <f>C58</f>
        <v/>
      </c>
      <c r="H58" s="11" t="n"/>
    </row>
    <row r="59">
      <c r="A59" s="8" t="n"/>
      <c r="B59" s="8" t="n"/>
      <c r="C59" s="8" t="n"/>
      <c r="D59" s="8" t="n"/>
      <c r="E59" s="8" t="n"/>
      <c r="F59" s="8">
        <f>D59-E59</f>
        <v/>
      </c>
      <c r="G59" s="8">
        <f>C59</f>
        <v/>
      </c>
      <c r="H59" s="11" t="n"/>
    </row>
    <row r="60"/>
    <row r="61"/>
    <row r="62">
      <c r="A62" s="2" t="inlineStr">
        <is>
          <t>裝備與物品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4" t="n"/>
    </row>
    <row r="63">
      <c r="A63" s="9" t="inlineStr">
        <is>
          <t>類別</t>
        </is>
      </c>
      <c r="B63" s="9" t="inlineStr">
        <is>
          <t>名稱</t>
        </is>
      </c>
      <c r="C63" s="9" t="inlineStr">
        <is>
          <t>傷害/AC加成</t>
        </is>
      </c>
      <c r="D63" s="9" t="inlineStr">
        <is>
          <t>數量</t>
        </is>
      </c>
      <c r="E63" s="9" t="inlineStr">
        <is>
          <t>備註</t>
        </is>
      </c>
    </row>
    <row r="64">
      <c r="A64" s="7" t="inlineStr">
        <is>
          <t>武器</t>
        </is>
      </c>
      <c r="B64" s="11" t="n"/>
      <c r="C64" s="11" t="n"/>
      <c r="D64" s="11" t="n"/>
      <c r="E64" s="11" t="n"/>
    </row>
    <row r="65">
      <c r="A65" s="7" t="inlineStr">
        <is>
          <t>防具</t>
        </is>
      </c>
      <c r="B65" s="11" t="n"/>
      <c r="C65" s="11" t="n"/>
      <c r="D65" s="11" t="n"/>
      <c r="E65" s="11" t="n"/>
    </row>
    <row r="66">
      <c r="A66" s="7" t="inlineStr">
        <is>
          <t>飾品/念具</t>
        </is>
      </c>
      <c r="B66" s="11" t="n"/>
      <c r="C66" s="11" t="n"/>
      <c r="D66" s="11" t="n"/>
      <c r="E66" s="11" t="n"/>
    </row>
    <row r="67">
      <c r="A67" s="7" t="inlineStr">
        <is>
          <t>消耗品</t>
        </is>
      </c>
      <c r="B67" s="11" t="n"/>
      <c r="C67" s="11" t="n"/>
      <c r="D67" s="11" t="n"/>
      <c r="E67" s="11" t="n"/>
    </row>
    <row r="68">
      <c r="A68" s="7" t="inlineStr">
        <is>
          <t>金錢 (J)</t>
        </is>
      </c>
      <c r="B68" s="11" t="n"/>
      <c r="C68" s="11" t="n"/>
      <c r="D68" s="11" t="n"/>
      <c r="E68" s="11" t="n"/>
    </row>
    <row r="69"/>
    <row r="70">
      <c r="A70" s="2" t="inlineStr">
        <is>
          <t>背景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4" t="n"/>
    </row>
    <row r="71">
      <c r="A71" s="7" t="inlineStr">
        <is>
          <t>出身</t>
        </is>
      </c>
      <c r="B71" s="11" t="n"/>
      <c r="C71" s="3" t="n"/>
      <c r="D71" s="3" t="n"/>
      <c r="E71" s="3" t="n"/>
      <c r="F71" s="3" t="n"/>
      <c r="G71" s="3" t="n"/>
      <c r="H71" s="3" t="n"/>
      <c r="I71" s="3" t="n"/>
      <c r="J71" s="4" t="n"/>
    </row>
    <row r="72">
      <c r="A72" s="7" t="inlineStr">
        <is>
          <t>動機</t>
        </is>
      </c>
      <c r="B72" s="11" t="n"/>
      <c r="C72" s="3" t="n"/>
      <c r="D72" s="3" t="n"/>
      <c r="E72" s="3" t="n"/>
      <c r="F72" s="3" t="n"/>
      <c r="G72" s="3" t="n"/>
      <c r="H72" s="3" t="n"/>
      <c r="I72" s="3" t="n"/>
      <c r="J72" s="4" t="n"/>
    </row>
    <row r="73">
      <c r="A73" s="7" t="inlineStr">
        <is>
          <t>外表性格</t>
        </is>
      </c>
      <c r="B73" s="11" t="n"/>
      <c r="C73" s="3" t="n"/>
      <c r="D73" s="3" t="n"/>
      <c r="E73" s="3" t="n"/>
      <c r="F73" s="3" t="n"/>
      <c r="G73" s="3" t="n"/>
      <c r="H73" s="3" t="n"/>
      <c r="I73" s="3" t="n"/>
      <c r="J73" s="4" t="n"/>
    </row>
    <row r="74">
      <c r="A74" s="7" t="inlineStr">
        <is>
          <t>深層性格</t>
        </is>
      </c>
      <c r="B74" s="11" t="n"/>
      <c r="C74" s="3" t="n"/>
      <c r="D74" s="3" t="n"/>
      <c r="E74" s="3" t="n"/>
      <c r="F74" s="3" t="n"/>
      <c r="G74" s="3" t="n"/>
      <c r="H74" s="3" t="n"/>
      <c r="I74" s="3" t="n"/>
      <c r="J74" s="4" t="n"/>
    </row>
    <row r="75">
      <c r="A75" s="7" t="inlineStr">
        <is>
          <t>核心羈絆</t>
        </is>
      </c>
      <c r="B75" s="11" t="n"/>
      <c r="C75" s="3" t="n"/>
      <c r="D75" s="3" t="n"/>
      <c r="E75" s="3" t="n"/>
      <c r="F75" s="3" t="n"/>
      <c r="G75" s="3" t="n"/>
      <c r="H75" s="3" t="n"/>
      <c r="I75" s="3" t="n"/>
      <c r="J75" s="4" t="n"/>
    </row>
  </sheetData>
  <mergeCells count="21">
    <mergeCell ref="F5:H5"/>
    <mergeCell ref="A62:J62"/>
    <mergeCell ref="A21:F21"/>
    <mergeCell ref="B73:J73"/>
    <mergeCell ref="A39:J39"/>
    <mergeCell ref="B74:J74"/>
    <mergeCell ref="B6:D6"/>
    <mergeCell ref="A1:J1"/>
    <mergeCell ref="B5:D5"/>
    <mergeCell ref="A13:F13"/>
    <mergeCell ref="A70:J70"/>
    <mergeCell ref="B4:D4"/>
    <mergeCell ref="F4:H4"/>
    <mergeCell ref="A7:J7"/>
    <mergeCell ref="B75:J75"/>
    <mergeCell ref="A30:F30"/>
    <mergeCell ref="B72:J72"/>
    <mergeCell ref="F6:H6"/>
    <mergeCell ref="A3:J3"/>
    <mergeCell ref="A55:J55"/>
    <mergeCell ref="B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範例玩家：人形使いの瑪莉</t>
        </is>
      </c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姓名</t>
        </is>
      </c>
      <c r="B4" s="11" t="inlineStr">
        <is>
          <t>人形使いの瑪莉</t>
        </is>
      </c>
      <c r="E4" s="7" t="inlineStr">
        <is>
          <t>系別</t>
        </is>
      </c>
      <c r="F4" s="11" t="inlineStr">
        <is>
          <t>操作系</t>
        </is>
      </c>
    </row>
    <row r="5">
      <c r="A5" s="7" t="inlineStr">
        <is>
          <t>領域</t>
        </is>
      </c>
      <c r="B5" s="11" t="inlineStr">
        <is>
          <t>黑名單獵人</t>
        </is>
      </c>
      <c r="E5" s="7" t="inlineStr">
        <is>
          <t>成長階段</t>
        </is>
      </c>
      <c r="F5" s="11" t="inlineStr">
        <is>
          <t>新人</t>
        </is>
      </c>
    </row>
    <row r="6">
      <c r="A6" s="7" t="inlineStr">
        <is>
          <t>累計XP</t>
        </is>
      </c>
      <c r="B6" s="8" t="n">
        <v>0</v>
      </c>
      <c r="E6" s="7" t="inlineStr">
        <is>
          <t>BP上限</t>
        </is>
      </c>
      <c r="F6" s="8" t="n">
        <v>4</v>
      </c>
    </row>
    <row r="7"/>
    <row r="8">
      <c r="A8" s="2" t="inlineStr">
        <is>
          <t>基礎屬性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屬性</t>
        </is>
      </c>
      <c r="B9" s="9" t="inlineStr">
        <is>
          <t>數值</t>
        </is>
      </c>
      <c r="C9" s="9" t="inlineStr">
        <is>
          <t>修正值</t>
        </is>
      </c>
      <c r="D9" s="9" t="inlineStr">
        <is>
          <t>屬性</t>
        </is>
      </c>
      <c r="E9" s="9" t="inlineStr">
        <is>
          <t>數值</t>
        </is>
      </c>
      <c r="F9" s="9" t="inlineStr">
        <is>
          <t>修正值</t>
        </is>
      </c>
    </row>
    <row r="10">
      <c r="A10" s="7" t="inlineStr">
        <is>
          <t>體質 體質（CON）</t>
        </is>
      </c>
      <c r="B10" s="8" t="n">
        <v>8</v>
      </c>
      <c r="C10" s="10">
        <f>FLOOR.MATH((B10-10)/2)</f>
        <v/>
      </c>
      <c r="D10" s="7" t="inlineStr">
        <is>
          <t>智力 智力（INT）</t>
        </is>
      </c>
      <c r="E10" s="8" t="n">
        <v>12</v>
      </c>
      <c r="F10" s="10">
        <f>FLOOR.MATH((E10-10)/2)</f>
        <v/>
      </c>
    </row>
    <row r="11">
      <c r="A11" s="7" t="inlineStr">
        <is>
          <t>敏捷 敏捷（DEX）</t>
        </is>
      </c>
      <c r="B11" s="8" t="n">
        <v>13</v>
      </c>
      <c r="C11" s="10">
        <f>FLOOR.MATH((B11-10)/2)</f>
        <v/>
      </c>
      <c r="D11" s="7" t="inlineStr">
        <is>
          <t>意志 意志（WIL）</t>
        </is>
      </c>
      <c r="E11" s="8" t="n">
        <v>17</v>
      </c>
      <c r="F11" s="10">
        <f>FLOOR.MATH((E11-10)/2)</f>
        <v/>
      </c>
    </row>
    <row r="12">
      <c r="A12" s="7" t="inlineStr">
        <is>
          <t>感知 感知（PER）</t>
        </is>
      </c>
      <c r="B12" s="8" t="n">
        <v>14</v>
      </c>
      <c r="C12" s="10">
        <f>FLOOR.MATH((B12-10)/2)</f>
        <v/>
      </c>
      <c r="D12" s="7" t="inlineStr">
        <is>
          <t>魅力 魅力（CHA）</t>
        </is>
      </c>
      <c r="E12" s="8" t="n">
        <v>12</v>
      </c>
      <c r="F12" s="10">
        <f>FLOOR.MATH((E12-10)/2)</f>
        <v/>
      </c>
    </row>
    <row r="13"/>
    <row r="14">
      <c r="A14" s="2" t="inlineStr">
        <is>
          <t>衍生屬性</t>
        </is>
      </c>
      <c r="B14" s="3" t="n"/>
      <c r="C14" s="3" t="n"/>
      <c r="D14" s="3" t="n"/>
      <c r="E14" s="3" t="n"/>
      <c r="F14" s="4" t="n"/>
    </row>
    <row r="15">
      <c r="A15" s="7" t="inlineStr">
        <is>
          <t>生命值（HP）</t>
        </is>
      </c>
      <c r="B15" s="8">
        <f>B10*5+10</f>
        <v/>
      </c>
    </row>
    <row r="16">
      <c r="A16" s="7" t="inlineStr">
        <is>
          <t>念量（SP）</t>
        </is>
      </c>
      <c r="B16" s="8">
        <f>B12*5+10</f>
        <v/>
      </c>
    </row>
    <row r="17">
      <c r="A17" s="7" t="inlineStr">
        <is>
          <t>防禦等級（AC）</t>
        </is>
      </c>
      <c r="B17" s="8">
        <f>10+D10+D20</f>
        <v/>
      </c>
    </row>
    <row r="18">
      <c r="A18" s="7" t="inlineStr">
        <is>
          <t>先攻值</t>
        </is>
      </c>
      <c r="B18" s="8">
        <f>D10+G10</f>
        <v/>
      </c>
    </row>
    <row r="19">
      <c r="A19" s="7" t="inlineStr">
        <is>
          <t>念防禦（ND）</t>
        </is>
      </c>
      <c r="B19" s="8">
        <f>G12+D20</f>
        <v/>
      </c>
    </row>
    <row r="20">
      <c r="A20" s="7" t="inlineStr">
        <is>
          <t>移動力</t>
        </is>
      </c>
      <c r="B20" s="8">
        <f>B10</f>
        <v/>
      </c>
    </row>
    <row r="21"/>
    <row r="22">
      <c r="A22" s="2" t="inlineStr">
        <is>
          <t>技能熟練</t>
        </is>
      </c>
      <c r="B22" s="3" t="n"/>
      <c r="C22" s="3" t="n"/>
      <c r="D22" s="3" t="n"/>
      <c r="E22" s="3" t="n"/>
      <c r="F22" s="3" t="n"/>
      <c r="G22" s="3" t="n"/>
      <c r="H22" s="3" t="n"/>
      <c r="I22" s="4" t="n"/>
    </row>
    <row r="23">
      <c r="A23" s="7" t="inlineStr">
        <is>
          <t>體質</t>
        </is>
      </c>
      <c r="B23" s="11" t="inlineStr">
        <is>
          <t>耐久</t>
        </is>
      </c>
      <c r="C23" s="8" t="n">
        <v>0</v>
      </c>
    </row>
    <row r="24">
      <c r="B24" s="11" t="inlineStr">
        <is>
          <t>生存</t>
        </is>
      </c>
      <c r="C24" s="8" t="n">
        <v>0</v>
      </c>
    </row>
    <row r="25">
      <c r="B25" s="11" t="inlineStr">
        <is>
          <t>運動</t>
        </is>
      </c>
      <c r="C25" s="8" t="n">
        <v>0</v>
      </c>
    </row>
    <row r="26"/>
    <row r="27">
      <c r="A27" s="7" t="inlineStr">
        <is>
          <t>敏捷</t>
        </is>
      </c>
      <c r="B27" s="11" t="inlineStr">
        <is>
          <t>潛行</t>
        </is>
      </c>
      <c r="C27" s="8" t="n">
        <v>2</v>
      </c>
    </row>
    <row r="28">
      <c r="B28" s="11" t="inlineStr">
        <is>
          <t>雜技</t>
        </is>
      </c>
      <c r="C28" s="8" t="n">
        <v>0</v>
      </c>
    </row>
    <row r="29">
      <c r="B29" s="11" t="inlineStr">
        <is>
          <t>巧手</t>
        </is>
      </c>
      <c r="C29" s="8" t="n">
        <v>0</v>
      </c>
    </row>
    <row r="30">
      <c r="B30" s="11" t="inlineStr">
        <is>
          <t>射擊</t>
        </is>
      </c>
      <c r="C30" s="8" t="n">
        <v>0</v>
      </c>
    </row>
    <row r="31">
      <c r="A31" s="7" t="inlineStr">
        <is>
          <t>感知</t>
        </is>
      </c>
      <c r="B31" s="11" t="inlineStr">
        <is>
          <t>察覺</t>
        </is>
      </c>
      <c r="C31" s="8" t="n">
        <v>0</v>
      </c>
    </row>
    <row r="32">
      <c r="B32" s="11" t="inlineStr">
        <is>
          <t>追跡</t>
        </is>
      </c>
      <c r="C32" s="8" t="n">
        <v>2</v>
      </c>
    </row>
    <row r="33">
      <c r="B33" s="11" t="inlineStr">
        <is>
          <t>洞察</t>
        </is>
      </c>
      <c r="C33" s="8" t="n">
        <v>2</v>
      </c>
    </row>
    <row r="34">
      <c r="B34" s="11" t="inlineStr">
        <is>
          <t>念感</t>
        </is>
      </c>
      <c r="C34" s="8" t="n">
        <v>0</v>
      </c>
    </row>
    <row r="35">
      <c r="A35" s="7" t="inlineStr">
        <is>
          <t>智力</t>
        </is>
      </c>
      <c r="B35" s="11" t="inlineStr">
        <is>
          <t>念知識</t>
        </is>
      </c>
      <c r="C35" s="8" t="n">
        <v>0</v>
      </c>
    </row>
    <row r="36">
      <c r="B36" s="11" t="inlineStr">
        <is>
          <t>調查</t>
        </is>
      </c>
      <c r="C36" s="8" t="n">
        <v>0</v>
      </c>
    </row>
    <row r="37">
      <c r="B37" s="11" t="inlineStr">
        <is>
          <t>醫學</t>
        </is>
      </c>
      <c r="C37" s="8" t="n">
        <v>0</v>
      </c>
    </row>
    <row r="38">
      <c r="B38" s="11" t="inlineStr">
        <is>
          <t>戰術</t>
        </is>
      </c>
      <c r="C38" s="8" t="n">
        <v>0</v>
      </c>
    </row>
    <row r="39">
      <c r="A39" s="7" t="inlineStr">
        <is>
          <t>意志</t>
        </is>
      </c>
      <c r="B39" s="11" t="inlineStr">
        <is>
          <t>念控制</t>
        </is>
      </c>
      <c r="C39" s="8" t="n">
        <v>2</v>
      </c>
    </row>
    <row r="40">
      <c r="B40" s="11" t="inlineStr">
        <is>
          <t>專注</t>
        </is>
      </c>
      <c r="C40" s="8" t="n">
        <v>0</v>
      </c>
    </row>
    <row r="41">
      <c r="B41" s="11" t="inlineStr">
        <is>
          <t>勇氣</t>
        </is>
      </c>
      <c r="C41" s="8" t="n">
        <v>0</v>
      </c>
    </row>
    <row r="42">
      <c r="B42" s="11" t="inlineStr">
        <is>
          <t>誓約</t>
        </is>
      </c>
      <c r="C42" s="8" t="n">
        <v>0</v>
      </c>
    </row>
    <row r="43">
      <c r="A43" s="7" t="inlineStr">
        <is>
          <t>魅力</t>
        </is>
      </c>
      <c r="B43" s="11" t="inlineStr">
        <is>
          <t>交涉</t>
        </is>
      </c>
      <c r="C43" s="8" t="n">
        <v>0</v>
      </c>
    </row>
    <row r="44">
      <c r="B44" s="11" t="inlineStr">
        <is>
          <t>欺騙</t>
        </is>
      </c>
      <c r="C44" s="8" t="n">
        <v>0</v>
      </c>
    </row>
    <row r="45">
      <c r="B45" s="11" t="inlineStr">
        <is>
          <t>威嚇</t>
        </is>
      </c>
      <c r="C45" s="8" t="n">
        <v>0</v>
      </c>
    </row>
    <row r="46">
      <c r="B46" s="11" t="inlineStr">
        <is>
          <t>領袖</t>
        </is>
      </c>
      <c r="C46" s="8" t="n">
        <v>0</v>
      </c>
    </row>
    <row r="47"/>
    <row r="48"/>
    <row r="49"/>
    <row r="50">
      <c r="A50" s="2" t="inlineStr">
        <is>
          <t>念能力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</row>
    <row r="51">
      <c r="A51" s="7" t="inlineStr">
        <is>
          <t>名稱</t>
        </is>
      </c>
      <c r="B51" s="11" t="inlineStr">
        <is>
          <t>戦闘人形</t>
        </is>
      </c>
      <c r="D51" s="7" t="inlineStr">
        <is>
          <t>系別</t>
        </is>
      </c>
      <c r="E51" s="11" t="inlineStr">
        <is>
          <t>操作系</t>
        </is>
      </c>
      <c r="G51" s="7" t="inlineStr">
        <is>
          <t>念量（SP）</t>
        </is>
      </c>
      <c r="H51" s="8" t="n">
        <v>5</v>
      </c>
    </row>
    <row r="52">
      <c r="A52" s="7" t="inlineStr">
        <is>
          <t>BP收入</t>
        </is>
      </c>
      <c r="B52" s="8" t="n">
        <v>5</v>
      </c>
      <c r="C52" s="7" t="inlineStr">
        <is>
          <t>BP支出</t>
        </is>
      </c>
      <c r="D52" s="8" t="n">
        <v>5</v>
      </c>
      <c r="E52" s="7" t="inlineStr">
        <is>
          <t>BP收支</t>
        </is>
      </c>
      <c r="F52" s="8">
        <f>B52-D52</f>
        <v/>
      </c>
    </row>
    <row r="53">
      <c r="A53" s="11" t="inlineStr">
        <is>
          <t>效果：操控一具預先準備的人形進行戰鬥(獨立攻擊1d8+意志修正)。制約：需媒介(人形)+1制約誓約點（BP）、使用後念干擾1回合+1制約誓約點（BP）、若人形被破壞則能力冷卻1週+2制約誓約點（BP）。增強：可同時影響+1目標(2人形)=2制約誓約點（BP）、附加束縛效果=2制約誓約點（BP）、傷害+1d6=1制約誓約點（BP）(餘0制約誓約點（BP）)。BP收支=5/5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</row>
  </sheetData>
  <mergeCells count="7">
    <mergeCell ref="A1:J1"/>
    <mergeCell ref="A8:J8"/>
    <mergeCell ref="A14:F14"/>
    <mergeCell ref="A3:J3"/>
    <mergeCell ref="A53:J53"/>
    <mergeCell ref="A50:J50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範例玩家：剛拳の格倫</t>
        </is>
      </c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姓名</t>
        </is>
      </c>
      <c r="B4" s="11" t="inlineStr">
        <is>
          <t>剛拳の格倫</t>
        </is>
      </c>
      <c r="E4" s="7" t="inlineStr">
        <is>
          <t>系別</t>
        </is>
      </c>
      <c r="F4" s="11" t="inlineStr">
        <is>
          <t>強化系</t>
        </is>
      </c>
    </row>
    <row r="5">
      <c r="A5" s="7" t="inlineStr">
        <is>
          <t>領域</t>
        </is>
      </c>
      <c r="B5" s="11" t="inlineStr">
        <is>
          <t>賞金獵人</t>
        </is>
      </c>
      <c r="E5" s="7" t="inlineStr">
        <is>
          <t>成長階段</t>
        </is>
      </c>
      <c r="F5" s="11" t="inlineStr">
        <is>
          <t>新人</t>
        </is>
      </c>
    </row>
    <row r="6">
      <c r="A6" s="7" t="inlineStr">
        <is>
          <t>累計XP</t>
        </is>
      </c>
      <c r="B6" s="8" t="n">
        <v>0</v>
      </c>
      <c r="E6" s="7" t="inlineStr">
        <is>
          <t>BP上限</t>
        </is>
      </c>
      <c r="F6" s="8" t="n">
        <v>4</v>
      </c>
    </row>
    <row r="7"/>
    <row r="8">
      <c r="A8" s="2" t="inlineStr">
        <is>
          <t>基礎屬性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屬性</t>
        </is>
      </c>
      <c r="B9" s="9" t="inlineStr">
        <is>
          <t>數值</t>
        </is>
      </c>
      <c r="C9" s="9" t="inlineStr">
        <is>
          <t>修正值</t>
        </is>
      </c>
      <c r="D9" s="9" t="inlineStr">
        <is>
          <t>屬性</t>
        </is>
      </c>
      <c r="E9" s="9" t="inlineStr">
        <is>
          <t>數值</t>
        </is>
      </c>
      <c r="F9" s="9" t="inlineStr">
        <is>
          <t>修正值</t>
        </is>
      </c>
    </row>
    <row r="10">
      <c r="A10" s="7" t="inlineStr">
        <is>
          <t>體質 體質（CON）</t>
        </is>
      </c>
      <c r="B10" s="8" t="n">
        <v>17</v>
      </c>
      <c r="C10" s="10">
        <f>FLOOR.MATH((B10-10)/2)</f>
        <v/>
      </c>
      <c r="D10" s="7" t="inlineStr">
        <is>
          <t>智力 智力（INT）</t>
        </is>
      </c>
      <c r="E10" s="8" t="n">
        <v>10</v>
      </c>
      <c r="F10" s="10">
        <f>FLOOR.MATH((E10-10)/2)</f>
        <v/>
      </c>
    </row>
    <row r="11">
      <c r="A11" s="7" t="inlineStr">
        <is>
          <t>敏捷 敏捷（DEX）</t>
        </is>
      </c>
      <c r="B11" s="8" t="n">
        <v>12</v>
      </c>
      <c r="C11" s="10">
        <f>FLOOR.MATH((B11-10)/2)</f>
        <v/>
      </c>
      <c r="D11" s="7" t="inlineStr">
        <is>
          <t>意志 意志（WIL）</t>
        </is>
      </c>
      <c r="E11" s="8" t="n">
        <v>14</v>
      </c>
      <c r="F11" s="10">
        <f>FLOOR.MATH((E11-10)/2)</f>
        <v/>
      </c>
    </row>
    <row r="12">
      <c r="A12" s="7" t="inlineStr">
        <is>
          <t>感知 感知（PER）</t>
        </is>
      </c>
      <c r="B12" s="8" t="n">
        <v>13</v>
      </c>
      <c r="C12" s="10">
        <f>FLOOR.MATH((B12-10)/2)</f>
        <v/>
      </c>
      <c r="D12" s="7" t="inlineStr">
        <is>
          <t>魅力 魅力（CHA）</t>
        </is>
      </c>
      <c r="E12" s="8" t="n">
        <v>8</v>
      </c>
      <c r="F12" s="10">
        <f>FLOOR.MATH((E12-10)/2)</f>
        <v/>
      </c>
    </row>
    <row r="13"/>
    <row r="14">
      <c r="A14" s="2" t="inlineStr">
        <is>
          <t>衍生屬性</t>
        </is>
      </c>
      <c r="B14" s="3" t="n"/>
      <c r="C14" s="3" t="n"/>
      <c r="D14" s="3" t="n"/>
      <c r="E14" s="3" t="n"/>
      <c r="F14" s="4" t="n"/>
    </row>
    <row r="15">
      <c r="A15" s="7" t="inlineStr">
        <is>
          <t>生命值（HP）</t>
        </is>
      </c>
      <c r="B15" s="8">
        <f>B10*5+10</f>
        <v/>
      </c>
    </row>
    <row r="16">
      <c r="A16" s="7" t="inlineStr">
        <is>
          <t>念量（SP）</t>
        </is>
      </c>
      <c r="B16" s="8">
        <f>B12*5+10</f>
        <v/>
      </c>
    </row>
    <row r="17">
      <c r="A17" s="7" t="inlineStr">
        <is>
          <t>防禦等級（AC）</t>
        </is>
      </c>
      <c r="B17" s="8">
        <f>10+D10+D20</f>
        <v/>
      </c>
    </row>
    <row r="18">
      <c r="A18" s="7" t="inlineStr">
        <is>
          <t>先攻值</t>
        </is>
      </c>
      <c r="B18" s="8">
        <f>D10+G10</f>
        <v/>
      </c>
    </row>
    <row r="19">
      <c r="A19" s="7" t="inlineStr">
        <is>
          <t>念防禦（ND）</t>
        </is>
      </c>
      <c r="B19" s="8">
        <f>G12+D20</f>
        <v/>
      </c>
    </row>
    <row r="20">
      <c r="A20" s="7" t="inlineStr">
        <is>
          <t>移動力</t>
        </is>
      </c>
      <c r="B20" s="8">
        <f>B10</f>
        <v/>
      </c>
    </row>
    <row r="21"/>
    <row r="22">
      <c r="A22" s="2" t="inlineStr">
        <is>
          <t>技能熟練</t>
        </is>
      </c>
      <c r="B22" s="3" t="n"/>
      <c r="C22" s="3" t="n"/>
      <c r="D22" s="3" t="n"/>
      <c r="E22" s="3" t="n"/>
      <c r="F22" s="3" t="n"/>
      <c r="G22" s="3" t="n"/>
      <c r="H22" s="3" t="n"/>
      <c r="I22" s="4" t="n"/>
    </row>
    <row r="23">
      <c r="A23" s="7" t="inlineStr">
        <is>
          <t>體質</t>
        </is>
      </c>
      <c r="B23" s="11" t="inlineStr">
        <is>
          <t>耐久</t>
        </is>
      </c>
      <c r="C23" s="8" t="n">
        <v>2</v>
      </c>
    </row>
    <row r="24">
      <c r="B24" s="11" t="inlineStr">
        <is>
          <t>生存</t>
        </is>
      </c>
      <c r="C24" s="8" t="n">
        <v>2</v>
      </c>
    </row>
    <row r="25">
      <c r="B25" s="11" t="inlineStr">
        <is>
          <t>運動</t>
        </is>
      </c>
      <c r="C25" s="8" t="n">
        <v>2</v>
      </c>
    </row>
    <row r="26"/>
    <row r="27">
      <c r="A27" s="7" t="inlineStr">
        <is>
          <t>敏捷</t>
        </is>
      </c>
      <c r="B27" s="11" t="inlineStr">
        <is>
          <t>潛行</t>
        </is>
      </c>
      <c r="C27" s="8" t="n">
        <v>0</v>
      </c>
    </row>
    <row r="28">
      <c r="B28" s="11" t="inlineStr">
        <is>
          <t>雜技</t>
        </is>
      </c>
      <c r="C28" s="8" t="n">
        <v>0</v>
      </c>
    </row>
    <row r="29">
      <c r="B29" s="11" t="inlineStr">
        <is>
          <t>巧手</t>
        </is>
      </c>
      <c r="C29" s="8" t="n">
        <v>0</v>
      </c>
    </row>
    <row r="30">
      <c r="B30" s="11" t="inlineStr">
        <is>
          <t>射擊</t>
        </is>
      </c>
      <c r="C30" s="8" t="n">
        <v>0</v>
      </c>
    </row>
    <row r="31">
      <c r="A31" s="7" t="inlineStr">
        <is>
          <t>感知</t>
        </is>
      </c>
      <c r="B31" s="11" t="inlineStr">
        <is>
          <t>察覺</t>
        </is>
      </c>
      <c r="C31" s="8" t="n">
        <v>2</v>
      </c>
    </row>
    <row r="32">
      <c r="B32" s="11" t="inlineStr">
        <is>
          <t>追跡</t>
        </is>
      </c>
      <c r="C32" s="8" t="n">
        <v>0</v>
      </c>
    </row>
    <row r="33">
      <c r="B33" s="11" t="inlineStr">
        <is>
          <t>洞察</t>
        </is>
      </c>
      <c r="C33" s="8" t="n">
        <v>0</v>
      </c>
    </row>
    <row r="34">
      <c r="B34" s="11" t="inlineStr">
        <is>
          <t>念感</t>
        </is>
      </c>
      <c r="C34" s="8" t="n">
        <v>0</v>
      </c>
    </row>
    <row r="35">
      <c r="A35" s="7" t="inlineStr">
        <is>
          <t>智力</t>
        </is>
      </c>
      <c r="B35" s="11" t="inlineStr">
        <is>
          <t>念知識</t>
        </is>
      </c>
      <c r="C35" s="8" t="n">
        <v>0</v>
      </c>
    </row>
    <row r="36">
      <c r="B36" s="11" t="inlineStr">
        <is>
          <t>調查</t>
        </is>
      </c>
      <c r="C36" s="8" t="n">
        <v>0</v>
      </c>
    </row>
    <row r="37">
      <c r="B37" s="11" t="inlineStr">
        <is>
          <t>醫學</t>
        </is>
      </c>
      <c r="C37" s="8" t="n">
        <v>0</v>
      </c>
    </row>
    <row r="38">
      <c r="B38" s="11" t="inlineStr">
        <is>
          <t>戰術</t>
        </is>
      </c>
      <c r="C38" s="8" t="n">
        <v>0</v>
      </c>
    </row>
    <row r="39">
      <c r="A39" s="7" t="inlineStr">
        <is>
          <t>意志</t>
        </is>
      </c>
      <c r="B39" s="11" t="inlineStr">
        <is>
          <t>念控制</t>
        </is>
      </c>
      <c r="C39" s="8" t="n">
        <v>0</v>
      </c>
    </row>
    <row r="40">
      <c r="B40" s="11" t="inlineStr">
        <is>
          <t>專注</t>
        </is>
      </c>
      <c r="C40" s="8" t="n">
        <v>0</v>
      </c>
    </row>
    <row r="41">
      <c r="B41" s="11" t="inlineStr">
        <is>
          <t>勇氣</t>
        </is>
      </c>
      <c r="C41" s="8" t="n">
        <v>0</v>
      </c>
    </row>
    <row r="42">
      <c r="B42" s="11" t="inlineStr">
        <is>
          <t>誓約</t>
        </is>
      </c>
      <c r="C42" s="8" t="n">
        <v>0</v>
      </c>
    </row>
    <row r="43">
      <c r="A43" s="7" t="inlineStr">
        <is>
          <t>魅力</t>
        </is>
      </c>
      <c r="B43" s="11" t="inlineStr">
        <is>
          <t>交涉</t>
        </is>
      </c>
      <c r="C43" s="8" t="n">
        <v>0</v>
      </c>
    </row>
    <row r="44">
      <c r="B44" s="11" t="inlineStr">
        <is>
          <t>欺騙</t>
        </is>
      </c>
      <c r="C44" s="8" t="n">
        <v>0</v>
      </c>
    </row>
    <row r="45">
      <c r="B45" s="11" t="inlineStr">
        <is>
          <t>威嚇</t>
        </is>
      </c>
      <c r="C45" s="8" t="n">
        <v>0</v>
      </c>
    </row>
    <row r="46">
      <c r="B46" s="11" t="inlineStr">
        <is>
          <t>領袖</t>
        </is>
      </c>
      <c r="C46" s="8" t="n">
        <v>0</v>
      </c>
    </row>
    <row r="47"/>
    <row r="48"/>
    <row r="49"/>
    <row r="50">
      <c r="A50" s="2" t="inlineStr">
        <is>
          <t>念能力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</row>
    <row r="51">
      <c r="A51" s="7" t="inlineStr">
        <is>
          <t>名稱</t>
        </is>
      </c>
      <c r="B51" s="11" t="inlineStr">
        <is>
          <t>鐵拳一擊</t>
        </is>
      </c>
      <c r="D51" s="7" t="inlineStr">
        <is>
          <t>系別</t>
        </is>
      </c>
      <c r="E51" s="11" t="inlineStr">
        <is>
          <t>強化系</t>
        </is>
      </c>
      <c r="G51" s="7" t="inlineStr">
        <is>
          <t>念量（SP）</t>
        </is>
      </c>
      <c r="H51" s="8" t="n">
        <v>3</v>
      </c>
    </row>
    <row r="52">
      <c r="A52" s="7" t="inlineStr">
        <is>
          <t>BP收入</t>
        </is>
      </c>
      <c r="B52" s="8" t="n">
        <v>3</v>
      </c>
      <c r="C52" s="7" t="inlineStr">
        <is>
          <t>BP支出</t>
        </is>
      </c>
      <c r="D52" s="8" t="n">
        <v>3</v>
      </c>
      <c r="E52" s="7" t="inlineStr">
        <is>
          <t>BP收支</t>
        </is>
      </c>
      <c r="F52" s="8">
        <f>B52-D52</f>
        <v/>
      </c>
    </row>
    <row r="53">
      <c r="A53" s="11" t="inlineStr">
        <is>
          <t>效果：集中念於右拳，單體近戰攻擊 3d6+3 鈍擊傷害。制約：需宣言(1回合準備)+1制約誓約點（BP）、每日3次+1制約誓約點（BP）、使用後自身HP-2+1制約誓約點（BP）。增強：傷害+2d6=2制約誓約點（BP）、無視一半念防禦=1制約誓約點（BP）(餘1制約誓約點（BP）)。BP收支=3/3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</row>
  </sheetData>
  <mergeCells count="7">
    <mergeCell ref="A1:J1"/>
    <mergeCell ref="A8:J8"/>
    <mergeCell ref="A14:F14"/>
    <mergeCell ref="A3:J3"/>
    <mergeCell ref="A53:J53"/>
    <mergeCell ref="A50:J50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獵人 TRPG  範例玩家：幻惑の美月 (變化系)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姓名</t>
        </is>
      </c>
      <c r="B4" s="11" t="inlineStr">
        <is>
          <t>幻惑の美月</t>
        </is>
      </c>
      <c r="E4" s="7" t="inlineStr">
        <is>
          <t>系別</t>
        </is>
      </c>
      <c r="F4" s="11" t="inlineStr">
        <is>
          <t>變化系</t>
        </is>
      </c>
    </row>
    <row r="5">
      <c r="A5" s="7" t="inlineStr">
        <is>
          <t>領域</t>
        </is>
      </c>
      <c r="B5" s="11" t="inlineStr">
        <is>
          <t>音樂獵人</t>
        </is>
      </c>
      <c r="E5" s="7" t="inlineStr">
        <is>
          <t>成長階段</t>
        </is>
      </c>
      <c r="F5" s="11" t="inlineStr">
        <is>
          <t>新人</t>
        </is>
      </c>
    </row>
    <row r="6">
      <c r="A6" s="7" t="inlineStr">
        <is>
          <t>累計XP</t>
        </is>
      </c>
      <c r="B6" s="8" t="n">
        <v>0</v>
      </c>
      <c r="E6" s="7" t="inlineStr">
        <is>
          <t>BP上限</t>
        </is>
      </c>
      <c r="F6" s="8" t="n">
        <v>4</v>
      </c>
    </row>
    <row r="7"/>
    <row r="8">
      <c r="A8" s="2" t="inlineStr">
        <is>
          <t>基礎屬性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屬性</t>
        </is>
      </c>
      <c r="B9" s="9" t="inlineStr">
        <is>
          <t>數值</t>
        </is>
      </c>
      <c r="C9" s="9" t="inlineStr">
        <is>
          <t>修正值</t>
        </is>
      </c>
      <c r="D9" s="9" t="inlineStr">
        <is>
          <t>屬性</t>
        </is>
      </c>
      <c r="E9" s="9" t="inlineStr">
        <is>
          <t>數值</t>
        </is>
      </c>
      <c r="F9" s="9" t="inlineStr">
        <is>
          <t>修正值</t>
        </is>
      </c>
    </row>
    <row r="10">
      <c r="A10" s="7" t="inlineStr">
        <is>
          <t>體質 體質（CON）</t>
        </is>
      </c>
      <c r="B10" s="8" t="n">
        <v>10</v>
      </c>
      <c r="C10" s="10">
        <f>FLOOR.MATH((B10-10)/2)</f>
        <v/>
      </c>
      <c r="D10" s="7" t="inlineStr">
        <is>
          <t>智力 智力（INT）</t>
        </is>
      </c>
      <c r="E10" s="8" t="n">
        <v>12</v>
      </c>
      <c r="F10" s="10">
        <f>FLOOR.MATH((E10-10)/2)</f>
        <v/>
      </c>
    </row>
    <row r="11">
      <c r="A11" s="7" t="inlineStr">
        <is>
          <t>敏捷 敏捷（DEX）</t>
        </is>
      </c>
      <c r="B11" s="8" t="n">
        <v>17</v>
      </c>
      <c r="C11" s="10">
        <f>FLOOR.MATH((B11-10)/2)</f>
        <v/>
      </c>
      <c r="D11" s="7" t="inlineStr">
        <is>
          <t>意志 意志（WIL）</t>
        </is>
      </c>
      <c r="E11" s="8" t="n">
        <v>13</v>
      </c>
      <c r="F11" s="10">
        <f>FLOOR.MATH((E11-10)/2)</f>
        <v/>
      </c>
    </row>
    <row r="12">
      <c r="A12" s="7" t="inlineStr">
        <is>
          <t>感知 感知（PER）</t>
        </is>
      </c>
      <c r="B12" s="8" t="n">
        <v>14</v>
      </c>
      <c r="C12" s="10">
        <f>FLOOR.MATH((B12-10)/2)</f>
        <v/>
      </c>
      <c r="D12" s="7" t="inlineStr">
        <is>
          <t>魅力 魅力（CHA）</t>
        </is>
      </c>
      <c r="E12" s="8" t="n">
        <v>12</v>
      </c>
      <c r="F12" s="10">
        <f>FLOOR.MATH((E12-10)/2)</f>
        <v/>
      </c>
    </row>
    <row r="13"/>
    <row r="14"/>
    <row r="15">
      <c r="A15" s="2" t="inlineStr">
        <is>
          <t>衍生屬性（自動計算）</t>
        </is>
      </c>
      <c r="B15" s="3" t="n"/>
      <c r="C15" s="3" t="n"/>
      <c r="D15" s="3" t="n"/>
      <c r="E15" s="3" t="n"/>
      <c r="F15" s="4" t="n"/>
    </row>
    <row r="16">
      <c r="A16" s="7" t="inlineStr">
        <is>
          <t>生命值（HP）</t>
        </is>
      </c>
      <c r="B16" s="8">
        <f>B10*5+10</f>
        <v/>
      </c>
    </row>
    <row r="17">
      <c r="A17" s="7" t="inlineStr">
        <is>
          <t>念量（SP）</t>
        </is>
      </c>
      <c r="B17" s="8">
        <f>B12*5+10</f>
        <v/>
      </c>
    </row>
    <row r="18">
      <c r="A18" s="7" t="inlineStr">
        <is>
          <t>防禦等級（AC）</t>
        </is>
      </c>
      <c r="B18" s="8">
        <f>10+D10</f>
        <v/>
      </c>
    </row>
    <row r="19">
      <c r="A19" s="7" t="inlineStr">
        <is>
          <t>先攻值</t>
        </is>
      </c>
      <c r="B19" s="8">
        <f>D10+G10</f>
        <v/>
      </c>
    </row>
    <row r="20">
      <c r="A20" s="7" t="inlineStr">
        <is>
          <t>念防禦（ND）</t>
        </is>
      </c>
      <c r="B20" s="8">
        <f>G12</f>
        <v/>
      </c>
    </row>
    <row r="21">
      <c r="A21" s="7" t="inlineStr">
        <is>
          <t>移動力</t>
        </is>
      </c>
      <c r="B21" s="8">
        <f>B10</f>
        <v/>
      </c>
    </row>
    <row r="22"/>
    <row r="23">
      <c r="A23" s="2" t="inlineStr">
        <is>
          <t>技能熟練（0未熟練/2熟練/4專精/6大師）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</row>
    <row r="24">
      <c r="A24" s="11" t="inlineStr">
        <is>
          <t>念知識</t>
        </is>
      </c>
      <c r="B24" s="8" t="n">
        <v>0</v>
      </c>
      <c r="E24" s="11" t="inlineStr">
        <is>
          <t>念控制</t>
        </is>
      </c>
      <c r="F24" s="8" t="n">
        <v>0</v>
      </c>
      <c r="I24" s="11" t="inlineStr">
        <is>
          <t>交涉</t>
        </is>
      </c>
      <c r="J24" s="8" t="n">
        <v>0</v>
      </c>
    </row>
    <row r="25">
      <c r="A25" s="11" t="inlineStr">
        <is>
          <t>調查</t>
        </is>
      </c>
      <c r="B25" s="8" t="n">
        <v>0</v>
      </c>
      <c r="E25" s="11" t="inlineStr">
        <is>
          <t>專注</t>
        </is>
      </c>
      <c r="F25" s="8" t="n">
        <v>0</v>
      </c>
      <c r="I25" s="11" t="inlineStr">
        <is>
          <t>欺騙</t>
        </is>
      </c>
      <c r="J25" s="8" t="n">
        <v>0</v>
      </c>
    </row>
    <row r="26">
      <c r="A26" s="11" t="inlineStr">
        <is>
          <t>醫學</t>
        </is>
      </c>
      <c r="B26" s="8" t="n">
        <v>0</v>
      </c>
      <c r="E26" s="11" t="inlineStr">
        <is>
          <t>勇氣</t>
        </is>
      </c>
      <c r="F26" s="8" t="n">
        <v>0</v>
      </c>
      <c r="I26" s="11" t="inlineStr">
        <is>
          <t>威嚇</t>
        </is>
      </c>
      <c r="J26" s="8" t="n">
        <v>0</v>
      </c>
    </row>
    <row r="27">
      <c r="A27" s="11" t="inlineStr">
        <is>
          <t>戰術</t>
        </is>
      </c>
      <c r="B27" s="8" t="n">
        <v>0</v>
      </c>
      <c r="E27" s="11" t="inlineStr">
        <is>
          <t>誓約</t>
        </is>
      </c>
      <c r="F27" s="8" t="n">
        <v>0</v>
      </c>
      <c r="I27" s="11" t="inlineStr">
        <is>
          <t>領袖</t>
        </is>
      </c>
      <c r="J27" s="8" t="n">
        <v>0</v>
      </c>
    </row>
    <row r="28">
      <c r="A28" s="11" t="inlineStr">
        <is>
          <t>念攻擊(操控型)</t>
        </is>
      </c>
      <c r="B28" s="8" t="n">
        <v>0</v>
      </c>
      <c r="E28" s="11" t="inlineStr">
        <is>
          <t>念攻擊(直擊型)</t>
        </is>
      </c>
      <c r="F28" s="8" t="n">
        <v>0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2" t="inlineStr">
        <is>
          <t>念能力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</row>
    <row r="53">
      <c r="A53" s="7" t="inlineStr">
        <is>
          <t>名稱</t>
        </is>
      </c>
      <c r="B53" s="11" t="inlineStr">
        <is>
          <t>魅惑の香</t>
        </is>
      </c>
      <c r="D53" s="7" t="inlineStr">
        <is>
          <t>系別</t>
        </is>
      </c>
      <c r="E53" s="11" t="inlineStr">
        <is>
          <t>變化系</t>
        </is>
      </c>
      <c r="G53" s="7" t="inlineStr">
        <is>
          <t>念量（SP）</t>
        </is>
      </c>
      <c r="H53" s="8" t="n">
        <v>2</v>
      </c>
    </row>
    <row r="54">
      <c r="A54" s="7" t="inlineStr">
        <is>
          <t>BP收入</t>
        </is>
      </c>
      <c r="B54" s="8" t="n">
        <v>3</v>
      </c>
      <c r="C54" s="7" t="inlineStr">
        <is>
          <t>BP支出</t>
        </is>
      </c>
      <c r="D54" s="8" t="n">
        <v>3</v>
      </c>
      <c r="E54" s="7" t="inlineStr">
        <is>
          <t>BP收支</t>
        </is>
      </c>
      <c r="F54" s="8">
        <f>B54-D54</f>
        <v/>
      </c>
    </row>
    <row r="55">
      <c r="A55" s="11" t="inlineStr">
        <is>
          <t>效果：將念轉化為誘導性費洛蒙，目標需意志豁免DC14否則對PC友善1分鐘（戰鬥中不可使用）。制約：每日3次(+1制約誓約點（BP）)、需媒介(自身體香，沐浴後才可使用)(+1制約誓約點（BP）)、使用後自身察覺-2持續10分鐘(+1制約誓約點（BP）)。增強：持續瞬間→1分鐘(1制約誓約點（BP）)、效果難度-2(1制約誓約點（BP）)、隱藏發動(1制約誓約點（BP）)。BP收支=3/3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</row>
    <row r="56"/>
    <row r="57"/>
    <row r="58">
      <c r="A58" s="2" t="inlineStr">
        <is>
          <t>裝備與金錢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</row>
    <row r="59">
      <c r="A59" s="7" t="inlineStr">
        <is>
          <t>金錢</t>
        </is>
      </c>
      <c r="B59" s="8" t="inlineStr">
        <is>
          <t>8,000J</t>
        </is>
      </c>
      <c r="D59" s="7" t="inlineStr">
        <is>
          <t>武器</t>
        </is>
      </c>
      <c r="E59" s="11" t="inlineStr">
        <is>
          <t>短劍 1d6 敏捷</t>
        </is>
      </c>
      <c r="G59" s="7" t="inlineStr">
        <is>
          <t>防具</t>
        </is>
      </c>
      <c r="H59" s="11" t="inlineStr">
        <is>
          <t>皮甲 防禦等級（AC）+1</t>
        </is>
      </c>
    </row>
  </sheetData>
  <mergeCells count="8">
    <mergeCell ref="A1:J1"/>
    <mergeCell ref="A23:J23"/>
    <mergeCell ref="A8:J8"/>
    <mergeCell ref="A58:J58"/>
    <mergeCell ref="A3:J3"/>
    <mergeCell ref="A55:J55"/>
    <mergeCell ref="A52:J52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獵人 TRPG  範例玩家：念彈の蓮 (放出系)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姓名</t>
        </is>
      </c>
      <c r="B4" s="11" t="inlineStr">
        <is>
          <t>念彈の蓮</t>
        </is>
      </c>
      <c r="E4" s="7" t="inlineStr">
        <is>
          <t>系別</t>
        </is>
      </c>
      <c r="F4" s="11" t="inlineStr">
        <is>
          <t>放出系</t>
        </is>
      </c>
    </row>
    <row r="5">
      <c r="A5" s="7" t="inlineStr">
        <is>
          <t>領域</t>
        </is>
      </c>
      <c r="B5" s="11" t="inlineStr">
        <is>
          <t>賞金獵人</t>
        </is>
      </c>
      <c r="E5" s="7" t="inlineStr">
        <is>
          <t>成長階段</t>
        </is>
      </c>
      <c r="F5" s="11" t="inlineStr">
        <is>
          <t>新人</t>
        </is>
      </c>
    </row>
    <row r="6">
      <c r="A6" s="7" t="inlineStr">
        <is>
          <t>累計XP</t>
        </is>
      </c>
      <c r="B6" s="8" t="n">
        <v>0</v>
      </c>
      <c r="E6" s="7" t="inlineStr">
        <is>
          <t>BP上限</t>
        </is>
      </c>
      <c r="F6" s="8" t="n">
        <v>4</v>
      </c>
    </row>
    <row r="7"/>
    <row r="8">
      <c r="A8" s="2" t="inlineStr">
        <is>
          <t>基礎屬性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屬性</t>
        </is>
      </c>
      <c r="B9" s="9" t="inlineStr">
        <is>
          <t>數值</t>
        </is>
      </c>
      <c r="C9" s="9" t="inlineStr">
        <is>
          <t>修正值</t>
        </is>
      </c>
      <c r="D9" s="9" t="inlineStr">
        <is>
          <t>屬性</t>
        </is>
      </c>
      <c r="E9" s="9" t="inlineStr">
        <is>
          <t>數值</t>
        </is>
      </c>
      <c r="F9" s="9" t="inlineStr">
        <is>
          <t>修正值</t>
        </is>
      </c>
    </row>
    <row r="10">
      <c r="A10" s="7" t="inlineStr">
        <is>
          <t>體質 體質（CON）</t>
        </is>
      </c>
      <c r="B10" s="8" t="n">
        <v>12</v>
      </c>
      <c r="C10" s="10">
        <f>FLOOR.MATH((B10-10)/2)</f>
        <v/>
      </c>
      <c r="D10" s="7" t="inlineStr">
        <is>
          <t>智力 智力（INT）</t>
        </is>
      </c>
      <c r="E10" s="8" t="n">
        <v>10</v>
      </c>
      <c r="F10" s="10">
        <f>FLOOR.MATH((E10-10)/2)</f>
        <v/>
      </c>
    </row>
    <row r="11">
      <c r="A11" s="7" t="inlineStr">
        <is>
          <t>敏捷 敏捷（DEX）</t>
        </is>
      </c>
      <c r="B11" s="8" t="n">
        <v>14</v>
      </c>
      <c r="C11" s="10">
        <f>FLOOR.MATH((B11-10)/2)</f>
        <v/>
      </c>
      <c r="D11" s="7" t="inlineStr">
        <is>
          <t>意志 意志（WIL）</t>
        </is>
      </c>
      <c r="E11" s="8" t="n">
        <v>14</v>
      </c>
      <c r="F11" s="10">
        <f>FLOOR.MATH((E11-10)/2)</f>
        <v/>
      </c>
    </row>
    <row r="12">
      <c r="A12" s="7" t="inlineStr">
        <is>
          <t>感知 感知（PER）</t>
        </is>
      </c>
      <c r="B12" s="8" t="n">
        <v>17</v>
      </c>
      <c r="C12" s="10">
        <f>FLOOR.MATH((B12-10)/2)</f>
        <v/>
      </c>
      <c r="D12" s="7" t="inlineStr">
        <is>
          <t>魅力 魅力（CHA）</t>
        </is>
      </c>
      <c r="E12" s="8" t="n">
        <v>10</v>
      </c>
      <c r="F12" s="10">
        <f>FLOOR.MATH((E12-10)/2)</f>
        <v/>
      </c>
    </row>
    <row r="13"/>
    <row r="14"/>
    <row r="15">
      <c r="A15" s="2" t="inlineStr">
        <is>
          <t>衍生屬性（自動計算）</t>
        </is>
      </c>
      <c r="B15" s="3" t="n"/>
      <c r="C15" s="3" t="n"/>
      <c r="D15" s="3" t="n"/>
      <c r="E15" s="3" t="n"/>
      <c r="F15" s="4" t="n"/>
    </row>
    <row r="16">
      <c r="A16" s="7" t="inlineStr">
        <is>
          <t>生命值（HP）</t>
        </is>
      </c>
      <c r="B16" s="8">
        <f>B10*5+10</f>
        <v/>
      </c>
    </row>
    <row r="17">
      <c r="A17" s="7" t="inlineStr">
        <is>
          <t>念量（SP）</t>
        </is>
      </c>
      <c r="B17" s="8">
        <f>B12*5+10</f>
        <v/>
      </c>
    </row>
    <row r="18">
      <c r="A18" s="7" t="inlineStr">
        <is>
          <t>防禦等級（AC）</t>
        </is>
      </c>
      <c r="B18" s="8">
        <f>10+D10</f>
        <v/>
      </c>
    </row>
    <row r="19">
      <c r="A19" s="7" t="inlineStr">
        <is>
          <t>先攻值</t>
        </is>
      </c>
      <c r="B19" s="8">
        <f>D10+G10</f>
        <v/>
      </c>
    </row>
    <row r="20">
      <c r="A20" s="7" t="inlineStr">
        <is>
          <t>念防禦（ND）</t>
        </is>
      </c>
      <c r="B20" s="8">
        <f>G12</f>
        <v/>
      </c>
    </row>
    <row r="21">
      <c r="A21" s="7" t="inlineStr">
        <is>
          <t>移動力</t>
        </is>
      </c>
      <c r="B21" s="8">
        <f>B10</f>
        <v/>
      </c>
    </row>
    <row r="22"/>
    <row r="23">
      <c r="A23" s="2" t="inlineStr">
        <is>
          <t>技能熟練（0未熟練/2熟練/4專精/6大師）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</row>
    <row r="24">
      <c r="A24" s="11" t="inlineStr">
        <is>
          <t>念知識</t>
        </is>
      </c>
      <c r="B24" s="8" t="n">
        <v>0</v>
      </c>
      <c r="E24" s="11" t="inlineStr">
        <is>
          <t>念控制</t>
        </is>
      </c>
      <c r="F24" s="8" t="n">
        <v>0</v>
      </c>
      <c r="I24" s="11" t="inlineStr">
        <is>
          <t>交涉</t>
        </is>
      </c>
      <c r="J24" s="8" t="n">
        <v>0</v>
      </c>
    </row>
    <row r="25">
      <c r="A25" s="11" t="inlineStr">
        <is>
          <t>調查</t>
        </is>
      </c>
      <c r="B25" s="8" t="n">
        <v>0</v>
      </c>
      <c r="E25" s="11" t="inlineStr">
        <is>
          <t>專注</t>
        </is>
      </c>
      <c r="F25" s="8" t="n">
        <v>0</v>
      </c>
      <c r="I25" s="11" t="inlineStr">
        <is>
          <t>欺騙</t>
        </is>
      </c>
      <c r="J25" s="8" t="n">
        <v>0</v>
      </c>
    </row>
    <row r="26">
      <c r="A26" s="11" t="inlineStr">
        <is>
          <t>醫學</t>
        </is>
      </c>
      <c r="B26" s="8" t="n">
        <v>0</v>
      </c>
      <c r="E26" s="11" t="inlineStr">
        <is>
          <t>勇氣</t>
        </is>
      </c>
      <c r="F26" s="8" t="n">
        <v>0</v>
      </c>
      <c r="I26" s="11" t="inlineStr">
        <is>
          <t>威嚇</t>
        </is>
      </c>
      <c r="J26" s="8" t="n">
        <v>0</v>
      </c>
    </row>
    <row r="27">
      <c r="A27" s="11" t="inlineStr">
        <is>
          <t>戰術</t>
        </is>
      </c>
      <c r="B27" s="8" t="n">
        <v>0</v>
      </c>
      <c r="E27" s="11" t="inlineStr">
        <is>
          <t>誓約</t>
        </is>
      </c>
      <c r="F27" s="8" t="n">
        <v>0</v>
      </c>
      <c r="I27" s="11" t="inlineStr">
        <is>
          <t>領袖</t>
        </is>
      </c>
      <c r="J27" s="8" t="n">
        <v>0</v>
      </c>
    </row>
    <row r="28">
      <c r="A28" s="11" t="inlineStr">
        <is>
          <t>念攻擊(操控型)</t>
        </is>
      </c>
      <c r="B28" s="8" t="n">
        <v>0</v>
      </c>
      <c r="E28" s="11" t="inlineStr">
        <is>
          <t>念攻擊(直擊型)</t>
        </is>
      </c>
      <c r="F28" s="8" t="n">
        <v>2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2" t="inlineStr">
        <is>
          <t>念能力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</row>
    <row r="53">
      <c r="A53" s="7" t="inlineStr">
        <is>
          <t>名稱</t>
        </is>
      </c>
      <c r="B53" s="11" t="inlineStr">
        <is>
          <t>念彈散射</t>
        </is>
      </c>
      <c r="D53" s="7" t="inlineStr">
        <is>
          <t>系別</t>
        </is>
      </c>
      <c r="E53" s="11" t="inlineStr">
        <is>
          <t>放出系</t>
        </is>
      </c>
      <c r="G53" s="7" t="inlineStr">
        <is>
          <t>念量（SP）</t>
        </is>
      </c>
      <c r="H53" s="8" t="n">
        <v>3</v>
      </c>
    </row>
    <row r="54">
      <c r="A54" s="7" t="inlineStr">
        <is>
          <t>BP收入</t>
        </is>
      </c>
      <c r="B54" s="8" t="n">
        <v>4</v>
      </c>
      <c r="C54" s="7" t="inlineStr">
        <is>
          <t>BP支出</t>
        </is>
      </c>
      <c r="D54" s="8" t="n">
        <v>4</v>
      </c>
      <c r="E54" s="7" t="inlineStr">
        <is>
          <t>BP收支</t>
        </is>
      </c>
      <c r="F54" s="8">
        <f>B54-D54</f>
        <v/>
      </c>
    </row>
    <row r="55">
      <c r="A55" s="11" t="inlineStr">
        <is>
          <t>效果：放出3顆小型念彈，分別攻擊3m內最多3個目標(或集中同一目標)。每顆1d6念傷害+意志修正。制約：每日3次(+1制約誓約點（BP）)、需詠唱1回合(+1制約誓約點（BP）)、使用後1回合無法移動(+1制約誓約點（BP）)、使用後自身HP-1(+1制約誓約點（BP）)。增強：多目標+1→可攻擊3目標(1制約誓約點（BP）)、傷害+1d6(1制約誓約點（BP）)、範圍單體→3m(1制約誓約點（BP）)、隱藏發動(1制約誓約點（BP）)。BP收支=4/4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</row>
    <row r="56"/>
    <row r="57"/>
    <row r="58">
      <c r="A58" s="2" t="inlineStr">
        <is>
          <t>裝備與金錢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</row>
    <row r="59">
      <c r="A59" s="7" t="inlineStr">
        <is>
          <t>金錢</t>
        </is>
      </c>
      <c r="B59" s="8" t="inlineStr">
        <is>
          <t>8,000J</t>
        </is>
      </c>
      <c r="D59" s="7" t="inlineStr">
        <is>
          <t>武器</t>
        </is>
      </c>
      <c r="E59" s="11" t="inlineStr">
        <is>
          <t>短劍 1d6 敏捷</t>
        </is>
      </c>
      <c r="G59" s="7" t="inlineStr">
        <is>
          <t>防具</t>
        </is>
      </c>
      <c r="H59" s="11" t="inlineStr">
        <is>
          <t>皮甲 防禦等級（AC）+1</t>
        </is>
      </c>
    </row>
  </sheetData>
  <mergeCells count="8">
    <mergeCell ref="A1:J1"/>
    <mergeCell ref="A23:J23"/>
    <mergeCell ref="A8:J8"/>
    <mergeCell ref="A58:J58"/>
    <mergeCell ref="A3:J3"/>
    <mergeCell ref="A55:J55"/>
    <mergeCell ref="A52:J52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獵人 TRPG  範例玩家：鎖匠の凱</t>
        </is>
      </c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姓名</t>
        </is>
      </c>
      <c r="B4" s="11" t="inlineStr">
        <is>
          <t>鎖匠の凱</t>
        </is>
      </c>
      <c r="E4" s="7" t="inlineStr">
        <is>
          <t>系別</t>
        </is>
      </c>
      <c r="F4" s="11" t="inlineStr">
        <is>
          <t>具現化系</t>
        </is>
      </c>
    </row>
    <row r="5">
      <c r="A5" s="7" t="inlineStr">
        <is>
          <t>領域</t>
        </is>
      </c>
      <c r="B5" s="11" t="inlineStr">
        <is>
          <t>契約獵人</t>
        </is>
      </c>
      <c r="E5" s="7" t="inlineStr">
        <is>
          <t>成長階段</t>
        </is>
      </c>
      <c r="F5" s="11" t="inlineStr">
        <is>
          <t>新人</t>
        </is>
      </c>
    </row>
    <row r="6">
      <c r="A6" s="7" t="inlineStr">
        <is>
          <t>累計XP</t>
        </is>
      </c>
      <c r="B6" s="8" t="n">
        <v>0</v>
      </c>
      <c r="E6" s="7" t="inlineStr">
        <is>
          <t>BP上限</t>
        </is>
      </c>
      <c r="F6" s="8" t="n">
        <v>4</v>
      </c>
    </row>
    <row r="7"/>
    <row r="8">
      <c r="A8" s="2" t="inlineStr">
        <is>
          <t>基礎屬性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屬性</t>
        </is>
      </c>
      <c r="B9" s="9" t="inlineStr">
        <is>
          <t>數值</t>
        </is>
      </c>
      <c r="C9" s="9" t="inlineStr">
        <is>
          <t>修正值</t>
        </is>
      </c>
      <c r="D9" s="9" t="inlineStr">
        <is>
          <t>屬性</t>
        </is>
      </c>
      <c r="E9" s="9" t="inlineStr">
        <is>
          <t>數值</t>
        </is>
      </c>
      <c r="F9" s="9" t="inlineStr">
        <is>
          <t>修正值</t>
        </is>
      </c>
    </row>
    <row r="10">
      <c r="A10" s="7" t="inlineStr">
        <is>
          <t>體質 體質（CON）</t>
        </is>
      </c>
      <c r="B10" s="8" t="n">
        <v>12</v>
      </c>
      <c r="C10" s="10">
        <f>FLOOR.MATH((B10-10)/2)</f>
        <v/>
      </c>
      <c r="D10" s="7" t="inlineStr">
        <is>
          <t>智力 智力（INT）</t>
        </is>
      </c>
      <c r="E10" s="8" t="n">
        <v>17</v>
      </c>
      <c r="F10" s="10">
        <f>FLOOR.MATH((E10-10)/2)</f>
        <v/>
      </c>
    </row>
    <row r="11">
      <c r="A11" s="7" t="inlineStr">
        <is>
          <t>敏捷 敏捷（DEX）</t>
        </is>
      </c>
      <c r="B11" s="8" t="n">
        <v>10</v>
      </c>
      <c r="C11" s="10">
        <f>FLOOR.MATH((B11-10)/2)</f>
        <v/>
      </c>
      <c r="D11" s="7" t="inlineStr">
        <is>
          <t>意志 意志（WIL）</t>
        </is>
      </c>
      <c r="E11" s="8" t="n">
        <v>14</v>
      </c>
      <c r="F11" s="10">
        <f>FLOOR.MATH((E11-10)/2)</f>
        <v/>
      </c>
    </row>
    <row r="12">
      <c r="A12" s="7" t="inlineStr">
        <is>
          <t>感知 感知（PER）</t>
        </is>
      </c>
      <c r="B12" s="8" t="n">
        <v>13</v>
      </c>
      <c r="C12" s="10">
        <f>FLOOR.MATH((B12-10)/2)</f>
        <v/>
      </c>
      <c r="D12" s="7" t="inlineStr">
        <is>
          <t>魅力 魅力（CHA）</t>
        </is>
      </c>
      <c r="E12" s="8" t="n">
        <v>12</v>
      </c>
      <c r="F12" s="10">
        <f>FLOOR.MATH((E12-10)/2)</f>
        <v/>
      </c>
    </row>
    <row r="13"/>
    <row r="14">
      <c r="A14" s="2" t="inlineStr">
        <is>
          <t>衍生屬性</t>
        </is>
      </c>
      <c r="B14" s="3" t="n"/>
      <c r="C14" s="3" t="n"/>
      <c r="D14" s="3" t="n"/>
      <c r="E14" s="3" t="n"/>
      <c r="F14" s="4" t="n"/>
    </row>
    <row r="15">
      <c r="A15" s="7" t="inlineStr">
        <is>
          <t>生命值（HP）</t>
        </is>
      </c>
      <c r="B15" s="8">
        <f>B10*5+10</f>
        <v/>
      </c>
    </row>
    <row r="16">
      <c r="A16" s="7" t="inlineStr">
        <is>
          <t>念量（SP）</t>
        </is>
      </c>
      <c r="B16" s="8">
        <f>B12*5+10</f>
        <v/>
      </c>
    </row>
    <row r="17">
      <c r="A17" s="7" t="inlineStr">
        <is>
          <t>防禦等級（AC）</t>
        </is>
      </c>
      <c r="B17" s="8">
        <f>10+D10+D20</f>
        <v/>
      </c>
    </row>
    <row r="18">
      <c r="A18" s="7" t="inlineStr">
        <is>
          <t>先攻值</t>
        </is>
      </c>
      <c r="B18" s="8">
        <f>D10+G10</f>
        <v/>
      </c>
    </row>
    <row r="19">
      <c r="A19" s="7" t="inlineStr">
        <is>
          <t>念防禦（ND）</t>
        </is>
      </c>
      <c r="B19" s="8">
        <f>G12+D20</f>
        <v/>
      </c>
    </row>
    <row r="20">
      <c r="A20" s="7" t="inlineStr">
        <is>
          <t>移動力</t>
        </is>
      </c>
      <c r="B20" s="8">
        <f>B10</f>
        <v/>
      </c>
    </row>
    <row r="21"/>
    <row r="22">
      <c r="A22" s="2" t="inlineStr">
        <is>
          <t>技能熟練</t>
        </is>
      </c>
      <c r="B22" s="3" t="n"/>
      <c r="C22" s="3" t="n"/>
      <c r="D22" s="3" t="n"/>
      <c r="E22" s="3" t="n"/>
      <c r="F22" s="3" t="n"/>
      <c r="G22" s="3" t="n"/>
      <c r="H22" s="3" t="n"/>
      <c r="I22" s="4" t="n"/>
    </row>
    <row r="23">
      <c r="A23" s="7" t="inlineStr">
        <is>
          <t>體質</t>
        </is>
      </c>
      <c r="B23" s="11" t="inlineStr">
        <is>
          <t>耐久</t>
        </is>
      </c>
      <c r="C23" s="8" t="n">
        <v>0</v>
      </c>
    </row>
    <row r="24">
      <c r="B24" s="11" t="inlineStr">
        <is>
          <t>生存</t>
        </is>
      </c>
      <c r="C24" s="8" t="n">
        <v>0</v>
      </c>
    </row>
    <row r="25">
      <c r="B25" s="11" t="inlineStr">
        <is>
          <t>運動</t>
        </is>
      </c>
      <c r="C25" s="8" t="n">
        <v>0</v>
      </c>
    </row>
    <row r="26"/>
    <row r="27">
      <c r="A27" s="7" t="inlineStr">
        <is>
          <t>敏捷</t>
        </is>
      </c>
      <c r="B27" s="11" t="inlineStr">
        <is>
          <t>潛行</t>
        </is>
      </c>
      <c r="C27" s="8" t="n">
        <v>0</v>
      </c>
    </row>
    <row r="28">
      <c r="B28" s="11" t="inlineStr">
        <is>
          <t>雜技</t>
        </is>
      </c>
      <c r="C28" s="8" t="n">
        <v>0</v>
      </c>
    </row>
    <row r="29">
      <c r="B29" s="11" t="inlineStr">
        <is>
          <t>巧手</t>
        </is>
      </c>
      <c r="C29" s="8" t="n">
        <v>2</v>
      </c>
    </row>
    <row r="30">
      <c r="B30" s="11" t="inlineStr">
        <is>
          <t>射擊</t>
        </is>
      </c>
      <c r="C30" s="8" t="n">
        <v>0</v>
      </c>
    </row>
    <row r="31">
      <c r="A31" s="7" t="inlineStr">
        <is>
          <t>感知</t>
        </is>
      </c>
      <c r="B31" s="11" t="inlineStr">
        <is>
          <t>察覺</t>
        </is>
      </c>
      <c r="C31" s="8" t="n">
        <v>0</v>
      </c>
    </row>
    <row r="32">
      <c r="B32" s="11" t="inlineStr">
        <is>
          <t>追跡</t>
        </is>
      </c>
      <c r="C32" s="8" t="n">
        <v>0</v>
      </c>
    </row>
    <row r="33">
      <c r="B33" s="11" t="inlineStr">
        <is>
          <t>洞察</t>
        </is>
      </c>
      <c r="C33" s="8" t="n">
        <v>0</v>
      </c>
    </row>
    <row r="34">
      <c r="B34" s="11" t="inlineStr">
        <is>
          <t>念感</t>
        </is>
      </c>
      <c r="C34" s="8" t="n">
        <v>0</v>
      </c>
    </row>
    <row r="35">
      <c r="A35" s="7" t="inlineStr">
        <is>
          <t>智力</t>
        </is>
      </c>
      <c r="B35" s="11" t="inlineStr">
        <is>
          <t>念知識</t>
        </is>
      </c>
      <c r="C35" s="8" t="n">
        <v>2</v>
      </c>
    </row>
    <row r="36">
      <c r="B36" s="11" t="inlineStr">
        <is>
          <t>調查</t>
        </is>
      </c>
      <c r="C36" s="8" t="n">
        <v>2</v>
      </c>
    </row>
    <row r="37">
      <c r="B37" s="11" t="inlineStr">
        <is>
          <t>醫學</t>
        </is>
      </c>
      <c r="C37" s="8" t="n">
        <v>0</v>
      </c>
    </row>
    <row r="38">
      <c r="B38" s="11" t="inlineStr">
        <is>
          <t>戰術</t>
        </is>
      </c>
      <c r="C38" s="8" t="n">
        <v>0</v>
      </c>
    </row>
    <row r="39">
      <c r="A39" s="7" t="inlineStr">
        <is>
          <t>意志</t>
        </is>
      </c>
      <c r="B39" s="11" t="inlineStr">
        <is>
          <t>念控制</t>
        </is>
      </c>
      <c r="C39" s="8" t="n">
        <v>0</v>
      </c>
    </row>
    <row r="40">
      <c r="B40" s="11" t="inlineStr">
        <is>
          <t>專注</t>
        </is>
      </c>
      <c r="C40" s="8" t="n">
        <v>0</v>
      </c>
    </row>
    <row r="41">
      <c r="B41" s="11" t="inlineStr">
        <is>
          <t>勇氣</t>
        </is>
      </c>
      <c r="C41" s="8" t="n">
        <v>0</v>
      </c>
    </row>
    <row r="42">
      <c r="B42" s="11" t="inlineStr">
        <is>
          <t>誓約</t>
        </is>
      </c>
      <c r="C42" s="8" t="n">
        <v>0</v>
      </c>
    </row>
    <row r="43">
      <c r="A43" s="7" t="inlineStr">
        <is>
          <t>魅力</t>
        </is>
      </c>
      <c r="B43" s="11" t="inlineStr">
        <is>
          <t>交涉</t>
        </is>
      </c>
      <c r="C43" s="8" t="n">
        <v>2</v>
      </c>
    </row>
    <row r="44">
      <c r="B44" s="11" t="inlineStr">
        <is>
          <t>欺騙</t>
        </is>
      </c>
      <c r="C44" s="8" t="n">
        <v>0</v>
      </c>
    </row>
    <row r="45">
      <c r="B45" s="11" t="inlineStr">
        <is>
          <t>威嚇</t>
        </is>
      </c>
      <c r="C45" s="8" t="n">
        <v>0</v>
      </c>
    </row>
    <row r="46">
      <c r="B46" s="11" t="inlineStr">
        <is>
          <t>領袖</t>
        </is>
      </c>
      <c r="C46" s="8" t="n">
        <v>0</v>
      </c>
    </row>
    <row r="47"/>
    <row r="48"/>
    <row r="49"/>
    <row r="50">
      <c r="A50" s="2" t="inlineStr">
        <is>
          <t>念能力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</row>
    <row r="51">
      <c r="A51" s="7" t="inlineStr">
        <is>
          <t>名稱</t>
        </is>
      </c>
      <c r="B51" s="11" t="inlineStr">
        <is>
          <t>制約の鍵</t>
        </is>
      </c>
      <c r="D51" s="7" t="inlineStr">
        <is>
          <t>系別</t>
        </is>
      </c>
      <c r="E51" s="11" t="inlineStr">
        <is>
          <t>具現化系</t>
        </is>
      </c>
      <c r="G51" s="7" t="inlineStr">
        <is>
          <t>念量（SP）</t>
        </is>
      </c>
      <c r="H51" s="8" t="n">
        <v>4</v>
      </c>
    </row>
    <row r="52">
      <c r="A52" s="7" t="inlineStr">
        <is>
          <t>BP收入</t>
        </is>
      </c>
      <c r="B52" s="8" t="n">
        <v>4</v>
      </c>
      <c r="C52" s="7" t="inlineStr">
        <is>
          <t>BP支出</t>
        </is>
      </c>
      <c r="D52" s="8" t="n">
        <v>4</v>
      </c>
      <c r="E52" s="7" t="inlineStr">
        <is>
          <t>BP收支</t>
        </is>
      </c>
      <c r="F52" s="8">
        <f>B52-D52</f>
        <v/>
      </c>
    </row>
    <row r="53">
      <c r="A53" s="11" t="inlineStr">
        <is>
          <t>效果：具現化一把可以封印目標念能力的鎖。目標需意志豁免DC16否則念封鎖1分鐘。制約：需媒介(鎖的型態)+1制約誓約點（BP）、每日1次+2制約誓約點（BP）、使用後冷卻1天+1制約誓約點（BP）。增強：持續瞬間→1分鐘=1制約誓約點（BP）、效果難度-2=1制約誓約點（BP）、不可抵抗=2制約誓約點（BP）(餘0制約誓約點（BP）)。BP收支=4/4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</row>
  </sheetData>
  <mergeCells count="7">
    <mergeCell ref="A1:J1"/>
    <mergeCell ref="A8:J8"/>
    <mergeCell ref="A14:F14"/>
    <mergeCell ref="A3:J3"/>
    <mergeCell ref="A53:J53"/>
    <mergeCell ref="A50:J50"/>
    <mergeCell ref="A22:I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獵人 TRPG  範例玩家：預見のシン (特質系)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</row>
    <row r="2"/>
    <row r="3">
      <c r="A3" s="2" t="inlineStr">
        <is>
          <t>基本資料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姓名</t>
        </is>
      </c>
      <c r="B4" s="11" t="inlineStr">
        <is>
          <t>預見のシン</t>
        </is>
      </c>
      <c r="E4" s="7" t="inlineStr">
        <is>
          <t>系別</t>
        </is>
      </c>
      <c r="F4" s="11" t="inlineStr">
        <is>
          <t>特質系</t>
        </is>
      </c>
    </row>
    <row r="5">
      <c r="A5" s="7" t="inlineStr">
        <is>
          <t>領域</t>
        </is>
      </c>
      <c r="B5" s="11" t="inlineStr">
        <is>
          <t>失落獵人</t>
        </is>
      </c>
      <c r="E5" s="7" t="inlineStr">
        <is>
          <t>成長階段</t>
        </is>
      </c>
      <c r="F5" s="11" t="inlineStr">
        <is>
          <t>新人</t>
        </is>
      </c>
    </row>
    <row r="6">
      <c r="A6" s="7" t="inlineStr">
        <is>
          <t>累計XP</t>
        </is>
      </c>
      <c r="B6" s="8" t="n">
        <v>0</v>
      </c>
      <c r="E6" s="7" t="inlineStr">
        <is>
          <t>BP上限</t>
        </is>
      </c>
      <c r="F6" s="8" t="n">
        <v>4</v>
      </c>
    </row>
    <row r="7"/>
    <row r="8">
      <c r="A8" s="2" t="inlineStr">
        <is>
          <t>基礎屬性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屬性</t>
        </is>
      </c>
      <c r="B9" s="9" t="inlineStr">
        <is>
          <t>數值</t>
        </is>
      </c>
      <c r="C9" s="9" t="inlineStr">
        <is>
          <t>修正值</t>
        </is>
      </c>
      <c r="D9" s="9" t="inlineStr">
        <is>
          <t>屬性</t>
        </is>
      </c>
      <c r="E9" s="9" t="inlineStr">
        <is>
          <t>數值</t>
        </is>
      </c>
      <c r="F9" s="9" t="inlineStr">
        <is>
          <t>修正值</t>
        </is>
      </c>
    </row>
    <row r="10">
      <c r="A10" s="7" t="inlineStr">
        <is>
          <t>體質 體質（CON）</t>
        </is>
      </c>
      <c r="B10" s="8" t="n">
        <v>10</v>
      </c>
      <c r="C10" s="10">
        <f>FLOOR.MATH((B10-10)/2)</f>
        <v/>
      </c>
      <c r="D10" s="7" t="inlineStr">
        <is>
          <t>智力 智力（INT）</t>
        </is>
      </c>
      <c r="E10" s="8" t="n">
        <v>14</v>
      </c>
      <c r="F10" s="10">
        <f>FLOOR.MATH((E10-10)/2)</f>
        <v/>
      </c>
    </row>
    <row r="11">
      <c r="A11" s="7" t="inlineStr">
        <is>
          <t>敏捷 敏捷（DEX）</t>
        </is>
      </c>
      <c r="B11" s="8" t="n">
        <v>12</v>
      </c>
      <c r="C11" s="10">
        <f>FLOOR.MATH((B11-10)/2)</f>
        <v/>
      </c>
      <c r="D11" s="7" t="inlineStr">
        <is>
          <t>意志 意志（WIL）</t>
        </is>
      </c>
      <c r="E11" s="8" t="n">
        <v>12</v>
      </c>
      <c r="F11" s="10">
        <f>FLOOR.MATH((E11-10)/2)</f>
        <v/>
      </c>
    </row>
    <row r="12">
      <c r="A12" s="7" t="inlineStr">
        <is>
          <t>感知 感知（PER）</t>
        </is>
      </c>
      <c r="B12" s="8" t="n">
        <v>16</v>
      </c>
      <c r="C12" s="10">
        <f>FLOOR.MATH((B12-10)/2)</f>
        <v/>
      </c>
      <c r="D12" s="7" t="inlineStr">
        <is>
          <t>魅力 魅力（CHA）</t>
        </is>
      </c>
      <c r="E12" s="8" t="n">
        <v>17</v>
      </c>
      <c r="F12" s="10">
        <f>FLOOR.MATH((E12-10)/2)</f>
        <v/>
      </c>
    </row>
    <row r="13"/>
    <row r="14"/>
    <row r="15">
      <c r="A15" s="2" t="inlineStr">
        <is>
          <t>衍生屬性（自動計算）</t>
        </is>
      </c>
      <c r="B15" s="3" t="n"/>
      <c r="C15" s="3" t="n"/>
      <c r="D15" s="3" t="n"/>
      <c r="E15" s="3" t="n"/>
      <c r="F15" s="4" t="n"/>
    </row>
    <row r="16">
      <c r="A16" s="7" t="inlineStr">
        <is>
          <t>生命值（HP）</t>
        </is>
      </c>
      <c r="B16" s="8">
        <f>B10*5+10</f>
        <v/>
      </c>
    </row>
    <row r="17">
      <c r="A17" s="7" t="inlineStr">
        <is>
          <t>念量（SP）</t>
        </is>
      </c>
      <c r="B17" s="8">
        <f>B12*5+10</f>
        <v/>
      </c>
    </row>
    <row r="18">
      <c r="A18" s="7" t="inlineStr">
        <is>
          <t>防禦等級（AC）</t>
        </is>
      </c>
      <c r="B18" s="8">
        <f>10+D10</f>
        <v/>
      </c>
    </row>
    <row r="19">
      <c r="A19" s="7" t="inlineStr">
        <is>
          <t>先攻值</t>
        </is>
      </c>
      <c r="B19" s="8">
        <f>D10+G10</f>
        <v/>
      </c>
    </row>
    <row r="20">
      <c r="A20" s="7" t="inlineStr">
        <is>
          <t>念防禦（ND）</t>
        </is>
      </c>
      <c r="B20" s="8">
        <f>G12</f>
        <v/>
      </c>
    </row>
    <row r="21">
      <c r="A21" s="7" t="inlineStr">
        <is>
          <t>移動力</t>
        </is>
      </c>
      <c r="B21" s="8">
        <f>B10</f>
        <v/>
      </c>
    </row>
    <row r="22"/>
    <row r="23">
      <c r="A23" s="2" t="inlineStr">
        <is>
          <t>技能熟練（0未熟練/2熟練/4專精/6大師）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</row>
    <row r="24">
      <c r="A24" s="11" t="inlineStr">
        <is>
          <t>念知識</t>
        </is>
      </c>
      <c r="B24" s="8" t="n">
        <v>0</v>
      </c>
      <c r="E24" s="11" t="inlineStr">
        <is>
          <t>念控制</t>
        </is>
      </c>
      <c r="F24" s="8" t="n">
        <v>0</v>
      </c>
      <c r="I24" s="11" t="inlineStr">
        <is>
          <t>交涉</t>
        </is>
      </c>
      <c r="J24" s="8" t="n">
        <v>2</v>
      </c>
    </row>
    <row r="25">
      <c r="A25" s="11" t="inlineStr">
        <is>
          <t>調查</t>
        </is>
      </c>
      <c r="B25" s="8" t="n">
        <v>0</v>
      </c>
      <c r="E25" s="11" t="inlineStr">
        <is>
          <t>專注</t>
        </is>
      </c>
      <c r="F25" s="8" t="n">
        <v>0</v>
      </c>
      <c r="I25" s="11" t="inlineStr">
        <is>
          <t>欺騙</t>
        </is>
      </c>
      <c r="J25" s="8" t="n">
        <v>0</v>
      </c>
    </row>
    <row r="26">
      <c r="A26" s="11" t="inlineStr">
        <is>
          <t>醫學</t>
        </is>
      </c>
      <c r="B26" s="8" t="n">
        <v>0</v>
      </c>
      <c r="E26" s="11" t="inlineStr">
        <is>
          <t>勇氣</t>
        </is>
      </c>
      <c r="F26" s="8" t="n">
        <v>0</v>
      </c>
      <c r="I26" s="11" t="inlineStr">
        <is>
          <t>威嚇</t>
        </is>
      </c>
      <c r="J26" s="8" t="n">
        <v>0</v>
      </c>
    </row>
    <row r="27">
      <c r="A27" s="11" t="inlineStr">
        <is>
          <t>戰術</t>
        </is>
      </c>
      <c r="B27" s="8" t="n">
        <v>0</v>
      </c>
      <c r="E27" s="11" t="inlineStr">
        <is>
          <t>誓約</t>
        </is>
      </c>
      <c r="F27" s="8" t="n">
        <v>0</v>
      </c>
      <c r="I27" s="11" t="inlineStr">
        <is>
          <t>領袖</t>
        </is>
      </c>
      <c r="J27" s="8" t="n">
        <v>0</v>
      </c>
    </row>
    <row r="28">
      <c r="A28" s="11" t="inlineStr">
        <is>
          <t>念攻擊(操控型)</t>
        </is>
      </c>
      <c r="B28" s="8" t="n">
        <v>0</v>
      </c>
      <c r="E28" s="11" t="inlineStr">
        <is>
          <t>念攻擊(直擊型)</t>
        </is>
      </c>
      <c r="F28" s="8" t="n">
        <v>0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2" t="inlineStr">
        <is>
          <t>念能力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</row>
    <row r="53">
      <c r="A53" s="7" t="inlineStr">
        <is>
          <t>名稱</t>
        </is>
      </c>
      <c r="B53" s="11" t="inlineStr">
        <is>
          <t>3秒の預見</t>
        </is>
      </c>
      <c r="D53" s="7" t="inlineStr">
        <is>
          <t>系別</t>
        </is>
      </c>
      <c r="E53" s="11" t="inlineStr">
        <is>
          <t>特質系</t>
        </is>
      </c>
      <c r="G53" s="7" t="inlineStr">
        <is>
          <t>念量（SP）</t>
        </is>
      </c>
      <c r="H53" s="8" t="n">
        <v>2</v>
      </c>
    </row>
    <row r="54">
      <c r="A54" s="7" t="inlineStr">
        <is>
          <t>BP收入</t>
        </is>
      </c>
      <c r="B54" s="8" t="n">
        <v>4</v>
      </c>
      <c r="C54" s="7" t="inlineStr">
        <is>
          <t>BP支出</t>
        </is>
      </c>
      <c r="D54" s="8" t="n">
        <v>4</v>
      </c>
      <c r="E54" s="7" t="inlineStr">
        <is>
          <t>BP收支</t>
        </is>
      </c>
      <c r="F54" s="8">
        <f>B54-D54</f>
        <v/>
      </c>
    </row>
    <row r="55">
      <c r="A55" s="11" t="inlineStr">
        <is>
          <t>效果：可以看見3秒後的未來(遊戲中=1回合)。啟動後下一回合獲得對單一敵方攻擊的優勢+該敵方對PC的攻擊劣勢。制約：每日3次(+1制約誓約點（BP）)、對同一目標僅能使用1次(+2制約誓約點（BP）)、若預見的未來沒有發生(如敵方該回合不行動)則PC受到1d4精神傷害(+1制約誓約點（BP）)。增強：效果難度-2→命中優勢更穩定(1制約誓約點（BP）)、持續瞬間→1分鐘(1制約誓約點（BP）)、隱藏發動(1制約誓約點（BP）)、附加次要效果：GM需透露敵方下一回合的意圖(1制約誓約點（BP）)。BP收支=4/4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</row>
    <row r="56"/>
    <row r="57"/>
    <row r="58">
      <c r="A58" s="2" t="inlineStr">
        <is>
          <t>裝備與金錢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</row>
    <row r="59">
      <c r="A59" s="7" t="inlineStr">
        <is>
          <t>金錢</t>
        </is>
      </c>
      <c r="B59" s="8" t="inlineStr">
        <is>
          <t>10,000J</t>
        </is>
      </c>
      <c r="D59" s="7" t="inlineStr">
        <is>
          <t>武器</t>
        </is>
      </c>
      <c r="E59" s="11" t="inlineStr">
        <is>
          <t>短劍 1d6 敏捷</t>
        </is>
      </c>
      <c r="G59" s="7" t="inlineStr">
        <is>
          <t>防具</t>
        </is>
      </c>
      <c r="H59" s="11" t="inlineStr">
        <is>
          <t>皮甲 防禦等級（AC）+1</t>
        </is>
      </c>
    </row>
  </sheetData>
  <mergeCells count="8">
    <mergeCell ref="A1:J1"/>
    <mergeCell ref="A23:J23"/>
    <mergeCell ref="A8:J8"/>
    <mergeCell ref="A58:J58"/>
    <mergeCell ref="A3:J3"/>
    <mergeCell ref="A55:J55"/>
    <mergeCell ref="A52:J5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2026-06-22T15:43:21Z</dcterms:created>
  <dcterms:modified xsi:type="dcterms:W3CDTF">2026-07-18T14:30:39Z</dcterms:modified>
</cp:coreProperties>
</file>