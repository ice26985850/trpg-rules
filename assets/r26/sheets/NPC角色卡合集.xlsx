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獵人TRPG_空白模板NPC卡" sheetId="1" state="visible" r:id="rId1"/>
    <sheet name="「守門人」翁" sheetId="2" state="visible" r:id="rId2"/>
    <sheet name="「狼煙」瓦爾德" sheetId="3" state="visible" r:id="rId3"/>
    <sheet name="不死者卡爾維" sheetId="4" state="visible" r:id="rId4"/>
    <sheet name="納斯比灰郭肉" sheetId="5" state="visible" r:id="rId5"/>
    <sheet name="綺多（十二支·戌）" sheetId="6" state="visible" r:id="rId6"/>
    <sheet name="艾德蒙雷" sheetId="7" state="visible" r:id="rId7"/>
    <sheet name="NPC夥伴模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13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right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非玩家角色（NPC） 角色卡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n"/>
      <c r="C4" s="5" t="inlineStr">
        <is>
          <t>身分/職業</t>
        </is>
      </c>
      <c r="D4" s="6" t="n"/>
      <c r="E4" s="5" t="inlineStr">
        <is>
          <t>陣營</t>
        </is>
      </c>
      <c r="F4" s="6" t="n"/>
    </row>
    <row r="5"/>
    <row r="6">
      <c r="A6" s="2" t="inlineStr">
        <is>
          <t>基礎屬性</t>
        </is>
      </c>
      <c r="B6" s="3" t="n"/>
      <c r="C6" s="3" t="n"/>
      <c r="D6" s="3" t="n"/>
      <c r="E6" s="3" t="n"/>
      <c r="F6" s="4" t="n"/>
    </row>
    <row r="7">
      <c r="A7" s="7" t="inlineStr">
        <is>
          <t>屬性</t>
        </is>
      </c>
      <c r="B7" s="7" t="inlineStr">
        <is>
          <t>數值</t>
        </is>
      </c>
      <c r="C7" s="7" t="inlineStr">
        <is>
          <t>修正值</t>
        </is>
      </c>
    </row>
    <row r="8">
      <c r="A8" s="5" t="inlineStr">
        <is>
          <t>體質 體質（CON）</t>
        </is>
      </c>
      <c r="B8" s="8" t="n">
        <v>10</v>
      </c>
      <c r="C8" s="9">
        <f>FLOOR.MATH((B8-10)/2)</f>
        <v/>
      </c>
    </row>
    <row r="9">
      <c r="A9" s="5" t="inlineStr">
        <is>
          <t>敏捷 敏捷（DEX）</t>
        </is>
      </c>
      <c r="B9" s="8" t="n">
        <v>10</v>
      </c>
      <c r="C9" s="9">
        <f>FLOOR.MATH((B9-10)/2)</f>
        <v/>
      </c>
    </row>
    <row r="10">
      <c r="A10" s="5" t="inlineStr">
        <is>
          <t>感知 感知（PER）</t>
        </is>
      </c>
      <c r="B10" s="8" t="n">
        <v>10</v>
      </c>
      <c r="C10" s="9">
        <f>FLOOR.MATH((B10-10)/2)</f>
        <v/>
      </c>
    </row>
    <row r="11">
      <c r="A11" s="5" t="inlineStr">
        <is>
          <t>智力 智力（INT）</t>
        </is>
      </c>
      <c r="B11" s="8" t="n">
        <v>10</v>
      </c>
      <c r="C11" s="9">
        <f>FLOOR.MATH((B11-10)/2)</f>
        <v/>
      </c>
    </row>
    <row r="12">
      <c r="A12" s="5" t="inlineStr">
        <is>
          <t>意志 意志（WIL）</t>
        </is>
      </c>
      <c r="B12" s="8" t="n">
        <v>10</v>
      </c>
      <c r="C12" s="9">
        <f>FLOOR.MATH((B12-10)/2)</f>
        <v/>
      </c>
    </row>
    <row r="13">
      <c r="A13" s="5" t="inlineStr">
        <is>
          <t>魅力 魅力（CHA）</t>
        </is>
      </c>
      <c r="B13" s="8" t="n">
        <v>10</v>
      </c>
      <c r="C13" s="9">
        <f>FLOOR.MATH((B13-10)/2)</f>
        <v/>
      </c>
    </row>
    <row r="14"/>
    <row r="15">
      <c r="A15" s="2" t="inlineStr">
        <is>
          <t>衍生屬性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8">
        <f>B8*5+10</f>
        <v/>
      </c>
    </row>
    <row r="17">
      <c r="A17" s="5" t="inlineStr">
        <is>
          <t>念量（SP）</t>
        </is>
      </c>
      <c r="B17" s="8">
        <f>B12*5+10</f>
        <v/>
      </c>
    </row>
    <row r="18">
      <c r="A18" s="5" t="inlineStr">
        <is>
          <t>防禦等級（AC）</t>
        </is>
      </c>
      <c r="B18" s="8">
        <f>10+C9</f>
        <v/>
      </c>
    </row>
    <row r="19">
      <c r="A19" s="5" t="inlineStr">
        <is>
          <t>先攻</t>
        </is>
      </c>
      <c r="B19" s="8">
        <f>C9+C10</f>
        <v/>
      </c>
    </row>
    <row r="20">
      <c r="A20" s="5" t="inlineStr">
        <is>
          <t>念防禦</t>
        </is>
      </c>
      <c r="B20" s="8">
        <f>C12</f>
        <v/>
      </c>
    </row>
    <row r="21">
      <c r="A21" s="5" t="inlineStr">
        <is>
          <t>挑戰等級（CR）</t>
        </is>
      </c>
      <c r="B21" s="8" t="n"/>
    </row>
    <row r="22"/>
    <row r="23">
      <c r="A23" s="2" t="inlineStr">
        <is>
          <t>念能力與特殊技能</t>
        </is>
      </c>
      <c r="B23" s="3" t="n"/>
      <c r="C23" s="3" t="n"/>
      <c r="D23" s="3" t="n"/>
      <c r="E23" s="3" t="n"/>
      <c r="F23" s="4" t="n"/>
    </row>
    <row r="24">
      <c r="A24" s="7" t="inlineStr">
        <is>
          <t>名稱</t>
        </is>
      </c>
      <c r="B24" s="7" t="inlineStr">
        <is>
          <t>念量（SP）</t>
        </is>
      </c>
      <c r="C24" s="7" t="inlineStr">
        <is>
          <t>效果</t>
        </is>
      </c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/>
    <row r="30">
      <c r="A30" s="2" t="inlineStr">
        <is>
          <t>備註</t>
        </is>
      </c>
      <c r="B30" s="3" t="n"/>
      <c r="C30" s="3" t="n"/>
      <c r="D30" s="3" t="n"/>
      <c r="E30" s="3" t="n"/>
      <c r="F30" s="4" t="n"/>
    </row>
    <row r="31">
      <c r="A31" s="6" t="n"/>
      <c r="B31" s="10" t="n"/>
      <c r="C31" s="10" t="n"/>
      <c r="D31" s="10" t="n"/>
      <c r="E31" s="10" t="n"/>
      <c r="F31" s="11" t="n"/>
    </row>
    <row r="32">
      <c r="A32" s="12" t="n"/>
      <c r="F32" s="13" t="n"/>
    </row>
    <row r="33">
      <c r="A33" s="12" t="n"/>
      <c r="F33" s="13" t="n"/>
    </row>
    <row r="34">
      <c r="A34" s="14" t="n"/>
      <c r="B34" s="15" t="n"/>
      <c r="C34" s="15" t="n"/>
      <c r="D34" s="15" t="n"/>
      <c r="E34" s="15" t="n"/>
      <c r="F34" s="16" t="n"/>
    </row>
  </sheetData>
  <mergeCells count="7">
    <mergeCell ref="A3:F3"/>
    <mergeCell ref="A1:F1"/>
    <mergeCell ref="A23:F23"/>
    <mergeCell ref="A6:F6"/>
    <mergeCell ref="A31:F34"/>
    <mergeCell ref="A30:F3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非玩家角色（NPC）：「守門人」翁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「守門人」翁</t>
        </is>
      </c>
    </row>
    <row r="5">
      <c r="A5" s="5" t="inlineStr">
        <is>
          <t>身分</t>
        </is>
      </c>
      <c r="B5" s="6" t="inlineStr">
        <is>
          <t>莫比烏斯湖的隱者 / 黑暗大陸守門人</t>
        </is>
      </c>
    </row>
    <row r="6">
      <c r="A6" s="5" t="inlineStr">
        <is>
          <t>陣營</t>
        </is>
      </c>
      <c r="B6" s="6" t="inlineStr">
        <is>
          <t>無（獨立）</t>
        </is>
      </c>
    </row>
    <row r="7">
      <c r="A7" s="5" t="inlineStr">
        <is>
          <t>挑戰等級（CR）</t>
        </is>
      </c>
      <c r="B7" s="6" t="n">
        <v>14</v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14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10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20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18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20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14</v>
      </c>
      <c r="C16" s="9">
        <f>FLOOR.MATH((B16-10)/2)</f>
        <v/>
      </c>
    </row>
    <row r="17">
      <c r="A17" s="2" t="inlineStr">
        <is>
          <t>衍生屬性（自動計算）</t>
        </is>
      </c>
      <c r="B17" s="3" t="n"/>
      <c r="C17" s="3" t="n"/>
      <c r="D17" s="3" t="n"/>
      <c r="E17" s="3" t="n"/>
      <c r="F17" s="4" t="n"/>
    </row>
    <row r="18">
      <c r="A18" s="5" t="inlineStr">
        <is>
          <t>生命值（HP）</t>
        </is>
      </c>
      <c r="B18" s="8">
        <f>B10*5+10</f>
        <v/>
      </c>
    </row>
    <row r="19">
      <c r="A19" s="5" t="inlineStr">
        <is>
          <t>念量（SP）</t>
        </is>
      </c>
      <c r="B19" s="8">
        <f>B14*5+10</f>
        <v/>
      </c>
    </row>
    <row r="20">
      <c r="A20" s="5" t="inlineStr">
        <is>
          <t>防禦等級（AC）</t>
        </is>
      </c>
      <c r="B20" s="8">
        <f>10+C11</f>
        <v/>
      </c>
    </row>
    <row r="21">
      <c r="A21" s="5" t="inlineStr">
        <is>
          <t>先攻</t>
        </is>
      </c>
      <c r="B21" s="8">
        <f>C11+C12</f>
        <v/>
      </c>
    </row>
    <row r="22">
      <c r="A22" s="5" t="inlineStr">
        <is>
          <t>念防禦</t>
        </is>
      </c>
      <c r="B22" s="8">
        <f>C14</f>
        <v/>
      </c>
    </row>
    <row r="23">
      <c r="A23" s="5" t="inlineStr">
        <is>
          <t>移動力</t>
        </is>
      </c>
      <c r="B23" s="8">
        <f>B11</f>
        <v/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5" t="inlineStr">
        <is>
          <t>門之守護（特質系）</t>
        </is>
      </c>
      <c r="B26" s="8" t="inlineStr">
        <is>
          <t>念量（SP） 10</t>
        </is>
      </c>
      <c r="C26" s="6" t="inlineStr">
        <is>
          <t>可暫時關閉或開啟黑暗大陸的「門」。使用後冷卻1個月。承諾：守門期間不得離開莫比烏斯湖。</t>
        </is>
      </c>
      <c r="D26" s="3" t="n"/>
      <c r="E26" s="3" t="n"/>
      <c r="F26" s="4" t="n"/>
    </row>
    <row r="27">
      <c r="A27" s="5" t="inlineStr">
        <is>
          <t>鱗片賦予</t>
        </is>
      </c>
      <c r="B27" s="8" t="inlineStr">
        <is>
          <t>念量（SP） 3</t>
        </is>
      </c>
      <c r="C27" s="6" t="inlineStr">
        <is>
          <t>從自身分離一枚守護鱗片，持有者下一次在黑暗大陸的生存檢定自動成功。每次僅能存在一枚。</t>
        </is>
      </c>
      <c r="D27" s="3" t="n"/>
      <c r="E27" s="3" t="n"/>
      <c r="F27" s="4" t="n"/>
    </row>
  </sheetData>
  <mergeCells count="7">
    <mergeCell ref="A3:F3"/>
    <mergeCell ref="A1:F1"/>
    <mergeCell ref="C26:F26"/>
    <mergeCell ref="A9:F9"/>
    <mergeCell ref="A17:F17"/>
    <mergeCell ref="C27:F2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非玩家角色（NPC）：「狼煙」瓦爾德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「狼煙」瓦爾德</t>
        </is>
      </c>
    </row>
    <row r="5">
      <c r="A5" s="5" t="inlineStr">
        <is>
          <t>身分</t>
        </is>
      </c>
      <c r="B5" s="6" t="inlineStr">
        <is>
          <t>天空競技場第200層樓主</t>
        </is>
      </c>
    </row>
    <row r="6">
      <c r="A6" s="5" t="inlineStr">
        <is>
          <t>陣營</t>
        </is>
      </c>
      <c r="B6" s="6" t="inlineStr">
        <is>
          <t>天空競技場</t>
        </is>
      </c>
    </row>
    <row r="7">
      <c r="A7" s="5" t="inlineStr">
        <is>
          <t>挑戰等級（CR）</t>
        </is>
      </c>
      <c r="B7" s="6" t="n">
        <v>8</v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16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16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12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10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18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12</v>
      </c>
      <c r="C16" s="9">
        <f>FLOOR.MATH((B16-10)/2)</f>
        <v/>
      </c>
    </row>
    <row r="17">
      <c r="A17" s="2" t="inlineStr">
        <is>
          <t>衍生屬性（自動計算）</t>
        </is>
      </c>
      <c r="B17" s="3" t="n"/>
      <c r="C17" s="3" t="n"/>
      <c r="D17" s="3" t="n"/>
      <c r="E17" s="3" t="n"/>
      <c r="F17" s="4" t="n"/>
    </row>
    <row r="18">
      <c r="A18" s="5" t="inlineStr">
        <is>
          <t>生命值（HP）</t>
        </is>
      </c>
      <c r="B18" s="8">
        <f>B10*5+10</f>
        <v/>
      </c>
    </row>
    <row r="19">
      <c r="A19" s="5" t="inlineStr">
        <is>
          <t>念量（SP）</t>
        </is>
      </c>
      <c r="B19" s="8">
        <f>B14*5+10</f>
        <v/>
      </c>
    </row>
    <row r="20">
      <c r="A20" s="5" t="inlineStr">
        <is>
          <t>防禦等級（AC）</t>
        </is>
      </c>
      <c r="B20" s="8">
        <f>10+C11</f>
        <v/>
      </c>
    </row>
    <row r="21">
      <c r="A21" s="5" t="inlineStr">
        <is>
          <t>先攻</t>
        </is>
      </c>
      <c r="B21" s="8">
        <f>C11+C12</f>
        <v/>
      </c>
    </row>
    <row r="22">
      <c r="A22" s="5" t="inlineStr">
        <is>
          <t>念防禦</t>
        </is>
      </c>
      <c r="B22" s="8">
        <f>C14</f>
        <v/>
      </c>
    </row>
    <row r="23">
      <c r="A23" s="5" t="inlineStr">
        <is>
          <t>移動力</t>
        </is>
      </c>
      <c r="B23" s="8">
        <f>B11</f>
        <v/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5" t="inlineStr">
        <is>
          <t>狼煙（放出系）</t>
        </is>
      </c>
      <c r="B26" s="8" t="inlineStr">
        <is>
          <t>念量（SP） 8</t>
        </is>
      </c>
      <c r="C26" s="6" t="inlineStr">
        <is>
          <t>釋放濃密念煙，10m範圍內所有目標每回合3d6念傷害+強韌DC16否則麻痺。制約：僅競技場內+2制約誓約點（BP）、使用後1hr內無其他放出系+2制約誓約點（BP）。BP收支=6/6。</t>
        </is>
      </c>
      <c r="D26" s="3" t="n"/>
      <c r="E26" s="3" t="n"/>
      <c r="F26" s="4" t="n"/>
    </row>
  </sheetData>
  <mergeCells count="6">
    <mergeCell ref="A1:F1"/>
    <mergeCell ref="C26:F26"/>
    <mergeCell ref="A9:F9"/>
    <mergeCell ref="A17:F17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獵人 TRPG  非玩家角色（NPC）：不死者卡爾維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卡爾維</t>
        </is>
      </c>
    </row>
    <row r="5">
      <c r="A5" s="5" t="inlineStr">
        <is>
          <t>身分</t>
        </is>
      </c>
      <c r="B5" s="6" t="inlineStr">
        <is>
          <t>艾爾德文明最後的倖存者 / 不死者</t>
        </is>
      </c>
    </row>
    <row r="6">
      <c r="A6" s="5" t="inlineStr">
        <is>
          <t>陣營</t>
        </is>
      </c>
      <c r="B6" s="6" t="inlineStr">
        <is>
          <t>中立（可合作）</t>
        </is>
      </c>
    </row>
    <row r="7">
      <c r="A7" s="5" t="inlineStr">
        <is>
          <t>挑戰等級（CR）</t>
        </is>
      </c>
      <c r="B7" s="6" t="inlineStr">
        <is>
          <t>12</t>
        </is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17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12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18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20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20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14</v>
      </c>
      <c r="C16" s="9">
        <f>FLOOR.MATH((B16-10)/2)</f>
        <v/>
      </c>
    </row>
    <row r="17"/>
    <row r="18">
      <c r="A18" s="5" t="inlineStr">
        <is>
          <t>生命值（HP）</t>
        </is>
      </c>
      <c r="B18" s="8" t="n">
        <v>150</v>
      </c>
    </row>
    <row r="19">
      <c r="A19" s="5" t="inlineStr">
        <is>
          <t>念量（SP）</t>
        </is>
      </c>
      <c r="B19" s="8">
        <f>B14*5+30</f>
        <v/>
      </c>
    </row>
    <row r="20">
      <c r="A20" s="5" t="inlineStr">
        <is>
          <t>防禦等級（AC）</t>
        </is>
      </c>
      <c r="B20" s="8" t="n">
        <v>16</v>
      </c>
    </row>
    <row r="21">
      <c r="A21" s="5" t="inlineStr">
        <is>
          <t>先攻（自動）</t>
        </is>
      </c>
      <c r="B21" s="8">
        <f>C10+F10</f>
        <v/>
      </c>
    </row>
    <row r="22">
      <c r="A22" s="5" t="inlineStr">
        <is>
          <t>念防禦（自動）</t>
        </is>
      </c>
      <c r="B22" s="8">
        <f>C14</f>
        <v/>
      </c>
    </row>
    <row r="23">
      <c r="A23" s="5" t="inlineStr">
        <is>
          <t>移動力</t>
        </is>
      </c>
      <c r="B23" s="8">
        <f>B10</f>
        <v/>
      </c>
    </row>
    <row r="24"/>
    <row r="25">
      <c r="A25" s="6" t="inlineStr">
        <is>
          <t>吸收觸碰（SP3）：d20+8命中，2d8念傷害，命中後回復等量HP。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不死特性：HP降至0後1d4回合自動恢復至1生命值（HP）。唯一消滅方式：艾爾德逆轉儀式。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逆轉儀式（SP10）：可逆轉一個生物的左布症感染（需PC證明自己）。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三千年的孤獨：洞察檢定對其無效（他已見過所有謊言）。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對話優先：卡爾維不是必須戰鬥的NPC。他渴望對話勝過戰鬥。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備註</t>
        </is>
      </c>
      <c r="B31" s="3" t="n"/>
      <c r="C31" s="3" t="n"/>
      <c r="D31" s="3" t="n"/>
      <c r="E31" s="3" t="n"/>
      <c r="F31" s="4" t="n"/>
    </row>
    <row r="32">
      <c r="A32" s="6" t="inlineStr">
        <is>
          <t>卡爾維是劇本六的核心NPC。他是左布症的唯一解藥來源。PC可透過「拒絕永生」、「治療而非消滅難民」、「分食」三個考驗獲得他的信任。</t>
        </is>
      </c>
      <c r="B32" s="10" t="n"/>
      <c r="C32" s="10" t="n"/>
      <c r="D32" s="10" t="n"/>
      <c r="E32" s="10" t="n"/>
      <c r="F32" s="11" t="n"/>
    </row>
    <row r="33">
      <c r="A33" s="12" t="n"/>
      <c r="F33" s="13" t="n"/>
    </row>
    <row r="34">
      <c r="A34" s="14" t="n"/>
      <c r="B34" s="15" t="n"/>
      <c r="C34" s="15" t="n"/>
      <c r="D34" s="15" t="n"/>
      <c r="E34" s="15" t="n"/>
      <c r="F34" s="16" t="n"/>
    </row>
  </sheetData>
  <mergeCells count="10">
    <mergeCell ref="A32:F34"/>
    <mergeCell ref="A28:F28"/>
    <mergeCell ref="A3:F3"/>
    <mergeCell ref="A1:F1"/>
    <mergeCell ref="A9:F9"/>
    <mergeCell ref="A27:F27"/>
    <mergeCell ref="A31:F31"/>
    <mergeCell ref="A26:F26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獵人 TRPG  非玩家角色（NPC）：納斯比·灰郭肉（卡金國王）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納斯比·灰郭肉</t>
        </is>
      </c>
    </row>
    <row r="5">
      <c r="A5" s="5" t="inlineStr">
        <is>
          <t>身分</t>
        </is>
      </c>
      <c r="B5" s="6" t="inlineStr">
        <is>
          <t>卡金王國現任國王</t>
        </is>
      </c>
    </row>
    <row r="6">
      <c r="A6" s="5" t="inlineStr">
        <is>
          <t>陣營</t>
        </is>
      </c>
      <c r="B6" s="6" t="inlineStr">
        <is>
          <t>卡金王國（可說服）</t>
        </is>
      </c>
    </row>
    <row r="7">
      <c r="A7" s="5" t="inlineStr">
        <is>
          <t>挑戰等級（CR）</t>
        </is>
      </c>
      <c r="B7" s="6" t="inlineStr">
        <is>
          <t>10</t>
        </is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14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10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18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16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20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22</v>
      </c>
      <c r="C16" s="9">
        <f>FLOOR.MATH((B16-10)/2)</f>
        <v/>
      </c>
    </row>
    <row r="17"/>
    <row r="18">
      <c r="A18" s="5" t="inlineStr">
        <is>
          <t>生命值（HP）</t>
        </is>
      </c>
      <c r="B18" s="8" t="n">
        <v>85</v>
      </c>
    </row>
    <row r="19">
      <c r="A19" s="5" t="inlineStr">
        <is>
          <t>念量（SP）</t>
        </is>
      </c>
      <c r="B19" s="8">
        <f>B14*5+30</f>
        <v/>
      </c>
    </row>
    <row r="20">
      <c r="A20" s="5" t="inlineStr">
        <is>
          <t>防禦等級（AC）</t>
        </is>
      </c>
      <c r="B20" s="8" t="n">
        <v>14</v>
      </c>
    </row>
    <row r="21">
      <c r="A21" s="5" t="inlineStr">
        <is>
          <t>先攻（自動）</t>
        </is>
      </c>
      <c r="B21" s="8">
        <f>C10+F10</f>
        <v/>
      </c>
    </row>
    <row r="22">
      <c r="A22" s="5" t="inlineStr">
        <is>
          <t>念防禦（自動）</t>
        </is>
      </c>
      <c r="B22" s="8">
        <f>C14</f>
        <v/>
      </c>
    </row>
    <row r="23">
      <c r="A23" s="5" t="inlineStr">
        <is>
          <t>移動力</t>
        </is>
      </c>
      <c r="B23" s="8">
        <f>B10</f>
        <v/>
      </c>
    </row>
    <row r="24"/>
    <row r="25">
      <c r="A25" s="6" t="inlineStr">
        <is>
          <t>壺的持有者：卡金國王持有「壺」——一個黑暗大陸古代遺物，可判定「證明」的價值。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念能力：王權（特質系）——壺賦予的能力。可在繼承式上強制所有王子服從判決。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冷酷但非殘忍：納斯比遵循傳統，但可以被說服。交涉DC25可改變王位爭奪規則。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若說服失敗：他會堅持傳統——「壺的判決不可違背」。</t>
        </is>
      </c>
      <c r="B28" s="3" t="n"/>
      <c r="C28" s="3" t="n"/>
      <c r="D28" s="3" t="n"/>
      <c r="E28" s="3" t="n"/>
      <c r="F28" s="4" t="n"/>
    </row>
    <row r="29"/>
    <row r="30">
      <c r="A30" s="2" t="inlineStr">
        <is>
          <t>備註</t>
        </is>
      </c>
      <c r="B30" s="3" t="n"/>
      <c r="C30" s="3" t="n"/>
      <c r="D30" s="3" t="n"/>
      <c r="E30" s="3" t="n"/>
      <c r="F30" s="4" t="n"/>
    </row>
    <row r="31">
      <c r="A31" s="6" t="inlineStr">
        <is>
          <t>納斯比是劇本七「全員存活」路線的關鍵NPC。說服他是最直接的解法（DC25）。PC可透過收集「壺是黑暗大陸遺物」的證據來降低DC（每項證據-2）。</t>
        </is>
      </c>
      <c r="B31" s="10" t="n"/>
      <c r="C31" s="10" t="n"/>
      <c r="D31" s="10" t="n"/>
      <c r="E31" s="10" t="n"/>
      <c r="F31" s="11" t="n"/>
    </row>
    <row r="32">
      <c r="A32" s="12" t="n"/>
      <c r="F32" s="13" t="n"/>
    </row>
    <row r="33">
      <c r="A33" s="14" t="n"/>
      <c r="B33" s="15" t="n"/>
      <c r="C33" s="15" t="n"/>
      <c r="D33" s="15" t="n"/>
      <c r="E33" s="15" t="n"/>
      <c r="F33" s="16" t="n"/>
    </row>
  </sheetData>
  <mergeCells count="9">
    <mergeCell ref="A28:F28"/>
    <mergeCell ref="A31:F33"/>
    <mergeCell ref="A3:F3"/>
    <mergeCell ref="A1:F1"/>
    <mergeCell ref="A9:F9"/>
    <mergeCell ref="A27:F27"/>
    <mergeCell ref="A26:F26"/>
    <mergeCell ref="A30:F30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非玩家角色（NPC）：綺多（十二支·戌）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綺多（十二支·戌）</t>
        </is>
      </c>
    </row>
    <row r="5">
      <c r="A5" s="5" t="inlineStr">
        <is>
          <t>身分</t>
        </is>
      </c>
      <c r="B5" s="6" t="inlineStr">
        <is>
          <t>獵人協會改革派領袖 / 第288期主考官</t>
        </is>
      </c>
    </row>
    <row r="6">
      <c r="A6" s="5" t="inlineStr">
        <is>
          <t>陣營</t>
        </is>
      </c>
      <c r="B6" s="6" t="inlineStr">
        <is>
          <t>獵人協會·改革派</t>
        </is>
      </c>
    </row>
    <row r="7">
      <c r="A7" s="5" t="inlineStr">
        <is>
          <t>挑戰等級（CR）</t>
        </is>
      </c>
      <c r="B7" s="6" t="n">
        <v>8</v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12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14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18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20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16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16</v>
      </c>
      <c r="C16" s="9">
        <f>FLOOR.MATH((B16-10)/2)</f>
        <v/>
      </c>
    </row>
    <row r="17">
      <c r="A17" s="2" t="inlineStr">
        <is>
          <t>衍生屬性（自動計算）</t>
        </is>
      </c>
      <c r="B17" s="3" t="n"/>
      <c r="C17" s="3" t="n"/>
      <c r="D17" s="3" t="n"/>
      <c r="E17" s="3" t="n"/>
      <c r="F17" s="4" t="n"/>
    </row>
    <row r="18">
      <c r="A18" s="5" t="inlineStr">
        <is>
          <t>生命值（HP）</t>
        </is>
      </c>
      <c r="B18" s="8">
        <f>B10*5+10</f>
        <v/>
      </c>
    </row>
    <row r="19">
      <c r="A19" s="5" t="inlineStr">
        <is>
          <t>念量（SP）</t>
        </is>
      </c>
      <c r="B19" s="8">
        <f>B14*5+10</f>
        <v/>
      </c>
    </row>
    <row r="20">
      <c r="A20" s="5" t="inlineStr">
        <is>
          <t>防禦等級（AC）</t>
        </is>
      </c>
      <c r="B20" s="8">
        <f>10+C11</f>
        <v/>
      </c>
    </row>
    <row r="21">
      <c r="A21" s="5" t="inlineStr">
        <is>
          <t>先攻</t>
        </is>
      </c>
      <c r="B21" s="8">
        <f>C11+C12</f>
        <v/>
      </c>
    </row>
    <row r="22">
      <c r="A22" s="5" t="inlineStr">
        <is>
          <t>念防禦</t>
        </is>
      </c>
      <c r="B22" s="8">
        <f>C14</f>
        <v/>
      </c>
    </row>
    <row r="23">
      <c r="A23" s="5" t="inlineStr">
        <is>
          <t>移動力</t>
        </is>
      </c>
      <c r="B23" s="8">
        <f>B11</f>
        <v/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5" t="inlineStr">
        <is>
          <t>千里眼（特質系）</t>
        </is>
      </c>
      <c r="B26" s="8" t="inlineStr">
        <is>
          <t>念量（SP） 4</t>
        </is>
      </c>
      <c r="C26" s="6" t="inlineStr">
        <is>
          <t>可以在任何地方看到獵人考試的進行情況。範圍：全球。限制：僅對自己擔任主考官的考試有效。</t>
        </is>
      </c>
      <c r="D26" s="3" t="n"/>
      <c r="E26" s="3" t="n"/>
      <c r="F26" s="4" t="n"/>
    </row>
    <row r="27">
      <c r="A27" s="5" t="inlineStr">
        <is>
          <t>戰術推演</t>
        </is>
      </c>
      <c r="B27" s="8" t="inlineStr">
        <is>
          <t>念量（SP） 0</t>
        </is>
      </c>
      <c r="C27" s="6" t="inlineStr">
        <is>
          <t>每回合開始時進行智力(戰術)DC15檢定，成功則預測一個敵方行動並獲得對應優勢。</t>
        </is>
      </c>
      <c r="D27" s="3" t="n"/>
      <c r="E27" s="3" t="n"/>
      <c r="F27" s="4" t="n"/>
    </row>
  </sheetData>
  <mergeCells count="7">
    <mergeCell ref="A3:F3"/>
    <mergeCell ref="A1:F1"/>
    <mergeCell ref="C26:F26"/>
    <mergeCell ref="A9:F9"/>
    <mergeCell ref="A17:F17"/>
    <mergeCell ref="C27:F2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獵人 TRPG  非玩家角色（NPC）：艾德蒙·雷（V5指揮官）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姓名</t>
        </is>
      </c>
      <c r="B4" s="6" t="inlineStr">
        <is>
          <t>艾德蒙·雷</t>
        </is>
      </c>
    </row>
    <row r="5">
      <c r="A5" s="5" t="inlineStr">
        <is>
          <t>身分</t>
        </is>
      </c>
      <c r="B5" s="6" t="inlineStr">
        <is>
          <t>V5祕密艦隊總指揮官 / 前V5緘默條約執行官</t>
        </is>
      </c>
    </row>
    <row r="6">
      <c r="A6" s="5" t="inlineStr">
        <is>
          <t>陣營</t>
        </is>
      </c>
      <c r="B6" s="6" t="inlineStr">
        <is>
          <t>V5（可說服轉向）</t>
        </is>
      </c>
    </row>
    <row r="7">
      <c r="A7" s="5" t="inlineStr">
        <is>
          <t>挑戰等級（CR）</t>
        </is>
      </c>
      <c r="B7" s="6" t="inlineStr">
        <is>
          <t>6（個人戰鬥力）</t>
        </is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12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10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16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18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16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18</v>
      </c>
      <c r="C16" s="9">
        <f>FLOOR.MATH((B16-10)/2)</f>
        <v/>
      </c>
    </row>
    <row r="17"/>
    <row r="18">
      <c r="A18" s="5" t="inlineStr">
        <is>
          <t>生命值（HP）</t>
        </is>
      </c>
      <c r="B18" s="8" t="n">
        <v>65</v>
      </c>
    </row>
    <row r="19">
      <c r="A19" s="5" t="inlineStr">
        <is>
          <t>念量（SP）</t>
        </is>
      </c>
      <c r="B19" s="8">
        <f>B14*5+20</f>
        <v/>
      </c>
    </row>
    <row r="20">
      <c r="A20" s="5" t="inlineStr">
        <is>
          <t>防禦等級（AC）</t>
        </is>
      </c>
      <c r="B20" s="8" t="n">
        <v>12</v>
      </c>
    </row>
    <row r="21">
      <c r="A21" s="5" t="inlineStr">
        <is>
          <t>先攻（自動）</t>
        </is>
      </c>
      <c r="B21" s="8">
        <f>C10+F10</f>
        <v/>
      </c>
    </row>
    <row r="22">
      <c r="A22" s="5" t="inlineStr">
        <is>
          <t>念防禦（自動）</t>
        </is>
      </c>
      <c r="B22" s="8">
        <f>C14</f>
        <v/>
      </c>
    </row>
    <row r="23">
      <c r="A23" s="5" t="inlineStr">
        <is>
          <t>移動力</t>
        </is>
      </c>
      <c r="B23" s="8">
        <f>B10</f>
        <v/>
      </c>
    </row>
    <row r="24"/>
    <row r="25">
      <c r="A25" s="6" t="inlineStr">
        <is>
          <t>艾德蒙個人戰鬥力不強（CR6）。他的真正力量是艦隊指揮。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政治家：交涉檢定對PC獲得優勢（他一生都在談判桌前）。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絕望而非邪惡：他不是反派——他是真心相信黑暗大陸是人類唯一的希望。可被說服。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說服路線（GM參考）：PC需展示「黑暗大陸不是資源而是活著的生態」+「五大災難的真實本質」+「提出新協定方案」。三項至少完成兩項。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若說服成功：艾德蒙下令艦隊撤退，並成為PC在V5內部的祕密盟友。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備註</t>
        </is>
      </c>
      <c r="B31" s="3" t="n"/>
      <c r="C31" s="3" t="n"/>
      <c r="D31" s="3" t="n"/>
      <c r="E31" s="3" t="n"/>
      <c r="F31" s="4" t="n"/>
    </row>
    <row r="32">
      <c r="A32" s="6" t="inlineStr">
        <is>
          <t>艾德蒙是劇本十的核心NPC。他的存在是為了讓「門的抉擇」不只是武力衝突——而是外交與信念的對決。</t>
        </is>
      </c>
      <c r="B32" s="10" t="n"/>
      <c r="C32" s="10" t="n"/>
      <c r="D32" s="10" t="n"/>
      <c r="E32" s="10" t="n"/>
      <c r="F32" s="11" t="n"/>
    </row>
    <row r="33">
      <c r="A33" s="12" t="n"/>
      <c r="F33" s="13" t="n"/>
    </row>
    <row r="34">
      <c r="A34" s="14" t="n"/>
      <c r="B34" s="15" t="n"/>
      <c r="C34" s="15" t="n"/>
      <c r="D34" s="15" t="n"/>
      <c r="E34" s="15" t="n"/>
      <c r="F34" s="16" t="n"/>
    </row>
  </sheetData>
  <mergeCells count="10">
    <mergeCell ref="A32:F34"/>
    <mergeCell ref="A28:F28"/>
    <mergeCell ref="A3:F3"/>
    <mergeCell ref="A1:F1"/>
    <mergeCell ref="A9:F9"/>
    <mergeCell ref="A27:F27"/>
    <mergeCell ref="A31:F31"/>
    <mergeCell ref="A26:F26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獵人 TRPG  NPC夥伴模板（單人模式用）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4" t="n"/>
    </row>
    <row r="4">
      <c r="A4" s="5" t="inlineStr">
        <is>
          <t>夥伴名稱</t>
        </is>
      </c>
      <c r="B4" s="6" t="inlineStr">
        <is>
          <t>________</t>
        </is>
      </c>
    </row>
    <row r="5">
      <c r="A5" s="5" t="inlineStr">
        <is>
          <t>類型(戰鬥/防禦/支援/情報/干擾)</t>
        </is>
      </c>
      <c r="B5" s="6" t="inlineStr">
        <is>
          <t>________</t>
        </is>
      </c>
    </row>
    <row r="6">
      <c r="A6" s="5" t="inlineStr">
        <is>
          <t>挑戰等級（CR）</t>
        </is>
      </c>
      <c r="B6" s="6" t="inlineStr">
        <is>
          <t>依PC階段</t>
        </is>
      </c>
    </row>
    <row r="7">
      <c r="A7" s="5" t="inlineStr">
        <is>
          <t>念能力</t>
        </is>
      </c>
      <c r="B7" s="6" t="inlineStr">
        <is>
          <t>________</t>
        </is>
      </c>
    </row>
    <row r="8"/>
    <row r="9">
      <c r="A9" s="2" t="inlineStr">
        <is>
          <t>基礎屬性</t>
        </is>
      </c>
      <c r="B9" s="3" t="n"/>
      <c r="C9" s="3" t="n"/>
      <c r="D9" s="3" t="n"/>
      <c r="E9" s="3" t="n"/>
      <c r="F9" s="4" t="n"/>
    </row>
    <row r="10">
      <c r="A10" s="7" t="inlineStr">
        <is>
          <t>屬性</t>
        </is>
      </c>
      <c r="B10" s="7" t="inlineStr">
        <is>
          <t>數值</t>
        </is>
      </c>
      <c r="C10" s="7" t="inlineStr">
        <is>
          <t>修正值</t>
        </is>
      </c>
    </row>
    <row r="11">
      <c r="A11" s="5" t="inlineStr">
        <is>
          <t>體質 體質（CON）</t>
        </is>
      </c>
      <c r="B11" s="8" t="n">
        <v>10</v>
      </c>
      <c r="C11" s="9">
        <f>FLOOR.MATH((B11-10)/2)</f>
        <v/>
      </c>
    </row>
    <row r="12">
      <c r="A12" s="5" t="inlineStr">
        <is>
          <t>敏捷 敏捷（DEX）</t>
        </is>
      </c>
      <c r="B12" s="8" t="n">
        <v>12</v>
      </c>
      <c r="C12" s="9">
        <f>FLOOR.MATH((B12-10)/2)</f>
        <v/>
      </c>
    </row>
    <row r="13">
      <c r="A13" s="5" t="inlineStr">
        <is>
          <t>感知 感知（PER）</t>
        </is>
      </c>
      <c r="B13" s="8" t="n">
        <v>12</v>
      </c>
      <c r="C13" s="9">
        <f>FLOOR.MATH((B13-10)/2)</f>
        <v/>
      </c>
    </row>
    <row r="14">
      <c r="A14" s="5" t="inlineStr">
        <is>
          <t>智力 智力（INT）</t>
        </is>
      </c>
      <c r="B14" s="8" t="n">
        <v>10</v>
      </c>
      <c r="C14" s="9">
        <f>FLOOR.MATH((B14-10)/2)</f>
        <v/>
      </c>
    </row>
    <row r="15">
      <c r="A15" s="5" t="inlineStr">
        <is>
          <t>意志 意志（WIL）</t>
        </is>
      </c>
      <c r="B15" s="8" t="n">
        <v>10</v>
      </c>
      <c r="C15" s="9">
        <f>FLOOR.MATH((B15-10)/2)</f>
        <v/>
      </c>
    </row>
    <row r="16">
      <c r="A16" s="5" t="inlineStr">
        <is>
          <t>魅力 魅力（CHA）</t>
        </is>
      </c>
      <c r="B16" s="8" t="n">
        <v>10</v>
      </c>
      <c r="C16" s="9">
        <f>FLOOR.MATH((B16-10)/2)</f>
        <v/>
      </c>
    </row>
    <row r="17"/>
    <row r="18">
      <c r="A18" s="2" t="inlineStr">
        <is>
          <t>戰鬥數值（自動計算）</t>
        </is>
      </c>
      <c r="B18" s="3" t="n"/>
      <c r="C18" s="3" t="n"/>
      <c r="D18" s="3" t="n"/>
      <c r="E18" s="3" t="n"/>
      <c r="F18" s="4" t="n"/>
    </row>
    <row r="19">
      <c r="A19" s="5" t="inlineStr">
        <is>
          <t>生命值（HP）</t>
        </is>
      </c>
      <c r="B19" s="8">
        <f>B10*5+10</f>
        <v/>
      </c>
    </row>
    <row r="20">
      <c r="A20" s="5" t="inlineStr">
        <is>
          <t>念量（SP）</t>
        </is>
      </c>
      <c r="B20" s="8">
        <f>B14*5+10</f>
        <v/>
      </c>
    </row>
    <row r="21">
      <c r="A21" s="5" t="inlineStr">
        <is>
          <t>防禦等級（AC）</t>
        </is>
      </c>
      <c r="B21" s="8">
        <f>10+C11</f>
        <v/>
      </c>
    </row>
    <row r="22">
      <c r="A22" s="5" t="inlineStr">
        <is>
          <t>先攻</t>
        </is>
      </c>
      <c r="B22" s="8">
        <f>C11+C12</f>
        <v/>
      </c>
    </row>
    <row r="23"/>
    <row r="24">
      <c r="A24" s="2" t="inlineStr">
        <is>
          <t>技能熟練（填入加值：0/2/4/6）</t>
        </is>
      </c>
      <c r="B24" s="3" t="n"/>
      <c r="C24" s="3" t="n"/>
      <c r="D24" s="3" t="n"/>
      <c r="E24" s="3" t="n"/>
      <c r="F24" s="4" t="n"/>
    </row>
    <row r="25">
      <c r="A25" s="6" t="inlineStr">
        <is>
          <t>耐久</t>
        </is>
      </c>
      <c r="B25" s="8" t="inlineStr"/>
      <c r="D25" s="6" t="inlineStr">
        <is>
          <t>生存</t>
        </is>
      </c>
      <c r="E25" s="8" t="inlineStr"/>
    </row>
    <row r="26">
      <c r="A26" s="6" t="inlineStr">
        <is>
          <t>運動</t>
        </is>
      </c>
      <c r="B26" s="8" t="inlineStr"/>
      <c r="D26" s="6" t="inlineStr">
        <is>
          <t>近戰(力)</t>
        </is>
      </c>
      <c r="E26" s="8" t="inlineStr"/>
    </row>
    <row r="27">
      <c r="A27" s="6" t="inlineStr">
        <is>
          <t>潛行</t>
        </is>
      </c>
      <c r="B27" s="8" t="inlineStr"/>
      <c r="D27" s="6" t="inlineStr">
        <is>
          <t>雜技</t>
        </is>
      </c>
      <c r="E27" s="8" t="inlineStr"/>
    </row>
    <row r="28">
      <c r="A28" s="6" t="inlineStr">
        <is>
          <t>巧手</t>
        </is>
      </c>
      <c r="B28" s="8" t="inlineStr"/>
      <c r="D28" s="6" t="inlineStr">
        <is>
          <t>射擊</t>
        </is>
      </c>
      <c r="E28" s="8" t="inlineStr"/>
    </row>
    <row r="29">
      <c r="A29" s="6" t="inlineStr">
        <is>
          <t>近戰(精)</t>
        </is>
      </c>
      <c r="B29" s="8" t="inlineStr"/>
      <c r="D29" s="6" t="inlineStr">
        <is>
          <t>察覺</t>
        </is>
      </c>
      <c r="E29" s="8" t="inlineStr"/>
    </row>
    <row r="30">
      <c r="A30" s="6" t="inlineStr">
        <is>
          <t>追跡</t>
        </is>
      </c>
      <c r="B30" s="8" t="inlineStr"/>
      <c r="D30" s="6" t="inlineStr">
        <is>
          <t>洞察</t>
        </is>
      </c>
      <c r="E30" s="8" t="inlineStr"/>
    </row>
    <row r="31">
      <c r="A31" s="6" t="inlineStr">
        <is>
          <t>念感</t>
        </is>
      </c>
      <c r="B31" s="8" t="inlineStr"/>
      <c r="D31" s="6" t="inlineStr">
        <is>
          <t>念知識</t>
        </is>
      </c>
      <c r="E31" s="8" t="inlineStr"/>
    </row>
    <row r="32">
      <c r="A32" s="6" t="inlineStr">
        <is>
          <t>調查</t>
        </is>
      </c>
      <c r="B32" s="8" t="inlineStr"/>
      <c r="D32" s="6" t="inlineStr">
        <is>
          <t>醫學</t>
        </is>
      </c>
      <c r="E32" s="8" t="inlineStr"/>
    </row>
    <row r="33">
      <c r="A33" s="6" t="inlineStr">
        <is>
          <t>戰術</t>
        </is>
      </c>
      <c r="B33" s="8" t="inlineStr"/>
      <c r="D33" s="6" t="inlineStr">
        <is>
          <t>念攻擊(操)</t>
        </is>
      </c>
      <c r="E33" s="8" t="inlineStr"/>
    </row>
    <row r="34">
      <c r="A34" s="6" t="inlineStr">
        <is>
          <t>念控制</t>
        </is>
      </c>
      <c r="B34" s="8" t="inlineStr"/>
      <c r="D34" s="6" t="inlineStr">
        <is>
          <t>專注</t>
        </is>
      </c>
      <c r="E34" s="8" t="inlineStr"/>
    </row>
    <row r="35">
      <c r="A35" s="6" t="inlineStr">
        <is>
          <t>勇氣</t>
        </is>
      </c>
      <c r="B35" s="8" t="inlineStr"/>
      <c r="D35" s="6" t="inlineStr">
        <is>
          <t>誓約</t>
        </is>
      </c>
      <c r="E35" s="8" t="inlineStr"/>
    </row>
    <row r="36">
      <c r="A36" s="6" t="inlineStr">
        <is>
          <t>念攻擊(直)</t>
        </is>
      </c>
      <c r="B36" s="8" t="inlineStr"/>
      <c r="D36" s="6" t="inlineStr">
        <is>
          <t>交涉</t>
        </is>
      </c>
      <c r="E36" s="8" t="inlineStr"/>
    </row>
    <row r="37">
      <c r="A37" s="6" t="inlineStr">
        <is>
          <t>欺騙</t>
        </is>
      </c>
      <c r="B37" s="8" t="inlineStr"/>
      <c r="D37" s="6" t="inlineStr">
        <is>
          <t>威嚇</t>
        </is>
      </c>
      <c r="E37" s="8" t="inlineStr"/>
    </row>
    <row r="38">
      <c r="A38" s="6" t="inlineStr">
        <is>
          <t>領袖</t>
        </is>
      </c>
      <c r="B38" s="8" t="inlineStr"/>
    </row>
    <row r="39"/>
    <row r="40">
      <c r="A40" s="2" t="inlineStr">
        <is>
          <t>念能力</t>
        </is>
      </c>
      <c r="B40" s="3" t="n"/>
      <c r="C40" s="3" t="n"/>
      <c r="D40" s="3" t="n"/>
      <c r="E40" s="3" t="n"/>
      <c r="F40" s="4" t="n"/>
    </row>
    <row r="41">
      <c r="A41" s="5" t="inlineStr">
        <is>
          <t>名稱</t>
        </is>
      </c>
      <c r="B41" s="6" t="inlineStr"/>
      <c r="C41" s="5" t="inlineStr">
        <is>
          <t>SP消耗</t>
        </is>
      </c>
      <c r="D41" s="8" t="inlineStr"/>
    </row>
    <row r="42">
      <c r="A42" s="6" t="inlineStr">
        <is>
          <t>效果：</t>
        </is>
      </c>
      <c r="B42" s="3" t="n"/>
      <c r="C42" s="3" t="n"/>
      <c r="D42" s="3" t="n"/>
      <c r="E42" s="3" t="n"/>
      <c r="F42" s="4" t="n"/>
    </row>
    <row r="43"/>
    <row r="44">
      <c r="A44" s="6" t="inlineStr">
        <is>
          <t>備註：夥伴每回合僅1個標準動作（無移動/輔助/反應），先攻固定在PC之後。</t>
        </is>
      </c>
    </row>
  </sheetData>
  <mergeCells count="7">
    <mergeCell ref="A24:F24"/>
    <mergeCell ref="A42:F42"/>
    <mergeCell ref="A1:F1"/>
    <mergeCell ref="A9:F9"/>
    <mergeCell ref="A40:F40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2026-06-21T15:45:36Z</dcterms:created>
  <dcterms:modified xsi:type="dcterms:W3CDTF">2026-07-18T14:30:38Z</dcterms:modified>
</cp:coreProperties>
</file>