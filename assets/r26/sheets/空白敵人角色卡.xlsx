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方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7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獵人 TRPG  敵方角色卡</t>
        </is>
      </c>
    </row>
    <row r="2"/>
    <row r="3">
      <c r="A3" s="2" t="inlineStr">
        <is>
          <t>基本資訊</t>
        </is>
      </c>
      <c r="B3" s="9" t="n"/>
      <c r="C3" s="9" t="n"/>
      <c r="D3" s="9" t="n"/>
      <c r="E3" s="9" t="n"/>
      <c r="F3" s="10" t="n"/>
    </row>
    <row r="4">
      <c r="A4" s="4" t="inlineStr">
        <is>
          <t>敵人名稱</t>
        </is>
      </c>
      <c r="B4" s="4" t="inlineStr">
        <is>
          <t>挑戰等級（CR）</t>
        </is>
      </c>
      <c r="C4" s="4" t="inlineStr">
        <is>
          <t>類型（雜魚/中堅/頭目（BOSS））</t>
        </is>
      </c>
      <c r="D4" s="4" t="inlineStr">
        <is>
          <t>XP獎勵</t>
        </is>
      </c>
      <c r="E4" t="inlineStr">
        <is>
          <t>備註: XP獎勵欄位為EP值(GM遭遇構建用)。玩家實際角色XP見玩家手冊§2-9</t>
        </is>
      </c>
    </row>
    <row r="5">
      <c r="A5" s="5" t="inlineStr"/>
      <c r="B5" s="6" t="inlineStr"/>
      <c r="C5" s="6" t="inlineStr"/>
      <c r="D5" s="6" t="inlineStr"/>
    </row>
    <row r="6"/>
    <row r="7">
      <c r="A7" s="2" t="inlineStr">
        <is>
          <t>戰鬥屬性</t>
        </is>
      </c>
      <c r="B7" s="9" t="n"/>
      <c r="C7" s="9" t="n"/>
      <c r="D7" s="9" t="n"/>
      <c r="E7" s="9" t="n"/>
      <c r="F7" s="10" t="n"/>
    </row>
    <row r="8">
      <c r="A8" s="7" t="inlineStr">
        <is>
          <t>屬性</t>
        </is>
      </c>
      <c r="B8" s="7" t="inlineStr">
        <is>
          <t>數值</t>
        </is>
      </c>
      <c r="C8" s="7" t="inlineStr">
        <is>
          <t>修正</t>
        </is>
      </c>
      <c r="D8" s="7" t="inlineStr">
        <is>
          <t>屬性</t>
        </is>
      </c>
      <c r="E8" s="7" t="inlineStr">
        <is>
          <t>數值</t>
        </is>
      </c>
      <c r="F8" s="7" t="inlineStr">
        <is>
          <t>修正</t>
        </is>
      </c>
    </row>
    <row r="9">
      <c r="A9" s="4" t="inlineStr">
        <is>
          <t>體質 體質（CON）</t>
        </is>
      </c>
      <c r="B9" s="6" t="n">
        <v>10</v>
      </c>
      <c r="C9" s="8">
        <f>FLOOR.MATH((B9-10)/2)</f>
        <v/>
      </c>
      <c r="D9" s="4" t="inlineStr">
        <is>
          <t>智力 智力（INT）</t>
        </is>
      </c>
      <c r="E9" s="6" t="n">
        <v>10</v>
      </c>
      <c r="F9" s="8">
        <f>FLOOR.MATH((E9-10)/2)</f>
        <v/>
      </c>
    </row>
    <row r="10">
      <c r="A10" s="4" t="inlineStr">
        <is>
          <t>敏捷 敏捷（DEX）</t>
        </is>
      </c>
      <c r="B10" s="6" t="n">
        <v>10</v>
      </c>
      <c r="C10" s="8">
        <f>FLOOR.MATH((B10-10)/2)</f>
        <v/>
      </c>
      <c r="D10" s="4" t="inlineStr">
        <is>
          <t>感知 感知（PER）</t>
        </is>
      </c>
      <c r="E10" s="6" t="n">
        <v>10</v>
      </c>
      <c r="F10" s="8">
        <f>FLOOR.MATH((E10-10)/2)</f>
        <v/>
      </c>
    </row>
    <row r="11">
      <c r="A11" s="4" t="inlineStr">
        <is>
          <t>意志 意志（WIL）</t>
        </is>
      </c>
      <c r="B11" s="6" t="n">
        <v>10</v>
      </c>
      <c r="C11" s="8">
        <f>FLOOR.MATH((B11-10)/2)</f>
        <v/>
      </c>
      <c r="D11" s="4" t="inlineStr">
        <is>
          <t>魅力 魅力（CHA）</t>
        </is>
      </c>
      <c r="E11" s="6" t="n">
        <v>10</v>
      </c>
      <c r="F11" s="8">
        <f>FLOOR.MATH((E11-10)/2)</f>
        <v/>
      </c>
    </row>
    <row r="12"/>
    <row r="13"/>
    <row r="14">
      <c r="A14" s="4" t="inlineStr">
        <is>
          <t>生命值（HP）</t>
        </is>
      </c>
      <c r="B14" s="6">
        <f>B9*5+10</f>
        <v/>
      </c>
      <c r="C14" s="4" t="inlineStr">
        <is>
          <t>念量（SP）</t>
        </is>
      </c>
      <c r="D14" s="6">
        <f>B11*5+10</f>
        <v/>
      </c>
      <c r="E14" s="4" t="inlineStr">
        <is>
          <t>防禦等級（AC）</t>
        </is>
      </c>
      <c r="F14" s="6">
        <f>10+C10</f>
        <v/>
      </c>
    </row>
    <row r="15">
      <c r="A15" s="4" t="inlineStr">
        <is>
          <t>先攻</t>
        </is>
      </c>
      <c r="B15" s="6">
        <f>C10+F10</f>
        <v/>
      </c>
      <c r="C15" s="4" t="inlineStr">
        <is>
          <t>念防禦</t>
        </is>
      </c>
      <c r="D15" s="6">
        <f>C11</f>
        <v/>
      </c>
      <c r="E15" s="4" t="inlineStr">
        <is>
          <t>移動力</t>
        </is>
      </c>
      <c r="F15" s="6">
        <f>B10</f>
        <v/>
      </c>
    </row>
    <row r="16"/>
    <row r="17">
      <c r="A17" s="2" t="inlineStr">
        <is>
          <t>攻擊</t>
        </is>
      </c>
      <c r="B17" s="9" t="n"/>
      <c r="C17" s="9" t="n"/>
      <c r="D17" s="9" t="n"/>
      <c r="E17" s="9" t="n"/>
      <c r="F17" s="10" t="n"/>
    </row>
    <row r="18">
      <c r="A18" s="7" t="inlineStr">
        <is>
          <t>攻擊名稱</t>
        </is>
      </c>
      <c r="B18" s="7" t="inlineStr">
        <is>
          <t>命中公式組件</t>
        </is>
      </c>
      <c r="C18" s="7" t="inlineStr">
        <is>
          <t>傷害骰</t>
        </is>
      </c>
      <c r="D18" s="7" t="inlineStr">
        <is>
          <t>傷害屬性修正</t>
        </is>
      </c>
      <c r="E18" s="7" t="inlineStr">
        <is>
          <t>總傷害(預覽)</t>
        </is>
      </c>
      <c r="F18" s="7" t="inlineStr">
        <is>
          <t>備註</t>
        </is>
      </c>
    </row>
    <row r="19">
      <c r="A19" s="5" t="inlineStr"/>
      <c r="B19" s="6" t="inlineStr"/>
      <c r="C19" s="6" t="inlineStr"/>
      <c r="D19" s="6" t="inlineStr"/>
      <c r="E19" s="6">
        <f>C19+D19</f>
        <v/>
      </c>
      <c r="F19" s="5" t="inlineStr"/>
    </row>
    <row r="20">
      <c r="A20" s="5" t="inlineStr"/>
      <c r="B20" s="6" t="inlineStr"/>
      <c r="C20" s="6" t="inlineStr"/>
      <c r="D20" s="6" t="inlineStr"/>
      <c r="E20" s="6">
        <f>C20+D20</f>
        <v/>
      </c>
      <c r="F20" s="5" t="inlineStr"/>
    </row>
    <row r="21">
      <c r="A21" s="5" t="inlineStr"/>
      <c r="B21" s="6" t="inlineStr"/>
      <c r="C21" s="6" t="inlineStr"/>
      <c r="D21" s="6" t="inlineStr"/>
      <c r="E21" s="6">
        <f>C21+D21</f>
        <v/>
      </c>
      <c r="F21" s="5" t="inlineStr"/>
    </row>
    <row r="22"/>
    <row r="23"/>
    <row r="24">
      <c r="A24" s="2" t="inlineStr">
        <is>
          <t>特殊能力 / 念能力</t>
        </is>
      </c>
      <c r="B24" s="9" t="n"/>
      <c r="C24" s="9" t="n"/>
      <c r="D24" s="9" t="n"/>
      <c r="E24" s="9" t="n"/>
      <c r="F24" s="10" t="n"/>
    </row>
    <row r="25">
      <c r="A25" s="5" t="inlineStr"/>
      <c r="B25" s="5" t="inlineStr"/>
      <c r="C25" s="5" t="inlineStr"/>
      <c r="D25" s="5" t="inlineStr"/>
      <c r="E25" s="5" t="inlineStr"/>
      <c r="F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</row>
    <row r="31"/>
    <row r="32">
      <c r="A32" s="2" t="inlineStr">
        <is>
          <t>掉落 / 戰利品</t>
        </is>
      </c>
      <c r="B32" s="9" t="n"/>
      <c r="C32" s="9" t="n"/>
      <c r="D32" s="9" t="n"/>
      <c r="E32" s="9" t="n"/>
      <c r="F32" s="10" t="n"/>
    </row>
    <row r="33">
      <c r="A33" s="5" t="inlineStr"/>
      <c r="B33" s="5" t="inlineStr"/>
      <c r="C33" s="5" t="inlineStr"/>
      <c r="D33" s="5" t="inlineStr"/>
      <c r="E33" s="5" t="inlineStr"/>
      <c r="F33" s="5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</row>
  </sheetData>
  <mergeCells count="6">
    <mergeCell ref="A24:F24"/>
    <mergeCell ref="A1:F1"/>
    <mergeCell ref="A32:F32"/>
    <mergeCell ref="A17:F17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2026-06-21T14:44:57Z</dcterms:created>
  <dcterms:modified xsi:type="dcterms:W3CDTF">2026-07-18T14:30:39Z</dcterms:modified>
</cp:coreProperties>
</file>