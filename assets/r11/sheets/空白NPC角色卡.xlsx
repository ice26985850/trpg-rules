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  <sheet name="速查與公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b val="1"/>
      <color rgb="00FFFFFF"/>
      <sz val="12"/>
    </font>
    <font>
      <name val="Microsoft JhengHei"/>
      <b val="1"/>
      <sz val="10"/>
    </font>
    <font>
      <name val="Microsoft JhengHei"/>
      <sz val="10"/>
    </font>
    <font>
      <name val="Microsoft JhengHei"/>
      <color rgb="003333AA"/>
      <sz val="10"/>
    </font>
    <font>
      <name val="Microsoft JhengHei"/>
      <b val="1"/>
      <color rgb="00FFFFFF"/>
      <sz val="9"/>
    </font>
    <font>
      <name val="Microsoft JhengHei"/>
      <color rgb="00888888"/>
      <sz val="9"/>
    </font>
    <font>
      <name val="Microsoft JhengHei"/>
      <b val="1"/>
      <sz val="9"/>
    </font>
    <font>
      <name val="Microsoft JhengHei"/>
      <b val="1"/>
      <color rgb="00CC0000"/>
      <sz val="10"/>
    </font>
    <font>
      <name val="Microsoft JhengHei"/>
      <sz val="9"/>
    </font>
    <font>
      <name val="Microsoft JhengHei"/>
      <b val="1"/>
      <color rgb="00FFFFFF"/>
      <sz val="14"/>
    </font>
    <font>
      <name val="Microsoft JhengHei"/>
      <b val="1"/>
      <color rgb="00333366"/>
      <sz val="10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E8E8F0"/>
        <bgColor rgb="00E8E8F0"/>
      </patternFill>
    </fill>
    <fill>
      <patternFill patternType="solid">
        <fgColor rgb="00FFFFFF"/>
        <bgColor rgb="00FFFFFF"/>
      </patternFill>
    </fill>
    <fill>
      <patternFill patternType="solid">
        <fgColor rgb="00F0F0FF"/>
        <bgColor rgb="00F0F0FF"/>
      </patternFill>
    </fill>
    <fill>
      <patternFill patternType="solid">
        <fgColor rgb="00444466"/>
        <bgColor rgb="00444466"/>
      </patternFill>
    </fill>
    <fill>
      <patternFill patternType="solid">
        <fgColor rgb="00E8FFE8"/>
        <bgColor rgb="00E8FFE8"/>
      </patternFill>
    </fill>
    <fill>
      <patternFill patternType="solid">
        <fgColor rgb="00FFF8DC"/>
        <bgColor rgb="00FFF8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164" fontId="9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4" customWidth="1" min="4" max="4"/>
    <col width="22" customWidth="1" min="5" max="5"/>
    <col width="14" customWidth="1" min="6" max="6"/>
    <col width="4" customWidth="1" min="7" max="7"/>
    <col width="22" customWidth="1" min="8" max="8"/>
    <col width="14" customWidth="1" min="9" max="9"/>
    <col width="12" customWidth="1" min="10" max="10"/>
  </cols>
  <sheetData>
    <row r="1" ht="36" customHeight="1">
      <c r="A1" s="1" t="inlineStr">
        <is>
          <t>崩壞：星穹鐵道 TRPG 角色卡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4" t="n"/>
    </row>
    <row r="2"/>
    <row r="3" ht="22" customHeight="1">
      <c r="B3" s="3" t="inlineStr">
        <is>
          <t>基本資訊</t>
        </is>
      </c>
      <c r="C3" s="23" t="n"/>
      <c r="D3" s="23" t="n"/>
      <c r="E3" s="23" t="n"/>
      <c r="F3" s="23" t="n"/>
      <c r="G3" s="23" t="n"/>
      <c r="H3" s="23" t="n"/>
      <c r="I3" s="24" t="n"/>
    </row>
    <row r="4" ht="22" customHeight="1">
      <c r="B4" s="5" t="inlineStr">
        <is>
          <t>角色名</t>
        </is>
      </c>
      <c r="C4" s="6" t="n"/>
      <c r="E4" s="5" t="inlineStr">
        <is>
          <t>玩家名</t>
        </is>
      </c>
      <c r="F4" s="6" t="n"/>
    </row>
    <row r="5" ht="22" customHeight="1">
      <c r="B5" s="5" t="inlineStr">
        <is>
          <t>出身</t>
        </is>
      </c>
      <c r="C5" s="6" t="n"/>
      <c r="E5" s="5" t="inlineStr">
        <is>
          <t>身份</t>
        </is>
      </c>
      <c r="F5" s="6" t="n"/>
    </row>
    <row r="6" ht="22" customHeight="1">
      <c r="B6" s="5" t="inlineStr">
        <is>
          <t>命途</t>
        </is>
      </c>
      <c r="C6" s="6" t="n"/>
      <c r="E6" s="5" t="inlineStr">
        <is>
          <t>等級 (LV)</t>
        </is>
      </c>
      <c r="F6" s="6" t="n">
        <v>1</v>
      </c>
    </row>
    <row r="7" ht="22" customHeight="1">
      <c r="B7" s="5" t="inlineStr">
        <is>
          <t>元素親和(主)</t>
        </is>
      </c>
      <c r="C7" s="6" t="n"/>
      <c r="E7" s="5" t="inlineStr">
        <is>
          <t>元素親和(副)</t>
        </is>
      </c>
      <c r="F7" s="6" t="n"/>
    </row>
    <row r="8" ht="22" customHeight="1">
      <c r="B8" s="5" t="inlineStr">
        <is>
          <t>經驗值（XP） 累計</t>
        </is>
      </c>
      <c r="C8" s="6" t="n">
        <v>0</v>
      </c>
      <c r="E8" s="5" t="inlineStr">
        <is>
          <t>熟練加值（PB）</t>
        </is>
      </c>
      <c r="F8" s="7">
        <f>VLOOKUP(I9,{1,2;5,3;9,4;13,5;17,6},2,TRUE)</f>
        <v/>
      </c>
    </row>
    <row r="9"/>
    <row r="10" ht="22" customHeight="1">
      <c r="B10" s="3" t="inlineStr">
        <is>
          <t>核心屬性</t>
        </is>
      </c>
      <c r="C10" s="23" t="n"/>
      <c r="D10" s="23" t="n"/>
      <c r="E10" s="23" t="n"/>
      <c r="F10" s="23" t="n"/>
      <c r="G10" s="23" t="n"/>
      <c r="H10" s="23" t="n"/>
      <c r="I10" s="24" t="n"/>
    </row>
    <row r="11" ht="20" customHeight="1">
      <c r="B11" s="8" t="inlineStr">
        <is>
          <t>屬性</t>
        </is>
      </c>
      <c r="C11" s="8" t="inlineStr">
        <is>
          <t>屬性值</t>
        </is>
      </c>
      <c r="D11" s="8" t="inlineStr">
        <is>
          <t>調整值</t>
        </is>
      </c>
      <c r="E11" s="8" t="inlineStr"/>
      <c r="F11" s="8" t="inlineStr">
        <is>
          <t>屬性</t>
        </is>
      </c>
      <c r="G11" s="8" t="inlineStr">
        <is>
          <t>屬性值</t>
        </is>
      </c>
      <c r="H11" s="8" t="inlineStr">
        <is>
          <t>調整值</t>
        </is>
      </c>
    </row>
    <row r="12" ht="22" customHeight="1">
      <c r="B12" s="5" t="inlineStr">
        <is>
          <t>力量（STR）</t>
        </is>
      </c>
      <c r="C12" s="6" t="n">
        <v>10</v>
      </c>
      <c r="D12" s="9">
        <f>FLOOR((C12-10)/2,1)</f>
        <v/>
      </c>
      <c r="F12" s="5" t="inlineStr">
        <is>
          <t>敏捷（AGI）</t>
        </is>
      </c>
      <c r="G12" s="6" t="n">
        <v>10</v>
      </c>
      <c r="H12" s="9">
        <f>FLOOR((G12-10)/2,1)</f>
        <v/>
      </c>
    </row>
    <row r="13" ht="22" customHeight="1">
      <c r="B13" s="5" t="inlineStr">
        <is>
          <t>體質（CON）</t>
        </is>
      </c>
      <c r="C13" s="6" t="n">
        <v>10</v>
      </c>
      <c r="D13" s="9">
        <f>FLOOR((C13-10)/2,1)</f>
        <v/>
      </c>
      <c r="F13" s="5" t="inlineStr">
        <is>
          <t>智力（INT）</t>
        </is>
      </c>
      <c r="G13" s="6" t="n">
        <v>10</v>
      </c>
      <c r="H13" s="9">
        <f>FLOOR((G13-10)/2,1)</f>
        <v/>
      </c>
    </row>
    <row r="14" ht="22" customHeight="1">
      <c r="B14" s="5" t="inlineStr">
        <is>
          <t>感知（PER）</t>
        </is>
      </c>
      <c r="C14" s="6" t="n">
        <v>10</v>
      </c>
      <c r="D14" s="9">
        <f>FLOOR((C14-10)/2,1)</f>
        <v/>
      </c>
      <c r="F14" s="5" t="inlineStr">
        <is>
          <t>魅力（CHA）</t>
        </is>
      </c>
      <c r="G14" s="6" t="n">
        <v>10</v>
      </c>
      <c r="H14" s="9">
        <f>FLOOR((G14-10)/2,1)</f>
        <v/>
      </c>
    </row>
    <row r="15"/>
    <row r="16" ht="22" customHeight="1">
      <c r="B16" s="3" t="inlineStr">
        <is>
          <t>派生屬性</t>
        </is>
      </c>
      <c r="C16" s="23" t="n"/>
      <c r="D16" s="23" t="n"/>
      <c r="E16" s="23" t="n"/>
      <c r="F16" s="23" t="n"/>
      <c r="G16" s="23" t="n"/>
      <c r="H16" s="23" t="n"/>
      <c r="I16" s="24" t="n"/>
    </row>
    <row r="17" ht="22" customHeight="1">
      <c r="B17" s="5" t="inlineStr">
        <is>
          <t>生命值上限（HP）</t>
        </is>
      </c>
      <c r="C17" s="7">
        <f>IF(OR(B6="智識"),4,IF(OR(B6="存護"),7,IF(OR(B6="毀滅"),6,5)))+D13*I6+0</f>
        <v/>
      </c>
      <c r="D17" s="10" t="inlineStr">
        <is>
          <t>現 生命值（HP）</t>
        </is>
      </c>
      <c r="F17" s="5" t="inlineStr">
        <is>
          <t>先攻值 (Initiative)</t>
        </is>
      </c>
      <c r="G17" s="7">
        <f>H12+D14+0</f>
        <v/>
      </c>
    </row>
    <row r="18" ht="22" customHeight="1">
      <c r="B18" s="5" t="inlineStr">
        <is>
          <t>迴避值 (Evasion)</t>
        </is>
      </c>
      <c r="C18" s="7">
        <f>10+H12+0</f>
        <v/>
      </c>
      <c r="D18" s="10" t="inlineStr">
        <is>
          <t>防禦等級（AC） 對抗</t>
        </is>
      </c>
      <c r="F18" s="5" t="inlineStr">
        <is>
          <t>防禦減傷 (Defense)</t>
        </is>
      </c>
      <c r="G18" s="7">
        <f>MAX(0,D13)</f>
        <v/>
      </c>
    </row>
    <row r="19" ht="22" customHeight="1">
      <c r="B19" s="5" t="inlineStr">
        <is>
          <t>能量上限（EP）</t>
        </is>
      </c>
      <c r="C19" s="7">
        <f>IF(OR(B6="智識"),140,IF(OR(B6="毀滅","豐饒"),120,100))</f>
        <v/>
      </c>
      <c r="D19" s="10" t="inlineStr">
        <is>
          <t>現 能量點（EP）</t>
        </is>
      </c>
      <c r="F19" s="5" t="inlineStr">
        <is>
          <t>能量恢復（EP）</t>
        </is>
      </c>
      <c r="G19" s="7">
        <f>H13*5</f>
        <v/>
      </c>
      <c r="H19" s="10" t="inlineStr">
        <is>
          <t>/回合</t>
        </is>
      </c>
    </row>
    <row r="20" ht="22" customHeight="1">
      <c r="B20" s="5" t="inlineStr">
        <is>
          <t>負重上限 (Carry)</t>
        </is>
      </c>
      <c r="C20" s="7">
        <f>C12*5</f>
        <v/>
      </c>
      <c r="D20" s="10" t="inlineStr">
        <is>
          <t>kg</t>
        </is>
      </c>
      <c r="F20" s="5" t="inlineStr">
        <is>
          <t>速度 (Speed)</t>
        </is>
      </c>
      <c r="G20" s="6" t="n">
        <v>6</v>
      </c>
      <c r="H20" s="10" t="inlineStr">
        <is>
          <t>格</t>
        </is>
      </c>
    </row>
    <row r="21"/>
    <row r="22" ht="22" customHeight="1">
      <c r="A22" s="3" t="inlineStr">
        <is>
          <t>技能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4" t="n"/>
    </row>
    <row r="23" ht="20" customHeight="1">
      <c r="A23" s="8" t="inlineStr">
        <is>
          <t>屬性</t>
        </is>
      </c>
      <c r="B23" s="8" t="inlineStr">
        <is>
          <t>技能名稱</t>
        </is>
      </c>
      <c r="C23" s="8" t="inlineStr">
        <is>
          <t>熟練</t>
        </is>
      </c>
      <c r="D23" s="8" t="inlineStr">
        <is>
          <t>調整值</t>
        </is>
      </c>
      <c r="E23" s="8" t="inlineStr">
        <is>
          <t>加值</t>
        </is>
      </c>
      <c r="F23" s="8" t="inlineStr">
        <is>
          <t>屬性</t>
        </is>
      </c>
      <c r="G23" s="8" t="inlineStr">
        <is>
          <t>技能名稱</t>
        </is>
      </c>
      <c r="H23" s="8" t="inlineStr">
        <is>
          <t>熟練</t>
        </is>
      </c>
      <c r="I23" s="8" t="inlineStr">
        <is>
          <t>調整值</t>
        </is>
      </c>
      <c r="J23" s="8" t="inlineStr">
        <is>
          <t>加值</t>
        </is>
      </c>
    </row>
    <row r="24" ht="20" customHeight="1">
      <c r="A24" s="11" t="inlineStr">
        <is>
          <t>力量（STR）</t>
        </is>
      </c>
      <c r="B24" s="12" t="inlineStr">
        <is>
          <t>運動 (Athletics)</t>
        </is>
      </c>
      <c r="C24" s="13" t="inlineStr"/>
      <c r="D24" s="9">
        <f>D12</f>
        <v/>
      </c>
      <c r="E24" s="14">
        <f>IF(C24="✓",D12+J6,D12)</f>
        <v/>
      </c>
      <c r="F24" s="11" t="inlineStr">
        <is>
          <t>敏捷（AGI）</t>
        </is>
      </c>
      <c r="G24" s="12" t="inlineStr">
        <is>
          <t>身法 (Acrobatics)</t>
        </is>
      </c>
      <c r="H24" s="13" t="inlineStr"/>
      <c r="I24" s="9">
        <f>H12</f>
        <v/>
      </c>
      <c r="J24" s="14">
        <f>IF(H24="✓",H12+J6,H12)</f>
        <v/>
      </c>
    </row>
    <row r="25" ht="20" customHeight="1">
      <c r="A25" s="11" t="inlineStr">
        <is>
          <t>敏捷（AGI）</t>
        </is>
      </c>
      <c r="B25" s="12" t="inlineStr">
        <is>
          <t>隱匿 (Stealth)</t>
        </is>
      </c>
      <c r="C25" s="13" t="inlineStr"/>
      <c r="D25" s="9">
        <f>H12</f>
        <v/>
      </c>
      <c r="E25" s="14">
        <f>IF(C25="✓",H12+J6,H12)</f>
        <v/>
      </c>
      <c r="F25" s="11" t="inlineStr">
        <is>
          <t>敏捷（AGI）</t>
        </is>
      </c>
      <c r="G25" s="12" t="inlineStr">
        <is>
          <t>精密操作 (Finesse)</t>
        </is>
      </c>
      <c r="H25" s="13" t="inlineStr"/>
      <c r="I25" s="9">
        <f>H12</f>
        <v/>
      </c>
      <c r="J25" s="14">
        <f>IF(H25="✓",H12+J6,H12)</f>
        <v/>
      </c>
    </row>
    <row r="26" ht="20" customHeight="1">
      <c r="A26" s="11" t="inlineStr">
        <is>
          <t>體質（CON）</t>
        </is>
      </c>
      <c r="B26" s="12" t="inlineStr">
        <is>
          <t>堅韌 (Endurance)</t>
        </is>
      </c>
      <c r="C26" s="13" t="inlineStr"/>
      <c r="D26" s="9">
        <f>D13</f>
        <v/>
      </c>
      <c r="E26" s="14">
        <f>IF(C26="✓",D13+J6,D13)</f>
        <v/>
      </c>
      <c r="F26" s="11" t="inlineStr">
        <is>
          <t>智力（INT）</t>
        </is>
      </c>
      <c r="G26" s="12" t="inlineStr">
        <is>
          <t>科技 (Technology)</t>
        </is>
      </c>
      <c r="H26" s="13" t="inlineStr"/>
      <c r="I26" s="9">
        <f>H13</f>
        <v/>
      </c>
      <c r="J26" s="14">
        <f>IF(H26="✓",H13+J6,H13)</f>
        <v/>
      </c>
    </row>
    <row r="27" ht="20" customHeight="1">
      <c r="A27" s="11" t="inlineStr">
        <is>
          <t>智力（INT）</t>
        </is>
      </c>
      <c r="B27" s="12" t="inlineStr">
        <is>
          <t>學識 (Lore)</t>
        </is>
      </c>
      <c r="C27" s="13" t="inlineStr"/>
      <c r="D27" s="9">
        <f>H13</f>
        <v/>
      </c>
      <c r="E27" s="14">
        <f>IF(C27="✓",H13+J6,H13)</f>
        <v/>
      </c>
      <c r="F27" s="11" t="inlineStr">
        <is>
          <t>智力（INT）</t>
        </is>
      </c>
      <c r="G27" s="12" t="inlineStr">
        <is>
          <t>調查 (Investigation)</t>
        </is>
      </c>
      <c r="H27" s="13" t="inlineStr"/>
      <c r="I27" s="9">
        <f>H13</f>
        <v/>
      </c>
      <c r="J27" s="14">
        <f>IF(H27="✓",H13+J6,H13)</f>
        <v/>
      </c>
    </row>
    <row r="28" ht="20" customHeight="1">
      <c r="A28" s="11" t="inlineStr">
        <is>
          <t>智力（INT）</t>
        </is>
      </c>
      <c r="B28" s="12" t="inlineStr">
        <is>
          <t>工程 (Engineering)</t>
        </is>
      </c>
      <c r="C28" s="13" t="inlineStr"/>
      <c r="D28" s="9">
        <f>H13</f>
        <v/>
      </c>
      <c r="E28" s="14">
        <f>IF(C28="✓",H13+J6,H13)</f>
        <v/>
      </c>
      <c r="F28" s="11" t="inlineStr">
        <is>
          <t>感知（PER）</t>
        </is>
      </c>
      <c r="G28" s="12" t="inlineStr">
        <is>
          <t>察覺 (Perception)</t>
        </is>
      </c>
      <c r="H28" s="13" t="inlineStr"/>
      <c r="I28" s="9">
        <f>D14</f>
        <v/>
      </c>
      <c r="J28" s="14">
        <f>IF(H28="✓",D14+J6,D14)</f>
        <v/>
      </c>
    </row>
    <row r="29" ht="20" customHeight="1">
      <c r="A29" s="11" t="inlineStr">
        <is>
          <t>感知（PER）</t>
        </is>
      </c>
      <c r="B29" s="12" t="inlineStr">
        <is>
          <t>洞察 (Insight)</t>
        </is>
      </c>
      <c r="C29" s="13" t="inlineStr"/>
      <c r="D29" s="9">
        <f>D14</f>
        <v/>
      </c>
      <c r="E29" s="14">
        <f>IF(C29="✓",D14+J6,D14)</f>
        <v/>
      </c>
      <c r="F29" s="11" t="inlineStr">
        <is>
          <t>感知（PER）</t>
        </is>
      </c>
      <c r="G29" s="12" t="inlineStr">
        <is>
          <t>生存 (Survival)</t>
        </is>
      </c>
      <c r="H29" s="13" t="inlineStr"/>
      <c r="I29" s="9">
        <f>D14</f>
        <v/>
      </c>
      <c r="J29" s="14">
        <f>IF(H29="✓",D14+J6,D14)</f>
        <v/>
      </c>
    </row>
    <row r="30" ht="20" customHeight="1">
      <c r="A30" s="11" t="inlineStr">
        <is>
          <t>感知（PER）</t>
        </is>
      </c>
      <c r="B30" s="12" t="inlineStr">
        <is>
          <t>先讀 (Anticipation)</t>
        </is>
      </c>
      <c r="C30" s="13" t="inlineStr"/>
      <c r="D30" s="9">
        <f>D14</f>
        <v/>
      </c>
      <c r="E30" s="14">
        <f>IF(C30="✓",D14+J6,D14)</f>
        <v/>
      </c>
      <c r="F30" s="11" t="inlineStr">
        <is>
          <t>感知（PER）</t>
        </is>
      </c>
      <c r="G30" s="12" t="inlineStr">
        <is>
          <t>馴獸 (Animal Handling)</t>
        </is>
      </c>
      <c r="H30" s="13" t="inlineStr"/>
      <c r="I30" s="9">
        <f>D14</f>
        <v/>
      </c>
      <c r="J30" s="14">
        <f>IF(H30="✓",D14+J6,D14)</f>
        <v/>
      </c>
    </row>
    <row r="31" ht="20" customHeight="1">
      <c r="A31" s="11" t="inlineStr">
        <is>
          <t>感知（PER）</t>
        </is>
      </c>
      <c r="B31" s="12" t="inlineStr">
        <is>
          <t>醫療 (Medicine)</t>
        </is>
      </c>
      <c r="C31" s="13" t="inlineStr"/>
      <c r="D31" s="9">
        <f>D14</f>
        <v/>
      </c>
      <c r="E31" s="14">
        <f>IF(C31="✓",D14+J6,D14)</f>
        <v/>
      </c>
      <c r="F31" s="11" t="inlineStr">
        <is>
          <t>魅力（CHA）</t>
        </is>
      </c>
      <c r="G31" s="12" t="inlineStr">
        <is>
          <t>說服 (Persuasion)</t>
        </is>
      </c>
      <c r="H31" s="13" t="inlineStr"/>
      <c r="I31" s="9">
        <f>H14</f>
        <v/>
      </c>
      <c r="J31" s="14">
        <f>IF(H31="✓",H14+J6,H14)</f>
        <v/>
      </c>
    </row>
    <row r="32" ht="20" customHeight="1">
      <c r="A32" s="11" t="inlineStr">
        <is>
          <t>魅力（CHA）</t>
        </is>
      </c>
      <c r="B32" s="12" t="inlineStr">
        <is>
          <t>欺瞞 (Deception)</t>
        </is>
      </c>
      <c r="C32" s="13" t="inlineStr"/>
      <c r="D32" s="9">
        <f>H14</f>
        <v/>
      </c>
      <c r="E32" s="14">
        <f>IF(C32="✓",H14+J6,H14)</f>
        <v/>
      </c>
      <c r="F32" s="11" t="inlineStr">
        <is>
          <t>魅力（CHA）</t>
        </is>
      </c>
      <c r="G32" s="12" t="inlineStr">
        <is>
          <t>威嚇 (Intimidation)</t>
        </is>
      </c>
      <c r="H32" s="13" t="inlineStr"/>
      <c r="I32" s="9">
        <f>H14</f>
        <v/>
      </c>
      <c r="J32" s="14">
        <f>IF(H32="✓",H14+J6,H14)</f>
        <v/>
      </c>
    </row>
    <row r="33" ht="20" customHeight="1">
      <c r="A33" s="11" t="inlineStr">
        <is>
          <t>魅力（CHA）</t>
        </is>
      </c>
      <c r="B33" s="12" t="inlineStr">
        <is>
          <t>表演 (Performance)</t>
        </is>
      </c>
      <c r="C33" s="13" t="inlineStr"/>
      <c r="D33" s="9">
        <f>H14</f>
        <v/>
      </c>
      <c r="E33" s="14">
        <f>IF(C33="✓",H14+J6,H14)</f>
        <v/>
      </c>
      <c r="F33" s="11" t="inlineStr">
        <is>
          <t>魅力（CHA）</t>
        </is>
      </c>
      <c r="G33" s="12" t="inlineStr">
        <is>
          <t>共鳴 (Resonance)</t>
        </is>
      </c>
      <c r="H33" s="13" t="inlineStr"/>
      <c r="I33" s="9">
        <f>H14</f>
        <v/>
      </c>
      <c r="J33" s="14">
        <f>IF(H33="✓",H14+J6,H14)</f>
        <v/>
      </c>
    </row>
    <row r="34"/>
    <row r="35" ht="22" customHeight="1">
      <c r="A35" s="3" t="inlineStr">
        <is>
          <t>攻擊與戰鬥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4" t="n"/>
    </row>
    <row r="36" ht="20" customHeight="1">
      <c r="A36" s="8" t="inlineStr">
        <is>
          <t>武器/技能</t>
        </is>
      </c>
      <c r="B36" s="8" t="inlineStr">
        <is>
          <t>命中加值</t>
        </is>
      </c>
      <c r="C36" s="8" t="inlineStr">
        <is>
          <t>傷害</t>
        </is>
      </c>
      <c r="D36" s="8" t="inlineStr">
        <is>
          <t>射程</t>
        </is>
      </c>
      <c r="E36" s="8" t="inlineStr">
        <is>
          <t>元素</t>
        </is>
      </c>
      <c r="F36" s="8" t="inlineStr">
        <is>
          <t>備註</t>
        </is>
      </c>
    </row>
    <row r="37" ht="22" customHeight="1">
      <c r="A37" s="6" t="n"/>
      <c r="B37" s="6" t="n"/>
      <c r="C37" s="6" t="n"/>
      <c r="D37" s="6" t="n"/>
      <c r="E37" s="6" t="n"/>
      <c r="F37" s="6" t="n"/>
    </row>
    <row r="38" ht="22" customHeight="1">
      <c r="A38" s="6" t="n"/>
      <c r="B38" s="6" t="n"/>
      <c r="C38" s="6" t="n"/>
      <c r="D38" s="6" t="n"/>
      <c r="E38" s="6" t="n"/>
      <c r="F38" s="6" t="n"/>
    </row>
    <row r="39" ht="22" customHeight="1">
      <c r="A39" s="6" t="n"/>
      <c r="B39" s="6" t="n"/>
      <c r="C39" s="6" t="n"/>
      <c r="D39" s="6" t="n"/>
      <c r="E39" s="6" t="n"/>
      <c r="F39" s="6" t="n"/>
    </row>
    <row r="40" ht="22" customHeight="1">
      <c r="A40" s="6" t="n"/>
      <c r="B40" s="6" t="n"/>
      <c r="C40" s="6" t="n"/>
      <c r="D40" s="6" t="n"/>
      <c r="E40" s="6" t="n"/>
      <c r="F40" s="6" t="n"/>
    </row>
    <row r="41" ht="22" customHeight="1">
      <c r="A41" s="6" t="n"/>
      <c r="B41" s="6" t="n"/>
      <c r="C41" s="6" t="n"/>
      <c r="D41" s="6" t="n"/>
      <c r="E41" s="6" t="n"/>
      <c r="F41" s="6" t="n"/>
    </row>
    <row r="42" ht="22" customHeight="1">
      <c r="A42" s="15" t="inlineStr">
        <is>
          <t>豁免檢定</t>
        </is>
      </c>
      <c r="B42" s="23" t="n"/>
      <c r="C42" s="23" t="n"/>
      <c r="D42" s="23" t="n"/>
      <c r="E42" s="24" t="n"/>
      <c r="F42" s="4" t="inlineStr"/>
      <c r="G42" s="23" t="n"/>
      <c r="H42" s="23" t="n"/>
      <c r="I42" s="23" t="n"/>
      <c r="J42" s="24" t="n"/>
    </row>
    <row r="43">
      <c r="A43" s="5" t="inlineStr">
        <is>
          <t>力豁（STR）</t>
        </is>
      </c>
      <c r="C43" s="9">
        <f>D12+IF(OR(B43&lt;&gt;"",),0,0)</f>
        <v/>
      </c>
      <c r="F43" s="5" t="inlineStr">
        <is>
          <t>智豁（INT）</t>
        </is>
      </c>
      <c r="H43" s="9">
        <f>H13+IF(OR(B43&lt;&gt;"",),0,0)</f>
        <v/>
      </c>
    </row>
    <row r="44">
      <c r="A44" s="5" t="inlineStr">
        <is>
          <t>敏豁（AGI）</t>
        </is>
      </c>
      <c r="C44" s="9">
        <f>H12+IF(OR(B43&lt;&gt;"",),0,0)</f>
        <v/>
      </c>
      <c r="F44" s="5" t="inlineStr">
        <is>
          <t>感豁（PER）</t>
        </is>
      </c>
      <c r="H44" s="9">
        <f>D14+IF(OR(B43&lt;&gt;"",),0,0)</f>
        <v/>
      </c>
    </row>
    <row r="45">
      <c r="A45" s="5" t="inlineStr">
        <is>
          <t>體豁（CON）</t>
        </is>
      </c>
      <c r="C45" s="9">
        <f>D13+IF(OR(B43&lt;&gt;"",),0,0)</f>
        <v/>
      </c>
      <c r="F45" s="5" t="inlineStr">
        <is>
          <t>魅豁（CHA）</t>
        </is>
      </c>
      <c r="H45" s="9">
        <f>H14+IF(OR(B43&lt;&gt;"",),0,0)</f>
        <v/>
      </c>
    </row>
    <row r="46"/>
    <row r="47" ht="22" customHeight="1">
      <c r="A47" s="3" t="inlineStr">
        <is>
          <t>裝備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4" t="n"/>
    </row>
    <row r="48" ht="22" customHeight="1">
      <c r="B48" s="5" t="inlineStr">
        <is>
          <t>光錐</t>
        </is>
      </c>
      <c r="C48" s="23" t="n"/>
      <c r="D48" s="24" t="n"/>
      <c r="F48" s="12" t="n"/>
    </row>
    <row r="49" ht="22" customHeight="1">
      <c r="B49" s="5" t="inlineStr">
        <is>
          <t>武器</t>
        </is>
      </c>
      <c r="C49" s="23" t="n"/>
      <c r="D49" s="24" t="n"/>
      <c r="F49" s="12" t="n"/>
    </row>
    <row r="50" ht="22" customHeight="1">
      <c r="B50" s="5" t="inlineStr">
        <is>
          <t>護甲</t>
        </is>
      </c>
      <c r="C50" s="23" t="n"/>
      <c r="D50" s="24" t="n"/>
      <c r="F50" s="12" t="n"/>
    </row>
    <row r="51" ht="22" customHeight="1">
      <c r="B51" s="5" t="inlineStr">
        <is>
          <t>遺器套裝 (2件/4件)</t>
        </is>
      </c>
      <c r="C51" s="23" t="n"/>
      <c r="D51" s="23" t="n"/>
      <c r="E51" s="23" t="n"/>
      <c r="F51" s="24" t="n"/>
      <c r="H51" s="12" t="n"/>
    </row>
    <row r="52" ht="22" customHeight="1">
      <c r="B52" s="5" t="inlineStr">
        <is>
          <t>飾品套裝 (2件)</t>
        </is>
      </c>
      <c r="C52" s="23" t="n"/>
      <c r="D52" s="24" t="n"/>
      <c r="F52" s="12" t="n"/>
    </row>
    <row r="53"/>
    <row r="54" ht="22" customHeight="1">
      <c r="A54" s="3" t="inlineStr">
        <is>
          <t>命途資源與終結技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4" t="n"/>
    </row>
    <row r="55" ht="22" customHeight="1">
      <c r="B55" s="5" t="inlineStr">
        <is>
          <t>能量點（EP） 能量</t>
        </is>
      </c>
      <c r="C55" s="7">
        <f>IF(OR(B6="智識"),140,IF(OR(B6="毀滅","豐饒"),120,100))</f>
        <v/>
      </c>
    </row>
    <row r="56" ht="22" customHeight="1">
      <c r="B56" s="5" t="inlineStr">
        <is>
          <t>命途資源名稱</t>
        </is>
      </c>
      <c r="C56" s="6" t="n"/>
    </row>
    <row r="57" ht="22" customHeight="1">
      <c r="B57" s="5" t="inlineStr">
        <is>
          <t>命途資源最大值</t>
        </is>
      </c>
      <c r="C57" s="6" t="n"/>
    </row>
    <row r="58" ht="22" customHeight="1">
      <c r="B58" s="5" t="inlineStr">
        <is>
          <t>命途資源當前值</t>
        </is>
      </c>
      <c r="C58" s="6" t="n"/>
    </row>
    <row r="59"/>
    <row r="60" ht="22" customHeight="1">
      <c r="A60" s="3" t="inlineStr">
        <is>
          <t>命途能力記錄</t>
        </is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4" t="n"/>
    </row>
    <row r="61" ht="22" customHeight="1">
      <c r="A61" s="17" t="inlineStr">
        <is>
          <t>Lv</t>
        </is>
      </c>
      <c r="B61" s="12" t="n"/>
      <c r="C61" s="23" t="n"/>
      <c r="D61" s="23" t="n"/>
      <c r="E61" s="23" t="n"/>
      <c r="F61" s="23" t="n"/>
      <c r="G61" s="23" t="n"/>
      <c r="H61" s="23" t="n"/>
      <c r="I61" s="23" t="n"/>
      <c r="J61" s="24" t="n"/>
    </row>
    <row r="62" ht="22" customHeight="1">
      <c r="A62" s="17" t="inlineStr">
        <is>
          <t>Lv</t>
        </is>
      </c>
      <c r="B62" s="12" t="n"/>
      <c r="C62" s="23" t="n"/>
      <c r="D62" s="23" t="n"/>
      <c r="E62" s="23" t="n"/>
      <c r="F62" s="23" t="n"/>
      <c r="G62" s="23" t="n"/>
      <c r="H62" s="23" t="n"/>
      <c r="I62" s="23" t="n"/>
      <c r="J62" s="24" t="n"/>
    </row>
    <row r="63" ht="22" customHeight="1">
      <c r="A63" s="17" t="inlineStr">
        <is>
          <t>Lv</t>
        </is>
      </c>
      <c r="B63" s="12" t="n"/>
      <c r="C63" s="23" t="n"/>
      <c r="D63" s="23" t="n"/>
      <c r="E63" s="23" t="n"/>
      <c r="F63" s="23" t="n"/>
      <c r="G63" s="23" t="n"/>
      <c r="H63" s="23" t="n"/>
      <c r="I63" s="23" t="n"/>
      <c r="J63" s="24" t="n"/>
    </row>
    <row r="64" ht="22" customHeight="1">
      <c r="A64" s="17" t="inlineStr">
        <is>
          <t>Lv</t>
        </is>
      </c>
      <c r="B64" s="12" t="n"/>
      <c r="C64" s="23" t="n"/>
      <c r="D64" s="23" t="n"/>
      <c r="E64" s="23" t="n"/>
      <c r="F64" s="23" t="n"/>
      <c r="G64" s="23" t="n"/>
      <c r="H64" s="23" t="n"/>
      <c r="I64" s="23" t="n"/>
      <c r="J64" s="24" t="n"/>
    </row>
    <row r="65" ht="22" customHeight="1">
      <c r="A65" s="17" t="inlineStr">
        <is>
          <t>Lv</t>
        </is>
      </c>
      <c r="B65" s="12" t="n"/>
      <c r="C65" s="23" t="n"/>
      <c r="D65" s="23" t="n"/>
      <c r="E65" s="23" t="n"/>
      <c r="F65" s="23" t="n"/>
      <c r="G65" s="23" t="n"/>
      <c r="H65" s="23" t="n"/>
      <c r="I65" s="23" t="n"/>
      <c r="J65" s="24" t="n"/>
    </row>
    <row r="66" ht="22" customHeight="1">
      <c r="A66" s="17" t="inlineStr">
        <is>
          <t>Lv</t>
        </is>
      </c>
      <c r="B66" s="12" t="n"/>
      <c r="C66" s="23" t="n"/>
      <c r="D66" s="23" t="n"/>
      <c r="E66" s="23" t="n"/>
      <c r="F66" s="23" t="n"/>
      <c r="G66" s="23" t="n"/>
      <c r="H66" s="23" t="n"/>
      <c r="I66" s="23" t="n"/>
      <c r="J66" s="24" t="n"/>
    </row>
    <row r="67" ht="22" customHeight="1">
      <c r="A67" s="17" t="inlineStr">
        <is>
          <t>Lv</t>
        </is>
      </c>
      <c r="B67" s="12" t="n"/>
      <c r="C67" s="23" t="n"/>
      <c r="D67" s="23" t="n"/>
      <c r="E67" s="23" t="n"/>
      <c r="F67" s="23" t="n"/>
      <c r="G67" s="23" t="n"/>
      <c r="H67" s="23" t="n"/>
      <c r="I67" s="23" t="n"/>
      <c r="J67" s="24" t="n"/>
    </row>
    <row r="68" ht="22" customHeight="1">
      <c r="A68" s="17" t="inlineStr">
        <is>
          <t>Lv</t>
        </is>
      </c>
      <c r="B68" s="12" t="n"/>
      <c r="C68" s="23" t="n"/>
      <c r="D68" s="23" t="n"/>
      <c r="E68" s="23" t="n"/>
      <c r="F68" s="23" t="n"/>
      <c r="G68" s="23" t="n"/>
      <c r="H68" s="23" t="n"/>
      <c r="I68" s="23" t="n"/>
      <c r="J68" s="24" t="n"/>
    </row>
    <row r="69"/>
    <row r="70" ht="22" customHeight="1">
      <c r="A70" s="3" t="inlineStr">
        <is>
          <t>物品欄 / 信用點</t>
        </is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4" t="n"/>
    </row>
    <row r="71" ht="22" customHeight="1">
      <c r="B71" s="5" t="inlineStr">
        <is>
          <t>信用點</t>
        </is>
      </c>
      <c r="C71" s="6" t="n"/>
      <c r="E71" s="5" t="inlineStr">
        <is>
          <t>星瓊</t>
        </is>
      </c>
      <c r="F71" s="6" t="n"/>
    </row>
    <row r="72" ht="22" customHeight="1">
      <c r="A72" s="12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4" t="n"/>
    </row>
    <row r="73" ht="22" customHeight="1">
      <c r="A73" s="12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4" t="n"/>
    </row>
    <row r="74" ht="22" customHeight="1">
      <c r="A74" s="12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4" t="n"/>
    </row>
    <row r="75" ht="22" customHeight="1">
      <c r="A75" s="12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4" t="n"/>
    </row>
    <row r="76" ht="22" customHeight="1">
      <c r="A76" s="12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4" t="n"/>
    </row>
    <row r="77" ht="22" customHeight="1">
      <c r="A77" s="12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4" t="n"/>
    </row>
    <row r="78" ht="22" customHeight="1">
      <c r="A78" s="12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4" t="n"/>
    </row>
    <row r="79" ht="22" customHeight="1">
      <c r="A79" s="12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4" t="n"/>
    </row>
    <row r="80" ht="22" customHeight="1">
      <c r="A80" s="12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4" t="n"/>
    </row>
    <row r="81" ht="22" customHeight="1">
      <c r="A81" s="12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4" t="n"/>
    </row>
  </sheetData>
  <mergeCells count="35">
    <mergeCell ref="A47:J47"/>
    <mergeCell ref="B67:J67"/>
    <mergeCell ref="A22:J22"/>
    <mergeCell ref="B61:J61"/>
    <mergeCell ref="B16:I16"/>
    <mergeCell ref="B3:I3"/>
    <mergeCell ref="A35:J35"/>
    <mergeCell ref="A81:J81"/>
    <mergeCell ref="A72:J72"/>
    <mergeCell ref="B49:D49"/>
    <mergeCell ref="A77:J77"/>
    <mergeCell ref="F42:J42"/>
    <mergeCell ref="B65:J65"/>
    <mergeCell ref="A73:J73"/>
    <mergeCell ref="A60:J60"/>
    <mergeCell ref="B68:J68"/>
    <mergeCell ref="B64:J64"/>
    <mergeCell ref="A1:J1"/>
    <mergeCell ref="A79:J79"/>
    <mergeCell ref="A70:J70"/>
    <mergeCell ref="A42:E42"/>
    <mergeCell ref="B50:D50"/>
    <mergeCell ref="B10:I10"/>
    <mergeCell ref="B63:J63"/>
    <mergeCell ref="A78:J78"/>
    <mergeCell ref="A54:J54"/>
    <mergeCell ref="A76:J76"/>
    <mergeCell ref="B62:J62"/>
    <mergeCell ref="A80:J80"/>
    <mergeCell ref="A75:J75"/>
    <mergeCell ref="A74:J74"/>
    <mergeCell ref="B66:J66"/>
    <mergeCell ref="B51:F51"/>
    <mergeCell ref="B52:D52"/>
    <mergeCell ref="B48:D48"/>
  </mergeCells>
  <dataValidations count="20">
    <dataValidation sqref="C24" showDropDown="0" showInputMessage="0" showErrorMessage="0" allowBlank="1" promptTitle="熟練標記" prompt="✓ = 熟練" type="list">
      <formula1>"✓,"</formula1>
    </dataValidation>
    <dataValidation sqref="H24" showDropDown="0" showInputMessage="0" showErrorMessage="0" allowBlank="1" promptTitle="熟練標記" prompt="✓ = 熟練" type="list">
      <formula1>"✓,"</formula1>
    </dataValidation>
    <dataValidation sqref="C25" showDropDown="0" showInputMessage="0" showErrorMessage="0" allowBlank="1" promptTitle="熟練標記" prompt="✓ = 熟練" type="list">
      <formula1>"✓,"</formula1>
    </dataValidation>
    <dataValidation sqref="H25" showDropDown="0" showInputMessage="0" showErrorMessage="0" allowBlank="1" promptTitle="熟練標記" prompt="✓ = 熟練" type="list">
      <formula1>"✓,"</formula1>
    </dataValidation>
    <dataValidation sqref="C26" showDropDown="0" showInputMessage="0" showErrorMessage="0" allowBlank="1" promptTitle="熟練標記" prompt="✓ = 熟練" type="list">
      <formula1>"✓,"</formula1>
    </dataValidation>
    <dataValidation sqref="H26" showDropDown="0" showInputMessage="0" showErrorMessage="0" allowBlank="1" promptTitle="熟練標記" prompt="✓ = 熟練" type="list">
      <formula1>"✓,"</formula1>
    </dataValidation>
    <dataValidation sqref="C27" showDropDown="0" showInputMessage="0" showErrorMessage="0" allowBlank="1" promptTitle="熟練標記" prompt="✓ = 熟練" type="list">
      <formula1>"✓,"</formula1>
    </dataValidation>
    <dataValidation sqref="H27" showDropDown="0" showInputMessage="0" showErrorMessage="0" allowBlank="1" promptTitle="熟練標記" prompt="✓ = 熟練" type="list">
      <formula1>"✓,"</formula1>
    </dataValidation>
    <dataValidation sqref="C28" showDropDown="0" showInputMessage="0" showErrorMessage="0" allowBlank="1" promptTitle="熟練標記" prompt="✓ = 熟練" type="list">
      <formula1>"✓,"</formula1>
    </dataValidation>
    <dataValidation sqref="H28" showDropDown="0" showInputMessage="0" showErrorMessage="0" allowBlank="1" promptTitle="熟練標記" prompt="✓ = 熟練" type="list">
      <formula1>"✓,"</formula1>
    </dataValidation>
    <dataValidation sqref="C29" showDropDown="0" showInputMessage="0" showErrorMessage="0" allowBlank="1" promptTitle="熟練標記" prompt="✓ = 熟練" type="list">
      <formula1>"✓,"</formula1>
    </dataValidation>
    <dataValidation sqref="H29" showDropDown="0" showInputMessage="0" showErrorMessage="0" allowBlank="1" promptTitle="熟練標記" prompt="✓ = 熟練" type="list">
      <formula1>"✓,"</formula1>
    </dataValidation>
    <dataValidation sqref="C30" showDropDown="0" showInputMessage="0" showErrorMessage="0" allowBlank="1" promptTitle="熟練標記" prompt="✓ = 熟練" type="list">
      <formula1>"✓,"</formula1>
    </dataValidation>
    <dataValidation sqref="H30" showDropDown="0" showInputMessage="0" showErrorMessage="0" allowBlank="1" promptTitle="熟練標記" prompt="✓ = 熟練" type="list">
      <formula1>"✓,"</formula1>
    </dataValidation>
    <dataValidation sqref="C31" showDropDown="0" showInputMessage="0" showErrorMessage="0" allowBlank="1" promptTitle="熟練標記" prompt="✓ = 熟練" type="list">
      <formula1>"✓,"</formula1>
    </dataValidation>
    <dataValidation sqref="H31" showDropDown="0" showInputMessage="0" showErrorMessage="0" allowBlank="1" promptTitle="熟練標記" prompt="✓ = 熟練" type="list">
      <formula1>"✓,"</formula1>
    </dataValidation>
    <dataValidation sqref="C32" showDropDown="0" showInputMessage="0" showErrorMessage="0" allowBlank="1" promptTitle="熟練標記" prompt="✓ = 熟練" type="list">
      <formula1>"✓,"</formula1>
    </dataValidation>
    <dataValidation sqref="H32" showDropDown="0" showInputMessage="0" showErrorMessage="0" allowBlank="1" promptTitle="熟練標記" prompt="✓ = 熟練" type="list">
      <formula1>"✓,"</formula1>
    </dataValidation>
    <dataValidation sqref="C33" showDropDown="0" showInputMessage="0" showErrorMessage="0" allowBlank="1" promptTitle="熟練標記" prompt="✓ = 熟練" type="list">
      <formula1>"✓,"</formula1>
    </dataValidation>
    <dataValidation sqref="H33" showDropDown="0" showInputMessage="0" showErrorMessage="0" allowBlank="1" promptTitle="熟練標記" prompt="✓ = 熟練" type="list">
      <formula1>"✓,"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</cols>
  <sheetData>
    <row r="1" ht="30" customHeight="1">
      <c r="A1" s="18" t="inlineStr">
        <is>
          <t>公式速查與計算輔助</t>
        </is>
      </c>
      <c r="B1" s="23" t="n"/>
      <c r="C1" s="23" t="n"/>
      <c r="D1" s="24" t="n"/>
    </row>
    <row r="2"/>
    <row r="3" ht="20" customHeight="1">
      <c r="A3" s="19" t="inlineStr">
        <is>
          <t>── 核心公式 ──</t>
        </is>
      </c>
      <c r="B3" s="20" t="inlineStr"/>
      <c r="C3" s="20" t="inlineStr"/>
      <c r="D3" s="20" t="inlineStr"/>
    </row>
    <row r="4" ht="20" customHeight="1">
      <c r="A4" s="21" t="inlineStr">
        <is>
          <t>檢定結果</t>
        </is>
      </c>
      <c r="B4" s="21" t="inlineStr">
        <is>
          <t>d20 + 屬性調整值 + 熟練加值（PB） + 加值</t>
        </is>
      </c>
      <c r="C4" s="22" t="inlineStr"/>
      <c r="D4" s="22" t="inlineStr"/>
    </row>
    <row r="5" ht="20" customHeight="1">
      <c r="A5" s="21" t="inlineStr">
        <is>
          <t>調整值換算</t>
        </is>
      </c>
      <c r="B5" s="21">
        <f>FLOOR((屬性值-10)/2, 1)</f>
        <v/>
      </c>
      <c r="C5" s="22" t="inlineStr"/>
      <c r="D5" s="22" t="inlineStr"/>
    </row>
    <row r="6" ht="20" customHeight="1">
      <c r="A6" s="21" t="inlineStr">
        <is>
          <t>生命值（HP）</t>
        </is>
      </c>
      <c r="B6" s="21" t="inlineStr">
        <is>
          <t>基礎生命值（HP） + 體質（CON）調 × 等級 + 命途加值</t>
        </is>
      </c>
      <c r="C6" s="21" t="inlineStr">
        <is>
          <t>智識4/巡獵同諧虛無豐饒5/毀滅6/存護7</t>
        </is>
      </c>
      <c r="D6" s="22" t="inlineStr"/>
    </row>
    <row r="7" ht="20" customHeight="1">
      <c r="A7" s="21" t="inlineStr">
        <is>
          <t>先攻值</t>
        </is>
      </c>
      <c r="B7" s="21" t="inlineStr">
        <is>
          <t>敏捷（AGI）調 + 感知（PER）調 + 加值</t>
        </is>
      </c>
      <c r="C7" s="22" t="inlineStr"/>
      <c r="D7" s="22" t="inlineStr"/>
    </row>
    <row r="8" ht="20" customHeight="1">
      <c r="A8" s="21" t="inlineStr">
        <is>
          <t>迴避（AC）</t>
        </is>
      </c>
      <c r="B8" s="21" t="inlineStr">
        <is>
          <t>10 + 敏捷（AGI）調 + 裝備</t>
        </is>
      </c>
      <c r="C8" s="22" t="inlineStr"/>
      <c r="D8" s="22" t="inlineStr"/>
    </row>
    <row r="9" ht="20" customHeight="1">
      <c r="A9" s="21" t="inlineStr">
        <is>
          <t>防禦減傷</t>
        </is>
      </c>
      <c r="B9" s="21" t="inlineStr">
        <is>
          <t>MAX(0, 體質（CON）調)</t>
        </is>
      </c>
      <c r="C9" s="22" t="inlineStr"/>
      <c r="D9" s="22" t="inlineStr"/>
    </row>
    <row r="10" ht="20" customHeight="1">
      <c r="A10" s="21" t="inlineStr">
        <is>
          <t>能量點（EP） 上限</t>
        </is>
      </c>
      <c r="B10" s="21" t="inlineStr">
        <is>
          <t>智識140 / 毀滅豐饒120 / 其他100</t>
        </is>
      </c>
      <c r="C10" s="22" t="inlineStr"/>
      <c r="D10" s="22" t="inlineStr"/>
    </row>
    <row r="11" ht="20" customHeight="1">
      <c r="A11" s="21" t="inlineStr">
        <is>
          <t>能量點（EP） 恢復</t>
        </is>
      </c>
      <c r="B11" s="21" t="inlineStr">
        <is>
          <t>智力（INT）調 × 5 /回合</t>
        </is>
      </c>
      <c r="C11" s="22" t="inlineStr"/>
      <c r="D11" s="22" t="inlineStr"/>
    </row>
    <row r="12" ht="20" customHeight="1">
      <c r="A12" s="22" t="inlineStr"/>
      <c r="B12" s="22" t="inlineStr"/>
      <c r="C12" s="22" t="inlineStr"/>
      <c r="D12" s="22" t="inlineStr"/>
    </row>
    <row r="13" ht="20" customHeight="1">
      <c r="A13" s="19" t="inlineStr">
        <is>
          <t>── 熟練加值（PB） ──</t>
        </is>
      </c>
      <c r="B13" s="20" t="inlineStr"/>
      <c r="C13" s="20" t="inlineStr"/>
      <c r="D13" s="20" t="inlineStr"/>
    </row>
    <row r="14" ht="20" customHeight="1">
      <c r="A14" s="21" t="inlineStr">
        <is>
          <t>Lv 1-4</t>
        </is>
      </c>
      <c r="B14" s="21" t="inlineStr">
        <is>
          <t>+2</t>
        </is>
      </c>
      <c r="C14" s="21" t="inlineStr">
        <is>
          <t>Lv 13-16</t>
        </is>
      </c>
      <c r="D14" s="21" t="inlineStr">
        <is>
          <t>+5</t>
        </is>
      </c>
    </row>
    <row r="15" ht="20" customHeight="1">
      <c r="A15" s="21" t="inlineStr">
        <is>
          <t>Lv 5-8</t>
        </is>
      </c>
      <c r="B15" s="21" t="inlineStr">
        <is>
          <t>+3</t>
        </is>
      </c>
      <c r="C15" s="21" t="inlineStr">
        <is>
          <t>Lv 17-20</t>
        </is>
      </c>
      <c r="D15" s="21" t="inlineStr">
        <is>
          <t>+6</t>
        </is>
      </c>
    </row>
    <row r="16" ht="20" customHeight="1">
      <c r="A16" s="21" t="inlineStr">
        <is>
          <t>Lv 9-12</t>
        </is>
      </c>
      <c r="B16" s="21" t="inlineStr">
        <is>
          <t>+4</t>
        </is>
      </c>
      <c r="C16" s="22" t="inlineStr"/>
      <c r="D16" s="22" t="inlineStr"/>
    </row>
    <row r="17" ht="20" customHeight="1">
      <c r="A17" s="22" t="inlineStr"/>
      <c r="B17" s="22" t="inlineStr"/>
      <c r="C17" s="22" t="inlineStr"/>
      <c r="D17" s="22" t="inlineStr"/>
    </row>
    <row r="18" ht="20" customHeight="1">
      <c r="A18" s="19" t="inlineStr">
        <is>
          <t>── 能量獲取 ──</t>
        </is>
      </c>
      <c r="B18" s="20" t="inlineStr"/>
      <c r="C18" s="20" t="inlineStr"/>
      <c r="D18" s="20" t="inlineStr"/>
    </row>
    <row r="19" ht="20" customHeight="1">
      <c r="A19" s="21" t="inlineStr">
        <is>
          <t>基礎攻擊</t>
        </is>
      </c>
      <c r="B19" s="21" t="inlineStr">
        <is>
          <t>+20 能量點（EP）</t>
        </is>
      </c>
      <c r="C19" s="21" t="inlineStr">
        <is>
          <t>弱點擊破</t>
        </is>
      </c>
      <c r="D19" s="21" t="inlineStr">
        <is>
          <t>+10 能量點（EP）</t>
        </is>
      </c>
    </row>
    <row r="20" ht="20" customHeight="1">
      <c r="A20" s="21" t="inlineStr">
        <is>
          <t>戰技</t>
        </is>
      </c>
      <c r="B20" s="21" t="inlineStr">
        <is>
          <t>+30 能量點（EP）</t>
        </is>
      </c>
      <c r="C20" s="21" t="inlineStr">
        <is>
          <t>隊友終結技</t>
        </is>
      </c>
      <c r="D20" s="21" t="inlineStr">
        <is>
          <t>+5 能量點（EP）</t>
        </is>
      </c>
    </row>
    <row r="21" ht="20" customHeight="1">
      <c r="A21" s="21" t="inlineStr">
        <is>
          <t>受擊</t>
        </is>
      </c>
      <c r="B21" s="21" t="inlineStr">
        <is>
          <t>+5 能量點（EP） (max 15)</t>
        </is>
      </c>
      <c r="C21" s="21" t="inlineStr">
        <is>
          <t>擊殺</t>
        </is>
      </c>
      <c r="D21" s="21" t="inlineStr">
        <is>
          <t>+10 能量點（EP）</t>
        </is>
      </c>
    </row>
    <row r="22" ht="20" customHeight="1">
      <c r="A22" s="22" t="inlineStr"/>
      <c r="B22" s="22" t="inlineStr"/>
      <c r="C22" s="22" t="inlineStr"/>
      <c r="D22" s="22" t="inlineStr"/>
    </row>
    <row r="23" ht="20" customHeight="1">
      <c r="A23" s="19" t="inlineStr">
        <is>
          <t>── 削韌值 ──</t>
        </is>
      </c>
      <c r="B23" s="20" t="inlineStr"/>
      <c r="C23" s="20" t="inlineStr"/>
      <c r="D23" s="20" t="inlineStr"/>
    </row>
    <row r="24" ht="20" customHeight="1">
      <c r="A24" s="22" t="inlineStr"/>
      <c r="B24" s="21" t="inlineStr">
        <is>
          <t>弱點/非弱點/物理</t>
        </is>
      </c>
      <c r="C24" s="22" t="inlineStr"/>
      <c r="D24" s="22" t="inlineStr"/>
    </row>
    <row r="25" ht="20" customHeight="1">
      <c r="A25" s="21" t="inlineStr">
        <is>
          <t>基礎攻擊</t>
        </is>
      </c>
      <c r="B25" s="21" t="inlineStr">
        <is>
          <t>−20 / −10 / −15</t>
        </is>
      </c>
      <c r="C25" s="22" t="inlineStr"/>
      <c r="D25" s="22" t="inlineStr"/>
    </row>
    <row r="26" ht="20" customHeight="1">
      <c r="A26" s="21" t="inlineStr">
        <is>
          <t>戰技</t>
        </is>
      </c>
      <c r="B26" s="21" t="inlineStr">
        <is>
          <t>−30 / −15 / −20</t>
        </is>
      </c>
      <c r="C26" s="22" t="inlineStr"/>
      <c r="D26" s="22" t="inlineStr"/>
    </row>
    <row r="27" ht="20" customHeight="1">
      <c r="A27" s="21" t="inlineStr">
        <is>
          <t>終結技</t>
        </is>
      </c>
      <c r="B27" s="21" t="inlineStr">
        <is>
          <t>−50 / −25 / −35</t>
        </is>
      </c>
      <c r="C27" s="22" t="inlineStr"/>
      <c r="D27" s="22" t="inlineStr"/>
    </row>
    <row r="28" ht="20" customHeight="1">
      <c r="A28" s="21" t="inlineStr">
        <is>
          <t>Tier 加成(每級)</t>
        </is>
      </c>
      <c r="B28" s="21" t="inlineStr">
        <is>
          <t>+10 / +5 / +8</t>
        </is>
      </c>
      <c r="C28" s="22" t="inlineStr"/>
      <c r="D28" s="22" t="inlineStr"/>
    </row>
    <row r="29" ht="20" customHeight="1">
      <c r="A29" s="22" t="inlineStr"/>
      <c r="B29" s="22" t="inlineStr"/>
      <c r="C29" s="22" t="inlineStr"/>
      <c r="D29" s="22" t="inlineStr"/>
    </row>
    <row r="30" ht="20" customHeight="1">
      <c r="A30" s="19" t="inlineStr">
        <is>
          <t>── 成功度分級 ──</t>
        </is>
      </c>
      <c r="B30" s="20" t="inlineStr"/>
      <c r="C30" s="20" t="inlineStr"/>
      <c r="D30" s="20" t="inlineStr"/>
    </row>
    <row r="31" ht="20" customHeight="1">
      <c r="A31" s="21" t="inlineStr">
        <is>
          <t>Tier 0 (0-4)</t>
        </is>
      </c>
      <c r="B31" s="21" t="inlineStr">
        <is>
          <t>×1.0</t>
        </is>
      </c>
      <c r="C31" s="21" t="inlineStr">
        <is>
          <t>Tier 3 (15-19)</t>
        </is>
      </c>
      <c r="D31" s="21" t="inlineStr">
        <is>
          <t>×1.75</t>
        </is>
      </c>
    </row>
    <row r="32" ht="20" customHeight="1">
      <c r="A32" s="21" t="inlineStr">
        <is>
          <t>Tier 1 (5-9)</t>
        </is>
      </c>
      <c r="B32" s="21" t="inlineStr">
        <is>
          <t>×1.25</t>
        </is>
      </c>
      <c r="C32" s="21" t="inlineStr">
        <is>
          <t>Tier 4 (20+)</t>
        </is>
      </c>
      <c r="D32" s="21" t="inlineStr">
        <is>
          <t>×2.0</t>
        </is>
      </c>
    </row>
    <row r="33" ht="20" customHeight="1">
      <c r="A33" s="21" t="inlineStr">
        <is>
          <t>Tier 2 (10-14)</t>
        </is>
      </c>
      <c r="B33" s="21" t="inlineStr">
        <is>
          <t>×1.5</t>
        </is>
      </c>
      <c r="C33" s="22" t="inlineStr"/>
      <c r="D33" s="22" t="inlineStr"/>
    </row>
    <row r="34" ht="20" customHeight="1">
      <c r="A34" s="22" t="inlineStr"/>
      <c r="B34" s="22" t="inlineStr"/>
      <c r="C34" s="22" t="inlineStr"/>
      <c r="D34" s="22" t="inlineStr"/>
    </row>
    <row r="35" ht="20" customHeight="1">
      <c r="A35" s="19" t="inlineStr">
        <is>
          <t>── 弱點擊破效果 ──</t>
        </is>
      </c>
      <c r="B35" s="20" t="inlineStr"/>
      <c r="C35" s="20" t="inlineStr"/>
      <c r="D35" s="20" t="inlineStr"/>
    </row>
    <row r="36" ht="20" customHeight="1">
      <c r="A36" s="21" t="inlineStr">
        <is>
          <t>增傷</t>
        </is>
      </c>
      <c r="B36" s="21" t="inlineStr">
        <is>
          <t>+25% (乘算)</t>
        </is>
      </c>
      <c r="C36" s="21" t="inlineStr">
        <is>
          <t>破防持續</t>
        </is>
      </c>
      <c r="D36" s="21" t="inlineStr">
        <is>
          <t>至敵方下次行動</t>
        </is>
      </c>
    </row>
    <row r="37" ht="20" customHeight="1">
      <c r="A37" s="21" t="inlineStr">
        <is>
          <t>行動延遲</t>
        </is>
      </c>
      <c r="B37" s="21" t="inlineStr">
        <is>
          <t>先攻 −10</t>
        </is>
      </c>
      <c r="C37" s="22" t="inlineStr"/>
      <c r="D37" s="22" t="inlineStr"/>
    </row>
    <row r="38" ht="20" customHeight="1">
      <c r="A38" s="22" t="inlineStr"/>
      <c r="B38" s="22" t="inlineStr"/>
      <c r="C38" s="22" t="inlineStr"/>
      <c r="D38" s="22" t="inlineStr"/>
    </row>
    <row r="39" ht="20" customHeight="1">
      <c r="A39" s="19" t="inlineStr">
        <is>
          <t>── 屬性值提升節點（ASI） 節點 ──</t>
        </is>
      </c>
      <c r="B39" s="20" t="inlineStr"/>
      <c r="C39" s="20" t="inlineStr"/>
      <c r="D39" s="20" t="inlineStr"/>
    </row>
    <row r="40" ht="20" customHeight="1">
      <c r="A40" s="21" t="inlineStr">
        <is>
          <t>Lv 4, 8, 12, 16, 19</t>
        </is>
      </c>
      <c r="B40" s="21" t="inlineStr">
        <is>
          <t>各 +2 屬性點 (上限20)</t>
        </is>
      </c>
      <c r="C40" s="22" t="inlineStr"/>
      <c r="D40" s="22" t="inlineStr"/>
    </row>
    <row r="41" ht="20" customHeight="1">
      <c r="A41" s="22" t="inlineStr"/>
      <c r="B41" s="22" t="inlineStr"/>
      <c r="C41" s="22" t="inlineStr"/>
      <c r="D41" s="22" t="inlineStr"/>
    </row>
    <row r="42" ht="20" customHeight="1">
      <c r="A42" s="19" t="inlineStr">
        <is>
          <t>── 元素共鳴 ──</t>
        </is>
      </c>
      <c r="B42" s="20" t="inlineStr"/>
      <c r="C42" s="20" t="inlineStr"/>
      <c r="D42" s="20" t="inlineStr"/>
    </row>
    <row r="43" ht="20" customHeight="1">
      <c r="A43" s="21" t="inlineStr">
        <is>
          <t>火+雷=超載</t>
        </is>
      </c>
      <c r="B43" s="21" t="inlineStr">
        <is>
          <t>2d10火爆裂</t>
        </is>
      </c>
      <c r="C43" s="21" t="inlineStr">
        <is>
          <t>物理+冰=碎裂</t>
        </is>
      </c>
      <c r="D43" s="21" t="inlineStr">
        <is>
          <t>流血雙倍</t>
        </is>
      </c>
    </row>
    <row r="44" ht="20" customHeight="1">
      <c r="A44" s="21" t="inlineStr">
        <is>
          <t>冰+雷=超導</t>
        </is>
      </c>
      <c r="B44" s="21" t="inlineStr">
        <is>
          <t>防禦等級（AC） −2</t>
        </is>
      </c>
      <c r="C44" s="21" t="inlineStr">
        <is>
          <t>量子+虛數=坍縮</t>
        </is>
      </c>
      <c r="D44" s="21" t="inlineStr">
        <is>
          <t>防禦等級（AC） −3 豁免−2</t>
        </is>
      </c>
    </row>
    <row r="45" ht="20" customHeight="1">
      <c r="A45" s="21" t="inlineStr">
        <is>
          <t>風+火=擴散</t>
        </is>
      </c>
      <c r="B45" s="21" t="inlineStr">
        <is>
          <t>燃燒擴散</t>
        </is>
      </c>
      <c r="C45" s="21" t="inlineStr">
        <is>
          <t>風+雷=風暴</t>
        </is>
      </c>
      <c r="D45" s="21" t="inlineStr">
        <is>
          <t>1d8雷 鄰近全體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2026-06-18T13:01:47Z</dcterms:created>
  <dcterms:modified xsi:type="dcterms:W3CDTF">2026-07-18T19:08:49Z</dcterms:modified>
</cp:coreProperties>
</file>