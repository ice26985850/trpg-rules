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nturer Generator" sheetId="1" state="visible" r:id="rId1"/>
    <sheet name="Captive Background Gener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D700"/>
      <sz val="14"/>
    </font>
    <font>
      <name val="Microsoft YaHei"/>
      <b val="1"/>
      <color rgb="00FFD700"/>
      <sz val="10"/>
    </font>
    <font>
      <name val="Microsoft YaHei"/>
      <color rgb="001A1A2E"/>
      <sz val="10"/>
    </font>
    <font>
      <name val="Microsoft YaHei"/>
      <b val="1"/>
      <color rgb="0000FF88"/>
      <sz val="10"/>
    </font>
    <font>
      <name val="Microsoft YaHei"/>
      <color rgb="00888888"/>
      <sz val="8"/>
    </font>
    <font>
      <name val="Microsoft YaHe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2D2D44"/>
        <bgColor rgb="002D2D44"/>
      </patternFill>
    </fill>
    <fill>
      <patternFill patternType="solid">
        <fgColor rgb="001C2A3A"/>
        <bgColor rgb="001C2A3A"/>
      </patternFill>
    </fill>
    <fill>
      <patternFill patternType="solid">
        <fgColor rgb="00B83B4A"/>
        <bgColor rgb="00B83B4A"/>
      </patternFill>
    </fill>
  </fills>
  <borders count="6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</cols>
  <sheetData>
    <row r="1">
      <c r="A1" s="1" t="inlineStr">
        <is>
          <t>Abyss Lord TRPG — Adventurer Incursion Generator (GM Tool · Auto-Calc)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/>
    <row r="3">
      <c r="A3" s="2" t="inlineStr">
        <is>
          <t>Step 1: Incursion Trigger → INF + 1d6 ≥ 8 triggers Incursion</t>
        </is>
      </c>
      <c r="B3" s="13" t="n"/>
      <c r="C3" s="13" t="n"/>
      <c r="D3" s="13" t="n"/>
      <c r="E3" s="13" t="n"/>
      <c r="F3" s="13" t="n"/>
      <c r="G3" s="13" t="n"/>
      <c r="H3" s="13" t="n"/>
      <c r="I3" s="14" t="n"/>
    </row>
    <row r="4">
      <c r="A4" s="3" t="inlineStr">
        <is>
          <t>Current INF</t>
        </is>
      </c>
      <c r="B4" s="4" t="inlineStr"/>
      <c r="C4" s="5" t="inlineStr">
        <is>
          <t>1d6 (roll dice)</t>
        </is>
      </c>
      <c r="D4" s="4" t="inlineStr"/>
      <c r="E4" s="5" t="inlineStr">
        <is>
          <t>INF + 1d6</t>
        </is>
      </c>
      <c r="F4" s="6">
        <f>IFERROR(B4+D4,"")</f>
        <v/>
      </c>
      <c r="G4" s="5" t="inlineStr">
        <is>
          <t>Judgment</t>
        </is>
      </c>
      <c r="H4" s="6">
        <f>IF(F4="","",IF(F4&gt;=8,"⚔ Incursion!","✓ Safe"))</f>
        <v/>
      </c>
    </row>
    <row r="5"/>
    <row r="6">
      <c r="A6" s="2" t="inlineStr">
        <is>
          <t>Step 2: Incursion Source (1d6)</t>
        </is>
      </c>
      <c r="B6" s="13" t="n"/>
      <c r="C6" s="13" t="n"/>
      <c r="D6" s="13" t="n"/>
      <c r="E6" s="13" t="n"/>
      <c r="F6" s="13" t="n"/>
      <c r="G6" s="13" t="n"/>
      <c r="H6" s="13" t="n"/>
      <c r="I6" s="14" t="n"/>
    </row>
    <row r="7">
      <c r="A7" s="5" t="inlineStr">
        <is>
          <t>1</t>
        </is>
      </c>
      <c r="B7" s="7" t="inlineStr">
        <is>
          <t>Adventurers' Guild</t>
        </is>
      </c>
      <c r="C7" s="13" t="n"/>
      <c r="D7" s="13" t="n"/>
      <c r="E7" s="13" t="n"/>
      <c r="F7" s="13" t="n"/>
      <c r="G7" s="13" t="n"/>
      <c r="H7" s="13" t="n"/>
      <c r="I7" s="14" t="n"/>
    </row>
    <row r="8">
      <c r="A8" s="5" t="inlineStr">
        <is>
          <t>2</t>
        </is>
      </c>
      <c r="B8" s="7" t="inlineStr">
        <is>
          <t>The Order of Light</t>
        </is>
      </c>
      <c r="C8" s="13" t="n"/>
      <c r="D8" s="13" t="n"/>
      <c r="E8" s="13" t="n"/>
      <c r="F8" s="13" t="n"/>
      <c r="G8" s="13" t="n"/>
      <c r="H8" s="13" t="n"/>
      <c r="I8" s="14" t="n"/>
    </row>
    <row r="9">
      <c r="A9" s="5" t="inlineStr">
        <is>
          <t>3</t>
        </is>
      </c>
      <c r="B9" s="7" t="inlineStr">
        <is>
          <t>Royal Investigation Corps (RIC)</t>
        </is>
      </c>
      <c r="C9" s="13" t="n"/>
      <c r="D9" s="13" t="n"/>
      <c r="E9" s="13" t="n"/>
      <c r="F9" s="13" t="n"/>
      <c r="G9" s="13" t="n"/>
      <c r="H9" s="13" t="n"/>
      <c r="I9" s="14" t="n"/>
    </row>
    <row r="10">
      <c r="A10" s="5" t="inlineStr">
        <is>
          <t>4</t>
        </is>
      </c>
      <c r="B10" s="7" t="inlineStr">
        <is>
          <t>Freelance Hunters</t>
        </is>
      </c>
      <c r="C10" s="13" t="n"/>
      <c r="D10" s="13" t="n"/>
      <c r="E10" s="13" t="n"/>
      <c r="F10" s="13" t="n"/>
      <c r="G10" s="13" t="n"/>
      <c r="H10" s="13" t="n"/>
      <c r="I10" s="14" t="n"/>
    </row>
    <row r="11">
      <c r="A11" s="5" t="inlineStr">
        <is>
          <t>5</t>
        </is>
      </c>
      <c r="B11" s="7" t="inlineStr">
        <is>
          <t>Mixed (roll twice)</t>
        </is>
      </c>
      <c r="C11" s="13" t="n"/>
      <c r="D11" s="13" t="n"/>
      <c r="E11" s="13" t="n"/>
      <c r="F11" s="13" t="n"/>
      <c r="G11" s="13" t="n"/>
      <c r="H11" s="13" t="n"/>
      <c r="I11" s="14" t="n"/>
    </row>
    <row r="12">
      <c r="A12" s="5" t="inlineStr">
        <is>
          <t>6</t>
        </is>
      </c>
      <c r="B12" s="7" t="inlineStr">
        <is>
          <t>Special (GM ruling)</t>
        </is>
      </c>
      <c r="C12" s="13" t="n"/>
      <c r="D12" s="13" t="n"/>
      <c r="E12" s="13" t="n"/>
      <c r="F12" s="13" t="n"/>
      <c r="G12" s="13" t="n"/>
      <c r="H12" s="13" t="n"/>
      <c r="I12" s="14" t="n"/>
    </row>
    <row r="13"/>
    <row r="14">
      <c r="A14" s="2">
        <f> "Step 3: Tier &amp; Scale (Current INF="&amp;B4&amp;")"</f>
        <v/>
      </c>
      <c r="B14" s="13" t="n"/>
      <c r="C14" s="13" t="n"/>
      <c r="D14" s="13" t="n"/>
      <c r="E14" s="13" t="n"/>
      <c r="F14" s="13" t="n"/>
      <c r="G14" s="13" t="n"/>
      <c r="H14" s="13" t="n"/>
      <c r="I14" s="14" t="n"/>
    </row>
    <row r="15">
      <c r="A15" s="5" t="inlineStr">
        <is>
          <t>INF</t>
        </is>
      </c>
      <c r="B15" s="5" t="inlineStr">
        <is>
          <t>Tier</t>
        </is>
      </c>
      <c r="C15" s="5" t="inlineStr">
        <is>
          <t>Dice Pool Range</t>
        </is>
      </c>
      <c r="D15" s="5" t="inlineStr">
        <is>
          <t>Party Size</t>
        </is>
      </c>
      <c r="E15" s="5" t="inlineStr">
        <is>
          <t>Boss?</t>
        </is>
      </c>
      <c r="F15" s="5" t="inlineStr">
        <is>
          <t>Drop Level</t>
        </is>
      </c>
    </row>
    <row r="16">
      <c r="A16" s="8" t="inlineStr">
        <is>
          <t>1-3</t>
        </is>
      </c>
      <c r="B16" s="8" t="inlineStr">
        <is>
          <t>T1 Novice</t>
        </is>
      </c>
      <c r="C16" s="8" t="inlineStr">
        <is>
          <t>2-3 dice</t>
        </is>
      </c>
      <c r="D16" s="8" t="inlineStr">
        <is>
          <t>2-3 people</t>
        </is>
      </c>
      <c r="E16" s="8" t="inlineStr">
        <is>
          <t>None</t>
        </is>
      </c>
      <c r="F16" s="8" t="inlineStr">
        <is>
          <t>Basic</t>
        </is>
      </c>
    </row>
    <row r="17">
      <c r="A17" s="8" t="inlineStr">
        <is>
          <t>4-6</t>
        </is>
      </c>
      <c r="B17" s="8" t="inlineStr">
        <is>
          <t>T2 Skilled</t>
        </is>
      </c>
      <c r="C17" s="8" t="inlineStr">
        <is>
          <t>4-5 dice</t>
        </is>
      </c>
      <c r="D17" s="8" t="inlineStr">
        <is>
          <t>3-4 people</t>
        </is>
      </c>
      <c r="E17" s="8" t="inlineStr">
        <is>
          <t>None</t>
        </is>
      </c>
      <c r="F17" s="8" t="inlineStr">
        <is>
          <t>Advanced</t>
        </is>
      </c>
    </row>
    <row r="18">
      <c r="A18" s="8" t="inlineStr">
        <is>
          <t>7-9</t>
        </is>
      </c>
      <c r="B18" s="8" t="inlineStr">
        <is>
          <t>T3 Elite</t>
        </is>
      </c>
      <c r="C18" s="8" t="inlineStr">
        <is>
          <t>6-7 dice</t>
        </is>
      </c>
      <c r="D18" s="8" t="inlineStr">
        <is>
          <t>4-5 people</t>
        </is>
      </c>
      <c r="E18" s="8" t="inlineStr">
        <is>
          <t>Captain (Phase 2+)</t>
        </is>
      </c>
      <c r="F18" s="8" t="inlineStr">
        <is>
          <t>Rare</t>
        </is>
      </c>
    </row>
    <row r="19">
      <c r="A19" s="8" t="inlineStr">
        <is>
          <t>10-12</t>
        </is>
      </c>
      <c r="B19" s="8" t="inlineStr">
        <is>
          <t>T4 Hero</t>
        </is>
      </c>
      <c r="C19" s="8" t="inlineStr">
        <is>
          <t>8-9 dice</t>
        </is>
      </c>
      <c r="D19" s="8" t="inlineStr">
        <is>
          <t>5-6 people</t>
        </is>
      </c>
      <c r="E19" s="8" t="inlineStr">
        <is>
          <t>Boss(Phase 2/3)</t>
        </is>
      </c>
      <c r="F19" s="8" t="inlineStr">
        <is>
          <t>Epic</t>
        </is>
      </c>
    </row>
    <row r="20">
      <c r="A20" s="8" t="inlineStr">
        <is>
          <t>13-15</t>
        </is>
      </c>
      <c r="B20" s="8" t="inlineStr">
        <is>
          <t>T5 Legendary</t>
        </is>
      </c>
      <c r="C20" s="8" t="inlineStr">
        <is>
          <t>10+ dice</t>
        </is>
      </c>
      <c r="D20" s="8" t="inlineStr">
        <is>
          <t>6-8 people</t>
        </is>
      </c>
      <c r="E20" s="8" t="inlineStr">
        <is>
          <t>Legendary Boss×2</t>
        </is>
      </c>
      <c r="F20" s="8" t="inlineStr">
        <is>
          <t>Legendary</t>
        </is>
      </c>
    </row>
    <row r="21"/>
    <row r="22">
      <c r="A22" s="3" t="inlineStr">
        <is>
          <t>Current Matching Tier</t>
        </is>
      </c>
      <c r="B22" s="6">
        <f>IFERROR(IF(B4&lt;=3,"T1 Novice",IF(B4&lt;=6,"T2 Skilled",IF(B4&lt;=9,"T3 Elite",IF(B4&lt;=12,"T4 Hero",IF(B4&lt;=15,"T5 Legendary",""))))),"Enter INF")</f>
        <v/>
      </c>
      <c r="C22" s="3" t="inlineStr">
        <is>
          <t>Dice Pool Range</t>
        </is>
      </c>
      <c r="D22" s="6">
        <f>IFERROR(IF(B4&lt;=3,"2-3 dice",IF(B4&lt;=6,"4-5 dice",IF(B4&lt;=9,"6-7 dice",IF(B4&lt;=12,"8-9 dice","10+ dice")))),"—")</f>
        <v/>
      </c>
      <c r="E22" s="3" t="inlineStr">
        <is>
          <t>Party Size</t>
        </is>
      </c>
      <c r="F22" s="6">
        <f>IFERROR(IF(B4&lt;=3,"2-3 people",IF(B4&lt;=6,"3-4 people",IF(B4&lt;=9,"4-5 people",IF(B4&lt;=12,"5-6 people","6-8 people")))),"—")</f>
        <v/>
      </c>
      <c r="G22" s="3" t="inlineStr">
        <is>
          <t>Boss?</t>
        </is>
      </c>
      <c r="H22" s="6">
        <f>IFERROR(IF(B4&lt;=3,"None",IF(B4&lt;=6,"None",IF(B4&lt;=9,"Captain (Phase 2+)",IF(B4&lt;=12,"Boss(Phase 2/3)","Legendary Boss×2")))),"—")</f>
        <v/>
      </c>
      <c r="I22" s="9" t="inlineStr"/>
    </row>
    <row r="23"/>
    <row r="24"/>
    <row r="25">
      <c r="A25" s="2" t="inlineStr">
        <is>
          <t>Step 4: Class Composition (1d6)</t>
        </is>
      </c>
      <c r="B25" s="13" t="n"/>
      <c r="C25" s="13" t="n"/>
      <c r="D25" s="13" t="n"/>
      <c r="E25" s="13" t="n"/>
      <c r="F25" s="13" t="n"/>
      <c r="G25" s="13" t="n"/>
      <c r="H25" s="13" t="n"/>
      <c r="I25" s="14" t="n"/>
    </row>
    <row r="26">
      <c r="A26" s="5" t="inlineStr">
        <is>
          <t>1</t>
        </is>
      </c>
      <c r="B26" s="7" t="inlineStr">
        <is>
          <t>Mixed: Warrior+Thief+Mage</t>
        </is>
      </c>
      <c r="C26" s="13" t="n"/>
      <c r="D26" s="13" t="n"/>
      <c r="E26" s="13" t="n"/>
      <c r="F26" s="13" t="n"/>
      <c r="G26" s="13" t="n"/>
      <c r="H26" s="13" t="n"/>
      <c r="I26" s="14" t="n"/>
    </row>
    <row r="27">
      <c r="A27" s="5" t="inlineStr">
        <is>
          <t>2</t>
        </is>
      </c>
      <c r="B27" s="7" t="inlineStr">
        <is>
          <t>Phys-focused: Warrior×2+Thief+Cleric</t>
        </is>
      </c>
      <c r="C27" s="13" t="n"/>
      <c r="D27" s="13" t="n"/>
      <c r="E27" s="13" t="n"/>
      <c r="F27" s="13" t="n"/>
      <c r="G27" s="13" t="n"/>
      <c r="H27" s="13" t="n"/>
      <c r="I27" s="14" t="n"/>
    </row>
    <row r="28">
      <c r="A28" s="5" t="inlineStr">
        <is>
          <t>3</t>
        </is>
      </c>
      <c r="B28" s="7" t="inlineStr">
        <is>
          <t>Magic-focused: Mage×2+Cleric+Ranger</t>
        </is>
      </c>
      <c r="C28" s="13" t="n"/>
      <c r="D28" s="13" t="n"/>
      <c r="E28" s="13" t="n"/>
      <c r="F28" s="13" t="n"/>
      <c r="G28" s="13" t="n"/>
      <c r="H28" s="13" t="n"/>
      <c r="I28" s="14" t="n"/>
    </row>
    <row r="29">
      <c r="A29" s="5" t="inlineStr">
        <is>
          <t>4</t>
        </is>
      </c>
      <c r="B29" s="7" t="inlineStr">
        <is>
          <t>Scout-focused: Thief×2+Ranger+Warrior</t>
        </is>
      </c>
      <c r="C29" s="13" t="n"/>
      <c r="D29" s="13" t="n"/>
      <c r="E29" s="13" t="n"/>
      <c r="F29" s="13" t="n"/>
      <c r="G29" s="13" t="n"/>
      <c r="H29" s="13" t="n"/>
      <c r="I29" s="14" t="n"/>
    </row>
    <row r="30">
      <c r="A30" s="5" t="inlineStr">
        <is>
          <t>5</t>
        </is>
      </c>
      <c r="B30" s="7" t="inlineStr">
        <is>
          <t>All Cleric (Order-exclusive)</t>
        </is>
      </c>
      <c r="C30" s="13" t="n"/>
      <c r="D30" s="13" t="n"/>
      <c r="E30" s="13" t="n"/>
      <c r="F30" s="13" t="n"/>
      <c r="G30" s="13" t="n"/>
      <c r="H30" s="13" t="n"/>
      <c r="I30" s="14" t="n"/>
    </row>
    <row r="31">
      <c r="A31" s="5" t="inlineStr">
        <is>
          <t>6</t>
        </is>
      </c>
      <c r="B31" s="7" t="inlineStr">
        <is>
          <t>Reroll or GM custom</t>
        </is>
      </c>
      <c r="C31" s="13" t="n"/>
      <c r="D31" s="13" t="n"/>
      <c r="E31" s="13" t="n"/>
      <c r="F31" s="13" t="n"/>
      <c r="G31" s="13" t="n"/>
      <c r="H31" s="13" t="n"/>
      <c r="I31" s="14" t="n"/>
    </row>
    <row r="32"/>
    <row r="33">
      <c r="A33" s="2" t="inlineStr">
        <is>
          <t>Step 5: Narrative Hook (1d6)</t>
        </is>
      </c>
      <c r="B33" s="13" t="n"/>
      <c r="C33" s="13" t="n"/>
      <c r="D33" s="13" t="n"/>
      <c r="E33" s="13" t="n"/>
      <c r="F33" s="13" t="n"/>
      <c r="G33" s="13" t="n"/>
      <c r="H33" s="13" t="n"/>
      <c r="I33" s="14" t="n"/>
    </row>
    <row r="34">
      <c r="A34" s="5" t="inlineStr">
        <is>
          <t>1</t>
        </is>
      </c>
      <c r="B34" s="7" t="inlineStr">
        <is>
          <t>Revenge: for fallen comrades from last defeat</t>
        </is>
      </c>
      <c r="C34" s="13" t="n"/>
      <c r="D34" s="13" t="n"/>
      <c r="E34" s="13" t="n"/>
      <c r="F34" s="13" t="n"/>
      <c r="G34" s="13" t="n"/>
      <c r="H34" s="13" t="n"/>
      <c r="I34" s="14" t="n"/>
    </row>
    <row r="35">
      <c r="A35" s="5" t="inlineStr">
        <is>
          <t>2</t>
        </is>
      </c>
      <c r="B35" s="7" t="inlineStr">
        <is>
          <t>Rescue: to free captured adventurers</t>
        </is>
      </c>
      <c r="C35" s="13" t="n"/>
      <c r="D35" s="13" t="n"/>
      <c r="E35" s="13" t="n"/>
      <c r="F35" s="13" t="n"/>
      <c r="G35" s="13" t="n"/>
      <c r="H35" s="13" t="n"/>
      <c r="I35" s="14" t="n"/>
    </row>
    <row r="36">
      <c r="A36" s="5" t="inlineStr">
        <is>
          <t>3</t>
        </is>
      </c>
      <c r="B36" s="7" t="inlineStr">
        <is>
          <t>Treasure hunt: heard of an ancient artifact in the dungeon</t>
        </is>
      </c>
      <c r="C36" s="13" t="n"/>
      <c r="D36" s="13" t="n"/>
      <c r="E36" s="13" t="n"/>
      <c r="F36" s="13" t="n"/>
      <c r="G36" s="13" t="n"/>
      <c r="H36" s="13" t="n"/>
      <c r="I36" s="14" t="n"/>
    </row>
    <row r="37">
      <c r="A37" s="5" t="inlineStr">
        <is>
          <t>4</t>
        </is>
      </c>
      <c r="B37" s="7" t="inlineStr">
        <is>
          <t>Ordered: guild/order/crown assignment</t>
        </is>
      </c>
      <c r="C37" s="13" t="n"/>
      <c r="D37" s="13" t="n"/>
      <c r="E37" s="13" t="n"/>
      <c r="F37" s="13" t="n"/>
      <c r="G37" s="13" t="n"/>
      <c r="H37" s="13" t="n"/>
      <c r="I37" s="14" t="n"/>
    </row>
    <row r="38">
      <c r="A38" s="5" t="inlineStr">
        <is>
          <t>5</t>
        </is>
      </c>
      <c r="B38" s="7" t="inlineStr">
        <is>
          <t>Trial: promotion test for rookies</t>
        </is>
      </c>
      <c r="C38" s="13" t="n"/>
      <c r="D38" s="13" t="n"/>
      <c r="E38" s="13" t="n"/>
      <c r="F38" s="13" t="n"/>
      <c r="G38" s="13" t="n"/>
      <c r="H38" s="13" t="n"/>
      <c r="I38" s="14" t="n"/>
    </row>
    <row r="39">
      <c r="A39" s="5" t="inlineStr">
        <is>
          <t>6</t>
        </is>
      </c>
      <c r="B39" s="7" t="inlineStr">
        <is>
          <t>Lost: actually just took a wrong turn...</t>
        </is>
      </c>
      <c r="C39" s="13" t="n"/>
      <c r="D39" s="13" t="n"/>
      <c r="E39" s="13" t="n"/>
      <c r="F39" s="13" t="n"/>
      <c r="G39" s="13" t="n"/>
      <c r="H39" s="13" t="n"/>
      <c r="I39" s="14" t="n"/>
    </row>
    <row r="40"/>
    <row r="41"/>
    <row r="42">
      <c r="A42" s="10" t="inlineStr">
        <is>
          <t>Adventurer AI Behavior Table (2d6)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>
      <c r="A43" s="5" t="inlineStr">
        <is>
          <t>2d6</t>
        </is>
      </c>
      <c r="B43" s="5" t="inlineStr">
        <is>
          <t>Tactical Behavior</t>
        </is>
      </c>
      <c r="C43" s="5" t="inlineStr">
        <is>
          <t>Effect</t>
        </is>
      </c>
    </row>
    <row r="44">
      <c r="A44" s="5" t="inlineStr">
        <is>
          <t>2</t>
        </is>
      </c>
      <c r="B44" s="8" t="inlineStr">
        <is>
          <t>Reckless charge</t>
        </is>
      </c>
      <c r="C44" s="7" t="inlineStr">
        <is>
          <t>Whole team rushes to next floor, no matter the cost</t>
        </is>
      </c>
      <c r="D44" s="13" t="n"/>
      <c r="E44" s="13" t="n"/>
      <c r="F44" s="13" t="n"/>
      <c r="G44" s="13" t="n"/>
      <c r="H44" s="13" t="n"/>
      <c r="I44" s="14" t="n"/>
    </row>
    <row r="45">
      <c r="A45" s="5" t="inlineStr">
        <is>
          <t>3-4</t>
        </is>
      </c>
      <c r="B45" s="8" t="inlineStr">
        <is>
          <t>Spread out to search</t>
        </is>
      </c>
      <c r="C45" s="7" t="inlineStr">
        <is>
          <t>Split to scout multiple rooms</t>
        </is>
      </c>
      <c r="D45" s="13" t="n"/>
      <c r="E45" s="13" t="n"/>
      <c r="F45" s="13" t="n"/>
      <c r="G45" s="13" t="n"/>
      <c r="H45" s="13" t="n"/>
      <c r="I45" s="14" t="n"/>
    </row>
    <row r="46">
      <c r="A46" s="5" t="inlineStr">
        <is>
          <t>5-6</t>
        </is>
      </c>
      <c r="B46" s="8" t="inlineStr">
        <is>
          <t>Advance with caution</t>
        </is>
      </c>
      <c r="C46" s="7" t="inlineStr">
        <is>
          <t>Thief scouts traps ahead</t>
        </is>
      </c>
      <c r="D46" s="13" t="n"/>
      <c r="E46" s="13" t="n"/>
      <c r="F46" s="13" t="n"/>
      <c r="G46" s="13" t="n"/>
      <c r="H46" s="13" t="n"/>
      <c r="I46" s="14" t="n"/>
    </row>
    <row r="47">
      <c r="A47" s="5" t="inlineStr">
        <is>
          <t>7</t>
        </is>
      </c>
      <c r="B47" s="8" t="inlineStr">
        <is>
          <t>Steady and cautious</t>
        </is>
      </c>
      <c r="C47" s="7" t="inlineStr">
        <is>
          <t>Cleric in center, warriors guarding</t>
        </is>
      </c>
      <c r="D47" s="13" t="n"/>
      <c r="E47" s="13" t="n"/>
      <c r="F47" s="13" t="n"/>
      <c r="G47" s="13" t="n"/>
      <c r="H47" s="13" t="n"/>
      <c r="I47" s="14" t="n"/>
    </row>
    <row r="48">
      <c r="A48" s="5" t="inlineStr">
        <is>
          <t>8-9</t>
        </is>
      </c>
      <c r="B48" s="8" t="inlineStr">
        <is>
          <t>Suppressing fire</t>
        </is>
      </c>
      <c r="C48" s="7" t="inlineStr">
        <is>
          <t>Mage weakens defenses from range</t>
        </is>
      </c>
      <c r="D48" s="13" t="n"/>
      <c r="E48" s="13" t="n"/>
      <c r="F48" s="13" t="n"/>
      <c r="G48" s="13" t="n"/>
      <c r="H48" s="13" t="n"/>
      <c r="I48" s="14" t="n"/>
    </row>
    <row r="49">
      <c r="A49" s="5" t="inlineStr">
        <is>
          <t>10-11</t>
        </is>
      </c>
      <c r="B49" s="8" t="inlineStr">
        <is>
          <t>Tactical retreat</t>
        </is>
      </c>
      <c r="C49" s="7" t="inlineStr">
        <is>
          <t>Fall back to safe floor to regroup</t>
        </is>
      </c>
      <c r="D49" s="13" t="n"/>
      <c r="E49" s="13" t="n"/>
      <c r="F49" s="13" t="n"/>
      <c r="G49" s="13" t="n"/>
      <c r="H49" s="13" t="n"/>
      <c r="I49" s="14" t="n"/>
    </row>
    <row r="50">
      <c r="A50" s="5" t="inlineStr">
        <is>
          <t>12</t>
        </is>
      </c>
      <c r="B50" s="8" t="inlineStr">
        <is>
          <t>All-or-nothing gamble</t>
        </is>
      </c>
      <c r="C50" s="7" t="inlineStr">
        <is>
          <t>All unleash ultimate skill to ambush the core</t>
        </is>
      </c>
      <c r="D50" s="13" t="n"/>
      <c r="E50" s="13" t="n"/>
      <c r="F50" s="13" t="n"/>
      <c r="G50" s="13" t="n"/>
      <c r="H50" s="13" t="n"/>
      <c r="I50" s="14" t="n"/>
    </row>
  </sheetData>
  <mergeCells count="32">
    <mergeCell ref="A25:I25"/>
    <mergeCell ref="B7:I7"/>
    <mergeCell ref="C48:I48"/>
    <mergeCell ref="A3:I3"/>
    <mergeCell ref="B31:I31"/>
    <mergeCell ref="B27:I27"/>
    <mergeCell ref="B12:I12"/>
    <mergeCell ref="A33:I33"/>
    <mergeCell ref="B39:I39"/>
    <mergeCell ref="B11:I11"/>
    <mergeCell ref="A42:I42"/>
    <mergeCell ref="A14:I14"/>
    <mergeCell ref="C49:I49"/>
    <mergeCell ref="B8:I8"/>
    <mergeCell ref="C45:I45"/>
    <mergeCell ref="B29:I29"/>
    <mergeCell ref="B38:I38"/>
    <mergeCell ref="B34:I34"/>
    <mergeCell ref="B10:I10"/>
    <mergeCell ref="B28:I28"/>
    <mergeCell ref="B37:I37"/>
    <mergeCell ref="C47:I47"/>
    <mergeCell ref="B9:I9"/>
    <mergeCell ref="C50:I50"/>
    <mergeCell ref="C44:I44"/>
    <mergeCell ref="B30:I30"/>
    <mergeCell ref="A1:I1"/>
    <mergeCell ref="B36:I36"/>
    <mergeCell ref="C46:I46"/>
    <mergeCell ref="A6:I6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Captive Background Quick Generator (3d6)</t>
        </is>
      </c>
      <c r="B1" s="13" t="n"/>
      <c r="C1" s="13" t="n"/>
      <c r="D1" s="13" t="n"/>
      <c r="E1" s="13" t="n"/>
      <c r="F1" s="14" t="n"/>
    </row>
    <row r="2"/>
    <row r="3">
      <c r="A3" s="5" t="inlineStr">
        <is>
          <t>Background (1d6)</t>
        </is>
      </c>
      <c r="B3" s="11" t="inlineStr"/>
      <c r="C3" s="5" t="inlineStr">
        <is>
          <t>Motivation (1d6)</t>
        </is>
      </c>
      <c r="D3" s="11" t="inlineStr"/>
      <c r="E3" s="5" t="inlineStr">
        <is>
          <t>Secret (1d6)</t>
        </is>
      </c>
      <c r="F3" s="11" t="inlineStr"/>
    </row>
    <row r="4">
      <c r="A4" s="8" t="inlineStr">
        <is>
          <t>1</t>
        </is>
      </c>
      <c r="B4" s="12" t="inlineStr">
        <is>
          <t>Commoner's child: honest and dutiful</t>
        </is>
      </c>
      <c r="C4" s="8" t="inlineStr">
        <is>
          <t>1</t>
        </is>
      </c>
      <c r="D4" s="12" t="inlineStr">
        <is>
          <t>Raise medicine money for sick sister</t>
        </is>
      </c>
      <c r="E4" s="8" t="inlineStr">
        <is>
          <t>1</t>
        </is>
      </c>
      <c r="F4" s="12" t="inlineStr">
        <is>
          <t>Actually a noble's illegitimate child</t>
        </is>
      </c>
    </row>
    <row r="5">
      <c r="A5" s="8" t="inlineStr">
        <is>
          <t>2</t>
        </is>
      </c>
      <c r="B5" s="12" t="inlineStr">
        <is>
          <t>City poor: fighting to survive</t>
        </is>
      </c>
      <c r="C5" s="8" t="inlineStr">
        <is>
          <t>2</t>
        </is>
      </c>
      <c r="D5" s="12" t="inlineStr">
        <is>
          <t>Proving oneself</t>
        </is>
      </c>
      <c r="E5" s="8" t="inlineStr">
        <is>
          <t>2</t>
        </is>
      </c>
      <c r="F5" s="12" t="inlineStr">
        <is>
          <t>A letter from an old lover hidden inside</t>
        </is>
      </c>
    </row>
    <row r="6">
      <c r="A6" s="8" t="inlineStr">
        <is>
          <t>3</t>
        </is>
      </c>
      <c r="B6" s="12" t="inlineStr">
        <is>
          <t>Fallen noble: refusing mediocrity</t>
        </is>
      </c>
      <c r="C6" s="8" t="inlineStr">
        <is>
          <t>3</t>
        </is>
      </c>
      <c r="D6" s="12" t="inlineStr">
        <is>
          <t>Clear a debt</t>
        </is>
      </c>
      <c r="E6" s="8" t="inlineStr">
        <is>
          <t>3</t>
        </is>
      </c>
      <c r="F6" s="12" t="inlineStr">
        <is>
          <t>Afraid of darkness (claustrophobia)</t>
        </is>
      </c>
    </row>
    <row r="7">
      <c r="A7" s="8" t="inlineStr">
        <is>
          <t>4</t>
        </is>
      </c>
      <c r="B7" s="12" t="inlineStr">
        <is>
          <t>Orphanage-raised: independent and resilient</t>
        </is>
      </c>
      <c r="C7" s="8" t="inlineStr">
        <is>
          <t>4</t>
        </is>
      </c>
      <c r="D7" s="12" t="inlineStr">
        <is>
          <t>Following an idol</t>
        </is>
      </c>
      <c r="E7" s="8" t="inlineStr">
        <is>
          <t>4</t>
        </is>
      </c>
      <c r="F7" s="12" t="inlineStr">
        <is>
          <t>One deployment on a mission</t>
        </is>
      </c>
    </row>
    <row r="8">
      <c r="A8" s="8" t="inlineStr">
        <is>
          <t>5</t>
        </is>
      </c>
      <c r="B8" s="12" t="inlineStr">
        <is>
          <t>Merchant family: shrewd and calculating</t>
        </is>
      </c>
      <c r="C8" s="8" t="inlineStr">
        <is>
          <t>5</t>
        </is>
      </c>
      <c r="D8" s="12" t="inlineStr">
        <is>
          <t>Avoiding the past</t>
        </is>
      </c>
      <c r="E8" s="8" t="inlineStr">
        <is>
          <t>5</t>
        </is>
      </c>
      <c r="F8" s="12" t="inlineStr">
        <is>
          <t>Knows a guild higher-up's secret</t>
        </is>
      </c>
    </row>
    <row r="9">
      <c r="A9" s="8" t="inlineStr">
        <is>
          <t>6</t>
        </is>
      </c>
      <c r="B9" s="12" t="inlineStr">
        <is>
          <t>Adventurer bloodline: born to adventure</t>
        </is>
      </c>
      <c r="C9" s="8" t="inlineStr">
        <is>
          <t>6</t>
        </is>
      </c>
      <c r="D9" s="12" t="inlineStr">
        <is>
          <t>Find a missing relative</t>
        </is>
      </c>
      <c r="E9" s="8" t="inlineStr">
        <is>
          <t>6</t>
        </is>
      </c>
      <c r="F9" s="12" t="inlineStr">
        <is>
          <t>Actually of Abyssal bloodline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2026-06-28T14:53:59Z</dcterms:created>
  <dcterms:modified xsi:type="dcterms:W3CDTF">2026-08-10T11:36:10Z</dcterms:modified>
</cp:coreProperties>
</file>