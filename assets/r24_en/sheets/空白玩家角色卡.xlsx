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rd Character Sheet" sheetId="1" state="visible" r:id="rId1"/>
    <sheet name="Level Table" sheetId="2" state="hidden" r:id="rId2"/>
    <sheet name="Storage Table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FFD700"/>
      <sz val="10"/>
    </font>
    <font>
      <name val="Microsoft YaHei"/>
      <color rgb="00FFFFFF"/>
      <sz val="10"/>
    </font>
    <font>
      <name val="Microsoft YaHei"/>
      <color rgb="001A1A2E"/>
      <sz val="10"/>
    </font>
    <font>
      <name val="Microsoft YaHei"/>
      <b val="1"/>
      <color rgb="00FFD700"/>
      <sz val="14"/>
    </font>
    <font>
      <name val="Microsoft YaHei"/>
      <color rgb="00888888"/>
      <sz val="8"/>
    </font>
    <font>
      <name val="Microsoft YaHei"/>
      <color rgb="0000BFFF"/>
      <sz val="10"/>
    </font>
    <font>
      <name val="Microsoft YaHei"/>
      <b val="1"/>
      <color rgb="0000FF88"/>
      <sz val="10"/>
    </font>
  </fonts>
  <fills count="9">
    <fill>
      <patternFill/>
    </fill>
    <fill>
      <patternFill patternType="gray125"/>
    </fill>
    <fill>
      <patternFill patternType="solid">
        <fgColor rgb="0016213E"/>
        <bgColor rgb="0016213E"/>
      </patternFill>
    </fill>
    <fill>
      <patternFill patternType="solid">
        <fgColor rgb="001C2A3A"/>
        <bgColor rgb="001C2A3A"/>
      </patternFill>
    </fill>
    <fill>
      <patternFill patternType="solid">
        <fgColor rgb="001A1A2E"/>
        <bgColor rgb="001A1A2E"/>
      </patternFill>
    </fill>
    <fill>
      <patternFill patternType="solid">
        <fgColor rgb="002D2D44"/>
        <bgColor rgb="002D2D44"/>
      </patternFill>
    </fill>
    <fill>
      <patternFill patternType="solid">
        <fgColor rgb="000F3460"/>
        <bgColor rgb="000F3460"/>
      </patternFill>
    </fill>
    <fill>
      <patternFill patternType="solid">
        <fgColor rgb="00B83B4A"/>
        <bgColor rgb="00B83B4A"/>
      </patternFill>
    </fill>
    <fill>
      <patternFill patternType="solid">
        <fgColor rgb="00533483"/>
        <bgColor rgb="00533483"/>
      </patternFill>
    </fill>
  </fills>
  <borders count="6">
    <border>
      <left/>
      <right/>
      <top/>
      <bottom/>
      <diagonal/>
    </border>
    <border>
      <left style="thin">
        <color rgb="003A3A5C"/>
      </left>
      <right style="thin">
        <color rgb="003A3A5C"/>
      </right>
      <top style="thin">
        <color rgb="003A3A5C"/>
      </top>
      <bottom style="thin">
        <color rgb="003A3A5C"/>
      </bottom>
    </border>
    <border>
      <left/>
      <right/>
      <top style="thin">
        <color rgb="003A3A5C"/>
      </top>
      <bottom/>
      <diagonal/>
    </border>
    <border>
      <left/>
      <right style="thin">
        <color rgb="003A3A5C"/>
      </right>
      <top style="thin">
        <color rgb="003A3A5C"/>
      </top>
      <bottom/>
      <diagonal/>
    </border>
    <border>
      <left/>
      <right/>
      <top style="thin">
        <color rgb="003A3A5C"/>
      </top>
      <bottom style="thin">
        <color rgb="003A3A5C"/>
      </bottom>
      <diagonal/>
    </border>
    <border>
      <left/>
      <right style="thin">
        <color rgb="003A3A5C"/>
      </right>
      <top style="thin">
        <color rgb="003A3A5C"/>
      </top>
      <bottom style="thin">
        <color rgb="003A3A5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Abyss Lord TRPG — Dungeon Lord Character Sheet (Auto-Calc Version)</t>
        </is>
      </c>
      <c r="B1" s="21" t="n"/>
      <c r="C1" s="21" t="n"/>
      <c r="D1" s="21" t="n"/>
      <c r="E1" s="21" t="n"/>
      <c r="F1" s="21" t="n"/>
      <c r="G1" s="21" t="n"/>
      <c r="H1" s="21" t="n"/>
      <c r="I1" s="22" t="n"/>
    </row>
    <row r="2">
      <c r="A2" s="2" t="inlineStr">
        <is>
          <t>Blue text = auto-calculated by formula, dark-purple fill = manual input</t>
        </is>
      </c>
      <c r="B2" s="22" t="n"/>
    </row>
    <row r="3">
      <c r="A3" s="3" t="inlineStr">
        <is>
          <t>Dungeon Name:</t>
        </is>
      </c>
      <c r="B3" s="21" t="n"/>
      <c r="C3" s="22" t="n"/>
      <c r="D3" s="4" t="inlineStr"/>
      <c r="E3" s="21" t="n"/>
      <c r="F3" s="22" t="n"/>
      <c r="G3" s="3" t="inlineStr">
        <is>
          <t>Lord Name:</t>
        </is>
      </c>
      <c r="H3" s="22" t="n"/>
      <c r="I3" s="4" t="inlineStr"/>
    </row>
    <row r="4">
      <c r="A4" s="3" t="inlineStr">
        <is>
          <t>Archetype:</t>
        </is>
      </c>
      <c r="B4" s="21" t="n"/>
      <c r="C4" s="22" t="n"/>
      <c r="D4" s="4" t="inlineStr"/>
      <c r="E4" s="21" t="n"/>
      <c r="F4" s="22" t="n"/>
      <c r="G4" s="3" t="inlineStr">
        <is>
          <t>Dungeon Level:</t>
        </is>
      </c>
      <c r="H4" s="22" t="n"/>
      <c r="I4" s="5" t="inlineStr"/>
    </row>
    <row r="5"/>
    <row r="6">
      <c r="A6" s="6" t="inlineStr">
        <is>
          <t>Lord Attributes</t>
        </is>
      </c>
      <c r="B6" s="21" t="n"/>
      <c r="C6" s="21" t="n"/>
      <c r="D6" s="21" t="n"/>
      <c r="E6" s="21" t="n"/>
      <c r="F6" s="21" t="n"/>
      <c r="G6" s="21" t="n"/>
      <c r="H6" s="21" t="n"/>
      <c r="I6" s="22" t="n"/>
    </row>
    <row r="7">
      <c r="A7" s="3" t="inlineStr">
        <is>
          <t>CUN Cunning</t>
        </is>
      </c>
      <c r="B7" s="5" t="inlineStr"/>
      <c r="C7" s="7" t="inlineStr"/>
      <c r="D7" s="8">
        <f>MIN(IF(I4&gt;=10,6,5), B7+C7)</f>
        <v/>
      </c>
      <c r="E7" s="8">
        <f>D7&amp;"d6"</f>
        <v/>
      </c>
    </row>
    <row r="8">
      <c r="A8" s="3" t="inlineStr">
        <is>
          <t>DOM Dominion</t>
        </is>
      </c>
      <c r="B8" s="5" t="inlineStr"/>
      <c r="C8" s="7" t="inlineStr"/>
      <c r="D8" s="8">
        <f>MIN(IF(I4&gt;=10,6,5), B8+C8)</f>
        <v/>
      </c>
      <c r="E8" s="8">
        <f>D8&amp;"d6"</f>
        <v/>
      </c>
    </row>
    <row r="9">
      <c r="A9" s="3" t="inlineStr">
        <is>
          <t>ARC Arcana</t>
        </is>
      </c>
      <c r="B9" s="5" t="inlineStr"/>
      <c r="C9" s="7" t="inlineStr"/>
      <c r="D9" s="8">
        <f>MIN(IF(I4&gt;=10,6,5), B9+C9)</f>
        <v/>
      </c>
      <c r="E9" s="8">
        <f>D9&amp;"d6"</f>
        <v/>
      </c>
    </row>
    <row r="10">
      <c r="A10" s="3" t="inlineStr">
        <is>
          <t>IND Industry</t>
        </is>
      </c>
      <c r="B10" s="5" t="inlineStr"/>
      <c r="C10" s="7" t="inlineStr"/>
      <c r="D10" s="8">
        <f>MIN(IF(I4&gt;=10,6,5), B10+C10)</f>
        <v/>
      </c>
      <c r="E10" s="8">
        <f>D10&amp;"d6"</f>
        <v/>
      </c>
    </row>
    <row r="11">
      <c r="A11" s="3" t="inlineStr">
        <is>
          <t>WAR Warfare</t>
        </is>
      </c>
      <c r="B11" s="5" t="inlineStr"/>
      <c r="C11" s="7" t="inlineStr"/>
      <c r="D11" s="8">
        <f>MIN(IF(I4&gt;=10,6,5), B11+C11)</f>
        <v/>
      </c>
      <c r="E11" s="8">
        <f>D11&amp;"d6"</f>
        <v/>
      </c>
    </row>
    <row r="12"/>
    <row r="13">
      <c r="A13" s="9" t="inlineStr">
        <is>
          <t>Lord Combat Panel</t>
        </is>
      </c>
      <c r="B13" s="21" t="n"/>
      <c r="C13" s="21" t="n"/>
      <c r="D13" s="21" t="n"/>
      <c r="E13" s="21" t="n"/>
      <c r="F13" s="21" t="n"/>
      <c r="G13" s="21" t="n"/>
      <c r="H13" s="21" t="n"/>
      <c r="I13" s="22" t="n"/>
    </row>
    <row r="14">
      <c r="A14" s="3" t="inlineStr">
        <is>
          <t>Max HP</t>
        </is>
      </c>
      <c r="B14" s="10">
        <f>MAX(5, D8+D11)</f>
        <v/>
      </c>
      <c r="C14" s="3" t="inlineStr">
        <is>
          <t>Current HP</t>
        </is>
      </c>
      <c r="D14" s="5" t="inlineStr"/>
      <c r="E14" s="3" t="inlineStr">
        <is>
          <t>Physical Attack Dice</t>
        </is>
      </c>
      <c r="F14" s="8">
        <f>D11&amp;"d6"</f>
        <v/>
      </c>
      <c r="G14" s="3" t="inlineStr">
        <is>
          <t>Magic Attack Dice</t>
        </is>
      </c>
      <c r="H14" s="8">
        <f>D9&amp;"d6"</f>
        <v/>
      </c>
      <c r="I14" s="3" t="inlineStr">
        <is>
          <t>Defense Stance (pick 1)</t>
        </is>
      </c>
    </row>
    <row r="15">
      <c r="A15" s="11" t="inlineStr">
        <is>
          <t>□Will/DOM □Evasion/WAR □Barrier/ARC  Defense Dice Pool = Attribute d6</t>
        </is>
      </c>
      <c r="B15" s="21" t="n"/>
      <c r="C15" s="21" t="n"/>
      <c r="D15" s="21" t="n"/>
      <c r="E15" s="21" t="n"/>
      <c r="F15" s="21" t="n"/>
      <c r="G15" s="21" t="n"/>
      <c r="H15" s="21" t="n"/>
      <c r="I15" s="22" t="n"/>
    </row>
    <row r="16"/>
    <row r="17">
      <c r="A17" s="6" t="inlineStr">
        <is>
          <t>Dungeon Attributes</t>
        </is>
      </c>
      <c r="B17" s="21" t="n"/>
      <c r="C17" s="21" t="n"/>
      <c r="D17" s="21" t="n"/>
      <c r="E17" s="21" t="n"/>
      <c r="F17" s="21" t="n"/>
      <c r="G17" s="21" t="n"/>
      <c r="H17" s="21" t="n"/>
      <c r="I17" s="22" t="n"/>
    </row>
    <row r="18">
      <c r="A18" s="3" t="inlineStr">
        <is>
          <t>DEP Depth</t>
        </is>
      </c>
      <c r="B18" s="8">
        <f>VLOOKUP(I4, Level Table!A:G, 3, FALSE)</f>
        <v/>
      </c>
      <c r="C18" s="7" t="inlineStr"/>
      <c r="D18" s="8">
        <f>IF(B18="—", C18, B18+C18)</f>
        <v/>
      </c>
    </row>
    <row r="19">
      <c r="A19" s="3" t="inlineStr">
        <is>
          <t>INF Infamy</t>
        </is>
      </c>
      <c r="B19" s="8">
        <f>VLOOKUP(I4, Level Table!A:G, 4, FALSE)</f>
        <v/>
      </c>
      <c r="C19" s="7" t="inlineStr"/>
      <c r="D19" s="8">
        <f>IF(B19="—", C19, B19+C19)</f>
        <v/>
      </c>
    </row>
    <row r="20">
      <c r="A20" s="3" t="inlineStr">
        <is>
          <t>DEF Defense</t>
        </is>
      </c>
      <c r="B20" s="7" t="inlineStr"/>
      <c r="C20" s="7" t="inlineStr"/>
      <c r="D20" s="8">
        <f>IF(B20="—", C20, B20+C20)</f>
        <v/>
      </c>
    </row>
    <row r="21">
      <c r="A21" s="3" t="inlineStr">
        <is>
          <t>WLH Wealth</t>
        </is>
      </c>
      <c r="B21" s="7" t="inlineStr"/>
      <c r="C21" s="7" t="inlineStr"/>
      <c r="D21" s="8">
        <f>IF(B21="—", C21, B21+C21)</f>
        <v/>
      </c>
    </row>
    <row r="22">
      <c r="A22" s="3" t="inlineStr">
        <is>
          <t>MAG Magic</t>
        </is>
      </c>
      <c r="B22" s="7" t="inlineStr"/>
      <c r="C22" s="7" t="inlineStr"/>
      <c r="D22" s="8">
        <f>IF(B22="—", C22, B22+C22)</f>
        <v/>
      </c>
    </row>
    <row r="23"/>
    <row r="24">
      <c r="A24" s="10">
        <f> "Storage Cap: ◆"&amp;VLOOKUP(D21, Storage Table!A:E, 2, TRUE)&amp;" ◇"&amp;VLOOKUP(D21, Storage Table!A:E, 3, TRUE)&amp;" ■"&amp;VLOOKUP(D21, Storage Table!A:E, 4, TRUE)&amp;" ●"&amp;VLOOKUP(D21, Storage Table!A:E, 5, TRUE)</f>
        <v/>
      </c>
      <c r="B24" s="21" t="n"/>
      <c r="C24" s="21" t="n"/>
      <c r="D24" s="21" t="n"/>
      <c r="E24" s="21" t="n"/>
      <c r="F24" s="21" t="n"/>
      <c r="G24" s="21" t="n"/>
      <c r="H24" s="21" t="n"/>
      <c r="I24" s="22" t="n"/>
    </row>
    <row r="25"/>
    <row r="26">
      <c r="A26" s="6" t="inlineStr">
        <is>
          <t>Resources</t>
        </is>
      </c>
      <c r="B26" s="21" t="n"/>
      <c r="C26" s="21" t="n"/>
      <c r="D26" s="21" t="n"/>
      <c r="E26" s="21" t="n"/>
      <c r="F26" s="21" t="n"/>
      <c r="G26" s="21" t="n"/>
      <c r="H26" s="21" t="n"/>
      <c r="I26" s="22" t="n"/>
    </row>
    <row r="27">
      <c r="A27" s="3" t="inlineStr">
        <is>
          <t>Dark Coins ◆</t>
        </is>
      </c>
      <c r="B27" s="5" t="inlineStr"/>
      <c r="C27" s="11" t="inlineStr">
        <is>
          <t>Cap:</t>
        </is>
      </c>
      <c r="D27" s="8">
        <f>VLOOKUP(D21, Storage Table!A:E, 2, TRUE)</f>
        <v/>
      </c>
      <c r="E27" s="11" t="inlineStr">
        <is>
          <t>Income/round:</t>
        </is>
      </c>
      <c r="F27" s="7" t="inlineStr"/>
      <c r="G27" s="11" t="inlineStr">
        <is>
          <t>Maintenance/round:</t>
        </is>
      </c>
      <c r="H27" s="7" t="inlineStr"/>
    </row>
    <row r="28">
      <c r="A28" s="3" t="inlineStr">
        <is>
          <t>Mana Crystals ◇</t>
        </is>
      </c>
      <c r="B28" s="5" t="inlineStr"/>
      <c r="C28" s="11" t="inlineStr">
        <is>
          <t>Cap:</t>
        </is>
      </c>
      <c r="D28" s="8">
        <f>VLOOKUP(D21, Storage Table!A:E, 3, TRUE)</f>
        <v/>
      </c>
      <c r="E28" s="11" t="inlineStr">
        <is>
          <t>Income/round:</t>
        </is>
      </c>
      <c r="F28" s="7" t="inlineStr"/>
      <c r="G28" s="11" t="inlineStr">
        <is>
          <t>Maintenance/round:</t>
        </is>
      </c>
      <c r="H28" s="7" t="inlineStr"/>
    </row>
    <row r="29">
      <c r="A29" s="3" t="inlineStr">
        <is>
          <t>Building Materials ■</t>
        </is>
      </c>
      <c r="B29" s="5" t="inlineStr"/>
      <c r="C29" s="11" t="inlineStr">
        <is>
          <t>Cap:</t>
        </is>
      </c>
      <c r="D29" s="8">
        <f>VLOOKUP(D21, Storage Table!A:E, 4, TRUE)</f>
        <v/>
      </c>
      <c r="E29" s="11" t="inlineStr">
        <is>
          <t>Income/round:</t>
        </is>
      </c>
      <c r="F29" s="7" t="inlineStr"/>
      <c r="G29" s="11" t="inlineStr">
        <is>
          <t>Maintenance/round:</t>
        </is>
      </c>
      <c r="H29" s="7" t="inlineStr"/>
    </row>
    <row r="30">
      <c r="A30" s="3" t="inlineStr">
        <is>
          <t>Soul Essence ●</t>
        </is>
      </c>
      <c r="B30" s="5" t="inlineStr"/>
      <c r="C30" s="11" t="inlineStr">
        <is>
          <t>Cap:</t>
        </is>
      </c>
      <c r="D30" s="8">
        <f>VLOOKUP(D21, Storage Table!A:E, 5, TRUE)</f>
        <v/>
      </c>
      <c r="E30" s="11" t="inlineStr">
        <is>
          <t>Income/round:</t>
        </is>
      </c>
      <c r="F30" s="7" t="inlineStr"/>
      <c r="G30" s="11" t="inlineStr">
        <is>
          <t>Maintenance/round:</t>
        </is>
      </c>
      <c r="H30" s="7" t="inlineStr"/>
    </row>
    <row r="31">
      <c r="A31" s="11" t="inlineStr">
        <is>
          <t>Throne Room Output</t>
        </is>
      </c>
      <c r="B31" s="10" t="inlineStr">
        <is>
          <t>◆×1/round</t>
        </is>
      </c>
      <c r="C31" s="11" t="inlineStr">
        <is>
          <t>Treasure Vault Interest</t>
        </is>
      </c>
      <c r="D31" s="10">
        <f>IF(D4="Ancient Wyrm", FLOOR(B27/10,1)&amp;"◆/round", "—")</f>
        <v/>
      </c>
    </row>
    <row r="32"/>
    <row r="33">
      <c r="A33" s="6" t="inlineStr">
        <is>
          <t>Spell Slots &amp; Magic</t>
        </is>
      </c>
      <c r="B33" s="21" t="n"/>
      <c r="C33" s="21" t="n"/>
      <c r="D33" s="21" t="n"/>
      <c r="E33" s="21" t="n"/>
      <c r="F33" s="21" t="n"/>
      <c r="G33" s="21" t="n"/>
      <c r="H33" s="21" t="n"/>
      <c r="I33" s="22" t="n"/>
    </row>
    <row r="34">
      <c r="A34" s="3" t="inlineStr">
        <is>
          <t>Max Spell Slots</t>
        </is>
      </c>
      <c r="B34" s="10">
        <f>IF(D9&gt;=2, 2+D9-2+0, 0) &amp; " + Skill Bonus"</f>
        <v/>
      </c>
      <c r="C34" s="11" t="inlineStr">
        <is>
          <t>Base spell slots = ARC value (when ARC≥2). Ritual Master Lv1/2/3/4 each +1, Cursecraft Lv3+ +1, Research Chamber Lv2/3 each +1.</t>
        </is>
      </c>
      <c r="D34" s="21" t="n"/>
      <c r="E34" s="21" t="n"/>
      <c r="F34" s="21" t="n"/>
      <c r="G34" s="21" t="n"/>
      <c r="H34" s="21" t="n"/>
      <c r="I34" s="22" t="n"/>
    </row>
    <row r="35">
      <c r="A35" s="3" t="inlineStr">
        <is>
          <t>Prepared Spells</t>
        </is>
      </c>
      <c r="B35" s="8">
        <f>D9+2 &amp; " units"</f>
        <v/>
      </c>
      <c r="C35" s="11" t="inlineStr">
        <is>
          <t>Before each incursion, choose ARC+2 prepared spells from those learned.</t>
        </is>
      </c>
      <c r="D35" s="21" t="n"/>
      <c r="E35" s="21" t="n"/>
      <c r="F35" s="21" t="n"/>
      <c r="G35" s="21" t="n"/>
      <c r="H35" s="21" t="n"/>
      <c r="I35" s="22" t="n"/>
    </row>
    <row r="36"/>
    <row r="37">
      <c r="A37" s="6" t="inlineStr">
        <is>
          <t>Skills (20 common skill trees, Lv 0-4)</t>
        </is>
      </c>
      <c r="B37" s="21" t="n"/>
      <c r="C37" s="21" t="n"/>
      <c r="D37" s="21" t="n"/>
      <c r="E37" s="21" t="n"/>
      <c r="F37" s="21" t="n"/>
      <c r="G37" s="21" t="n"/>
      <c r="H37" s="21" t="n"/>
      <c r="I37" s="22" t="n"/>
    </row>
    <row r="38">
      <c r="A38" s="12" t="inlineStr">
        <is>
          <t>CUN</t>
        </is>
      </c>
      <c r="B38" s="13" t="inlineStr">
        <is>
          <t>Trap Master</t>
        </is>
      </c>
      <c r="C38" s="7" t="inlineStr"/>
      <c r="D38" s="13" t="inlineStr">
        <is>
          <t>Espionage</t>
        </is>
      </c>
      <c r="E38" s="7" t="inlineStr"/>
      <c r="F38" s="13" t="inlineStr">
        <is>
          <t>Stealth</t>
        </is>
      </c>
      <c r="G38" s="7" t="inlineStr"/>
      <c r="H38" s="13" t="inlineStr">
        <is>
          <t>Poisoncraft</t>
        </is>
      </c>
      <c r="I38" s="7" t="inlineStr"/>
    </row>
    <row r="39">
      <c r="A39" s="12" t="inlineStr">
        <is>
          <t>DOM</t>
        </is>
      </c>
      <c r="B39" s="13" t="inlineStr">
        <is>
          <t>Interrogation Expert</t>
        </is>
      </c>
      <c r="C39" s="7" t="inlineStr"/>
      <c r="D39" s="13" t="inlineStr">
        <is>
          <t>Leader Charisma</t>
        </is>
      </c>
      <c r="E39" s="7" t="inlineStr"/>
      <c r="F39" s="13" t="inlineStr">
        <is>
          <t>Diplomatic Skill</t>
        </is>
      </c>
      <c r="G39" s="7" t="inlineStr"/>
      <c r="H39" s="13" t="inlineStr">
        <is>
          <t>Strict Discipline</t>
        </is>
      </c>
      <c r="I39" s="7" t="inlineStr"/>
    </row>
    <row r="40">
      <c r="A40" s="12" t="inlineStr">
        <is>
          <t>ARC</t>
        </is>
      </c>
      <c r="B40" s="13" t="inlineStr">
        <is>
          <t>Mana Affinity</t>
        </is>
      </c>
      <c r="C40" s="7" t="inlineStr"/>
      <c r="D40" s="13" t="inlineStr">
        <is>
          <t>Ritual Master</t>
        </is>
      </c>
      <c r="E40" s="7" t="inlineStr"/>
      <c r="F40" s="13" t="inlineStr">
        <is>
          <t>Enchanting</t>
        </is>
      </c>
      <c r="G40" s="7" t="inlineStr"/>
      <c r="H40" s="13" t="inlineStr">
        <is>
          <t>Cursecraft</t>
        </is>
      </c>
      <c r="I40" s="7" t="inlineStr"/>
    </row>
    <row r="41">
      <c r="A41" s="12" t="inlineStr">
        <is>
          <t>IND</t>
        </is>
      </c>
      <c r="B41" s="13" t="inlineStr">
        <is>
          <t>Master Builder</t>
        </is>
      </c>
      <c r="C41" s="7" t="inlineStr"/>
      <c r="D41" s="13" t="inlineStr">
        <is>
          <t>Resource Management</t>
        </is>
      </c>
      <c r="E41" s="7" t="inlineStr"/>
      <c r="F41" s="13" t="inlineStr">
        <is>
          <t>Smithing</t>
        </is>
      </c>
      <c r="G41" s="7" t="inlineStr"/>
      <c r="H41" s="13" t="inlineStr">
        <is>
          <t>Engineering</t>
        </is>
      </c>
      <c r="I41" s="7" t="inlineStr"/>
    </row>
    <row r="42">
      <c r="A42" s="12" t="inlineStr">
        <is>
          <t>WAR</t>
        </is>
      </c>
      <c r="B42" s="13" t="inlineStr">
        <is>
          <t>Tactical Command</t>
        </is>
      </c>
      <c r="C42" s="7" t="inlineStr"/>
      <c r="D42" s="13" t="inlineStr">
        <is>
          <t>Fear Aura</t>
        </is>
      </c>
      <c r="E42" s="7" t="inlineStr"/>
      <c r="F42" s="13" t="inlineStr">
        <is>
          <t>Battlefield Adaptation</t>
        </is>
      </c>
      <c r="G42" s="7" t="inlineStr"/>
      <c r="H42" s="13" t="inlineStr">
        <is>
          <t>War Cry</t>
        </is>
      </c>
      <c r="I42" s="7" t="inlineStr"/>
    </row>
    <row r="43"/>
    <row r="44">
      <c r="A44" s="14" t="inlineStr">
        <is>
          <t>Archetype Combat Arts &amp; Common Combat Arts</t>
        </is>
      </c>
      <c r="B44" s="21" t="n"/>
      <c r="C44" s="21" t="n"/>
      <c r="D44" s="21" t="n"/>
      <c r="E44" s="21" t="n"/>
      <c r="F44" s="21" t="n"/>
      <c r="G44" s="21" t="n"/>
      <c r="H44" s="21" t="n"/>
      <c r="I44" s="22" t="n"/>
    </row>
    <row r="45">
      <c r="A45" s="3" t="inlineStr">
        <is>
          <t>Archetype Art 1</t>
        </is>
      </c>
      <c r="B45" s="4" t="inlineStr"/>
      <c r="C45" s="21" t="n"/>
      <c r="D45" s="22" t="n"/>
      <c r="E45" s="7" t="inlineStr"/>
      <c r="F45" s="4" t="inlineStr"/>
      <c r="G45" s="22" t="n"/>
      <c r="H45" s="7" t="inlineStr"/>
    </row>
    <row r="46">
      <c r="A46" s="3" t="inlineStr">
        <is>
          <t>Archetype Art 2</t>
        </is>
      </c>
      <c r="B46" s="4" t="inlineStr"/>
      <c r="C46" s="21" t="n"/>
      <c r="D46" s="22" t="n"/>
      <c r="E46" s="7" t="inlineStr"/>
      <c r="F46" s="4" t="inlineStr"/>
      <c r="G46" s="22" t="n"/>
      <c r="H46" s="7" t="inlineStr"/>
    </row>
    <row r="47">
      <c r="A47" s="3" t="inlineStr">
        <is>
          <t>Archetype Art 3</t>
        </is>
      </c>
      <c r="B47" s="4" t="inlineStr"/>
      <c r="C47" s="21" t="n"/>
      <c r="D47" s="22" t="n"/>
      <c r="E47" s="7" t="inlineStr"/>
      <c r="F47" s="4" t="inlineStr"/>
      <c r="G47" s="22" t="n"/>
      <c r="H47" s="7" t="inlineStr"/>
    </row>
    <row r="48">
      <c r="A48" s="3" t="inlineStr">
        <is>
          <t>Archetype Art 4</t>
        </is>
      </c>
      <c r="B48" s="4" t="inlineStr"/>
      <c r="C48" s="21" t="n"/>
      <c r="D48" s="22" t="n"/>
      <c r="E48" s="7" t="inlineStr"/>
      <c r="F48" s="4" t="inlineStr"/>
      <c r="G48" s="22" t="n"/>
      <c r="H48" s="7" t="inlineStr"/>
    </row>
    <row r="49">
      <c r="A49" s="3" t="inlineStr">
        <is>
          <t>Archetype Art 5</t>
        </is>
      </c>
      <c r="B49" s="4" t="inlineStr"/>
      <c r="C49" s="21" t="n"/>
      <c r="D49" s="22" t="n"/>
      <c r="E49" s="7" t="inlineStr"/>
      <c r="F49" s="4" t="inlineStr"/>
      <c r="G49" s="22" t="n"/>
      <c r="H49" s="7" t="inlineStr"/>
    </row>
    <row r="50"/>
    <row r="51">
      <c r="A51" s="6" t="inlineStr">
        <is>
          <t>Monsters &amp; Servants (Management/Combat Allocation)</t>
        </is>
      </c>
      <c r="B51" s="21" t="n"/>
      <c r="C51" s="21" t="n"/>
      <c r="D51" s="21" t="n"/>
      <c r="E51" s="21" t="n"/>
      <c r="F51" s="21" t="n"/>
      <c r="G51" s="21" t="n"/>
      <c r="H51" s="21" t="n"/>
      <c r="I51" s="22" t="n"/>
    </row>
    <row r="52">
      <c r="A52" s="12" t="inlineStr">
        <is>
          <t>Name</t>
        </is>
      </c>
      <c r="B52" s="12" t="inlineStr">
        <is>
          <t>CP</t>
        </is>
      </c>
      <c r="C52" s="12" t="inlineStr">
        <is>
          <t>MV</t>
        </is>
      </c>
      <c r="D52" s="12" t="inlineStr">
        <is>
          <t>LOY</t>
        </is>
      </c>
      <c r="E52" s="12" t="inlineStr">
        <is>
          <t>Management Ability</t>
        </is>
      </c>
      <c r="F52" s="12" t="inlineStr">
        <is>
          <t>Post (Econ/War)</t>
        </is>
      </c>
      <c r="G52" s="12" t="inlineStr">
        <is>
          <t>WIL</t>
        </is>
      </c>
      <c r="H52" s="12" t="inlineStr">
        <is>
          <t>PL</t>
        </is>
      </c>
      <c r="I52" s="12" t="inlineStr">
        <is>
          <t>STA</t>
        </is>
      </c>
    </row>
    <row r="53">
      <c r="A53" s="5" t="inlineStr"/>
      <c r="B53" s="15" t="inlineStr"/>
      <c r="C53" s="15" t="inlineStr"/>
      <c r="D53" s="15" t="inlineStr"/>
      <c r="E53" s="5" t="inlineStr"/>
      <c r="F53" s="5" t="inlineStr"/>
      <c r="G53" s="5" t="inlineStr"/>
      <c r="H53" s="5" t="inlineStr"/>
      <c r="I53" s="5" t="inlineStr"/>
    </row>
    <row r="54">
      <c r="A54" s="5" t="inlineStr"/>
      <c r="B54" s="15" t="inlineStr"/>
      <c r="C54" s="15" t="inlineStr"/>
      <c r="D54" s="15" t="inlineStr"/>
      <c r="E54" s="5" t="inlineStr"/>
      <c r="F54" s="5" t="inlineStr"/>
      <c r="G54" s="5" t="inlineStr"/>
      <c r="H54" s="5" t="inlineStr"/>
      <c r="I54" s="5" t="inlineStr"/>
    </row>
    <row r="55">
      <c r="A55" s="5" t="inlineStr"/>
      <c r="B55" s="15" t="inlineStr"/>
      <c r="C55" s="15" t="inlineStr"/>
      <c r="D55" s="15" t="inlineStr"/>
      <c r="E55" s="5" t="inlineStr"/>
      <c r="F55" s="5" t="inlineStr"/>
      <c r="G55" s="5" t="inlineStr"/>
      <c r="H55" s="5" t="inlineStr"/>
      <c r="I55" s="5" t="inlineStr"/>
    </row>
    <row r="56">
      <c r="A56" s="5" t="inlineStr"/>
      <c r="B56" s="15" t="inlineStr"/>
      <c r="C56" s="15" t="inlineStr"/>
      <c r="D56" s="15" t="inlineStr"/>
      <c r="E56" s="5" t="inlineStr"/>
      <c r="F56" s="5" t="inlineStr"/>
      <c r="G56" s="5" t="inlineStr"/>
      <c r="H56" s="5" t="inlineStr"/>
      <c r="I56" s="5" t="inlineStr"/>
    </row>
    <row r="57">
      <c r="A57" s="5" t="inlineStr"/>
      <c r="B57" s="15" t="inlineStr"/>
      <c r="C57" s="15" t="inlineStr"/>
      <c r="D57" s="15" t="inlineStr"/>
      <c r="E57" s="5" t="inlineStr"/>
      <c r="F57" s="5" t="inlineStr"/>
      <c r="G57" s="5" t="inlineStr"/>
      <c r="H57" s="5" t="inlineStr"/>
      <c r="I57" s="5" t="inlineStr"/>
    </row>
    <row r="58">
      <c r="A58" s="5" t="inlineStr"/>
      <c r="B58" s="15" t="inlineStr"/>
      <c r="C58" s="15" t="inlineStr"/>
      <c r="D58" s="15" t="inlineStr"/>
      <c r="E58" s="5" t="inlineStr"/>
      <c r="F58" s="5" t="inlineStr"/>
      <c r="G58" s="5" t="inlineStr"/>
      <c r="H58" s="5" t="inlineStr"/>
      <c r="I58" s="5" t="inlineStr"/>
    </row>
    <row r="59">
      <c r="A59" s="5" t="inlineStr"/>
      <c r="B59" s="15" t="inlineStr"/>
      <c r="C59" s="15" t="inlineStr"/>
      <c r="D59" s="15" t="inlineStr"/>
      <c r="E59" s="5" t="inlineStr"/>
      <c r="F59" s="5" t="inlineStr"/>
      <c r="G59" s="5" t="inlineStr"/>
      <c r="H59" s="5" t="inlineStr"/>
      <c r="I59" s="5" t="inlineStr"/>
    </row>
    <row r="60">
      <c r="A60" s="5" t="inlineStr"/>
      <c r="B60" s="15" t="inlineStr"/>
      <c r="C60" s="15" t="inlineStr"/>
      <c r="D60" s="15" t="inlineStr"/>
      <c r="E60" s="5" t="inlineStr"/>
      <c r="F60" s="5" t="inlineStr"/>
      <c r="G60" s="5" t="inlineStr"/>
      <c r="H60" s="5" t="inlineStr"/>
      <c r="I60" s="5" t="inlineStr"/>
    </row>
    <row r="61"/>
    <row r="62">
      <c r="A62" s="3" t="inlineStr">
        <is>
          <t>Management Group ΣMV</t>
        </is>
      </c>
      <c r="B62" s="10">
        <f>SUMIF(F53:F60,"Econ",C53:C60)</f>
        <v/>
      </c>
      <c r="C62" s="3" t="inlineStr">
        <is>
          <t>Management Dice Pool Bonus</t>
        </is>
      </c>
      <c r="D62" s="10">
        <f>IFERROR(FLOOR(B62/2,1), 0)</f>
        <v/>
      </c>
      <c r="E62" s="3" t="inlineStr">
        <is>
          <t>Production Total Dice Pool</t>
        </is>
      </c>
      <c r="F62" s="8">
        <f>D10&amp;"d6 + Skill + "&amp;B62&amp;"d6"</f>
        <v/>
      </c>
    </row>
    <row r="63">
      <c r="A63" s="3" t="inlineStr">
        <is>
          <t>Combat Group ΣCP</t>
        </is>
      </c>
      <c r="B63" s="10">
        <f>SUMIF(F53:F60,"War",B53:B60)</f>
        <v/>
      </c>
      <c r="C63" s="3" t="inlineStr">
        <is>
          <t>Combat Dice Pool Bonus</t>
        </is>
      </c>
      <c r="D63" s="10">
        <f>IFERROR(FLOOR(B63/2,1), 0)</f>
        <v/>
      </c>
      <c r="E63" s="3" t="inlineStr">
        <is>
          <t>Defense Total Dice Pool</t>
        </is>
      </c>
      <c r="F63" s="8">
        <f>D11&amp;"d6 + Skill + "&amp;B63&amp;"d6"</f>
        <v/>
      </c>
    </row>
    <row r="64"/>
    <row r="65">
      <c r="A65" s="6" t="inlineStr">
        <is>
          <t>Captive Management</t>
        </is>
      </c>
      <c r="B65" s="21" t="n"/>
      <c r="C65" s="21" t="n"/>
      <c r="D65" s="21" t="n"/>
      <c r="E65" s="21" t="n"/>
      <c r="F65" s="21" t="n"/>
      <c r="G65" s="21" t="n"/>
      <c r="H65" s="21" t="n"/>
      <c r="I65" s="22" t="n"/>
    </row>
    <row r="66">
      <c r="A66" s="12" t="inlineStr">
        <is>
          <t>Name</t>
        </is>
      </c>
      <c r="B66" s="12" t="inlineStr">
        <is>
          <t>Profession</t>
        </is>
      </c>
      <c r="C66" s="12" t="inlineStr">
        <is>
          <t>PL</t>
        </is>
      </c>
      <c r="D66" s="12" t="inlineStr">
        <is>
          <t>WIL</t>
        </is>
      </c>
      <c r="E66" s="12" t="inlineStr">
        <is>
          <t>STA</t>
        </is>
      </c>
      <c r="F66" s="12" t="inlineStr">
        <is>
          <t>Labor Type</t>
        </is>
      </c>
      <c r="G66" s="12" t="inlineStr">
        <is>
          <t>Output</t>
        </is>
      </c>
      <c r="H66" s="12" t="inlineStr">
        <is>
          <t>Escape Risk</t>
        </is>
      </c>
      <c r="I66" s="12" t="inlineStr">
        <is>
          <t>Status</t>
        </is>
      </c>
    </row>
    <row r="67">
      <c r="A67" s="5" t="inlineStr"/>
      <c r="B67" s="5" t="inlineStr"/>
      <c r="C67" s="5" t="inlineStr"/>
      <c r="D67" s="5" t="inlineStr"/>
      <c r="E67" s="5" t="inlineStr"/>
      <c r="F67" s="5" t="inlineStr"/>
      <c r="G67" s="5" t="inlineStr"/>
      <c r="H67" s="5" t="inlineStr"/>
      <c r="I67" s="5" t="inlineStr"/>
    </row>
    <row r="68">
      <c r="A68" s="5" t="inlineStr"/>
      <c r="B68" s="5" t="inlineStr"/>
      <c r="C68" s="5" t="inlineStr"/>
      <c r="D68" s="5" t="inlineStr"/>
      <c r="E68" s="5" t="inlineStr"/>
      <c r="F68" s="5" t="inlineStr"/>
      <c r="G68" s="5" t="inlineStr"/>
      <c r="H68" s="5" t="inlineStr"/>
      <c r="I68" s="5" t="inlineStr"/>
    </row>
    <row r="69">
      <c r="A69" s="5" t="inlineStr"/>
      <c r="B69" s="5" t="inlineStr"/>
      <c r="C69" s="5" t="inlineStr"/>
      <c r="D69" s="5" t="inlineStr"/>
      <c r="E69" s="5" t="inlineStr"/>
      <c r="F69" s="5" t="inlineStr"/>
      <c r="G69" s="5" t="inlineStr"/>
      <c r="H69" s="5" t="inlineStr"/>
      <c r="I69" s="5" t="inlineStr"/>
    </row>
    <row r="70">
      <c r="A70" s="5" t="inlineStr"/>
      <c r="B70" s="5" t="inlineStr"/>
      <c r="C70" s="5" t="inlineStr"/>
      <c r="D70" s="5" t="inlineStr"/>
      <c r="E70" s="5" t="inlineStr"/>
      <c r="F70" s="5" t="inlineStr"/>
      <c r="G70" s="5" t="inlineStr"/>
      <c r="H70" s="5" t="inlineStr"/>
      <c r="I70" s="5" t="inlineStr"/>
    </row>
    <row r="71">
      <c r="A71" s="5" t="inlineStr"/>
      <c r="B71" s="5" t="inlineStr"/>
      <c r="C71" s="5" t="inlineStr"/>
      <c r="D71" s="5" t="inlineStr"/>
      <c r="E71" s="5" t="inlineStr"/>
      <c r="F71" s="5" t="inlineStr"/>
      <c r="G71" s="5" t="inlineStr"/>
      <c r="H71" s="5" t="inlineStr"/>
      <c r="I71" s="5" t="inlineStr"/>
    </row>
    <row r="72"/>
    <row r="73">
      <c r="A73" s="6" t="inlineStr">
        <is>
          <t>Diplomacy &amp; Expedition</t>
        </is>
      </c>
      <c r="B73" s="21" t="n"/>
      <c r="C73" s="21" t="n"/>
      <c r="D73" s="21" t="n"/>
      <c r="E73" s="21" t="n"/>
      <c r="F73" s="21" t="n"/>
      <c r="G73" s="21" t="n"/>
      <c r="H73" s="21" t="n"/>
      <c r="I73" s="22" t="n"/>
    </row>
    <row r="74">
      <c r="A74" s="3" t="inlineStr">
        <is>
          <t>Affiliated Pact</t>
        </is>
      </c>
      <c r="B74" s="4" t="inlineStr"/>
      <c r="C74" s="21" t="n"/>
      <c r="D74" s="22" t="n"/>
      <c r="E74" s="3" t="inlineStr">
        <is>
          <t>Embassy Lv_</t>
        </is>
      </c>
      <c r="F74" s="7" t="inlineStr"/>
      <c r="G74" s="3" t="inlineStr">
        <is>
          <t>Diplomacy Slots</t>
        </is>
      </c>
      <c r="H74" s="8">
        <f>F74+2</f>
        <v/>
      </c>
    </row>
    <row r="75">
      <c r="A75" s="3" t="inlineStr">
        <is>
          <t>Allies</t>
        </is>
      </c>
      <c r="B75" s="4" t="inlineStr">
        <is>
          <t>_______________ (Relation:__)</t>
        </is>
      </c>
      <c r="C75" s="21" t="n"/>
      <c r="D75" s="22" t="n"/>
      <c r="E75" s="4" t="inlineStr">
        <is>
          <t>_______________ (Relation:__)</t>
        </is>
      </c>
      <c r="F75" s="21" t="n"/>
      <c r="G75" s="22" t="n"/>
      <c r="H75" s="4" t="inlineStr">
        <is>
          <t>_______________ (Relation:__)</t>
        </is>
      </c>
      <c r="I75" s="22" t="n"/>
    </row>
    <row r="76">
      <c r="A76" s="3" t="inlineStr">
        <is>
          <t>Expedition Cooldown</t>
        </is>
      </c>
      <c r="B76" s="5" t="inlineStr"/>
      <c r="C76" s="3" t="inlineStr">
        <is>
          <t>Times Defeated</t>
        </is>
      </c>
      <c r="D76" s="5" t="inlineStr"/>
    </row>
    <row r="77"/>
    <row r="78">
      <c r="A78" s="16">
        <f> "Dungeon Layout (DEP= "&amp;D18&amp;", Rooms: ___ / "&amp;VLOOKUP(I4, Level Table!A:G, 6, FALSE)&amp;" )"</f>
        <v/>
      </c>
      <c r="B78" s="21" t="n"/>
      <c r="C78" s="21" t="n"/>
      <c r="D78" s="21" t="n"/>
      <c r="E78" s="21" t="n"/>
      <c r="F78" s="21" t="n"/>
      <c r="G78" s="21" t="n"/>
      <c r="H78" s="21" t="n"/>
      <c r="I78" s="22" t="n"/>
    </row>
    <row r="79">
      <c r="A79" s="12" t="inlineStr">
        <is>
          <t>Floor 1</t>
        </is>
      </c>
      <c r="B79" s="11" t="inlineStr">
        <is>
          <t>[                    ] [                    ] [                    ]</t>
        </is>
      </c>
      <c r="C79" s="21" t="n"/>
      <c r="D79" s="21" t="n"/>
      <c r="E79" s="21" t="n"/>
      <c r="F79" s="21" t="n"/>
      <c r="G79" s="21" t="n"/>
      <c r="H79" s="21" t="n"/>
      <c r="I79" s="22" t="n"/>
    </row>
    <row r="80">
      <c r="A80" s="12" t="inlineStr">
        <is>
          <t>Floor 2</t>
        </is>
      </c>
      <c r="B80" s="11" t="inlineStr">
        <is>
          <t>[                    ] [                    ] [                    ]</t>
        </is>
      </c>
      <c r="C80" s="21" t="n"/>
      <c r="D80" s="21" t="n"/>
      <c r="E80" s="21" t="n"/>
      <c r="F80" s="21" t="n"/>
      <c r="G80" s="21" t="n"/>
      <c r="H80" s="21" t="n"/>
      <c r="I80" s="22" t="n"/>
    </row>
    <row r="81">
      <c r="A81" s="12" t="inlineStr">
        <is>
          <t>Floor 3</t>
        </is>
      </c>
      <c r="B81" s="11" t="inlineStr">
        <is>
          <t>[                    ] [                    ] [                    ]</t>
        </is>
      </c>
      <c r="C81" s="21" t="n"/>
      <c r="D81" s="21" t="n"/>
      <c r="E81" s="21" t="n"/>
      <c r="F81" s="21" t="n"/>
      <c r="G81" s="21" t="n"/>
      <c r="H81" s="21" t="n"/>
      <c r="I81" s="22" t="n"/>
    </row>
    <row r="82">
      <c r="A82" s="12" t="inlineStr">
        <is>
          <t>Floor 4</t>
        </is>
      </c>
      <c r="B82" s="11" t="inlineStr">
        <is>
          <t>[                    ] [                    ] [                    ]</t>
        </is>
      </c>
      <c r="C82" s="21" t="n"/>
      <c r="D82" s="21" t="n"/>
      <c r="E82" s="21" t="n"/>
      <c r="F82" s="21" t="n"/>
      <c r="G82" s="21" t="n"/>
      <c r="H82" s="21" t="n"/>
      <c r="I82" s="22" t="n"/>
    </row>
    <row r="83"/>
    <row r="84">
      <c r="A84" s="6" t="inlineStr">
        <is>
          <t>EXP Gain Log</t>
        </is>
      </c>
      <c r="B84" s="21" t="n"/>
      <c r="C84" s="21" t="n"/>
      <c r="D84" s="21" t="n"/>
      <c r="E84" s="21" t="n"/>
      <c r="F84" s="21" t="n"/>
      <c r="G84" s="21" t="n"/>
      <c r="H84" s="21" t="n"/>
      <c r="I84" s="22" t="n"/>
    </row>
    <row r="85">
      <c r="A85" s="12" t="inlineStr">
        <is>
          <t>Source</t>
        </is>
      </c>
      <c r="B85" s="17" t="inlineStr">
        <is>
          <t>Repel Incursion</t>
        </is>
      </c>
      <c r="C85" s="17" t="inlineStr">
        <is>
          <t>Captive +</t>
        </is>
      </c>
      <c r="D85" s="17" t="inlineStr">
        <is>
          <t>Build/Upgrade</t>
        </is>
      </c>
      <c r="E85" s="17" t="inlineStr">
        <is>
          <t>Dig +</t>
        </is>
      </c>
      <c r="F85" s="17" t="inlineStr">
        <is>
          <t>Boss</t>
        </is>
      </c>
      <c r="G85" s="17" t="inlineStr">
        <is>
          <t>Convert +</t>
        </is>
      </c>
      <c r="H85" s="17" t="inlineStr">
        <is>
          <t>Attribute Boost</t>
        </is>
      </c>
      <c r="I85" s="17" t="inlineStr">
        <is>
          <t>First Recruitment</t>
        </is>
      </c>
      <c r="J85" s="17" t="inlineStr">
        <is>
          <t>GM Goal</t>
        </is>
      </c>
      <c r="K85" s="17" t="inlineStr">
        <is>
          <t>Other</t>
        </is>
      </c>
    </row>
    <row r="86">
      <c r="A86" s="18" t="inlineStr">
        <is>
          <t>Count</t>
        </is>
      </c>
      <c r="B86" s="5" t="inlineStr"/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</row>
    <row r="87">
      <c r="A87" s="3" t="inlineStr">
        <is>
          <t>Total EXP</t>
        </is>
      </c>
      <c r="B87" s="10">
        <f>B86*3 + C86*3 + D86*1 + E86*2 + F86*5 + G86*2 + H86*2 + I86*1 + J86*3</f>
        <v/>
      </c>
    </row>
  </sheetData>
  <mergeCells count="46">
    <mergeCell ref="F27"/>
    <mergeCell ref="A65:I65"/>
    <mergeCell ref="A37:I37"/>
    <mergeCell ref="A84:I84"/>
    <mergeCell ref="B81:I81"/>
    <mergeCell ref="A3:C3"/>
    <mergeCell ref="A26:I26"/>
    <mergeCell ref="A33:I33"/>
    <mergeCell ref="D4:F4"/>
    <mergeCell ref="B49:D49"/>
    <mergeCell ref="F29"/>
    <mergeCell ref="C34:I34"/>
    <mergeCell ref="A17:I17"/>
    <mergeCell ref="F45:G45"/>
    <mergeCell ref="D3:F3"/>
    <mergeCell ref="B74:D74"/>
    <mergeCell ref="A4:C4"/>
    <mergeCell ref="G3:H3"/>
    <mergeCell ref="A2:B2"/>
    <mergeCell ref="F47:G47"/>
    <mergeCell ref="B82:I82"/>
    <mergeCell ref="B45:D45"/>
    <mergeCell ref="E75:G75"/>
    <mergeCell ref="A13:I13"/>
    <mergeCell ref="F30"/>
    <mergeCell ref="C35:I35"/>
    <mergeCell ref="A44:I44"/>
    <mergeCell ref="F46:G46"/>
    <mergeCell ref="H75:I75"/>
    <mergeCell ref="B75:D75"/>
    <mergeCell ref="B47:D47"/>
    <mergeCell ref="A24:I24"/>
    <mergeCell ref="A15:I15"/>
    <mergeCell ref="G4:H4"/>
    <mergeCell ref="A73:I73"/>
    <mergeCell ref="F48:G48"/>
    <mergeCell ref="A51:I51"/>
    <mergeCell ref="B46:D46"/>
    <mergeCell ref="A1:I1"/>
    <mergeCell ref="F49:G49"/>
    <mergeCell ref="B80:I80"/>
    <mergeCell ref="A6:I6"/>
    <mergeCell ref="B79:I79"/>
    <mergeCell ref="F28"/>
    <mergeCell ref="A78:I78"/>
    <mergeCell ref="B48:D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20" customWidth="1" min="11" max="11"/>
  </cols>
  <sheetData>
    <row r="1">
      <c r="A1" s="12" t="inlineStr">
        <is>
          <t>Level</t>
        </is>
      </c>
      <c r="B1" s="12" t="inlineStr">
        <is>
          <t>EXP</t>
        </is>
      </c>
      <c r="C1" s="12" t="inlineStr">
        <is>
          <t>DEP</t>
        </is>
      </c>
      <c r="D1" s="12" t="inlineStr">
        <is>
          <t>INF</t>
        </is>
      </c>
      <c r="E1" s="12" t="inlineStr">
        <is>
          <t>Action</t>
        </is>
      </c>
      <c r="F1" s="12" t="inlineStr">
        <is>
          <t>Room</t>
        </is>
      </c>
      <c r="G1" s="12" t="inlineStr">
        <is>
          <t>◆ Cap</t>
        </is>
      </c>
      <c r="H1" s="12" t="inlineStr">
        <is>
          <t>◇ Cap</t>
        </is>
      </c>
      <c r="I1" s="12" t="inlineStr">
        <is>
          <t>■ Cap</t>
        </is>
      </c>
      <c r="J1" s="12" t="inlineStr">
        <is>
          <t>● Cap</t>
        </is>
      </c>
      <c r="K1" s="12" t="inlineStr">
        <is>
          <t>Unlock</t>
        </is>
      </c>
    </row>
    <row r="2">
      <c r="A2" s="19" t="n">
        <v>1</v>
      </c>
      <c r="B2" s="19" t="n">
        <v>0</v>
      </c>
      <c r="C2" s="19" t="n">
        <v>1</v>
      </c>
      <c r="D2" s="19" t="n">
        <v>1</v>
      </c>
      <c r="E2" s="19" t="n">
        <v>2</v>
      </c>
      <c r="F2" s="19" t="n">
        <v>3</v>
      </c>
      <c r="G2" s="19" t="n">
        <v>30</v>
      </c>
      <c r="H2" s="19" t="n">
        <v>15</v>
      </c>
      <c r="I2" s="19" t="n">
        <v>20</v>
      </c>
      <c r="J2" s="19" t="n">
        <v>10</v>
      </c>
      <c r="K2" s="20" t="inlineStr">
        <is>
          <t>Basic</t>
        </is>
      </c>
    </row>
    <row r="3">
      <c r="A3" s="19" t="n">
        <v>2</v>
      </c>
      <c r="B3" s="19" t="n">
        <v>10</v>
      </c>
      <c r="C3" s="19" t="n">
        <v>2</v>
      </c>
      <c r="D3" s="19" t="n">
        <v>2</v>
      </c>
      <c r="E3" s="19" t="n">
        <v>2</v>
      </c>
      <c r="F3" s="19" t="n">
        <v>5</v>
      </c>
      <c r="G3" s="19" t="n">
        <v>30</v>
      </c>
      <c r="H3" s="19" t="n">
        <v>15</v>
      </c>
      <c r="I3" s="19" t="n">
        <v>20</v>
      </c>
      <c r="J3" s="19" t="n">
        <v>10</v>
      </c>
      <c r="K3" s="20" t="inlineStr">
        <is>
          <t>Medium Cavern</t>
        </is>
      </c>
    </row>
    <row r="4">
      <c r="A4" s="19" t="n">
        <v>3</v>
      </c>
      <c r="B4" s="19" t="n">
        <v>25</v>
      </c>
      <c r="C4" s="19" t="n">
        <v>3</v>
      </c>
      <c r="D4" s="19" t="n">
        <v>3</v>
      </c>
      <c r="E4" s="19" t="n">
        <v>3</v>
      </c>
      <c r="F4" s="19" t="n">
        <v>8</v>
      </c>
      <c r="G4" s="19" t="n">
        <v>30</v>
      </c>
      <c r="H4" s="19" t="n">
        <v>15</v>
      </c>
      <c r="I4" s="19" t="n">
        <v>20</v>
      </c>
      <c r="J4" s="19" t="n">
        <v>10</v>
      </c>
      <c r="K4" s="20" t="inlineStr">
        <is>
          <t>Archetype Lv3</t>
        </is>
      </c>
    </row>
    <row r="5">
      <c r="A5" s="19" t="n">
        <v>4</v>
      </c>
      <c r="B5" s="19" t="n">
        <v>45</v>
      </c>
      <c r="C5" s="19" t="n">
        <v>5</v>
      </c>
      <c r="D5" s="19" t="n">
        <v>4</v>
      </c>
      <c r="E5" s="19" t="n">
        <v>3</v>
      </c>
      <c r="F5" s="19" t="n">
        <v>10</v>
      </c>
      <c r="G5" s="19" t="n">
        <v>60</v>
      </c>
      <c r="H5" s="19" t="n">
        <v>30</v>
      </c>
      <c r="I5" s="19" t="n">
        <v>40</v>
      </c>
      <c r="J5" s="19" t="n">
        <v>20</v>
      </c>
      <c r="K5" s="20" t="inlineStr">
        <is>
          <t>—</t>
        </is>
      </c>
    </row>
    <row r="6">
      <c r="A6" s="19" t="n">
        <v>5</v>
      </c>
      <c r="B6" s="19" t="n">
        <v>70</v>
      </c>
      <c r="C6" s="19" t="n">
        <v>7</v>
      </c>
      <c r="D6" s="19" t="n">
        <v>5</v>
      </c>
      <c r="E6" s="19" t="n">
        <v>3</v>
      </c>
      <c r="F6" s="19" t="n">
        <v>12</v>
      </c>
      <c r="G6" s="19" t="n">
        <v>60</v>
      </c>
      <c r="H6" s="19" t="n">
        <v>30</v>
      </c>
      <c r="I6" s="19" t="n">
        <v>40</v>
      </c>
      <c r="J6" s="19" t="n">
        <v>20</v>
      </c>
      <c r="K6" s="20" t="inlineStr">
        <is>
          <t>Elite monster, large dungeon palace</t>
        </is>
      </c>
    </row>
    <row r="7">
      <c r="A7" s="19" t="n">
        <v>6</v>
      </c>
      <c r="B7" s="19" t="n">
        <v>100</v>
      </c>
      <c r="C7" s="19" t="n">
        <v>9</v>
      </c>
      <c r="D7" s="19" t="n">
        <v>6</v>
      </c>
      <c r="E7" s="19" t="n">
        <v>4</v>
      </c>
      <c r="F7" s="19" t="n">
        <v>15</v>
      </c>
      <c r="G7" s="19" t="n">
        <v>60</v>
      </c>
      <c r="H7" s="19" t="n">
        <v>30</v>
      </c>
      <c r="I7" s="19" t="n">
        <v>40</v>
      </c>
      <c r="J7" s="19" t="n">
        <v>20</v>
      </c>
      <c r="K7" s="20" t="inlineStr">
        <is>
          <t>Archetype Lv6</t>
        </is>
      </c>
    </row>
    <row r="8">
      <c r="A8" s="19" t="n">
        <v>7</v>
      </c>
      <c r="B8" s="19" t="n">
        <v>140</v>
      </c>
      <c r="C8" s="19" t="n">
        <v>11</v>
      </c>
      <c r="D8" s="19" t="n">
        <v>7</v>
      </c>
      <c r="E8" s="19" t="n">
        <v>4</v>
      </c>
      <c r="F8" s="19" t="n">
        <v>18</v>
      </c>
      <c r="G8" s="19" t="n">
        <v>120</v>
      </c>
      <c r="H8" s="19" t="n">
        <v>60</v>
      </c>
      <c r="I8" s="19" t="n">
        <v>80</v>
      </c>
      <c r="J8" s="19" t="n">
        <v>40</v>
      </c>
      <c r="K8" s="20" t="inlineStr">
        <is>
          <t>Abyssal Hall</t>
        </is>
      </c>
    </row>
    <row r="9">
      <c r="A9" s="19" t="n">
        <v>8</v>
      </c>
      <c r="B9" s="19" t="n">
        <v>190</v>
      </c>
      <c r="C9" s="19" t="n">
        <v>13</v>
      </c>
      <c r="D9" s="19" t="n">
        <v>8</v>
      </c>
      <c r="E9" s="19" t="n">
        <v>4</v>
      </c>
      <c r="F9" s="19" t="n">
        <v>22</v>
      </c>
      <c r="G9" s="19" t="n">
        <v>120</v>
      </c>
      <c r="H9" s="19" t="n">
        <v>60</v>
      </c>
      <c r="I9" s="19" t="n">
        <v>80</v>
      </c>
      <c r="J9" s="19" t="n">
        <v>40</v>
      </c>
      <c r="K9" s="20" t="inlineStr">
        <is>
          <t>—</t>
        </is>
      </c>
    </row>
    <row r="10">
      <c r="A10" s="19" t="n">
        <v>9</v>
      </c>
      <c r="B10" s="19" t="n">
        <v>250</v>
      </c>
      <c r="C10" s="19" t="n">
        <v>15</v>
      </c>
      <c r="D10" s="19" t="n">
        <v>9</v>
      </c>
      <c r="E10" s="19" t="n">
        <v>5</v>
      </c>
      <c r="F10" s="19" t="n">
        <v>26</v>
      </c>
      <c r="G10" s="19" t="n">
        <v>120</v>
      </c>
      <c r="H10" s="19" t="n">
        <v>60</v>
      </c>
      <c r="I10" s="19" t="n">
        <v>80</v>
      </c>
      <c r="J10" s="19" t="n">
        <v>40</v>
      </c>
      <c r="K10" s="20" t="inlineStr">
        <is>
          <t>Archetype Lv9</t>
        </is>
      </c>
    </row>
    <row r="11">
      <c r="A11" s="19" t="n">
        <v>10</v>
      </c>
      <c r="B11" s="19" t="n">
        <v>320</v>
      </c>
      <c r="C11" s="19" t="n">
        <v>18</v>
      </c>
      <c r="D11" s="19" t="n">
        <v>10</v>
      </c>
      <c r="E11" s="19" t="n">
        <v>5</v>
      </c>
      <c r="F11" s="19" t="n">
        <v>30</v>
      </c>
      <c r="G11" s="19" t="n">
        <v>250</v>
      </c>
      <c r="H11" s="19" t="n">
        <v>120</v>
      </c>
      <c r="I11" s="19" t="n">
        <v>160</v>
      </c>
      <c r="J11" s="19" t="n">
        <v>80</v>
      </c>
      <c r="K11" s="20" t="inlineStr">
        <is>
          <t>Legendary monster, attribute cap +1</t>
        </is>
      </c>
    </row>
    <row r="12">
      <c r="A12" s="19" t="n">
        <v>11</v>
      </c>
      <c r="B12" s="19" t="n">
        <v>400</v>
      </c>
      <c r="C12" s="19" t="n">
        <v>21</v>
      </c>
      <c r="D12" s="19" t="n">
        <v>11</v>
      </c>
      <c r="E12" s="19" t="n">
        <v>5</v>
      </c>
      <c r="F12" s="19" t="n">
        <v>35</v>
      </c>
      <c r="G12" s="19" t="n">
        <v>250</v>
      </c>
      <c r="H12" s="19" t="n">
        <v>120</v>
      </c>
      <c r="I12" s="19" t="n">
        <v>160</v>
      </c>
      <c r="J12" s="19" t="n">
        <v>80</v>
      </c>
      <c r="K12" s="20" t="inlineStr">
        <is>
          <t>—</t>
        </is>
      </c>
    </row>
    <row r="13">
      <c r="A13" s="19" t="n">
        <v>12</v>
      </c>
      <c r="B13" s="19" t="n">
        <v>500</v>
      </c>
      <c r="C13" s="19" t="n">
        <v>24</v>
      </c>
      <c r="D13" s="19" t="n">
        <v>12</v>
      </c>
      <c r="E13" s="19" t="n">
        <v>6</v>
      </c>
      <c r="F13" s="19" t="n">
        <v>40</v>
      </c>
      <c r="G13" s="19" t="n">
        <v>250</v>
      </c>
      <c r="H13" s="19" t="n">
        <v>120</v>
      </c>
      <c r="I13" s="19" t="n">
        <v>160</v>
      </c>
      <c r="J13" s="19" t="n">
        <v>80</v>
      </c>
      <c r="K13" s="20" t="inlineStr">
        <is>
          <t>—</t>
        </is>
      </c>
    </row>
    <row r="14">
      <c r="A14" s="19" t="n">
        <v>13</v>
      </c>
      <c r="B14" s="19" t="n">
        <v>620</v>
      </c>
      <c r="C14" s="19" t="n">
        <v>27</v>
      </c>
      <c r="D14" s="19" t="n">
        <v>13</v>
      </c>
      <c r="E14" s="19" t="n">
        <v>6</v>
      </c>
      <c r="F14" s="19" t="n">
        <v>46</v>
      </c>
      <c r="G14" s="19" t="n">
        <v>500</v>
      </c>
      <c r="H14" s="19" t="n">
        <v>250</v>
      </c>
      <c r="I14" s="19" t="n">
        <v>300</v>
      </c>
      <c r="J14" s="19" t="n">
        <v>150</v>
      </c>
      <c r="K14" s="20" t="inlineStr">
        <is>
          <t>—</t>
        </is>
      </c>
    </row>
    <row r="15">
      <c r="A15" s="19" t="n">
        <v>14</v>
      </c>
      <c r="B15" s="19" t="n">
        <v>760</v>
      </c>
      <c r="C15" s="19" t="n">
        <v>30</v>
      </c>
      <c r="D15" s="19" t="n">
        <v>14</v>
      </c>
      <c r="E15" s="19" t="n">
        <v>6</v>
      </c>
      <c r="F15" s="19" t="n">
        <v>52</v>
      </c>
      <c r="G15" s="19" t="n">
        <v>500</v>
      </c>
      <c r="H15" s="19" t="n">
        <v>250</v>
      </c>
      <c r="I15" s="19" t="n">
        <v>300</v>
      </c>
      <c r="J15" s="19" t="n">
        <v>150</v>
      </c>
      <c r="K15" s="20" t="inlineStr">
        <is>
          <t>—</t>
        </is>
      </c>
    </row>
    <row r="16">
      <c r="A16" s="19" t="n">
        <v>15</v>
      </c>
      <c r="B16" s="19" t="n">
        <v>920</v>
      </c>
      <c r="C16" s="19" t="n">
        <v>34</v>
      </c>
      <c r="D16" s="19" t="n">
        <v>15</v>
      </c>
      <c r="E16" s="19" t="n">
        <v>7</v>
      </c>
      <c r="F16" s="19" t="n">
        <v>60</v>
      </c>
      <c r="G16" s="19" t="n">
        <v>500</v>
      </c>
      <c r="H16" s="19" t="n">
        <v>250</v>
      </c>
      <c r="I16" s="19" t="n">
        <v>300</v>
      </c>
      <c r="J16" s="19" t="n">
        <v>150</v>
      </c>
      <c r="K16" s="20" t="inlineStr">
        <is>
          <t>Ultimate 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2" t="inlineStr">
        <is>
          <t>WLH Cap</t>
        </is>
      </c>
      <c r="B1" s="12" t="inlineStr">
        <is>
          <t>◆</t>
        </is>
      </c>
      <c r="C1" s="12" t="inlineStr">
        <is>
          <t>◇</t>
        </is>
      </c>
      <c r="D1" s="12" t="inlineStr">
        <is>
          <t>■</t>
        </is>
      </c>
      <c r="E1" s="12" t="inlineStr">
        <is>
          <t>●</t>
        </is>
      </c>
    </row>
    <row r="2">
      <c r="A2" s="19" t="n">
        <v>3</v>
      </c>
      <c r="B2" s="19" t="n">
        <v>30</v>
      </c>
      <c r="C2" s="19" t="n">
        <v>15</v>
      </c>
      <c r="D2" s="19" t="n">
        <v>20</v>
      </c>
      <c r="E2" s="19" t="n">
        <v>10</v>
      </c>
    </row>
    <row r="3">
      <c r="A3" s="19" t="n">
        <v>6</v>
      </c>
      <c r="B3" s="19" t="n">
        <v>60</v>
      </c>
      <c r="C3" s="19" t="n">
        <v>30</v>
      </c>
      <c r="D3" s="19" t="n">
        <v>40</v>
      </c>
      <c r="E3" s="19" t="n">
        <v>20</v>
      </c>
    </row>
    <row r="4">
      <c r="A4" s="19" t="n">
        <v>9</v>
      </c>
      <c r="B4" s="19" t="n">
        <v>120</v>
      </c>
      <c r="C4" s="19" t="n">
        <v>60</v>
      </c>
      <c r="D4" s="19" t="n">
        <v>80</v>
      </c>
      <c r="E4" s="19" t="n">
        <v>40</v>
      </c>
    </row>
    <row r="5">
      <c r="A5" s="19" t="n">
        <v>12</v>
      </c>
      <c r="B5" s="19" t="n">
        <v>250</v>
      </c>
      <c r="C5" s="19" t="n">
        <v>120</v>
      </c>
      <c r="D5" s="19" t="n">
        <v>160</v>
      </c>
      <c r="E5" s="19" t="n">
        <v>80</v>
      </c>
    </row>
    <row r="6">
      <c r="A6" s="19" t="n">
        <v>15</v>
      </c>
      <c r="B6" s="19" t="n">
        <v>500</v>
      </c>
      <c r="C6" s="19" t="n">
        <v>250</v>
      </c>
      <c r="D6" s="19" t="n">
        <v>300</v>
      </c>
      <c r="E6" s="19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2026-06-28T14:53:59Z</dcterms:created>
  <dcterms:modified xsi:type="dcterms:W3CDTF">2026-08-10T11:36:11Z</dcterms:modified>
</cp:coreProperties>
</file>