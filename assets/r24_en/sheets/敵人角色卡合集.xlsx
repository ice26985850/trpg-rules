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 Cards -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D700"/>
      <sz val="14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00FF88"/>
      <sz val="10"/>
    </font>
    <font>
      <name val="Microsoft YaHei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1C2A3A"/>
        <bgColor rgb="001C2A3A"/>
      </patternFill>
    </fill>
  </fills>
  <borders count="6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Abyss Lord TRPG — Monster Card Template (Batch Register · Auto-Calc)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3" t="n"/>
    </row>
    <row r="2"/>
    <row r="3">
      <c r="A3" s="2" t="inlineStr">
        <is>
          <t>Monster Name</t>
        </is>
      </c>
      <c r="B3" s="2" t="inlineStr">
        <is>
          <t>Type</t>
        </is>
      </c>
      <c r="C3" s="2" t="inlineStr">
        <is>
          <t>CP</t>
        </is>
      </c>
      <c r="D3" s="2" t="inlineStr">
        <is>
          <t>MV</t>
        </is>
      </c>
      <c r="E3" s="2" t="inlineStr">
        <is>
          <t>LOY</t>
        </is>
      </c>
      <c r="F3" s="2" t="inlineStr">
        <is>
          <t>HP</t>
        </is>
      </c>
      <c r="G3" s="2" t="inlineStr">
        <is>
          <t>Special Combat Ability</t>
        </is>
      </c>
      <c r="H3" s="2" t="inlineStr">
        <is>
          <t>Management Ability (d66)</t>
        </is>
      </c>
      <c r="I3" s="2" t="inlineStr">
        <is>
          <t>Best Room</t>
        </is>
      </c>
      <c r="J3" s="2" t="inlineStr">
        <is>
          <t>Management Post</t>
        </is>
      </c>
      <c r="K3" s="2" t="inlineStr">
        <is>
          <t>Notes</t>
        </is>
      </c>
    </row>
    <row r="4">
      <c r="A4" s="3" t="inlineStr"/>
      <c r="B4" s="3" t="inlineStr"/>
      <c r="C4" s="4" t="inlineStr"/>
      <c r="D4" s="4" t="inlineStr"/>
      <c r="E4" s="4" t="inlineStr"/>
      <c r="F4" s="4" t="inlineStr"/>
      <c r="G4" s="3" t="inlineStr"/>
      <c r="H4" s="3" t="inlineStr"/>
      <c r="I4" s="3" t="inlineStr"/>
      <c r="J4" s="4" t="inlineStr"/>
      <c r="K4" s="3" t="inlineStr"/>
    </row>
    <row r="5">
      <c r="A5" s="3" t="inlineStr"/>
      <c r="B5" s="3" t="inlineStr"/>
      <c r="C5" s="4" t="inlineStr"/>
      <c r="D5" s="4" t="inlineStr"/>
      <c r="E5" s="4" t="inlineStr"/>
      <c r="F5" s="4" t="inlineStr"/>
      <c r="G5" s="3" t="inlineStr"/>
      <c r="H5" s="3" t="inlineStr"/>
      <c r="I5" s="3" t="inlineStr"/>
      <c r="J5" s="4" t="inlineStr"/>
      <c r="K5" s="3" t="inlineStr"/>
    </row>
    <row r="6">
      <c r="A6" s="3" t="inlineStr"/>
      <c r="B6" s="3" t="inlineStr"/>
      <c r="C6" s="4" t="inlineStr"/>
      <c r="D6" s="4" t="inlineStr"/>
      <c r="E6" s="4" t="inlineStr"/>
      <c r="F6" s="4" t="inlineStr"/>
      <c r="G6" s="3" t="inlineStr"/>
      <c r="H6" s="3" t="inlineStr"/>
      <c r="I6" s="3" t="inlineStr"/>
      <c r="J6" s="4" t="inlineStr"/>
      <c r="K6" s="3" t="inlineStr"/>
    </row>
    <row r="7">
      <c r="A7" s="3" t="inlineStr"/>
      <c r="B7" s="3" t="inlineStr"/>
      <c r="C7" s="4" t="inlineStr"/>
      <c r="D7" s="4" t="inlineStr"/>
      <c r="E7" s="4" t="inlineStr"/>
      <c r="F7" s="4" t="inlineStr"/>
      <c r="G7" s="3" t="inlineStr"/>
      <c r="H7" s="3" t="inlineStr"/>
      <c r="I7" s="3" t="inlineStr"/>
      <c r="J7" s="4" t="inlineStr"/>
      <c r="K7" s="3" t="inlineStr"/>
    </row>
    <row r="8">
      <c r="A8" s="3" t="inlineStr"/>
      <c r="B8" s="3" t="inlineStr"/>
      <c r="C8" s="4" t="inlineStr"/>
      <c r="D8" s="4" t="inlineStr"/>
      <c r="E8" s="4" t="inlineStr"/>
      <c r="F8" s="4" t="inlineStr"/>
      <c r="G8" s="3" t="inlineStr"/>
      <c r="H8" s="3" t="inlineStr"/>
      <c r="I8" s="3" t="inlineStr"/>
      <c r="J8" s="4" t="inlineStr"/>
      <c r="K8" s="3" t="inlineStr"/>
    </row>
    <row r="9">
      <c r="A9" s="3" t="inlineStr"/>
      <c r="B9" s="3" t="inlineStr"/>
      <c r="C9" s="4" t="inlineStr"/>
      <c r="D9" s="4" t="inlineStr"/>
      <c r="E9" s="4" t="inlineStr"/>
      <c r="F9" s="4" t="inlineStr"/>
      <c r="G9" s="3" t="inlineStr"/>
      <c r="H9" s="3" t="inlineStr"/>
      <c r="I9" s="3" t="inlineStr"/>
      <c r="J9" s="4" t="inlineStr"/>
      <c r="K9" s="3" t="inlineStr"/>
    </row>
    <row r="10">
      <c r="A10" s="3" t="inlineStr"/>
      <c r="B10" s="3" t="inlineStr"/>
      <c r="C10" s="4" t="inlineStr"/>
      <c r="D10" s="4" t="inlineStr"/>
      <c r="E10" s="4" t="inlineStr"/>
      <c r="F10" s="4" t="inlineStr"/>
      <c r="G10" s="3" t="inlineStr"/>
      <c r="H10" s="3" t="inlineStr"/>
      <c r="I10" s="3" t="inlineStr"/>
      <c r="J10" s="4" t="inlineStr"/>
      <c r="K10" s="3" t="inlineStr"/>
    </row>
    <row r="11">
      <c r="A11" s="3" t="inlineStr"/>
      <c r="B11" s="3" t="inlineStr"/>
      <c r="C11" s="4" t="inlineStr"/>
      <c r="D11" s="4" t="inlineStr"/>
      <c r="E11" s="4" t="inlineStr"/>
      <c r="F11" s="4" t="inlineStr"/>
      <c r="G11" s="3" t="inlineStr"/>
      <c r="H11" s="3" t="inlineStr"/>
      <c r="I11" s="3" t="inlineStr"/>
      <c r="J11" s="4" t="inlineStr"/>
      <c r="K11" s="3" t="inlineStr"/>
    </row>
    <row r="12">
      <c r="A12" s="3" t="inlineStr"/>
      <c r="B12" s="3" t="inlineStr"/>
      <c r="C12" s="4" t="inlineStr"/>
      <c r="D12" s="4" t="inlineStr"/>
      <c r="E12" s="4" t="inlineStr"/>
      <c r="F12" s="4" t="inlineStr"/>
      <c r="G12" s="3" t="inlineStr"/>
      <c r="H12" s="3" t="inlineStr"/>
      <c r="I12" s="3" t="inlineStr"/>
      <c r="J12" s="4" t="inlineStr"/>
      <c r="K12" s="3" t="inlineStr"/>
    </row>
    <row r="13">
      <c r="A13" s="3" t="inlineStr"/>
      <c r="B13" s="3" t="inlineStr"/>
      <c r="C13" s="4" t="inlineStr"/>
      <c r="D13" s="4" t="inlineStr"/>
      <c r="E13" s="4" t="inlineStr"/>
      <c r="F13" s="4" t="inlineStr"/>
      <c r="G13" s="3" t="inlineStr"/>
      <c r="H13" s="3" t="inlineStr"/>
      <c r="I13" s="3" t="inlineStr"/>
      <c r="J13" s="4" t="inlineStr"/>
      <c r="K13" s="3" t="inlineStr"/>
    </row>
    <row r="14">
      <c r="A14" s="3" t="inlineStr"/>
      <c r="B14" s="3" t="inlineStr"/>
      <c r="C14" s="4" t="inlineStr"/>
      <c r="D14" s="4" t="inlineStr"/>
      <c r="E14" s="4" t="inlineStr"/>
      <c r="F14" s="4" t="inlineStr"/>
      <c r="G14" s="3" t="inlineStr"/>
      <c r="H14" s="3" t="inlineStr"/>
      <c r="I14" s="3" t="inlineStr"/>
      <c r="J14" s="4" t="inlineStr"/>
      <c r="K14" s="3" t="inlineStr"/>
    </row>
    <row r="15">
      <c r="A15" s="3" t="inlineStr"/>
      <c r="B15" s="3" t="inlineStr"/>
      <c r="C15" s="4" t="inlineStr"/>
      <c r="D15" s="4" t="inlineStr"/>
      <c r="E15" s="4" t="inlineStr"/>
      <c r="F15" s="4" t="inlineStr"/>
      <c r="G15" s="3" t="inlineStr"/>
      <c r="H15" s="3" t="inlineStr"/>
      <c r="I15" s="3" t="inlineStr"/>
      <c r="J15" s="4" t="inlineStr"/>
      <c r="K15" s="3" t="inlineStr"/>
    </row>
    <row r="16">
      <c r="A16" s="3" t="inlineStr"/>
      <c r="B16" s="3" t="inlineStr"/>
      <c r="C16" s="4" t="inlineStr"/>
      <c r="D16" s="4" t="inlineStr"/>
      <c r="E16" s="4" t="inlineStr"/>
      <c r="F16" s="4" t="inlineStr"/>
      <c r="G16" s="3" t="inlineStr"/>
      <c r="H16" s="3" t="inlineStr"/>
      <c r="I16" s="3" t="inlineStr"/>
      <c r="J16" s="4" t="inlineStr"/>
      <c r="K16" s="3" t="inlineStr"/>
    </row>
    <row r="17">
      <c r="A17" s="3" t="inlineStr"/>
      <c r="B17" s="3" t="inlineStr"/>
      <c r="C17" s="4" t="inlineStr"/>
      <c r="D17" s="4" t="inlineStr"/>
      <c r="E17" s="4" t="inlineStr"/>
      <c r="F17" s="4" t="inlineStr"/>
      <c r="G17" s="3" t="inlineStr"/>
      <c r="H17" s="3" t="inlineStr"/>
      <c r="I17" s="3" t="inlineStr"/>
      <c r="J17" s="4" t="inlineStr"/>
      <c r="K17" s="3" t="inlineStr"/>
    </row>
    <row r="18">
      <c r="A18" s="3" t="inlineStr"/>
      <c r="B18" s="3" t="inlineStr"/>
      <c r="C18" s="4" t="inlineStr"/>
      <c r="D18" s="4" t="inlineStr"/>
      <c r="E18" s="4" t="inlineStr"/>
      <c r="F18" s="4" t="inlineStr"/>
      <c r="G18" s="3" t="inlineStr"/>
      <c r="H18" s="3" t="inlineStr"/>
      <c r="I18" s="3" t="inlineStr"/>
      <c r="J18" s="4" t="inlineStr"/>
      <c r="K18" s="3" t="inlineStr"/>
    </row>
    <row r="19">
      <c r="A19" s="3" t="inlineStr"/>
      <c r="B19" s="3" t="inlineStr"/>
      <c r="C19" s="4" t="inlineStr"/>
      <c r="D19" s="4" t="inlineStr"/>
      <c r="E19" s="4" t="inlineStr"/>
      <c r="F19" s="4" t="inlineStr"/>
      <c r="G19" s="3" t="inlineStr"/>
      <c r="H19" s="3" t="inlineStr"/>
      <c r="I19" s="3" t="inlineStr"/>
      <c r="J19" s="4" t="inlineStr"/>
      <c r="K19" s="3" t="inlineStr"/>
    </row>
    <row r="20">
      <c r="A20" s="3" t="inlineStr"/>
      <c r="B20" s="3" t="inlineStr"/>
      <c r="C20" s="4" t="inlineStr"/>
      <c r="D20" s="4" t="inlineStr"/>
      <c r="E20" s="4" t="inlineStr"/>
      <c r="F20" s="4" t="inlineStr"/>
      <c r="G20" s="3" t="inlineStr"/>
      <c r="H20" s="3" t="inlineStr"/>
      <c r="I20" s="3" t="inlineStr"/>
      <c r="J20" s="4" t="inlineStr"/>
      <c r="K20" s="3" t="inlineStr"/>
    </row>
    <row r="21">
      <c r="A21" s="3" t="inlineStr"/>
      <c r="B21" s="3" t="inlineStr"/>
      <c r="C21" s="4" t="inlineStr"/>
      <c r="D21" s="4" t="inlineStr"/>
      <c r="E21" s="4" t="inlineStr"/>
      <c r="F21" s="4" t="inlineStr"/>
      <c r="G21" s="3" t="inlineStr"/>
      <c r="H21" s="3" t="inlineStr"/>
      <c r="I21" s="3" t="inlineStr"/>
      <c r="J21" s="4" t="inlineStr"/>
      <c r="K21" s="3" t="inlineStr"/>
    </row>
    <row r="22">
      <c r="A22" s="3" t="inlineStr"/>
      <c r="B22" s="3" t="inlineStr"/>
      <c r="C22" s="4" t="inlineStr"/>
      <c r="D22" s="4" t="inlineStr"/>
      <c r="E22" s="4" t="inlineStr"/>
      <c r="F22" s="4" t="inlineStr"/>
      <c r="G22" s="3" t="inlineStr"/>
      <c r="H22" s="3" t="inlineStr"/>
      <c r="I22" s="3" t="inlineStr"/>
      <c r="J22" s="4" t="inlineStr"/>
      <c r="K22" s="3" t="inlineStr"/>
    </row>
    <row r="23">
      <c r="A23" s="3" t="inlineStr"/>
      <c r="B23" s="3" t="inlineStr"/>
      <c r="C23" s="4" t="inlineStr"/>
      <c r="D23" s="4" t="inlineStr"/>
      <c r="E23" s="4" t="inlineStr"/>
      <c r="F23" s="4" t="inlineStr"/>
      <c r="G23" s="3" t="inlineStr"/>
      <c r="H23" s="3" t="inlineStr"/>
      <c r="I23" s="3" t="inlineStr"/>
      <c r="J23" s="4" t="inlineStr"/>
      <c r="K23" s="3" t="inlineStr"/>
    </row>
    <row r="24"/>
    <row r="25">
      <c r="A25" s="5" t="inlineStr">
        <is>
          <t>Summary Calc (auto)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</row>
    <row r="26">
      <c r="A26" s="6" t="inlineStr">
        <is>
          <t>Management Group ΣMV</t>
        </is>
      </c>
      <c r="B26" s="7">
        <f>SUMIF(J4:J23,"Yes",D4:D23)</f>
        <v/>
      </c>
      <c r="C26" s="6" t="inlineStr">
        <is>
          <t>Management Dice Pool Bonus</t>
        </is>
      </c>
      <c r="D26" s="7">
        <f>IFERROR(FLOOR(B26/2,1), 0)</f>
        <v/>
      </c>
    </row>
    <row r="27">
      <c r="A27" s="6" t="inlineStr">
        <is>
          <t>Combat Group ΣCP</t>
        </is>
      </c>
      <c r="B27" s="7">
        <f>SUMIF(J4:J23,"No",C4:C23)</f>
        <v/>
      </c>
      <c r="C27" s="6" t="inlineStr">
        <is>
          <t>Combat Dice Pool Bonus</t>
        </is>
      </c>
      <c r="D27" s="7">
        <f>IFERROR(FLOOR(B27/2,1), 0)</f>
        <v/>
      </c>
    </row>
    <row r="28"/>
    <row r="29"/>
    <row r="30"/>
    <row r="31">
      <c r="A31" s="5" t="inlineStr">
        <is>
          <t>Monster Reference Data (8 basic types)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</row>
    <row r="32">
      <c r="A32" s="2" t="inlineStr">
        <is>
          <t>Name</t>
        </is>
      </c>
      <c r="B32" s="2" t="inlineStr">
        <is>
          <t>Type</t>
        </is>
      </c>
      <c r="C32" s="2" t="inlineStr">
        <is>
          <t>CP</t>
        </is>
      </c>
      <c r="D32" s="2" t="inlineStr">
        <is>
          <t>MV</t>
        </is>
      </c>
      <c r="E32" s="2" t="inlineStr">
        <is>
          <t>Special Ability</t>
        </is>
      </c>
      <c r="F32" s="2" t="inlineStr">
        <is>
          <t>Recruit Cost</t>
        </is>
      </c>
      <c r="G32" s="2" t="inlineStr">
        <is>
          <t>Maintenance/round</t>
        </is>
      </c>
      <c r="H32" s="2" t="inlineStr">
        <is>
          <t>Source</t>
        </is>
      </c>
    </row>
    <row r="33">
      <c r="A33" s="8" t="inlineStr">
        <is>
          <t>Skeleton</t>
        </is>
      </c>
      <c r="B33" s="9" t="inlineStr">
        <is>
          <t>Undead</t>
        </is>
      </c>
      <c r="C33" s="9" t="inlineStr">
        <is>
          <t>1</t>
        </is>
      </c>
      <c r="D33" s="9" t="inlineStr">
        <is>
          <t>1</t>
        </is>
      </c>
      <c r="E33" s="9" t="inlineStr">
        <is>
          <t>Undead: no food maintenance</t>
        </is>
      </c>
      <c r="F33" s="9" t="inlineStr">
        <is>
          <t>●×1</t>
        </is>
      </c>
      <c r="G33" s="9" t="inlineStr">
        <is>
          <t>None</t>
        </is>
      </c>
    </row>
    <row r="34">
      <c r="A34" s="8" t="inlineStr">
        <is>
          <t>Slime</t>
        </is>
      </c>
      <c r="B34" s="9" t="inlineStr">
        <is>
          <t>Aberration</t>
        </is>
      </c>
      <c r="C34" s="9" t="inlineStr">
        <is>
          <t>2</t>
        </is>
      </c>
      <c r="D34" s="9" t="inlineStr">
        <is>
          <t>0</t>
        </is>
      </c>
      <c r="E34" s="9" t="inlineStr">
        <is>
          <t>Corrosive Attack: extra damage to metal gear</t>
        </is>
      </c>
      <c r="F34" s="9" t="inlineStr">
        <is>
          <t>◇×2</t>
        </is>
      </c>
      <c r="G34" s="9" t="inlineStr">
        <is>
          <t>◆×1</t>
        </is>
      </c>
    </row>
    <row r="35">
      <c r="A35" s="8" t="inlineStr">
        <is>
          <t>Shadow</t>
        </is>
      </c>
      <c r="B35" s="9" t="inlineStr">
        <is>
          <t>Fey</t>
        </is>
      </c>
      <c r="C35" s="9" t="inlineStr">
        <is>
          <t>2</t>
        </is>
      </c>
      <c r="D35" s="9" t="inlineStr">
        <is>
          <t>1</t>
        </is>
      </c>
      <c r="E35" s="9" t="inlineStr">
        <is>
          <t>Ambush Master: Initiative +2</t>
        </is>
      </c>
      <c r="F35" s="9" t="inlineStr">
        <is>
          <t>●×2</t>
        </is>
      </c>
      <c r="G35" s="9" t="inlineStr">
        <is>
          <t>◇×1</t>
        </is>
      </c>
    </row>
    <row r="36">
      <c r="A36" s="8" t="inlineStr">
        <is>
          <t>Gargoyle</t>
        </is>
      </c>
      <c r="B36" s="9" t="inlineStr">
        <is>
          <t>Construct</t>
        </is>
      </c>
      <c r="C36" s="9" t="inlineStr">
        <is>
          <t>3</t>
        </is>
      </c>
      <c r="D36" s="9" t="inlineStr">
        <is>
          <t>2</t>
        </is>
      </c>
      <c r="E36" s="9" t="inlineStr">
        <is>
          <t>Flight: can patrol multiple rooms</t>
        </is>
      </c>
      <c r="F36" s="9" t="inlineStr">
        <is>
          <t>■×2+◇×2</t>
        </is>
      </c>
      <c r="G36" s="9" t="inlineStr">
        <is>
          <t>■×1</t>
        </is>
      </c>
    </row>
    <row r="37">
      <c r="A37" s="8" t="inlineStr">
        <is>
          <t>Hellhound</t>
        </is>
      </c>
      <c r="B37" s="9" t="inlineStr">
        <is>
          <t>Fiend</t>
        </is>
      </c>
      <c r="C37" s="9" t="inlineStr">
        <is>
          <t>3</t>
        </is>
      </c>
      <c r="D37" s="9" t="inlineStr">
        <is>
          <t>1</t>
        </is>
      </c>
      <c r="E37" s="9" t="inlineStr">
        <is>
          <t>Tracking Scent: pursuit on escape +2 dice</t>
        </is>
      </c>
      <c r="F37" s="9" t="inlineStr">
        <is>
          <t>●×3+◆×1</t>
        </is>
      </c>
      <c r="G37" s="9" t="inlineStr">
        <is>
          <t>◆×1</t>
        </is>
      </c>
    </row>
    <row r="38">
      <c r="A38" s="8" t="inlineStr">
        <is>
          <t>Elemental Construct</t>
        </is>
      </c>
      <c r="B38" s="9" t="inlineStr">
        <is>
          <t>Construct</t>
        </is>
      </c>
      <c r="C38" s="9" t="inlineStr">
        <is>
          <t>4</t>
        </is>
      </c>
      <c r="D38" s="9" t="inlineStr">
        <is>
          <t>3</t>
        </is>
      </c>
      <c r="E38" s="9" t="inlineStr">
        <is>
          <t>Elemental Immunity: reduce corresponding elemental damage</t>
        </is>
      </c>
      <c r="F38" s="9" t="inlineStr">
        <is>
          <t>■×4+◇×3</t>
        </is>
      </c>
      <c r="G38" s="9" t="inlineStr">
        <is>
          <t>◇×2</t>
        </is>
      </c>
    </row>
    <row r="39">
      <c r="A39" s="8" t="inlineStr">
        <is>
          <t>Spider Swarm</t>
        </is>
      </c>
      <c r="B39" s="9" t="inlineStr">
        <is>
          <t>Insect</t>
        </is>
      </c>
      <c r="C39" s="9" t="inlineStr">
        <is>
          <t>2</t>
        </is>
      </c>
      <c r="D39" s="9" t="inlineStr">
        <is>
          <t>1</t>
        </is>
      </c>
      <c r="E39" s="9" t="inlineStr">
        <is>
          <t>Web Trap: assist trap trigger +1 die</t>
        </is>
      </c>
      <c r="F39" s="9" t="inlineStr">
        <is>
          <t>■×1+◇×1</t>
        </is>
      </c>
      <c r="G39" s="9" t="inlineStr">
        <is>
          <t>None</t>
        </is>
      </c>
    </row>
    <row r="40">
      <c r="A40" s="8" t="inlineStr">
        <is>
          <t>Cultist</t>
        </is>
      </c>
      <c r="B40" s="9" t="inlineStr">
        <is>
          <t>Humanoid</t>
        </is>
      </c>
      <c r="C40" s="9" t="inlineStr">
        <is>
          <t>1</t>
        </is>
      </c>
      <c r="D40" s="9" t="inlineStr">
        <is>
          <t>2</t>
        </is>
      </c>
      <c r="E40" s="9" t="inlineStr">
        <is>
          <t>Dark Ritual: assist all ARC checks</t>
        </is>
      </c>
      <c r="F40" s="9" t="inlineStr">
        <is>
          <t>●×2+◇×1</t>
        </is>
      </c>
      <c r="G40" s="9" t="inlineStr">
        <is>
          <t>◆×1</t>
        </is>
      </c>
    </row>
    <row r="41"/>
    <row r="42"/>
    <row r="43">
      <c r="A43" s="5" t="inlineStr">
        <is>
          <t>Monster Management Ability d66 Quickref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</row>
    <row r="44">
      <c r="A44" s="2" t="inlineStr">
        <is>
          <t>d66</t>
        </is>
      </c>
      <c r="B44" s="2" t="inlineStr">
        <is>
          <t>Ability Name</t>
        </is>
      </c>
      <c r="C44" s="2" t="inlineStr">
        <is>
          <t>Type</t>
        </is>
      </c>
      <c r="D44" s="2" t="inlineStr">
        <is>
          <t>Common (ML1-2)</t>
        </is>
      </c>
      <c r="E44" s="2" t="inlineStr">
        <is>
          <t>Enhanced (ML3-4)</t>
        </is>
      </c>
      <c r="F44" s="2" t="inlineStr">
        <is>
          <t>Expert (ML5+)</t>
        </is>
      </c>
    </row>
    <row r="45">
      <c r="A45" s="10" t="inlineStr">
        <is>
          <t>11</t>
        </is>
      </c>
      <c r="B45" s="11" t="inlineStr">
        <is>
          <t>Vein Sense</t>
        </is>
      </c>
      <c r="C45" s="11" t="inlineStr">
        <is>
          <t>Mining</t>
        </is>
      </c>
      <c r="D45" s="11" t="inlineStr">
        <is>
          <t>MV+1</t>
        </is>
      </c>
      <c r="E45" s="11" t="inlineStr">
        <is>
          <t>MV+2, Mining +1 die</t>
        </is>
      </c>
      <c r="F45" s="11" t="inlineStr">
        <is>
          <t>MV+3, +2 dice, 10% rare ore</t>
        </is>
      </c>
    </row>
    <row r="46">
      <c r="A46" s="10" t="inlineStr">
        <is>
          <t>12</t>
        </is>
      </c>
      <c r="B46" s="11" t="inlineStr">
        <is>
          <t>Material Refining</t>
        </is>
      </c>
      <c r="C46" s="11" t="inlineStr">
        <is>
          <t>Mining</t>
        </is>
      </c>
      <c r="D46" s="11" t="inlineStr">
        <is>
          <t>Building Materials Cost -10%</t>
        </is>
      </c>
      <c r="E46" s="11" t="inlineStr">
        <is>
          <t>-20%</t>
        </is>
      </c>
      <c r="F46" s="11" t="inlineStr">
        <is>
          <t>-30%, scrap recycled 50%</t>
        </is>
      </c>
    </row>
    <row r="47">
      <c r="A47" s="10" t="inlineStr">
        <is>
          <t>14</t>
        </is>
      </c>
      <c r="B47" s="11" t="inlineStr">
        <is>
          <t>Double Output</t>
        </is>
      </c>
      <c r="C47" s="11" t="inlineStr">
        <is>
          <t>Mining</t>
        </is>
      </c>
      <c r="D47" s="11" t="inlineStr">
        <is>
          <t>6 trigger extra output</t>
        </is>
      </c>
      <c r="E47" s="11" t="inlineStr">
        <is>
          <t>5-6 trigger</t>
        </is>
      </c>
      <c r="F47" s="11" t="inlineStr">
        <is>
          <t>5-6 trigger, 6 produces +2</t>
        </is>
      </c>
    </row>
    <row r="48">
      <c r="A48" s="10" t="inlineStr">
        <is>
          <t>21</t>
        </is>
      </c>
      <c r="B48" s="11" t="inlineStr">
        <is>
          <t>Swift Builder</t>
        </is>
      </c>
      <c r="C48" s="11" t="inlineStr">
        <is>
          <t>Build</t>
        </is>
      </c>
      <c r="D48" s="11" t="inlineStr">
        <is>
          <t>Build +1 die</t>
        </is>
      </c>
      <c r="E48" s="11" t="inlineStr">
        <is>
          <t>+2 dice</t>
        </is>
      </c>
      <c r="F48" s="11" t="inlineStr">
        <is>
          <t>+3 dice, time halved</t>
        </is>
      </c>
    </row>
    <row r="49">
      <c r="A49" s="10" t="inlineStr">
        <is>
          <t>23</t>
        </is>
      </c>
      <c r="B49" s="11" t="inlineStr">
        <is>
          <t>Maintenance Expert</t>
        </is>
      </c>
      <c r="C49" s="11" t="inlineStr">
        <is>
          <t>Build</t>
        </is>
      </c>
      <c r="D49" s="11" t="inlineStr">
        <is>
          <t>Room Maintenance -1</t>
        </is>
      </c>
      <c r="E49" s="11" t="inlineStr">
        <is>
          <t>-2</t>
        </is>
      </c>
      <c r="F49" s="11" t="inlineStr">
        <is>
          <t>Fully free, adjacent -1</t>
        </is>
      </c>
    </row>
    <row r="50">
      <c r="A50" s="10" t="inlineStr">
        <is>
          <t>31</t>
        </is>
      </c>
      <c r="B50" s="11" t="inlineStr">
        <is>
          <t>Mana Affinity</t>
        </is>
      </c>
      <c r="C50" s="11" t="inlineStr">
        <is>
          <t>Magic</t>
        </is>
      </c>
      <c r="D50" s="11" t="inlineStr">
        <is>
          <t>MV counts as ARC</t>
        </is>
      </c>
      <c r="E50" s="11" t="inlineStr">
        <is>
          <t>MV+1 and counts as ARC</t>
        </is>
      </c>
      <c r="F50" s="11" t="inlineStr">
        <is>
          <t>MV+2, ◇cost -1</t>
        </is>
      </c>
    </row>
    <row r="51">
      <c r="A51" s="10" t="inlineStr">
        <is>
          <t>36</t>
        </is>
      </c>
      <c r="B51" s="11" t="inlineStr">
        <is>
          <t>Forbidden Knowledge</t>
        </is>
      </c>
      <c r="C51" s="11" t="inlineStr">
        <is>
          <t>Magic</t>
        </is>
      </c>
      <c r="D51" s="11" t="inlineStr">
        <is>
          <t>Unlock 1 hidden research</t>
        </is>
      </c>
      <c r="E51" s="11" t="inlineStr">
        <is>
          <t>2 items, speed +20%</t>
        </is>
      </c>
      <c r="F51" s="11" t="inlineStr">
        <is>
          <t>3 items, speed +50%</t>
        </is>
      </c>
    </row>
    <row r="52">
      <c r="A52" s="10" t="inlineStr">
        <is>
          <t>41</t>
        </is>
      </c>
      <c r="B52" s="11" t="inlineStr">
        <is>
          <t>Jailer Instinct</t>
        </is>
      </c>
      <c r="C52" s="11" t="inlineStr">
        <is>
          <t>Prison Cells</t>
        </is>
      </c>
      <c r="D52" s="11" t="inlineStr">
        <is>
          <t>Escape check -1 die</t>
        </is>
      </c>
      <c r="E52" s="11" t="inlineStr">
        <is>
          <t>-2 dice</t>
        </is>
      </c>
      <c r="F52" s="11" t="inlineStr">
        <is>
          <t>-3 dice, riot halved</t>
        </is>
      </c>
    </row>
    <row r="53">
      <c r="A53" s="10" t="inlineStr">
        <is>
          <t>44</t>
        </is>
      </c>
      <c r="B53" s="11" t="inlineStr">
        <is>
          <t>Order Maintenance</t>
        </is>
      </c>
      <c r="C53" s="11" t="inlineStr">
        <is>
          <t>Prison Cells</t>
        </is>
      </c>
      <c r="D53" s="11" t="inlineStr">
        <is>
          <t>Same room LOY no drop</t>
        </is>
      </c>
      <c r="E53" s="11" t="inlineStr">
        <is>
          <t>Same floor LOY no drop</t>
        </is>
      </c>
      <c r="F53" s="11" t="inlineStr">
        <is>
          <t>All-dungeon decline halved</t>
        </is>
      </c>
    </row>
    <row r="54">
      <c r="A54" s="10" t="inlineStr">
        <is>
          <t>51</t>
        </is>
      </c>
      <c r="B54" s="11" t="inlineStr">
        <is>
          <t>Shadow Scout</t>
        </is>
      </c>
      <c r="C54" s="11" t="inlineStr">
        <is>
          <t>Scout</t>
        </is>
      </c>
      <c r="D54" s="11" t="inlineStr">
        <is>
          <t>Warning +1 round</t>
        </is>
      </c>
      <c r="E54" s="11" t="inlineStr">
        <is>
          <t>+2 rounds</t>
        </is>
      </c>
      <c r="F54" s="11" t="inlineStr">
        <is>
          <t>+2 and identify class weakness</t>
        </is>
      </c>
    </row>
    <row r="55">
      <c r="A55" s="10" t="inlineStr">
        <is>
          <t>52</t>
        </is>
      </c>
      <c r="B55" s="11" t="inlineStr">
        <is>
          <t>Trap Swiftsmith</t>
        </is>
      </c>
      <c r="C55" s="11" t="inlineStr">
        <is>
          <t>Scout</t>
        </is>
      </c>
      <c r="D55" s="11" t="inlineStr">
        <is>
          <t>Reset time halved</t>
        </is>
      </c>
      <c r="E55" s="11" t="inlineStr">
        <is>
          <t>Free + half</t>
        </is>
      </c>
      <c r="F55" s="11" t="inlineStr">
        <is>
          <t>Free + instant + keep 50%</t>
        </is>
      </c>
    </row>
    <row r="56">
      <c r="A56" s="10" t="inlineStr">
        <is>
          <t>61</t>
        </is>
      </c>
      <c r="B56" s="11" t="inlineStr">
        <is>
          <t>Lucky Star</t>
        </is>
      </c>
      <c r="C56" s="11" t="inlineStr">
        <is>
          <t>Special</t>
        </is>
      </c>
      <c r="D56" s="11" t="inlineStr">
        <is>
          <t>Reroll 1 die/round</t>
        </is>
      </c>
      <c r="E56" s="11" t="inlineStr">
        <is>
          <t>Reroll 2 dice</t>
        </is>
      </c>
      <c r="F56" s="11" t="inlineStr">
        <is>
          <t>Reroll 3 dice or whole pool</t>
        </is>
      </c>
    </row>
    <row r="57">
      <c r="A57" s="10" t="inlineStr">
        <is>
          <t>66</t>
        </is>
      </c>
      <c r="B57" s="11" t="inlineStr">
        <is>
          <t>Abyssal Blessing</t>
        </is>
      </c>
      <c r="C57" s="11" t="inlineStr">
        <is>
          <t>Special</t>
        </is>
      </c>
      <c r="D57" s="11" t="inlineStr">
        <is>
          <t>Reroll twice, take best</t>
        </is>
      </c>
      <c r="E57" s="11" t="inlineStr">
        <is>
          <t>Both gained items take effect</t>
        </is>
      </c>
      <c r="F57" s="11" t="inlineStr">
        <is>
          <t>Two items + choose a third</t>
        </is>
      </c>
    </row>
  </sheetData>
  <mergeCells count="4">
    <mergeCell ref="A1:K1"/>
    <mergeCell ref="A25:K25"/>
    <mergeCell ref="A43:K4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2026-06-28T14:53:59Z</dcterms:created>
  <dcterms:modified xsi:type="dcterms:W3CDTF">2026-08-10T11:36:10Z</dcterms:modified>
</cp:coreProperties>
</file>