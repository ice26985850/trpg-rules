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e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b val="1"/>
      <color rgb="00c8a84e"/>
      <sz val="18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1a2744"/>
      <sz val="11"/>
    </font>
    <font>
      <name val="等线"/>
      <color rgb="00666666"/>
      <sz val="8"/>
    </font>
    <font>
      <name val="等线"/>
      <b val="1"/>
      <color rgb="00336633"/>
      <sz val="11"/>
    </font>
    <font>
      <name val="等线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  <fill>
      <patternFill patternType="solid">
        <fgColor rgb="00f0ebe0"/>
        <bgColor rgb="00f0ebe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84e"/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Arcane Origins TRPG — Mage Character Sheet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2" t="inlineStr">
        <is>
          <t>Basic Info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3" t="inlineStr">
        <is>
          <t>Mage Name</t>
        </is>
      </c>
      <c r="B4" s="4" t="inlineStr"/>
      <c r="C4" s="3" t="inlineStr">
        <is>
          <t>Tower Name</t>
        </is>
      </c>
      <c r="D4" s="4" t="inlineStr"/>
      <c r="E4" s="3" t="inlineStr">
        <is>
          <t>Background</t>
        </is>
      </c>
      <c r="F4" s="4" t="inlineStr"/>
      <c r="G4" s="3" t="inlineStr">
        <is>
          <t>Research Style</t>
        </is>
      </c>
      <c r="H4" s="4" t="inlineStr"/>
    </row>
    <row r="5">
      <c r="A5" s="3" t="inlineStr">
        <is>
          <t>Tower Location</t>
        </is>
      </c>
      <c r="B5" s="10" t="n"/>
      <c r="C5" s="4" t="inlineStr"/>
      <c r="D5" s="10" t="n"/>
      <c r="E5" s="3" t="inlineStr">
        <is>
          <t>Tower HP</t>
        </is>
      </c>
      <c r="F5" s="10" t="n"/>
      <c r="G5" s="4" t="inlineStr"/>
      <c r="H5" s="5" t="inlineStr">
        <is>
          <t>/</t>
        </is>
      </c>
    </row>
    <row r="6"/>
    <row r="7">
      <c r="A7" s="2" t="inlineStr">
        <is>
          <t>Five Attributes (25 points to allocate, max 7)</t>
        </is>
      </c>
      <c r="B7" s="9" t="n"/>
      <c r="C7" s="9" t="n"/>
      <c r="D7" s="9" t="n"/>
      <c r="E7" s="9" t="n"/>
      <c r="F7" s="9" t="n"/>
      <c r="G7" s="9" t="n"/>
      <c r="H7" s="10" t="n"/>
    </row>
    <row r="8">
      <c r="A8" s="3" t="inlineStr">
        <is>
          <t>Attribute Name →</t>
        </is>
      </c>
      <c r="B8" s="6" t="inlineStr">
        <is>
          <t>Perception</t>
        </is>
      </c>
      <c r="C8" s="6" t="inlineStr">
        <is>
          <t>Theory</t>
        </is>
      </c>
      <c r="D8" s="6" t="inlineStr">
        <is>
          <t>Craft</t>
        </is>
      </c>
      <c r="E8" s="6" t="inlineStr">
        <is>
          <t>Will</t>
        </is>
      </c>
      <c r="F8" s="6" t="inlineStr">
        <is>
          <t>Erudition</t>
        </is>
      </c>
      <c r="G8" s="3" t="inlineStr">
        <is>
          <t>Proficiency Bonus</t>
        </is>
      </c>
      <c r="H8" s="3" t="inlineStr">
        <is>
          <t>Skill Proficiency</t>
        </is>
      </c>
    </row>
    <row r="9">
      <c r="A9" s="3" t="inlineStr">
        <is>
          <t>Attribute Value →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/>
    <row r="11">
      <c r="A11" s="2" t="inlineStr">
        <is>
          <t>Derived Stats (Auto-calculated)</t>
        </is>
      </c>
      <c r="B11" s="9" t="n"/>
      <c r="C11" s="9" t="n"/>
      <c r="D11" s="9" t="n"/>
      <c r="E11" s="9" t="n"/>
      <c r="F11" s="9" t="n"/>
      <c r="G11" s="9" t="n"/>
      <c r="H11" s="10" t="n"/>
    </row>
    <row r="12">
      <c r="A12" s="3" t="inlineStr">
        <is>
          <t>Spirit Pool (SP)</t>
        </is>
      </c>
      <c r="B12" s="7">
        <f>E9*3+C9</f>
        <v/>
      </c>
      <c r="C12" s="8" t="inlineStr">
        <is>
          <t>Will×3 + Theory</t>
        </is>
      </c>
      <c r="D12" s="9" t="n"/>
      <c r="E12" s="10" t="n"/>
    </row>
    <row r="13">
      <c r="A13" s="3" t="inlineStr">
        <is>
          <t>Safety Threshold (ST)</t>
        </is>
      </c>
      <c r="B13" s="7">
        <f>D9+INT(E9/2)+LABCELL</f>
        <v/>
      </c>
      <c r="C13" s="8" t="inlineStr">
        <is>
          <t>Craft+Will/2+Laboratory Level</t>
        </is>
      </c>
      <c r="D13" s="9" t="n"/>
      <c r="E13" s="10" t="n"/>
    </row>
    <row r="14">
      <c r="A14" s="3" t="inlineStr">
        <is>
          <t>Research AP (RAP)</t>
        </is>
      </c>
      <c r="B14" s="7">
        <f>MIN(3+IF(C9&gt;=5,1,0)+IF(CHIEFCELL="是",1,0),5)</f>
        <v/>
      </c>
      <c r="C14" s="8" t="inlineStr">
        <is>
          <t>3+(+1 if Theory≥5)+(+1 if Chief Apprentice), max 5</t>
        </is>
      </c>
      <c r="D14" s="9" t="n"/>
      <c r="E14" s="10" t="n"/>
    </row>
    <row r="15">
      <c r="A15" s="3" t="inlineStr">
        <is>
          <t>Shard Capacity (SC)</t>
        </is>
      </c>
      <c r="B15" s="7">
        <f>C9+F9+LIBCELL</f>
        <v/>
      </c>
      <c r="C15" s="8" t="inlineStr">
        <is>
          <t>Theory+Erudition+Library Level</t>
        </is>
      </c>
      <c r="D15" s="9" t="n"/>
      <c r="E15" s="10" t="n"/>
    </row>
    <row r="16">
      <c r="A16" s="3" t="inlineStr">
        <is>
          <t>HP</t>
        </is>
      </c>
      <c r="B16" s="7">
        <f>15+E9</f>
        <v/>
      </c>
      <c r="C16" s="8" t="inlineStr">
        <is>
          <t>15 + Will</t>
        </is>
      </c>
      <c r="D16" s="9" t="n"/>
      <c r="E16" s="10" t="n"/>
    </row>
    <row r="17">
      <c r="A17" s="3" t="inlineStr">
        <is>
          <t>Spellbook Capacity (SBC)</t>
        </is>
      </c>
      <c r="B17" s="7">
        <f>C9+F9</f>
        <v/>
      </c>
      <c r="C17" s="8" t="inlineStr">
        <is>
          <t>Theory+Erudition (Max Spells Memorized)</t>
        </is>
      </c>
      <c r="D17" s="9" t="n"/>
      <c r="E17" s="10" t="n"/>
    </row>
    <row r="18">
      <c r="A18" s="3" t="inlineStr">
        <is>
          <t>Corruption</t>
        </is>
      </c>
      <c r="B18" s="4" t="inlineStr"/>
      <c r="C18" s="8" t="inlineStr">
        <is>
          <t>(0-20; 20 = NPC-like character)</t>
        </is>
      </c>
      <c r="D18" s="9" t="n"/>
      <c r="E18" s="10" t="n"/>
    </row>
    <row r="19">
      <c r="A19" s="3" t="inlineStr">
        <is>
          <t>HP</t>
        </is>
      </c>
      <c r="B19" s="4" t="inlineStr">
        <is>
          <t>20</t>
        </is>
      </c>
      <c r="C19" s="8" t="inlineStr">
        <is>
          <t>(Base 20 + Constitution-related)</t>
        </is>
      </c>
      <c r="D19" s="9" t="n"/>
      <c r="E19" s="10" t="n"/>
    </row>
    <row r="20"/>
    <row r="21">
      <c r="A21" s="2" t="inlineStr">
        <is>
          <t>Reputation</t>
        </is>
      </c>
      <c r="B21" s="9" t="n"/>
      <c r="C21" s="9" t="n"/>
      <c r="D21" s="9" t="n"/>
      <c r="E21" s="9" t="n"/>
      <c r="F21" s="9" t="n"/>
      <c r="G21" s="9" t="n"/>
      <c r="H21" s="10" t="n"/>
    </row>
    <row r="22">
      <c r="A22" s="3" t="inlineStr">
        <is>
          <t>Academic Reputation</t>
        </is>
      </c>
      <c r="B22" s="4" t="inlineStr"/>
      <c r="C22" s="3" t="inlineStr">
        <is>
          <t>Status:</t>
        </is>
      </c>
      <c r="D22" s="11" t="inlineStr"/>
      <c r="E22" s="9" t="n"/>
      <c r="F22" s="10" t="n"/>
      <c r="G22" s="3" t="inlineStr">
        <is>
          <t>Practical Reputation</t>
        </is>
      </c>
      <c r="H22" s="4" t="inlineStr"/>
    </row>
    <row r="23"/>
    <row r="24">
      <c r="A24" s="2" t="inlineStr">
        <is>
          <t>Research Style Trait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Style Name</t>
        </is>
      </c>
      <c r="B25" s="4" t="inlineStr"/>
      <c r="C25" s="9" t="n"/>
      <c r="D25" s="10" t="n"/>
      <c r="E25" s="3" t="inlineStr">
        <is>
          <t>School Ability</t>
        </is>
      </c>
      <c r="F25" s="11" t="inlineStr">
        <is>
          <t>□10+ □30+ □60+</t>
        </is>
      </c>
    </row>
    <row r="26">
      <c r="A26" s="3" t="inlineStr">
        <is>
          <t>Advantage</t>
        </is>
      </c>
      <c r="B26" s="11" t="inlineStr"/>
      <c r="C26" s="9" t="n"/>
      <c r="D26" s="9" t="n"/>
      <c r="E26" s="9" t="n"/>
      <c r="F26" s="9" t="n"/>
      <c r="G26" s="9" t="n"/>
      <c r="H26" s="10" t="n"/>
    </row>
    <row r="27">
      <c r="A27" s="3" t="inlineStr">
        <is>
          <t>Cost</t>
        </is>
      </c>
      <c r="B27" s="11" t="inlineStr"/>
      <c r="C27" s="9" t="n"/>
      <c r="D27" s="9" t="n"/>
      <c r="E27" s="9" t="n"/>
      <c r="F27" s="9" t="n"/>
      <c r="G27" s="9" t="n"/>
      <c r="H27" s="10" t="n"/>
    </row>
    <row r="28"/>
    <row r="29">
      <c r="A29" s="2" t="inlineStr">
        <is>
          <t>Shard Collection</t>
        </is>
      </c>
      <c r="B29" s="9" t="n"/>
      <c r="C29" s="9" t="n"/>
      <c r="D29" s="9" t="n"/>
      <c r="E29" s="9" t="n"/>
      <c r="F29" s="9" t="n"/>
      <c r="G29" s="9" t="n"/>
      <c r="H29" s="10" t="n"/>
    </row>
    <row r="30">
      <c r="A30" s="6" t="inlineStr">
        <is>
          <t>Name</t>
        </is>
      </c>
      <c r="B30" s="6" t="inlineStr">
        <is>
          <t>Rarity</t>
        </is>
      </c>
      <c r="C30" s="6" t="inlineStr">
        <is>
          <t>Type</t>
        </is>
      </c>
      <c r="D30" s="6" t="inlineStr">
        <is>
          <t>Base Effect</t>
        </is>
      </c>
      <c r="E30" s="6" t="inlineStr">
        <is>
          <t>Source</t>
        </is>
      </c>
      <c r="F30" s="6" t="inlineStr">
        <is>
          <t>Notes</t>
        </is>
      </c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/>
    <row r="38">
      <c r="A38" s="2" t="inlineStr">
        <is>
          <t>Spellbook</t>
        </is>
      </c>
      <c r="B38" s="9" t="n"/>
      <c r="C38" s="9" t="n"/>
      <c r="D38" s="9" t="n"/>
      <c r="E38" s="9" t="n"/>
      <c r="F38" s="9" t="n"/>
      <c r="G38" s="9" t="n"/>
      <c r="H38" s="10" t="n"/>
    </row>
    <row r="39">
      <c r="A39" s="6" t="inlineStr">
        <is>
          <t>Spell Name</t>
        </is>
      </c>
      <c r="B39" s="6" t="inlineStr">
        <is>
          <t>Shard Formula</t>
        </is>
      </c>
      <c r="C39" s="6" t="inlineStr">
        <is>
          <t>Quality (★)</t>
        </is>
      </c>
      <c r="D39" s="6" t="inlineStr">
        <is>
          <t>Spirit Cost</t>
        </is>
      </c>
      <c r="E39" s="6" t="inlineStr">
        <is>
          <t>Effect Summary</t>
        </is>
      </c>
    </row>
    <row r="40">
      <c r="A40" s="11" t="inlineStr"/>
      <c r="B40" s="11" t="inlineStr"/>
      <c r="C40" s="11" t="inlineStr"/>
      <c r="D40" s="11" t="inlineStr"/>
      <c r="E40" s="11" t="inlineStr"/>
    </row>
    <row r="41">
      <c r="A41" s="11" t="inlineStr"/>
      <c r="B41" s="11" t="inlineStr"/>
      <c r="C41" s="11" t="inlineStr"/>
      <c r="D41" s="11" t="inlineStr"/>
      <c r="E41" s="11" t="inlineStr"/>
    </row>
    <row r="42">
      <c r="A42" s="11" t="inlineStr"/>
      <c r="B42" s="11" t="inlineStr"/>
      <c r="C42" s="11" t="inlineStr"/>
      <c r="D42" s="11" t="inlineStr"/>
      <c r="E42" s="11" t="inlineStr"/>
    </row>
    <row r="43">
      <c r="A43" s="11" t="inlineStr"/>
      <c r="B43" s="11" t="inlineStr"/>
      <c r="C43" s="11" t="inlineStr"/>
      <c r="D43" s="11" t="inlineStr"/>
      <c r="E43" s="11" t="inlineStr"/>
    </row>
    <row r="44">
      <c r="A44" s="11" t="inlineStr"/>
      <c r="B44" s="11" t="inlineStr"/>
      <c r="C44" s="11" t="inlineStr"/>
      <c r="D44" s="11" t="inlineStr"/>
      <c r="E44" s="11" t="inlineStr"/>
    </row>
    <row r="45"/>
    <row r="46">
      <c r="A46" s="2" t="inlineStr">
        <is>
          <t>Tower Facilities</t>
        </is>
      </c>
      <c r="B46" s="9" t="n"/>
      <c r="C46" s="9" t="n"/>
      <c r="D46" s="9" t="n"/>
      <c r="E46" s="9" t="n"/>
      <c r="F46" s="9" t="n"/>
      <c r="G46" s="9" t="n"/>
      <c r="H46" s="10" t="n"/>
    </row>
    <row r="47">
      <c r="A47" s="6" t="inlineStr">
        <is>
          <t>Facility Name</t>
        </is>
      </c>
      <c r="D47" s="6" t="inlineStr">
        <is>
          <t>Level (1–5)</t>
        </is>
      </c>
      <c r="G47" s="6" t="inlineStr">
        <is>
          <t>Effect / Bonus</t>
        </is>
      </c>
    </row>
    <row r="48">
      <c r="A48" s="3" t="inlineStr">
        <is>
          <t>Laboratory</t>
        </is>
      </c>
      <c r="B48" s="4" t="inlineStr"/>
      <c r="C48" s="12" t="inlineStr"/>
      <c r="D48" s="9" t="n"/>
      <c r="E48" s="10" t="n"/>
      <c r="I48" s="5" t="inlineStr">
        <is>
          <t>←Laboratory</t>
        </is>
      </c>
    </row>
    <row r="49">
      <c r="A49" s="3" t="inlineStr">
        <is>
          <t>Library</t>
        </is>
      </c>
      <c r="B49" s="4" t="inlineStr"/>
      <c r="C49" s="12" t="inlineStr"/>
      <c r="D49" s="9" t="n"/>
      <c r="E49" s="10" t="n"/>
      <c r="I49" s="5" t="inlineStr">
        <is>
          <t>←Library</t>
        </is>
      </c>
    </row>
    <row r="50">
      <c r="A50" s="3" t="inlineStr">
        <is>
          <t>Elemental Chamber A (__)</t>
        </is>
      </c>
      <c r="B50" s="4" t="inlineStr"/>
      <c r="C50" s="12" t="inlineStr"/>
      <c r="D50" s="9" t="n"/>
      <c r="E50" s="10" t="n"/>
    </row>
    <row r="51">
      <c r="A51" s="3" t="inlineStr">
        <is>
          <t>Elemental Chamber B (__)</t>
        </is>
      </c>
      <c r="B51" s="4" t="inlineStr"/>
      <c r="C51" s="12" t="inlineStr"/>
      <c r="D51" s="9" t="n"/>
      <c r="E51" s="10" t="n"/>
    </row>
    <row r="52">
      <c r="A52" s="3" t="inlineStr">
        <is>
          <t>Elemental Chamber C (__)</t>
        </is>
      </c>
      <c r="B52" s="4" t="inlineStr"/>
      <c r="C52" s="12" t="inlineStr"/>
      <c r="D52" s="9" t="n"/>
      <c r="E52" s="10" t="n"/>
    </row>
    <row r="53">
      <c r="A53" s="3" t="inlineStr">
        <is>
          <t>Observatory</t>
        </is>
      </c>
      <c r="B53" s="4" t="inlineStr"/>
      <c r="C53" s="12" t="inlineStr"/>
      <c r="D53" s="9" t="n"/>
      <c r="E53" s="10" t="n"/>
    </row>
    <row r="54">
      <c r="A54" s="3" t="inlineStr">
        <is>
          <t>Containment Chamber</t>
        </is>
      </c>
      <c r="B54" s="4" t="inlineStr"/>
      <c r="C54" s="12" t="inlineStr"/>
      <c r="D54" s="9" t="n"/>
      <c r="E54" s="10" t="n"/>
    </row>
    <row r="55">
      <c r="A55" s="3" t="inlineStr">
        <is>
          <t>Apprentice Quarters</t>
        </is>
      </c>
      <c r="B55" s="4" t="inlineStr"/>
      <c r="C55" s="12" t="inlineStr"/>
      <c r="D55" s="9" t="n"/>
      <c r="E55" s="10" t="n"/>
      <c r="I55" s="4" t="inlineStr"/>
    </row>
    <row r="56">
      <c r="A56" s="3" t="inlineStr">
        <is>
          <t>Defense System</t>
        </is>
      </c>
      <c r="B56" s="4" t="inlineStr"/>
      <c r="C56" s="12" t="inlineStr"/>
      <c r="D56" s="9" t="n"/>
      <c r="E56" s="10" t="n"/>
    </row>
    <row r="57">
      <c r="A57" s="3" t="inlineStr">
        <is>
          <t>Scrying Pool</t>
        </is>
      </c>
      <c r="B57" s="4" t="inlineStr"/>
      <c r="C57" s="12" t="inlineStr"/>
      <c r="D57" s="9" t="n"/>
      <c r="E57" s="10" t="n"/>
    </row>
    <row r="58"/>
    <row r="59"/>
    <row r="60">
      <c r="A60" s="2" t="inlineStr">
        <is>
          <t>Economy</t>
        </is>
      </c>
      <c r="B60" s="9" t="n"/>
      <c r="C60" s="9" t="n"/>
      <c r="D60" s="9" t="n"/>
      <c r="E60" s="9" t="n"/>
      <c r="F60" s="9" t="n"/>
      <c r="G60" s="9" t="n"/>
      <c r="H60" s="10" t="n"/>
    </row>
    <row r="61">
      <c r="A61" s="3" t="inlineStr">
        <is>
          <t>Current Gold</t>
        </is>
      </c>
      <c r="B61" s="4" t="inlineStr"/>
      <c r="C61" s="3" t="inlineStr">
        <is>
          <t>Monthly Income</t>
        </is>
      </c>
      <c r="D61" s="4" t="inlineStr"/>
      <c r="E61" s="3" t="inlineStr">
        <is>
          <t>Monthly Expenses</t>
        </is>
      </c>
      <c r="F61" s="4" t="inlineStr"/>
      <c r="G61" s="3" t="inlineStr">
        <is>
          <t>Net Income</t>
        </is>
      </c>
      <c r="H61" s="7">
        <f>D48-F48</f>
        <v/>
      </c>
    </row>
    <row r="62"/>
    <row r="63">
      <c r="A63" s="2" t="inlineStr">
        <is>
          <t>Research Goal</t>
        </is>
      </c>
      <c r="B63" s="9" t="n"/>
      <c r="C63" s="9" t="n"/>
      <c r="D63" s="9" t="n"/>
      <c r="E63" s="9" t="n"/>
      <c r="F63" s="9" t="n"/>
      <c r="G63" s="9" t="n"/>
      <c r="H63" s="10" t="n"/>
    </row>
    <row r="64">
      <c r="A64" s="3" t="inlineStr">
        <is>
          <t>Ultimate Spell Concept</t>
        </is>
      </c>
      <c r="B64" s="11" t="inlineStr"/>
      <c r="C64" s="9" t="n"/>
      <c r="D64" s="9" t="n"/>
      <c r="E64" s="9" t="n"/>
      <c r="F64" s="9" t="n"/>
      <c r="G64" s="9" t="n"/>
      <c r="H64" s="10" t="n"/>
    </row>
    <row r="65">
      <c r="A65" s="3" t="inlineStr">
        <is>
          <t>Key Legendary Shard</t>
        </is>
      </c>
      <c r="B65" s="11" t="inlineStr"/>
      <c r="C65" s="9" t="n"/>
      <c r="D65" s="9" t="n"/>
      <c r="E65" s="9" t="n"/>
      <c r="F65" s="9" t="n"/>
      <c r="G65" s="9" t="n"/>
      <c r="H65" s="10" t="n"/>
    </row>
    <row r="66">
      <c r="A66" s="3" t="inlineStr">
        <is>
          <t>Reason for Pursuit</t>
        </is>
      </c>
      <c r="B66" s="11" t="inlineStr"/>
      <c r="C66" s="9" t="n"/>
      <c r="D66" s="9" t="n"/>
      <c r="E66" s="9" t="n"/>
      <c r="F66" s="9" t="n"/>
      <c r="G66" s="9" t="n"/>
      <c r="H66" s="10" t="n"/>
    </row>
    <row r="67"/>
    <row r="68">
      <c r="A68" s="2" t="inlineStr">
        <is>
          <t>Rival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3" t="inlineStr">
        <is>
          <t>Name</t>
        </is>
      </c>
      <c r="B69" s="4" t="inlineStr"/>
      <c r="C69" s="3" t="inlineStr">
        <is>
          <t>Relationship</t>
        </is>
      </c>
      <c r="D69" s="4" t="inlineStr"/>
      <c r="E69" s="3" t="inlineStr">
        <is>
          <t>Research Style</t>
        </is>
      </c>
      <c r="F69" s="4" t="inlineStr"/>
      <c r="G69" s="3" t="inlineStr">
        <is>
          <t>Proficiency</t>
        </is>
      </c>
      <c r="H69" s="4" t="inlineStr"/>
    </row>
    <row r="70">
      <c r="A70" s="3" t="inlineStr">
        <is>
          <t>Origin of the Grudge</t>
        </is>
      </c>
      <c r="B70" s="11" t="inlineStr"/>
      <c r="C70" s="9" t="n"/>
      <c r="D70" s="9" t="n"/>
      <c r="E70" s="9" t="n"/>
      <c r="F70" s="9" t="n"/>
      <c r="G70" s="9" t="n"/>
      <c r="H70" s="10" t="n"/>
    </row>
    <row r="71">
      <c r="A71" s="3" t="inlineStr">
        <is>
          <t>Academic Reputation</t>
        </is>
      </c>
      <c r="B71" s="4" t="inlineStr"/>
      <c r="C71" s="3" t="inlineStr">
        <is>
          <t>Practical Reputation</t>
        </is>
      </c>
      <c r="D71" s="4" t="inlineStr"/>
    </row>
  </sheetData>
  <mergeCells count="49">
    <mergeCell ref="C16:E16"/>
    <mergeCell ref="C54:E54"/>
    <mergeCell ref="D4"/>
    <mergeCell ref="C50:E50"/>
    <mergeCell ref="A4"/>
    <mergeCell ref="G4"/>
    <mergeCell ref="C55:E55"/>
    <mergeCell ref="A24:H24"/>
    <mergeCell ref="B65:H65"/>
    <mergeCell ref="C5:D5"/>
    <mergeCell ref="E5:F5"/>
    <mergeCell ref="A60:H60"/>
    <mergeCell ref="A11:H11"/>
    <mergeCell ref="C56:E56"/>
    <mergeCell ref="B64:H64"/>
    <mergeCell ref="A1:H1"/>
    <mergeCell ref="C12:E12"/>
    <mergeCell ref="C51:E51"/>
    <mergeCell ref="B4"/>
    <mergeCell ref="B26:H26"/>
    <mergeCell ref="F4"/>
    <mergeCell ref="A7:H7"/>
    <mergeCell ref="C52:E52"/>
    <mergeCell ref="C48:E48"/>
    <mergeCell ref="C17:E17"/>
    <mergeCell ref="A46:H46"/>
    <mergeCell ref="H4"/>
    <mergeCell ref="B66:H66"/>
    <mergeCell ref="A3:H3"/>
    <mergeCell ref="A21:H21"/>
    <mergeCell ref="C4"/>
    <mergeCell ref="C13:E13"/>
    <mergeCell ref="C19:E19"/>
    <mergeCell ref="E4"/>
    <mergeCell ref="B27:H27"/>
    <mergeCell ref="C53:E53"/>
    <mergeCell ref="C57:E57"/>
    <mergeCell ref="A5:B5"/>
    <mergeCell ref="C18:E18"/>
    <mergeCell ref="C49:E49"/>
    <mergeCell ref="B70:H70"/>
    <mergeCell ref="B25:D25"/>
    <mergeCell ref="C15:E15"/>
    <mergeCell ref="C14:E14"/>
    <mergeCell ref="A29:H29"/>
    <mergeCell ref="A38:H38"/>
    <mergeCell ref="A63:H63"/>
    <mergeCell ref="D22:F22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2026-06-30T17:47:58Z</dcterms:created>
  <dcterms:modified xsi:type="dcterms:W3CDTF">2026-08-09T13:59:38Z</dcterms:modified>
</cp:coreProperties>
</file>