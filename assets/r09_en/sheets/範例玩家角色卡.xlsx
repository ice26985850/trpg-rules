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win Flint (Empirical Noble)" sheetId="1" state="visible" r:id="rId1"/>
    <sheet name="Lina Windwhisper (Int. Orphan)" sheetId="2" state="visible" r:id="rId2"/>
    <sheet name="Sebastian Tome (Biblio. Clan)" sheetId="3" state="visible" r:id="rId3"/>
    <sheet name="Ashes (Taboo Orphan)" sheetId="4" state="visible" r:id="rId4"/>
    <sheet name="Isabel Starbridge (Collab Clan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color rgb="00c8a84e"/>
      <sz val="16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666666"/>
      <sz val="8"/>
    </font>
    <font>
      <name val="等线"/>
      <b val="1"/>
      <color rgb="00336633"/>
      <sz val="11"/>
    </font>
    <font>
      <name val="等线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  <fill>
      <patternFill patternType="solid">
        <fgColor rgb="00f0ebe0"/>
        <bgColor rgb="00f0ebe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Arcane Origins TRPG — Edwin Flint's Character Sheet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Mage Name</t>
        </is>
      </c>
      <c r="B4" s="12" t="n"/>
      <c r="C4" s="4" t="inlineStr">
        <is>
          <t>Edwin Flint</t>
        </is>
      </c>
      <c r="D4" s="12" t="n"/>
      <c r="E4" s="3" t="inlineStr">
        <is>
          <t>Tower Name</t>
        </is>
      </c>
      <c r="F4" s="12" t="n"/>
      <c r="G4" s="4" t="inlineStr">
        <is>
          <t>Tower of Precision</t>
        </is>
      </c>
      <c r="H4" s="12" t="n"/>
    </row>
    <row r="5">
      <c r="A5" s="3" t="inlineStr">
        <is>
          <t>Background</t>
        </is>
      </c>
      <c r="B5" s="12" t="n"/>
      <c r="C5" s="4" t="inlineStr">
        <is>
          <t>Noble Scion</t>
        </is>
      </c>
      <c r="D5" s="12" t="n"/>
      <c r="E5" s="3" t="inlineStr">
        <is>
          <t>Research Style</t>
        </is>
      </c>
      <c r="F5" s="12" t="n"/>
      <c r="G5" s="4" t="inlineStr">
        <is>
          <t>Empirical School</t>
        </is>
      </c>
      <c r="H5" s="12" t="n"/>
    </row>
    <row r="6">
      <c r="A6" s="3" t="inlineStr">
        <is>
          <t>Tower Location</t>
        </is>
      </c>
      <c r="B6" s="12" t="n"/>
      <c r="C6" s="4" t="inlineStr">
        <is>
          <t>Suburbs</t>
        </is>
      </c>
      <c r="D6" s="12" t="n"/>
      <c r="E6" s="3" t="inlineStr">
        <is>
          <t>Tower 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Five Attributes (25 points to allocate)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Attribute Name →</t>
        </is>
      </c>
      <c r="B9" s="6" t="inlineStr">
        <is>
          <t>Perception</t>
        </is>
      </c>
      <c r="C9" s="6" t="inlineStr">
        <is>
          <t>Theory</t>
        </is>
      </c>
      <c r="D9" s="6" t="inlineStr">
        <is>
          <t>Craft</t>
        </is>
      </c>
      <c r="E9" s="6" t="inlineStr">
        <is>
          <t>Will</t>
        </is>
      </c>
      <c r="F9" s="6" t="inlineStr">
        <is>
          <t>Erudition</t>
        </is>
      </c>
      <c r="G9" s="3" t="inlineStr">
        <is>
          <t>Proficiency Bonus</t>
        </is>
      </c>
      <c r="H9" s="3" t="inlineStr">
        <is>
          <t>Skill Proficiency</t>
        </is>
      </c>
    </row>
    <row r="10">
      <c r="A10" s="3" t="inlineStr">
        <is>
          <t>Attribute Value →</t>
        </is>
      </c>
      <c r="B10" s="4" t="n">
        <v>4</v>
      </c>
      <c r="C10" s="4" t="n">
        <v>4</v>
      </c>
      <c r="D10" s="4" t="n">
        <v>7</v>
      </c>
      <c r="E10" s="4" t="n">
        <v>5</v>
      </c>
      <c r="F10" s="4" t="n">
        <v>5</v>
      </c>
      <c r="G10" s="4" t="inlineStr">
        <is>
          <t>+1</t>
        </is>
      </c>
      <c r="H10" s="4" t="inlineStr"/>
    </row>
    <row r="11"/>
    <row r="12">
      <c r="A12" s="2" t="inlineStr">
        <is>
          <t>Derived Stats (Auto-calculated)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Spirit Pool (SP)</t>
        </is>
      </c>
      <c r="B13" s="7" t="n">
        <v>19</v>
      </c>
      <c r="C13" s="8" t="inlineStr">
        <is>
          <t>Will×3 + Theory</t>
        </is>
      </c>
      <c r="D13" s="11" t="n"/>
      <c r="E13" s="12" t="n"/>
    </row>
    <row r="14">
      <c r="A14" s="3" t="inlineStr">
        <is>
          <t>Safety Threshold (ST)</t>
        </is>
      </c>
      <c r="B14" s="7" t="n">
        <v>10</v>
      </c>
      <c r="C14" s="8" t="inlineStr">
        <is>
          <t>Craft+Will/2+Laboratory Lv1</t>
        </is>
      </c>
      <c r="D14" s="11" t="n"/>
      <c r="E14" s="12" t="n"/>
    </row>
    <row r="15">
      <c r="A15" s="3" t="inlineStr">
        <is>
          <t>Research AP (RAP)</t>
        </is>
      </c>
      <c r="B15" s="7" t="n">
        <v>3</v>
      </c>
      <c r="C15" s="8" t="inlineStr">
        <is>
          <t>3+(+1 if Theory≥5), max 5</t>
        </is>
      </c>
      <c r="D15" s="11" t="n"/>
      <c r="E15" s="12" t="n"/>
    </row>
    <row r="16">
      <c r="A16" s="3" t="inlineStr">
        <is>
          <t>Shard Capacity (SC)</t>
        </is>
      </c>
      <c r="B16" s="7" t="n">
        <v>10</v>
      </c>
      <c r="C16" s="8" t="inlineStr">
        <is>
          <t>Theory+Erudition+Library Lv1</t>
        </is>
      </c>
      <c r="D16" s="11" t="n"/>
      <c r="E16" s="12" t="n"/>
    </row>
    <row r="17">
      <c r="A17" s="3" t="inlineStr">
        <is>
          <t>HP</t>
        </is>
      </c>
      <c r="B17" s="7" t="n">
        <v>20</v>
      </c>
      <c r="C17" s="8" t="inlineStr">
        <is>
          <t>15 + Will</t>
        </is>
      </c>
      <c r="D17" s="11" t="n"/>
      <c r="E17" s="12" t="n"/>
    </row>
    <row r="18">
      <c r="A18" s="3" t="inlineStr">
        <is>
          <t>Spellbook Capacity (SBC)</t>
        </is>
      </c>
      <c r="B18" s="7" t="n">
        <v>9</v>
      </c>
      <c r="C18" s="8" t="inlineStr">
        <is>
          <t>Theory+Erudition (Max Spells Memorized)</t>
        </is>
      </c>
      <c r="D18" s="11" t="n"/>
      <c r="E18" s="12" t="n"/>
    </row>
    <row r="19">
      <c r="A19" s="3" t="inlineStr">
        <is>
          <t>Corruption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Starting Proficiency Points</t>
        </is>
      </c>
      <c r="B20" s="7" t="n">
        <v>2</v>
      </c>
      <c r="C20" s="8" t="inlineStr">
        <is>
          <t>(May be spent on any skill; see Player Rules 1.6)</t>
        </is>
      </c>
      <c r="D20" s="11" t="n"/>
      <c r="E20" s="12" t="n"/>
    </row>
    <row r="21"/>
    <row r="22">
      <c r="A22" s="2" t="inlineStr">
        <is>
          <t>Reputation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Academic Reputation</t>
        </is>
      </c>
      <c r="B23" s="4" t="n">
        <v>0</v>
      </c>
      <c r="C23" s="9" t="inlineStr">
        <is>
          <t>Nameless Scholar</t>
        </is>
      </c>
      <c r="D23" s="11" t="n"/>
      <c r="E23" s="12" t="n"/>
      <c r="F23" s="3" t="inlineStr">
        <is>
          <t>Practical Reputation</t>
        </is>
      </c>
      <c r="G23" s="4" t="n">
        <v>10</v>
      </c>
      <c r="H23" s="10" t="inlineStr">
        <is>
          <t>Local Advisor</t>
        </is>
      </c>
    </row>
    <row r="24"/>
    <row r="25">
      <c r="A25" s="2" t="inlineStr">
        <is>
          <t>Research Style Trait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Advantage</t>
        </is>
      </c>
      <c r="B26" s="9" t="inlineStr">
        <is>
          <t>Advantage on experimental Craft checks + take lower on Accident Table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Cost</t>
        </is>
      </c>
      <c r="B27" s="9" t="inlineStr">
        <is>
          <t>Material cost ×1.5 + experiment +1 AP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Starting Shards: Fire (E01), Earth (E04) ×2 + Projection (F01)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Starting Spells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Spell Name</t>
        </is>
      </c>
      <c r="B36" s="4" t="inlineStr">
        <is>
          <t>Lava Bolt</t>
        </is>
      </c>
      <c r="C36" s="11" t="n"/>
      <c r="D36" s="12" t="n"/>
      <c r="E36" s="3" t="inlineStr">
        <is>
          <t>Quality</t>
        </is>
      </c>
      <c r="F36" s="4" t="inlineStr">
        <is>
          <t>★</t>
        </is>
      </c>
      <c r="G36" s="3" t="inlineStr">
        <is>
          <t>Spirit Cost</t>
        </is>
      </c>
      <c r="H36" s="7" t="n">
        <v>1</v>
      </c>
    </row>
    <row r="37">
      <c r="A37" s="3" t="inlineStr">
        <is>
          <t>Shard Formula</t>
        </is>
      </c>
      <c r="B37" s="9" t="inlineStr">
        <is>
          <t>Fire (E01) + Earth (E04) + Projection (F01)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Effect</t>
        </is>
      </c>
      <c r="B38" s="9" t="inlineStr">
        <is>
          <t>Range 60 ft, spell attack; on hit 2d6 fire + bludgeoning; target area 5 ft becomes burning ground for 1d4 rounds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Tower Facilities (Starting Lv1)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Laboratory</t>
        </is>
      </c>
      <c r="B41" s="4" t="n">
        <v>1</v>
      </c>
      <c r="C41" s="10" t="inlineStr">
        <is>
          <t>Lv1 Base Effect</t>
        </is>
      </c>
      <c r="D41" s="11" t="n"/>
      <c r="E41" s="12" t="n"/>
    </row>
    <row r="42">
      <c r="A42" s="3" t="inlineStr">
        <is>
          <t>Library</t>
        </is>
      </c>
      <c r="B42" s="4" t="n">
        <v>1</v>
      </c>
      <c r="C42" s="10" t="inlineStr">
        <is>
          <t>Lv1 Base Effect</t>
        </is>
      </c>
      <c r="D42" s="11" t="n"/>
      <c r="E42" s="12" t="n"/>
    </row>
    <row r="43">
      <c r="A43" s="3" t="inlineStr">
        <is>
          <t>Observatory</t>
        </is>
      </c>
      <c r="B43" s="4" t="n">
        <v>1</v>
      </c>
      <c r="C43" s="10" t="inlineStr">
        <is>
          <t>Lv1 Base Effect</t>
        </is>
      </c>
      <c r="D43" s="11" t="n"/>
      <c r="E43" s="12" t="n"/>
    </row>
    <row r="44">
      <c r="A44" s="3" t="inlineStr">
        <is>
          <t>Containment Chamber</t>
        </is>
      </c>
      <c r="B44" s="4" t="n">
        <v>1</v>
      </c>
      <c r="C44" s="10" t="inlineStr">
        <is>
          <t>Lv1 Base Effect</t>
        </is>
      </c>
      <c r="D44" s="11" t="n"/>
      <c r="E44" s="12" t="n"/>
    </row>
    <row r="45">
      <c r="A45" s="3" t="inlineStr">
        <is>
          <t>Defense System</t>
        </is>
      </c>
      <c r="B45" s="4" t="n">
        <v>1</v>
      </c>
      <c r="C45" s="10" t="inlineStr">
        <is>
          <t>Lv1 Base Effect</t>
        </is>
      </c>
      <c r="D45" s="11" t="n"/>
      <c r="E45" s="12" t="n"/>
    </row>
    <row r="46">
      <c r="A46" s="3" t="inlineStr">
        <is>
          <t>Elemental Chamber</t>
        </is>
      </c>
      <c r="B46" s="10" t="inlineStr">
        <is>
          <t>Not Built</t>
        </is>
      </c>
    </row>
    <row r="47">
      <c r="A47" s="3" t="inlineStr">
        <is>
          <t>Apprentice Quarters</t>
        </is>
      </c>
      <c r="B47" s="10" t="inlineStr">
        <is>
          <t>Not Built</t>
        </is>
      </c>
    </row>
    <row r="48">
      <c r="A48" s="3" t="inlineStr">
        <is>
          <t>Scrying Pool</t>
        </is>
      </c>
      <c r="B48" s="10" t="inlineStr">
        <is>
          <t>Not Built</t>
        </is>
      </c>
    </row>
    <row r="49">
      <c r="A49" s="3" t="inlineStr">
        <is>
          <t>Tower 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Starting Economy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Starting Gold</t>
        </is>
      </c>
      <c r="B52" s="4" t="n">
        <v>300</v>
      </c>
      <c r="C52" s="3" t="inlineStr">
        <is>
          <t>Monthly Income (Est.)</t>
        </is>
      </c>
      <c r="D52" s="4" t="n">
        <v>50</v>
      </c>
      <c r="E52" s="3" t="inlineStr">
        <is>
          <t>Monthly Expenses (Est.)</t>
        </is>
      </c>
      <c r="F52" s="4" t="n">
        <v>30</v>
      </c>
      <c r="G52" s="3" t="inlineStr">
        <is>
          <t>Net Income</t>
        </is>
      </c>
      <c r="H52" s="7">
        <f>D40-F40</f>
        <v/>
      </c>
    </row>
    <row r="53"/>
    <row r="54">
      <c r="A54" s="2" t="inlineStr">
        <is>
          <t>Research Goal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Ultimate Spell Concept</t>
        </is>
      </c>
      <c r="B55" s="9" t="inlineStr">
        <is>
          <t>To create a spell that turns the ground beneath an entire army into lava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Rival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Name</t>
        </is>
      </c>
      <c r="B58" s="4" t="inlineStr">
        <is>
          <t>Marcus Flintlock</t>
        </is>
      </c>
      <c r="C58" s="3" t="inlineStr">
        <is>
          <t>Relationship</t>
        </is>
      </c>
      <c r="D58" s="9" t="inlineStr">
        <is>
          <t>Academic plagiarism — he published your fire-purification method first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Arcane Origins TRPG — Lina Windwhisper's Character Sheet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Mage Name</t>
        </is>
      </c>
      <c r="B4" s="12" t="n"/>
      <c r="C4" s="4" t="inlineStr">
        <is>
          <t>Lina Windwhisper</t>
        </is>
      </c>
      <c r="D4" s="12" t="n"/>
      <c r="E4" s="3" t="inlineStr">
        <is>
          <t>Tower Name</t>
        </is>
      </c>
      <c r="F4" s="12" t="n"/>
      <c r="G4" s="4" t="inlineStr">
        <is>
          <t>Inspiration Spire</t>
        </is>
      </c>
      <c r="H4" s="12" t="n"/>
    </row>
    <row r="5">
      <c r="A5" s="3" t="inlineStr">
        <is>
          <t>Background</t>
        </is>
      </c>
      <c r="B5" s="12" t="n"/>
      <c r="C5" s="4" t="inlineStr">
        <is>
          <t>Street Orphan</t>
        </is>
      </c>
      <c r="D5" s="12" t="n"/>
      <c r="E5" s="3" t="inlineStr">
        <is>
          <t>Research Style</t>
        </is>
      </c>
      <c r="F5" s="12" t="n"/>
      <c r="G5" s="4" t="inlineStr">
        <is>
          <t>Intuitive School</t>
        </is>
      </c>
      <c r="H5" s="12" t="n"/>
    </row>
    <row r="6">
      <c r="A6" s="3" t="inlineStr">
        <is>
          <t>Tower Location</t>
        </is>
      </c>
      <c r="B6" s="12" t="n"/>
      <c r="C6" s="4" t="inlineStr">
        <is>
          <t>Wilderness</t>
        </is>
      </c>
      <c r="D6" s="12" t="n"/>
      <c r="E6" s="3" t="inlineStr">
        <is>
          <t>Tower 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Five Attributes (25 points to allocate)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Attribute Name →</t>
        </is>
      </c>
      <c r="B9" s="6" t="inlineStr">
        <is>
          <t>Perception</t>
        </is>
      </c>
      <c r="C9" s="6" t="inlineStr">
        <is>
          <t>Theory</t>
        </is>
      </c>
      <c r="D9" s="6" t="inlineStr">
        <is>
          <t>Craft</t>
        </is>
      </c>
      <c r="E9" s="6" t="inlineStr">
        <is>
          <t>Will</t>
        </is>
      </c>
      <c r="F9" s="6" t="inlineStr">
        <is>
          <t>Erudition</t>
        </is>
      </c>
      <c r="G9" s="3" t="inlineStr">
        <is>
          <t>Proficiency Bonus</t>
        </is>
      </c>
      <c r="H9" s="3" t="inlineStr">
        <is>
          <t>Skill Proficiency</t>
        </is>
      </c>
    </row>
    <row r="10">
      <c r="A10" s="3" t="inlineStr">
        <is>
          <t>Attribute Value →</t>
        </is>
      </c>
      <c r="B10" s="4" t="n">
        <v>7</v>
      </c>
      <c r="C10" s="4" t="n">
        <v>5</v>
      </c>
      <c r="D10" s="4" t="n">
        <v>4</v>
      </c>
      <c r="E10" s="4" t="n">
        <v>6</v>
      </c>
      <c r="F10" s="4" t="n">
        <v>3</v>
      </c>
      <c r="G10" s="4" t="inlineStr">
        <is>
          <t>+1</t>
        </is>
      </c>
      <c r="H10" s="4" t="inlineStr"/>
    </row>
    <row r="11"/>
    <row r="12">
      <c r="A12" s="2" t="inlineStr">
        <is>
          <t>Derived Stats (Auto-calculated)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Spirit Pool (SP)</t>
        </is>
      </c>
      <c r="B13" s="7" t="n">
        <v>23</v>
      </c>
      <c r="C13" s="8" t="inlineStr">
        <is>
          <t>Will×3 + Theory</t>
        </is>
      </c>
      <c r="D13" s="11" t="n"/>
      <c r="E13" s="12" t="n"/>
    </row>
    <row r="14">
      <c r="A14" s="3" t="inlineStr">
        <is>
          <t>Safety Threshold (ST)</t>
        </is>
      </c>
      <c r="B14" s="7" t="n">
        <v>8</v>
      </c>
      <c r="C14" s="8" t="inlineStr">
        <is>
          <t>Craft+Will/2+Laboratory Lv1</t>
        </is>
      </c>
      <c r="D14" s="11" t="n"/>
      <c r="E14" s="12" t="n"/>
    </row>
    <row r="15">
      <c r="A15" s="3" t="inlineStr">
        <is>
          <t>Research AP (RAP)</t>
        </is>
      </c>
      <c r="B15" s="7" t="n">
        <v>4</v>
      </c>
      <c r="C15" s="8" t="inlineStr">
        <is>
          <t>3+(+1 if Theory≥5), max 5</t>
        </is>
      </c>
      <c r="D15" s="11" t="n"/>
      <c r="E15" s="12" t="n"/>
    </row>
    <row r="16">
      <c r="A16" s="3" t="inlineStr">
        <is>
          <t>Shard Capacity (SC)</t>
        </is>
      </c>
      <c r="B16" s="7" t="n">
        <v>9</v>
      </c>
      <c r="C16" s="8" t="inlineStr">
        <is>
          <t>Theory+Erudition+Library Lv1</t>
        </is>
      </c>
      <c r="D16" s="11" t="n"/>
      <c r="E16" s="12" t="n"/>
    </row>
    <row r="17">
      <c r="A17" s="3" t="inlineStr">
        <is>
          <t>HP</t>
        </is>
      </c>
      <c r="B17" s="7" t="n">
        <v>21</v>
      </c>
      <c r="C17" s="8" t="inlineStr">
        <is>
          <t>15 + Will</t>
        </is>
      </c>
      <c r="D17" s="11" t="n"/>
      <c r="E17" s="12" t="n"/>
    </row>
    <row r="18">
      <c r="A18" s="3" t="inlineStr">
        <is>
          <t>Spellbook Capacity (SBC)</t>
        </is>
      </c>
      <c r="B18" s="7" t="n">
        <v>8</v>
      </c>
      <c r="C18" s="8" t="inlineStr">
        <is>
          <t>Theory+Erudition (Max Spells Memorized)</t>
        </is>
      </c>
      <c r="D18" s="11" t="n"/>
      <c r="E18" s="12" t="n"/>
    </row>
    <row r="19">
      <c r="A19" s="3" t="inlineStr">
        <is>
          <t>Corruption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Starting Proficiency Points</t>
        </is>
      </c>
      <c r="B20" s="7" t="n">
        <v>2</v>
      </c>
      <c r="C20" s="8" t="inlineStr">
        <is>
          <t>(May be spent on any skill; see Player Rules 1.6)</t>
        </is>
      </c>
      <c r="D20" s="11" t="n"/>
      <c r="E20" s="12" t="n"/>
    </row>
    <row r="21"/>
    <row r="22">
      <c r="A22" s="2" t="inlineStr">
        <is>
          <t>Reputation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Academic Reputation</t>
        </is>
      </c>
      <c r="B23" s="4" t="n">
        <v>-5</v>
      </c>
      <c r="C23" s="9" t="inlineStr">
        <is>
          <t>Nameless Scholar</t>
        </is>
      </c>
      <c r="D23" s="11" t="n"/>
      <c r="E23" s="12" t="n"/>
      <c r="F23" s="3" t="inlineStr">
        <is>
          <t>Practical Reputation</t>
        </is>
      </c>
      <c r="G23" s="4" t="n">
        <v>0</v>
      </c>
      <c r="H23" s="10" t="inlineStr">
        <is>
          <t>Of No Concern</t>
        </is>
      </c>
    </row>
    <row r="24"/>
    <row r="25">
      <c r="A25" s="2" t="inlineStr">
        <is>
          <t>Research Style Trait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Advantage</t>
        </is>
      </c>
      <c r="B26" s="9" t="inlineStr">
        <is>
          <t>Hypothesis costs zero + experiment DC –2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Cost</t>
        </is>
      </c>
      <c r="B27" s="9" t="inlineStr">
        <is>
          <t>Accident Table d12+8 + notes not reproducible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Starting Shards: Storm (E03) ×2, Water (E02) + Touch (F02)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Starting Spells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Spell Name</t>
        </is>
      </c>
      <c r="B36" s="4" t="inlineStr">
        <is>
          <t>Wind Blade Touch</t>
        </is>
      </c>
      <c r="C36" s="11" t="n"/>
      <c r="D36" s="12" t="n"/>
      <c r="E36" s="3" t="inlineStr">
        <is>
          <t>Quality</t>
        </is>
      </c>
      <c r="F36" s="4" t="inlineStr">
        <is>
          <t>★</t>
        </is>
      </c>
      <c r="G36" s="3" t="inlineStr">
        <is>
          <t>Spirit Cost</t>
        </is>
      </c>
      <c r="H36" s="7" t="n">
        <v>1</v>
      </c>
    </row>
    <row r="37">
      <c r="A37" s="3" t="inlineStr">
        <is>
          <t>Shard Formula</t>
        </is>
      </c>
      <c r="B37" s="9" t="inlineStr">
        <is>
          <t>Storm (E03) + Touch (F02)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Effect</t>
        </is>
      </c>
      <c r="B38" s="9" t="inlineStr">
        <is>
          <t>Reach, spell attack (advantage); on hit 1d6 slashing + push 10 ft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Tower Facilities (Starting Lv1)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Laboratory</t>
        </is>
      </c>
      <c r="B41" s="4" t="n">
        <v>1</v>
      </c>
      <c r="C41" s="10" t="inlineStr">
        <is>
          <t>Lv1 Base Effect</t>
        </is>
      </c>
      <c r="D41" s="11" t="n"/>
      <c r="E41" s="12" t="n"/>
    </row>
    <row r="42">
      <c r="A42" s="3" t="inlineStr">
        <is>
          <t>Library</t>
        </is>
      </c>
      <c r="B42" s="4" t="n">
        <v>1</v>
      </c>
      <c r="C42" s="10" t="inlineStr">
        <is>
          <t>Lv1 Base Effect</t>
        </is>
      </c>
      <c r="D42" s="11" t="n"/>
      <c r="E42" s="12" t="n"/>
    </row>
    <row r="43">
      <c r="A43" s="3" t="inlineStr">
        <is>
          <t>Observatory</t>
        </is>
      </c>
      <c r="B43" s="4" t="n">
        <v>1</v>
      </c>
      <c r="C43" s="10" t="inlineStr">
        <is>
          <t>Lv1 Base Effect</t>
        </is>
      </c>
      <c r="D43" s="11" t="n"/>
      <c r="E43" s="12" t="n"/>
    </row>
    <row r="44">
      <c r="A44" s="3" t="inlineStr">
        <is>
          <t>Containment Chamber</t>
        </is>
      </c>
      <c r="B44" s="4" t="n">
        <v>1</v>
      </c>
      <c r="C44" s="10" t="inlineStr">
        <is>
          <t>Lv1 Base Effect</t>
        </is>
      </c>
      <c r="D44" s="11" t="n"/>
      <c r="E44" s="12" t="n"/>
    </row>
    <row r="45">
      <c r="A45" s="3" t="inlineStr">
        <is>
          <t>Defense System</t>
        </is>
      </c>
      <c r="B45" s="4" t="n">
        <v>1</v>
      </c>
      <c r="C45" s="10" t="inlineStr">
        <is>
          <t>Lv1 Base Effect</t>
        </is>
      </c>
      <c r="D45" s="11" t="n"/>
      <c r="E45" s="12" t="n"/>
    </row>
    <row r="46">
      <c r="A46" s="3" t="inlineStr">
        <is>
          <t>Elemental Chamber</t>
        </is>
      </c>
      <c r="B46" s="10" t="inlineStr">
        <is>
          <t>Not Built</t>
        </is>
      </c>
    </row>
    <row r="47">
      <c r="A47" s="3" t="inlineStr">
        <is>
          <t>Apprentice Quarters</t>
        </is>
      </c>
      <c r="B47" s="10" t="inlineStr">
        <is>
          <t>Not Built</t>
        </is>
      </c>
    </row>
    <row r="48">
      <c r="A48" s="3" t="inlineStr">
        <is>
          <t>Scrying Pool</t>
        </is>
      </c>
      <c r="B48" s="10" t="inlineStr">
        <is>
          <t>Not Built</t>
        </is>
      </c>
    </row>
    <row r="49">
      <c r="A49" s="3" t="inlineStr">
        <is>
          <t>Tower 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Starting Economy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Starting Gold</t>
        </is>
      </c>
      <c r="B52" s="4" t="n">
        <v>150</v>
      </c>
      <c r="C52" s="3" t="inlineStr">
        <is>
          <t>Monthly Income (Est.)</t>
        </is>
      </c>
      <c r="D52" s="4" t="n">
        <v>50</v>
      </c>
      <c r="E52" s="3" t="inlineStr">
        <is>
          <t>Monthly Expenses (Est.)</t>
        </is>
      </c>
      <c r="F52" s="4" t="n">
        <v>30</v>
      </c>
      <c r="G52" s="3" t="inlineStr">
        <is>
          <t>Net Income</t>
        </is>
      </c>
      <c r="H52" s="7">
        <f>D40-F40</f>
        <v/>
      </c>
    </row>
    <row r="53"/>
    <row r="54">
      <c r="A54" s="2" t="inlineStr">
        <is>
          <t>Research Goal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Ultimate Spell Concept</t>
        </is>
      </c>
      <c r="B55" s="9" t="inlineStr">
        <is>
          <t>To create a spell that can speak with storms — to understand the essence of weather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Rival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Name</t>
        </is>
      </c>
      <c r="B58" s="4" t="inlineStr">
        <is>
          <t>Victor Paige</t>
        </is>
      </c>
      <c r="C58" s="3" t="inlineStr">
        <is>
          <t>Relationship</t>
        </is>
      </c>
      <c r="D58" s="9" t="inlineStr">
        <is>
          <t>Competing for resources — you are both tracking the same elemental storm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Arcane Origins TRPG — Sebastian Tome's Character Sheet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Mage Name</t>
        </is>
      </c>
      <c r="B4" s="12" t="n"/>
      <c r="C4" s="4" t="inlineStr">
        <is>
          <t>Sebastian Tome</t>
        </is>
      </c>
      <c r="D4" s="12" t="n"/>
      <c r="E4" s="3" t="inlineStr">
        <is>
          <t>Tower Name</t>
        </is>
      </c>
      <c r="F4" s="12" t="n"/>
      <c r="G4" s="4" t="inlineStr">
        <is>
          <t>Hall of Ten Thousand Tomes</t>
        </is>
      </c>
      <c r="H4" s="12" t="n"/>
    </row>
    <row r="5">
      <c r="A5" s="3" t="inlineStr">
        <is>
          <t>Background</t>
        </is>
      </c>
      <c r="B5" s="12" t="n"/>
      <c r="C5" s="4" t="inlineStr">
        <is>
          <t>Arcane Family</t>
        </is>
      </c>
      <c r="D5" s="12" t="n"/>
      <c r="E5" s="3" t="inlineStr">
        <is>
          <t>Research Style</t>
        </is>
      </c>
      <c r="F5" s="12" t="n"/>
      <c r="G5" s="4" t="inlineStr">
        <is>
          <t>Bibliographic School</t>
        </is>
      </c>
      <c r="H5" s="12" t="n"/>
    </row>
    <row r="6">
      <c r="A6" s="3" t="inlineStr">
        <is>
          <t>Tower Location</t>
        </is>
      </c>
      <c r="B6" s="12" t="n"/>
      <c r="C6" s="4" t="inlineStr">
        <is>
          <t>City</t>
        </is>
      </c>
      <c r="D6" s="12" t="n"/>
      <c r="E6" s="3" t="inlineStr">
        <is>
          <t>Tower 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Five Attributes (25 points to allocate)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Attribute Name →</t>
        </is>
      </c>
      <c r="B9" s="6" t="inlineStr">
        <is>
          <t>Perception</t>
        </is>
      </c>
      <c r="C9" s="6" t="inlineStr">
        <is>
          <t>Theory</t>
        </is>
      </c>
      <c r="D9" s="6" t="inlineStr">
        <is>
          <t>Craft</t>
        </is>
      </c>
      <c r="E9" s="6" t="inlineStr">
        <is>
          <t>Will</t>
        </is>
      </c>
      <c r="F9" s="6" t="inlineStr">
        <is>
          <t>Erudition</t>
        </is>
      </c>
      <c r="G9" s="3" t="inlineStr">
        <is>
          <t>Proficiency Bonus</t>
        </is>
      </c>
      <c r="H9" s="3" t="inlineStr">
        <is>
          <t>Skill Proficiency</t>
        </is>
      </c>
    </row>
    <row r="10">
      <c r="A10" s="3" t="inlineStr">
        <is>
          <t>Attribute Value →</t>
        </is>
      </c>
      <c r="B10" s="4" t="n">
        <v>4</v>
      </c>
      <c r="C10" s="4" t="n">
        <v>6</v>
      </c>
      <c r="D10" s="4" t="n">
        <v>3</v>
      </c>
      <c r="E10" s="4" t="n">
        <v>5</v>
      </c>
      <c r="F10" s="4" t="n">
        <v>7</v>
      </c>
      <c r="G10" s="4" t="inlineStr">
        <is>
          <t>+1</t>
        </is>
      </c>
      <c r="H10" s="4" t="inlineStr"/>
    </row>
    <row r="11"/>
    <row r="12">
      <c r="A12" s="2" t="inlineStr">
        <is>
          <t>Derived Stats (Auto-calculated)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Spirit Pool (SP)</t>
        </is>
      </c>
      <c r="B13" s="7" t="n">
        <v>21</v>
      </c>
      <c r="C13" s="8" t="inlineStr">
        <is>
          <t>Will×3 + Theory</t>
        </is>
      </c>
      <c r="D13" s="11" t="n"/>
      <c r="E13" s="12" t="n"/>
    </row>
    <row r="14">
      <c r="A14" s="3" t="inlineStr">
        <is>
          <t>Safety Threshold (ST)</t>
        </is>
      </c>
      <c r="B14" s="7" t="n">
        <v>6</v>
      </c>
      <c r="C14" s="8" t="inlineStr">
        <is>
          <t>Craft+Will/2+Laboratory Lv1</t>
        </is>
      </c>
      <c r="D14" s="11" t="n"/>
      <c r="E14" s="12" t="n"/>
    </row>
    <row r="15">
      <c r="A15" s="3" t="inlineStr">
        <is>
          <t>Research AP (RAP)</t>
        </is>
      </c>
      <c r="B15" s="7" t="n">
        <v>4</v>
      </c>
      <c r="C15" s="8" t="inlineStr">
        <is>
          <t>3+(+1 if Theory≥5), max 5</t>
        </is>
      </c>
      <c r="D15" s="11" t="n"/>
      <c r="E15" s="12" t="n"/>
    </row>
    <row r="16">
      <c r="A16" s="3" t="inlineStr">
        <is>
          <t>Shard Capacity (SC)</t>
        </is>
      </c>
      <c r="B16" s="7" t="n">
        <v>14</v>
      </c>
      <c r="C16" s="8" t="inlineStr">
        <is>
          <t>Theory+Erudition+Library Lv1</t>
        </is>
      </c>
      <c r="D16" s="11" t="n"/>
      <c r="E16" s="12" t="n"/>
    </row>
    <row r="17">
      <c r="A17" s="3" t="inlineStr">
        <is>
          <t>HP</t>
        </is>
      </c>
      <c r="B17" s="7" t="n">
        <v>20</v>
      </c>
      <c r="C17" s="8" t="inlineStr">
        <is>
          <t>15 + Will</t>
        </is>
      </c>
      <c r="D17" s="11" t="n"/>
      <c r="E17" s="12" t="n"/>
    </row>
    <row r="18">
      <c r="A18" s="3" t="inlineStr">
        <is>
          <t>Spellbook Capacity (SBC)</t>
        </is>
      </c>
      <c r="B18" s="7" t="n">
        <v>13</v>
      </c>
      <c r="C18" s="8" t="inlineStr">
        <is>
          <t>Theory+Erudition (Max Spells Memorized)</t>
        </is>
      </c>
      <c r="D18" s="11" t="n"/>
      <c r="E18" s="12" t="n"/>
    </row>
    <row r="19">
      <c r="A19" s="3" t="inlineStr">
        <is>
          <t>Corruption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Starting Proficiency Points</t>
        </is>
      </c>
      <c r="B20" s="7" t="n">
        <v>2</v>
      </c>
      <c r="C20" s="8" t="inlineStr">
        <is>
          <t>(May be spent on any skill; see Player Rules 1.6)</t>
        </is>
      </c>
      <c r="D20" s="11" t="n"/>
      <c r="E20" s="12" t="n"/>
    </row>
    <row r="21"/>
    <row r="22">
      <c r="A22" s="2" t="inlineStr">
        <is>
          <t>Reputation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Academic Reputation</t>
        </is>
      </c>
      <c r="B23" s="4" t="n">
        <v>10</v>
      </c>
      <c r="C23" s="9" t="inlineStr">
        <is>
          <t>The Cited</t>
        </is>
      </c>
      <c r="D23" s="11" t="n"/>
      <c r="E23" s="12" t="n"/>
      <c r="F23" s="3" t="inlineStr">
        <is>
          <t>Practical Reputation</t>
        </is>
      </c>
      <c r="G23" s="4" t="n">
        <v>0</v>
      </c>
      <c r="H23" s="10" t="inlineStr">
        <is>
          <t>Of No Concern</t>
        </is>
      </c>
    </row>
    <row r="24"/>
    <row r="25">
      <c r="A25" s="2" t="inlineStr">
        <is>
          <t>Research Style Trait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Advantage</t>
        </is>
      </c>
      <c r="B26" s="9" t="inlineStr">
        <is>
          <t>Library starts at Rare + Theory advantage + zero accidents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Cost</t>
        </is>
      </c>
      <c r="B27" s="9" t="inlineStr">
        <is>
          <t>30% hidden errors + experimental Craft disadvantage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Starting Shards: Water (E02), Earth (E04) ×2 + Area (F03) / Family Shards ×2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Starting Spells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Spell Name</t>
        </is>
      </c>
      <c r="B36" s="4" t="inlineStr">
        <is>
          <t>Mire</t>
        </is>
      </c>
      <c r="C36" s="11" t="n"/>
      <c r="D36" s="12" t="n"/>
      <c r="E36" s="3" t="inlineStr">
        <is>
          <t>Quality</t>
        </is>
      </c>
      <c r="F36" s="4" t="inlineStr">
        <is>
          <t>★</t>
        </is>
      </c>
      <c r="G36" s="3" t="inlineStr">
        <is>
          <t>Spirit Cost</t>
        </is>
      </c>
      <c r="H36" s="7" t="n">
        <v>1</v>
      </c>
    </row>
    <row r="37">
      <c r="A37" s="3" t="inlineStr">
        <is>
          <t>Shard Formula</t>
        </is>
      </c>
      <c r="B37" s="9" t="inlineStr">
        <is>
          <t>Water (E02) + Earth (E04) + Area (F03)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Effect</t>
        </is>
      </c>
      <c r="B38" s="9" t="inlineStr">
        <is>
          <t>Range 60 ft, 15 ft radius, Dexterity save; on fail 1d6 bludgeoning + area becomes difficult terrain for 1 minute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Tower Facilities (Starting Lv1)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Laboratory</t>
        </is>
      </c>
      <c r="B41" s="4" t="n">
        <v>1</v>
      </c>
      <c r="C41" s="10" t="inlineStr">
        <is>
          <t>Lv1 Base Effect</t>
        </is>
      </c>
      <c r="D41" s="11" t="n"/>
      <c r="E41" s="12" t="n"/>
    </row>
    <row r="42">
      <c r="A42" s="3" t="inlineStr">
        <is>
          <t>Library</t>
        </is>
      </c>
      <c r="B42" s="4" t="n">
        <v>1</v>
      </c>
      <c r="C42" s="10" t="inlineStr">
        <is>
          <t>Lv1 Base Effect</t>
        </is>
      </c>
      <c r="D42" s="11" t="n"/>
      <c r="E42" s="12" t="n"/>
    </row>
    <row r="43">
      <c r="A43" s="3" t="inlineStr">
        <is>
          <t>Observatory</t>
        </is>
      </c>
      <c r="B43" s="4" t="n">
        <v>1</v>
      </c>
      <c r="C43" s="10" t="inlineStr">
        <is>
          <t>Lv1 Base Effect</t>
        </is>
      </c>
      <c r="D43" s="11" t="n"/>
      <c r="E43" s="12" t="n"/>
    </row>
    <row r="44">
      <c r="A44" s="3" t="inlineStr">
        <is>
          <t>Containment Chamber</t>
        </is>
      </c>
      <c r="B44" s="4" t="n">
        <v>1</v>
      </c>
      <c r="C44" s="10" t="inlineStr">
        <is>
          <t>Lv1 Base Effect</t>
        </is>
      </c>
      <c r="D44" s="11" t="n"/>
      <c r="E44" s="12" t="n"/>
    </row>
    <row r="45">
      <c r="A45" s="3" t="inlineStr">
        <is>
          <t>Defense System</t>
        </is>
      </c>
      <c r="B45" s="4" t="n">
        <v>1</v>
      </c>
      <c r="C45" s="10" t="inlineStr">
        <is>
          <t>Lv1 Base Effect</t>
        </is>
      </c>
      <c r="D45" s="11" t="n"/>
      <c r="E45" s="12" t="n"/>
    </row>
    <row r="46">
      <c r="A46" s="3" t="inlineStr">
        <is>
          <t>Elemental Chamber</t>
        </is>
      </c>
      <c r="B46" s="10" t="inlineStr">
        <is>
          <t>Not Built</t>
        </is>
      </c>
    </row>
    <row r="47">
      <c r="A47" s="3" t="inlineStr">
        <is>
          <t>Apprentice Quarters</t>
        </is>
      </c>
      <c r="B47" s="10" t="inlineStr">
        <is>
          <t>Not Built</t>
        </is>
      </c>
    </row>
    <row r="48">
      <c r="A48" s="3" t="inlineStr">
        <is>
          <t>Scrying Pool</t>
        </is>
      </c>
      <c r="B48" s="10" t="inlineStr">
        <is>
          <t>Not Built</t>
        </is>
      </c>
    </row>
    <row r="49">
      <c r="A49" s="3" t="inlineStr">
        <is>
          <t>Tower 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Starting Economy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Starting Gold</t>
        </is>
      </c>
      <c r="B52" s="4" t="n">
        <v>150</v>
      </c>
      <c r="C52" s="3" t="inlineStr">
        <is>
          <t>Monthly Income (Est.)</t>
        </is>
      </c>
      <c r="D52" s="4" t="n">
        <v>50</v>
      </c>
      <c r="E52" s="3" t="inlineStr">
        <is>
          <t>Monthly Expenses (Est.)</t>
        </is>
      </c>
      <c r="F52" s="4" t="n">
        <v>30</v>
      </c>
      <c r="G52" s="3" t="inlineStr">
        <is>
          <t>Net Income</t>
        </is>
      </c>
      <c r="H52" s="7">
        <f>D40-F40</f>
        <v/>
      </c>
    </row>
    <row r="53"/>
    <row r="54">
      <c r="A54" s="2" t="inlineStr">
        <is>
          <t>Research Goal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Ultimate Spell Concept</t>
        </is>
      </c>
      <c r="B55" s="9" t="inlineStr">
        <is>
          <t>To find the original manuscript of 'The First Codex' — said to contain shard theories the compiler never made public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Rival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Name</t>
        </is>
      </c>
      <c r="B58" s="4" t="inlineStr">
        <is>
          <t>Albert Aurelian (distant relative)</t>
        </is>
      </c>
      <c r="C58" s="3" t="inlineStr">
        <is>
          <t>Relationship</t>
        </is>
      </c>
      <c r="D58" s="9" t="inlineStr">
        <is>
          <t>Methodological conflict — he believes your Bibliographic approach is just an 'excuse to avoid experimentation'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Arcane Origins TRPG — 'Ashes' (True Name Forsaken) Character Sheet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Mage Name</t>
        </is>
      </c>
      <c r="B4" s="12" t="n"/>
      <c r="C4" s="4" t="inlineStr">
        <is>
          <t>'Ashes' (True Name Forsaken)</t>
        </is>
      </c>
      <c r="D4" s="12" t="n"/>
      <c r="E4" s="3" t="inlineStr">
        <is>
          <t>Tower Name</t>
        </is>
      </c>
      <c r="F4" s="12" t="n"/>
      <c r="G4" s="4" t="inlineStr">
        <is>
          <t>Shadow Spire</t>
        </is>
      </c>
      <c r="H4" s="12" t="n"/>
    </row>
    <row r="5">
      <c r="A5" s="3" t="inlineStr">
        <is>
          <t>Background</t>
        </is>
      </c>
      <c r="B5" s="12" t="n"/>
      <c r="C5" s="4" t="inlineStr">
        <is>
          <t>Street Orphan</t>
        </is>
      </c>
      <c r="D5" s="12" t="n"/>
      <c r="E5" s="3" t="inlineStr">
        <is>
          <t>Research Style</t>
        </is>
      </c>
      <c r="F5" s="12" t="n"/>
      <c r="G5" s="4" t="inlineStr">
        <is>
          <t>Taboo School</t>
        </is>
      </c>
      <c r="H5" s="12" t="n"/>
    </row>
    <row r="6">
      <c r="A6" s="3" t="inlineStr">
        <is>
          <t>Tower Location</t>
        </is>
      </c>
      <c r="B6" s="12" t="n"/>
      <c r="C6" s="4" t="inlineStr">
        <is>
          <t>Wilderness</t>
        </is>
      </c>
      <c r="D6" s="12" t="n"/>
      <c r="E6" s="3" t="inlineStr">
        <is>
          <t>Tower 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Five Attributes (25 points to allocate)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Attribute Name →</t>
        </is>
      </c>
      <c r="B9" s="6" t="inlineStr">
        <is>
          <t>Perception</t>
        </is>
      </c>
      <c r="C9" s="6" t="inlineStr">
        <is>
          <t>Theory</t>
        </is>
      </c>
      <c r="D9" s="6" t="inlineStr">
        <is>
          <t>Craft</t>
        </is>
      </c>
      <c r="E9" s="6" t="inlineStr">
        <is>
          <t>Will</t>
        </is>
      </c>
      <c r="F9" s="6" t="inlineStr">
        <is>
          <t>Erudition</t>
        </is>
      </c>
      <c r="G9" s="3" t="inlineStr">
        <is>
          <t>Proficiency Bonus</t>
        </is>
      </c>
      <c r="H9" s="3" t="inlineStr">
        <is>
          <t>Skill Proficiency</t>
        </is>
      </c>
    </row>
    <row r="10">
      <c r="A10" s="3" t="inlineStr">
        <is>
          <t>Attribute Value →</t>
        </is>
      </c>
      <c r="B10" s="4" t="n">
        <v>4</v>
      </c>
      <c r="C10" s="4" t="n">
        <v>5</v>
      </c>
      <c r="D10" s="4" t="n">
        <v>5</v>
      </c>
      <c r="E10" s="4" t="n">
        <v>7</v>
      </c>
      <c r="F10" s="4" t="n">
        <v>4</v>
      </c>
      <c r="G10" s="4" t="inlineStr">
        <is>
          <t>+1</t>
        </is>
      </c>
      <c r="H10" s="4" t="inlineStr"/>
    </row>
    <row r="11"/>
    <row r="12">
      <c r="A12" s="2" t="inlineStr">
        <is>
          <t>Derived Stats (Auto-calculated)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Spirit Pool (SP)</t>
        </is>
      </c>
      <c r="B13" s="7" t="n">
        <v>26</v>
      </c>
      <c r="C13" s="8" t="inlineStr">
        <is>
          <t>Will×3 + Theory</t>
        </is>
      </c>
      <c r="D13" s="11" t="n"/>
      <c r="E13" s="12" t="n"/>
    </row>
    <row r="14">
      <c r="A14" s="3" t="inlineStr">
        <is>
          <t>Safety Threshold (ST)</t>
        </is>
      </c>
      <c r="B14" s="7" t="n">
        <v>9</v>
      </c>
      <c r="C14" s="8" t="inlineStr">
        <is>
          <t>Craft+Will/2+Laboratory Lv1</t>
        </is>
      </c>
      <c r="D14" s="11" t="n"/>
      <c r="E14" s="12" t="n"/>
    </row>
    <row r="15">
      <c r="A15" s="3" t="inlineStr">
        <is>
          <t>Research AP (RAP)</t>
        </is>
      </c>
      <c r="B15" s="7" t="n">
        <v>4</v>
      </c>
      <c r="C15" s="8" t="inlineStr">
        <is>
          <t>3+(+1 if Theory≥5), max 5</t>
        </is>
      </c>
      <c r="D15" s="11" t="n"/>
      <c r="E15" s="12" t="n"/>
    </row>
    <row r="16">
      <c r="A16" s="3" t="inlineStr">
        <is>
          <t>Shard Capacity (SC)</t>
        </is>
      </c>
      <c r="B16" s="7" t="n">
        <v>10</v>
      </c>
      <c r="C16" s="8" t="inlineStr">
        <is>
          <t>Theory+Erudition+Library Lv1</t>
        </is>
      </c>
      <c r="D16" s="11" t="n"/>
      <c r="E16" s="12" t="n"/>
    </row>
    <row r="17">
      <c r="A17" s="3" t="inlineStr">
        <is>
          <t>HP</t>
        </is>
      </c>
      <c r="B17" s="7" t="n">
        <v>22</v>
      </c>
      <c r="C17" s="8" t="inlineStr">
        <is>
          <t>15 + Will</t>
        </is>
      </c>
      <c r="D17" s="11" t="n"/>
      <c r="E17" s="12" t="n"/>
    </row>
    <row r="18">
      <c r="A18" s="3" t="inlineStr">
        <is>
          <t>Spellbook Capacity (SBC)</t>
        </is>
      </c>
      <c r="B18" s="7" t="n">
        <v>9</v>
      </c>
      <c r="C18" s="8" t="inlineStr">
        <is>
          <t>Theory+Erudition (Max Spells Memorized)</t>
        </is>
      </c>
      <c r="D18" s="11" t="n"/>
      <c r="E18" s="12" t="n"/>
    </row>
    <row r="19">
      <c r="A19" s="3" t="inlineStr">
        <is>
          <t>Corruption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Starting Proficiency Points</t>
        </is>
      </c>
      <c r="B20" s="7" t="n">
        <v>2</v>
      </c>
      <c r="C20" s="8" t="inlineStr">
        <is>
          <t>(May be spent on any skill; see Player Rules 1.6)</t>
        </is>
      </c>
      <c r="D20" s="11" t="n"/>
      <c r="E20" s="12" t="n"/>
    </row>
    <row r="21"/>
    <row r="22">
      <c r="A22" s="2" t="inlineStr">
        <is>
          <t>Reputation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Academic Reputation</t>
        </is>
      </c>
      <c r="B23" s="4" t="n">
        <v>-5</v>
      </c>
      <c r="C23" s="9" t="inlineStr">
        <is>
          <t>Nameless Scholar</t>
        </is>
      </c>
      <c r="D23" s="11" t="n"/>
      <c r="E23" s="12" t="n"/>
      <c r="F23" s="3" t="inlineStr">
        <is>
          <t>Practical Reputation</t>
        </is>
      </c>
      <c r="G23" s="4" t="n">
        <v>0</v>
      </c>
      <c r="H23" s="10" t="inlineStr">
        <is>
          <t>Of No Concern</t>
        </is>
      </c>
    </row>
    <row r="24"/>
    <row r="25">
      <c r="A25" s="2" t="inlineStr">
        <is>
          <t>Research Style Trait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Advantage</t>
        </is>
      </c>
      <c r="B26" s="9" t="inlineStr">
        <is>
          <t>Experiment DC –4 + Legendary shards ×2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Cost</t>
        </is>
      </c>
      <c r="B27" s="9" t="inlineStr">
        <is>
          <t>Will DC 15 / experiment + Corruption + Reputation cap 30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Starting Shards: Fire (E01), Shadow + Touch (F02)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Starting Spells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Spell Name</t>
        </is>
      </c>
      <c r="B36" s="4" t="inlineStr">
        <is>
          <t>Darkfire Touch</t>
        </is>
      </c>
      <c r="C36" s="11" t="n"/>
      <c r="D36" s="12" t="n"/>
      <c r="E36" s="3" t="inlineStr">
        <is>
          <t>Quality</t>
        </is>
      </c>
      <c r="F36" s="4" t="inlineStr">
        <is>
          <t>★</t>
        </is>
      </c>
      <c r="G36" s="3" t="inlineStr">
        <is>
          <t>Spirit Cost</t>
        </is>
      </c>
      <c r="H36" s="7" t="n">
        <v>1</v>
      </c>
    </row>
    <row r="37">
      <c r="A37" s="3" t="inlineStr">
        <is>
          <t>Shard Formula</t>
        </is>
      </c>
      <c r="B37" s="9" t="inlineStr">
        <is>
          <t>Fire (E01) + Shadow (starting shard replacement) + Touch (F02)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Effect</t>
        </is>
      </c>
      <c r="B38" s="9" t="inlineStr">
        <is>
          <t>Reach, spell attack (advantage); on hit 1d6 fire + frighten (Perception save)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Tower Facilities (Starting Lv1)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Laboratory</t>
        </is>
      </c>
      <c r="B41" s="4" t="n">
        <v>1</v>
      </c>
      <c r="C41" s="10" t="inlineStr">
        <is>
          <t>Lv1 Base Effect</t>
        </is>
      </c>
      <c r="D41" s="11" t="n"/>
      <c r="E41" s="12" t="n"/>
    </row>
    <row r="42">
      <c r="A42" s="3" t="inlineStr">
        <is>
          <t>Library</t>
        </is>
      </c>
      <c r="B42" s="4" t="n">
        <v>1</v>
      </c>
      <c r="C42" s="10" t="inlineStr">
        <is>
          <t>Lv1 Base Effect</t>
        </is>
      </c>
      <c r="D42" s="11" t="n"/>
      <c r="E42" s="12" t="n"/>
    </row>
    <row r="43">
      <c r="A43" s="3" t="inlineStr">
        <is>
          <t>Observatory</t>
        </is>
      </c>
      <c r="B43" s="4" t="n">
        <v>1</v>
      </c>
      <c r="C43" s="10" t="inlineStr">
        <is>
          <t>Lv1 Base Effect</t>
        </is>
      </c>
      <c r="D43" s="11" t="n"/>
      <c r="E43" s="12" t="n"/>
    </row>
    <row r="44">
      <c r="A44" s="3" t="inlineStr">
        <is>
          <t>Containment Chamber</t>
        </is>
      </c>
      <c r="B44" s="4" t="n">
        <v>1</v>
      </c>
      <c r="C44" s="10" t="inlineStr">
        <is>
          <t>Lv1 Base Effect</t>
        </is>
      </c>
      <c r="D44" s="11" t="n"/>
      <c r="E44" s="12" t="n"/>
    </row>
    <row r="45">
      <c r="A45" s="3" t="inlineStr">
        <is>
          <t>Defense System</t>
        </is>
      </c>
      <c r="B45" s="4" t="n">
        <v>1</v>
      </c>
      <c r="C45" s="10" t="inlineStr">
        <is>
          <t>Lv1 Base Effect</t>
        </is>
      </c>
      <c r="D45" s="11" t="n"/>
      <c r="E45" s="12" t="n"/>
    </row>
    <row r="46">
      <c r="A46" s="3" t="inlineStr">
        <is>
          <t>Elemental Chamber</t>
        </is>
      </c>
      <c r="B46" s="10" t="inlineStr">
        <is>
          <t>Not Built</t>
        </is>
      </c>
    </row>
    <row r="47">
      <c r="A47" s="3" t="inlineStr">
        <is>
          <t>Apprentice Quarters</t>
        </is>
      </c>
      <c r="B47" s="10" t="inlineStr">
        <is>
          <t>Not Built</t>
        </is>
      </c>
    </row>
    <row r="48">
      <c r="A48" s="3" t="inlineStr">
        <is>
          <t>Scrying Pool</t>
        </is>
      </c>
      <c r="B48" s="10" t="inlineStr">
        <is>
          <t>Not Built</t>
        </is>
      </c>
    </row>
    <row r="49">
      <c r="A49" s="3" t="inlineStr">
        <is>
          <t>Tower 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Starting Economy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Starting Gold</t>
        </is>
      </c>
      <c r="B52" s="4" t="n">
        <v>150</v>
      </c>
      <c r="C52" s="3" t="inlineStr">
        <is>
          <t>Monthly Income (Est.)</t>
        </is>
      </c>
      <c r="D52" s="4" t="n">
        <v>50</v>
      </c>
      <c r="E52" s="3" t="inlineStr">
        <is>
          <t>Monthly Expenses (Est.)</t>
        </is>
      </c>
      <c r="F52" s="4" t="n">
        <v>30</v>
      </c>
      <c r="G52" s="3" t="inlineStr">
        <is>
          <t>Net Income</t>
        </is>
      </c>
      <c r="H52" s="7">
        <f>D40-F40</f>
        <v/>
      </c>
    </row>
    <row r="53"/>
    <row r="54">
      <c r="A54" s="2" t="inlineStr">
        <is>
          <t>Research Goal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Ultimate Spell Concept</t>
        </is>
      </c>
      <c r="B55" s="9" t="inlineStr">
        <is>
          <t>To prove that the Taboo is not taboo — merely truths the academy dares not face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Rival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Name</t>
        </is>
      </c>
      <c r="B58" s="4" t="inlineStr">
        <is>
          <t>Grand Inquisitor Malcolm</t>
        </is>
      </c>
      <c r="C58" s="3" t="inlineStr">
        <is>
          <t>Relationship</t>
        </is>
      </c>
      <c r="D58" s="9" t="inlineStr">
        <is>
          <t>Prey and hunter — the Pure Fire is tracking you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Arcane Origins TRPG — Isabel Starbridge's Character Sheet</t>
        </is>
      </c>
      <c r="B1" s="11" t="n"/>
      <c r="C1" s="11" t="n"/>
      <c r="D1" s="11" t="n"/>
      <c r="E1" s="11" t="n"/>
      <c r="F1" s="11" t="n"/>
      <c r="G1" s="11" t="n"/>
      <c r="H1" s="12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Mage Name</t>
        </is>
      </c>
      <c r="B4" s="12" t="n"/>
      <c r="C4" s="4" t="inlineStr">
        <is>
          <t>Isabel Starbridge</t>
        </is>
      </c>
      <c r="D4" s="12" t="n"/>
      <c r="E4" s="3" t="inlineStr">
        <is>
          <t>Tower Name</t>
        </is>
      </c>
      <c r="F4" s="12" t="n"/>
      <c r="G4" s="4" t="inlineStr">
        <is>
          <t>Hall of Resonance</t>
        </is>
      </c>
      <c r="H4" s="12" t="n"/>
    </row>
    <row r="5">
      <c r="A5" s="3" t="inlineStr">
        <is>
          <t>Background</t>
        </is>
      </c>
      <c r="B5" s="12" t="n"/>
      <c r="C5" s="4" t="inlineStr">
        <is>
          <t>Arcane Family</t>
        </is>
      </c>
      <c r="D5" s="12" t="n"/>
      <c r="E5" s="3" t="inlineStr">
        <is>
          <t>Research Style</t>
        </is>
      </c>
      <c r="F5" s="12" t="n"/>
      <c r="G5" s="4" t="inlineStr">
        <is>
          <t>Collaborative School</t>
        </is>
      </c>
      <c r="H5" s="12" t="n"/>
    </row>
    <row r="6">
      <c r="A6" s="3" t="inlineStr">
        <is>
          <t>Tower Location</t>
        </is>
      </c>
      <c r="B6" s="12" t="n"/>
      <c r="C6" s="4" t="inlineStr">
        <is>
          <t>City</t>
        </is>
      </c>
      <c r="D6" s="12" t="n"/>
      <c r="E6" s="3" t="inlineStr">
        <is>
          <t>Tower HP</t>
        </is>
      </c>
      <c r="F6" s="12" t="n"/>
      <c r="G6" s="4" t="inlineStr">
        <is>
          <t>30</t>
        </is>
      </c>
      <c r="H6" s="5" t="inlineStr">
        <is>
          <t>/30</t>
        </is>
      </c>
    </row>
    <row r="7"/>
    <row r="8">
      <c r="A8" s="2" t="inlineStr">
        <is>
          <t>Five Attributes (25 points to allocate)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Attribute Name →</t>
        </is>
      </c>
      <c r="B9" s="6" t="inlineStr">
        <is>
          <t>Perception</t>
        </is>
      </c>
      <c r="C9" s="6" t="inlineStr">
        <is>
          <t>Theory</t>
        </is>
      </c>
      <c r="D9" s="6" t="inlineStr">
        <is>
          <t>Craft</t>
        </is>
      </c>
      <c r="E9" s="6" t="inlineStr">
        <is>
          <t>Will</t>
        </is>
      </c>
      <c r="F9" s="6" t="inlineStr">
        <is>
          <t>Erudition</t>
        </is>
      </c>
      <c r="G9" s="3" t="inlineStr">
        <is>
          <t>Proficiency Bonus</t>
        </is>
      </c>
      <c r="H9" s="3" t="inlineStr">
        <is>
          <t>Skill Proficiency</t>
        </is>
      </c>
    </row>
    <row r="10">
      <c r="A10" s="3" t="inlineStr">
        <is>
          <t>Attribute Value →</t>
        </is>
      </c>
      <c r="B10" s="4" t="n">
        <v>4</v>
      </c>
      <c r="C10" s="4" t="n">
        <v>7</v>
      </c>
      <c r="D10" s="4" t="n">
        <v>4</v>
      </c>
      <c r="E10" s="4" t="n">
        <v>4</v>
      </c>
      <c r="F10" s="4" t="n">
        <v>6</v>
      </c>
      <c r="G10" s="4" t="inlineStr">
        <is>
          <t>+1</t>
        </is>
      </c>
      <c r="H10" s="4" t="inlineStr"/>
    </row>
    <row r="11"/>
    <row r="12">
      <c r="A12" s="2" t="inlineStr">
        <is>
          <t>Derived Stats (Auto-calculated)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>
      <c r="A13" s="3" t="inlineStr">
        <is>
          <t>Spirit Pool (SP)</t>
        </is>
      </c>
      <c r="B13" s="7" t="n">
        <v>19</v>
      </c>
      <c r="C13" s="8" t="inlineStr">
        <is>
          <t>Will×3 + Theory</t>
        </is>
      </c>
      <c r="D13" s="11" t="n"/>
      <c r="E13" s="12" t="n"/>
    </row>
    <row r="14">
      <c r="A14" s="3" t="inlineStr">
        <is>
          <t>Safety Threshold (ST)</t>
        </is>
      </c>
      <c r="B14" s="7" t="n">
        <v>7</v>
      </c>
      <c r="C14" s="8" t="inlineStr">
        <is>
          <t>Craft+Will/2+Laboratory Lv1</t>
        </is>
      </c>
      <c r="D14" s="11" t="n"/>
      <c r="E14" s="12" t="n"/>
    </row>
    <row r="15">
      <c r="A15" s="3" t="inlineStr">
        <is>
          <t>Research AP (RAP)</t>
        </is>
      </c>
      <c r="B15" s="7" t="n">
        <v>4</v>
      </c>
      <c r="C15" s="8" t="inlineStr">
        <is>
          <t>3+(+1 if Theory≥5), max 5</t>
        </is>
      </c>
      <c r="D15" s="11" t="n"/>
      <c r="E15" s="12" t="n"/>
    </row>
    <row r="16">
      <c r="A16" s="3" t="inlineStr">
        <is>
          <t>Shard Capacity (SC)</t>
        </is>
      </c>
      <c r="B16" s="7" t="n">
        <v>14</v>
      </c>
      <c r="C16" s="8" t="inlineStr">
        <is>
          <t>Theory+Erudition+Library Lv1</t>
        </is>
      </c>
      <c r="D16" s="11" t="n"/>
      <c r="E16" s="12" t="n"/>
    </row>
    <row r="17">
      <c r="A17" s="3" t="inlineStr">
        <is>
          <t>HP</t>
        </is>
      </c>
      <c r="B17" s="7" t="n">
        <v>19</v>
      </c>
      <c r="C17" s="8" t="inlineStr">
        <is>
          <t>15 + Will</t>
        </is>
      </c>
      <c r="D17" s="11" t="n"/>
      <c r="E17" s="12" t="n"/>
    </row>
    <row r="18">
      <c r="A18" s="3" t="inlineStr">
        <is>
          <t>Spellbook Capacity (SBC)</t>
        </is>
      </c>
      <c r="B18" s="7" t="n">
        <v>13</v>
      </c>
      <c r="C18" s="8" t="inlineStr">
        <is>
          <t>Theory+Erudition (Max Spells Memorized)</t>
        </is>
      </c>
      <c r="D18" s="11" t="n"/>
      <c r="E18" s="12" t="n"/>
    </row>
    <row r="19">
      <c r="A19" s="3" t="inlineStr">
        <is>
          <t>Corruption</t>
        </is>
      </c>
      <c r="B19" s="4" t="n">
        <v>0</v>
      </c>
      <c r="C19" s="8" t="inlineStr">
        <is>
          <t>(0-20)</t>
        </is>
      </c>
      <c r="D19" s="11" t="n"/>
      <c r="E19" s="12" t="n"/>
    </row>
    <row r="20">
      <c r="A20" s="3" t="inlineStr">
        <is>
          <t>Starting Proficiency Points</t>
        </is>
      </c>
      <c r="B20" s="7" t="n">
        <v>2</v>
      </c>
      <c r="C20" s="8" t="inlineStr">
        <is>
          <t>(May be spent on any skill; see Player Rules 1.6)</t>
        </is>
      </c>
      <c r="D20" s="11" t="n"/>
      <c r="E20" s="12" t="n"/>
    </row>
    <row r="21"/>
    <row r="22">
      <c r="A22" s="2" t="inlineStr">
        <is>
          <t>Reputation</t>
        </is>
      </c>
      <c r="B22" s="11" t="n"/>
      <c r="C22" s="11" t="n"/>
      <c r="D22" s="11" t="n"/>
      <c r="E22" s="11" t="n"/>
      <c r="F22" s="11" t="n"/>
      <c r="G22" s="11" t="n"/>
      <c r="H22" s="12" t="n"/>
    </row>
    <row r="23">
      <c r="A23" s="3" t="inlineStr">
        <is>
          <t>Academic Reputation</t>
        </is>
      </c>
      <c r="B23" s="4" t="n">
        <v>10</v>
      </c>
      <c r="C23" s="9" t="inlineStr">
        <is>
          <t>The Cited</t>
        </is>
      </c>
      <c r="D23" s="11" t="n"/>
      <c r="E23" s="12" t="n"/>
      <c r="F23" s="3" t="inlineStr">
        <is>
          <t>Practical Reputation</t>
        </is>
      </c>
      <c r="G23" s="4" t="n">
        <v>0</v>
      </c>
      <c r="H23" s="10" t="inlineStr">
        <is>
          <t>Of No Concern</t>
        </is>
      </c>
    </row>
    <row r="24"/>
    <row r="25">
      <c r="A25" s="2" t="inlineStr">
        <is>
          <t>Research Style Trait</t>
        </is>
      </c>
      <c r="B25" s="11" t="n"/>
      <c r="C25" s="11" t="n"/>
      <c r="D25" s="11" t="n"/>
      <c r="E25" s="11" t="n"/>
      <c r="F25" s="11" t="n"/>
      <c r="G25" s="11" t="n"/>
      <c r="H25" s="12" t="n"/>
    </row>
    <row r="26">
      <c r="A26" s="3" t="inlineStr">
        <is>
          <t>Advantage</t>
        </is>
      </c>
      <c r="B26" s="9" t="inlineStr">
        <is>
          <t>Both cooperating parties benefit + DC –2 / person</t>
        </is>
      </c>
      <c r="C26" s="11" t="n"/>
      <c r="D26" s="11" t="n"/>
      <c r="E26" s="11" t="n"/>
      <c r="F26" s="11" t="n"/>
      <c r="G26" s="11" t="n"/>
      <c r="H26" s="12" t="n"/>
    </row>
    <row r="27">
      <c r="A27" s="3" t="inlineStr">
        <is>
          <t>Cost</t>
        </is>
      </c>
      <c r="B27" s="9" t="inlineStr">
        <is>
          <t>Solo DC +3 + publication is public</t>
        </is>
      </c>
      <c r="C27" s="11" t="n"/>
      <c r="D27" s="11" t="n"/>
      <c r="E27" s="11" t="n"/>
      <c r="F27" s="11" t="n"/>
      <c r="G27" s="11" t="n"/>
      <c r="H27" s="12" t="n"/>
    </row>
    <row r="28"/>
    <row r="29">
      <c r="A29" s="2" t="inlineStr">
        <is>
          <t>Starting Shards: Light (E01 replacement), Water (E02), Storm (E03) + Sustain (F07)</t>
        </is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9" t="inlineStr"/>
      <c r="B30" s="9" t="inlineStr"/>
      <c r="C30" s="9" t="inlineStr"/>
      <c r="D30" s="9" t="inlineStr"/>
      <c r="E30" s="9" t="inlineStr"/>
      <c r="F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</row>
    <row r="34"/>
    <row r="35">
      <c r="A35" s="2" t="inlineStr">
        <is>
          <t>Starting Spells</t>
        </is>
      </c>
      <c r="B35" s="11" t="n"/>
      <c r="C35" s="11" t="n"/>
      <c r="D35" s="11" t="n"/>
      <c r="E35" s="11" t="n"/>
      <c r="F35" s="11" t="n"/>
      <c r="G35" s="11" t="n"/>
      <c r="H35" s="12" t="n"/>
    </row>
    <row r="36">
      <c r="A36" s="3" t="inlineStr">
        <is>
          <t>Spell Name</t>
        </is>
      </c>
      <c r="B36" s="4" t="inlineStr">
        <is>
          <t>Healing Spring</t>
        </is>
      </c>
      <c r="C36" s="11" t="n"/>
      <c r="D36" s="12" t="n"/>
      <c r="E36" s="3" t="inlineStr">
        <is>
          <t>Quality</t>
        </is>
      </c>
      <c r="F36" s="4" t="inlineStr">
        <is>
          <t>★</t>
        </is>
      </c>
      <c r="G36" s="3" t="inlineStr">
        <is>
          <t>Spirit Cost</t>
        </is>
      </c>
      <c r="H36" s="7" t="n">
        <v>1</v>
      </c>
    </row>
    <row r="37">
      <c r="A37" s="3" t="inlineStr">
        <is>
          <t>Shard Formula</t>
        </is>
      </c>
      <c r="B37" s="9" t="inlineStr">
        <is>
          <t>Water (E02) + Life (from family notes) + Sustain (F07)</t>
        </is>
      </c>
      <c r="C37" s="11" t="n"/>
      <c r="D37" s="11" t="n"/>
      <c r="E37" s="11" t="n"/>
      <c r="F37" s="11" t="n"/>
      <c r="G37" s="11" t="n"/>
      <c r="H37" s="12" t="n"/>
    </row>
    <row r="38">
      <c r="A38" s="3" t="inlineStr">
        <is>
          <t>Effect</t>
        </is>
      </c>
      <c r="B38" s="9" t="inlineStr">
        <is>
          <t>Range 60 ft, requires concentration, lasts 4 rounds, restores 1d8+3 HP each round</t>
        </is>
      </c>
      <c r="C38" s="11" t="n"/>
      <c r="D38" s="11" t="n"/>
      <c r="E38" s="11" t="n"/>
      <c r="F38" s="11" t="n"/>
      <c r="G38" s="11" t="n"/>
      <c r="H38" s="12" t="n"/>
    </row>
    <row r="39"/>
    <row r="40">
      <c r="A40" s="2" t="inlineStr">
        <is>
          <t>Tower Facilities (Starting Lv1)</t>
        </is>
      </c>
      <c r="B40" s="11" t="n"/>
      <c r="C40" s="11" t="n"/>
      <c r="D40" s="11" t="n"/>
      <c r="E40" s="11" t="n"/>
      <c r="F40" s="11" t="n"/>
      <c r="G40" s="11" t="n"/>
      <c r="H40" s="12" t="n"/>
    </row>
    <row r="41">
      <c r="A41" s="3" t="inlineStr">
        <is>
          <t>Laboratory</t>
        </is>
      </c>
      <c r="B41" s="4" t="n">
        <v>1</v>
      </c>
      <c r="C41" s="10" t="inlineStr">
        <is>
          <t>Lv1 Base Effect</t>
        </is>
      </c>
      <c r="D41" s="11" t="n"/>
      <c r="E41" s="12" t="n"/>
    </row>
    <row r="42">
      <c r="A42" s="3" t="inlineStr">
        <is>
          <t>Library</t>
        </is>
      </c>
      <c r="B42" s="4" t="n">
        <v>1</v>
      </c>
      <c r="C42" s="10" t="inlineStr">
        <is>
          <t>Lv1 Base Effect</t>
        </is>
      </c>
      <c r="D42" s="11" t="n"/>
      <c r="E42" s="12" t="n"/>
    </row>
    <row r="43">
      <c r="A43" s="3" t="inlineStr">
        <is>
          <t>Observatory</t>
        </is>
      </c>
      <c r="B43" s="4" t="n">
        <v>1</v>
      </c>
      <c r="C43" s="10" t="inlineStr">
        <is>
          <t>Lv1 Base Effect</t>
        </is>
      </c>
      <c r="D43" s="11" t="n"/>
      <c r="E43" s="12" t="n"/>
    </row>
    <row r="44">
      <c r="A44" s="3" t="inlineStr">
        <is>
          <t>Containment Chamber</t>
        </is>
      </c>
      <c r="B44" s="4" t="n">
        <v>1</v>
      </c>
      <c r="C44" s="10" t="inlineStr">
        <is>
          <t>Lv1 Base Effect</t>
        </is>
      </c>
      <c r="D44" s="11" t="n"/>
      <c r="E44" s="12" t="n"/>
    </row>
    <row r="45">
      <c r="A45" s="3" t="inlineStr">
        <is>
          <t>Defense System</t>
        </is>
      </c>
      <c r="B45" s="4" t="n">
        <v>1</v>
      </c>
      <c r="C45" s="10" t="inlineStr">
        <is>
          <t>Lv1 Base Effect</t>
        </is>
      </c>
      <c r="D45" s="11" t="n"/>
      <c r="E45" s="12" t="n"/>
    </row>
    <row r="46">
      <c r="A46" s="3" t="inlineStr">
        <is>
          <t>Elemental Chamber</t>
        </is>
      </c>
      <c r="B46" s="10" t="inlineStr">
        <is>
          <t>Not Built</t>
        </is>
      </c>
    </row>
    <row r="47">
      <c r="A47" s="3" t="inlineStr">
        <is>
          <t>Apprentice Quarters</t>
        </is>
      </c>
      <c r="B47" s="10" t="inlineStr">
        <is>
          <t>Not Built</t>
        </is>
      </c>
    </row>
    <row r="48">
      <c r="A48" s="3" t="inlineStr">
        <is>
          <t>Scrying Pool</t>
        </is>
      </c>
      <c r="B48" s="10" t="inlineStr">
        <is>
          <t>Not Built</t>
        </is>
      </c>
    </row>
    <row r="49">
      <c r="A49" s="3" t="inlineStr">
        <is>
          <t>Tower HP</t>
        </is>
      </c>
      <c r="B49" s="7" t="inlineStr">
        <is>
          <t>35</t>
        </is>
      </c>
      <c r="C49" s="8">
        <f>30 + 防禦系統等級×5 (當前Lv1)</f>
        <v/>
      </c>
      <c r="D49" s="11" t="n"/>
      <c r="E49" s="12" t="n"/>
    </row>
    <row r="50"/>
    <row r="51">
      <c r="A51" s="2" t="inlineStr">
        <is>
          <t>Starting Economy</t>
        </is>
      </c>
      <c r="B51" s="11" t="n"/>
      <c r="C51" s="11" t="n"/>
      <c r="D51" s="11" t="n"/>
      <c r="E51" s="11" t="n"/>
      <c r="F51" s="11" t="n"/>
      <c r="G51" s="11" t="n"/>
      <c r="H51" s="12" t="n"/>
    </row>
    <row r="52">
      <c r="A52" s="3" t="inlineStr">
        <is>
          <t>Starting Gold</t>
        </is>
      </c>
      <c r="B52" s="4" t="n">
        <v>150</v>
      </c>
      <c r="C52" s="3" t="inlineStr">
        <is>
          <t>Monthly Income (Est.)</t>
        </is>
      </c>
      <c r="D52" s="4" t="n">
        <v>50</v>
      </c>
      <c r="E52" s="3" t="inlineStr">
        <is>
          <t>Monthly Expenses (Est.)</t>
        </is>
      </c>
      <c r="F52" s="4" t="n">
        <v>30</v>
      </c>
      <c r="G52" s="3" t="inlineStr">
        <is>
          <t>Net Income</t>
        </is>
      </c>
      <c r="H52" s="7">
        <f>D40-F40</f>
        <v/>
      </c>
    </row>
    <row r="53"/>
    <row r="54">
      <c r="A54" s="2" t="inlineStr">
        <is>
          <t>Research Goal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>
      <c r="A55" s="3" t="inlineStr">
        <is>
          <t>Ultimate Spell Concept</t>
        </is>
      </c>
      <c r="B55" s="9" t="inlineStr">
        <is>
          <t>To build a research network where all mages can freely share knowledge — breaking the academy's monopoly</t>
        </is>
      </c>
      <c r="C55" s="11" t="n"/>
      <c r="D55" s="11" t="n"/>
      <c r="E55" s="11" t="n"/>
      <c r="F55" s="11" t="n"/>
      <c r="G55" s="11" t="n"/>
      <c r="H55" s="12" t="n"/>
    </row>
    <row r="56"/>
    <row r="57">
      <c r="A57" s="2" t="inlineStr">
        <is>
          <t>Rival</t>
        </is>
      </c>
      <c r="B57" s="11" t="n"/>
      <c r="C57" s="11" t="n"/>
      <c r="D57" s="11" t="n"/>
      <c r="E57" s="11" t="n"/>
      <c r="F57" s="11" t="n"/>
      <c r="G57" s="11" t="n"/>
      <c r="H57" s="12" t="n"/>
    </row>
    <row r="58">
      <c r="A58" s="3" t="inlineStr">
        <is>
          <t>Name</t>
        </is>
      </c>
      <c r="B58" s="4" t="inlineStr">
        <is>
          <t>Academy Journal Editorial Board</t>
        </is>
      </c>
      <c r="C58" s="3" t="inlineStr">
        <is>
          <t>Relationship</t>
        </is>
      </c>
      <c r="D58" s="9" t="inlineStr">
        <is>
          <t>Institutional conflict — their publication standards deliberately exclude Collaborative-school research</t>
        </is>
      </c>
      <c r="E58" s="11" t="n"/>
      <c r="F58" s="11" t="n"/>
      <c r="G58" s="11" t="n"/>
      <c r="H58" s="12" t="n"/>
    </row>
  </sheetData>
  <mergeCells count="45">
    <mergeCell ref="C16:E16"/>
    <mergeCell ref="C6:D6"/>
    <mergeCell ref="C44:E44"/>
    <mergeCell ref="C41:E41"/>
    <mergeCell ref="A51:H51"/>
    <mergeCell ref="C5:D5"/>
    <mergeCell ref="B55:H55"/>
    <mergeCell ref="E5:F5"/>
    <mergeCell ref="A1:H1"/>
    <mergeCell ref="C43:E43"/>
    <mergeCell ref="A6:B6"/>
    <mergeCell ref="C4:D4"/>
    <mergeCell ref="E4:F4"/>
    <mergeCell ref="B26:H26"/>
    <mergeCell ref="A25:H25"/>
    <mergeCell ref="C23:E23"/>
    <mergeCell ref="A54:H54"/>
    <mergeCell ref="C17:E17"/>
    <mergeCell ref="A12:H12"/>
    <mergeCell ref="A3:H3"/>
    <mergeCell ref="E6:F6"/>
    <mergeCell ref="B36:D36"/>
    <mergeCell ref="C13:E13"/>
    <mergeCell ref="C19:E19"/>
    <mergeCell ref="B27:H27"/>
    <mergeCell ref="A57:H57"/>
    <mergeCell ref="A5:B5"/>
    <mergeCell ref="G5:H5"/>
    <mergeCell ref="C18:E18"/>
    <mergeCell ref="C49:E49"/>
    <mergeCell ref="C15:E15"/>
    <mergeCell ref="A8:H8"/>
    <mergeCell ref="D58:H58"/>
    <mergeCell ref="A22:H22"/>
    <mergeCell ref="A4:B4"/>
    <mergeCell ref="G4:H4"/>
    <mergeCell ref="C42:E42"/>
    <mergeCell ref="C14:E14"/>
    <mergeCell ref="A29:H29"/>
    <mergeCell ref="A35:H35"/>
    <mergeCell ref="C45:E45"/>
    <mergeCell ref="B38:H38"/>
    <mergeCell ref="C20:E20"/>
    <mergeCell ref="B37:H37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2026-08-09T13:59:38Z</dcterms:modified>
</cp:coreProperties>
</file>