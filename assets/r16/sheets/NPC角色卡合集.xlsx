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.E.G.情報官「陳」" sheetId="1" state="visible" r:id="rId1"/>
    <sheet name="「地圖師」米拉" sheetId="2" state="visible" r:id="rId2"/>
    <sheet name="「啞巴」（Level 2 嚮導）" sheetId="3" state="visible" r:id="rId3"/>
    <sheet name="「醫生」吳（遊走醫療者）" sheetId="4" state="visible" r:id="rId4"/>
    <sheet name="「深度記錄者」（Level 37 隱士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0"/>
    </font>
    <font>
      <name val="Microsoft JhengHei"/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NPC：M.E.G.情報官「陳」</t>
        </is>
      </c>
    </row>
    <row r="2">
      <c r="A2" s="2" t="inlineStr">
        <is>
          <t>基本資訊</t>
        </is>
      </c>
    </row>
    <row r="3">
      <c r="A3" s="3" t="inlineStr">
        <is>
          <t>NPC名稱：</t>
        </is>
      </c>
      <c r="B3" s="4" t="inlineStr">
        <is>
          <t>陳</t>
        </is>
      </c>
      <c r="C3" s="3" t="inlineStr">
        <is>
          <t>所屬派系：</t>
        </is>
      </c>
      <c r="D3" s="4" t="inlineStr">
        <is>
          <t>M.E.G.</t>
        </is>
      </c>
      <c r="E3" s="3" t="inlineStr">
        <is>
          <t>所在樓層：</t>
        </is>
      </c>
      <c r="F3" s="4" t="inlineStr">
        <is>
          <t>Level 1</t>
        </is>
      </c>
    </row>
    <row r="4">
      <c r="A4" s="3" t="inlineStr">
        <is>
          <t>角色定位：</t>
        </is>
      </c>
      <c r="B4" s="4" t="inlineStr">
        <is>
          <t>情報官 / 任務聯絡人</t>
        </is>
      </c>
      <c r="C4" s="3" t="inlineStr">
        <is>
          <t>對玩家態度：</t>
        </is>
      </c>
      <c r="D4" s="4" t="inlineStr">
        <is>
          <t>友善</t>
        </is>
      </c>
      <c r="E4" s="3" t="inlineStr">
        <is>
          <t>關係等級：</t>
        </is>
      </c>
      <c r="F4" s="4" t="inlineStr">
        <is>
          <t>1</t>
        </is>
      </c>
    </row>
    <row r="6">
      <c r="A6" s="2" t="inlineStr">
        <is>
          <t>五大屬性</t>
        </is>
      </c>
    </row>
    <row r="7">
      <c r="A7" s="5" t="inlineStr">
        <is>
          <t>屬性</t>
        </is>
      </c>
      <c r="B7" s="5" t="inlineStr">
        <is>
          <t>數值</t>
        </is>
      </c>
      <c r="C7" s="5" t="inlineStr">
        <is>
          <t>加值</t>
        </is>
      </c>
      <c r="D7" s="5" t="inlineStr">
        <is>
          <t>屬性</t>
        </is>
      </c>
      <c r="E7" s="5" t="inlineStr">
        <is>
          <t>數值</t>
        </is>
      </c>
      <c r="F7" s="5" t="inlineStr">
        <is>
          <t>加值</t>
        </is>
      </c>
    </row>
    <row r="8">
      <c r="A8" s="3" t="inlineStr">
        <is>
          <t>體魄</t>
        </is>
      </c>
      <c r="B8" s="4" t="n">
        <v>5</v>
      </c>
      <c r="C8" s="6">
        <f>B8</f>
        <v/>
      </c>
    </row>
    <row r="9">
      <c r="A9" s="3" t="inlineStr">
        <is>
          <t>機敏</t>
        </is>
      </c>
      <c r="B9" s="4" t="n">
        <v>4</v>
      </c>
      <c r="C9" s="6">
        <f>B9</f>
        <v/>
      </c>
    </row>
    <row r="10">
      <c r="A10" s="3" t="inlineStr">
        <is>
          <t>感知</t>
        </is>
      </c>
      <c r="B10" s="4" t="n">
        <v>6</v>
      </c>
      <c r="C10" s="6">
        <f>B10</f>
        <v/>
      </c>
    </row>
    <row r="11">
      <c r="A11" s="3" t="inlineStr">
        <is>
          <t>理智</t>
        </is>
      </c>
      <c r="B11" s="4" t="n">
        <v>7</v>
      </c>
      <c r="C11" s="6">
        <f>B11</f>
        <v/>
      </c>
    </row>
    <row r="12">
      <c r="A12" s="3" t="inlineStr">
        <is>
          <t>知識</t>
        </is>
      </c>
      <c r="B12" s="4" t="n">
        <v>6</v>
      </c>
      <c r="C12" s="6">
        <f>B12</f>
        <v/>
      </c>
    </row>
    <row r="14">
      <c r="A14" s="2" t="inlineStr">
        <is>
          <t>衍生屬性（自動計算）</t>
        </is>
      </c>
    </row>
    <row r="15">
      <c r="A15" s="3" t="inlineStr">
        <is>
          <t>生命值（HP）</t>
        </is>
      </c>
      <c r="B15" s="7">
        <f>B8*2+5</f>
        <v/>
      </c>
    </row>
    <row r="16">
      <c r="A16" s="3" t="inlineStr">
        <is>
          <t>防禦值（DEF）</t>
        </is>
      </c>
      <c r="B16" s="7">
        <f>10+B9</f>
        <v/>
      </c>
    </row>
    <row r="17">
      <c r="A17" s="3" t="inlineStr">
        <is>
          <t>理智值（SP）</t>
        </is>
      </c>
      <c r="B17" s="7">
        <f>B11*3+10</f>
        <v/>
      </c>
    </row>
    <row r="19">
      <c r="A19" s="3" t="inlineStr">
        <is>
          <t>背景故事：</t>
        </is>
      </c>
    </row>
    <row r="20">
      <c r="A20" s="8" t="inlineStr">
        <is>
          <t>40多歲，戴破舊眼鏡，額頭有橫跨傷疤（Level 2留下的）。他是 Level 1 M.E.G. 前哨站「基石」的情報官，負責接待新人類、分配任務、管理情報網絡。性格務實但關心他人——他只是不擅長表達。</t>
        </is>
      </c>
    </row>
    <row r="21"/>
    <row r="22">
      <c r="A22" s="3" t="inlineStr">
        <is>
          <t>可提供的服務/資訊：</t>
        </is>
      </c>
    </row>
    <row r="23">
      <c r="A23" s="8" t="inlineStr">
        <is>
          <t>新人禮包、任務委託、Level 1-2 情報、基礎地圖</t>
        </is>
      </c>
    </row>
    <row r="24"/>
    <row r="25">
      <c r="A25" s="3" t="inlineStr">
        <is>
          <t>秘密/隱藏動機（GM專用）：</t>
        </is>
      </c>
    </row>
    <row r="26">
      <c r="A26" s="8" t="inlineStr">
        <is>
          <t>他的傷疤是 Level 2 獵犬留下的——那次他為了救一個新人差點死掉。他從不提起這件事。</t>
        </is>
      </c>
    </row>
    <row r="27"/>
  </sheetData>
  <mergeCells count="10">
    <mergeCell ref="A2:F2"/>
    <mergeCell ref="A23:F24"/>
    <mergeCell ref="A19:F19"/>
    <mergeCell ref="A14:F14"/>
    <mergeCell ref="A1:F1"/>
    <mergeCell ref="A6:F6"/>
    <mergeCell ref="A22:F22"/>
    <mergeCell ref="A26:F27"/>
    <mergeCell ref="A20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NPC：「地圖師」米拉</t>
        </is>
      </c>
    </row>
    <row r="2">
      <c r="A2" s="2" t="inlineStr">
        <is>
          <t>基本資訊</t>
        </is>
      </c>
    </row>
    <row r="3">
      <c r="A3" s="3" t="inlineStr">
        <is>
          <t>NPC名稱：</t>
        </is>
      </c>
      <c r="B3" s="4" t="inlineStr">
        <is>
          <t>米拉</t>
        </is>
      </c>
      <c r="C3" s="3" t="inlineStr">
        <is>
          <t>所屬派系：</t>
        </is>
      </c>
      <c r="D3" s="4" t="inlineStr">
        <is>
          <t>獨立流浪者</t>
        </is>
      </c>
      <c r="E3" s="3" t="inlineStr">
        <is>
          <t>所在樓層：</t>
        </is>
      </c>
      <c r="F3" s="4" t="inlineStr">
        <is>
          <t>Level 11</t>
        </is>
      </c>
    </row>
    <row r="4">
      <c r="A4" s="3" t="inlineStr">
        <is>
          <t>角色定位：</t>
        </is>
      </c>
      <c r="B4" s="4" t="inlineStr">
        <is>
          <t>地圖繪製師</t>
        </is>
      </c>
      <c r="C4" s="3" t="inlineStr">
        <is>
          <t>對玩家態度：</t>
        </is>
      </c>
      <c r="D4" s="4" t="inlineStr">
        <is>
          <t>中立偏友善</t>
        </is>
      </c>
      <c r="E4" s="3" t="inlineStr">
        <is>
          <t>關係等級：</t>
        </is>
      </c>
      <c r="F4" s="4" t="inlineStr">
        <is>
          <t>0</t>
        </is>
      </c>
    </row>
    <row r="6">
      <c r="A6" s="2" t="inlineStr">
        <is>
          <t>五大屬性</t>
        </is>
      </c>
    </row>
    <row r="7">
      <c r="A7" s="5" t="inlineStr">
        <is>
          <t>屬性</t>
        </is>
      </c>
      <c r="B7" s="5" t="inlineStr">
        <is>
          <t>數值</t>
        </is>
      </c>
      <c r="C7" s="5" t="inlineStr">
        <is>
          <t>加值</t>
        </is>
      </c>
      <c r="D7" s="5" t="inlineStr">
        <is>
          <t>屬性</t>
        </is>
      </c>
      <c r="E7" s="5" t="inlineStr">
        <is>
          <t>數值</t>
        </is>
      </c>
      <c r="F7" s="5" t="inlineStr">
        <is>
          <t>加值</t>
        </is>
      </c>
    </row>
    <row r="8">
      <c r="A8" s="3" t="inlineStr">
        <is>
          <t>體魄</t>
        </is>
      </c>
      <c r="B8" s="4" t="n">
        <v>3</v>
      </c>
      <c r="C8" s="6">
        <f>B8</f>
        <v/>
      </c>
    </row>
    <row r="9">
      <c r="A9" s="3" t="inlineStr">
        <is>
          <t>機敏</t>
        </is>
      </c>
      <c r="B9" s="4" t="n">
        <v>5</v>
      </c>
      <c r="C9" s="6">
        <f>B9</f>
        <v/>
      </c>
    </row>
    <row r="10">
      <c r="A10" s="3" t="inlineStr">
        <is>
          <t>感知</t>
        </is>
      </c>
      <c r="B10" s="4" t="n">
        <v>8</v>
      </c>
      <c r="C10" s="6">
        <f>B10</f>
        <v/>
      </c>
    </row>
    <row r="11">
      <c r="A11" s="3" t="inlineStr">
        <is>
          <t>理智</t>
        </is>
      </c>
      <c r="B11" s="4" t="n">
        <v>5</v>
      </c>
      <c r="C11" s="6">
        <f>B11</f>
        <v/>
      </c>
    </row>
    <row r="12">
      <c r="A12" s="3" t="inlineStr">
        <is>
          <t>知識</t>
        </is>
      </c>
      <c r="B12" s="4" t="n">
        <v>7</v>
      </c>
      <c r="C12" s="6">
        <f>B12</f>
        <v/>
      </c>
    </row>
    <row r="14">
      <c r="A14" s="2" t="inlineStr">
        <is>
          <t>衍生屬性（自動計算）</t>
        </is>
      </c>
    </row>
    <row r="15">
      <c r="A15" s="3" t="inlineStr">
        <is>
          <t>生命值（HP）</t>
        </is>
      </c>
      <c r="B15" s="7">
        <f>B8*2+5</f>
        <v/>
      </c>
    </row>
    <row r="16">
      <c r="A16" s="3" t="inlineStr">
        <is>
          <t>防禦值（DEF）</t>
        </is>
      </c>
      <c r="B16" s="7">
        <f>10+B9</f>
        <v/>
      </c>
    </row>
    <row r="17">
      <c r="A17" s="3" t="inlineStr">
        <is>
          <t>理智值（SP）</t>
        </is>
      </c>
      <c r="B17" s="7">
        <f>B11*3+10</f>
        <v/>
      </c>
    </row>
    <row r="19">
      <c r="A19" s="3" t="inlineStr">
        <is>
          <t>背景故事：</t>
        </is>
      </c>
    </row>
    <row r="20">
      <c r="A20" s="8" t="inlineStr">
        <is>
          <t>30多歲，前圖書館員。痴迷於繪製後室地圖——儘管知道樓層會變化，她仍然不斷繪製。她的地圖不穩定但通常有價值。她有些古怪——會在交談中突然停下來畫下某個細節。</t>
        </is>
      </c>
    </row>
    <row r="21"/>
    <row r="22">
      <c r="A22" s="3" t="inlineStr">
        <is>
          <t>可提供的服務/資訊：</t>
        </is>
      </c>
    </row>
    <row r="23">
      <c r="A23" s="8" t="inlineStr">
        <is>
          <t>交易地圖碎片、交換探索情報、Level 11 街區導航</t>
        </is>
      </c>
    </row>
    <row r="24"/>
    <row r="25">
      <c r="A25" s="3" t="inlineStr">
        <is>
          <t>秘密/隱藏動機（GM專用）：</t>
        </is>
      </c>
    </row>
    <row r="26">
      <c r="A26" s="8" t="inlineStr">
        <is>
          <t>她的地圖中有一些從未對外展示的部分——那是通往深層的標記。她不敢賣這些地圖，怕有人因此送命。</t>
        </is>
      </c>
    </row>
    <row r="27"/>
  </sheetData>
  <mergeCells count="10">
    <mergeCell ref="A2:F2"/>
    <mergeCell ref="A23:F24"/>
    <mergeCell ref="A19:F19"/>
    <mergeCell ref="A14:F14"/>
    <mergeCell ref="A1:F1"/>
    <mergeCell ref="A6:F6"/>
    <mergeCell ref="A22:F22"/>
    <mergeCell ref="A26:F27"/>
    <mergeCell ref="A20:F2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NPC：「啞巴」（Level 2 嚮導）</t>
        </is>
      </c>
    </row>
    <row r="2">
      <c r="A2" s="2" t="inlineStr">
        <is>
          <t>基本資訊</t>
        </is>
      </c>
    </row>
    <row r="3">
      <c r="A3" s="3" t="inlineStr">
        <is>
          <t>NPC名稱：</t>
        </is>
      </c>
      <c r="B3" s="4" t="inlineStr">
        <is>
          <t>（真名未知）</t>
        </is>
      </c>
      <c r="C3" s="3" t="inlineStr">
        <is>
          <t>所屬派系：</t>
        </is>
      </c>
      <c r="D3" s="4" t="inlineStr">
        <is>
          <t>獨立流浪者</t>
        </is>
      </c>
      <c r="E3" s="3" t="inlineStr">
        <is>
          <t>所在樓層：</t>
        </is>
      </c>
      <c r="F3" s="4" t="inlineStr">
        <is>
          <t>Level 2</t>
        </is>
      </c>
    </row>
    <row r="4">
      <c r="A4" s="3" t="inlineStr">
        <is>
          <t>角色定位：</t>
        </is>
      </c>
      <c r="B4" s="4" t="inlineStr">
        <is>
          <t>管道嚮導</t>
        </is>
      </c>
      <c r="C4" s="3" t="inlineStr">
        <is>
          <t>對玩家態度：</t>
        </is>
      </c>
      <c r="D4" s="4" t="inlineStr">
        <is>
          <t>中立</t>
        </is>
      </c>
      <c r="E4" s="3" t="inlineStr">
        <is>
          <t>關係等級：</t>
        </is>
      </c>
      <c r="F4" s="4" t="inlineStr">
        <is>
          <t>0</t>
        </is>
      </c>
    </row>
    <row r="6">
      <c r="A6" s="2" t="inlineStr">
        <is>
          <t>五大屬性</t>
        </is>
      </c>
    </row>
    <row r="7">
      <c r="A7" s="5" t="inlineStr">
        <is>
          <t>屬性</t>
        </is>
      </c>
      <c r="B7" s="5" t="inlineStr">
        <is>
          <t>數值</t>
        </is>
      </c>
      <c r="C7" s="5" t="inlineStr">
        <is>
          <t>加值</t>
        </is>
      </c>
      <c r="D7" s="5" t="inlineStr">
        <is>
          <t>屬性</t>
        </is>
      </c>
      <c r="E7" s="5" t="inlineStr">
        <is>
          <t>數值</t>
        </is>
      </c>
      <c r="F7" s="5" t="inlineStr">
        <is>
          <t>加值</t>
        </is>
      </c>
    </row>
    <row r="8">
      <c r="A8" s="3" t="inlineStr">
        <is>
          <t>體魄</t>
        </is>
      </c>
      <c r="B8" s="4" t="n">
        <v>6</v>
      </c>
      <c r="C8" s="6">
        <f>B8</f>
        <v/>
      </c>
    </row>
    <row r="9">
      <c r="A9" s="3" t="inlineStr">
        <is>
          <t>機敏</t>
        </is>
      </c>
      <c r="B9" s="4" t="n">
        <v>7</v>
      </c>
      <c r="C9" s="6">
        <f>B9</f>
        <v/>
      </c>
    </row>
    <row r="10">
      <c r="A10" s="3" t="inlineStr">
        <is>
          <t>感知</t>
        </is>
      </c>
      <c r="B10" s="4" t="n">
        <v>5</v>
      </c>
      <c r="C10" s="6">
        <f>B10</f>
        <v/>
      </c>
    </row>
    <row r="11">
      <c r="A11" s="3" t="inlineStr">
        <is>
          <t>理智</t>
        </is>
      </c>
      <c r="B11" s="4" t="n">
        <v>4</v>
      </c>
      <c r="C11" s="6">
        <f>B11</f>
        <v/>
      </c>
    </row>
    <row r="12">
      <c r="A12" s="3" t="inlineStr">
        <is>
          <t>知識</t>
        </is>
      </c>
      <c r="B12" s="4" t="n">
        <v>7</v>
      </c>
      <c r="C12" s="6">
        <f>B12</f>
        <v/>
      </c>
    </row>
    <row r="14">
      <c r="A14" s="2" t="inlineStr">
        <is>
          <t>衍生屬性（自動計算）</t>
        </is>
      </c>
    </row>
    <row r="15">
      <c r="A15" s="3" t="inlineStr">
        <is>
          <t>生命值（HP）</t>
        </is>
      </c>
      <c r="B15" s="7">
        <f>B8*2+5</f>
        <v/>
      </c>
    </row>
    <row r="16">
      <c r="A16" s="3" t="inlineStr">
        <is>
          <t>防禦值（DEF）</t>
        </is>
      </c>
      <c r="B16" s="7">
        <f>10+B9</f>
        <v/>
      </c>
    </row>
    <row r="17">
      <c r="A17" s="3" t="inlineStr">
        <is>
          <t>理智值（SP）</t>
        </is>
      </c>
      <c r="B17" s="7">
        <f>B11*3+10</f>
        <v/>
      </c>
    </row>
    <row r="19">
      <c r="A19" s="3" t="inlineStr">
        <is>
          <t>背景故事：</t>
        </is>
      </c>
    </row>
    <row r="20">
      <c r="A20" s="8" t="inlineStr">
        <is>
          <t>年輕男性，不說話——沒人知道原因。他用敲擊管道的方式與人溝通，對 Level 2 的管道網絡瞭如指掌。他可以帶領流浪者安全穿越 Level 2，但從不離開管道。為什麼？沒人知道。</t>
        </is>
      </c>
    </row>
    <row r="21"/>
    <row r="22">
      <c r="A22" s="3" t="inlineStr">
        <is>
          <t>可提供的服務/資訊：</t>
        </is>
      </c>
    </row>
    <row r="23">
      <c r="A23" s="8" t="inlineStr">
        <is>
          <t>帶領穿越 Level 2 安全路線、管道網絡知識、變體杏仁水鑑定</t>
        </is>
      </c>
    </row>
    <row r="24"/>
    <row r="25">
      <c r="A25" s="3" t="inlineStr">
        <is>
          <t>秘密/隱藏動機（GM專用）：</t>
        </is>
      </c>
    </row>
    <row r="26">
      <c r="A26" s="8" t="inlineStr">
        <is>
          <t>他不是不能說話——他是不敢。他相信如果他在 Level 2 中說話，'巢穴之心'的東西會聽見他。</t>
        </is>
      </c>
    </row>
    <row r="27"/>
  </sheetData>
  <mergeCells count="10">
    <mergeCell ref="A2:F2"/>
    <mergeCell ref="A23:F24"/>
    <mergeCell ref="A19:F19"/>
    <mergeCell ref="A14:F14"/>
    <mergeCell ref="A1:F1"/>
    <mergeCell ref="A6:F6"/>
    <mergeCell ref="A22:F22"/>
    <mergeCell ref="A26:F27"/>
    <mergeCell ref="A20:F2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NPC：「醫生」吳（遊走醫療者）</t>
        </is>
      </c>
    </row>
    <row r="2">
      <c r="A2" s="2" t="inlineStr">
        <is>
          <t>基本資訊</t>
        </is>
      </c>
    </row>
    <row r="3">
      <c r="A3" s="3" t="inlineStr">
        <is>
          <t>NPC名稱：</t>
        </is>
      </c>
      <c r="B3" s="4" t="inlineStr">
        <is>
          <t>吳淑芬（與玩家範例為同一人——時間線後期）</t>
        </is>
      </c>
      <c r="C3" s="3" t="inlineStr">
        <is>
          <t>所屬派系：</t>
        </is>
      </c>
      <c r="D3" s="4" t="inlineStr">
        <is>
          <t>獨立流浪者</t>
        </is>
      </c>
      <c r="E3" s="3" t="inlineStr">
        <is>
          <t>所在樓層：</t>
        </is>
      </c>
      <c r="F3" s="4" t="inlineStr">
        <is>
          <t>各樓層遊走</t>
        </is>
      </c>
    </row>
    <row r="4">
      <c r="A4" s="3" t="inlineStr">
        <is>
          <t>角色定位：</t>
        </is>
      </c>
      <c r="B4" s="4" t="inlineStr">
        <is>
          <t>遊走醫療提供者</t>
        </is>
      </c>
      <c r="C4" s="3" t="inlineStr">
        <is>
          <t>對玩家態度：</t>
        </is>
      </c>
      <c r="D4" s="4" t="inlineStr">
        <is>
          <t>友善</t>
        </is>
      </c>
      <c r="E4" s="3" t="inlineStr">
        <is>
          <t>關係等級：</t>
        </is>
      </c>
      <c r="F4" s="4" t="inlineStr">
        <is>
          <t>1</t>
        </is>
      </c>
    </row>
    <row r="6">
      <c r="A6" s="2" t="inlineStr">
        <is>
          <t>五大屬性</t>
        </is>
      </c>
    </row>
    <row r="7">
      <c r="A7" s="5" t="inlineStr">
        <is>
          <t>屬性</t>
        </is>
      </c>
      <c r="B7" s="5" t="inlineStr">
        <is>
          <t>數值</t>
        </is>
      </c>
      <c r="C7" s="5" t="inlineStr">
        <is>
          <t>加值</t>
        </is>
      </c>
      <c r="D7" s="5" t="inlineStr">
        <is>
          <t>屬性</t>
        </is>
      </c>
      <c r="E7" s="5" t="inlineStr">
        <is>
          <t>數值</t>
        </is>
      </c>
      <c r="F7" s="5" t="inlineStr">
        <is>
          <t>加值</t>
        </is>
      </c>
    </row>
    <row r="8">
      <c r="A8" s="3" t="inlineStr">
        <is>
          <t>體魄</t>
        </is>
      </c>
      <c r="B8" s="4" t="n">
        <v>4</v>
      </c>
      <c r="C8" s="6">
        <f>B8</f>
        <v/>
      </c>
    </row>
    <row r="9">
      <c r="A9" s="3" t="inlineStr">
        <is>
          <t>機敏</t>
        </is>
      </c>
      <c r="B9" s="4" t="n">
        <v>5</v>
      </c>
      <c r="C9" s="6">
        <f>B9</f>
        <v/>
      </c>
    </row>
    <row r="10">
      <c r="A10" s="3" t="inlineStr">
        <is>
          <t>感知</t>
        </is>
      </c>
      <c r="B10" s="4" t="n">
        <v>6</v>
      </c>
      <c r="C10" s="6">
        <f>B10</f>
        <v/>
      </c>
    </row>
    <row r="11">
      <c r="A11" s="3" t="inlineStr">
        <is>
          <t>理智</t>
        </is>
      </c>
      <c r="B11" s="4" t="n">
        <v>8</v>
      </c>
      <c r="C11" s="6">
        <f>B11</f>
        <v/>
      </c>
    </row>
    <row r="12">
      <c r="A12" s="3" t="inlineStr">
        <is>
          <t>知識</t>
        </is>
      </c>
      <c r="B12" s="4" t="n">
        <v>5</v>
      </c>
      <c r="C12" s="6">
        <f>B12</f>
        <v/>
      </c>
    </row>
    <row r="14">
      <c r="A14" s="2" t="inlineStr">
        <is>
          <t>衍生屬性（自動計算）</t>
        </is>
      </c>
    </row>
    <row r="15">
      <c r="A15" s="3" t="inlineStr">
        <is>
          <t>生命值（HP）</t>
        </is>
      </c>
      <c r="B15" s="7">
        <f>B8*2+5</f>
        <v/>
      </c>
    </row>
    <row r="16">
      <c r="A16" s="3" t="inlineStr">
        <is>
          <t>防禦值（DEF）</t>
        </is>
      </c>
      <c r="B16" s="7">
        <f>10+B9</f>
        <v/>
      </c>
    </row>
    <row r="17">
      <c r="A17" s="3" t="inlineStr">
        <is>
          <t>理智值（SP）</t>
        </is>
      </c>
      <c r="B17" s="7">
        <f>B11*3+10</f>
        <v/>
      </c>
    </row>
    <row r="19">
      <c r="A19" s="3" t="inlineStr">
        <is>
          <t>背景故事：</t>
        </is>
      </c>
    </row>
    <row r="20">
      <c r="A20" s="8" t="inlineStr">
        <is>
          <t>前急診室護理長。她背著一個裝滿醫療用品的背包在各樓層之間遊走，專門幫助受傷或生病的流浪者。她不收杏仁水——只要求一個承諾：下次你遇到需要幫助的人時，也幫助他們。</t>
        </is>
      </c>
    </row>
    <row r="21"/>
    <row r="22">
      <c r="A22" s="3" t="inlineStr">
        <is>
          <t>可提供的服務/資訊：</t>
        </is>
      </c>
    </row>
    <row r="23">
      <c r="A23" s="8" t="inlineStr">
        <is>
          <t>免費醫療服務（以物資交換）、急救技能指導、心理支持（恢復 SP）</t>
        </is>
      </c>
    </row>
    <row r="24"/>
    <row r="25">
      <c r="A25" s="3" t="inlineStr">
        <is>
          <t>秘密/隱藏動機（GM專用）：</t>
        </is>
      </c>
    </row>
    <row r="26">
      <c r="A26" s="8" t="inlineStr">
        <is>
          <t>她已經找到了通往現實的出口線索——但她選擇不離開，因為後室中有太多人需要她。</t>
        </is>
      </c>
    </row>
    <row r="27"/>
  </sheetData>
  <mergeCells count="10">
    <mergeCell ref="A2:F2"/>
    <mergeCell ref="A23:F24"/>
    <mergeCell ref="A19:F19"/>
    <mergeCell ref="A14:F14"/>
    <mergeCell ref="A1:F1"/>
    <mergeCell ref="A6:F6"/>
    <mergeCell ref="A22:F22"/>
    <mergeCell ref="A26:F27"/>
    <mergeCell ref="A20:F21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NPC：「深度記錄者」（Level 37 隱士）</t>
        </is>
      </c>
    </row>
    <row r="2">
      <c r="A2" s="2" t="inlineStr">
        <is>
          <t>基本資訊</t>
        </is>
      </c>
    </row>
    <row r="3">
      <c r="A3" s="3" t="inlineStr">
        <is>
          <t>NPC名稱：</t>
        </is>
      </c>
      <c r="B3" s="4" t="inlineStr">
        <is>
          <t>（從不透露）</t>
        </is>
      </c>
      <c r="C3" s="3" t="inlineStr">
        <is>
          <t>所屬派系：</t>
        </is>
      </c>
      <c r="D3" s="4" t="inlineStr">
        <is>
          <t>失落者邊緣</t>
        </is>
      </c>
      <c r="E3" s="3" t="inlineStr">
        <is>
          <t>所在樓層：</t>
        </is>
      </c>
      <c r="F3" s="4" t="inlineStr">
        <is>
          <t>Level 37</t>
        </is>
      </c>
    </row>
    <row r="4">
      <c r="A4" s="3" t="inlineStr">
        <is>
          <t>角色定位：</t>
        </is>
      </c>
      <c r="B4" s="4" t="inlineStr">
        <is>
          <t>隱士 / 出口守護者</t>
        </is>
      </c>
      <c r="C4" s="3" t="inlineStr">
        <is>
          <t>對玩家態度：</t>
        </is>
      </c>
      <c r="D4" s="4" t="inlineStr">
        <is>
          <t>中立——願意交談但不輕易信任</t>
        </is>
      </c>
      <c r="E4" s="3" t="inlineStr">
        <is>
          <t>關係等級：</t>
        </is>
      </c>
      <c r="F4" s="4" t="inlineStr">
        <is>
          <t>0</t>
        </is>
      </c>
    </row>
    <row r="6">
      <c r="A6" s="2" t="inlineStr">
        <is>
          <t>五大屬性</t>
        </is>
      </c>
    </row>
    <row r="7">
      <c r="A7" s="5" t="inlineStr">
        <is>
          <t>屬性</t>
        </is>
      </c>
      <c r="B7" s="5" t="inlineStr">
        <is>
          <t>數值</t>
        </is>
      </c>
      <c r="C7" s="5" t="inlineStr">
        <is>
          <t>加值</t>
        </is>
      </c>
      <c r="D7" s="5" t="inlineStr">
        <is>
          <t>屬性</t>
        </is>
      </c>
      <c r="E7" s="5" t="inlineStr">
        <is>
          <t>數值</t>
        </is>
      </c>
      <c r="F7" s="5" t="inlineStr">
        <is>
          <t>加值</t>
        </is>
      </c>
    </row>
    <row r="8">
      <c r="A8" s="3" t="inlineStr">
        <is>
          <t>體魄</t>
        </is>
      </c>
      <c r="B8" s="4" t="n">
        <v>4</v>
      </c>
      <c r="C8" s="6">
        <f>B8</f>
        <v/>
      </c>
    </row>
    <row r="9">
      <c r="A9" s="3" t="inlineStr">
        <is>
          <t>機敏</t>
        </is>
      </c>
      <c r="B9" s="4" t="n">
        <v>3</v>
      </c>
      <c r="C9" s="6">
        <f>B9</f>
        <v/>
      </c>
    </row>
    <row r="10">
      <c r="A10" s="3" t="inlineStr">
        <is>
          <t>感知</t>
        </is>
      </c>
      <c r="B10" s="4" t="n">
        <v>7</v>
      </c>
      <c r="C10" s="6">
        <f>B10</f>
        <v/>
      </c>
    </row>
    <row r="11">
      <c r="A11" s="3" t="inlineStr">
        <is>
          <t>理智</t>
        </is>
      </c>
      <c r="B11" s="4" t="n">
        <v>9</v>
      </c>
      <c r="C11" s="6">
        <f>B11</f>
        <v/>
      </c>
    </row>
    <row r="12">
      <c r="A12" s="3" t="inlineStr">
        <is>
          <t>知識</t>
        </is>
      </c>
      <c r="B12" s="4" t="n">
        <v>8</v>
      </c>
      <c r="C12" s="6">
        <f>B12</f>
        <v/>
      </c>
    </row>
    <row r="14">
      <c r="A14" s="2" t="inlineStr">
        <is>
          <t>衍生屬性（自動計算）</t>
        </is>
      </c>
    </row>
    <row r="15">
      <c r="A15" s="3" t="inlineStr">
        <is>
          <t>生命值（HP）</t>
        </is>
      </c>
      <c r="B15" s="7">
        <f>B8*2+5</f>
        <v/>
      </c>
    </row>
    <row r="16">
      <c r="A16" s="3" t="inlineStr">
        <is>
          <t>防禦值（DEF）</t>
        </is>
      </c>
      <c r="B16" s="7">
        <f>10+B9</f>
        <v/>
      </c>
    </row>
    <row r="17">
      <c r="A17" s="3" t="inlineStr">
        <is>
          <t>理智值（SP）</t>
        </is>
      </c>
      <c r="B17" s="7">
        <f>B11*3+10</f>
        <v/>
      </c>
    </row>
    <row r="19">
      <c r="A19" s="3" t="inlineStr">
        <is>
          <t>背景故事：</t>
        </is>
      </c>
    </row>
    <row r="20">
      <c r="A20" s="8" t="inlineStr">
        <is>
          <t>在 Level 37 獨居了三年的流浪者。年紀難判（可能40，可能60），穿破舊但乾淨的衣物。他的理智是完整的——但經過三年的孤獨，他的'正常'可能不是常人的'正常'。他坐在最深處泳池的邊緣，腳浸在水中，看著水面——像是在等待什麼。</t>
        </is>
      </c>
    </row>
    <row r="21"/>
    <row r="22">
      <c r="A22" s="3" t="inlineStr">
        <is>
          <t>可提供的服務/資訊：</t>
        </is>
      </c>
    </row>
    <row r="23">
      <c r="A23" s="8" t="inlineStr">
        <is>
          <t>出口的秘密（真相取決於 GM）、Level 37 的生存知識、對後室本質的獨特見解</t>
        </is>
      </c>
    </row>
    <row r="24"/>
    <row r="25">
      <c r="A25" s="3" t="inlineStr">
        <is>
          <t>秘密/隱藏動機（GM專用）：</t>
        </is>
      </c>
    </row>
    <row r="26">
      <c r="A26" s="8" t="inlineStr">
        <is>
          <t>出口的真相是 GM 的核心選擇——可能是真實出口、謊言、陷阱、或需要犧牲。</t>
        </is>
      </c>
    </row>
    <row r="27"/>
  </sheetData>
  <mergeCells count="10">
    <mergeCell ref="A2:F2"/>
    <mergeCell ref="A23:F24"/>
    <mergeCell ref="A19:F19"/>
    <mergeCell ref="A14:F14"/>
    <mergeCell ref="A1:F1"/>
    <mergeCell ref="A6:F6"/>
    <mergeCell ref="A22:F22"/>
    <mergeCell ref="A26:F27"/>
    <mergeCell ref="A20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2026-07-15T17:10:17Z</dcterms:created>
  <dcterms:modified xsi:type="dcterms:W3CDTF">2026-07-15T17:10:17Z</dcterms:modified>
</cp:coreProperties>
</file>