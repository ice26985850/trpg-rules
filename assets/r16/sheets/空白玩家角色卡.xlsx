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1"/>
    </font>
    <font>
      <name val="Microsoft JhengHei"/>
      <color rgb="00666666"/>
      <sz val="9"/>
    </font>
    <font>
      <name val="Microsoft JhengHei"/>
      <b val="1"/>
      <color rgb="00FF0000"/>
      <sz val="12"/>
    </font>
    <font>
      <name val="Microsoft JhengHei"/>
      <color rgb="00FF0000"/>
      <sz val="9"/>
    </font>
    <font>
      <name val="Microsoft JhengHei"/>
      <b val="1"/>
      <sz val="10"/>
    </font>
    <font>
      <name val="Microsoft JhengHei"/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後室行者 TRPG —— 玩家角色卡</t>
        </is>
      </c>
      <c r="B1" s="17" t="n"/>
      <c r="C1" s="17" t="n"/>
      <c r="D1" s="17" t="n"/>
      <c r="E1" s="17" t="n"/>
      <c r="F1" s="18" t="n"/>
    </row>
    <row r="2">
      <c r="A2" s="2" t="inlineStr">
        <is>
          <t>基本資訊</t>
        </is>
      </c>
      <c r="B2" s="17" t="n"/>
      <c r="C2" s="17" t="n"/>
      <c r="D2" s="17" t="n"/>
      <c r="E2" s="17" t="n"/>
      <c r="F2" s="18" t="n"/>
    </row>
    <row r="3">
      <c r="A3" s="3" t="inlineStr">
        <is>
          <t>角色名稱：</t>
        </is>
      </c>
      <c r="B3" s="4" t="inlineStr"/>
      <c r="C3" s="3" t="inlineStr">
        <is>
          <t>年齡：</t>
        </is>
      </c>
      <c r="D3" s="4" t="inlineStr"/>
      <c r="E3" s="3" t="inlineStr">
        <is>
          <t>背景：</t>
        </is>
      </c>
      <c r="F3" s="4" t="inlineStr"/>
    </row>
    <row r="4">
      <c r="A4" s="3" t="inlineStr">
        <is>
          <t>卡穿前職業：</t>
        </is>
      </c>
      <c r="B4" s="4" t="inlineStr"/>
      <c r="C4" s="3" t="inlineStr">
        <is>
          <t>在後室時間：</t>
        </is>
      </c>
      <c r="D4" s="4" t="inlineStr"/>
      <c r="E4" s="3" t="inlineStr">
        <is>
          <t>當前里程碑：</t>
        </is>
      </c>
      <c r="F4" s="4" t="inlineStr"/>
    </row>
    <row r="6">
      <c r="A6" s="2" t="inlineStr">
        <is>
          <t>五大屬性（初始25點分配，單項上限8）</t>
        </is>
      </c>
      <c r="B6" s="17" t="n"/>
      <c r="C6" s="17" t="n"/>
      <c r="D6" s="17" t="n"/>
      <c r="E6" s="17" t="n"/>
      <c r="F6" s="18" t="n"/>
    </row>
    <row r="7">
      <c r="A7" s="5" t="inlineStr">
        <is>
          <t>屬性名稱</t>
        </is>
      </c>
      <c r="B7" s="5" t="inlineStr">
        <is>
          <t>屬性值（輸入）</t>
        </is>
      </c>
      <c r="C7" s="5" t="inlineStr">
        <is>
          <t>屬性加值（=屬性值）</t>
        </is>
      </c>
      <c r="D7" s="5" t="inlineStr">
        <is>
          <t>屬性名稱</t>
        </is>
      </c>
      <c r="E7" s="5" t="inlineStr">
        <is>
          <t>屬性值（輸入）</t>
        </is>
      </c>
      <c r="F7" s="5" t="inlineStr">
        <is>
          <t>屬性加值（=屬性值）</t>
        </is>
      </c>
    </row>
    <row r="8">
      <c r="A8" s="3" t="inlineStr">
        <is>
          <t>體魄（PHY）</t>
        </is>
      </c>
      <c r="B8" s="4" t="n"/>
      <c r="C8" s="6">
        <f>B8</f>
        <v/>
      </c>
      <c r="F8" s="7" t="inlineStr">
        <is>
          <t>體魄×2+5=HP</t>
        </is>
      </c>
    </row>
    <row r="9">
      <c r="A9" s="3" t="inlineStr">
        <is>
          <t>機敏（AGI）</t>
        </is>
      </c>
      <c r="B9" s="4" t="n"/>
      <c r="C9" s="6">
        <f>B9</f>
        <v/>
      </c>
      <c r="F9" s="7" t="inlineStr">
        <is>
          <t>10+機敏=防禦值</t>
        </is>
      </c>
    </row>
    <row r="10">
      <c r="A10" s="3" t="inlineStr">
        <is>
          <t>感知（PER）</t>
        </is>
      </c>
      <c r="B10" s="4" t="n"/>
      <c r="C10" s="6">
        <f>B10</f>
        <v/>
      </c>
      <c r="F10" s="7" t="inlineStr">
        <is>
          <t>感知+機敏=先攻</t>
        </is>
      </c>
    </row>
    <row r="11">
      <c r="A11" s="3" t="inlineStr">
        <is>
          <t>理智（SAN）</t>
        </is>
      </c>
      <c r="B11" s="4" t="n"/>
      <c r="C11" s="6">
        <f>B11</f>
        <v/>
      </c>
      <c r="F11" s="7" t="inlineStr">
        <is>
          <t>理智×3+10=SP</t>
        </is>
      </c>
    </row>
    <row r="12">
      <c r="A12" s="3" t="inlineStr">
        <is>
          <t>知識（KNO）</t>
        </is>
      </c>
      <c r="B12" s="4" t="n"/>
      <c r="C12" s="6">
        <f>B12</f>
        <v/>
      </c>
      <c r="F12" s="7" t="inlineStr">
        <is>
          <t>後室知識基礎</t>
        </is>
      </c>
    </row>
    <row r="13">
      <c r="A13" s="3" t="inlineStr">
        <is>
          <t>屬性總和（應=25）：</t>
        </is>
      </c>
      <c r="B13" s="18" t="n"/>
      <c r="C13" s="8">
        <f>SUM(B8:B12)</f>
        <v/>
      </c>
      <c r="D13" s="9" t="inlineStr">
        <is>
          <t>（若≠25請調整）</t>
        </is>
      </c>
    </row>
    <row r="15">
      <c r="A15" s="2" t="inlineStr">
        <is>
          <t>衍生屬性（自動計算）</t>
        </is>
      </c>
      <c r="B15" s="17" t="n"/>
      <c r="C15" s="17" t="n"/>
      <c r="D15" s="17" t="n"/>
      <c r="E15" s="17" t="n"/>
      <c r="F15" s="18" t="n"/>
    </row>
    <row r="16">
      <c r="A16" s="10" t="inlineStr">
        <is>
          <t>衍生屬性</t>
        </is>
      </c>
      <c r="B16" s="10" t="inlineStr">
        <is>
          <t>數值（自動計算）</t>
        </is>
      </c>
      <c r="C16" s="10" t="inlineStr">
        <is>
          <t>計算公式</t>
        </is>
      </c>
      <c r="D16" s="10" t="inlineStr">
        <is>
          <t>衍生屬性</t>
        </is>
      </c>
      <c r="E16" s="10" t="inlineStr">
        <is>
          <t>數值（自動計算）</t>
        </is>
      </c>
      <c r="F16" s="10" t="inlineStr">
        <is>
          <t>計算公式</t>
        </is>
      </c>
    </row>
    <row r="17">
      <c r="A17" s="3" t="inlineStr">
        <is>
          <t>生命值（HP）</t>
        </is>
      </c>
      <c r="B17" s="11">
        <f>B8*2+5</f>
        <v/>
      </c>
      <c r="C17" s="7" t="inlineStr">
        <is>
          <t>體魄(8)×2+5</t>
        </is>
      </c>
      <c r="D17" s="12" t="inlineStr"/>
      <c r="E17" s="6" t="inlineStr"/>
      <c r="F17" s="7" t="inlineStr"/>
    </row>
    <row r="18">
      <c r="A18" s="3" t="inlineStr">
        <is>
          <t>防禦值（DEF）</t>
        </is>
      </c>
      <c r="B18" s="11">
        <f>10+B9</f>
        <v/>
      </c>
      <c r="C18" s="7" t="inlineStr">
        <is>
          <t>10+機敏(9)</t>
        </is>
      </c>
      <c r="D18" s="12" t="inlineStr"/>
      <c r="E18" s="6" t="inlineStr"/>
      <c r="F18" s="7" t="inlineStr"/>
    </row>
    <row r="19">
      <c r="A19" s="3" t="inlineStr">
        <is>
          <t>理智值（SP）</t>
        </is>
      </c>
      <c r="B19" s="11">
        <f>B11*3+10</f>
        <v/>
      </c>
      <c r="C19" s="7" t="inlineStr">
        <is>
          <t>理智(11)×3+10</t>
        </is>
      </c>
      <c r="D19" s="12" t="inlineStr"/>
      <c r="E19" s="6" t="inlineStr"/>
      <c r="F19" s="7" t="inlineStr"/>
    </row>
    <row r="20">
      <c r="A20" s="3" t="inlineStr">
        <is>
          <t>負重上限（kg）</t>
        </is>
      </c>
      <c r="B20" s="11">
        <f>B8*2</f>
        <v/>
      </c>
      <c r="C20" s="7" t="inlineStr">
        <is>
          <t>體魄(8)×2</t>
        </is>
      </c>
    </row>
    <row r="21">
      <c r="A21" s="3" t="inlineStr">
        <is>
          <t>移動速度（m/回合）</t>
        </is>
      </c>
      <c r="B21" s="11">
        <f>6+B9</f>
        <v/>
      </c>
      <c r="C21" s="7" t="inlineStr">
        <is>
          <t>6+機敏(9)</t>
        </is>
      </c>
    </row>
    <row r="22">
      <c r="A22" s="3" t="inlineStr">
        <is>
          <t>先攻加值</t>
        </is>
      </c>
      <c r="B22" s="11">
        <f>B9+B10</f>
        <v/>
      </c>
      <c r="C22" s="7" t="inlineStr">
        <is>
          <t>機敏(9)+感知(10)</t>
        </is>
      </c>
    </row>
    <row r="24">
      <c r="A24" s="2" t="inlineStr">
        <is>
          <t>技能（背景選3-4受訓+1專精+2自由受訓）</t>
        </is>
      </c>
      <c r="B24" s="17" t="n"/>
      <c r="C24" s="17" t="n"/>
      <c r="D24" s="17" t="n"/>
      <c r="E24" s="17" t="n"/>
      <c r="F24" s="18" t="n"/>
    </row>
    <row r="25">
      <c r="A25" s="10" t="inlineStr">
        <is>
          <t>技能名稱</t>
        </is>
      </c>
      <c r="B25" s="10" t="inlineStr">
        <is>
          <t>所屬屬性</t>
        </is>
      </c>
      <c r="C25" s="10" t="inlineStr">
        <is>
          <t>熟練等級</t>
        </is>
      </c>
      <c r="D25" s="10" t="inlineStr">
        <is>
          <t>熟練加值</t>
        </is>
      </c>
      <c r="E25" s="10" t="inlineStr">
        <is>
          <t>技能總值（屬性+熟練）</t>
        </is>
      </c>
      <c r="F25" s="10" t="inlineStr">
        <is>
          <t>備註</t>
        </is>
      </c>
    </row>
    <row r="26">
      <c r="A26" s="3" t="inlineStr">
        <is>
          <t>運動</t>
        </is>
      </c>
      <c r="B26" s="13" t="inlineStr">
        <is>
          <t>體魄(PHY)</t>
        </is>
      </c>
      <c r="C26" s="4" t="inlineStr">
        <is>
          <t>未受訓</t>
        </is>
      </c>
      <c r="D26" s="6">
        <f>IF(C26="專精",5,IF(C26="受訓",3,0))</f>
        <v/>
      </c>
      <c r="E26" s="6">
        <f>B8+D26</f>
        <v/>
      </c>
      <c r="F26" s="7" t="inlineStr"/>
    </row>
    <row r="27">
      <c r="A27" s="3" t="inlineStr">
        <is>
          <t>耐力</t>
        </is>
      </c>
      <c r="B27" s="13" t="inlineStr">
        <is>
          <t>體魄(PHY)</t>
        </is>
      </c>
      <c r="C27" s="4" t="inlineStr">
        <is>
          <t>未受訓</t>
        </is>
      </c>
      <c r="D27" s="6">
        <f>IF(C27="專精",5,IF(C27="受訓",3,0))</f>
        <v/>
      </c>
      <c r="E27" s="6">
        <f>B8+D27</f>
        <v/>
      </c>
      <c r="F27" s="7" t="inlineStr"/>
    </row>
    <row r="28">
      <c r="A28" s="3" t="inlineStr">
        <is>
          <t>力量</t>
        </is>
      </c>
      <c r="B28" s="13" t="inlineStr">
        <is>
          <t>體魄(PHY)</t>
        </is>
      </c>
      <c r="C28" s="4" t="inlineStr">
        <is>
          <t>未受訓</t>
        </is>
      </c>
      <c r="D28" s="6">
        <f>IF(C28="專精",5,IF(C28="受訓",3,0))</f>
        <v/>
      </c>
      <c r="E28" s="6">
        <f>B8+D28</f>
        <v/>
      </c>
      <c r="F28" s="7" t="inlineStr"/>
    </row>
    <row r="29">
      <c r="A29" s="3" t="inlineStr">
        <is>
          <t>潛行</t>
        </is>
      </c>
      <c r="B29" s="13" t="inlineStr">
        <is>
          <t>機敏(AGI)</t>
        </is>
      </c>
      <c r="C29" s="4" t="inlineStr">
        <is>
          <t>未受訓</t>
        </is>
      </c>
      <c r="D29" s="6">
        <f>IF(C29="專精",5,IF(C29="受訓",3,0))</f>
        <v/>
      </c>
      <c r="E29" s="6">
        <f>B9+D29</f>
        <v/>
      </c>
      <c r="F29" s="7" t="inlineStr"/>
    </row>
    <row r="30">
      <c r="A30" s="3" t="inlineStr">
        <is>
          <t>特技</t>
        </is>
      </c>
      <c r="B30" s="13" t="inlineStr">
        <is>
          <t>機敏(AGI)</t>
        </is>
      </c>
      <c r="C30" s="4" t="inlineStr">
        <is>
          <t>未受訓</t>
        </is>
      </c>
      <c r="D30" s="6">
        <f>IF(C30="專精",5,IF(C30="受訓",3,0))</f>
        <v/>
      </c>
      <c r="E30" s="6">
        <f>B9+D30</f>
        <v/>
      </c>
      <c r="F30" s="7" t="inlineStr"/>
    </row>
    <row r="31">
      <c r="A31" s="3" t="inlineStr">
        <is>
          <t>巧手</t>
        </is>
      </c>
      <c r="B31" s="13" t="inlineStr">
        <is>
          <t>機敏(AGI)</t>
        </is>
      </c>
      <c r="C31" s="4" t="inlineStr">
        <is>
          <t>未受訓</t>
        </is>
      </c>
      <c r="D31" s="6">
        <f>IF(C31="專精",5,IF(C31="受訓",3,0))</f>
        <v/>
      </c>
      <c r="E31" s="6">
        <f>B9+D31</f>
        <v/>
      </c>
      <c r="F31" s="7" t="inlineStr"/>
    </row>
    <row r="32">
      <c r="A32" s="3" t="inlineStr">
        <is>
          <t>閃避</t>
        </is>
      </c>
      <c r="B32" s="13" t="inlineStr">
        <is>
          <t>機敏(AGI)</t>
        </is>
      </c>
      <c r="C32" s="4" t="inlineStr">
        <is>
          <t>未受訓</t>
        </is>
      </c>
      <c r="D32" s="6">
        <f>IF(C32="專精",5,IF(C32="受訓",3,0))</f>
        <v/>
      </c>
      <c r="E32" s="6">
        <f>B9+D32</f>
        <v/>
      </c>
      <c r="F32" s="7" t="inlineStr"/>
    </row>
    <row r="33">
      <c r="A33" s="3" t="inlineStr">
        <is>
          <t>搜索</t>
        </is>
      </c>
      <c r="B33" s="13" t="inlineStr">
        <is>
          <t>感知(PER)</t>
        </is>
      </c>
      <c r="C33" s="4" t="inlineStr">
        <is>
          <t>未受訓</t>
        </is>
      </c>
      <c r="D33" s="6">
        <f>IF(C33="專精",5,IF(C33="受訓",3,0))</f>
        <v/>
      </c>
      <c r="E33" s="6">
        <f>B10+D33</f>
        <v/>
      </c>
      <c r="F33" s="7" t="inlineStr"/>
    </row>
    <row r="34">
      <c r="A34" s="3" t="inlineStr">
        <is>
          <t>追蹤</t>
        </is>
      </c>
      <c r="B34" s="13" t="inlineStr">
        <is>
          <t>感知(PER)</t>
        </is>
      </c>
      <c r="C34" s="4" t="inlineStr">
        <is>
          <t>未受訓</t>
        </is>
      </c>
      <c r="D34" s="6">
        <f>IF(C34="專精",5,IF(C34="受訓",3,0))</f>
        <v/>
      </c>
      <c r="E34" s="6">
        <f>B10+D34</f>
        <v/>
      </c>
      <c r="F34" s="7" t="inlineStr"/>
    </row>
    <row r="35">
      <c r="A35" s="3" t="inlineStr">
        <is>
          <t>洞察</t>
        </is>
      </c>
      <c r="B35" s="13" t="inlineStr">
        <is>
          <t>感知(PER)</t>
        </is>
      </c>
      <c r="C35" s="4" t="inlineStr">
        <is>
          <t>未受訓</t>
        </is>
      </c>
      <c r="D35" s="6">
        <f>IF(C35="專精",5,IF(C35="受訓",3,0))</f>
        <v/>
      </c>
      <c r="E35" s="6">
        <f>B10+D35</f>
        <v/>
      </c>
      <c r="F35" s="7" t="inlineStr"/>
    </row>
    <row r="36">
      <c r="A36" s="3" t="inlineStr">
        <is>
          <t>危險感知</t>
        </is>
      </c>
      <c r="B36" s="13" t="inlineStr">
        <is>
          <t>感知(PER)</t>
        </is>
      </c>
      <c r="C36" s="4" t="inlineStr">
        <is>
          <t>未受訓</t>
        </is>
      </c>
      <c r="D36" s="6">
        <f>IF(C36="專精",5,IF(C36="受訓",3,0))</f>
        <v/>
      </c>
      <c r="E36" s="6">
        <f>B10+D36</f>
        <v/>
      </c>
      <c r="F36" s="7" t="inlineStr"/>
    </row>
    <row r="37">
      <c r="A37" s="3" t="inlineStr">
        <is>
          <t>意志</t>
        </is>
      </c>
      <c r="B37" s="13" t="inlineStr">
        <is>
          <t>理智(SAN)</t>
        </is>
      </c>
      <c r="C37" s="4" t="inlineStr">
        <is>
          <t>未受訓</t>
        </is>
      </c>
      <c r="D37" s="6">
        <f>IF(C37="專精",5,IF(C37="受訓",3,0))</f>
        <v/>
      </c>
      <c r="E37" s="6">
        <f>B11+D37</f>
        <v/>
      </c>
      <c r="F37" s="7" t="inlineStr"/>
    </row>
    <row r="38">
      <c r="A38" s="3" t="inlineStr">
        <is>
          <t>鎮定</t>
        </is>
      </c>
      <c r="B38" s="13" t="inlineStr">
        <is>
          <t>理智(SAN)</t>
        </is>
      </c>
      <c r="C38" s="4" t="inlineStr">
        <is>
          <t>未受訓</t>
        </is>
      </c>
      <c r="D38" s="6">
        <f>IF(C38="專精",5,IF(C38="受訓",3,0))</f>
        <v/>
      </c>
      <c r="E38" s="6">
        <f>B11+D38</f>
        <v/>
      </c>
      <c r="F38" s="7" t="inlineStr"/>
    </row>
    <row r="39">
      <c r="A39" s="3" t="inlineStr">
        <is>
          <t>冥想</t>
        </is>
      </c>
      <c r="B39" s="13" t="inlineStr">
        <is>
          <t>理智(SAN)</t>
        </is>
      </c>
      <c r="C39" s="4" t="inlineStr">
        <is>
          <t>未受訓</t>
        </is>
      </c>
      <c r="D39" s="6">
        <f>IF(C39="專精",5,IF(C39="受訓",3,0))</f>
        <v/>
      </c>
      <c r="E39" s="6">
        <f>B11+D39</f>
        <v/>
      </c>
      <c r="F39" s="7" t="inlineStr"/>
    </row>
    <row r="40">
      <c r="A40" s="3" t="inlineStr">
        <is>
          <t>後室知識</t>
        </is>
      </c>
      <c r="B40" s="13" t="inlineStr">
        <is>
          <t>知識(KNO)</t>
        </is>
      </c>
      <c r="C40" s="4" t="inlineStr">
        <is>
          <t>未受訓</t>
        </is>
      </c>
      <c r="D40" s="6">
        <f>IF(C40="專精",5,IF(C40="受訓",3,0))</f>
        <v/>
      </c>
      <c r="E40" s="6">
        <f>B12+D40+B44</f>
        <v/>
      </c>
      <c r="F40" s="7" t="inlineStr">
        <is>
          <t>含知識值</t>
        </is>
      </c>
    </row>
    <row r="41">
      <c r="A41" s="3" t="inlineStr">
        <is>
          <t>急救</t>
        </is>
      </c>
      <c r="B41" s="13" t="inlineStr">
        <is>
          <t>知識(KNO)</t>
        </is>
      </c>
      <c r="C41" s="4" t="inlineStr">
        <is>
          <t>未受訓</t>
        </is>
      </c>
      <c r="D41" s="6">
        <f>IF(C41="專精",5,IF(C41="受訓",3,0))</f>
        <v/>
      </c>
      <c r="E41" s="6">
        <f>B12+D41</f>
        <v/>
      </c>
      <c r="F41" s="7" t="inlineStr"/>
    </row>
    <row r="42">
      <c r="A42" s="3" t="inlineStr">
        <is>
          <t>製作</t>
        </is>
      </c>
      <c r="B42" s="13" t="inlineStr">
        <is>
          <t>知識(KNO)</t>
        </is>
      </c>
      <c r="C42" s="4" t="inlineStr">
        <is>
          <t>未受訓</t>
        </is>
      </c>
      <c r="D42" s="6">
        <f>IF(C42="專精",5,IF(C42="受訓",3,0))</f>
        <v/>
      </c>
      <c r="E42" s="6">
        <f>B12+D42</f>
        <v/>
      </c>
      <c r="F42" s="7" t="inlineStr"/>
    </row>
    <row r="43">
      <c r="A43" s="3" t="inlineStr">
        <is>
          <t>空間記憶</t>
        </is>
      </c>
      <c r="B43" s="13" t="inlineStr">
        <is>
          <t>知識(KNO)</t>
        </is>
      </c>
      <c r="C43" s="4" t="inlineStr">
        <is>
          <t>未受訓</t>
        </is>
      </c>
      <c r="D43" s="6">
        <f>IF(C43="專精",5,IF(C43="受訓",3,0))</f>
        <v/>
      </c>
      <c r="E43" s="6">
        <f>B12+D43</f>
        <v/>
      </c>
      <c r="F43" s="7" t="inlineStr"/>
    </row>
    <row r="44">
      <c r="A44" t="inlineStr">
        <is>
          <t>知識值（KNO Value）：</t>
        </is>
      </c>
      <c r="B44" t="n">
        <v>0</v>
      </c>
      <c r="C44" t="inlineStr">
        <is>
          <t>後室知識檢定時加入此值；請在創角與里程碑5時更新</t>
        </is>
      </c>
    </row>
    <row r="45">
      <c r="A45" s="2" t="inlineStr">
        <is>
          <t>（知識值為獨立追蹤數值，請勿與「知識」屬性混淆——詳見玩家書 §3.5）</t>
        </is>
      </c>
      <c r="B45" s="17" t="n"/>
      <c r="C45" s="17" t="n"/>
      <c r="D45" s="17" t="n"/>
      <c r="E45" s="17" t="n"/>
      <c r="F45" s="18" t="n"/>
    </row>
    <row r="46">
      <c r="A46" s="10" t="inlineStr">
        <is>
          <t>物品名稱</t>
        </is>
      </c>
      <c r="B46" s="10" t="inlineStr">
        <is>
          <t>類別</t>
        </is>
      </c>
      <c r="C46" s="10" t="inlineStr">
        <is>
          <t>重量(kg)</t>
        </is>
      </c>
      <c r="D46" s="10" t="inlineStr">
        <is>
          <t>數量</t>
        </is>
      </c>
      <c r="E46" s="10" t="inlineStr">
        <is>
          <t>效果/備註</t>
        </is>
      </c>
      <c r="F46" s="10" t="inlineStr">
        <is>
          <t>耐久/次數</t>
        </is>
      </c>
    </row>
    <row r="47">
      <c r="A47" s="14" t="inlineStr"/>
      <c r="B47" s="4" t="inlineStr"/>
      <c r="C47" s="4" t="inlineStr"/>
      <c r="D47" s="4" t="inlineStr"/>
      <c r="E47" s="4" t="inlineStr"/>
      <c r="F47" s="4" t="inlineStr"/>
    </row>
    <row r="48">
      <c r="A48" s="14" t="inlineStr"/>
      <c r="B48" s="4" t="inlineStr"/>
      <c r="C48" s="4" t="inlineStr"/>
      <c r="D48" s="4" t="inlineStr"/>
      <c r="E48" s="4" t="inlineStr"/>
      <c r="F48" s="4" t="inlineStr"/>
    </row>
    <row r="49">
      <c r="A49" s="14" t="inlineStr"/>
      <c r="B49" s="4" t="inlineStr"/>
      <c r="C49" s="4" t="inlineStr"/>
      <c r="D49" s="4" t="inlineStr"/>
      <c r="E49" s="4" t="inlineStr"/>
      <c r="F49" s="4" t="inlineStr"/>
    </row>
    <row r="50">
      <c r="A50" s="14" t="inlineStr"/>
      <c r="B50" s="4" t="inlineStr"/>
      <c r="C50" s="4" t="inlineStr"/>
      <c r="D50" s="4" t="inlineStr"/>
      <c r="E50" s="4" t="inlineStr"/>
      <c r="F50" s="4" t="inlineStr"/>
    </row>
    <row r="51">
      <c r="A51" s="14" t="inlineStr"/>
      <c r="B51" s="4" t="inlineStr"/>
      <c r="C51" s="4" t="inlineStr"/>
      <c r="D51" s="4" t="inlineStr"/>
      <c r="E51" s="4" t="inlineStr"/>
      <c r="F51" s="4" t="inlineStr"/>
    </row>
    <row r="52">
      <c r="A52" s="14" t="inlineStr"/>
      <c r="B52" s="4" t="inlineStr"/>
      <c r="C52" s="4" t="inlineStr"/>
      <c r="D52" s="4" t="inlineStr"/>
      <c r="E52" s="4" t="inlineStr"/>
      <c r="F52" s="4" t="inlineStr"/>
    </row>
    <row r="53">
      <c r="A53" s="14" t="inlineStr"/>
      <c r="B53" s="4" t="inlineStr"/>
      <c r="C53" s="4" t="inlineStr"/>
      <c r="D53" s="4" t="inlineStr"/>
      <c r="E53" s="4" t="inlineStr"/>
      <c r="F53" s="4" t="inlineStr"/>
    </row>
    <row r="54">
      <c r="A54" s="14" t="inlineStr"/>
      <c r="B54" s="4" t="inlineStr"/>
      <c r="C54" s="4" t="inlineStr"/>
      <c r="D54" s="4" t="inlineStr"/>
      <c r="E54" s="4" t="inlineStr"/>
      <c r="F54" s="4" t="inlineStr"/>
    </row>
    <row r="55">
      <c r="A55" s="14" t="inlineStr"/>
      <c r="B55" s="4" t="inlineStr"/>
      <c r="C55" s="4" t="inlineStr"/>
      <c r="D55" s="4" t="inlineStr"/>
      <c r="E55" s="4" t="inlineStr"/>
      <c r="F55" s="4" t="inlineStr"/>
    </row>
    <row r="56">
      <c r="A56" s="14" t="inlineStr"/>
      <c r="B56" s="4" t="inlineStr"/>
      <c r="C56" s="4" t="inlineStr"/>
      <c r="D56" s="4" t="inlineStr"/>
      <c r="E56" s="4" t="inlineStr"/>
      <c r="F56" s="4" t="inlineStr"/>
    </row>
    <row r="57">
      <c r="A57" s="14" t="inlineStr"/>
      <c r="B57" s="4" t="inlineStr"/>
      <c r="C57" s="4" t="inlineStr"/>
      <c r="D57" s="4" t="inlineStr"/>
      <c r="E57" s="4" t="inlineStr"/>
      <c r="F57" s="4" t="inlineStr"/>
    </row>
    <row r="58">
      <c r="A58" s="14" t="inlineStr"/>
      <c r="B58" s="4" t="inlineStr"/>
      <c r="C58" s="4" t="inlineStr"/>
      <c r="D58" s="4" t="inlineStr"/>
      <c r="E58" s="4" t="inlineStr"/>
      <c r="F58" s="4" t="inlineStr"/>
    </row>
    <row r="59">
      <c r="A59" s="3" t="inlineStr">
        <is>
          <t>總重量（kg）：</t>
        </is>
      </c>
      <c r="B59" s="17" t="n"/>
      <c r="C59" s="18" t="n"/>
      <c r="D59" s="15">
        <f>SUMPRODUCT(C47:C58,D47:D58)</f>
        <v/>
      </c>
      <c r="E59" s="13" t="inlineStr">
        <is>
          <t>負重上限見衍生屬性</t>
        </is>
      </c>
      <c r="F59" s="18" t="n"/>
    </row>
    <row r="61">
      <c r="A61" s="2" t="inlineStr">
        <is>
          <t>資源追蹤</t>
        </is>
      </c>
      <c r="B61" s="17" t="n"/>
      <c r="C61" s="17" t="n"/>
      <c r="D61" s="17" t="n"/>
      <c r="E61" s="17" t="n"/>
      <c r="F61" s="18" t="n"/>
    </row>
    <row r="62">
      <c r="A62" s="10" t="inlineStr">
        <is>
          <t>資源</t>
        </is>
      </c>
      <c r="B62" s="10" t="inlineStr">
        <is>
          <t>當前值（輸入）</t>
        </is>
      </c>
      <c r="C62" s="10" t="inlineStr">
        <is>
          <t>最大值</t>
        </is>
      </c>
      <c r="D62" s="10" t="inlineStr">
        <is>
          <t>狀態</t>
        </is>
      </c>
      <c r="E62" s="10" t="inlineStr">
        <is>
          <t>備註</t>
        </is>
      </c>
      <c r="F62" s="10" t="inlineStr"/>
    </row>
    <row r="63">
      <c r="A63" s="3" t="inlineStr">
        <is>
          <t>杏仁水儲備</t>
        </is>
      </c>
      <c r="B63" s="4" t="inlineStr">
        <is>
          <t>5</t>
        </is>
      </c>
      <c r="C63" s="13" t="inlineStr"/>
      <c r="D63" s="4" t="inlineStr"/>
      <c r="E63" s="7" t="inlineStr">
        <is>
          <t>起始5單位</t>
        </is>
      </c>
    </row>
    <row r="64">
      <c r="A64" s="3" t="inlineStr">
        <is>
          <t>卡路里儲備</t>
        </is>
      </c>
      <c r="B64" s="4" t="inlineStr">
        <is>
          <t>10</t>
        </is>
      </c>
      <c r="C64" s="13" t="inlineStr"/>
      <c r="D64" s="4" t="inlineStr"/>
      <c r="E64" s="7" t="inlineStr">
        <is>
          <t>起始10；每日-1</t>
        </is>
      </c>
    </row>
    <row r="65">
      <c r="A65" s="3" t="inlineStr">
        <is>
          <t>當前HP</t>
        </is>
      </c>
      <c r="B65" s="6" t="n"/>
      <c r="C65" s="13">
        <f>B8*2+5</f>
        <v/>
      </c>
      <c r="D65" s="4" t="inlineStr"/>
      <c r="E65" s="7">
        <f>體魄×2+5</f>
        <v/>
      </c>
    </row>
    <row r="66">
      <c r="A66" s="3" t="inlineStr">
        <is>
          <t>當前SP</t>
        </is>
      </c>
      <c r="B66" s="6" t="n"/>
      <c r="C66" s="13">
        <f>B11*3+10</f>
        <v/>
      </c>
      <c r="D66" s="4" t="inlineStr"/>
      <c r="E66" s="7">
        <f>理智×3+10</f>
        <v/>
      </c>
    </row>
    <row r="68">
      <c r="A68" s="2" t="inlineStr">
        <is>
          <t>角色故事</t>
        </is>
      </c>
      <c r="B68" s="17" t="n"/>
      <c r="C68" s="17" t="n"/>
      <c r="D68" s="17" t="n"/>
      <c r="E68" s="17" t="n"/>
      <c r="F68" s="18" t="n"/>
    </row>
    <row r="69">
      <c r="A69" s="3" t="inlineStr">
        <is>
          <t>1. 你是誰（名字、年齡、卡穿前的生活）：</t>
        </is>
      </c>
      <c r="B69" s="17" t="n"/>
      <c r="C69" s="17" t="n"/>
      <c r="D69" s="17" t="n"/>
      <c r="E69" s="17" t="n"/>
      <c r="F69" s="18" t="n"/>
    </row>
    <row r="70">
      <c r="A70" s="14" t="inlineStr"/>
      <c r="B70" s="19" t="n"/>
      <c r="C70" s="19" t="n"/>
      <c r="D70" s="19" t="n"/>
      <c r="E70" s="19" t="n"/>
      <c r="F70" s="20" t="n"/>
    </row>
    <row r="71">
      <c r="A71" s="21" t="n"/>
      <c r="B71" s="22" t="n"/>
      <c r="C71" s="22" t="n"/>
      <c r="D71" s="22" t="n"/>
      <c r="E71" s="22" t="n"/>
      <c r="F71" s="23" t="n"/>
    </row>
    <row r="72">
      <c r="A72" s="3" t="inlineStr">
        <is>
          <t>2. 卡穿的瞬間（在哪裡、做什麼時掉進後室）：</t>
        </is>
      </c>
      <c r="B72" s="17" t="n"/>
      <c r="C72" s="17" t="n"/>
      <c r="D72" s="17" t="n"/>
      <c r="E72" s="17" t="n"/>
      <c r="F72" s="18" t="n"/>
    </row>
    <row r="73">
      <c r="A73" s="14" t="inlineStr"/>
      <c r="B73" s="19" t="n"/>
      <c r="C73" s="19" t="n"/>
      <c r="D73" s="19" t="n"/>
      <c r="E73" s="19" t="n"/>
      <c r="F73" s="20" t="n"/>
    </row>
    <row r="74">
      <c r="A74" s="21" t="n"/>
      <c r="B74" s="22" t="n"/>
      <c r="C74" s="22" t="n"/>
      <c r="D74" s="22" t="n"/>
      <c r="E74" s="22" t="n"/>
      <c r="F74" s="23" t="n"/>
    </row>
    <row r="75">
      <c r="A75" s="3" t="inlineStr">
        <is>
          <t>3. 你見過什麼（第一次實體遭遇）：</t>
        </is>
      </c>
      <c r="B75" s="17" t="n"/>
      <c r="C75" s="17" t="n"/>
      <c r="D75" s="17" t="n"/>
      <c r="E75" s="17" t="n"/>
      <c r="F75" s="18" t="n"/>
    </row>
    <row r="76">
      <c r="A76" s="14" t="inlineStr"/>
      <c r="B76" s="19" t="n"/>
      <c r="C76" s="19" t="n"/>
      <c r="D76" s="19" t="n"/>
      <c r="E76" s="19" t="n"/>
      <c r="F76" s="20" t="n"/>
    </row>
    <row r="77">
      <c r="A77" s="21" t="n"/>
      <c r="B77" s="22" t="n"/>
      <c r="C77" s="22" t="n"/>
      <c r="D77" s="22" t="n"/>
      <c r="E77" s="22" t="n"/>
      <c r="F77" s="23" t="n"/>
    </row>
    <row r="78">
      <c r="A78" s="3" t="inlineStr">
        <is>
          <t>4. 你想回去嗎（核心動機）：</t>
        </is>
      </c>
      <c r="B78" s="17" t="n"/>
      <c r="C78" s="17" t="n"/>
      <c r="D78" s="17" t="n"/>
      <c r="E78" s="17" t="n"/>
      <c r="F78" s="18" t="n"/>
    </row>
    <row r="79">
      <c r="A79" s="14" t="inlineStr"/>
      <c r="B79" s="19" t="n"/>
      <c r="C79" s="19" t="n"/>
      <c r="D79" s="19" t="n"/>
      <c r="E79" s="19" t="n"/>
      <c r="F79" s="20" t="n"/>
    </row>
    <row r="80">
      <c r="A80" s="21" t="n"/>
      <c r="B80" s="22" t="n"/>
      <c r="C80" s="22" t="n"/>
      <c r="D80" s="22" t="n"/>
      <c r="E80" s="22" t="n"/>
      <c r="F80" s="23" t="n"/>
    </row>
    <row r="81">
      <c r="A81" s="2" t="inlineStr">
        <is>
          <t>里程碑追蹤</t>
        </is>
      </c>
      <c r="B81" s="17" t="n"/>
      <c r="C81" s="17" t="n"/>
      <c r="D81" s="17" t="n"/>
      <c r="E81" s="17" t="n"/>
      <c r="F81" s="18" t="n"/>
    </row>
    <row r="82">
      <c r="A82" s="16" t="inlineStr">
        <is>
          <t>☐ 初醒者</t>
        </is>
      </c>
      <c r="B82" s="16" t="inlineStr">
        <is>
          <t>☐ 生存者</t>
        </is>
      </c>
      <c r="C82" s="16" t="inlineStr">
        <is>
          <t>☐ 探索者</t>
        </is>
      </c>
      <c r="D82" s="14" t="inlineStr">
        <is>
          <t>☐ 適應者</t>
        </is>
      </c>
      <c r="E82" s="4" t="inlineStr"/>
      <c r="F82" s="4" t="inlineStr"/>
      <c r="G82" s="4" t="inlineStr"/>
    </row>
    <row r="84">
      <c r="A84" s="16" t="inlineStr">
        <is>
          <t>☐ 知識者</t>
        </is>
      </c>
      <c r="B84" s="16" t="inlineStr">
        <is>
          <t>☐ 守護者</t>
        </is>
      </c>
      <c r="C84" s="16" t="inlineStr">
        <is>
          <t>☐ 覺醒者</t>
        </is>
      </c>
      <c r="D84" s="14" t="inlineStr">
        <is>
          <t>☐ 傳奇</t>
        </is>
      </c>
      <c r="E84" s="4" t="inlineStr"/>
      <c r="F84" s="4" t="inlineStr"/>
      <c r="G84" s="4" t="inlineStr"/>
    </row>
  </sheetData>
  <mergeCells count="20">
    <mergeCell ref="A75:F75"/>
    <mergeCell ref="A2:F2"/>
    <mergeCell ref="A73:F74"/>
    <mergeCell ref="A70:F71"/>
    <mergeCell ref="A79:F80"/>
    <mergeCell ref="A72:F72"/>
    <mergeCell ref="A81:F81"/>
    <mergeCell ref="E59:F59"/>
    <mergeCell ref="A68:F68"/>
    <mergeCell ref="A59:C59"/>
    <mergeCell ref="A15:F15"/>
    <mergeCell ref="A24:F24"/>
    <mergeCell ref="A76:F77"/>
    <mergeCell ref="A1:F1"/>
    <mergeCell ref="A45:F45"/>
    <mergeCell ref="A61:F61"/>
    <mergeCell ref="A6:F6"/>
    <mergeCell ref="A13:B13"/>
    <mergeCell ref="A78:F78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2026-07-15T17:10:16Z</dcterms:created>
  <dcterms:modified xsi:type="dcterms:W3CDTF">2026-07-16T15:59:42Z</dcterms:modified>
</cp:coreProperties>
</file>