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李明（夜班保全）" sheetId="1" state="visible" r:id="rId1"/>
    <sheet name="小雨（外送員）" sheetId="2" state="visible" r:id="rId2"/>
    <sheet name="張教授（研究生）" sheetId="3" state="visible" r:id="rId3"/>
    <sheet name="吳姐（急診護士）" sheetId="4" state="visible" r:id="rId4"/>
    <sheet name="老趙（倉儲工人）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JhengHei"/>
      <b val="1"/>
      <color rgb="00FFFFFF"/>
      <sz val="14"/>
    </font>
    <font>
      <name val="Microsoft JhengHei"/>
      <b val="1"/>
      <color rgb="002F5496"/>
      <sz val="12"/>
    </font>
    <font>
      <name val="Microsoft JhengHei"/>
      <sz val="11"/>
    </font>
    <font>
      <name val="Microsoft JhengHei"/>
      <b val="1"/>
      <sz val="10"/>
    </font>
    <font>
      <name val="Microsoft JhengHei"/>
      <b val="1"/>
      <color rgb="00FF0000"/>
      <sz val="11"/>
    </font>
    <font>
      <name val="Microsoft JhengHei"/>
      <b val="1"/>
      <sz val="11"/>
    </font>
    <font>
      <name val="Microsoft JhengHei"/>
      <color rgb="00666666"/>
      <sz val="9"/>
    </font>
    <font>
      <name val="Microsoft JhengHei"/>
      <b val="1"/>
      <sz val="9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2" customWidth="1" min="4" max="4"/>
    <col width="16" customWidth="1" min="5" max="5"/>
    <col width="16" customWidth="1" min="6" max="6"/>
  </cols>
  <sheetData>
    <row r="1">
      <c r="A1" s="1" t="inlineStr">
        <is>
          <t>範例角色：李明（夜班保全）</t>
        </is>
      </c>
      <c r="B1" s="15" t="n"/>
      <c r="C1" s="15" t="n"/>
      <c r="D1" s="15" t="n"/>
      <c r="E1" s="15" t="n"/>
      <c r="F1" s="16" t="n"/>
    </row>
    <row r="2">
      <c r="A2" s="2" t="inlineStr">
        <is>
          <t>基本資訊</t>
        </is>
      </c>
      <c r="B2" s="15" t="n"/>
      <c r="C2" s="15" t="n"/>
      <c r="D2" s="15" t="n"/>
      <c r="E2" s="15" t="n"/>
      <c r="F2" s="16" t="n"/>
    </row>
    <row r="3">
      <c r="A3" s="3" t="inlineStr">
        <is>
          <t>角色名稱：</t>
        </is>
      </c>
      <c r="B3" s="4" t="inlineStr">
        <is>
          <t>李明</t>
        </is>
      </c>
      <c r="C3" s="3" t="inlineStr">
        <is>
          <t>年齡：</t>
        </is>
      </c>
      <c r="D3" s="4" t="inlineStr">
        <is>
          <t>32</t>
        </is>
      </c>
      <c r="E3" s="3" t="inlineStr">
        <is>
          <t>背景：</t>
        </is>
      </c>
      <c r="F3" s="4" t="inlineStr">
        <is>
          <t>夜班保全</t>
        </is>
      </c>
      <c r="G3" t="inlineStr">
        <is>
          <t>知識值（KNO Value）：</t>
        </is>
      </c>
    </row>
    <row r="4">
      <c r="A4" s="3" t="inlineStr">
        <is>
          <t>卡穿前職業：</t>
        </is>
      </c>
      <c r="B4" s="4" t="inlineStr">
        <is>
          <t>夜班保全</t>
        </is>
      </c>
      <c r="C4" s="3" t="inlineStr">
        <is>
          <t>在後室時間：</t>
        </is>
      </c>
      <c r="D4" s="4" t="inlineStr">
        <is>
          <t>第一天</t>
        </is>
      </c>
      <c r="E4" s="3" t="inlineStr">
        <is>
          <t>當前里程碑：</t>
        </is>
      </c>
      <c r="F4" s="4" t="inlineStr">
        <is>
          <t>初醒者</t>
        </is>
      </c>
      <c r="G4" t="inlineStr">
        <is>
          <t>0（第一天）</t>
        </is>
      </c>
    </row>
    <row r="5">
      <c r="G5" t="inlineStr">
        <is>
          <t>由「在後室時間」決定；後室知識檢定加入</t>
        </is>
      </c>
    </row>
    <row r="6">
      <c r="A6" s="2" t="inlineStr">
        <is>
          <t>五大屬性</t>
        </is>
      </c>
      <c r="B6" s="15" t="n"/>
      <c r="C6" s="15" t="n"/>
      <c r="D6" s="15" t="n"/>
      <c r="E6" s="15" t="n"/>
      <c r="F6" s="16" t="n"/>
    </row>
    <row r="7">
      <c r="A7" s="5" t="inlineStr">
        <is>
          <t>屬性名稱</t>
        </is>
      </c>
      <c r="B7" s="5" t="inlineStr">
        <is>
          <t>屬性值</t>
        </is>
      </c>
      <c r="C7" s="5" t="inlineStr">
        <is>
          <t>屬性加值</t>
        </is>
      </c>
      <c r="D7" s="5" t="inlineStr">
        <is>
          <t>屬性名稱</t>
        </is>
      </c>
      <c r="E7" s="5" t="inlineStr">
        <is>
          <t>屬性值</t>
        </is>
      </c>
      <c r="F7" s="5" t="inlineStr">
        <is>
          <t>屬性加值</t>
        </is>
      </c>
    </row>
    <row r="8">
      <c r="A8" s="3" t="inlineStr">
        <is>
          <t>體魄（PHY）</t>
        </is>
      </c>
      <c r="B8" s="4" t="n">
        <v>6</v>
      </c>
      <c r="C8" s="6">
        <f>B8</f>
        <v/>
      </c>
    </row>
    <row r="9">
      <c r="A9" s="3" t="inlineStr">
        <is>
          <t>機敏（AGI）</t>
        </is>
      </c>
      <c r="B9" s="4" t="n">
        <v>5</v>
      </c>
      <c r="C9" s="6">
        <f>B9</f>
        <v/>
      </c>
    </row>
    <row r="10">
      <c r="A10" s="3" t="inlineStr">
        <is>
          <t>感知（PER）</t>
        </is>
      </c>
      <c r="B10" s="4" t="n">
        <v>7</v>
      </c>
      <c r="C10" s="6">
        <f>B10</f>
        <v/>
      </c>
    </row>
    <row r="11">
      <c r="A11" s="3" t="inlineStr">
        <is>
          <t>理智（SAN）</t>
        </is>
      </c>
      <c r="B11" s="4" t="n">
        <v>4</v>
      </c>
      <c r="C11" s="6">
        <f>B11</f>
        <v/>
      </c>
    </row>
    <row r="12">
      <c r="A12" s="3" t="inlineStr">
        <is>
          <t>知識（KNO）</t>
        </is>
      </c>
      <c r="B12" s="4" t="n">
        <v>3</v>
      </c>
      <c r="C12" s="6">
        <f>B12</f>
        <v/>
      </c>
    </row>
    <row r="13">
      <c r="A13" s="3" t="inlineStr">
        <is>
          <t>屬性總和：</t>
        </is>
      </c>
      <c r="B13" s="16" t="n"/>
      <c r="C13" s="7">
        <f>SUM(B8:B12)</f>
        <v/>
      </c>
    </row>
    <row r="15">
      <c r="A15" s="2" t="inlineStr">
        <is>
          <t>衍生屬性（自動計算）</t>
        </is>
      </c>
      <c r="B15" s="15" t="n"/>
      <c r="C15" s="15" t="n"/>
      <c r="D15" s="15" t="n"/>
      <c r="E15" s="15" t="n"/>
      <c r="F15" s="16" t="n"/>
    </row>
    <row r="16">
      <c r="A16" s="3" t="inlineStr">
        <is>
          <t>生命值（HP）</t>
        </is>
      </c>
      <c r="B16" s="8">
        <f>B8*2+5</f>
        <v/>
      </c>
      <c r="C16" s="9" t="inlineStr">
        <is>
          <t>體魄×2+5</t>
        </is>
      </c>
    </row>
    <row r="17">
      <c r="A17" s="3" t="inlineStr">
        <is>
          <t>防禦值（DEF）</t>
        </is>
      </c>
      <c r="B17" s="8">
        <f>10+B9</f>
        <v/>
      </c>
      <c r="C17" s="9" t="inlineStr">
        <is>
          <t>10+機敏</t>
        </is>
      </c>
    </row>
    <row r="18">
      <c r="A18" s="3" t="inlineStr">
        <is>
          <t>理智值（SP）</t>
        </is>
      </c>
      <c r="B18" s="8">
        <f>B11*3+10</f>
        <v/>
      </c>
      <c r="C18" s="9" t="inlineStr">
        <is>
          <t>理智×3+10</t>
        </is>
      </c>
    </row>
    <row r="19">
      <c r="A19" s="3" t="inlineStr">
        <is>
          <t>負重上限（kg）</t>
        </is>
      </c>
      <c r="B19" s="8">
        <f>B8*2</f>
        <v/>
      </c>
      <c r="C19" s="9" t="inlineStr">
        <is>
          <t>體魄×2</t>
        </is>
      </c>
    </row>
    <row r="20">
      <c r="A20" s="3" t="inlineStr">
        <is>
          <t>移動速度（m/回合）</t>
        </is>
      </c>
      <c r="B20" s="8">
        <f>6+B9</f>
        <v/>
      </c>
      <c r="C20" s="9" t="inlineStr">
        <is>
          <t>6+機敏</t>
        </is>
      </c>
    </row>
    <row r="21">
      <c r="A21" s="3" t="inlineStr">
        <is>
          <t>先攻加值</t>
        </is>
      </c>
      <c r="B21" s="8">
        <f>B9+B10</f>
        <v/>
      </c>
      <c r="C21" s="9" t="inlineStr">
        <is>
          <t>機敏+感知</t>
        </is>
      </c>
    </row>
    <row r="23">
      <c r="A23" s="2" t="inlineStr">
        <is>
          <t>技能</t>
        </is>
      </c>
      <c r="B23" s="15" t="n"/>
      <c r="C23" s="15" t="n"/>
      <c r="D23" s="15" t="n"/>
      <c r="E23" s="15" t="n"/>
      <c r="F23" s="16" t="n"/>
    </row>
    <row r="24">
      <c r="A24" s="10" t="inlineStr">
        <is>
          <t>技能</t>
        </is>
      </c>
      <c r="B24" s="10" t="inlineStr">
        <is>
          <t>屬性</t>
        </is>
      </c>
      <c r="C24" s="10" t="inlineStr">
        <is>
          <t>熟練等級</t>
        </is>
      </c>
      <c r="D24" s="10" t="inlineStr">
        <is>
          <t>熟練加值</t>
        </is>
      </c>
      <c r="E24" s="10" t="inlineStr">
        <is>
          <t>技能總值</t>
        </is>
      </c>
      <c r="F24" s="10" t="inlineStr">
        <is>
          <t>備註</t>
        </is>
      </c>
    </row>
    <row r="25">
      <c r="A25" s="3" t="inlineStr">
        <is>
          <t>運動</t>
        </is>
      </c>
      <c r="B25" s="11" t="inlineStr"/>
      <c r="C25" s="4" t="inlineStr">
        <is>
          <t>未受訓</t>
        </is>
      </c>
      <c r="D25" s="6">
        <f>IF(C25="專精",5,IF(C25="受訓",3,0))</f>
        <v/>
      </c>
      <c r="E25" s="6">
        <f>B8+D25</f>
        <v/>
      </c>
    </row>
    <row r="26">
      <c r="A26" s="3" t="inlineStr">
        <is>
          <t>耐力</t>
        </is>
      </c>
      <c r="B26" s="11" t="inlineStr"/>
      <c r="C26" s="4" t="inlineStr">
        <is>
          <t>受訓</t>
        </is>
      </c>
      <c r="D26" s="6">
        <f>IF(C26="專精",5,IF(C26="受訓",3,0))</f>
        <v/>
      </c>
      <c r="E26" s="6">
        <f>B8+D26</f>
        <v/>
      </c>
    </row>
    <row r="27">
      <c r="A27" s="3" t="inlineStr">
        <is>
          <t>力量</t>
        </is>
      </c>
      <c r="B27" s="11" t="inlineStr"/>
      <c r="C27" s="4" t="inlineStr">
        <is>
          <t>未受訓</t>
        </is>
      </c>
      <c r="D27" s="6">
        <f>IF(C27="專精",5,IF(C27="受訓",3,0))</f>
        <v/>
      </c>
      <c r="E27" s="6">
        <f>B8+D27</f>
        <v/>
      </c>
    </row>
    <row r="28">
      <c r="A28" s="3" t="inlineStr">
        <is>
          <t>潛行</t>
        </is>
      </c>
      <c r="B28" s="11" t="inlineStr"/>
      <c r="C28" s="4" t="inlineStr">
        <is>
          <t>受訓</t>
        </is>
      </c>
      <c r="D28" s="6">
        <f>IF(C28="專精",5,IF(C28="受訓",3,0))</f>
        <v/>
      </c>
      <c r="E28" s="6">
        <f>B9+D28</f>
        <v/>
      </c>
    </row>
    <row r="29">
      <c r="A29" s="3" t="inlineStr">
        <is>
          <t>特技</t>
        </is>
      </c>
      <c r="B29" s="11" t="inlineStr"/>
      <c r="C29" s="4" t="inlineStr">
        <is>
          <t>未受訓</t>
        </is>
      </c>
      <c r="D29" s="6">
        <f>IF(C29="專精",5,IF(C29="受訓",3,0))</f>
        <v/>
      </c>
      <c r="E29" s="6">
        <f>B9+D29</f>
        <v/>
      </c>
    </row>
    <row r="30">
      <c r="A30" s="3" t="inlineStr">
        <is>
          <t>巧手</t>
        </is>
      </c>
      <c r="B30" s="11" t="inlineStr"/>
      <c r="C30" s="4" t="inlineStr">
        <is>
          <t>未受訓</t>
        </is>
      </c>
      <c r="D30" s="6">
        <f>IF(C30="專精",5,IF(C30="受訓",3,0))</f>
        <v/>
      </c>
      <c r="E30" s="6">
        <f>B9+D30</f>
        <v/>
      </c>
    </row>
    <row r="31">
      <c r="A31" s="3" t="inlineStr">
        <is>
          <t>閃避</t>
        </is>
      </c>
      <c r="B31" s="11" t="inlineStr"/>
      <c r="C31" s="4" t="inlineStr">
        <is>
          <t>未受訓</t>
        </is>
      </c>
      <c r="D31" s="6">
        <f>IF(C31="專精",5,IF(C31="受訓",3,0))</f>
        <v/>
      </c>
      <c r="E31" s="6">
        <f>B9+D31</f>
        <v/>
      </c>
    </row>
    <row r="32">
      <c r="A32" s="3" t="inlineStr">
        <is>
          <t>搜索</t>
        </is>
      </c>
      <c r="B32" s="11" t="inlineStr"/>
      <c r="C32" s="4" t="inlineStr">
        <is>
          <t>專精</t>
        </is>
      </c>
      <c r="D32" s="6">
        <f>IF(C32="專精",5,IF(C32="受訓",3,0))</f>
        <v/>
      </c>
      <c r="E32" s="6">
        <f>B10+D32</f>
        <v/>
      </c>
    </row>
    <row r="33">
      <c r="A33" s="3" t="inlineStr">
        <is>
          <t>追蹤</t>
        </is>
      </c>
      <c r="B33" s="11" t="inlineStr"/>
      <c r="C33" s="4" t="inlineStr">
        <is>
          <t>未受訓</t>
        </is>
      </c>
      <c r="D33" s="6">
        <f>IF(C33="專精",5,IF(C33="受訓",3,0))</f>
        <v/>
      </c>
      <c r="E33" s="6">
        <f>B10+D33</f>
        <v/>
      </c>
    </row>
    <row r="34">
      <c r="A34" s="3" t="inlineStr">
        <is>
          <t>洞察</t>
        </is>
      </c>
      <c r="B34" s="11" t="inlineStr"/>
      <c r="C34" s="4" t="inlineStr">
        <is>
          <t>受訓</t>
        </is>
      </c>
      <c r="D34" s="6">
        <f>IF(C34="專精",5,IF(C34="受訓",3,0))</f>
        <v/>
      </c>
      <c r="E34" s="6">
        <f>B10+D34</f>
        <v/>
      </c>
    </row>
    <row r="35">
      <c r="A35" s="3" t="inlineStr">
        <is>
          <t>危險感知</t>
        </is>
      </c>
      <c r="B35" s="11" t="inlineStr"/>
      <c r="C35" s="4" t="inlineStr">
        <is>
          <t>受訓</t>
        </is>
      </c>
      <c r="D35" s="6">
        <f>IF(C35="專精",5,IF(C35="受訓",3,0))</f>
        <v/>
      </c>
      <c r="E35" s="6">
        <f>B10+D35</f>
        <v/>
      </c>
    </row>
    <row r="36">
      <c r="A36" s="3" t="inlineStr">
        <is>
          <t>意志</t>
        </is>
      </c>
      <c r="B36" s="11" t="inlineStr"/>
      <c r="C36" s="4" t="inlineStr">
        <is>
          <t>未受訓</t>
        </is>
      </c>
      <c r="D36" s="6">
        <f>IF(C36="專精",5,IF(C36="受訓",3,0))</f>
        <v/>
      </c>
      <c r="E36" s="6">
        <f>B11+D36</f>
        <v/>
      </c>
    </row>
    <row r="37">
      <c r="A37" s="3" t="inlineStr">
        <is>
          <t>鎮定</t>
        </is>
      </c>
      <c r="B37" s="11" t="inlineStr"/>
      <c r="C37" s="4" t="inlineStr">
        <is>
          <t>未受訓</t>
        </is>
      </c>
      <c r="D37" s="6">
        <f>IF(C37="專精",5,IF(C37="受訓",3,0))</f>
        <v/>
      </c>
      <c r="E37" s="6">
        <f>B11+D37</f>
        <v/>
      </c>
    </row>
    <row r="38">
      <c r="A38" s="3" t="inlineStr">
        <is>
          <t>冥想</t>
        </is>
      </c>
      <c r="B38" s="11" t="inlineStr"/>
      <c r="C38" s="4" t="inlineStr">
        <is>
          <t>未受訓</t>
        </is>
      </c>
      <c r="D38" s="6">
        <f>IF(C38="專精",5,IF(C38="受訓",3,0))</f>
        <v/>
      </c>
      <c r="E38" s="6">
        <f>B11+D38</f>
        <v/>
      </c>
    </row>
    <row r="39">
      <c r="A39" s="3" t="inlineStr">
        <is>
          <t>後室知識</t>
        </is>
      </c>
      <c r="B39" s="11" t="inlineStr"/>
      <c r="C39" s="4" t="inlineStr">
        <is>
          <t>未受訓</t>
        </is>
      </c>
      <c r="D39" s="6">
        <f>IF(C39="專精",5,IF(C39="受訓",3,0))</f>
        <v/>
      </c>
      <c r="E39" s="6">
        <f>B12+D39</f>
        <v/>
      </c>
    </row>
    <row r="40">
      <c r="A40" s="3" t="inlineStr">
        <is>
          <t>急救</t>
        </is>
      </c>
      <c r="B40" s="11" t="inlineStr"/>
      <c r="C40" s="4" t="inlineStr">
        <is>
          <t>未受訓</t>
        </is>
      </c>
      <c r="D40" s="6">
        <f>IF(C40="專精",5,IF(C40="受訓",3,0))</f>
        <v/>
      </c>
      <c r="E40" s="6">
        <f>B12+D40</f>
        <v/>
      </c>
    </row>
    <row r="41">
      <c r="A41" s="3" t="inlineStr">
        <is>
          <t>製作</t>
        </is>
      </c>
      <c r="B41" s="11" t="inlineStr"/>
      <c r="C41" s="4" t="inlineStr">
        <is>
          <t>未受訓</t>
        </is>
      </c>
      <c r="D41" s="6">
        <f>IF(C41="專精",5,IF(C41="受訓",3,0))</f>
        <v/>
      </c>
      <c r="E41" s="6">
        <f>B12+D41</f>
        <v/>
      </c>
    </row>
    <row r="42">
      <c r="A42" s="3" t="inlineStr">
        <is>
          <t>空間記憶</t>
        </is>
      </c>
      <c r="B42" s="11" t="inlineStr"/>
      <c r="C42" s="4" t="inlineStr">
        <is>
          <t>受訓</t>
        </is>
      </c>
      <c r="D42" s="6">
        <f>IF(C42="專精",5,IF(C42="受訓",3,0))</f>
        <v/>
      </c>
      <c r="E42" s="6">
        <f>B12+D42</f>
        <v/>
      </c>
    </row>
    <row r="44">
      <c r="A44" s="2" t="inlineStr">
        <is>
          <t>裝備與物品</t>
        </is>
      </c>
      <c r="B44" s="15" t="n"/>
      <c r="C44" s="15" t="n"/>
      <c r="D44" s="15" t="n"/>
      <c r="E44" s="15" t="n"/>
      <c r="F44" s="16" t="n"/>
    </row>
    <row r="45">
      <c r="A45" s="5" t="inlineStr">
        <is>
          <t>物品名稱</t>
        </is>
      </c>
      <c r="B45" s="5" t="inlineStr">
        <is>
          <t>類別</t>
        </is>
      </c>
      <c r="C45" s="5" t="inlineStr">
        <is>
          <t>重量(kg)</t>
        </is>
      </c>
      <c r="D45" s="5" t="inlineStr">
        <is>
          <t>數量</t>
        </is>
      </c>
      <c r="E45" s="5" t="inlineStr">
        <is>
          <t>效果</t>
        </is>
      </c>
      <c r="F45" s="5" t="inlineStr">
        <is>
          <t>耐久</t>
        </is>
      </c>
    </row>
    <row r="46">
      <c r="A46" s="12" t="inlineStr">
        <is>
          <t>手電筒</t>
        </is>
      </c>
      <c r="B46" s="13" t="inlineStr">
        <is>
          <t>光源</t>
        </is>
      </c>
      <c r="C46" s="13" t="n">
        <v>0.5</v>
      </c>
      <c r="D46" s="13" t="n">
        <v>1</v>
      </c>
      <c r="E46" s="13" t="inlineStr">
        <is>
          <t>6小時電池</t>
        </is>
      </c>
      <c r="F46" s="13" t="inlineStr">
        <is>
          <t>6h</t>
        </is>
      </c>
    </row>
    <row r="47">
      <c r="A47" s="12" t="inlineStr">
        <is>
          <t>萬能鑰匙</t>
        </is>
      </c>
      <c r="B47" s="13" t="inlineStr">
        <is>
          <t>特殊</t>
        </is>
      </c>
      <c r="C47" s="13" t="n">
        <v>0.1</v>
      </c>
      <c r="D47" s="13" t="n">
        <v>1</v>
      </c>
      <c r="E47" s="13" t="inlineStr">
        <is>
          <t>簡易鎖DC12以下自動</t>
        </is>
      </c>
      <c r="F47" s="13" t="inlineStr">
        <is>
          <t>3次</t>
        </is>
      </c>
    </row>
    <row r="48">
      <c r="A48" s="12" t="inlineStr">
        <is>
          <t>保溫瓶</t>
        </is>
      </c>
      <c r="B48" s="13" t="inlineStr">
        <is>
          <t>食物</t>
        </is>
      </c>
      <c r="C48" s="13" t="n">
        <v>0.5</v>
      </c>
      <c r="D48" s="13" t="n">
        <v>1</v>
      </c>
      <c r="E48" s="13" t="inlineStr">
        <is>
          <t>裝滿咖啡</t>
        </is>
      </c>
      <c r="F48" s="13" t="inlineStr">
        <is>
          <t>1次</t>
        </is>
      </c>
    </row>
    <row r="50">
      <c r="A50" s="2" t="inlineStr">
        <is>
          <t>資源</t>
        </is>
      </c>
      <c r="B50" s="15" t="n"/>
      <c r="C50" s="15" t="n"/>
      <c r="D50" s="15" t="n"/>
      <c r="E50" s="15" t="n"/>
      <c r="F50" s="16" t="n"/>
    </row>
    <row r="51">
      <c r="A51" s="3" t="inlineStr">
        <is>
          <t>杏仁水</t>
        </is>
      </c>
      <c r="B51" s="4" t="n">
        <v>5</v>
      </c>
    </row>
    <row r="52">
      <c r="A52" s="3" t="inlineStr">
        <is>
          <t>卡路里</t>
        </is>
      </c>
      <c r="B52" s="4" t="n">
        <v>10</v>
      </c>
    </row>
    <row r="54">
      <c r="A54" s="2" t="inlineStr">
        <is>
          <t>角色故事</t>
        </is>
      </c>
      <c r="B54" s="15" t="n"/>
      <c r="C54" s="15" t="n"/>
      <c r="D54" s="15" t="n"/>
      <c r="E54" s="15" t="n"/>
      <c r="F54" s="16" t="n"/>
    </row>
    <row r="55">
      <c r="A55" s="14" t="inlineStr">
        <is>
          <t>李明在凌晨三點巡邏一棟舊辦公大樓時，走過一條特別長的走廊——走廊盡頭的門打開後，不是停車場，而是 Level 0 的黃色隔間。他還有老婆和五歲的女兒，他必須回去。</t>
        </is>
      </c>
      <c r="B55" s="17" t="n"/>
      <c r="C55" s="17" t="n"/>
      <c r="D55" s="17" t="n"/>
      <c r="E55" s="17" t="n"/>
      <c r="F55" s="18" t="n"/>
    </row>
    <row r="56">
      <c r="A56" s="19" t="n"/>
      <c r="F56" s="20" t="n"/>
    </row>
    <row r="57">
      <c r="A57" s="21" t="n"/>
      <c r="B57" s="22" t="n"/>
      <c r="C57" s="22" t="n"/>
      <c r="D57" s="22" t="n"/>
      <c r="E57" s="22" t="n"/>
      <c r="F57" s="23" t="n"/>
    </row>
  </sheetData>
  <mergeCells count="10">
    <mergeCell ref="A2:F2"/>
    <mergeCell ref="A55:F57"/>
    <mergeCell ref="A54:F54"/>
    <mergeCell ref="A44:F44"/>
    <mergeCell ref="A1:F1"/>
    <mergeCell ref="A23:F23"/>
    <mergeCell ref="A6:F6"/>
    <mergeCell ref="A13:B13"/>
    <mergeCell ref="A50:F50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2" customWidth="1" min="4" max="4"/>
    <col width="16" customWidth="1" min="5" max="5"/>
    <col width="16" customWidth="1" min="6" max="6"/>
  </cols>
  <sheetData>
    <row r="1">
      <c r="A1" s="1" t="inlineStr">
        <is>
          <t>範例角色：小雨（外送員）</t>
        </is>
      </c>
      <c r="B1" s="15" t="n"/>
      <c r="C1" s="15" t="n"/>
      <c r="D1" s="15" t="n"/>
      <c r="E1" s="15" t="n"/>
      <c r="F1" s="16" t="n"/>
    </row>
    <row r="2">
      <c r="A2" s="2" t="inlineStr">
        <is>
          <t>基本資訊</t>
        </is>
      </c>
      <c r="B2" s="15" t="n"/>
      <c r="C2" s="15" t="n"/>
      <c r="D2" s="15" t="n"/>
      <c r="E2" s="15" t="n"/>
      <c r="F2" s="16" t="n"/>
    </row>
    <row r="3">
      <c r="A3" s="3" t="inlineStr">
        <is>
          <t>角色名稱：</t>
        </is>
      </c>
      <c r="B3" s="4" t="inlineStr">
        <is>
          <t>小雨</t>
        </is>
      </c>
      <c r="C3" s="3" t="inlineStr">
        <is>
          <t>年齡：</t>
        </is>
      </c>
      <c r="D3" s="4" t="inlineStr">
        <is>
          <t>24</t>
        </is>
      </c>
      <c r="E3" s="3" t="inlineStr">
        <is>
          <t>背景：</t>
        </is>
      </c>
      <c r="F3" s="4" t="inlineStr">
        <is>
          <t>外送員</t>
        </is>
      </c>
      <c r="G3" t="inlineStr">
        <is>
          <t>知識值（KNO Value）：</t>
        </is>
      </c>
    </row>
    <row r="4">
      <c r="A4" s="3" t="inlineStr">
        <is>
          <t>卡穿前職業：</t>
        </is>
      </c>
      <c r="B4" s="4" t="inlineStr">
        <is>
          <t>外送員</t>
        </is>
      </c>
      <c r="C4" s="3" t="inlineStr">
        <is>
          <t>在後室時間：</t>
        </is>
      </c>
      <c r="D4" s="4" t="inlineStr">
        <is>
          <t>一週</t>
        </is>
      </c>
      <c r="E4" s="3" t="inlineStr">
        <is>
          <t>當前里程碑：</t>
        </is>
      </c>
      <c r="F4" s="4" t="inlineStr">
        <is>
          <t>生存者</t>
        </is>
      </c>
      <c r="G4" t="inlineStr">
        <is>
          <t>2（一週）</t>
        </is>
      </c>
    </row>
    <row r="5">
      <c r="G5" t="inlineStr">
        <is>
          <t>由「在後室時間」決定；後室知識檢定加入</t>
        </is>
      </c>
    </row>
    <row r="6">
      <c r="A6" s="2" t="inlineStr">
        <is>
          <t>五大屬性</t>
        </is>
      </c>
      <c r="B6" s="15" t="n"/>
      <c r="C6" s="15" t="n"/>
      <c r="D6" s="15" t="n"/>
      <c r="E6" s="15" t="n"/>
      <c r="F6" s="16" t="n"/>
    </row>
    <row r="7">
      <c r="A7" s="5" t="inlineStr">
        <is>
          <t>屬性名稱</t>
        </is>
      </c>
      <c r="B7" s="5" t="inlineStr">
        <is>
          <t>屬性值</t>
        </is>
      </c>
      <c r="C7" s="5" t="inlineStr">
        <is>
          <t>屬性加值</t>
        </is>
      </c>
      <c r="D7" s="5" t="inlineStr">
        <is>
          <t>屬性名稱</t>
        </is>
      </c>
      <c r="E7" s="5" t="inlineStr">
        <is>
          <t>屬性值</t>
        </is>
      </c>
      <c r="F7" s="5" t="inlineStr">
        <is>
          <t>屬性加值</t>
        </is>
      </c>
    </row>
    <row r="8">
      <c r="A8" s="3" t="inlineStr">
        <is>
          <t>體魄（PHY）</t>
        </is>
      </c>
      <c r="B8" s="4" t="n">
        <v>4</v>
      </c>
      <c r="C8" s="6">
        <f>B8</f>
        <v/>
      </c>
    </row>
    <row r="9">
      <c r="A9" s="3" t="inlineStr">
        <is>
          <t>機敏（AGI）</t>
        </is>
      </c>
      <c r="B9" s="4" t="n">
        <v>7</v>
      </c>
      <c r="C9" s="6">
        <f>B9</f>
        <v/>
      </c>
    </row>
    <row r="10">
      <c r="A10" s="3" t="inlineStr">
        <is>
          <t>感知（PER）</t>
        </is>
      </c>
      <c r="B10" s="4" t="n">
        <v>6</v>
      </c>
      <c r="C10" s="6">
        <f>B10</f>
        <v/>
      </c>
    </row>
    <row r="11">
      <c r="A11" s="3" t="inlineStr">
        <is>
          <t>理智（SAN）</t>
        </is>
      </c>
      <c r="B11" s="4" t="n">
        <v>5</v>
      </c>
      <c r="C11" s="6">
        <f>B11</f>
        <v/>
      </c>
    </row>
    <row r="12">
      <c r="A12" s="3" t="inlineStr">
        <is>
          <t>知識（KNO）</t>
        </is>
      </c>
      <c r="B12" s="4" t="n">
        <v>3</v>
      </c>
      <c r="C12" s="6">
        <f>B12</f>
        <v/>
      </c>
    </row>
    <row r="13">
      <c r="A13" s="3" t="inlineStr">
        <is>
          <t>屬性總和：</t>
        </is>
      </c>
      <c r="B13" s="16" t="n"/>
      <c r="C13" s="7">
        <f>SUM(B8:B12)</f>
        <v/>
      </c>
    </row>
    <row r="15">
      <c r="A15" s="2" t="inlineStr">
        <is>
          <t>衍生屬性（自動計算）</t>
        </is>
      </c>
      <c r="B15" s="15" t="n"/>
      <c r="C15" s="15" t="n"/>
      <c r="D15" s="15" t="n"/>
      <c r="E15" s="15" t="n"/>
      <c r="F15" s="16" t="n"/>
    </row>
    <row r="16">
      <c r="A16" s="3" t="inlineStr">
        <is>
          <t>生命值（HP）</t>
        </is>
      </c>
      <c r="B16" s="8">
        <f>B8*2+5</f>
        <v/>
      </c>
      <c r="C16" s="9" t="inlineStr">
        <is>
          <t>體魄×2+5</t>
        </is>
      </c>
    </row>
    <row r="17">
      <c r="A17" s="3" t="inlineStr">
        <is>
          <t>防禦值（DEF）</t>
        </is>
      </c>
      <c r="B17" s="8">
        <f>10+B9</f>
        <v/>
      </c>
      <c r="C17" s="9" t="inlineStr">
        <is>
          <t>10+機敏</t>
        </is>
      </c>
    </row>
    <row r="18">
      <c r="A18" s="3" t="inlineStr">
        <is>
          <t>理智值（SP）</t>
        </is>
      </c>
      <c r="B18" s="8">
        <f>B11*3+10</f>
        <v/>
      </c>
      <c r="C18" s="9" t="inlineStr">
        <is>
          <t>理智×3+10</t>
        </is>
      </c>
    </row>
    <row r="19">
      <c r="A19" s="3" t="inlineStr">
        <is>
          <t>負重上限（kg）</t>
        </is>
      </c>
      <c r="B19" s="8">
        <f>B8*2</f>
        <v/>
      </c>
      <c r="C19" s="9" t="inlineStr">
        <is>
          <t>體魄×2</t>
        </is>
      </c>
    </row>
    <row r="20">
      <c r="A20" s="3" t="inlineStr">
        <is>
          <t>移動速度（m/回合）</t>
        </is>
      </c>
      <c r="B20" s="8">
        <f>6+B9</f>
        <v/>
      </c>
      <c r="C20" s="9" t="inlineStr">
        <is>
          <t>6+機敏</t>
        </is>
      </c>
    </row>
    <row r="21">
      <c r="A21" s="3" t="inlineStr">
        <is>
          <t>先攻加值</t>
        </is>
      </c>
      <c r="B21" s="8">
        <f>B9+B10</f>
        <v/>
      </c>
      <c r="C21" s="9" t="inlineStr">
        <is>
          <t>機敏+感知</t>
        </is>
      </c>
    </row>
    <row r="23">
      <c r="A23" s="2" t="inlineStr">
        <is>
          <t>技能</t>
        </is>
      </c>
      <c r="B23" s="15" t="n"/>
      <c r="C23" s="15" t="n"/>
      <c r="D23" s="15" t="n"/>
      <c r="E23" s="15" t="n"/>
      <c r="F23" s="16" t="n"/>
    </row>
    <row r="24">
      <c r="A24" s="10" t="inlineStr">
        <is>
          <t>技能</t>
        </is>
      </c>
      <c r="B24" s="10" t="inlineStr">
        <is>
          <t>屬性</t>
        </is>
      </c>
      <c r="C24" s="10" t="inlineStr">
        <is>
          <t>熟練等級</t>
        </is>
      </c>
      <c r="D24" s="10" t="inlineStr">
        <is>
          <t>熟練加值</t>
        </is>
      </c>
      <c r="E24" s="10" t="inlineStr">
        <is>
          <t>技能總值</t>
        </is>
      </c>
      <c r="F24" s="10" t="inlineStr">
        <is>
          <t>備註</t>
        </is>
      </c>
    </row>
    <row r="25">
      <c r="A25" s="3" t="inlineStr">
        <is>
          <t>運動</t>
        </is>
      </c>
      <c r="B25" s="11" t="inlineStr"/>
      <c r="C25" s="4" t="inlineStr">
        <is>
          <t>受訓</t>
        </is>
      </c>
      <c r="D25" s="6">
        <f>IF(C25="專精",5,IF(C25="受訓",3,0))</f>
        <v/>
      </c>
      <c r="E25" s="6">
        <f>B8+D25</f>
        <v/>
      </c>
    </row>
    <row r="26">
      <c r="A26" s="3" t="inlineStr">
        <is>
          <t>耐力</t>
        </is>
      </c>
      <c r="B26" s="11" t="inlineStr"/>
      <c r="C26" s="4" t="inlineStr">
        <is>
          <t>受訓</t>
        </is>
      </c>
      <c r="D26" s="6">
        <f>IF(C26="專精",5,IF(C26="受訓",3,0))</f>
        <v/>
      </c>
      <c r="E26" s="6">
        <f>B8+D26</f>
        <v/>
      </c>
    </row>
    <row r="27">
      <c r="A27" s="3" t="inlineStr">
        <is>
          <t>力量</t>
        </is>
      </c>
      <c r="B27" s="11" t="inlineStr"/>
      <c r="C27" s="4" t="inlineStr">
        <is>
          <t>未受訓</t>
        </is>
      </c>
      <c r="D27" s="6">
        <f>IF(C27="專精",5,IF(C27="受訓",3,0))</f>
        <v/>
      </c>
      <c r="E27" s="6">
        <f>B8+D27</f>
        <v/>
      </c>
    </row>
    <row r="28">
      <c r="A28" s="3" t="inlineStr">
        <is>
          <t>潛行</t>
        </is>
      </c>
      <c r="B28" s="11" t="inlineStr"/>
      <c r="C28" s="4" t="inlineStr">
        <is>
          <t>受訓</t>
        </is>
      </c>
      <c r="D28" s="6">
        <f>IF(C28="專精",5,IF(C28="受訓",3,0))</f>
        <v/>
      </c>
      <c r="E28" s="6">
        <f>B9+D28</f>
        <v/>
      </c>
    </row>
    <row r="29">
      <c r="A29" s="3" t="inlineStr">
        <is>
          <t>特技</t>
        </is>
      </c>
      <c r="B29" s="11" t="inlineStr"/>
      <c r="C29" s="4" t="inlineStr">
        <is>
          <t>受訓</t>
        </is>
      </c>
      <c r="D29" s="6">
        <f>IF(C29="專精",5,IF(C29="受訓",3,0))</f>
        <v/>
      </c>
      <c r="E29" s="6">
        <f>B9+D29</f>
        <v/>
      </c>
    </row>
    <row r="30">
      <c r="A30" s="3" t="inlineStr">
        <is>
          <t>巧手</t>
        </is>
      </c>
      <c r="B30" s="11" t="inlineStr"/>
      <c r="C30" s="4" t="inlineStr">
        <is>
          <t>未受訓</t>
        </is>
      </c>
      <c r="D30" s="6">
        <f>IF(C30="專精",5,IF(C30="受訓",3,0))</f>
        <v/>
      </c>
      <c r="E30" s="6">
        <f>B9+D30</f>
        <v/>
      </c>
    </row>
    <row r="31">
      <c r="A31" s="3" t="inlineStr">
        <is>
          <t>閃避</t>
        </is>
      </c>
      <c r="B31" s="11" t="inlineStr"/>
      <c r="C31" s="4" t="inlineStr">
        <is>
          <t>未受訓</t>
        </is>
      </c>
      <c r="D31" s="6">
        <f>IF(C31="專精",5,IF(C31="受訓",3,0))</f>
        <v/>
      </c>
      <c r="E31" s="6">
        <f>B9+D31</f>
        <v/>
      </c>
    </row>
    <row r="32">
      <c r="A32" s="3" t="inlineStr">
        <is>
          <t>搜索</t>
        </is>
      </c>
      <c r="B32" s="11" t="inlineStr"/>
      <c r="C32" s="4" t="inlineStr">
        <is>
          <t>受訓</t>
        </is>
      </c>
      <c r="D32" s="6">
        <f>IF(C32="專精",5,IF(C32="受訓",3,0))</f>
        <v/>
      </c>
      <c r="E32" s="6">
        <f>B10+D32</f>
        <v/>
      </c>
    </row>
    <row r="33">
      <c r="A33" s="3" t="inlineStr">
        <is>
          <t>追蹤</t>
        </is>
      </c>
      <c r="B33" s="11" t="inlineStr"/>
      <c r="C33" s="4" t="inlineStr">
        <is>
          <t>未受訓</t>
        </is>
      </c>
      <c r="D33" s="6">
        <f>IF(C33="專精",5,IF(C33="受訓",3,0))</f>
        <v/>
      </c>
      <c r="E33" s="6">
        <f>B10+D33</f>
        <v/>
      </c>
    </row>
    <row r="34">
      <c r="A34" s="3" t="inlineStr">
        <is>
          <t>洞察</t>
        </is>
      </c>
      <c r="B34" s="11" t="inlineStr"/>
      <c r="C34" s="4" t="inlineStr">
        <is>
          <t>未受訓</t>
        </is>
      </c>
      <c r="D34" s="6">
        <f>IF(C34="專精",5,IF(C34="受訓",3,0))</f>
        <v/>
      </c>
      <c r="E34" s="6">
        <f>B10+D34</f>
        <v/>
      </c>
    </row>
    <row r="35">
      <c r="A35" s="3" t="inlineStr">
        <is>
          <t>危險感知</t>
        </is>
      </c>
      <c r="B35" s="11" t="inlineStr"/>
      <c r="C35" s="4" t="inlineStr">
        <is>
          <t>未受訓</t>
        </is>
      </c>
      <c r="D35" s="6">
        <f>IF(C35="專精",5,IF(C35="受訓",3,0))</f>
        <v/>
      </c>
      <c r="E35" s="6">
        <f>B10+D35</f>
        <v/>
      </c>
    </row>
    <row r="36">
      <c r="A36" s="3" t="inlineStr">
        <is>
          <t>意志</t>
        </is>
      </c>
      <c r="B36" s="11" t="inlineStr"/>
      <c r="C36" s="4" t="inlineStr">
        <is>
          <t>未受訓</t>
        </is>
      </c>
      <c r="D36" s="6">
        <f>IF(C36="專精",5,IF(C36="受訓",3,0))</f>
        <v/>
      </c>
      <c r="E36" s="6">
        <f>B11+D36</f>
        <v/>
      </c>
    </row>
    <row r="37">
      <c r="A37" s="3" t="inlineStr">
        <is>
          <t>鎮定</t>
        </is>
      </c>
      <c r="B37" s="11" t="inlineStr"/>
      <c r="C37" s="4" t="inlineStr">
        <is>
          <t>未受訓</t>
        </is>
      </c>
      <c r="D37" s="6">
        <f>IF(C37="專精",5,IF(C37="受訓",3,0))</f>
        <v/>
      </c>
      <c r="E37" s="6">
        <f>B11+D37</f>
        <v/>
      </c>
    </row>
    <row r="38">
      <c r="A38" s="3" t="inlineStr">
        <is>
          <t>冥想</t>
        </is>
      </c>
      <c r="B38" s="11" t="inlineStr"/>
      <c r="C38" s="4" t="inlineStr">
        <is>
          <t>未受訓</t>
        </is>
      </c>
      <c r="D38" s="6">
        <f>IF(C38="專精",5,IF(C38="受訓",3,0))</f>
        <v/>
      </c>
      <c r="E38" s="6">
        <f>B11+D38</f>
        <v/>
      </c>
    </row>
    <row r="39">
      <c r="A39" s="3" t="inlineStr">
        <is>
          <t>後室知識</t>
        </is>
      </c>
      <c r="B39" s="11" t="inlineStr"/>
      <c r="C39" s="4" t="inlineStr">
        <is>
          <t>未受訓</t>
        </is>
      </c>
      <c r="D39" s="6">
        <f>IF(C39="專精",5,IF(C39="受訓",3,0))</f>
        <v/>
      </c>
      <c r="E39" s="6">
        <f>B12+D39</f>
        <v/>
      </c>
    </row>
    <row r="40">
      <c r="A40" s="3" t="inlineStr">
        <is>
          <t>急救</t>
        </is>
      </c>
      <c r="B40" s="11" t="inlineStr"/>
      <c r="C40" s="4" t="inlineStr">
        <is>
          <t>未受訓</t>
        </is>
      </c>
      <c r="D40" s="6">
        <f>IF(C40="專精",5,IF(C40="受訓",3,0))</f>
        <v/>
      </c>
      <c r="E40" s="6">
        <f>B12+D40</f>
        <v/>
      </c>
    </row>
    <row r="41">
      <c r="A41" s="3" t="inlineStr">
        <is>
          <t>製作</t>
        </is>
      </c>
      <c r="B41" s="11" t="inlineStr"/>
      <c r="C41" s="4" t="inlineStr">
        <is>
          <t>未受訓</t>
        </is>
      </c>
      <c r="D41" s="6">
        <f>IF(C41="專精",5,IF(C41="受訓",3,0))</f>
        <v/>
      </c>
      <c r="E41" s="6">
        <f>B12+D41</f>
        <v/>
      </c>
    </row>
    <row r="42">
      <c r="A42" s="3" t="inlineStr">
        <is>
          <t>空間記憶</t>
        </is>
      </c>
      <c r="B42" s="11" t="inlineStr"/>
      <c r="C42" s="4" t="inlineStr">
        <is>
          <t>專精</t>
        </is>
      </c>
      <c r="D42" s="6">
        <f>IF(C42="專精",5,IF(C42="受訓",3,0))</f>
        <v/>
      </c>
      <c r="E42" s="6">
        <f>B12+D42</f>
        <v/>
      </c>
    </row>
    <row r="44">
      <c r="A44" s="2" t="inlineStr">
        <is>
          <t>裝備與物品</t>
        </is>
      </c>
      <c r="B44" s="15" t="n"/>
      <c r="C44" s="15" t="n"/>
      <c r="D44" s="15" t="n"/>
      <c r="E44" s="15" t="n"/>
      <c r="F44" s="16" t="n"/>
    </row>
    <row r="45">
      <c r="A45" s="5" t="inlineStr">
        <is>
          <t>物品名稱</t>
        </is>
      </c>
      <c r="B45" s="5" t="inlineStr">
        <is>
          <t>類別</t>
        </is>
      </c>
      <c r="C45" s="5" t="inlineStr">
        <is>
          <t>重量(kg)</t>
        </is>
      </c>
      <c r="D45" s="5" t="inlineStr">
        <is>
          <t>數量</t>
        </is>
      </c>
      <c r="E45" s="5" t="inlineStr">
        <is>
          <t>效果</t>
        </is>
      </c>
      <c r="F45" s="5" t="inlineStr">
        <is>
          <t>耐久</t>
        </is>
      </c>
    </row>
    <row r="46">
      <c r="A46" s="12" t="inlineStr">
        <is>
          <t>手機(當手電筒)</t>
        </is>
      </c>
      <c r="B46" s="13" t="inlineStr">
        <is>
          <t>光源</t>
        </is>
      </c>
      <c r="C46" s="13" t="n">
        <v>0.2</v>
      </c>
      <c r="D46" s="13" t="n">
        <v>1</v>
      </c>
      <c r="E46" s="13" t="inlineStr">
        <is>
          <t>2小時電池</t>
        </is>
      </c>
      <c r="F46" s="13" t="inlineStr">
        <is>
          <t>2h</t>
        </is>
      </c>
    </row>
    <row r="47">
      <c r="A47" s="12" t="inlineStr">
        <is>
          <t>大背包</t>
        </is>
      </c>
      <c r="B47" s="13" t="inlineStr">
        <is>
          <t>特殊</t>
        </is>
      </c>
      <c r="C47" s="13" t="n">
        <v>0.5</v>
      </c>
      <c r="D47" s="13" t="n">
        <v>1</v>
      </c>
      <c r="E47" s="13" t="inlineStr">
        <is>
          <t>負重上限+3kg</t>
        </is>
      </c>
      <c r="F47" s="13" t="inlineStr">
        <is>
          <t>—</t>
        </is>
      </c>
    </row>
    <row r="48">
      <c r="A48" s="12" t="inlineStr">
        <is>
          <t>保溫袋</t>
        </is>
      </c>
      <c r="B48" s="13" t="inlineStr">
        <is>
          <t>食物</t>
        </is>
      </c>
      <c r="C48" s="13" t="n">
        <v>0.3</v>
      </c>
      <c r="D48" s="13" t="n">
        <v>1</v>
      </c>
      <c r="E48" s="13" t="inlineStr">
        <is>
          <t>內有食物</t>
        </is>
      </c>
      <c r="F48" s="13" t="inlineStr">
        <is>
          <t>恢復2卡路里</t>
        </is>
      </c>
    </row>
    <row r="50">
      <c r="A50" s="2" t="inlineStr">
        <is>
          <t>資源</t>
        </is>
      </c>
      <c r="B50" s="15" t="n"/>
      <c r="C50" s="15" t="n"/>
      <c r="D50" s="15" t="n"/>
      <c r="E50" s="15" t="n"/>
      <c r="F50" s="16" t="n"/>
    </row>
    <row r="51">
      <c r="A51" s="3" t="inlineStr">
        <is>
          <t>杏仁水</t>
        </is>
      </c>
      <c r="B51" s="4" t="n">
        <v>3</v>
      </c>
    </row>
    <row r="52">
      <c r="A52" s="3" t="inlineStr">
        <is>
          <t>卡路里</t>
        </is>
      </c>
      <c r="B52" s="4" t="n">
        <v>8</v>
      </c>
    </row>
    <row r="54">
      <c r="A54" s="2" t="inlineStr">
        <is>
          <t>角色故事</t>
        </is>
      </c>
      <c r="B54" s="15" t="n"/>
      <c r="C54" s="15" t="n"/>
      <c r="D54" s="15" t="n"/>
      <c r="E54" s="15" t="n"/>
      <c r="F54" s="16" t="n"/>
    </row>
    <row r="55">
      <c r="A55" s="14" t="inlineStr">
        <is>
          <t>小雨在送最後一單外賣時，導航帶她走了一條不在地圖上的捷徑。她騎車穿過一條小巷——然後巷子變成了 Level 0 的走廊。她已經在後室待了一週，找到了 Level 1 的 M.E.G. 前哨站。她不知道外面的世界過了多久——她的室友會不會已經報警了？</t>
        </is>
      </c>
      <c r="B55" s="17" t="n"/>
      <c r="C55" s="17" t="n"/>
      <c r="D55" s="17" t="n"/>
      <c r="E55" s="17" t="n"/>
      <c r="F55" s="18" t="n"/>
    </row>
    <row r="56">
      <c r="A56" s="19" t="n"/>
      <c r="F56" s="20" t="n"/>
    </row>
    <row r="57">
      <c r="A57" s="21" t="n"/>
      <c r="B57" s="22" t="n"/>
      <c r="C57" s="22" t="n"/>
      <c r="D57" s="22" t="n"/>
      <c r="E57" s="22" t="n"/>
      <c r="F57" s="23" t="n"/>
    </row>
  </sheetData>
  <mergeCells count="10">
    <mergeCell ref="A2:F2"/>
    <mergeCell ref="A55:F57"/>
    <mergeCell ref="A54:F54"/>
    <mergeCell ref="A44:F44"/>
    <mergeCell ref="A1:F1"/>
    <mergeCell ref="A23:F23"/>
    <mergeCell ref="A6:F6"/>
    <mergeCell ref="A13:B13"/>
    <mergeCell ref="A50:F50"/>
    <mergeCell ref="A15:F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2" customWidth="1" min="4" max="4"/>
    <col width="16" customWidth="1" min="5" max="5"/>
    <col width="16" customWidth="1" min="6" max="6"/>
  </cols>
  <sheetData>
    <row r="1">
      <c r="A1" s="1" t="inlineStr">
        <is>
          <t>範例角色：張教授（研究生）</t>
        </is>
      </c>
      <c r="B1" s="15" t="n"/>
      <c r="C1" s="15" t="n"/>
      <c r="D1" s="15" t="n"/>
      <c r="E1" s="15" t="n"/>
      <c r="F1" s="16" t="n"/>
    </row>
    <row r="2">
      <c r="A2" s="2" t="inlineStr">
        <is>
          <t>基本資訊</t>
        </is>
      </c>
      <c r="B2" s="15" t="n"/>
      <c r="C2" s="15" t="n"/>
      <c r="D2" s="15" t="n"/>
      <c r="E2" s="15" t="n"/>
      <c r="F2" s="16" t="n"/>
    </row>
    <row r="3">
      <c r="A3" s="3" t="inlineStr">
        <is>
          <t>角色名稱：</t>
        </is>
      </c>
      <c r="B3" s="4" t="inlineStr">
        <is>
          <t>張志文</t>
        </is>
      </c>
      <c r="C3" s="3" t="inlineStr">
        <is>
          <t>年齡：</t>
        </is>
      </c>
      <c r="D3" s="4" t="inlineStr">
        <is>
          <t>28</t>
        </is>
      </c>
      <c r="E3" s="3" t="inlineStr">
        <is>
          <t>背景：</t>
        </is>
      </c>
      <c r="F3" s="4" t="inlineStr">
        <is>
          <t>研究生</t>
        </is>
      </c>
      <c r="G3" t="inlineStr">
        <is>
          <t>知識值（KNO Value）：</t>
        </is>
      </c>
    </row>
    <row r="4">
      <c r="A4" s="3" t="inlineStr">
        <is>
          <t>卡穿前職業：</t>
        </is>
      </c>
      <c r="B4" s="4" t="inlineStr">
        <is>
          <t>物理學博士候選人</t>
        </is>
      </c>
      <c r="C4" s="3" t="inlineStr">
        <is>
          <t>在後室時間：</t>
        </is>
      </c>
      <c r="D4" s="4" t="inlineStr">
        <is>
          <t>一個月</t>
        </is>
      </c>
      <c r="E4" s="3" t="inlineStr">
        <is>
          <t>當前里程碑：</t>
        </is>
      </c>
      <c r="F4" s="4" t="inlineStr">
        <is>
          <t>探索者</t>
        </is>
      </c>
      <c r="G4" t="inlineStr">
        <is>
          <t>4（一個月）</t>
        </is>
      </c>
    </row>
    <row r="5">
      <c r="G5" t="inlineStr">
        <is>
          <t>由「在後室時間」決定；後室知識檢定加入</t>
        </is>
      </c>
    </row>
    <row r="6">
      <c r="A6" s="2" t="inlineStr">
        <is>
          <t>五大屬性</t>
        </is>
      </c>
      <c r="B6" s="15" t="n"/>
      <c r="C6" s="15" t="n"/>
      <c r="D6" s="15" t="n"/>
      <c r="E6" s="15" t="n"/>
      <c r="F6" s="16" t="n"/>
    </row>
    <row r="7">
      <c r="A7" s="5" t="inlineStr">
        <is>
          <t>屬性名稱</t>
        </is>
      </c>
      <c r="B7" s="5" t="inlineStr">
        <is>
          <t>屬性值</t>
        </is>
      </c>
      <c r="C7" s="5" t="inlineStr">
        <is>
          <t>屬性加值</t>
        </is>
      </c>
      <c r="D7" s="5" t="inlineStr">
        <is>
          <t>屬性名稱</t>
        </is>
      </c>
      <c r="E7" s="5" t="inlineStr">
        <is>
          <t>屬性值</t>
        </is>
      </c>
      <c r="F7" s="5" t="inlineStr">
        <is>
          <t>屬性加值</t>
        </is>
      </c>
    </row>
    <row r="8">
      <c r="A8" s="3" t="inlineStr">
        <is>
          <t>體魄（PHY）</t>
        </is>
      </c>
      <c r="B8" s="4" t="n">
        <v>3</v>
      </c>
      <c r="C8" s="6">
        <f>B8</f>
        <v/>
      </c>
    </row>
    <row r="9">
      <c r="A9" s="3" t="inlineStr">
        <is>
          <t>機敏（AGI）</t>
        </is>
      </c>
      <c r="B9" s="4" t="n">
        <v>4</v>
      </c>
      <c r="C9" s="6">
        <f>B9</f>
        <v/>
      </c>
    </row>
    <row r="10">
      <c r="A10" s="3" t="inlineStr">
        <is>
          <t>感知（PER）</t>
        </is>
      </c>
      <c r="B10" s="4" t="n">
        <v>6</v>
      </c>
      <c r="C10" s="6">
        <f>B10</f>
        <v/>
      </c>
    </row>
    <row r="11">
      <c r="A11" s="3" t="inlineStr">
        <is>
          <t>理智（SAN）</t>
        </is>
      </c>
      <c r="B11" s="4" t="n">
        <v>7</v>
      </c>
      <c r="C11" s="6">
        <f>B11</f>
        <v/>
      </c>
    </row>
    <row r="12">
      <c r="A12" s="3" t="inlineStr">
        <is>
          <t>知識（KNO）</t>
        </is>
      </c>
      <c r="B12" s="4" t="n">
        <v>5</v>
      </c>
      <c r="C12" s="6">
        <f>B12</f>
        <v/>
      </c>
    </row>
    <row r="13">
      <c r="A13" s="3" t="inlineStr">
        <is>
          <t>屬性總和：</t>
        </is>
      </c>
      <c r="B13" s="16" t="n"/>
      <c r="C13" s="7">
        <f>SUM(B8:B12)</f>
        <v/>
      </c>
    </row>
    <row r="15">
      <c r="A15" s="2" t="inlineStr">
        <is>
          <t>衍生屬性（自動計算）</t>
        </is>
      </c>
      <c r="B15" s="15" t="n"/>
      <c r="C15" s="15" t="n"/>
      <c r="D15" s="15" t="n"/>
      <c r="E15" s="15" t="n"/>
      <c r="F15" s="16" t="n"/>
    </row>
    <row r="16">
      <c r="A16" s="3" t="inlineStr">
        <is>
          <t>生命值（HP）</t>
        </is>
      </c>
      <c r="B16" s="8">
        <f>B8*2+5</f>
        <v/>
      </c>
      <c r="C16" s="9" t="inlineStr">
        <is>
          <t>體魄×2+5</t>
        </is>
      </c>
    </row>
    <row r="17">
      <c r="A17" s="3" t="inlineStr">
        <is>
          <t>防禦值（DEF）</t>
        </is>
      </c>
      <c r="B17" s="8">
        <f>10+B9</f>
        <v/>
      </c>
      <c r="C17" s="9" t="inlineStr">
        <is>
          <t>10+機敏</t>
        </is>
      </c>
    </row>
    <row r="18">
      <c r="A18" s="3" t="inlineStr">
        <is>
          <t>理智值（SP）</t>
        </is>
      </c>
      <c r="B18" s="8">
        <f>B11*3+10</f>
        <v/>
      </c>
      <c r="C18" s="9" t="inlineStr">
        <is>
          <t>理智×3+10</t>
        </is>
      </c>
    </row>
    <row r="19">
      <c r="A19" s="3" t="inlineStr">
        <is>
          <t>負重上限（kg）</t>
        </is>
      </c>
      <c r="B19" s="8">
        <f>B8*2</f>
        <v/>
      </c>
      <c r="C19" s="9" t="inlineStr">
        <is>
          <t>體魄×2</t>
        </is>
      </c>
    </row>
    <row r="20">
      <c r="A20" s="3" t="inlineStr">
        <is>
          <t>移動速度（m/回合）</t>
        </is>
      </c>
      <c r="B20" s="8">
        <f>6+B9</f>
        <v/>
      </c>
      <c r="C20" s="9" t="inlineStr">
        <is>
          <t>6+機敏</t>
        </is>
      </c>
    </row>
    <row r="21">
      <c r="A21" s="3" t="inlineStr">
        <is>
          <t>先攻加值</t>
        </is>
      </c>
      <c r="B21" s="8">
        <f>B9+B10</f>
        <v/>
      </c>
      <c r="C21" s="9" t="inlineStr">
        <is>
          <t>機敏+感知</t>
        </is>
      </c>
    </row>
    <row r="23">
      <c r="A23" s="2" t="inlineStr">
        <is>
          <t>技能</t>
        </is>
      </c>
      <c r="B23" s="15" t="n"/>
      <c r="C23" s="15" t="n"/>
      <c r="D23" s="15" t="n"/>
      <c r="E23" s="15" t="n"/>
      <c r="F23" s="16" t="n"/>
    </row>
    <row r="24">
      <c r="A24" s="10" t="inlineStr">
        <is>
          <t>技能</t>
        </is>
      </c>
      <c r="B24" s="10" t="inlineStr">
        <is>
          <t>屬性</t>
        </is>
      </c>
      <c r="C24" s="10" t="inlineStr">
        <is>
          <t>熟練等級</t>
        </is>
      </c>
      <c r="D24" s="10" t="inlineStr">
        <is>
          <t>熟練加值</t>
        </is>
      </c>
      <c r="E24" s="10" t="inlineStr">
        <is>
          <t>技能總值</t>
        </is>
      </c>
      <c r="F24" s="10" t="inlineStr">
        <is>
          <t>備註</t>
        </is>
      </c>
    </row>
    <row r="25">
      <c r="A25" s="3" t="inlineStr">
        <is>
          <t>運動</t>
        </is>
      </c>
      <c r="B25" s="11" t="inlineStr"/>
      <c r="C25" s="4" t="inlineStr">
        <is>
          <t>未受訓</t>
        </is>
      </c>
      <c r="D25" s="6">
        <f>IF(C25="專精",5,IF(C25="受訓",3,0))</f>
        <v/>
      </c>
      <c r="E25" s="6">
        <f>B8+D25</f>
        <v/>
      </c>
    </row>
    <row r="26">
      <c r="A26" s="3" t="inlineStr">
        <is>
          <t>耐力</t>
        </is>
      </c>
      <c r="B26" s="11" t="inlineStr"/>
      <c r="C26" s="4" t="inlineStr">
        <is>
          <t>未受訓</t>
        </is>
      </c>
      <c r="D26" s="6">
        <f>IF(C26="專精",5,IF(C26="受訓",3,0))</f>
        <v/>
      </c>
      <c r="E26" s="6">
        <f>B8+D26</f>
        <v/>
      </c>
    </row>
    <row r="27">
      <c r="A27" s="3" t="inlineStr">
        <is>
          <t>力量</t>
        </is>
      </c>
      <c r="B27" s="11" t="inlineStr"/>
      <c r="C27" s="4" t="inlineStr">
        <is>
          <t>未受訓</t>
        </is>
      </c>
      <c r="D27" s="6">
        <f>IF(C27="專精",5,IF(C27="受訓",3,0))</f>
        <v/>
      </c>
      <c r="E27" s="6">
        <f>B8+D27</f>
        <v/>
      </c>
    </row>
    <row r="28">
      <c r="A28" s="3" t="inlineStr">
        <is>
          <t>潛行</t>
        </is>
      </c>
      <c r="B28" s="11" t="inlineStr"/>
      <c r="C28" s="4" t="inlineStr">
        <is>
          <t>未受訓</t>
        </is>
      </c>
      <c r="D28" s="6">
        <f>IF(C28="專精",5,IF(C28="受訓",3,0))</f>
        <v/>
      </c>
      <c r="E28" s="6">
        <f>B9+D28</f>
        <v/>
      </c>
    </row>
    <row r="29">
      <c r="A29" s="3" t="inlineStr">
        <is>
          <t>特技</t>
        </is>
      </c>
      <c r="B29" s="11" t="inlineStr"/>
      <c r="C29" s="4" t="inlineStr">
        <is>
          <t>未受訓</t>
        </is>
      </c>
      <c r="D29" s="6">
        <f>IF(C29="專精",5,IF(C29="受訓",3,0))</f>
        <v/>
      </c>
      <c r="E29" s="6">
        <f>B9+D29</f>
        <v/>
      </c>
    </row>
    <row r="30">
      <c r="A30" s="3" t="inlineStr">
        <is>
          <t>巧手</t>
        </is>
      </c>
      <c r="B30" s="11" t="inlineStr"/>
      <c r="C30" s="4" t="inlineStr">
        <is>
          <t>未受訓</t>
        </is>
      </c>
      <c r="D30" s="6">
        <f>IF(C30="專精",5,IF(C30="受訓",3,0))</f>
        <v/>
      </c>
      <c r="E30" s="6">
        <f>B9+D30</f>
        <v/>
      </c>
    </row>
    <row r="31">
      <c r="A31" s="3" t="inlineStr">
        <is>
          <t>閃避</t>
        </is>
      </c>
      <c r="B31" s="11" t="inlineStr"/>
      <c r="C31" s="4" t="inlineStr">
        <is>
          <t>未受訓</t>
        </is>
      </c>
      <c r="D31" s="6">
        <f>IF(C31="專精",5,IF(C31="受訓",3,0))</f>
        <v/>
      </c>
      <c r="E31" s="6">
        <f>B9+D31</f>
        <v/>
      </c>
    </row>
    <row r="32">
      <c r="A32" s="3" t="inlineStr">
        <is>
          <t>搜索</t>
        </is>
      </c>
      <c r="B32" s="11" t="inlineStr"/>
      <c r="C32" s="4" t="inlineStr">
        <is>
          <t>受訓</t>
        </is>
      </c>
      <c r="D32" s="6">
        <f>IF(C32="專精",5,IF(C32="受訓",3,0))</f>
        <v/>
      </c>
      <c r="E32" s="6">
        <f>B10+D32</f>
        <v/>
      </c>
    </row>
    <row r="33">
      <c r="A33" s="3" t="inlineStr">
        <is>
          <t>追蹤</t>
        </is>
      </c>
      <c r="B33" s="11" t="inlineStr"/>
      <c r="C33" s="4" t="inlineStr">
        <is>
          <t>未受訓</t>
        </is>
      </c>
      <c r="D33" s="6">
        <f>IF(C33="專精",5,IF(C33="受訓",3,0))</f>
        <v/>
      </c>
      <c r="E33" s="6">
        <f>B10+D33</f>
        <v/>
      </c>
    </row>
    <row r="34">
      <c r="A34" s="3" t="inlineStr">
        <is>
          <t>洞察</t>
        </is>
      </c>
      <c r="B34" s="11" t="inlineStr"/>
      <c r="C34" s="4" t="inlineStr">
        <is>
          <t>受訓</t>
        </is>
      </c>
      <c r="D34" s="6">
        <f>IF(C34="專精",5,IF(C34="受訓",3,0))</f>
        <v/>
      </c>
      <c r="E34" s="6">
        <f>B10+D34</f>
        <v/>
      </c>
    </row>
    <row r="35">
      <c r="A35" s="3" t="inlineStr">
        <is>
          <t>危險感知</t>
        </is>
      </c>
      <c r="B35" s="11" t="inlineStr"/>
      <c r="C35" s="4" t="inlineStr">
        <is>
          <t>未受訓</t>
        </is>
      </c>
      <c r="D35" s="6">
        <f>IF(C35="專精",5,IF(C35="受訓",3,0))</f>
        <v/>
      </c>
      <c r="E35" s="6">
        <f>B10+D35</f>
        <v/>
      </c>
    </row>
    <row r="36">
      <c r="A36" s="3" t="inlineStr">
        <is>
          <t>意志</t>
        </is>
      </c>
      <c r="B36" s="11" t="inlineStr"/>
      <c r="C36" s="4" t="inlineStr">
        <is>
          <t>受訓</t>
        </is>
      </c>
      <c r="D36" s="6">
        <f>IF(C36="專精",5,IF(C36="受訓",3,0))</f>
        <v/>
      </c>
      <c r="E36" s="6">
        <f>B11+D36</f>
        <v/>
      </c>
    </row>
    <row r="37">
      <c r="A37" s="3" t="inlineStr">
        <is>
          <t>鎮定</t>
        </is>
      </c>
      <c r="B37" s="11" t="inlineStr"/>
      <c r="C37" s="4" t="inlineStr">
        <is>
          <t>未受訓</t>
        </is>
      </c>
      <c r="D37" s="6">
        <f>IF(C37="專精",5,IF(C37="受訓",3,0))</f>
        <v/>
      </c>
      <c r="E37" s="6">
        <f>B11+D37</f>
        <v/>
      </c>
    </row>
    <row r="38">
      <c r="A38" s="3" t="inlineStr">
        <is>
          <t>冥想</t>
        </is>
      </c>
      <c r="B38" s="11" t="inlineStr"/>
      <c r="C38" s="4" t="inlineStr">
        <is>
          <t>受訓</t>
        </is>
      </c>
      <c r="D38" s="6">
        <f>IF(C38="專精",5,IF(C38="受訓",3,0))</f>
        <v/>
      </c>
      <c r="E38" s="6">
        <f>B11+D38</f>
        <v/>
      </c>
    </row>
    <row r="39">
      <c r="A39" s="3" t="inlineStr">
        <is>
          <t>後室知識</t>
        </is>
      </c>
      <c r="B39" s="11" t="inlineStr"/>
      <c r="C39" s="4" t="inlineStr">
        <is>
          <t>專精</t>
        </is>
      </c>
      <c r="D39" s="6">
        <f>IF(C39="專精",5,IF(C39="受訓",3,0))</f>
        <v/>
      </c>
      <c r="E39" s="6">
        <f>B12+D39</f>
        <v/>
      </c>
    </row>
    <row r="40">
      <c r="A40" s="3" t="inlineStr">
        <is>
          <t>急救</t>
        </is>
      </c>
      <c r="B40" s="11" t="inlineStr"/>
      <c r="C40" s="4" t="inlineStr">
        <is>
          <t>未受訓</t>
        </is>
      </c>
      <c r="D40" s="6">
        <f>IF(C40="專精",5,IF(C40="受訓",3,0))</f>
        <v/>
      </c>
      <c r="E40" s="6">
        <f>B12+D40</f>
        <v/>
      </c>
    </row>
    <row r="41">
      <c r="A41" s="3" t="inlineStr">
        <is>
          <t>製作</t>
        </is>
      </c>
      <c r="B41" s="11" t="inlineStr"/>
      <c r="C41" s="4" t="inlineStr">
        <is>
          <t>受訓</t>
        </is>
      </c>
      <c r="D41" s="6">
        <f>IF(C41="專精",5,IF(C41="受訓",3,0))</f>
        <v/>
      </c>
      <c r="E41" s="6">
        <f>B12+D41</f>
        <v/>
      </c>
    </row>
    <row r="42">
      <c r="A42" s="3" t="inlineStr">
        <is>
          <t>空間記憶</t>
        </is>
      </c>
      <c r="B42" s="11" t="inlineStr"/>
      <c r="C42" s="4" t="inlineStr">
        <is>
          <t>未受訓</t>
        </is>
      </c>
      <c r="D42" s="6">
        <f>IF(C42="專精",5,IF(C42="受訓",3,0))</f>
        <v/>
      </c>
      <c r="E42" s="6">
        <f>B12+D42</f>
        <v/>
      </c>
    </row>
    <row r="44">
      <c r="A44" s="2" t="inlineStr">
        <is>
          <t>裝備與物品</t>
        </is>
      </c>
      <c r="B44" s="15" t="n"/>
      <c r="C44" s="15" t="n"/>
      <c r="D44" s="15" t="n"/>
      <c r="E44" s="15" t="n"/>
      <c r="F44" s="16" t="n"/>
    </row>
    <row r="45">
      <c r="A45" s="5" t="inlineStr">
        <is>
          <t>物品名稱</t>
        </is>
      </c>
      <c r="B45" s="5" t="inlineStr">
        <is>
          <t>類別</t>
        </is>
      </c>
      <c r="C45" s="5" t="inlineStr">
        <is>
          <t>重量(kg)</t>
        </is>
      </c>
      <c r="D45" s="5" t="inlineStr">
        <is>
          <t>數量</t>
        </is>
      </c>
      <c r="E45" s="5" t="inlineStr">
        <is>
          <t>效果</t>
        </is>
      </c>
      <c r="F45" s="5" t="inlineStr">
        <is>
          <t>耐久</t>
        </is>
      </c>
    </row>
    <row r="46">
      <c r="A46" s="12" t="inlineStr">
        <is>
          <t>筆記本和筆</t>
        </is>
      </c>
      <c r="B46" s="13" t="inlineStr">
        <is>
          <t>記錄</t>
        </is>
      </c>
      <c r="C46" s="13" t="n">
        <v>0.2</v>
      </c>
      <c r="D46" s="13" t="n">
        <v>1</v>
      </c>
      <c r="E46" s="13" t="inlineStr">
        <is>
          <t>記錄日誌恢復SP</t>
        </is>
      </c>
      <c r="F46" s="13" t="inlineStr">
        <is>
          <t>—</t>
        </is>
      </c>
    </row>
    <row r="47">
      <c r="A47" s="12" t="inlineStr">
        <is>
          <t>計算機</t>
        </is>
      </c>
      <c r="B47" s="13" t="inlineStr">
        <is>
          <t>特殊</t>
        </is>
      </c>
      <c r="C47" s="13" t="n">
        <v>0.1</v>
      </c>
      <c r="D47" s="13" t="n">
        <v>1</v>
      </c>
      <c r="E47" s="13" t="inlineStr">
        <is>
          <t>輔助知識檢定+1</t>
        </is>
      </c>
      <c r="F47" s="13" t="inlineStr">
        <is>
          <t>—</t>
        </is>
      </c>
    </row>
    <row r="48">
      <c r="A48" s="12" t="inlineStr">
        <is>
          <t>螢光棒x3</t>
        </is>
      </c>
      <c r="B48" s="13" t="inlineStr">
        <is>
          <t>光源</t>
        </is>
      </c>
      <c r="C48" s="13" t="n">
        <v>0.1</v>
      </c>
      <c r="D48" s="13" t="n">
        <v>3</v>
      </c>
      <c r="E48" s="13" t="inlineStr">
        <is>
          <t>6小時/支</t>
        </is>
      </c>
      <c r="F48" s="13" t="inlineStr">
        <is>
          <t>6h</t>
        </is>
      </c>
    </row>
    <row r="50">
      <c r="A50" s="2" t="inlineStr">
        <is>
          <t>資源</t>
        </is>
      </c>
      <c r="B50" s="15" t="n"/>
      <c r="C50" s="15" t="n"/>
      <c r="D50" s="15" t="n"/>
      <c r="E50" s="15" t="n"/>
      <c r="F50" s="16" t="n"/>
    </row>
    <row r="51">
      <c r="A51" s="3" t="inlineStr">
        <is>
          <t>杏仁水</t>
        </is>
      </c>
      <c r="B51" s="4" t="n">
        <v>4</v>
      </c>
    </row>
    <row r="52">
      <c r="A52" s="3" t="inlineStr">
        <is>
          <t>卡路里</t>
        </is>
      </c>
      <c r="B52" s="4" t="n">
        <v>6</v>
      </c>
    </row>
    <row r="54">
      <c r="A54" s="2" t="inlineStr">
        <is>
          <t>角色故事</t>
        </is>
      </c>
      <c r="B54" s="15" t="n"/>
      <c r="C54" s="15" t="n"/>
      <c r="D54" s="15" t="n"/>
      <c r="E54" s="15" t="n"/>
      <c r="F54" s="16" t="n"/>
    </row>
    <row r="55">
      <c r="A55" s="14" t="inlineStr">
        <is>
          <t>張志文的論文題目是「非歐幾里德空間的理論模型」。他在實驗室熬夜時，穿過一扇門進入了 Level 0。他的理論知識在後室中意外地有用——他開始記錄和研究後室的空間扭曲現象。他不太確定是否想回去——後室是他一生中最重大的科研發現。</t>
        </is>
      </c>
      <c r="B55" s="17" t="n"/>
      <c r="C55" s="17" t="n"/>
      <c r="D55" s="17" t="n"/>
      <c r="E55" s="17" t="n"/>
      <c r="F55" s="18" t="n"/>
    </row>
    <row r="56">
      <c r="A56" s="19" t="n"/>
      <c r="F56" s="20" t="n"/>
    </row>
    <row r="57">
      <c r="A57" s="21" t="n"/>
      <c r="B57" s="22" t="n"/>
      <c r="C57" s="22" t="n"/>
      <c r="D57" s="22" t="n"/>
      <c r="E57" s="22" t="n"/>
      <c r="F57" s="23" t="n"/>
    </row>
  </sheetData>
  <mergeCells count="10">
    <mergeCell ref="A2:F2"/>
    <mergeCell ref="A55:F57"/>
    <mergeCell ref="A54:F54"/>
    <mergeCell ref="A44:F44"/>
    <mergeCell ref="A1:F1"/>
    <mergeCell ref="A23:F23"/>
    <mergeCell ref="A6:F6"/>
    <mergeCell ref="A13:B13"/>
    <mergeCell ref="A50:F50"/>
    <mergeCell ref="A15:F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2" customWidth="1" min="4" max="4"/>
    <col width="16" customWidth="1" min="5" max="5"/>
    <col width="16" customWidth="1" min="6" max="6"/>
  </cols>
  <sheetData>
    <row r="1">
      <c r="A1" s="1" t="inlineStr">
        <is>
          <t>範例角色：吳姐（急診護士）</t>
        </is>
      </c>
      <c r="B1" s="15" t="n"/>
      <c r="C1" s="15" t="n"/>
      <c r="D1" s="15" t="n"/>
      <c r="E1" s="15" t="n"/>
      <c r="F1" s="16" t="n"/>
    </row>
    <row r="2">
      <c r="A2" s="2" t="inlineStr">
        <is>
          <t>基本資訊</t>
        </is>
      </c>
      <c r="B2" s="15" t="n"/>
      <c r="C2" s="15" t="n"/>
      <c r="D2" s="15" t="n"/>
      <c r="E2" s="15" t="n"/>
      <c r="F2" s="16" t="n"/>
    </row>
    <row r="3">
      <c r="A3" s="3" t="inlineStr">
        <is>
          <t>角色名稱：</t>
        </is>
      </c>
      <c r="B3" s="4" t="inlineStr">
        <is>
          <t>吳淑芬</t>
        </is>
      </c>
      <c r="C3" s="3" t="inlineStr">
        <is>
          <t>年齡：</t>
        </is>
      </c>
      <c r="D3" s="4" t="inlineStr">
        <is>
          <t>42</t>
        </is>
      </c>
      <c r="E3" s="3" t="inlineStr">
        <is>
          <t>背景：</t>
        </is>
      </c>
      <c r="F3" s="4" t="inlineStr">
        <is>
          <t>急診護士</t>
        </is>
      </c>
      <c r="G3" t="inlineStr">
        <is>
          <t>知識值（KNO Value）：</t>
        </is>
      </c>
    </row>
    <row r="4">
      <c r="A4" s="3" t="inlineStr">
        <is>
          <t>卡穿前職業：</t>
        </is>
      </c>
      <c r="B4" s="4" t="inlineStr">
        <is>
          <t>急診室護理長</t>
        </is>
      </c>
      <c r="C4" s="3" t="inlineStr">
        <is>
          <t>在後室時間：</t>
        </is>
      </c>
      <c r="D4" s="4" t="inlineStr">
        <is>
          <t>一個月</t>
        </is>
      </c>
      <c r="E4" s="3" t="inlineStr">
        <is>
          <t>當前里程碑：</t>
        </is>
      </c>
      <c r="F4" s="4" t="inlineStr">
        <is>
          <t>適應者</t>
        </is>
      </c>
      <c r="G4" t="inlineStr">
        <is>
          <t>4（一個月）</t>
        </is>
      </c>
    </row>
    <row r="5">
      <c r="G5" t="inlineStr">
        <is>
          <t>由「在後室時間」決定；後室知識檢定加入</t>
        </is>
      </c>
    </row>
    <row r="6">
      <c r="A6" s="2" t="inlineStr">
        <is>
          <t>五大屬性</t>
        </is>
      </c>
      <c r="B6" s="15" t="n"/>
      <c r="C6" s="15" t="n"/>
      <c r="D6" s="15" t="n"/>
      <c r="E6" s="15" t="n"/>
      <c r="F6" s="16" t="n"/>
    </row>
    <row r="7">
      <c r="A7" s="5" t="inlineStr">
        <is>
          <t>屬性名稱</t>
        </is>
      </c>
      <c r="B7" s="5" t="inlineStr">
        <is>
          <t>屬性值</t>
        </is>
      </c>
      <c r="C7" s="5" t="inlineStr">
        <is>
          <t>屬性加值</t>
        </is>
      </c>
      <c r="D7" s="5" t="inlineStr">
        <is>
          <t>屬性名稱</t>
        </is>
      </c>
      <c r="E7" s="5" t="inlineStr">
        <is>
          <t>屬性值</t>
        </is>
      </c>
      <c r="F7" s="5" t="inlineStr">
        <is>
          <t>屬性加值</t>
        </is>
      </c>
    </row>
    <row r="8">
      <c r="A8" s="3" t="inlineStr">
        <is>
          <t>體魄（PHY）</t>
        </is>
      </c>
      <c r="B8" s="4" t="n">
        <v>4</v>
      </c>
      <c r="C8" s="6">
        <f>B8</f>
        <v/>
      </c>
    </row>
    <row r="9">
      <c r="A9" s="3" t="inlineStr">
        <is>
          <t>機敏（AGI）</t>
        </is>
      </c>
      <c r="B9" s="4" t="n">
        <v>5</v>
      </c>
      <c r="C9" s="6">
        <f>B9</f>
        <v/>
      </c>
    </row>
    <row r="10">
      <c r="A10" s="3" t="inlineStr">
        <is>
          <t>感知（PER）</t>
        </is>
      </c>
      <c r="B10" s="4" t="n">
        <v>6</v>
      </c>
      <c r="C10" s="6">
        <f>B10</f>
        <v/>
      </c>
    </row>
    <row r="11">
      <c r="A11" s="3" t="inlineStr">
        <is>
          <t>理智（SAN）</t>
        </is>
      </c>
      <c r="B11" s="4" t="n">
        <v>7</v>
      </c>
      <c r="C11" s="6">
        <f>B11</f>
        <v/>
      </c>
    </row>
    <row r="12">
      <c r="A12" s="3" t="inlineStr">
        <is>
          <t>知識（KNO）</t>
        </is>
      </c>
      <c r="B12" s="4" t="n">
        <v>3</v>
      </c>
      <c r="C12" s="6">
        <f>B12</f>
        <v/>
      </c>
    </row>
    <row r="13">
      <c r="A13" s="3" t="inlineStr">
        <is>
          <t>屬性總和：</t>
        </is>
      </c>
      <c r="B13" s="16" t="n"/>
      <c r="C13" s="7">
        <f>SUM(B8:B12)</f>
        <v/>
      </c>
    </row>
    <row r="15">
      <c r="A15" s="2" t="inlineStr">
        <is>
          <t>衍生屬性（自動計算）</t>
        </is>
      </c>
      <c r="B15" s="15" t="n"/>
      <c r="C15" s="15" t="n"/>
      <c r="D15" s="15" t="n"/>
      <c r="E15" s="15" t="n"/>
      <c r="F15" s="16" t="n"/>
    </row>
    <row r="16">
      <c r="A16" s="3" t="inlineStr">
        <is>
          <t>生命值（HP）</t>
        </is>
      </c>
      <c r="B16" s="8">
        <f>B8*2+5</f>
        <v/>
      </c>
      <c r="C16" s="9" t="inlineStr">
        <is>
          <t>體魄×2+5</t>
        </is>
      </c>
    </row>
    <row r="17">
      <c r="A17" s="3" t="inlineStr">
        <is>
          <t>防禦值（DEF）</t>
        </is>
      </c>
      <c r="B17" s="8">
        <f>10+B9</f>
        <v/>
      </c>
      <c r="C17" s="9" t="inlineStr">
        <is>
          <t>10+機敏</t>
        </is>
      </c>
    </row>
    <row r="18">
      <c r="A18" s="3" t="inlineStr">
        <is>
          <t>理智值（SP）</t>
        </is>
      </c>
      <c r="B18" s="8">
        <f>B11*3+10</f>
        <v/>
      </c>
      <c r="C18" s="9" t="inlineStr">
        <is>
          <t>理智×3+10</t>
        </is>
      </c>
    </row>
    <row r="19">
      <c r="A19" s="3" t="inlineStr">
        <is>
          <t>負重上限（kg）</t>
        </is>
      </c>
      <c r="B19" s="8">
        <f>B8*2</f>
        <v/>
      </c>
      <c r="C19" s="9" t="inlineStr">
        <is>
          <t>體魄×2</t>
        </is>
      </c>
    </row>
    <row r="20">
      <c r="A20" s="3" t="inlineStr">
        <is>
          <t>移動速度（m/回合）</t>
        </is>
      </c>
      <c r="B20" s="8">
        <f>6+B9</f>
        <v/>
      </c>
      <c r="C20" s="9" t="inlineStr">
        <is>
          <t>6+機敏</t>
        </is>
      </c>
    </row>
    <row r="21">
      <c r="A21" s="3" t="inlineStr">
        <is>
          <t>先攻加值</t>
        </is>
      </c>
      <c r="B21" s="8">
        <f>B9+B10</f>
        <v/>
      </c>
      <c r="C21" s="9" t="inlineStr">
        <is>
          <t>機敏+感知</t>
        </is>
      </c>
    </row>
    <row r="23">
      <c r="A23" s="2" t="inlineStr">
        <is>
          <t>技能</t>
        </is>
      </c>
      <c r="B23" s="15" t="n"/>
      <c r="C23" s="15" t="n"/>
      <c r="D23" s="15" t="n"/>
      <c r="E23" s="15" t="n"/>
      <c r="F23" s="16" t="n"/>
    </row>
    <row r="24">
      <c r="A24" s="10" t="inlineStr">
        <is>
          <t>技能</t>
        </is>
      </c>
      <c r="B24" s="10" t="inlineStr">
        <is>
          <t>屬性</t>
        </is>
      </c>
      <c r="C24" s="10" t="inlineStr">
        <is>
          <t>熟練等級</t>
        </is>
      </c>
      <c r="D24" s="10" t="inlineStr">
        <is>
          <t>熟練加值</t>
        </is>
      </c>
      <c r="E24" s="10" t="inlineStr">
        <is>
          <t>技能總值</t>
        </is>
      </c>
      <c r="F24" s="10" t="inlineStr">
        <is>
          <t>備註</t>
        </is>
      </c>
    </row>
    <row r="25">
      <c r="A25" s="3" t="inlineStr">
        <is>
          <t>運動</t>
        </is>
      </c>
      <c r="B25" s="11" t="inlineStr"/>
      <c r="C25" s="4" t="inlineStr">
        <is>
          <t>未受訓</t>
        </is>
      </c>
      <c r="D25" s="6">
        <f>IF(C25="專精",5,IF(C25="受訓",3,0))</f>
        <v/>
      </c>
      <c r="E25" s="6">
        <f>B8+D25</f>
        <v/>
      </c>
    </row>
    <row r="26">
      <c r="A26" s="3" t="inlineStr">
        <is>
          <t>耐力</t>
        </is>
      </c>
      <c r="B26" s="11" t="inlineStr"/>
      <c r="C26" s="4" t="inlineStr">
        <is>
          <t>受訓</t>
        </is>
      </c>
      <c r="D26" s="6">
        <f>IF(C26="專精",5,IF(C26="受訓",3,0))</f>
        <v/>
      </c>
      <c r="E26" s="6">
        <f>B8+D26</f>
        <v/>
      </c>
    </row>
    <row r="27">
      <c r="A27" s="3" t="inlineStr">
        <is>
          <t>力量</t>
        </is>
      </c>
      <c r="B27" s="11" t="inlineStr"/>
      <c r="C27" s="4" t="inlineStr">
        <is>
          <t>未受訓</t>
        </is>
      </c>
      <c r="D27" s="6">
        <f>IF(C27="專精",5,IF(C27="受訓",3,0))</f>
        <v/>
      </c>
      <c r="E27" s="6">
        <f>B8+D27</f>
        <v/>
      </c>
    </row>
    <row r="28">
      <c r="A28" s="3" t="inlineStr">
        <is>
          <t>潛行</t>
        </is>
      </c>
      <c r="B28" s="11" t="inlineStr"/>
      <c r="C28" s="4" t="inlineStr">
        <is>
          <t>未受訓</t>
        </is>
      </c>
      <c r="D28" s="6">
        <f>IF(C28="專精",5,IF(C28="受訓",3,0))</f>
        <v/>
      </c>
      <c r="E28" s="6">
        <f>B9+D28</f>
        <v/>
      </c>
    </row>
    <row r="29">
      <c r="A29" s="3" t="inlineStr">
        <is>
          <t>特技</t>
        </is>
      </c>
      <c r="B29" s="11" t="inlineStr"/>
      <c r="C29" s="4" t="inlineStr">
        <is>
          <t>未受訓</t>
        </is>
      </c>
      <c r="D29" s="6">
        <f>IF(C29="專精",5,IF(C29="受訓",3,0))</f>
        <v/>
      </c>
      <c r="E29" s="6">
        <f>B9+D29</f>
        <v/>
      </c>
    </row>
    <row r="30">
      <c r="A30" s="3" t="inlineStr">
        <is>
          <t>巧手</t>
        </is>
      </c>
      <c r="B30" s="11" t="inlineStr"/>
      <c r="C30" s="4" t="inlineStr">
        <is>
          <t>未受訓</t>
        </is>
      </c>
      <c r="D30" s="6">
        <f>IF(C30="專精",5,IF(C30="受訓",3,0))</f>
        <v/>
      </c>
      <c r="E30" s="6">
        <f>B9+D30</f>
        <v/>
      </c>
    </row>
    <row r="31">
      <c r="A31" s="3" t="inlineStr">
        <is>
          <t>閃避</t>
        </is>
      </c>
      <c r="B31" s="11" t="inlineStr"/>
      <c r="C31" s="4" t="inlineStr">
        <is>
          <t>未受訓</t>
        </is>
      </c>
      <c r="D31" s="6">
        <f>IF(C31="專精",5,IF(C31="受訓",3,0))</f>
        <v/>
      </c>
      <c r="E31" s="6">
        <f>B9+D31</f>
        <v/>
      </c>
    </row>
    <row r="32">
      <c r="A32" s="3" t="inlineStr">
        <is>
          <t>搜索</t>
        </is>
      </c>
      <c r="B32" s="11" t="inlineStr"/>
      <c r="C32" s="4" t="inlineStr">
        <is>
          <t>受訓</t>
        </is>
      </c>
      <c r="D32" s="6">
        <f>IF(C32="專精",5,IF(C32="受訓",3,0))</f>
        <v/>
      </c>
      <c r="E32" s="6">
        <f>B10+D32</f>
        <v/>
      </c>
    </row>
    <row r="33">
      <c r="A33" s="3" t="inlineStr">
        <is>
          <t>追蹤</t>
        </is>
      </c>
      <c r="B33" s="11" t="inlineStr"/>
      <c r="C33" s="4" t="inlineStr">
        <is>
          <t>未受訓</t>
        </is>
      </c>
      <c r="D33" s="6">
        <f>IF(C33="專精",5,IF(C33="受訓",3,0))</f>
        <v/>
      </c>
      <c r="E33" s="6">
        <f>B10+D33</f>
        <v/>
      </c>
    </row>
    <row r="34">
      <c r="A34" s="3" t="inlineStr">
        <is>
          <t>洞察</t>
        </is>
      </c>
      <c r="B34" s="11" t="inlineStr"/>
      <c r="C34" s="4" t="inlineStr">
        <is>
          <t>受訓</t>
        </is>
      </c>
      <c r="D34" s="6">
        <f>IF(C34="專精",5,IF(C34="受訓",3,0))</f>
        <v/>
      </c>
      <c r="E34" s="6">
        <f>B10+D34</f>
        <v/>
      </c>
    </row>
    <row r="35">
      <c r="A35" s="3" t="inlineStr">
        <is>
          <t>危險感知</t>
        </is>
      </c>
      <c r="B35" s="11" t="inlineStr"/>
      <c r="C35" s="4" t="inlineStr">
        <is>
          <t>未受訓</t>
        </is>
      </c>
      <c r="D35" s="6">
        <f>IF(C35="專精",5,IF(C35="受訓",3,0))</f>
        <v/>
      </c>
      <c r="E35" s="6">
        <f>B10+D35</f>
        <v/>
      </c>
    </row>
    <row r="36">
      <c r="A36" s="3" t="inlineStr">
        <is>
          <t>意志</t>
        </is>
      </c>
      <c r="B36" s="11" t="inlineStr"/>
      <c r="C36" s="4" t="inlineStr">
        <is>
          <t>受訓</t>
        </is>
      </c>
      <c r="D36" s="6">
        <f>IF(C36="專精",5,IF(C36="受訓",3,0))</f>
        <v/>
      </c>
      <c r="E36" s="6">
        <f>B11+D36</f>
        <v/>
      </c>
    </row>
    <row r="37">
      <c r="A37" s="3" t="inlineStr">
        <is>
          <t>鎮定</t>
        </is>
      </c>
      <c r="B37" s="11" t="inlineStr"/>
      <c r="C37" s="4" t="inlineStr">
        <is>
          <t>受訓</t>
        </is>
      </c>
      <c r="D37" s="6">
        <f>IF(C37="專精",5,IF(C37="受訓",3,0))</f>
        <v/>
      </c>
      <c r="E37" s="6">
        <f>B11+D37</f>
        <v/>
      </c>
    </row>
    <row r="38">
      <c r="A38" s="3" t="inlineStr">
        <is>
          <t>冥想</t>
        </is>
      </c>
      <c r="B38" s="11" t="inlineStr"/>
      <c r="C38" s="4" t="inlineStr">
        <is>
          <t>未受訓</t>
        </is>
      </c>
      <c r="D38" s="6">
        <f>IF(C38="專精",5,IF(C38="受訓",3,0))</f>
        <v/>
      </c>
      <c r="E38" s="6">
        <f>B11+D38</f>
        <v/>
      </c>
    </row>
    <row r="39">
      <c r="A39" s="3" t="inlineStr">
        <is>
          <t>後室知識</t>
        </is>
      </c>
      <c r="B39" s="11" t="inlineStr"/>
      <c r="C39" s="4" t="inlineStr">
        <is>
          <t>未受訓</t>
        </is>
      </c>
      <c r="D39" s="6">
        <f>IF(C39="專精",5,IF(C39="受訓",3,0))</f>
        <v/>
      </c>
      <c r="E39" s="6">
        <f>B12+D39</f>
        <v/>
      </c>
    </row>
    <row r="40">
      <c r="A40" s="3" t="inlineStr">
        <is>
          <t>急救</t>
        </is>
      </c>
      <c r="B40" s="11" t="inlineStr"/>
      <c r="C40" s="4" t="inlineStr">
        <is>
          <t>專精</t>
        </is>
      </c>
      <c r="D40" s="6">
        <f>IF(C40="專精",5,IF(C40="受訓",3,0))</f>
        <v/>
      </c>
      <c r="E40" s="6">
        <f>B12+D40</f>
        <v/>
      </c>
    </row>
    <row r="41">
      <c r="A41" s="3" t="inlineStr">
        <is>
          <t>製作</t>
        </is>
      </c>
      <c r="B41" s="11" t="inlineStr"/>
      <c r="C41" s="4" t="inlineStr">
        <is>
          <t>未受訓</t>
        </is>
      </c>
      <c r="D41" s="6">
        <f>IF(C41="專精",5,IF(C41="受訓",3,0))</f>
        <v/>
      </c>
      <c r="E41" s="6">
        <f>B12+D41</f>
        <v/>
      </c>
    </row>
    <row r="42">
      <c r="A42" s="3" t="inlineStr">
        <is>
          <t>空間記憶</t>
        </is>
      </c>
      <c r="B42" s="11" t="inlineStr"/>
      <c r="C42" s="4" t="inlineStr">
        <is>
          <t>未受訓</t>
        </is>
      </c>
      <c r="D42" s="6">
        <f>IF(C42="專精",5,IF(C42="受訓",3,0))</f>
        <v/>
      </c>
      <c r="E42" s="6">
        <f>B12+D42</f>
        <v/>
      </c>
    </row>
    <row r="44">
      <c r="A44" s="2" t="inlineStr">
        <is>
          <t>裝備與物品</t>
        </is>
      </c>
      <c r="B44" s="15" t="n"/>
      <c r="C44" s="15" t="n"/>
      <c r="D44" s="15" t="n"/>
      <c r="E44" s="15" t="n"/>
      <c r="F44" s="16" t="n"/>
    </row>
    <row r="45">
      <c r="A45" s="5" t="inlineStr">
        <is>
          <t>物品名稱</t>
        </is>
      </c>
      <c r="B45" s="5" t="inlineStr">
        <is>
          <t>類別</t>
        </is>
      </c>
      <c r="C45" s="5" t="inlineStr">
        <is>
          <t>重量(kg)</t>
        </is>
      </c>
      <c r="D45" s="5" t="inlineStr">
        <is>
          <t>數量</t>
        </is>
      </c>
      <c r="E45" s="5" t="inlineStr">
        <is>
          <t>效果</t>
        </is>
      </c>
      <c r="F45" s="5" t="inlineStr">
        <is>
          <t>耐久</t>
        </is>
      </c>
    </row>
    <row r="46">
      <c r="A46" s="12" t="inlineStr">
        <is>
          <t>急救包</t>
        </is>
      </c>
      <c r="B46" s="13" t="inlineStr">
        <is>
          <t>醫療</t>
        </is>
      </c>
      <c r="C46" s="13" t="n">
        <v>1</v>
      </c>
      <c r="D46" s="13" t="n">
        <v>1</v>
      </c>
      <c r="E46" s="13" t="inlineStr">
        <is>
          <t>完整急救用品</t>
        </is>
      </c>
      <c r="F46" s="13" t="inlineStr">
        <is>
          <t>各1份</t>
        </is>
      </c>
    </row>
    <row r="47">
      <c r="A47" s="12" t="inlineStr">
        <is>
          <t>醫療手套</t>
        </is>
      </c>
      <c r="B47" s="13" t="inlineStr">
        <is>
          <t>防護</t>
        </is>
      </c>
      <c r="C47" s="13" t="n">
        <v>0.05</v>
      </c>
      <c r="D47" s="13" t="n">
        <v>2</v>
      </c>
      <c r="E47" s="13" t="inlineStr">
        <is>
          <t>保護雙手</t>
        </is>
      </c>
      <c r="F47" s="13" t="inlineStr">
        <is>
          <t>—</t>
        </is>
      </c>
    </row>
    <row r="48">
      <c r="A48" s="12" t="inlineStr">
        <is>
          <t>繃帶</t>
        </is>
      </c>
      <c r="B48" s="13" t="inlineStr">
        <is>
          <t>醫療</t>
        </is>
      </c>
      <c r="C48" s="13" t="n">
        <v>0.2</v>
      </c>
      <c r="D48" s="13" t="n">
        <v>1</v>
      </c>
      <c r="E48" s="13" t="inlineStr">
        <is>
          <t>恢復2D6 HP</t>
        </is>
      </c>
      <c r="F48" s="13" t="inlineStr">
        <is>
          <t>5次</t>
        </is>
      </c>
    </row>
    <row r="50">
      <c r="A50" s="2" t="inlineStr">
        <is>
          <t>資源</t>
        </is>
      </c>
      <c r="B50" s="15" t="n"/>
      <c r="C50" s="15" t="n"/>
      <c r="D50" s="15" t="n"/>
      <c r="E50" s="15" t="n"/>
      <c r="F50" s="16" t="n"/>
    </row>
    <row r="51">
      <c r="A51" s="3" t="inlineStr">
        <is>
          <t>杏仁水</t>
        </is>
      </c>
      <c r="B51" s="4" t="n">
        <v>2</v>
      </c>
    </row>
    <row r="52">
      <c r="A52" s="3" t="inlineStr">
        <is>
          <t>卡路里</t>
        </is>
      </c>
      <c r="B52" s="4" t="n">
        <v>7</v>
      </c>
    </row>
    <row r="54">
      <c r="A54" s="2" t="inlineStr">
        <is>
          <t>角色故事</t>
        </is>
      </c>
      <c r="B54" s="15" t="n"/>
      <c r="C54" s="15" t="n"/>
      <c r="D54" s="15" t="n"/>
      <c r="E54" s="15" t="n"/>
      <c r="F54" s="16" t="n"/>
    </row>
    <row r="55">
      <c r="A55" s="14" t="inlineStr">
        <is>
          <t>吳淑芬在急診室值完一個16小時的班後，走進員工休息室想小睡一下。她醒來時在 Level 0。她有一個17歲的兒子在外面的世界——她必須回去。但在這之前，她決定用她的醫療技能幫助她在後室中遇到的每一個人。</t>
        </is>
      </c>
      <c r="B55" s="17" t="n"/>
      <c r="C55" s="17" t="n"/>
      <c r="D55" s="17" t="n"/>
      <c r="E55" s="17" t="n"/>
      <c r="F55" s="18" t="n"/>
    </row>
    <row r="56">
      <c r="A56" s="19" t="n"/>
      <c r="F56" s="20" t="n"/>
    </row>
    <row r="57">
      <c r="A57" s="21" t="n"/>
      <c r="B57" s="22" t="n"/>
      <c r="C57" s="22" t="n"/>
      <c r="D57" s="22" t="n"/>
      <c r="E57" s="22" t="n"/>
      <c r="F57" s="23" t="n"/>
    </row>
  </sheetData>
  <mergeCells count="10">
    <mergeCell ref="A2:F2"/>
    <mergeCell ref="A55:F57"/>
    <mergeCell ref="A54:F54"/>
    <mergeCell ref="A44:F44"/>
    <mergeCell ref="A1:F1"/>
    <mergeCell ref="A23:F23"/>
    <mergeCell ref="A6:F6"/>
    <mergeCell ref="A13:B13"/>
    <mergeCell ref="A50:F50"/>
    <mergeCell ref="A15:F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2" customWidth="1" min="4" max="4"/>
    <col width="16" customWidth="1" min="5" max="5"/>
    <col width="16" customWidth="1" min="6" max="6"/>
  </cols>
  <sheetData>
    <row r="1">
      <c r="A1" s="1" t="inlineStr">
        <is>
          <t>範例角色：老趙（倉儲工人）</t>
        </is>
      </c>
      <c r="B1" s="15" t="n"/>
      <c r="C1" s="15" t="n"/>
      <c r="D1" s="15" t="n"/>
      <c r="E1" s="15" t="n"/>
      <c r="F1" s="16" t="n"/>
    </row>
    <row r="2">
      <c r="A2" s="2" t="inlineStr">
        <is>
          <t>基本資訊</t>
        </is>
      </c>
      <c r="B2" s="15" t="n"/>
      <c r="C2" s="15" t="n"/>
      <c r="D2" s="15" t="n"/>
      <c r="E2" s="15" t="n"/>
      <c r="F2" s="16" t="n"/>
    </row>
    <row r="3">
      <c r="A3" s="3" t="inlineStr">
        <is>
          <t>角色名稱：</t>
        </is>
      </c>
      <c r="B3" s="4" t="inlineStr">
        <is>
          <t>趙大勇</t>
        </is>
      </c>
      <c r="C3" s="3" t="inlineStr">
        <is>
          <t>年齡：</t>
        </is>
      </c>
      <c r="D3" s="4" t="inlineStr">
        <is>
          <t>55</t>
        </is>
      </c>
      <c r="E3" s="3" t="inlineStr">
        <is>
          <t>背景：</t>
        </is>
      </c>
      <c r="F3" s="4" t="inlineStr">
        <is>
          <t>倉儲工人</t>
        </is>
      </c>
      <c r="G3" t="inlineStr">
        <is>
          <t>知識值（KNO Value）：</t>
        </is>
      </c>
    </row>
    <row r="4">
      <c r="A4" s="3" t="inlineStr">
        <is>
          <t>卡穿前職業：</t>
        </is>
      </c>
      <c r="B4" s="4" t="inlineStr">
        <is>
          <t>倉庫管理員</t>
        </is>
      </c>
      <c r="C4" s="3" t="inlineStr">
        <is>
          <t>在後室時間：</t>
        </is>
      </c>
      <c r="D4" s="4" t="inlineStr">
        <is>
          <t>第一天</t>
        </is>
      </c>
      <c r="E4" s="3" t="inlineStr">
        <is>
          <t>當前里程碑：</t>
        </is>
      </c>
      <c r="F4" s="4" t="inlineStr">
        <is>
          <t>初醒者</t>
        </is>
      </c>
      <c r="G4" t="inlineStr">
        <is>
          <t>0（第一天）</t>
        </is>
      </c>
    </row>
    <row r="5">
      <c r="G5" t="inlineStr">
        <is>
          <t>由「在後室時間」決定；後室知識檢定加入</t>
        </is>
      </c>
    </row>
    <row r="6">
      <c r="A6" s="2" t="inlineStr">
        <is>
          <t>五大屬性</t>
        </is>
      </c>
      <c r="B6" s="15" t="n"/>
      <c r="C6" s="15" t="n"/>
      <c r="D6" s="15" t="n"/>
      <c r="E6" s="15" t="n"/>
      <c r="F6" s="16" t="n"/>
    </row>
    <row r="7">
      <c r="A7" s="5" t="inlineStr">
        <is>
          <t>屬性名稱</t>
        </is>
      </c>
      <c r="B7" s="5" t="inlineStr">
        <is>
          <t>屬性值</t>
        </is>
      </c>
      <c r="C7" s="5" t="inlineStr">
        <is>
          <t>屬性加值</t>
        </is>
      </c>
      <c r="D7" s="5" t="inlineStr">
        <is>
          <t>屬性名稱</t>
        </is>
      </c>
      <c r="E7" s="5" t="inlineStr">
        <is>
          <t>屬性值</t>
        </is>
      </c>
      <c r="F7" s="5" t="inlineStr">
        <is>
          <t>屬性加值</t>
        </is>
      </c>
    </row>
    <row r="8">
      <c r="A8" s="3" t="inlineStr">
        <is>
          <t>體魄（PHY）</t>
        </is>
      </c>
      <c r="B8" s="4" t="n">
        <v>8</v>
      </c>
      <c r="C8" s="6">
        <f>B8</f>
        <v/>
      </c>
    </row>
    <row r="9">
      <c r="A9" s="3" t="inlineStr">
        <is>
          <t>機敏（AGI）</t>
        </is>
      </c>
      <c r="B9" s="4" t="n">
        <v>3</v>
      </c>
      <c r="C9" s="6">
        <f>B9</f>
        <v/>
      </c>
    </row>
    <row r="10">
      <c r="A10" s="3" t="inlineStr">
        <is>
          <t>感知（PER）</t>
        </is>
      </c>
      <c r="B10" s="4" t="n">
        <v>4</v>
      </c>
      <c r="C10" s="6">
        <f>B10</f>
        <v/>
      </c>
    </row>
    <row r="11">
      <c r="A11" s="3" t="inlineStr">
        <is>
          <t>理智（SAN）</t>
        </is>
      </c>
      <c r="B11" s="4" t="n">
        <v>5</v>
      </c>
      <c r="C11" s="6">
        <f>B11</f>
        <v/>
      </c>
    </row>
    <row r="12">
      <c r="A12" s="3" t="inlineStr">
        <is>
          <t>知識（KNO）</t>
        </is>
      </c>
      <c r="B12" s="4" t="n">
        <v>5</v>
      </c>
      <c r="C12" s="6">
        <f>B12</f>
        <v/>
      </c>
    </row>
    <row r="13">
      <c r="A13" s="3" t="inlineStr">
        <is>
          <t>屬性總和：</t>
        </is>
      </c>
      <c r="B13" s="16" t="n"/>
      <c r="C13" s="7">
        <f>SUM(B8:B12)</f>
        <v/>
      </c>
    </row>
    <row r="15">
      <c r="A15" s="2" t="inlineStr">
        <is>
          <t>衍生屬性（自動計算）</t>
        </is>
      </c>
      <c r="B15" s="15" t="n"/>
      <c r="C15" s="15" t="n"/>
      <c r="D15" s="15" t="n"/>
      <c r="E15" s="15" t="n"/>
      <c r="F15" s="16" t="n"/>
    </row>
    <row r="16">
      <c r="A16" s="3" t="inlineStr">
        <is>
          <t>生命值（HP）</t>
        </is>
      </c>
      <c r="B16" s="8">
        <f>B8*2+5</f>
        <v/>
      </c>
      <c r="C16" s="9" t="inlineStr">
        <is>
          <t>體魄×2+5</t>
        </is>
      </c>
    </row>
    <row r="17">
      <c r="A17" s="3" t="inlineStr">
        <is>
          <t>防禦值（DEF）</t>
        </is>
      </c>
      <c r="B17" s="8">
        <f>10+B9</f>
        <v/>
      </c>
      <c r="C17" s="9" t="inlineStr">
        <is>
          <t>10+機敏</t>
        </is>
      </c>
    </row>
    <row r="18">
      <c r="A18" s="3" t="inlineStr">
        <is>
          <t>理智值（SP）</t>
        </is>
      </c>
      <c r="B18" s="8">
        <f>B11*3+10</f>
        <v/>
      </c>
      <c r="C18" s="9" t="inlineStr">
        <is>
          <t>理智×3+10</t>
        </is>
      </c>
    </row>
    <row r="19">
      <c r="A19" s="3" t="inlineStr">
        <is>
          <t>負重上限（kg）</t>
        </is>
      </c>
      <c r="B19" s="8">
        <f>B8*2</f>
        <v/>
      </c>
      <c r="C19" s="9" t="inlineStr">
        <is>
          <t>體魄×2</t>
        </is>
      </c>
    </row>
    <row r="20">
      <c r="A20" s="3" t="inlineStr">
        <is>
          <t>移動速度（m/回合）</t>
        </is>
      </c>
      <c r="B20" s="8">
        <f>6+B9</f>
        <v/>
      </c>
      <c r="C20" s="9" t="inlineStr">
        <is>
          <t>6+機敏</t>
        </is>
      </c>
    </row>
    <row r="21">
      <c r="A21" s="3" t="inlineStr">
        <is>
          <t>先攻加值</t>
        </is>
      </c>
      <c r="B21" s="8">
        <f>B9+B10</f>
        <v/>
      </c>
      <c r="C21" s="9" t="inlineStr">
        <is>
          <t>機敏+感知</t>
        </is>
      </c>
    </row>
    <row r="23">
      <c r="A23" s="2" t="inlineStr">
        <is>
          <t>技能</t>
        </is>
      </c>
      <c r="B23" s="15" t="n"/>
      <c r="C23" s="15" t="n"/>
      <c r="D23" s="15" t="n"/>
      <c r="E23" s="15" t="n"/>
      <c r="F23" s="16" t="n"/>
    </row>
    <row r="24">
      <c r="A24" s="10" t="inlineStr">
        <is>
          <t>技能</t>
        </is>
      </c>
      <c r="B24" s="10" t="inlineStr">
        <is>
          <t>屬性</t>
        </is>
      </c>
      <c r="C24" s="10" t="inlineStr">
        <is>
          <t>熟練等級</t>
        </is>
      </c>
      <c r="D24" s="10" t="inlineStr">
        <is>
          <t>熟練加值</t>
        </is>
      </c>
      <c r="E24" s="10" t="inlineStr">
        <is>
          <t>技能總值</t>
        </is>
      </c>
      <c r="F24" s="10" t="inlineStr">
        <is>
          <t>備註</t>
        </is>
      </c>
    </row>
    <row r="25">
      <c r="A25" s="3" t="inlineStr">
        <is>
          <t>運動</t>
        </is>
      </c>
      <c r="B25" s="11" t="inlineStr"/>
      <c r="C25" s="4" t="inlineStr">
        <is>
          <t>受訓</t>
        </is>
      </c>
      <c r="D25" s="6">
        <f>IF(C25="專精",5,IF(C25="受訓",3,0))</f>
        <v/>
      </c>
      <c r="E25" s="6">
        <f>B8+D25</f>
        <v/>
      </c>
    </row>
    <row r="26">
      <c r="A26" s="3" t="inlineStr">
        <is>
          <t>耐力</t>
        </is>
      </c>
      <c r="B26" s="11" t="inlineStr"/>
      <c r="C26" s="4" t="inlineStr">
        <is>
          <t>受訓</t>
        </is>
      </c>
      <c r="D26" s="6">
        <f>IF(C26="專精",5,IF(C26="受訓",3,0))</f>
        <v/>
      </c>
      <c r="E26" s="6">
        <f>B8+D26</f>
        <v/>
      </c>
    </row>
    <row r="27">
      <c r="A27" s="3" t="inlineStr">
        <is>
          <t>力量</t>
        </is>
      </c>
      <c r="B27" s="11" t="inlineStr"/>
      <c r="C27" s="4" t="inlineStr">
        <is>
          <t>專精</t>
        </is>
      </c>
      <c r="D27" s="6">
        <f>IF(C27="專精",5,IF(C27="受訓",3,0))</f>
        <v/>
      </c>
      <c r="E27" s="6">
        <f>B8+D27</f>
        <v/>
      </c>
    </row>
    <row r="28">
      <c r="A28" s="3" t="inlineStr">
        <is>
          <t>潛行</t>
        </is>
      </c>
      <c r="B28" s="11" t="inlineStr"/>
      <c r="C28" s="4" t="inlineStr">
        <is>
          <t>未受訓</t>
        </is>
      </c>
      <c r="D28" s="6">
        <f>IF(C28="專精",5,IF(C28="受訓",3,0))</f>
        <v/>
      </c>
      <c r="E28" s="6">
        <f>B9+D28</f>
        <v/>
      </c>
    </row>
    <row r="29">
      <c r="A29" s="3" t="inlineStr">
        <is>
          <t>特技</t>
        </is>
      </c>
      <c r="B29" s="11" t="inlineStr"/>
      <c r="C29" s="4" t="inlineStr">
        <is>
          <t>未受訓</t>
        </is>
      </c>
      <c r="D29" s="6">
        <f>IF(C29="專精",5,IF(C29="受訓",3,0))</f>
        <v/>
      </c>
      <c r="E29" s="6">
        <f>B9+D29</f>
        <v/>
      </c>
    </row>
    <row r="30">
      <c r="A30" s="3" t="inlineStr">
        <is>
          <t>巧手</t>
        </is>
      </c>
      <c r="B30" s="11" t="inlineStr"/>
      <c r="C30" s="4" t="inlineStr">
        <is>
          <t>未受訓</t>
        </is>
      </c>
      <c r="D30" s="6">
        <f>IF(C30="專精",5,IF(C30="受訓",3,0))</f>
        <v/>
      </c>
      <c r="E30" s="6">
        <f>B9+D30</f>
        <v/>
      </c>
    </row>
    <row r="31">
      <c r="A31" s="3" t="inlineStr">
        <is>
          <t>閃避</t>
        </is>
      </c>
      <c r="B31" s="11" t="inlineStr"/>
      <c r="C31" s="4" t="inlineStr">
        <is>
          <t>未受訓</t>
        </is>
      </c>
      <c r="D31" s="6">
        <f>IF(C31="專精",5,IF(C31="受訓",3,0))</f>
        <v/>
      </c>
      <c r="E31" s="6">
        <f>B9+D31</f>
        <v/>
      </c>
    </row>
    <row r="32">
      <c r="A32" s="3" t="inlineStr">
        <is>
          <t>搜索</t>
        </is>
      </c>
      <c r="B32" s="11" t="inlineStr"/>
      <c r="C32" s="4" t="inlineStr">
        <is>
          <t>未受訓</t>
        </is>
      </c>
      <c r="D32" s="6">
        <f>IF(C32="專精",5,IF(C32="受訓",3,0))</f>
        <v/>
      </c>
      <c r="E32" s="6">
        <f>B10+D32</f>
        <v/>
      </c>
    </row>
    <row r="33">
      <c r="A33" s="3" t="inlineStr">
        <is>
          <t>追蹤</t>
        </is>
      </c>
      <c r="B33" s="11" t="inlineStr"/>
      <c r="C33" s="4" t="inlineStr">
        <is>
          <t>未受訓</t>
        </is>
      </c>
      <c r="D33" s="6">
        <f>IF(C33="專精",5,IF(C33="受訓",3,0))</f>
        <v/>
      </c>
      <c r="E33" s="6">
        <f>B10+D33</f>
        <v/>
      </c>
    </row>
    <row r="34">
      <c r="A34" s="3" t="inlineStr">
        <is>
          <t>洞察</t>
        </is>
      </c>
      <c r="B34" s="11" t="inlineStr"/>
      <c r="C34" s="4" t="inlineStr">
        <is>
          <t>未受訓</t>
        </is>
      </c>
      <c r="D34" s="6">
        <f>IF(C34="專精",5,IF(C34="受訓",3,0))</f>
        <v/>
      </c>
      <c r="E34" s="6">
        <f>B10+D34</f>
        <v/>
      </c>
    </row>
    <row r="35">
      <c r="A35" s="3" t="inlineStr">
        <is>
          <t>危險感知</t>
        </is>
      </c>
      <c r="B35" s="11" t="inlineStr"/>
      <c r="C35" s="4" t="inlineStr">
        <is>
          <t>未受訓</t>
        </is>
      </c>
      <c r="D35" s="6">
        <f>IF(C35="專精",5,IF(C35="受訓",3,0))</f>
        <v/>
      </c>
      <c r="E35" s="6">
        <f>B10+D35</f>
        <v/>
      </c>
    </row>
    <row r="36">
      <c r="A36" s="3" t="inlineStr">
        <is>
          <t>意志</t>
        </is>
      </c>
      <c r="B36" s="11" t="inlineStr"/>
      <c r="C36" s="4" t="inlineStr">
        <is>
          <t>受訓</t>
        </is>
      </c>
      <c r="D36" s="6">
        <f>IF(C36="專精",5,IF(C36="受訓",3,0))</f>
        <v/>
      </c>
      <c r="E36" s="6">
        <f>B11+D36</f>
        <v/>
      </c>
    </row>
    <row r="37">
      <c r="A37" s="3" t="inlineStr">
        <is>
          <t>鎮定</t>
        </is>
      </c>
      <c r="B37" s="11" t="inlineStr"/>
      <c r="C37" s="4" t="inlineStr">
        <is>
          <t>未受訓</t>
        </is>
      </c>
      <c r="D37" s="6">
        <f>IF(C37="專精",5,IF(C37="受訓",3,0))</f>
        <v/>
      </c>
      <c r="E37" s="6">
        <f>B11+D37</f>
        <v/>
      </c>
    </row>
    <row r="38">
      <c r="A38" s="3" t="inlineStr">
        <is>
          <t>冥想</t>
        </is>
      </c>
      <c r="B38" s="11" t="inlineStr"/>
      <c r="C38" s="4" t="inlineStr">
        <is>
          <t>未受訓</t>
        </is>
      </c>
      <c r="D38" s="6">
        <f>IF(C38="專精",5,IF(C38="受訓",3,0))</f>
        <v/>
      </c>
      <c r="E38" s="6">
        <f>B11+D38</f>
        <v/>
      </c>
    </row>
    <row r="39">
      <c r="A39" s="3" t="inlineStr">
        <is>
          <t>後室知識</t>
        </is>
      </c>
      <c r="B39" s="11" t="inlineStr"/>
      <c r="C39" s="4" t="inlineStr">
        <is>
          <t>受訓</t>
        </is>
      </c>
      <c r="D39" s="6">
        <f>IF(C39="專精",5,IF(C39="受訓",3,0))</f>
        <v/>
      </c>
      <c r="E39" s="6">
        <f>B12+D39</f>
        <v/>
      </c>
    </row>
    <row r="40">
      <c r="A40" s="3" t="inlineStr">
        <is>
          <t>急救</t>
        </is>
      </c>
      <c r="B40" s="11" t="inlineStr"/>
      <c r="C40" s="4" t="inlineStr">
        <is>
          <t>未受訓</t>
        </is>
      </c>
      <c r="D40" s="6">
        <f>IF(C40="專精",5,IF(C40="受訓",3,0))</f>
        <v/>
      </c>
      <c r="E40" s="6">
        <f>B12+D40</f>
        <v/>
      </c>
    </row>
    <row r="41">
      <c r="A41" s="3" t="inlineStr">
        <is>
          <t>製作</t>
        </is>
      </c>
      <c r="B41" s="11" t="inlineStr"/>
      <c r="C41" s="4" t="inlineStr">
        <is>
          <t>受訓</t>
        </is>
      </c>
      <c r="D41" s="6">
        <f>IF(C41="專精",5,IF(C41="受訓",3,0))</f>
        <v/>
      </c>
      <c r="E41" s="6">
        <f>B12+D41</f>
        <v/>
      </c>
    </row>
    <row r="42">
      <c r="A42" s="3" t="inlineStr">
        <is>
          <t>空間記憶</t>
        </is>
      </c>
      <c r="B42" s="11" t="inlineStr"/>
      <c r="C42" s="4" t="inlineStr">
        <is>
          <t>未受訓</t>
        </is>
      </c>
      <c r="D42" s="6">
        <f>IF(C42="專精",5,IF(C42="受訓",3,0))</f>
        <v/>
      </c>
      <c r="E42" s="6">
        <f>B12+D42</f>
        <v/>
      </c>
    </row>
    <row r="44">
      <c r="A44" s="2" t="inlineStr">
        <is>
          <t>裝備與物品</t>
        </is>
      </c>
      <c r="B44" s="15" t="n"/>
      <c r="C44" s="15" t="n"/>
      <c r="D44" s="15" t="n"/>
      <c r="E44" s="15" t="n"/>
      <c r="F44" s="16" t="n"/>
    </row>
    <row r="45">
      <c r="A45" s="5" t="inlineStr">
        <is>
          <t>物品名稱</t>
        </is>
      </c>
      <c r="B45" s="5" t="inlineStr">
        <is>
          <t>類別</t>
        </is>
      </c>
      <c r="C45" s="5" t="inlineStr">
        <is>
          <t>重量(kg)</t>
        </is>
      </c>
      <c r="D45" s="5" t="inlineStr">
        <is>
          <t>數量</t>
        </is>
      </c>
      <c r="E45" s="5" t="inlineStr">
        <is>
          <t>效果</t>
        </is>
      </c>
      <c r="F45" s="5" t="inlineStr">
        <is>
          <t>耐久</t>
        </is>
      </c>
    </row>
    <row r="46">
      <c r="A46" s="12" t="inlineStr">
        <is>
          <t>工作手套</t>
        </is>
      </c>
      <c r="B46" s="13" t="inlineStr">
        <is>
          <t>防護</t>
        </is>
      </c>
      <c r="C46" s="13" t="n">
        <v>0.1</v>
      </c>
      <c r="D46" s="13" t="n">
        <v>1</v>
      </c>
      <c r="E46" s="13" t="inlineStr">
        <is>
          <t>保護雙手</t>
        </is>
      </c>
      <c r="F46" s="13" t="inlineStr">
        <is>
          <t>—</t>
        </is>
      </c>
    </row>
    <row r="47">
      <c r="A47" s="12" t="inlineStr">
        <is>
          <t>多功能工具刀</t>
        </is>
      </c>
      <c r="B47" s="13" t="inlineStr">
        <is>
          <t>工具</t>
        </is>
      </c>
      <c r="C47" s="13" t="n">
        <v>0.2</v>
      </c>
      <c r="D47" s="13" t="n">
        <v>1</v>
      </c>
      <c r="E47" s="13" t="inlineStr">
        <is>
          <t>多用途</t>
        </is>
      </c>
      <c r="F47" s="13" t="inlineStr">
        <is>
          <t>—</t>
        </is>
      </c>
    </row>
    <row r="48">
      <c r="A48" s="12" t="inlineStr">
        <is>
          <t>鐵鎚</t>
        </is>
      </c>
      <c r="B48" s="13" t="inlineStr">
        <is>
          <t>武器</t>
        </is>
      </c>
      <c r="C48" s="13" t="n">
        <v>1.5</v>
      </c>
      <c r="D48" s="13" t="n">
        <v>1</v>
      </c>
      <c r="E48" s="13" t="inlineStr">
        <is>
          <t>1D6鈍器</t>
        </is>
      </c>
      <c r="F48" s="13" t="inlineStr">
        <is>
          <t>—</t>
        </is>
      </c>
    </row>
    <row r="50">
      <c r="A50" s="2" t="inlineStr">
        <is>
          <t>資源</t>
        </is>
      </c>
      <c r="B50" s="15" t="n"/>
      <c r="C50" s="15" t="n"/>
      <c r="D50" s="15" t="n"/>
      <c r="E50" s="15" t="n"/>
      <c r="F50" s="16" t="n"/>
    </row>
    <row r="51">
      <c r="A51" s="3" t="inlineStr">
        <is>
          <t>杏仁水</t>
        </is>
      </c>
      <c r="B51" s="4" t="n">
        <v>5</v>
      </c>
    </row>
    <row r="52">
      <c r="A52" s="3" t="inlineStr">
        <is>
          <t>卡路里</t>
        </is>
      </c>
      <c r="B52" s="4" t="n">
        <v>10</v>
      </c>
    </row>
    <row r="54">
      <c r="A54" s="2" t="inlineStr">
        <is>
          <t>角色故事</t>
        </is>
      </c>
      <c r="B54" s="15" t="n"/>
      <c r="C54" s="15" t="n"/>
      <c r="D54" s="15" t="n"/>
      <c r="E54" s="15" t="n"/>
      <c r="F54" s="16" t="n"/>
    </row>
    <row r="55">
      <c r="A55" s="14" t="inlineStr">
        <is>
          <t>老趙在倉庫值夜班時，去檢查一個從來沒人用的舊貨架——貨架後面的牆壁感覺不對。他伸手觸碰——然後整個世界翻轉了。他在後室的第一天。他女兒下個月要結婚。他必須活著回去參加婚禮。</t>
        </is>
      </c>
      <c r="B55" s="17" t="n"/>
      <c r="C55" s="17" t="n"/>
      <c r="D55" s="17" t="n"/>
      <c r="E55" s="17" t="n"/>
      <c r="F55" s="18" t="n"/>
    </row>
    <row r="56">
      <c r="A56" s="19" t="n"/>
      <c r="F56" s="20" t="n"/>
    </row>
    <row r="57">
      <c r="A57" s="21" t="n"/>
      <c r="B57" s="22" t="n"/>
      <c r="C57" s="22" t="n"/>
      <c r="D57" s="22" t="n"/>
      <c r="E57" s="22" t="n"/>
      <c r="F57" s="23" t="n"/>
    </row>
  </sheetData>
  <mergeCells count="10">
    <mergeCell ref="A2:F2"/>
    <mergeCell ref="A55:F57"/>
    <mergeCell ref="A54:F54"/>
    <mergeCell ref="A44:F44"/>
    <mergeCell ref="A1:F1"/>
    <mergeCell ref="A23:F23"/>
    <mergeCell ref="A6:F6"/>
    <mergeCell ref="A13:B13"/>
    <mergeCell ref="A50:F50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2026-07-15T17:10:16Z</dcterms:created>
  <dcterms:modified xsi:type="dcterms:W3CDTF">2026-07-16T15:59:42Z</dcterms:modified>
</cp:coreProperties>
</file>