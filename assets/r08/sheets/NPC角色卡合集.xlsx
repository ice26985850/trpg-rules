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宮老人-角色卡" sheetId="1" state="visible" r:id="rId1"/>
    <sheet xmlns:r="http://schemas.openxmlformats.org/officeDocument/2006/relationships" name="南宮老人-師父檔案" sheetId="2" state="visible" r:id="rId2"/>
    <sheet xmlns:r="http://schemas.openxmlformats.org/officeDocument/2006/relationships" name="南宮老人-特殊傳承" sheetId="3" state="visible" r:id="rId3"/>
    <sheet xmlns:r="http://schemas.openxmlformats.org/officeDocument/2006/relationships" name="天涯子-角色卡" sheetId="4" state="visible" r:id="rId4"/>
    <sheet xmlns:r="http://schemas.openxmlformats.org/officeDocument/2006/relationships" name="天涯子-師父檔案" sheetId="5" state="visible" r:id="rId5"/>
    <sheet xmlns:r="http://schemas.openxmlformats.org/officeDocument/2006/relationships" name="天涯子-特殊傳承" sheetId="6" state="visible" r:id="rId6"/>
    <sheet xmlns:r="http://schemas.openxmlformats.org/officeDocument/2006/relationships" name="獨孤無極-角色卡" sheetId="7" state="visible" r:id="rId7"/>
    <sheet xmlns:r="http://schemas.openxmlformats.org/officeDocument/2006/relationships" name="獨孤無極-師父檔案" sheetId="8" state="visible" r:id="rId8"/>
    <sheet xmlns:r="http://schemas.openxmlformats.org/officeDocument/2006/relationships" name="獨孤無極-特殊傳承" sheetId="9" state="visible" r:id="rId9"/>
    <sheet xmlns:r="http://schemas.openxmlformats.org/officeDocument/2006/relationships" name="玄真長老-角色卡" sheetId="10" state="visible" r:id="rId10"/>
    <sheet xmlns:r="http://schemas.openxmlformats.org/officeDocument/2006/relationships" name="玄真長老-師父檔案" sheetId="11" state="visible" r:id="rId11"/>
    <sheet xmlns:r="http://schemas.openxmlformats.org/officeDocument/2006/relationships" name="秦羽-角色卡" sheetId="12" state="visible" r:id="rId12"/>
    <sheet xmlns:r="http://schemas.openxmlformats.org/officeDocument/2006/relationships" name="秦羽-引路人" sheetId="13" state="visible" r:id="rId13"/>
    <sheet xmlns:r="http://schemas.openxmlformats.org/officeDocument/2006/relationships" name="葛雲-角色卡" sheetId="14" state="visible" r:id="rId14"/>
    <sheet xmlns:r="http://schemas.openxmlformats.org/officeDocument/2006/relationships" name="葛雲-師父檔案" sheetId="15" state="visible" r:id="rId15"/>
    <sheet xmlns:r="http://schemas.openxmlformats.org/officeDocument/2006/relationships" name="血煞魔君-角色卡" sheetId="16" state="visible" r:id="rId16"/>
    <sheet xmlns:r="http://schemas.openxmlformats.org/officeDocument/2006/relationships" name="血煞魔君-師父檔案" sheetId="17" state="visible" r:id="rId17"/>
    <sheet xmlns:r="http://schemas.openxmlformats.org/officeDocument/2006/relationships" name="血煞魔君-特殊傳承" sheetId="18" state="visible" r:id="rId18"/>
    <sheet xmlns:r="http://schemas.openxmlformats.org/officeDocument/2006/relationships" name="鎮北真君-角色卡" sheetId="19" state="visible" r:id="rId19"/>
    <sheet xmlns:r="http://schemas.openxmlformats.org/officeDocument/2006/relationships" name="鎮北真君-師父檔案" sheetId="20" state="visible" r:id="rId20"/>
    <sheet xmlns:r="http://schemas.openxmlformats.org/officeDocument/2006/relationships" name="墨淵" sheetId="21" state="visible" r:id="rId21"/>
    <sheet xmlns:r="http://schemas.openxmlformats.org/officeDocument/2006/relationships" name="拓跋野" sheetId="22" state="visible" r:id="rId22"/>
    <sheet xmlns:r="http://schemas.openxmlformats.org/officeDocument/2006/relationships" name="葉靈溪" sheetId="23" state="visible" r:id="rId23"/>
    <sheet xmlns:r="http://schemas.openxmlformats.org/officeDocument/2006/relationships" name="雲千影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D4AF37"/>
      <sz val="12"/>
    </font>
    <font>
      <name val="Microsoft YaHei"/>
      <b val="1"/>
      <color rgb="00E0D8C0"/>
      <sz val="11"/>
    </font>
    <font>
      <name val="Microsoft YaHei"/>
      <color rgb="00E0D8C0"/>
      <sz val="10"/>
    </font>
    <font>
      <name val="Microsoft YaHei"/>
      <color rgb="00A0A080"/>
      <sz val="9"/>
    </font>
    <font>
      <name val="Microsoft YaHei"/>
      <i val="1"/>
      <color rgb="00D4AF37"/>
      <sz val="10"/>
    </font>
    <font>
      <name val="Microsoft YaHei"/>
      <b val="1"/>
      <color rgb="00d4af37"/>
      <sz val="12"/>
    </font>
    <font>
      <name val="Microsoft YaHei"/>
      <b val="1"/>
      <color rgb="00c0a860"/>
      <sz val="10"/>
    </font>
    <font>
      <name val="Microsoft YaHei"/>
      <color rgb="00e0d8c0"/>
      <sz val="10"/>
    </font>
  </fonts>
  <fills count="9">
    <fill>
      <patternFill/>
    </fill>
    <fill>
      <patternFill patternType="gray125"/>
    </fill>
    <fill>
      <patternFill patternType="solid">
        <fgColor rgb="001A1030"/>
        <bgColor rgb="001A1030"/>
      </patternFill>
    </fill>
    <fill>
      <patternFill patternType="solid">
        <fgColor rgb="002A2030"/>
        <bgColor rgb="002A2030"/>
      </patternFill>
    </fill>
    <fill>
      <patternFill patternType="solid">
        <fgColor rgb="0012101A"/>
        <bgColor rgb="0012101A"/>
      </patternFill>
    </fill>
    <fill>
      <patternFill patternType="solid">
        <fgColor rgb="000A0A14"/>
        <bgColor rgb="000A0A14"/>
      </patternFill>
    </fill>
    <fill>
      <patternFill patternType="solid">
        <fgColor rgb="001A1525"/>
        <bgColor rgb="001A1525"/>
      </patternFill>
    </fill>
    <fill>
      <patternFill patternType="solid">
        <fgColor rgb="002a2030"/>
        <bgColor rgb="002a2030"/>
      </patternFill>
    </fill>
    <fill>
      <patternFill patternType="solid">
        <fgColor rgb="001a1525"/>
        <bgColor rgb="001a1525"/>
      </patternFill>
    </fill>
  </fills>
  <borders count="7">
    <border>
      <left/>
      <right/>
      <top/>
      <bottom/>
      <diagonal/>
    </border>
    <border>
      <left style="thin">
        <color rgb="003A3040"/>
      </left>
      <right style="thin">
        <color rgb="003A3040"/>
      </right>
      <top style="thin">
        <color rgb="003A3040"/>
      </top>
      <bottom style="thin">
        <color rgb="003A3040"/>
      </bottom>
    </border>
    <border>
      <left/>
      <right/>
      <top style="thin">
        <color rgb="003A3040"/>
      </top>
      <bottom style="thin">
        <color rgb="003A3040"/>
      </bottom>
      <diagonal/>
    </border>
    <border>
      <left/>
      <right style="thin">
        <color rgb="003A3040"/>
      </right>
      <top style="thin">
        <color rgb="003A3040"/>
      </top>
      <bottom style="thin">
        <color rgb="003A3040"/>
      </bottom>
      <diagonal/>
    </border>
    <border>
      <left style="thin">
        <color rgb="003a3040"/>
      </left>
      <right style="thin">
        <color rgb="003a3040"/>
      </right>
      <top style="thin">
        <color rgb="003a3040"/>
      </top>
      <bottom style="thin">
        <color rgb="003a3040"/>
      </bottom>
    </border>
    <border>
      <left/>
      <right/>
      <top style="thin">
        <color rgb="003A3040"/>
      </top>
      <bottom/>
      <diagonal/>
    </border>
    <border>
      <left/>
      <right style="thin">
        <color rgb="003A3040"/>
      </right>
      <top style="thin">
        <color rgb="003A3040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7" borderId="4" applyAlignment="1" pivotButton="0" quotePrefix="0" xfId="0">
      <alignment vertical="top" wrapText="1"/>
    </xf>
    <xf numFmtId="0" fontId="8" fillId="8" borderId="4" applyAlignment="1" pivotButton="0" quotePrefix="0" xfId="0">
      <alignment vertical="top" wrapText="1"/>
    </xf>
    <xf numFmtId="0" fontId="9" fillId="8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天機·修真心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南宮老人 — NPC卡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/>
    <row r="4">
      <c r="A4" s="5" t="inlineStr">
        <is>
          <t>基本資訊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/>
    <row r="6">
      <c r="A6" s="6" t="inlineStr">
        <is>
          <t>姓名</t>
        </is>
      </c>
      <c r="B6" s="7" t="inlineStr">
        <is>
          <t>南宮老人</t>
        </is>
      </c>
      <c r="C6" s="3" t="n"/>
      <c r="D6" s="6" t="inlineStr">
        <is>
          <t>稱號</t>
        </is>
      </c>
      <c r="E6" s="8" t="inlineStr">
        <is>
          <t>金丹期遊歷散修</t>
        </is>
      </c>
      <c r="F6" s="2" t="n"/>
      <c r="G6" s="2" t="n"/>
      <c r="H6" s="3" t="n"/>
      <c r="I6" s="6" t="inlineStr">
        <is>
          <t>境界</t>
        </is>
      </c>
      <c r="J6" s="7" t="inlineStr">
        <is>
          <t>金丹·圓(Lv.12)</t>
        </is>
      </c>
    </row>
    <row r="7">
      <c r="A7" s="6" t="inlineStr">
        <is>
          <t>性別</t>
        </is>
      </c>
      <c r="B7" s="7" t="inlineStr">
        <is>
          <t>男</t>
        </is>
      </c>
      <c r="C7" s="6" t="inlineStr">
        <is>
          <t>年齡</t>
        </is>
      </c>
      <c r="D7" s="7" t="n">
        <v>120</v>
      </c>
      <c r="E7" s="6" t="inlineStr">
        <is>
          <t>Lv</t>
        </is>
      </c>
      <c r="F7" s="7" t="n">
        <v>12</v>
      </c>
      <c r="G7" s="6" t="inlineStr">
        <is>
          <t>修為</t>
        </is>
      </c>
      <c r="H7" s="7" t="inlineStr">
        <is>
          <t>—</t>
        </is>
      </c>
      <c r="I7" s="2" t="n"/>
      <c r="J7" s="3" t="n"/>
    </row>
    <row r="8">
      <c r="A8" s="6" t="inlineStr">
        <is>
          <t>出身</t>
        </is>
      </c>
      <c r="B8" s="8" t="inlineStr">
        <is>
          <t>無宗門散修（四處遊歷中）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6" t="inlineStr">
        <is>
          <t>宗門</t>
        </is>
      </c>
      <c r="B9" s="8" t="inlineStr">
        <is>
          <t>無（散修）</t>
        </is>
      </c>
      <c r="C9" s="2" t="n"/>
      <c r="D9" s="2" t="n"/>
      <c r="E9" s="3" t="n"/>
      <c r="F9" s="6" t="inlineStr">
        <is>
          <t>特殊</t>
        </is>
      </c>
      <c r="G9" s="8" t="inlineStr">
        <is>
          <t>無</t>
        </is>
      </c>
      <c r="H9" s="2" t="n"/>
      <c r="I9" s="2" t="n"/>
      <c r="J9" s="3" t="n"/>
    </row>
    <row r="10"/>
    <row r="11">
      <c r="A11" s="5" t="inlineStr">
        <is>
          <t>靈根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/>
    <row r="13">
      <c r="A13" s="6" t="inlineStr">
        <is>
          <t>類型</t>
        </is>
      </c>
      <c r="B13" s="7" t="inlineStr">
        <is>
          <t>木火雙靈根</t>
        </is>
      </c>
      <c r="C13" s="2" t="n"/>
      <c r="D13" s="3" t="n"/>
      <c r="E13" s="6" t="inlineStr">
        <is>
          <t>品質</t>
        </is>
      </c>
      <c r="F13" s="7" t="inlineStr">
        <is>
          <t>中品</t>
        </is>
      </c>
      <c r="G13" s="2" t="n"/>
      <c r="H13" s="2" t="n"/>
      <c r="I13" s="2" t="n"/>
      <c r="J13" s="3" t="n"/>
    </row>
    <row r="14">
      <c r="A14" s="6" t="inlineStr">
        <is>
          <t>加成</t>
        </is>
      </c>
      <c r="B14" s="8" t="inlineStr">
        <is>
          <t>木：肉身+5 煉丹+10% / 火：靈力+5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5"/>
    <row r="16">
      <c r="A16" s="5" t="inlineStr">
        <is>
          <t>八大屬性 (初始250點自由分配)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/>
    <row r="18">
      <c r="A18" s="6" t="inlineStr">
        <is>
          <t>根骨 GUG</t>
        </is>
      </c>
      <c r="B18" s="7" t="n">
        <v>50</v>
      </c>
      <c r="C18" s="3" t="n"/>
      <c r="D18" s="9" t="inlineStr">
        <is>
          <t>修煉/突破</t>
        </is>
      </c>
      <c r="E18" s="2" t="n"/>
      <c r="F18" s="2" t="n"/>
      <c r="G18" s="2" t="n"/>
      <c r="H18" s="3" t="n"/>
      <c r="I18" s="10">
        <f>FLOOR(B18/5,1)</f>
        <v/>
      </c>
      <c r="J18" s="11" t="inlineStr">
        <is>
          <t>加值÷5</t>
        </is>
      </c>
    </row>
    <row r="19">
      <c r="A19" s="6" t="inlineStr">
        <is>
          <t>悟性 WUX</t>
        </is>
      </c>
      <c r="B19" s="7" t="n">
        <v>55</v>
      </c>
      <c r="C19" s="3" t="n"/>
      <c r="D19" s="9" t="inlineStr">
        <is>
          <t>學習/破解</t>
        </is>
      </c>
      <c r="E19" s="2" t="n"/>
      <c r="F19" s="2" t="n"/>
      <c r="G19" s="2" t="n"/>
      <c r="H19" s="3" t="n"/>
      <c r="I19" s="10">
        <f>FLOOR(B19/5,1)</f>
        <v/>
      </c>
      <c r="J19" s="11" t="inlineStr">
        <is>
          <t>加值÷5</t>
        </is>
      </c>
    </row>
    <row r="20">
      <c r="A20" s="6" t="inlineStr">
        <is>
          <t>神識 SHS</t>
        </is>
      </c>
      <c r="B20" s="7" t="n">
        <v>48</v>
      </c>
      <c r="C20" s="3" t="n"/>
      <c r="D20" s="9" t="inlineStr">
        <is>
          <t>探查/先攻</t>
        </is>
      </c>
      <c r="E20" s="2" t="n"/>
      <c r="F20" s="2" t="n"/>
      <c r="G20" s="2" t="n"/>
      <c r="H20" s="3" t="n"/>
      <c r="I20" s="10">
        <f>FLOOR(B20/5,1)</f>
        <v/>
      </c>
      <c r="J20" s="11" t="inlineStr">
        <is>
          <t>加值÷5</t>
        </is>
      </c>
    </row>
    <row r="21">
      <c r="A21" s="6" t="inlineStr">
        <is>
          <t>肉身 RSS</t>
        </is>
      </c>
      <c r="B21" s="7" t="n">
        <v>45</v>
      </c>
      <c r="C21" s="3" t="n"/>
      <c r="D21" s="9" t="inlineStr">
        <is>
          <t>生命值（HP）/近戰</t>
        </is>
      </c>
      <c r="E21" s="2" t="n"/>
      <c r="F21" s="2" t="n"/>
      <c r="G21" s="2" t="n"/>
      <c r="H21" s="3" t="n"/>
      <c r="I21" s="10">
        <f>FLOOR(B21/5,1)</f>
        <v/>
      </c>
      <c r="J21" s="11" t="inlineStr">
        <is>
          <t>加值÷5</t>
        </is>
      </c>
    </row>
    <row r="22">
      <c r="A22" s="6" t="inlineStr">
        <is>
          <t>靈力 LIL</t>
        </is>
      </c>
      <c r="B22" s="7" t="n">
        <v>60</v>
      </c>
      <c r="C22" s="3" t="n"/>
      <c r="D22" s="9" t="inlineStr">
        <is>
          <t>法術/真氣</t>
        </is>
      </c>
      <c r="E22" s="2" t="n"/>
      <c r="F22" s="2" t="n"/>
      <c r="G22" s="2" t="n"/>
      <c r="H22" s="3" t="n"/>
      <c r="I22" s="10">
        <f>FLOOR(B22/5,1)</f>
        <v/>
      </c>
      <c r="J22" s="11" t="inlineStr">
        <is>
          <t>加值÷5</t>
        </is>
      </c>
    </row>
    <row r="23">
      <c r="A23" s="6" t="inlineStr">
        <is>
          <t>身法 SHF</t>
        </is>
      </c>
      <c r="B23" s="7" t="n">
        <v>40</v>
      </c>
      <c r="C23" s="3" t="n"/>
      <c r="D23" s="9" t="inlineStr">
        <is>
          <t>閃避/移動</t>
        </is>
      </c>
      <c r="E23" s="2" t="n"/>
      <c r="F23" s="2" t="n"/>
      <c r="G23" s="2" t="n"/>
      <c r="H23" s="3" t="n"/>
      <c r="I23" s="10">
        <f>FLOOR(B23/5,1)</f>
        <v/>
      </c>
      <c r="J23" s="11" t="inlineStr">
        <is>
          <t>加值÷5</t>
        </is>
      </c>
    </row>
    <row r="24">
      <c r="A24" s="6" t="inlineStr">
        <is>
          <t>機緣 JIY</t>
        </is>
      </c>
      <c r="B24" s="7" t="n">
        <v>42</v>
      </c>
      <c r="C24" s="3" t="n"/>
      <c r="D24" s="9" t="inlineStr">
        <is>
          <t>探索/掉落</t>
        </is>
      </c>
      <c r="E24" s="2" t="n"/>
      <c r="F24" s="2" t="n"/>
      <c r="G24" s="2" t="n"/>
      <c r="H24" s="3" t="n"/>
      <c r="I24" s="10">
        <f>FLOOR(B24/5,1)</f>
        <v/>
      </c>
      <c r="J24" s="11" t="inlineStr">
        <is>
          <t>加值÷5</t>
        </is>
      </c>
    </row>
    <row r="25">
      <c r="A25" s="6" t="inlineStr">
        <is>
          <t>道心 DAX</t>
        </is>
      </c>
      <c r="B25" s="7" t="n">
        <v>52</v>
      </c>
      <c r="C25" s="3" t="n"/>
      <c r="D25" s="9" t="inlineStr">
        <is>
          <t>心魔/渡劫</t>
        </is>
      </c>
      <c r="E25" s="2" t="n"/>
      <c r="F25" s="2" t="n"/>
      <c r="G25" s="2" t="n"/>
      <c r="H25" s="3" t="n"/>
      <c r="I25" s="10">
        <f>FLOOR(B25/5,1)</f>
        <v/>
      </c>
      <c r="J25" s="11" t="inlineStr">
        <is>
          <t>加值÷5</t>
        </is>
      </c>
    </row>
    <row r="26"/>
    <row r="27">
      <c r="A27" s="5" t="inlineStr">
        <is>
          <t>派生屬性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/>
    <row r="29">
      <c r="A29" s="6" t="inlineStr">
        <is>
          <t>生命值 HP</t>
        </is>
      </c>
      <c r="B29" s="12">
        <f>2.5*B21</f>
        <v/>
      </c>
      <c r="C29" s="2" t="n"/>
      <c r="D29" s="2" t="n"/>
      <c r="E29" s="3" t="n"/>
      <c r="F29" s="13" t="inlineStr">
        <is>
          <t>肉身×境界係數</t>
        </is>
      </c>
      <c r="G29" s="2" t="n"/>
      <c r="H29" s="2" t="n"/>
      <c r="I29" s="2" t="n"/>
      <c r="J29" s="3" t="n"/>
    </row>
    <row r="30">
      <c r="A30" s="14" t="inlineStr">
        <is>
          <t>真氣池</t>
        </is>
      </c>
      <c r="B30" s="10">
        <f>1.6*B22</f>
        <v/>
      </c>
      <c r="C30" s="2" t="n"/>
      <c r="D30" s="2" t="n"/>
      <c r="E30" s="3" t="n"/>
      <c r="F30" s="9" t="inlineStr">
        <is>
          <t>靈力×境界係數</t>
        </is>
      </c>
      <c r="G30" s="2" t="n"/>
      <c r="H30" s="2" t="n"/>
      <c r="I30" s="2" t="n"/>
      <c r="J30" s="3" t="n"/>
    </row>
    <row r="31">
      <c r="A31" s="6" t="inlineStr">
        <is>
          <t>先攻值</t>
        </is>
      </c>
      <c r="B31" s="12">
        <f>B20+FLOOR(B23/5,1)</f>
        <v/>
      </c>
      <c r="C31" s="2" t="n"/>
      <c r="D31" s="2" t="n"/>
      <c r="E31" s="3" t="n"/>
      <c r="F31" s="13" t="inlineStr">
        <is>
          <t>神識+floor(身法/5)</t>
        </is>
      </c>
      <c r="G31" s="2" t="n"/>
      <c r="H31" s="2" t="n"/>
      <c r="I31" s="2" t="n"/>
      <c r="J31" s="3" t="n"/>
    </row>
    <row r="32">
      <c r="A32" s="14" t="inlineStr">
        <is>
          <t>物理防禦</t>
        </is>
      </c>
      <c r="B32" s="15" t="n">
        <v>22</v>
      </c>
      <c r="C32" s="2" t="n"/>
      <c r="D32" s="2" t="n"/>
      <c r="E32" s="3" t="n"/>
      <c r="F32" s="9" t="inlineStr">
        <is>
          <t>法袍+功法</t>
        </is>
      </c>
      <c r="G32" s="2" t="n"/>
      <c r="H32" s="2" t="n"/>
      <c r="I32" s="2" t="n"/>
      <c r="J32" s="3" t="n"/>
    </row>
    <row r="33">
      <c r="A33" s="6" t="inlineStr">
        <is>
          <t>法術抗性</t>
        </is>
      </c>
      <c r="B33" s="16" t="n">
        <v>30</v>
      </c>
      <c r="C33" s="2" t="n"/>
      <c r="D33" s="2" t="n"/>
      <c r="E33" s="3" t="n"/>
      <c r="F33" s="13" t="inlineStr">
        <is>
          <t>法袍+功法</t>
        </is>
      </c>
      <c r="G33" s="2" t="n"/>
      <c r="H33" s="2" t="n"/>
      <c r="I33" s="2" t="n"/>
      <c r="J33" s="3" t="n"/>
    </row>
    <row r="34">
      <c r="A34" s="14" t="inlineStr">
        <is>
          <t>護體真氣</t>
        </is>
      </c>
      <c r="B34" s="15" t="n">
        <v>25</v>
      </c>
      <c r="C34" s="2" t="n"/>
      <c r="D34" s="2" t="n"/>
      <c r="E34" s="3" t="n"/>
      <c r="F34" s="9" t="inlineStr">
        <is>
          <t>心法+法寶</t>
        </is>
      </c>
      <c r="G34" s="2" t="n"/>
      <c r="H34" s="2" t="n"/>
      <c r="I34" s="2" t="n"/>
      <c r="J34" s="3" t="n"/>
    </row>
    <row r="35">
      <c r="A35" s="6" t="inlineStr">
        <is>
          <t>閃避</t>
        </is>
      </c>
      <c r="B35" s="16" t="n">
        <v>40</v>
      </c>
      <c r="C35" s="2" t="n"/>
      <c r="D35" s="2" t="n"/>
      <c r="E35" s="3" t="n"/>
      <c r="F35" s="13" t="inlineStr">
        <is>
          <t>身法值</t>
        </is>
      </c>
      <c r="G35" s="2" t="n"/>
      <c r="H35" s="2" t="n"/>
      <c r="I35" s="2" t="n"/>
      <c r="J35" s="3" t="n"/>
    </row>
    <row r="36">
      <c r="A36" s="14" t="inlineStr">
        <is>
          <t>移動</t>
        </is>
      </c>
      <c r="B36" s="15" t="inlineStr">
        <is>
          <t>2區</t>
        </is>
      </c>
      <c r="C36" s="2" t="n"/>
      <c r="D36" s="2" t="n"/>
      <c r="E36" s="3" t="n"/>
      <c r="F36" s="9" t="inlineStr">
        <is>
          <t>根據身法</t>
        </is>
      </c>
      <c r="G36" s="2" t="n"/>
      <c r="H36" s="2" t="n"/>
      <c r="I36" s="2" t="n"/>
      <c r="J36" s="3" t="n"/>
    </row>
    <row r="37">
      <c r="A37" s="6" t="inlineStr">
        <is>
          <t>大成功</t>
        </is>
      </c>
      <c r="B37" s="12">
        <f>3+FLOOR((G7-1)/3,1)</f>
        <v/>
      </c>
      <c r="C37" s="2" t="n"/>
      <c r="D37" s="2" t="n"/>
      <c r="E37" s="3" t="n"/>
      <c r="F37" s="13" t="inlineStr">
        <is>
          <t>1d100≤此值</t>
        </is>
      </c>
      <c r="G37" s="2" t="n"/>
      <c r="H37" s="2" t="n"/>
      <c r="I37" s="2" t="n"/>
      <c r="J37" s="3" t="n"/>
    </row>
    <row r="38">
      <c r="A38" s="14" t="inlineStr">
        <is>
          <t>大失敗</t>
        </is>
      </c>
      <c r="B38" s="15" t="inlineStr">
        <is>
          <t>96-00</t>
        </is>
      </c>
      <c r="C38" s="2" t="n"/>
      <c r="D38" s="2" t="n"/>
      <c r="E38" s="3" t="n"/>
      <c r="F38" s="9" t="inlineStr">
        <is>
          <t>固定5%</t>
        </is>
      </c>
      <c r="G38" s="2" t="n"/>
      <c r="H38" s="2" t="n"/>
      <c r="I38" s="2" t="n"/>
      <c r="J38" s="3" t="n"/>
    </row>
    <row r="39"/>
    <row r="40"/>
    <row r="41">
      <c r="A41" s="5" t="inlineStr">
        <is>
          <t>裝備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/>
    <row r="43">
      <c r="A43" s="6" t="inlineStr">
        <is>
          <t>武器</t>
        </is>
      </c>
      <c r="B43" s="8" t="inlineStr">
        <is>
          <t>炎陽杖（玄級，1d10+3+靈+悟/8，火系+20%）</t>
        </is>
      </c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6" t="inlineStr">
        <is>
          <t>法袍</t>
        </is>
      </c>
      <c r="B44" s="8" t="inlineStr">
        <is>
          <t>兩儀道袍（玄級，防+10，法抗+16，道心+8）</t>
        </is>
      </c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6" t="inlineStr">
        <is>
          <t>法寶</t>
        </is>
      </c>
      <c r="B45" s="8" t="inlineStr">
        <is>
          <t>—</t>
        </is>
      </c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6" t="inlineStr">
        <is>
          <t>飾品</t>
        </is>
      </c>
      <c r="B46" s="8" t="inlineStr">
        <is>
          <t>護身玉符（擋致命1次）</t>
        </is>
      </c>
      <c r="C46" s="2" t="n"/>
      <c r="D46" s="2" t="n"/>
      <c r="E46" s="2" t="n"/>
      <c r="F46" s="2" t="n"/>
      <c r="G46" s="2" t="n"/>
      <c r="H46" s="2" t="n"/>
      <c r="I46" s="2" t="n"/>
      <c r="J46" s="3" t="n"/>
    </row>
    <row r="47"/>
    <row r="48">
      <c r="A48" s="5" t="inlineStr">
        <is>
          <t>功法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/>
    <row r="50">
      <c r="A50" s="6" t="inlineStr">
        <is>
          <t>心法</t>
        </is>
      </c>
      <c r="B50" s="8" t="inlineStr">
        <is>
          <t>《長春功》（木屬性，壽元+50，丹藥效果+20%）</t>
        </is>
      </c>
      <c r="C50" s="2" t="n"/>
      <c r="D50" s="2" t="n"/>
      <c r="E50" s="2" t="n"/>
      <c r="F50" s="2" t="n"/>
      <c r="G50" s="2" t="n"/>
      <c r="H50" s="2" t="n"/>
      <c r="I50" s="2" t="n"/>
      <c r="J50" s="3" t="n"/>
    </row>
    <row r="51">
      <c r="A51" s="6" t="inlineStr">
        <is>
          <t>武技</t>
        </is>
      </c>
      <c r="B51" s="8" t="inlineStr">
        <is>
          <t>《焚天掌》Lv.3、《清風十三式》Lv.2</t>
        </is>
      </c>
      <c r="C51" s="2" t="n"/>
      <c r="D51" s="2" t="n"/>
      <c r="E51" s="2" t="n"/>
      <c r="F51" s="2" t="n"/>
      <c r="G51" s="2" t="n"/>
      <c r="H51" s="2" t="n"/>
      <c r="I51" s="2" t="n"/>
      <c r="J51" s="3" t="n"/>
    </row>
    <row r="52"/>
    <row r="53">
      <c r="A53" s="5" t="inlineStr">
        <is>
          <t>物品與狀態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</row>
    <row r="54"/>
    <row r="55">
      <c r="A55" s="6" t="inlineStr">
        <is>
          <t>靈石</t>
        </is>
      </c>
      <c r="B55" s="7" t="n">
        <v>3000</v>
      </c>
      <c r="D55" s="6" t="inlineStr">
        <is>
          <t>丹藥</t>
        </is>
      </c>
      <c r="E55" s="8" t="inlineStr">
        <is>
          <t>續骨丹×5, 培元丹×10, 雜丹×20</t>
        </is>
      </c>
      <c r="F55" s="2" t="n"/>
      <c r="G55" s="2" t="n"/>
      <c r="H55" s="2" t="n"/>
      <c r="I55" s="2" t="n"/>
      <c r="J55" s="3" t="n"/>
    </row>
    <row r="56">
      <c r="A56" s="6" t="inlineStr">
        <is>
          <t>藥毒</t>
        </is>
      </c>
      <c r="B56" s="15" t="inlineStr">
        <is>
          <t>10/100</t>
        </is>
      </c>
      <c r="D56" s="6" t="inlineStr">
        <is>
          <t>心魔</t>
        </is>
      </c>
      <c r="E56" s="15" t="inlineStr">
        <is>
          <t>15/100</t>
        </is>
      </c>
    </row>
    <row r="57">
      <c r="A57" s="6" t="inlineStr">
        <is>
          <t>壽元</t>
        </is>
      </c>
      <c r="B57" s="7" t="inlineStr">
        <is>
          <t>350年</t>
        </is>
      </c>
      <c r="D57" s="6" t="inlineStr">
        <is>
          <t>已耗</t>
        </is>
      </c>
      <c r="E57" s="7" t="inlineStr">
        <is>
          <t>120年</t>
        </is>
      </c>
    </row>
    <row r="58"/>
    <row r="59">
      <c r="A59" s="5" t="inlineStr">
        <is>
          <t>背景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/>
    <row r="61" ht="80" customHeight="1">
      <c r="A61" s="6" t="inlineStr">
        <is>
          <t>故事</t>
        </is>
      </c>
      <c r="B61" s="8" t="inlineStr">
        <is>
          <t>南宮老人是一位遊歷四方的金丹期散修。他見多識廣，喜歡提攜後輩，是在旅途中遇到玩家並給予關鍵指引的重要NPC。</t>
        </is>
      </c>
      <c r="C61" s="2" t="n"/>
      <c r="D61" s="2" t="n"/>
      <c r="E61" s="2" t="n"/>
      <c r="F61" s="2" t="n"/>
      <c r="G61" s="2" t="n"/>
      <c r="H61" s="2" t="n"/>
      <c r="I61" s="2" t="n"/>
      <c r="J61" s="3" t="n"/>
    </row>
  </sheetData>
  <mergeCells count="63">
    <mergeCell ref="B9:E9"/>
    <mergeCell ref="F29:J29"/>
    <mergeCell ref="D20:H20"/>
    <mergeCell ref="B25:C25"/>
    <mergeCell ref="B61:J61"/>
    <mergeCell ref="F34:J34"/>
    <mergeCell ref="B14:J14"/>
    <mergeCell ref="D19:H19"/>
    <mergeCell ref="B30:E30"/>
    <mergeCell ref="A53:J53"/>
    <mergeCell ref="B13:D13"/>
    <mergeCell ref="A4:J4"/>
    <mergeCell ref="B8:J8"/>
    <mergeCell ref="B22:C22"/>
    <mergeCell ref="B33:E33"/>
    <mergeCell ref="B18:C18"/>
    <mergeCell ref="D22:H22"/>
    <mergeCell ref="B36:E36"/>
    <mergeCell ref="H7:J7"/>
    <mergeCell ref="B32:E32"/>
    <mergeCell ref="B44:J44"/>
    <mergeCell ref="F30:J30"/>
    <mergeCell ref="B21:C21"/>
    <mergeCell ref="G9:J9"/>
    <mergeCell ref="D21:H21"/>
    <mergeCell ref="B35:E35"/>
    <mergeCell ref="B23:C23"/>
    <mergeCell ref="F36:J36"/>
    <mergeCell ref="A59:J59"/>
    <mergeCell ref="F33:J33"/>
    <mergeCell ref="A48:J48"/>
    <mergeCell ref="F32:J32"/>
    <mergeCell ref="F35:J35"/>
    <mergeCell ref="A11:J11"/>
    <mergeCell ref="B31:E31"/>
    <mergeCell ref="A1:J1"/>
    <mergeCell ref="B51:J51"/>
    <mergeCell ref="B45:J45"/>
    <mergeCell ref="B19:C19"/>
    <mergeCell ref="F38:J38"/>
    <mergeCell ref="B50:J50"/>
    <mergeCell ref="F31:J31"/>
    <mergeCell ref="A16:J16"/>
    <mergeCell ref="D18:H18"/>
    <mergeCell ref="F13:J13"/>
    <mergeCell ref="A41:J41"/>
    <mergeCell ref="B6:C6"/>
    <mergeCell ref="B24:C24"/>
    <mergeCell ref="D25:H25"/>
    <mergeCell ref="E55:J55"/>
    <mergeCell ref="F37:J37"/>
    <mergeCell ref="D24:H24"/>
    <mergeCell ref="B46:J46"/>
    <mergeCell ref="B20:C20"/>
    <mergeCell ref="A27:J27"/>
    <mergeCell ref="B38:E38"/>
    <mergeCell ref="E6:H6"/>
    <mergeCell ref="A2:J2"/>
    <mergeCell ref="B29:E29"/>
    <mergeCell ref="D23:H23"/>
    <mergeCell ref="B37:E37"/>
    <mergeCell ref="B43:J43"/>
    <mergeCell ref="B34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7" t="inlineStr">
        <is>
          <t>師父名稱</t>
        </is>
      </c>
      <c r="B1" s="17" t="inlineStr">
        <is>
          <t>南宮老人（南宮鶴）</t>
        </is>
      </c>
    </row>
    <row r="2">
      <c r="A2" s="18" t="inlineStr">
        <is>
          <t>師父品級</t>
        </is>
      </c>
      <c r="B2" s="19" t="inlineStr">
        <is>
          <t>散修級</t>
        </is>
      </c>
    </row>
    <row r="3">
      <c r="A3" s="18" t="inlineStr">
        <is>
          <t>境界</t>
        </is>
      </c>
      <c r="B3" s="19" t="inlineStr">
        <is>
          <t>金丹圓滿 (Lv.12)</t>
        </is>
      </c>
    </row>
    <row r="4">
      <c r="A4" s="18" t="inlineStr">
        <is>
          <t>收徒上限</t>
        </is>
      </c>
      <c r="B4" s="19" t="inlineStr">
        <is>
          <t>2</t>
        </is>
      </c>
    </row>
    <row r="5">
      <c r="A5" s="18" t="n"/>
      <c r="B5" s="19" t="n"/>
    </row>
    <row r="6">
      <c r="A6" s="18" t="inlineStr">
        <is>
          <t>收徒條件</t>
        </is>
      </c>
      <c r="B6" s="19" t="inlineStr">
        <is>
          <t>機緣 ≥ 30；完成一件「有趣的事」（GM裁定）</t>
        </is>
      </c>
    </row>
    <row r="7">
      <c r="A7" s="18" t="n"/>
      <c r="B7" s="19" t="n"/>
    </row>
    <row r="8">
      <c r="A8" s="18" t="inlineStr">
        <is>
          <t>═══ 可傳授功法 ═══</t>
        </is>
      </c>
      <c r="B8" s="19" t="n"/>
    </row>
    <row r="9">
      <c r="A9" s="18" t="inlineStr">
        <is>
          <t>可傳心法</t>
        </is>
      </c>
      <c r="B9" s="19" t="inlineStr">
        <is>
          <t>《純陽吐納術》(黃/火)
《青木長生功》(玄/木)
《萬象歸元訣》(玄/混沌)</t>
        </is>
      </c>
    </row>
    <row r="10">
      <c r="A10" s="18" t="inlineStr">
        <is>
          <t>心法條件</t>
        </is>
      </c>
      <c r="B10" s="19" t="inlineStr">
        <is>
          <t>火靈根/初識；木靈根/信任；多靈根者/親近</t>
        </is>
      </c>
    </row>
    <row r="11">
      <c r="A11" s="18" t="inlineStr">
        <is>
          <t>可傳武技</t>
        </is>
      </c>
      <c r="B11" s="19" t="inlineStr">
        <is>
          <t>《基礎劍法》(黃/金)
《御風步》(玄/風)
《焚天掌》(玄/火)</t>
        </is>
      </c>
    </row>
    <row r="12">
      <c r="A12" s="18" t="inlineStr">
        <is>
          <t>武技條件</t>
        </is>
      </c>
      <c r="B12" s="19" t="inlineStr">
        <is>
          <t>無條件；身法≥40/信任；火靈根/親近</t>
        </is>
      </c>
    </row>
    <row r="13">
      <c r="A13" s="18" t="inlineStr">
        <is>
          <t>可傳神通</t>
        </is>
      </c>
      <c r="B13" s="19" t="inlineStr">
        <is>
          <t>《靈鶴化身》(玄)</t>
        </is>
      </c>
    </row>
    <row r="14">
      <c r="A14" s="18" t="inlineStr">
        <is>
          <t>神通條件</t>
        </is>
      </c>
      <c r="B14" s="19" t="inlineStr">
        <is>
          <t>親密度≥親近，完成「鶴鳴山試煉」</t>
        </is>
      </c>
    </row>
    <row r="15">
      <c r="A15" s="18" t="n"/>
      <c r="B15" s="19" t="n"/>
    </row>
    <row r="16">
      <c r="A16" s="18" t="inlineStr">
        <is>
          <t>═══ 資源與援助 ═══</t>
        </is>
      </c>
      <c r="B16" s="19" t="n"/>
    </row>
    <row r="17">
      <c r="A17" s="18" t="inlineStr">
        <is>
          <t>每月資源供給</t>
        </is>
      </c>
      <c r="B17" s="19" t="inlineStr">
        <is>
          <t>初識: 靈石100+回靈丹×2
信任: 靈石200+回靈丹×3+療傷丹×1
親近: 靈石300+大回靈丹×2+煉丹材料×1</t>
        </is>
      </c>
    </row>
    <row r="18">
      <c r="A18" s="18" t="inlineStr">
        <is>
          <t>特殊援助</t>
        </is>
      </c>
      <c r="B18" s="19" t="inlineStr">
        <is>
          <t>煉丹指導(+10)；人脈引薦(1次/級)；壓制修為之祕(如子)；緊急救援(30%概率)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7" t="inlineStr">
        <is>
          <t>傳承名稱</t>
        </is>
      </c>
      <c r="B1" s="17" t="inlineStr">
        <is>
          <t>壓制修為之祕</t>
        </is>
      </c>
    </row>
    <row r="2">
      <c r="A2" s="18" t="inlineStr">
        <is>
          <t>傳承類型</t>
        </is>
      </c>
      <c r="B2" s="19" t="inlineStr">
        <is>
          <t>如子級永久技巧</t>
        </is>
      </c>
    </row>
    <row r="3">
      <c r="A3" s="18" t="inlineStr">
        <is>
          <t>觸發條件</t>
        </is>
      </c>
      <c r="B3" s="19" t="inlineStr">
        <is>
          <t>親密度 ≥ 如子</t>
        </is>
      </c>
    </row>
    <row r="4">
      <c r="A4" s="18" t="n"/>
      <c r="B4" s="19" t="n"/>
    </row>
    <row r="5">
      <c r="A5" s="18" t="inlineStr">
        <is>
          <t>效果(1層)</t>
        </is>
      </c>
      <c r="B5" s="19" t="inlineStr">
        <is>
          <t>突破難度（DC）+5；屬性上限+5；天劫傷害-10% (每壓制10年自動1層/上限3層)</t>
        </is>
      </c>
    </row>
    <row r="6">
      <c r="A6" s="18" t="inlineStr">
        <is>
          <t>效果(2層)</t>
        </is>
      </c>
      <c r="B6" s="19" t="inlineStr">
        <is>
          <t>突破難度（DC）+10；屬性上限+10；天劫傷害-20%；先攻+10(同境)</t>
        </is>
      </c>
    </row>
    <row r="7">
      <c r="A7" s="18" t="inlineStr">
        <is>
          <t>效果(3層)</t>
        </is>
      </c>
      <c r="B7" s="19" t="inlineStr">
        <is>
          <t>突破難度（DC）+20；屬性上限+15；天劫傷害-30%；可越1階戰鬥無懲罰</t>
        </is>
      </c>
    </row>
    <row r="8">
      <c r="A8" s="18" t="n"/>
      <c r="B8" s="19" t="n"/>
    </row>
    <row r="9">
      <c r="A9" s="18" t="inlineStr">
        <is>
          <t>注意</t>
        </is>
      </c>
      <c r="B9" s="19" t="inlineStr">
        <is>
          <t>一旦突破，所有層數清零。南宮老人以此法在金丹圓滿壓制50年。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天機·修真心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天涯子 — NPC卡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/>
    <row r="4">
      <c r="A4" s="5" t="inlineStr">
        <is>
          <t>基本資訊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/>
    <row r="6">
      <c r="A6" s="6" t="inlineStr">
        <is>
          <t>姓名</t>
        </is>
      </c>
      <c r="B6" s="7" t="inlineStr">
        <is>
          <t>天涯子</t>
        </is>
      </c>
      <c r="C6" s="3" t="n"/>
      <c r="D6" s="6" t="inlineStr">
        <is>
          <t>稱號</t>
        </is>
      </c>
      <c r="E6" s="8" t="inlineStr">
        <is>
          <t>煉虛期隱世高人</t>
        </is>
      </c>
      <c r="F6" s="2" t="n"/>
      <c r="G6" s="2" t="n"/>
      <c r="H6" s="3" t="n"/>
      <c r="I6" s="6" t="inlineStr">
        <is>
          <t>境界</t>
        </is>
      </c>
      <c r="J6" s="7" t="inlineStr">
        <is>
          <t>煉虛·後(Lv.23)</t>
        </is>
      </c>
    </row>
    <row r="7">
      <c r="A7" s="6" t="inlineStr">
        <is>
          <t>性別</t>
        </is>
      </c>
      <c r="B7" s="7" t="inlineStr">
        <is>
          <t>男</t>
        </is>
      </c>
      <c r="C7" s="6" t="inlineStr">
        <is>
          <t>年齡</t>
        </is>
      </c>
      <c r="D7" s="7" t="n">
        <v>1200</v>
      </c>
      <c r="E7" s="6" t="inlineStr">
        <is>
          <t>Lv</t>
        </is>
      </c>
      <c r="F7" s="7" t="n">
        <v>23</v>
      </c>
      <c r="G7" s="6" t="inlineStr">
        <is>
          <t>修為</t>
        </is>
      </c>
      <c r="H7" s="7" t="inlineStr">
        <is>
          <t>—</t>
        </is>
      </c>
      <c r="I7" s="2" t="n"/>
      <c r="J7" s="3" t="n"/>
    </row>
    <row r="8">
      <c r="A8" s="6" t="inlineStr">
        <is>
          <t>出身</t>
        </is>
      </c>
      <c r="B8" s="8" t="inlineStr">
        <is>
          <t>天機府前前任府主（已歸隱）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6" t="inlineStr">
        <is>
          <t>宗門</t>
        </is>
      </c>
      <c r="B9" s="8" t="inlineStr">
        <is>
          <t>無（歸隱中）</t>
        </is>
      </c>
      <c r="C9" s="2" t="n"/>
      <c r="D9" s="2" t="n"/>
      <c r="E9" s="3" t="n"/>
      <c r="F9" s="6" t="inlineStr">
        <is>
          <t>特殊</t>
        </is>
      </c>
      <c r="G9" s="8" t="inlineStr">
        <is>
          <t>天機演算（預測3回合走勢，全隊先攻+10）</t>
        </is>
      </c>
      <c r="H9" s="2" t="n"/>
      <c r="I9" s="2" t="n"/>
      <c r="J9" s="3" t="n"/>
    </row>
    <row r="10"/>
    <row r="11">
      <c r="A11" s="5" t="inlineStr">
        <is>
          <t>靈根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/>
    <row r="13">
      <c r="A13" s="6" t="inlineStr">
        <is>
          <t>類型</t>
        </is>
      </c>
      <c r="B13" s="7" t="inlineStr">
        <is>
          <t>水靈根</t>
        </is>
      </c>
      <c r="C13" s="2" t="n"/>
      <c r="D13" s="3" t="n"/>
      <c r="E13" s="6" t="inlineStr">
        <is>
          <t>品質</t>
        </is>
      </c>
      <c r="F13" s="7" t="inlineStr">
        <is>
          <t>極品</t>
        </is>
      </c>
      <c r="G13" s="2" t="n"/>
      <c r="H13" s="2" t="n"/>
      <c r="I13" s="2" t="n"/>
      <c r="J13" s="3" t="n"/>
    </row>
    <row r="14">
      <c r="A14" s="6" t="inlineStr">
        <is>
          <t>加成</t>
        </is>
      </c>
      <c r="B14" s="8" t="inlineStr">
        <is>
          <t>神識+8 水系功法威力+15%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5"/>
    <row r="16">
      <c r="A16" s="5" t="inlineStr">
        <is>
          <t>八大屬性 (初始250點自由分配)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/>
    <row r="18">
      <c r="A18" s="6" t="inlineStr">
        <is>
          <t>根骨 GUG</t>
        </is>
      </c>
      <c r="B18" s="7" t="n">
        <v>68</v>
      </c>
      <c r="C18" s="3" t="n"/>
      <c r="D18" s="9" t="inlineStr">
        <is>
          <t>修煉/突破</t>
        </is>
      </c>
      <c r="E18" s="2" t="n"/>
      <c r="F18" s="2" t="n"/>
      <c r="G18" s="2" t="n"/>
      <c r="H18" s="3" t="n"/>
      <c r="I18" s="10">
        <f>FLOOR(B18/5,1)</f>
        <v/>
      </c>
      <c r="J18" s="11" t="inlineStr">
        <is>
          <t>加值÷5</t>
        </is>
      </c>
    </row>
    <row r="19">
      <c r="A19" s="6" t="inlineStr">
        <is>
          <t>悟性 WUX</t>
        </is>
      </c>
      <c r="B19" s="7" t="n">
        <v>85</v>
      </c>
      <c r="C19" s="3" t="n"/>
      <c r="D19" s="9" t="inlineStr">
        <is>
          <t>學習/破解</t>
        </is>
      </c>
      <c r="E19" s="2" t="n"/>
      <c r="F19" s="2" t="n"/>
      <c r="G19" s="2" t="n"/>
      <c r="H19" s="3" t="n"/>
      <c r="I19" s="10">
        <f>FLOOR(B19/5,1)</f>
        <v/>
      </c>
      <c r="J19" s="11" t="inlineStr">
        <is>
          <t>加值÷5</t>
        </is>
      </c>
    </row>
    <row r="20">
      <c r="A20" s="6" t="inlineStr">
        <is>
          <t>神識 SHS</t>
        </is>
      </c>
      <c r="B20" s="7" t="n">
        <v>82</v>
      </c>
      <c r="C20" s="3" t="n"/>
      <c r="D20" s="9" t="inlineStr">
        <is>
          <t>探查/先攻</t>
        </is>
      </c>
      <c r="E20" s="2" t="n"/>
      <c r="F20" s="2" t="n"/>
      <c r="G20" s="2" t="n"/>
      <c r="H20" s="3" t="n"/>
      <c r="I20" s="10">
        <f>FLOOR(B20/5,1)</f>
        <v/>
      </c>
      <c r="J20" s="11" t="inlineStr">
        <is>
          <t>加值÷5</t>
        </is>
      </c>
    </row>
    <row r="21">
      <c r="A21" s="6" t="inlineStr">
        <is>
          <t>肉身 RSS</t>
        </is>
      </c>
      <c r="B21" s="7" t="n">
        <v>65</v>
      </c>
      <c r="C21" s="3" t="n"/>
      <c r="D21" s="9" t="inlineStr">
        <is>
          <t>生命值（HP）/近戰</t>
        </is>
      </c>
      <c r="E21" s="2" t="n"/>
      <c r="F21" s="2" t="n"/>
      <c r="G21" s="2" t="n"/>
      <c r="H21" s="3" t="n"/>
      <c r="I21" s="10">
        <f>FLOOR(B21/5,1)</f>
        <v/>
      </c>
      <c r="J21" s="11" t="inlineStr">
        <is>
          <t>加值÷5</t>
        </is>
      </c>
    </row>
    <row r="22">
      <c r="A22" s="6" t="inlineStr">
        <is>
          <t>靈力 LIL</t>
        </is>
      </c>
      <c r="B22" s="7" t="n">
        <v>75</v>
      </c>
      <c r="C22" s="3" t="n"/>
      <c r="D22" s="9" t="inlineStr">
        <is>
          <t>法術/真氣</t>
        </is>
      </c>
      <c r="E22" s="2" t="n"/>
      <c r="F22" s="2" t="n"/>
      <c r="G22" s="2" t="n"/>
      <c r="H22" s="3" t="n"/>
      <c r="I22" s="10">
        <f>FLOOR(B22/5,1)</f>
        <v/>
      </c>
      <c r="J22" s="11" t="inlineStr">
        <is>
          <t>加值÷5</t>
        </is>
      </c>
    </row>
    <row r="23">
      <c r="A23" s="6" t="inlineStr">
        <is>
          <t>身法 SHF</t>
        </is>
      </c>
      <c r="B23" s="7" t="n">
        <v>62</v>
      </c>
      <c r="C23" s="3" t="n"/>
      <c r="D23" s="9" t="inlineStr">
        <is>
          <t>閃避/移動</t>
        </is>
      </c>
      <c r="E23" s="2" t="n"/>
      <c r="F23" s="2" t="n"/>
      <c r="G23" s="2" t="n"/>
      <c r="H23" s="3" t="n"/>
      <c r="I23" s="10">
        <f>FLOOR(B23/5,1)</f>
        <v/>
      </c>
      <c r="J23" s="11" t="inlineStr">
        <is>
          <t>加值÷5</t>
        </is>
      </c>
    </row>
    <row r="24">
      <c r="A24" s="6" t="inlineStr">
        <is>
          <t>機緣 JIY</t>
        </is>
      </c>
      <c r="B24" s="7" t="n">
        <v>55</v>
      </c>
      <c r="C24" s="3" t="n"/>
      <c r="D24" s="9" t="inlineStr">
        <is>
          <t>探索/掉落</t>
        </is>
      </c>
      <c r="E24" s="2" t="n"/>
      <c r="F24" s="2" t="n"/>
      <c r="G24" s="2" t="n"/>
      <c r="H24" s="3" t="n"/>
      <c r="I24" s="10">
        <f>FLOOR(B24/5,1)</f>
        <v/>
      </c>
      <c r="J24" s="11" t="inlineStr">
        <is>
          <t>加值÷5</t>
        </is>
      </c>
    </row>
    <row r="25">
      <c r="A25" s="6" t="inlineStr">
        <is>
          <t>道心 DAX</t>
        </is>
      </c>
      <c r="B25" s="7" t="n">
        <v>80</v>
      </c>
      <c r="C25" s="3" t="n"/>
      <c r="D25" s="9" t="inlineStr">
        <is>
          <t>心魔/渡劫</t>
        </is>
      </c>
      <c r="E25" s="2" t="n"/>
      <c r="F25" s="2" t="n"/>
      <c r="G25" s="2" t="n"/>
      <c r="H25" s="3" t="n"/>
      <c r="I25" s="10">
        <f>FLOOR(B25/5,1)</f>
        <v/>
      </c>
      <c r="J25" s="11" t="inlineStr">
        <is>
          <t>加值÷5</t>
        </is>
      </c>
    </row>
    <row r="26"/>
    <row r="27">
      <c r="A27" s="5" t="inlineStr">
        <is>
          <t>派生屬性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/>
    <row r="29">
      <c r="A29" s="6" t="inlineStr">
        <is>
          <t>生命值 HP</t>
        </is>
      </c>
      <c r="B29" s="12">
        <f>4.0*B21</f>
        <v/>
      </c>
      <c r="C29" s="2" t="n"/>
      <c r="D29" s="2" t="n"/>
      <c r="E29" s="3" t="n"/>
      <c r="F29" s="13" t="inlineStr">
        <is>
          <t>肉身×境界係數</t>
        </is>
      </c>
      <c r="G29" s="2" t="n"/>
      <c r="H29" s="2" t="n"/>
      <c r="I29" s="2" t="n"/>
      <c r="J29" s="3" t="n"/>
    </row>
    <row r="30">
      <c r="A30" s="14" t="inlineStr">
        <is>
          <t>真氣池</t>
        </is>
      </c>
      <c r="B30" s="10">
        <f>3.0*B22</f>
        <v/>
      </c>
      <c r="C30" s="2" t="n"/>
      <c r="D30" s="2" t="n"/>
      <c r="E30" s="3" t="n"/>
      <c r="F30" s="9" t="inlineStr">
        <is>
          <t>靈力×境界係數</t>
        </is>
      </c>
      <c r="G30" s="2" t="n"/>
      <c r="H30" s="2" t="n"/>
      <c r="I30" s="2" t="n"/>
      <c r="J30" s="3" t="n"/>
    </row>
    <row r="31">
      <c r="A31" s="6" t="inlineStr">
        <is>
          <t>先攻值</t>
        </is>
      </c>
      <c r="B31" s="12">
        <f>B20+FLOOR(B23/5,1)</f>
        <v/>
      </c>
      <c r="C31" s="2" t="n"/>
      <c r="D31" s="2" t="n"/>
      <c r="E31" s="3" t="n"/>
      <c r="F31" s="13" t="inlineStr">
        <is>
          <t>神識+floor(身法/5)</t>
        </is>
      </c>
      <c r="G31" s="2" t="n"/>
      <c r="H31" s="2" t="n"/>
      <c r="I31" s="2" t="n"/>
      <c r="J31" s="3" t="n"/>
    </row>
    <row r="32">
      <c r="A32" s="14" t="inlineStr">
        <is>
          <t>物理防禦</t>
        </is>
      </c>
      <c r="B32" s="15" t="n">
        <v>35</v>
      </c>
      <c r="C32" s="2" t="n"/>
      <c r="D32" s="2" t="n"/>
      <c r="E32" s="3" t="n"/>
      <c r="F32" s="9" t="inlineStr">
        <is>
          <t>法袍+功法</t>
        </is>
      </c>
      <c r="G32" s="2" t="n"/>
      <c r="H32" s="2" t="n"/>
      <c r="I32" s="2" t="n"/>
      <c r="J32" s="3" t="n"/>
    </row>
    <row r="33">
      <c r="A33" s="6" t="inlineStr">
        <is>
          <t>法術抗性</t>
        </is>
      </c>
      <c r="B33" s="16" t="n">
        <v>45</v>
      </c>
      <c r="C33" s="2" t="n"/>
      <c r="D33" s="2" t="n"/>
      <c r="E33" s="3" t="n"/>
      <c r="F33" s="13" t="inlineStr">
        <is>
          <t>法袍+功法</t>
        </is>
      </c>
      <c r="G33" s="2" t="n"/>
      <c r="H33" s="2" t="n"/>
      <c r="I33" s="2" t="n"/>
      <c r="J33" s="3" t="n"/>
    </row>
    <row r="34">
      <c r="A34" s="14" t="inlineStr">
        <is>
          <t>護體真氣</t>
        </is>
      </c>
      <c r="B34" s="15" t="n">
        <v>120</v>
      </c>
      <c r="C34" s="2" t="n"/>
      <c r="D34" s="2" t="n"/>
      <c r="E34" s="3" t="n"/>
      <c r="F34" s="9" t="inlineStr">
        <is>
          <t>心法+法寶</t>
        </is>
      </c>
      <c r="G34" s="2" t="n"/>
      <c r="H34" s="2" t="n"/>
      <c r="I34" s="2" t="n"/>
      <c r="J34" s="3" t="n"/>
    </row>
    <row r="35">
      <c r="A35" s="6" t="inlineStr">
        <is>
          <t>閃避</t>
        </is>
      </c>
      <c r="B35" s="16" t="n">
        <v>62</v>
      </c>
      <c r="C35" s="2" t="n"/>
      <c r="D35" s="2" t="n"/>
      <c r="E35" s="3" t="n"/>
      <c r="F35" s="13" t="inlineStr">
        <is>
          <t>身法值</t>
        </is>
      </c>
      <c r="G35" s="2" t="n"/>
      <c r="H35" s="2" t="n"/>
      <c r="I35" s="2" t="n"/>
      <c r="J35" s="3" t="n"/>
    </row>
    <row r="36">
      <c r="A36" s="14" t="inlineStr">
        <is>
          <t>移動</t>
        </is>
      </c>
      <c r="B36" s="15" t="inlineStr">
        <is>
          <t>2區</t>
        </is>
      </c>
      <c r="C36" s="2" t="n"/>
      <c r="D36" s="2" t="n"/>
      <c r="E36" s="3" t="n"/>
      <c r="F36" s="9" t="inlineStr">
        <is>
          <t>根據身法</t>
        </is>
      </c>
      <c r="G36" s="2" t="n"/>
      <c r="H36" s="2" t="n"/>
      <c r="I36" s="2" t="n"/>
      <c r="J36" s="3" t="n"/>
    </row>
    <row r="37">
      <c r="A37" s="6" t="inlineStr">
        <is>
          <t>大成功</t>
        </is>
      </c>
      <c r="B37" s="12">
        <f>3+FLOOR((G7-1)/3,1)</f>
        <v/>
      </c>
      <c r="C37" s="2" t="n"/>
      <c r="D37" s="2" t="n"/>
      <c r="E37" s="3" t="n"/>
      <c r="F37" s="13" t="inlineStr">
        <is>
          <t>1d100≤此值</t>
        </is>
      </c>
      <c r="G37" s="2" t="n"/>
      <c r="H37" s="2" t="n"/>
      <c r="I37" s="2" t="n"/>
      <c r="J37" s="3" t="n"/>
    </row>
    <row r="38">
      <c r="A38" s="14" t="inlineStr">
        <is>
          <t>大失敗</t>
        </is>
      </c>
      <c r="B38" s="15" t="inlineStr">
        <is>
          <t>96-00</t>
        </is>
      </c>
      <c r="C38" s="2" t="n"/>
      <c r="D38" s="2" t="n"/>
      <c r="E38" s="3" t="n"/>
      <c r="F38" s="9" t="inlineStr">
        <is>
          <t>固定5%</t>
        </is>
      </c>
      <c r="G38" s="2" t="n"/>
      <c r="H38" s="2" t="n"/>
      <c r="I38" s="2" t="n"/>
      <c r="J38" s="3" t="n"/>
    </row>
    <row r="39"/>
    <row r="40"/>
    <row r="41">
      <c r="A41" s="5" t="inlineStr">
        <is>
          <t>裝備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/>
    <row r="43">
      <c r="A43" s="6" t="inlineStr">
        <is>
          <t>武器</t>
        </is>
      </c>
      <c r="B43" s="8" t="inlineStr">
        <is>
          <t>天機演算杖（天級，4d12+3+靈/4，無視15法抗）</t>
        </is>
      </c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6" t="inlineStr">
        <is>
          <t>法袍</t>
        </is>
      </c>
      <c r="B44" s="8" t="inlineStr">
        <is>
          <t>無極道袍（地級，防+25，法抗+38，道心+20）</t>
        </is>
      </c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6" t="inlineStr">
        <is>
          <t>法寶</t>
        </is>
      </c>
      <c r="B45" s="8" t="inlineStr">
        <is>
          <t>—</t>
        </is>
      </c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6" t="inlineStr">
        <is>
          <t>飾品</t>
        </is>
      </c>
      <c r="B46" s="8" t="inlineStr">
        <is>
          <t>—</t>
        </is>
      </c>
      <c r="C46" s="2" t="n"/>
      <c r="D46" s="2" t="n"/>
      <c r="E46" s="2" t="n"/>
      <c r="F46" s="2" t="n"/>
      <c r="G46" s="2" t="n"/>
      <c r="H46" s="2" t="n"/>
      <c r="I46" s="2" t="n"/>
      <c r="J46" s="3" t="n"/>
    </row>
    <row r="47"/>
    <row r="48">
      <c r="A48" s="5" t="inlineStr">
        <is>
          <t>功法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/>
    <row r="50">
      <c r="A50" s="6" t="inlineStr">
        <is>
          <t>心法</t>
        </is>
      </c>
      <c r="B50" s="8" t="inlineStr">
        <is>
          <t>《天機推演》（地級·自創，推演未來3回合走勢）</t>
        </is>
      </c>
      <c r="C50" s="2" t="n"/>
      <c r="D50" s="2" t="n"/>
      <c r="E50" s="2" t="n"/>
      <c r="F50" s="2" t="n"/>
      <c r="G50" s="2" t="n"/>
      <c r="H50" s="2" t="n"/>
      <c r="I50" s="2" t="n"/>
      <c r="J50" s="3" t="n"/>
    </row>
    <row r="51">
      <c r="A51" s="6" t="inlineStr">
        <is>
          <t>武技</t>
        </is>
      </c>
      <c r="B51" s="8" t="inlineStr">
        <is>
          <t>《萬陣圖錄》（天級·可同時佈置3陣）</t>
        </is>
      </c>
      <c r="C51" s="2" t="n"/>
      <c r="D51" s="2" t="n"/>
      <c r="E51" s="2" t="n"/>
      <c r="F51" s="2" t="n"/>
      <c r="G51" s="2" t="n"/>
      <c r="H51" s="2" t="n"/>
      <c r="I51" s="2" t="n"/>
      <c r="J51" s="3" t="n"/>
    </row>
    <row r="52"/>
    <row r="53">
      <c r="A53" s="5" t="inlineStr">
        <is>
          <t>物品與狀態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</row>
    <row r="54"/>
    <row r="55">
      <c r="A55" s="6" t="inlineStr">
        <is>
          <t>靈石</t>
        </is>
      </c>
      <c r="B55" s="7" t="n">
        <v>500000</v>
      </c>
      <c r="D55" s="6" t="inlineStr">
        <is>
          <t>丹藥</t>
        </is>
      </c>
      <c r="E55" s="8" t="inlineStr">
        <is>
          <t>天級陣法材料×50</t>
        </is>
      </c>
      <c r="F55" s="2" t="n"/>
      <c r="G55" s="2" t="n"/>
      <c r="H55" s="2" t="n"/>
      <c r="I55" s="2" t="n"/>
      <c r="J55" s="3" t="n"/>
    </row>
    <row r="56">
      <c r="A56" s="6" t="inlineStr">
        <is>
          <t>藥毒</t>
        </is>
      </c>
      <c r="B56" s="15" t="inlineStr">
        <is>
          <t>0/100</t>
        </is>
      </c>
      <c r="D56" s="6" t="inlineStr">
        <is>
          <t>心魔</t>
        </is>
      </c>
      <c r="E56" s="15" t="inlineStr">
        <is>
          <t>0/100</t>
        </is>
      </c>
    </row>
    <row r="57">
      <c r="A57" s="6" t="inlineStr">
        <is>
          <t>壽元</t>
        </is>
      </c>
      <c r="B57" s="7" t="inlineStr">
        <is>
          <t>2000年</t>
        </is>
      </c>
      <c r="D57" s="6" t="inlineStr">
        <is>
          <t>已耗</t>
        </is>
      </c>
      <c r="E57" s="7" t="inlineStr">
        <is>
          <t>1200年</t>
        </is>
      </c>
    </row>
    <row r="58"/>
    <row r="59">
      <c r="A59" s="5" t="inlineStr">
        <is>
          <t>背景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/>
    <row r="61" ht="80" customHeight="1">
      <c r="A61" s="6" t="inlineStr">
        <is>
          <t>故事</t>
        </is>
      </c>
      <c r="B61" s="8" t="inlineStr">
        <is>
          <t>天涯子是天機府的前前任府主，以「天機推演」聞名。歸隱後他仍偶爾會「順手」推動一些天道應該發生的事情——比如引導有天賦的年輕陣修。</t>
        </is>
      </c>
      <c r="C61" s="2" t="n"/>
      <c r="D61" s="2" t="n"/>
      <c r="E61" s="2" t="n"/>
      <c r="F61" s="2" t="n"/>
      <c r="G61" s="2" t="n"/>
      <c r="H61" s="2" t="n"/>
      <c r="I61" s="2" t="n"/>
      <c r="J61" s="3" t="n"/>
    </row>
  </sheetData>
  <mergeCells count="63">
    <mergeCell ref="B9:E9"/>
    <mergeCell ref="F29:J29"/>
    <mergeCell ref="D20:H20"/>
    <mergeCell ref="B25:C25"/>
    <mergeCell ref="B61:J61"/>
    <mergeCell ref="F34:J34"/>
    <mergeCell ref="B14:J14"/>
    <mergeCell ref="D19:H19"/>
    <mergeCell ref="B30:E30"/>
    <mergeCell ref="A53:J53"/>
    <mergeCell ref="B13:D13"/>
    <mergeCell ref="A4:J4"/>
    <mergeCell ref="B8:J8"/>
    <mergeCell ref="B22:C22"/>
    <mergeCell ref="B33:E33"/>
    <mergeCell ref="B18:C18"/>
    <mergeCell ref="D22:H22"/>
    <mergeCell ref="H7:J7"/>
    <mergeCell ref="B36:E36"/>
    <mergeCell ref="B32:E32"/>
    <mergeCell ref="B44:J44"/>
    <mergeCell ref="F30:J30"/>
    <mergeCell ref="B21:C21"/>
    <mergeCell ref="G9:J9"/>
    <mergeCell ref="D21:H21"/>
    <mergeCell ref="B35:E35"/>
    <mergeCell ref="B23:C23"/>
    <mergeCell ref="F36:J36"/>
    <mergeCell ref="A59:J59"/>
    <mergeCell ref="F33:J33"/>
    <mergeCell ref="A48:J48"/>
    <mergeCell ref="F32:J32"/>
    <mergeCell ref="F35:J35"/>
    <mergeCell ref="A11:J11"/>
    <mergeCell ref="B31:E31"/>
    <mergeCell ref="A1:J1"/>
    <mergeCell ref="B51:J51"/>
    <mergeCell ref="B45:J45"/>
    <mergeCell ref="B19:C19"/>
    <mergeCell ref="F38:J38"/>
    <mergeCell ref="B50:J50"/>
    <mergeCell ref="F31:J31"/>
    <mergeCell ref="A16:J16"/>
    <mergeCell ref="D18:H18"/>
    <mergeCell ref="F13:J13"/>
    <mergeCell ref="A41:J41"/>
    <mergeCell ref="B6:C6"/>
    <mergeCell ref="B24:C24"/>
    <mergeCell ref="D25:H25"/>
    <mergeCell ref="E55:J55"/>
    <mergeCell ref="F37:J37"/>
    <mergeCell ref="D24:H24"/>
    <mergeCell ref="B46:J46"/>
    <mergeCell ref="B20:C20"/>
    <mergeCell ref="A27:J27"/>
    <mergeCell ref="B38:E38"/>
    <mergeCell ref="E6:H6"/>
    <mergeCell ref="A2:J2"/>
    <mergeCell ref="B29:E29"/>
    <mergeCell ref="D23:H23"/>
    <mergeCell ref="B37:E37"/>
    <mergeCell ref="B43:J43"/>
    <mergeCell ref="B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7" t="inlineStr">
        <is>
          <t>師父名稱</t>
        </is>
      </c>
      <c r="B1" s="17" t="inlineStr">
        <is>
          <t>天涯子</t>
        </is>
      </c>
    </row>
    <row r="2">
      <c r="A2" s="18" t="inlineStr">
        <is>
          <t>師父品級</t>
        </is>
      </c>
      <c r="B2" s="19" t="inlineStr">
        <is>
          <t>隱世高人</t>
        </is>
      </c>
    </row>
    <row r="3">
      <c r="A3" s="18" t="inlineStr">
        <is>
          <t>境界</t>
        </is>
      </c>
      <c r="B3" s="19" t="inlineStr">
        <is>
          <t>煉虛後期 (Lv.23)</t>
        </is>
      </c>
    </row>
    <row r="4">
      <c r="A4" s="18" t="inlineStr">
        <is>
          <t>收徒上限</t>
        </is>
      </c>
      <c r="B4" s="19" t="inlineStr">
        <is>
          <t>1（極看緣分）</t>
        </is>
      </c>
    </row>
    <row r="5">
      <c r="A5" s="18" t="n"/>
      <c r="B5" s="19" t="n"/>
    </row>
    <row r="6">
      <c r="A6" s="18" t="inlineStr">
        <is>
          <t>收徒條件</t>
        </is>
      </c>
      <c r="B6" s="19" t="inlineStr">
        <is>
          <t>機緣 ≥ 60（純看緣分）；悟性 ≥ 50</t>
        </is>
      </c>
    </row>
    <row r="7">
      <c r="A7" s="18" t="n"/>
      <c r="B7" s="19" t="n"/>
    </row>
    <row r="8">
      <c r="A8" s="18" t="inlineStr">
        <is>
          <t>═══ 可傳授功法 ═══</t>
        </is>
      </c>
      <c r="B8" s="19" t="n"/>
    </row>
    <row r="9">
      <c r="A9" s="18" t="inlineStr">
        <is>
          <t>可傳心法</t>
        </is>
      </c>
      <c r="B9" s="19" t="inlineStr">
        <is>
          <t>《萬象歸元訣》(玄/混沌)
《混元道經》(地/混沌)
《風雷真訣》(地/雷風)</t>
        </is>
      </c>
    </row>
    <row r="10">
      <c r="A10" s="18" t="inlineStr">
        <is>
          <t>心法條件</t>
        </is>
      </c>
      <c r="B10" s="19" t="inlineStr">
        <is>
          <t>初識；親近+混沌/均衡；風雷靈根/親近</t>
        </is>
      </c>
    </row>
    <row r="11">
      <c r="A11" s="18" t="inlineStr">
        <is>
          <t>可傳武技</t>
        </is>
      </c>
      <c r="B11" s="19" t="inlineStr">
        <is>
          <t>《御風步》(玄/風)
《千機引》(玄/水)
《暗影步》(玄/暗)</t>
        </is>
      </c>
    </row>
    <row r="12">
      <c r="A12" s="18" t="inlineStr">
        <is>
          <t>武技條件</t>
        </is>
      </c>
      <c r="B12" s="19" t="inlineStr">
        <is>
          <t>無條件；水靈根/信任；信任</t>
        </is>
      </c>
    </row>
    <row r="13">
      <c r="A13" s="18" t="inlineStr">
        <is>
          <t>可傳神通</t>
        </is>
      </c>
      <c r="B13" s="19" t="inlineStr">
        <is>
          <t>《天眼通》(玄/無)
《五行輪轉》(玄/混沌)
《天機推演》(地/無)
《虛空步》(地/空間)
《星象推演全篇》(天/無) —— NEW</t>
        </is>
      </c>
    </row>
    <row r="14">
      <c r="A14" s="18" t="inlineStr">
        <is>
          <t>神通條件</t>
        </is>
      </c>
      <c r="B14" s="19" t="inlineStr">
        <is>
          <t>悟性≥40/親近
信任
悟性≥50/如子
如子
衣缽(天涯子親傳祕法)</t>
        </is>
      </c>
    </row>
    <row r="15">
      <c r="A15" s="18" t="n"/>
      <c r="B15" s="19" t="n"/>
    </row>
    <row r="16">
      <c r="A16" s="18" t="inlineStr">
        <is>
          <t>═══ 資源與援助 ═══</t>
        </is>
      </c>
      <c r="B16" s="19" t="n"/>
    </row>
    <row r="17">
      <c r="A17" s="18" t="inlineStr">
        <is>
          <t>每月資源供給</t>
        </is>
      </c>
      <c r="B17" s="19" t="inlineStr">
        <is>
          <t>不定（雲遊天下）──突破大境界贈地級祕籍
重大事件贈天機府人脈令牌
衣缽贈《星象推演全篇》</t>
        </is>
      </c>
    </row>
    <row r="18">
      <c r="A18" s="18" t="inlineStr">
        <is>
          <t>特殊援助</t>
        </is>
      </c>
      <c r="B18" s="19" t="inlineStr">
        <is>
          <t>天機情報(每境界1問)；預知危機(親近)；天眼傳承(衣缽/難度（DC）70)；逆天改命(衣缽/1次/壽命-50)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7" t="inlineStr">
        <is>
          <t>傳承名稱</t>
        </is>
      </c>
      <c r="B1" s="17" t="inlineStr">
        <is>
          <t>逆天改命</t>
        </is>
      </c>
    </row>
    <row r="2">
      <c r="A2" s="18" t="inlineStr">
        <is>
          <t>傳承類型</t>
        </is>
      </c>
      <c r="B2" s="19" t="inlineStr">
        <is>
          <t>衣缽級一次性傳承</t>
        </is>
      </c>
    </row>
    <row r="3">
      <c r="A3" s="18" t="inlineStr">
        <is>
          <t>觸發條件</t>
        </is>
      </c>
      <c r="B3" s="19" t="inlineStr">
        <is>
          <t>親密度 ≥ 衣缽</t>
        </is>
      </c>
    </row>
    <row r="4">
      <c r="A4" s="18" t="inlineStr">
        <is>
          <t>使用次數</t>
        </is>
      </c>
      <c r="B4" s="19" t="inlineStr">
        <is>
          <t>終生1次</t>
        </is>
      </c>
    </row>
    <row r="5">
      <c r="A5" s="18" t="n"/>
      <c r="B5" s="19" t="n"/>
    </row>
    <row r="6">
      <c r="A6" s="18" t="inlineStr">
        <is>
          <t>效果</t>
        </is>
      </c>
      <c r="B6" s="19" t="inlineStr">
        <is>
          <t>弟子必死檢定時(d100=00或生命值（HP）歸零)改為成功/生命值（HP）剩1</t>
        </is>
      </c>
    </row>
    <row r="7">
      <c r="A7" s="18" t="n"/>
      <c r="B7" s="19" t="n"/>
    </row>
    <row r="8">
      <c r="A8" s="18" t="inlineStr">
        <is>
          <t>代價(天涯子)</t>
        </is>
      </c>
      <c r="B8" s="19" t="inlineStr">
        <is>
          <t>壽命-50年(永久)；1年內無法使用推演神通；虛弱30天(全屬性-20)</t>
        </is>
      </c>
    </row>
    <row r="9">
      <c r="A9" s="18" t="n"/>
      <c r="B9" s="19" t="n"/>
    </row>
    <row r="10">
      <c r="A10" s="18" t="inlineStr">
        <is>
          <t>GM注意</t>
        </is>
      </c>
      <c r="B10" s="19" t="inlineStr">
        <is>
          <t>劇情級能力——天涯子可選擇「不出手」。僅在弟子真正值得時使用。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天機·修真心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獨孤無極 — NPC卡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/>
    <row r="4">
      <c r="A4" s="5" t="inlineStr">
        <is>
          <t>基本資訊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/>
    <row r="6">
      <c r="A6" s="6" t="inlineStr">
        <is>
          <t>姓名</t>
        </is>
      </c>
      <c r="B6" s="7" t="inlineStr">
        <is>
          <t>獨孤無極</t>
        </is>
      </c>
      <c r="C6" s="3" t="n"/>
      <c r="D6" s="6" t="inlineStr">
        <is>
          <t>稱號</t>
        </is>
      </c>
      <c r="E6" s="8" t="inlineStr">
        <is>
          <t>太虛劍宗宗主·大乘期劍尊</t>
        </is>
      </c>
      <c r="F6" s="2" t="n"/>
      <c r="G6" s="2" t="n"/>
      <c r="H6" s="3" t="n"/>
      <c r="I6" s="6" t="inlineStr">
        <is>
          <t>境界</t>
        </is>
      </c>
      <c r="J6" s="7" t="inlineStr">
        <is>
          <t>大乘·後(Lv.31)</t>
        </is>
      </c>
    </row>
    <row r="7">
      <c r="A7" s="6" t="inlineStr">
        <is>
          <t>性別</t>
        </is>
      </c>
      <c r="B7" s="7" t="inlineStr">
        <is>
          <t>男</t>
        </is>
      </c>
      <c r="C7" s="6" t="inlineStr">
        <is>
          <t>年齡</t>
        </is>
      </c>
      <c r="D7" s="7" t="n">
        <v>3000</v>
      </c>
      <c r="E7" s="6" t="inlineStr">
        <is>
          <t>Lv</t>
        </is>
      </c>
      <c r="F7" s="7" t="n">
        <v>31</v>
      </c>
      <c r="G7" s="6" t="inlineStr">
        <is>
          <t>修為</t>
        </is>
      </c>
      <c r="H7" s="7" t="inlineStr">
        <is>
          <t>—</t>
        </is>
      </c>
      <c r="I7" s="2" t="n"/>
      <c r="J7" s="3" t="n"/>
    </row>
    <row r="8">
      <c r="A8" s="6" t="inlineStr">
        <is>
          <t>出身</t>
        </is>
      </c>
      <c r="B8" s="8" t="inlineStr">
        <is>
          <t>太虛劍宗當代宗主（地榜第一）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6" t="inlineStr">
        <is>
          <t>宗門</t>
        </is>
      </c>
      <c r="B9" s="8" t="inlineStr">
        <is>
          <t>太虛劍宗</t>
        </is>
      </c>
      <c r="C9" s="2" t="n"/>
      <c r="D9" s="2" t="n"/>
      <c r="E9" s="3" t="n"/>
      <c r="F9" s="6" t="inlineStr">
        <is>
          <t>特殊</t>
        </is>
      </c>
      <c r="G9" s="8" t="inlineStr">
        <is>
          <t>劍心通明（劍類傷害+50%，冷卻-1回合）</t>
        </is>
      </c>
      <c r="H9" s="2" t="n"/>
      <c r="I9" s="2" t="n"/>
      <c r="J9" s="3" t="n"/>
    </row>
    <row r="10"/>
    <row r="11">
      <c r="A11" s="5" t="inlineStr">
        <is>
          <t>靈根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/>
    <row r="13">
      <c r="A13" s="6" t="inlineStr">
        <is>
          <t>類型</t>
        </is>
      </c>
      <c r="B13" s="7" t="inlineStr">
        <is>
          <t>金靈根</t>
        </is>
      </c>
      <c r="C13" s="2" t="n"/>
      <c r="D13" s="3" t="n"/>
      <c r="E13" s="6" t="inlineStr">
        <is>
          <t>品質</t>
        </is>
      </c>
      <c r="F13" s="7" t="inlineStr">
        <is>
          <t>極品</t>
        </is>
      </c>
      <c r="G13" s="2" t="n"/>
      <c r="H13" s="2" t="n"/>
      <c r="I13" s="2" t="n"/>
      <c r="J13" s="3" t="n"/>
    </row>
    <row r="14">
      <c r="A14" s="6" t="inlineStr">
        <is>
          <t>加成</t>
        </is>
      </c>
      <c r="B14" s="8" t="inlineStr">
        <is>
          <t>根骨+8 金系功法威力+15%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5"/>
    <row r="16">
      <c r="A16" s="5" t="inlineStr">
        <is>
          <t>八大屬性 (初始250點自由分配)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/>
    <row r="18">
      <c r="A18" s="6" t="inlineStr">
        <is>
          <t>根骨 GUG</t>
        </is>
      </c>
      <c r="B18" s="7" t="n">
        <v>88</v>
      </c>
      <c r="C18" s="3" t="n"/>
      <c r="D18" s="9" t="inlineStr">
        <is>
          <t>修煉/突破</t>
        </is>
      </c>
      <c r="E18" s="2" t="n"/>
      <c r="F18" s="2" t="n"/>
      <c r="G18" s="2" t="n"/>
      <c r="H18" s="3" t="n"/>
      <c r="I18" s="10">
        <f>FLOOR(B18/5,1)</f>
        <v/>
      </c>
      <c r="J18" s="11" t="inlineStr">
        <is>
          <t>加值÷5</t>
        </is>
      </c>
    </row>
    <row r="19">
      <c r="A19" s="6" t="inlineStr">
        <is>
          <t>悟性 WUX</t>
        </is>
      </c>
      <c r="B19" s="7" t="n">
        <v>82</v>
      </c>
      <c r="C19" s="3" t="n"/>
      <c r="D19" s="9" t="inlineStr">
        <is>
          <t>學習/破解</t>
        </is>
      </c>
      <c r="E19" s="2" t="n"/>
      <c r="F19" s="2" t="n"/>
      <c r="G19" s="2" t="n"/>
      <c r="H19" s="3" t="n"/>
      <c r="I19" s="10">
        <f>FLOOR(B19/5,1)</f>
        <v/>
      </c>
      <c r="J19" s="11" t="inlineStr">
        <is>
          <t>加值÷5</t>
        </is>
      </c>
    </row>
    <row r="20">
      <c r="A20" s="6" t="inlineStr">
        <is>
          <t>神識 SHS</t>
        </is>
      </c>
      <c r="B20" s="7" t="n">
        <v>85</v>
      </c>
      <c r="C20" s="3" t="n"/>
      <c r="D20" s="9" t="inlineStr">
        <is>
          <t>探查/先攻</t>
        </is>
      </c>
      <c r="E20" s="2" t="n"/>
      <c r="F20" s="2" t="n"/>
      <c r="G20" s="2" t="n"/>
      <c r="H20" s="3" t="n"/>
      <c r="I20" s="10">
        <f>FLOOR(B20/5,1)</f>
        <v/>
      </c>
      <c r="J20" s="11" t="inlineStr">
        <is>
          <t>加值÷5</t>
        </is>
      </c>
    </row>
    <row r="21">
      <c r="A21" s="6" t="inlineStr">
        <is>
          <t>肉身 RSS</t>
        </is>
      </c>
      <c r="B21" s="7" t="n">
        <v>90</v>
      </c>
      <c r="C21" s="3" t="n"/>
      <c r="D21" s="9" t="inlineStr">
        <is>
          <t>生命值（HP）/近戰</t>
        </is>
      </c>
      <c r="E21" s="2" t="n"/>
      <c r="F21" s="2" t="n"/>
      <c r="G21" s="2" t="n"/>
      <c r="H21" s="3" t="n"/>
      <c r="I21" s="10">
        <f>FLOOR(B21/5,1)</f>
        <v/>
      </c>
      <c r="J21" s="11" t="inlineStr">
        <is>
          <t>加值÷5</t>
        </is>
      </c>
    </row>
    <row r="22">
      <c r="A22" s="6" t="inlineStr">
        <is>
          <t>靈力 LIL</t>
        </is>
      </c>
      <c r="B22" s="7" t="n">
        <v>78</v>
      </c>
      <c r="C22" s="3" t="n"/>
      <c r="D22" s="9" t="inlineStr">
        <is>
          <t>法術/真氣</t>
        </is>
      </c>
      <c r="E22" s="2" t="n"/>
      <c r="F22" s="2" t="n"/>
      <c r="G22" s="2" t="n"/>
      <c r="H22" s="3" t="n"/>
      <c r="I22" s="10">
        <f>FLOOR(B22/5,1)</f>
        <v/>
      </c>
      <c r="J22" s="11" t="inlineStr">
        <is>
          <t>加值÷5</t>
        </is>
      </c>
    </row>
    <row r="23">
      <c r="A23" s="6" t="inlineStr">
        <is>
          <t>身法 SHF</t>
        </is>
      </c>
      <c r="B23" s="7" t="n">
        <v>80</v>
      </c>
      <c r="C23" s="3" t="n"/>
      <c r="D23" s="9" t="inlineStr">
        <is>
          <t>閃避/移動</t>
        </is>
      </c>
      <c r="E23" s="2" t="n"/>
      <c r="F23" s="2" t="n"/>
      <c r="G23" s="2" t="n"/>
      <c r="H23" s="3" t="n"/>
      <c r="I23" s="10">
        <f>FLOOR(B23/5,1)</f>
        <v/>
      </c>
      <c r="J23" s="11" t="inlineStr">
        <is>
          <t>加值÷5</t>
        </is>
      </c>
    </row>
    <row r="24">
      <c r="A24" s="6" t="inlineStr">
        <is>
          <t>機緣 JIY</t>
        </is>
      </c>
      <c r="B24" s="7" t="n">
        <v>70</v>
      </c>
      <c r="C24" s="3" t="n"/>
      <c r="D24" s="9" t="inlineStr">
        <is>
          <t>探索/掉落</t>
        </is>
      </c>
      <c r="E24" s="2" t="n"/>
      <c r="F24" s="2" t="n"/>
      <c r="G24" s="2" t="n"/>
      <c r="H24" s="3" t="n"/>
      <c r="I24" s="10">
        <f>FLOOR(B24/5,1)</f>
        <v/>
      </c>
      <c r="J24" s="11" t="inlineStr">
        <is>
          <t>加值÷5</t>
        </is>
      </c>
    </row>
    <row r="25">
      <c r="A25" s="6" t="inlineStr">
        <is>
          <t>道心 DAX</t>
        </is>
      </c>
      <c r="B25" s="7" t="n">
        <v>92</v>
      </c>
      <c r="C25" s="3" t="n"/>
      <c r="D25" s="9" t="inlineStr">
        <is>
          <t>心魔/渡劫</t>
        </is>
      </c>
      <c r="E25" s="2" t="n"/>
      <c r="F25" s="2" t="n"/>
      <c r="G25" s="2" t="n"/>
      <c r="H25" s="3" t="n"/>
      <c r="I25" s="10">
        <f>FLOOR(B25/5,1)</f>
        <v/>
      </c>
      <c r="J25" s="11" t="inlineStr">
        <is>
          <t>加值÷5</t>
        </is>
      </c>
    </row>
    <row r="26"/>
    <row r="27">
      <c r="A27" s="5" t="inlineStr">
        <is>
          <t>派生屬性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/>
    <row r="29">
      <c r="A29" s="6" t="inlineStr">
        <is>
          <t>生命值 HP</t>
        </is>
      </c>
      <c r="B29" s="12">
        <f>5.0*B21</f>
        <v/>
      </c>
      <c r="C29" s="2" t="n"/>
      <c r="D29" s="2" t="n"/>
      <c r="E29" s="3" t="n"/>
      <c r="F29" s="13" t="inlineStr">
        <is>
          <t>肉身×境界係數</t>
        </is>
      </c>
      <c r="G29" s="2" t="n"/>
      <c r="H29" s="2" t="n"/>
      <c r="I29" s="2" t="n"/>
      <c r="J29" s="3" t="n"/>
    </row>
    <row r="30">
      <c r="A30" s="14" t="inlineStr">
        <is>
          <t>真氣池</t>
        </is>
      </c>
      <c r="B30" s="10">
        <f>4.0*B22</f>
        <v/>
      </c>
      <c r="C30" s="2" t="n"/>
      <c r="D30" s="2" t="n"/>
      <c r="E30" s="3" t="n"/>
      <c r="F30" s="9" t="inlineStr">
        <is>
          <t>靈力×境界係數</t>
        </is>
      </c>
      <c r="G30" s="2" t="n"/>
      <c r="H30" s="2" t="n"/>
      <c r="I30" s="2" t="n"/>
      <c r="J30" s="3" t="n"/>
    </row>
    <row r="31">
      <c r="A31" s="6" t="inlineStr">
        <is>
          <t>先攻值</t>
        </is>
      </c>
      <c r="B31" s="12">
        <f>B20+FLOOR(B23/5,1)</f>
        <v/>
      </c>
      <c r="C31" s="2" t="n"/>
      <c r="D31" s="2" t="n"/>
      <c r="E31" s="3" t="n"/>
      <c r="F31" s="13" t="inlineStr">
        <is>
          <t>神識+floor(身法/5)</t>
        </is>
      </c>
      <c r="G31" s="2" t="n"/>
      <c r="H31" s="2" t="n"/>
      <c r="I31" s="2" t="n"/>
      <c r="J31" s="3" t="n"/>
    </row>
    <row r="32">
      <c r="A32" s="14" t="inlineStr">
        <is>
          <t>物理防禦</t>
        </is>
      </c>
      <c r="B32" s="15" t="n">
        <v>50</v>
      </c>
      <c r="C32" s="2" t="n"/>
      <c r="D32" s="2" t="n"/>
      <c r="E32" s="3" t="n"/>
      <c r="F32" s="9" t="inlineStr">
        <is>
          <t>法袍+功法</t>
        </is>
      </c>
      <c r="G32" s="2" t="n"/>
      <c r="H32" s="2" t="n"/>
      <c r="I32" s="2" t="n"/>
      <c r="J32" s="3" t="n"/>
    </row>
    <row r="33">
      <c r="A33" s="6" t="inlineStr">
        <is>
          <t>法術抗性</t>
        </is>
      </c>
      <c r="B33" s="16" t="n">
        <v>55</v>
      </c>
      <c r="C33" s="2" t="n"/>
      <c r="D33" s="2" t="n"/>
      <c r="E33" s="3" t="n"/>
      <c r="F33" s="13" t="inlineStr">
        <is>
          <t>法袍+功法</t>
        </is>
      </c>
      <c r="G33" s="2" t="n"/>
      <c r="H33" s="2" t="n"/>
      <c r="I33" s="2" t="n"/>
      <c r="J33" s="3" t="n"/>
    </row>
    <row r="34">
      <c r="A34" s="14" t="inlineStr">
        <is>
          <t>護體真氣</t>
        </is>
      </c>
      <c r="B34" s="15" t="n">
        <v>250</v>
      </c>
      <c r="C34" s="2" t="n"/>
      <c r="D34" s="2" t="n"/>
      <c r="E34" s="3" t="n"/>
      <c r="F34" s="9" t="inlineStr">
        <is>
          <t>心法+法寶</t>
        </is>
      </c>
      <c r="G34" s="2" t="n"/>
      <c r="H34" s="2" t="n"/>
      <c r="I34" s="2" t="n"/>
      <c r="J34" s="3" t="n"/>
    </row>
    <row r="35">
      <c r="A35" s="6" t="inlineStr">
        <is>
          <t>閃避</t>
        </is>
      </c>
      <c r="B35" s="16" t="n">
        <v>80</v>
      </c>
      <c r="C35" s="2" t="n"/>
      <c r="D35" s="2" t="n"/>
      <c r="E35" s="3" t="n"/>
      <c r="F35" s="13" t="inlineStr">
        <is>
          <t>身法值</t>
        </is>
      </c>
      <c r="G35" s="2" t="n"/>
      <c r="H35" s="2" t="n"/>
      <c r="I35" s="2" t="n"/>
      <c r="J35" s="3" t="n"/>
    </row>
    <row r="36">
      <c r="A36" s="14" t="inlineStr">
        <is>
          <t>移動</t>
        </is>
      </c>
      <c r="B36" s="15" t="inlineStr">
        <is>
          <t>3區</t>
        </is>
      </c>
      <c r="C36" s="2" t="n"/>
      <c r="D36" s="2" t="n"/>
      <c r="E36" s="3" t="n"/>
      <c r="F36" s="9" t="inlineStr">
        <is>
          <t>根據身法</t>
        </is>
      </c>
      <c r="G36" s="2" t="n"/>
      <c r="H36" s="2" t="n"/>
      <c r="I36" s="2" t="n"/>
      <c r="J36" s="3" t="n"/>
    </row>
    <row r="37">
      <c r="A37" s="6" t="inlineStr">
        <is>
          <t>大成功</t>
        </is>
      </c>
      <c r="B37" s="12">
        <f>3+FLOOR((G7-1)/3,1)</f>
        <v/>
      </c>
      <c r="C37" s="2" t="n"/>
      <c r="D37" s="2" t="n"/>
      <c r="E37" s="3" t="n"/>
      <c r="F37" s="13" t="inlineStr">
        <is>
          <t>1d100≤此值</t>
        </is>
      </c>
      <c r="G37" s="2" t="n"/>
      <c r="H37" s="2" t="n"/>
      <c r="I37" s="2" t="n"/>
      <c r="J37" s="3" t="n"/>
    </row>
    <row r="38">
      <c r="A38" s="14" t="inlineStr">
        <is>
          <t>大失敗</t>
        </is>
      </c>
      <c r="B38" s="15" t="inlineStr">
        <is>
          <t>96-00</t>
        </is>
      </c>
      <c r="C38" s="2" t="n"/>
      <c r="D38" s="2" t="n"/>
      <c r="E38" s="3" t="n"/>
      <c r="F38" s="9" t="inlineStr">
        <is>
          <t>固定5%</t>
        </is>
      </c>
      <c r="G38" s="2" t="n"/>
      <c r="H38" s="2" t="n"/>
      <c r="I38" s="2" t="n"/>
      <c r="J38" s="3" t="n"/>
    </row>
    <row r="39"/>
    <row r="40"/>
    <row r="41">
      <c r="A41" s="5" t="inlineStr">
        <is>
          <t>裝備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/>
    <row r="43">
      <c r="A43" s="6" t="inlineStr">
        <is>
          <t>武器</t>
        </is>
      </c>
      <c r="B43" s="8" t="inlineStr">
        <is>
          <t>太虛誅仙劍（天級，4d12+肉/4，命中+15）</t>
        </is>
      </c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6" t="inlineStr">
        <is>
          <t>法袍</t>
        </is>
      </c>
      <c r="B44" s="8" t="inlineStr">
        <is>
          <t>混元道袍（天級，防+45，法抗+65，全屬性+12）</t>
        </is>
      </c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6" t="inlineStr">
        <is>
          <t>法寶</t>
        </is>
      </c>
      <c r="B45" s="8" t="inlineStr">
        <is>
          <t>—</t>
        </is>
      </c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6" t="inlineStr">
        <is>
          <t>飾品</t>
        </is>
      </c>
      <c r="B46" s="8" t="inlineStr">
        <is>
          <t>—</t>
        </is>
      </c>
      <c r="C46" s="2" t="n"/>
      <c r="D46" s="2" t="n"/>
      <c r="E46" s="2" t="n"/>
      <c r="F46" s="2" t="n"/>
      <c r="G46" s="2" t="n"/>
      <c r="H46" s="2" t="n"/>
      <c r="I46" s="2" t="n"/>
      <c r="J46" s="3" t="n"/>
    </row>
    <row r="47"/>
    <row r="48">
      <c r="A48" s="5" t="inlineStr">
        <is>
          <t>功法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/>
    <row r="50">
      <c r="A50" s="6" t="inlineStr">
        <is>
          <t>心法</t>
        </is>
      </c>
      <c r="B50" s="8" t="inlineStr">
        <is>
          <t>《太虛劍經》（天品·劍類傷害+50%）</t>
        </is>
      </c>
      <c r="C50" s="2" t="n"/>
      <c r="D50" s="2" t="n"/>
      <c r="E50" s="2" t="n"/>
      <c r="F50" s="2" t="n"/>
      <c r="G50" s="2" t="n"/>
      <c r="H50" s="2" t="n"/>
      <c r="I50" s="2" t="n"/>
      <c r="J50" s="3" t="n"/>
    </row>
    <row r="51">
      <c r="A51" s="6" t="inlineStr">
        <is>
          <t>武技</t>
        </is>
      </c>
      <c r="B51" s="8" t="inlineStr">
        <is>
          <t>《萬劍歸宗》Lv.5、《誅仙劍意》Lv.5</t>
        </is>
      </c>
      <c r="C51" s="2" t="n"/>
      <c r="D51" s="2" t="n"/>
      <c r="E51" s="2" t="n"/>
      <c r="F51" s="2" t="n"/>
      <c r="G51" s="2" t="n"/>
      <c r="H51" s="2" t="n"/>
      <c r="I51" s="2" t="n"/>
      <c r="J51" s="3" t="n"/>
    </row>
    <row r="52"/>
    <row r="53">
      <c r="A53" s="5" t="inlineStr">
        <is>
          <t>物品與狀態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</row>
    <row r="54"/>
    <row r="55">
      <c r="A55" s="6" t="inlineStr">
        <is>
          <t>靈石</t>
        </is>
      </c>
      <c r="B55" s="7" t="n">
        <v>5000000</v>
      </c>
      <c r="D55" s="6" t="inlineStr">
        <is>
          <t>丹藥</t>
        </is>
      </c>
      <c r="E55" s="8" t="inlineStr">
        <is>
          <t>天級丹藥×50</t>
        </is>
      </c>
      <c r="F55" s="2" t="n"/>
      <c r="G55" s="2" t="n"/>
      <c r="H55" s="2" t="n"/>
      <c r="I55" s="2" t="n"/>
      <c r="J55" s="3" t="n"/>
    </row>
    <row r="56">
      <c r="A56" s="6" t="inlineStr">
        <is>
          <t>藥毒</t>
        </is>
      </c>
      <c r="B56" s="15" t="inlineStr">
        <is>
          <t>0/100</t>
        </is>
      </c>
      <c r="D56" s="6" t="inlineStr">
        <is>
          <t>心魔</t>
        </is>
      </c>
      <c r="E56" s="15" t="inlineStr">
        <is>
          <t>0/100</t>
        </is>
      </c>
    </row>
    <row r="57">
      <c r="A57" s="6" t="inlineStr">
        <is>
          <t>壽元</t>
        </is>
      </c>
      <c r="B57" s="7" t="inlineStr">
        <is>
          <t>5000年</t>
        </is>
      </c>
      <c r="D57" s="6" t="inlineStr">
        <is>
          <t>已耗</t>
        </is>
      </c>
      <c r="E57" s="7" t="inlineStr">
        <is>
          <t>3000年</t>
        </is>
      </c>
    </row>
    <row r="58"/>
    <row r="59">
      <c r="A59" s="5" t="inlineStr">
        <is>
          <t>背景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/>
    <row r="61" ht="80" customHeight="1">
      <c r="A61" s="6" t="inlineStr">
        <is>
          <t>故事</t>
        </is>
      </c>
      <c r="B61" s="8" t="inlineStr">
        <is>
          <t>獨孤無極是太虛劍宗宗主，大乘後期劍尊，地榜第一。三百年前獨自一劍斬斷西域魔氣之柱，被公認為「當世劍道第一人」。他如果想飛升，渡劫不是問題——但他不想。</t>
        </is>
      </c>
      <c r="C61" s="2" t="n"/>
      <c r="D61" s="2" t="n"/>
      <c r="E61" s="2" t="n"/>
      <c r="F61" s="2" t="n"/>
      <c r="G61" s="2" t="n"/>
      <c r="H61" s="2" t="n"/>
      <c r="I61" s="2" t="n"/>
      <c r="J61" s="3" t="n"/>
    </row>
  </sheetData>
  <mergeCells count="63">
    <mergeCell ref="B9:E9"/>
    <mergeCell ref="F29:J29"/>
    <mergeCell ref="D20:H20"/>
    <mergeCell ref="B25:C25"/>
    <mergeCell ref="B61:J61"/>
    <mergeCell ref="F34:J34"/>
    <mergeCell ref="B14:J14"/>
    <mergeCell ref="D19:H19"/>
    <mergeCell ref="B30:E30"/>
    <mergeCell ref="A53:J53"/>
    <mergeCell ref="B13:D13"/>
    <mergeCell ref="A4:J4"/>
    <mergeCell ref="B8:J8"/>
    <mergeCell ref="B22:C22"/>
    <mergeCell ref="B33:E33"/>
    <mergeCell ref="B18:C18"/>
    <mergeCell ref="D22:H22"/>
    <mergeCell ref="B36:E36"/>
    <mergeCell ref="H7:J7"/>
    <mergeCell ref="B32:E32"/>
    <mergeCell ref="B44:J44"/>
    <mergeCell ref="F30:J30"/>
    <mergeCell ref="B21:C21"/>
    <mergeCell ref="G9:J9"/>
    <mergeCell ref="D21:H21"/>
    <mergeCell ref="B35:E35"/>
    <mergeCell ref="B23:C23"/>
    <mergeCell ref="F36:J36"/>
    <mergeCell ref="A59:J59"/>
    <mergeCell ref="F33:J33"/>
    <mergeCell ref="A48:J48"/>
    <mergeCell ref="F32:J32"/>
    <mergeCell ref="F35:J35"/>
    <mergeCell ref="A11:J11"/>
    <mergeCell ref="B31:E31"/>
    <mergeCell ref="A1:J1"/>
    <mergeCell ref="B51:J51"/>
    <mergeCell ref="B45:J45"/>
    <mergeCell ref="B19:C19"/>
    <mergeCell ref="F38:J38"/>
    <mergeCell ref="B50:J50"/>
    <mergeCell ref="F31:J31"/>
    <mergeCell ref="A16:J16"/>
    <mergeCell ref="D18:H18"/>
    <mergeCell ref="F13:J13"/>
    <mergeCell ref="A41:J41"/>
    <mergeCell ref="B6:C6"/>
    <mergeCell ref="B24:C24"/>
    <mergeCell ref="D25:H25"/>
    <mergeCell ref="E55:J55"/>
    <mergeCell ref="F37:J37"/>
    <mergeCell ref="D24:H24"/>
    <mergeCell ref="B46:J46"/>
    <mergeCell ref="B20:C20"/>
    <mergeCell ref="A27:J27"/>
    <mergeCell ref="B38:E38"/>
    <mergeCell ref="E6:H6"/>
    <mergeCell ref="A2:J2"/>
    <mergeCell ref="B29:E29"/>
    <mergeCell ref="D23:H23"/>
    <mergeCell ref="B37:E37"/>
    <mergeCell ref="B43:J43"/>
    <mergeCell ref="B34:E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7" t="inlineStr">
        <is>
          <t>師父名稱</t>
        </is>
      </c>
      <c r="B1" s="17" t="inlineStr">
        <is>
          <t>獨孤無極</t>
        </is>
      </c>
    </row>
    <row r="2">
      <c r="A2" s="18" t="inlineStr">
        <is>
          <t>師父品級</t>
        </is>
      </c>
      <c r="B2" s="19" t="inlineStr">
        <is>
          <t>隱世高人</t>
        </is>
      </c>
    </row>
    <row r="3">
      <c r="A3" s="18" t="inlineStr">
        <is>
          <t>境界</t>
        </is>
      </c>
      <c r="B3" s="19" t="inlineStr">
        <is>
          <t>大乘初期 (Lv.29)</t>
        </is>
      </c>
    </row>
    <row r="4">
      <c r="A4" s="18" t="inlineStr">
        <is>
          <t>收徒上限</t>
        </is>
      </c>
      <c r="B4" s="19" t="inlineStr">
        <is>
          <t>1（極罕見）</t>
        </is>
      </c>
    </row>
    <row r="5">
      <c r="A5" s="18" t="n"/>
      <c r="B5" s="19" t="n"/>
    </row>
    <row r="6">
      <c r="A6" s="18" t="inlineStr">
        <is>
          <t>收徒條件</t>
        </is>
      </c>
      <c r="B6" s="19" t="inlineStr">
        <is>
          <t>金靈根 + 劍修；太虛劍宗真傳弟子；「太虛論劍」前3名；聲望≥70</t>
        </is>
      </c>
    </row>
    <row r="7">
      <c r="A7" s="18" t="n"/>
      <c r="B7" s="19" t="n"/>
    </row>
    <row r="8">
      <c r="A8" s="18" t="inlineStr">
        <is>
          <t>═══ 可傳授功法 ═══</t>
        </is>
      </c>
      <c r="B8" s="19" t="n"/>
    </row>
    <row r="9">
      <c r="A9" s="18" t="inlineStr">
        <is>
          <t>可傳心法</t>
        </is>
      </c>
      <c r="B9" s="19" t="inlineStr">
        <is>
          <t>《天罡正氣訣》(玄/金)
《太乙真訣》(地/金)
《混元仙典》(天/混沌)</t>
        </is>
      </c>
    </row>
    <row r="10">
      <c r="A10" s="18" t="inlineStr">
        <is>
          <t>心法條件</t>
        </is>
      </c>
      <c r="B10" s="19" t="inlineStr">
        <is>
          <t>真傳即可；信任；衣缽</t>
        </is>
      </c>
    </row>
    <row r="11">
      <c r="A11" s="18" t="inlineStr">
        <is>
          <t>可傳武技</t>
        </is>
      </c>
      <c r="B11" s="19" t="inlineStr">
        <is>
          <t>《裂天劍罡》(地/金)
《萬劍歸宗》(天/金)</t>
        </is>
      </c>
    </row>
    <row r="12">
      <c r="A12" s="18" t="inlineStr">
        <is>
          <t>武技條件</t>
        </is>
      </c>
      <c r="B12" s="19" t="inlineStr">
        <is>
          <t>親近；衣缽+「萬劍試煉」</t>
        </is>
      </c>
    </row>
    <row r="13">
      <c r="A13" s="18" t="inlineStr">
        <is>
          <t>可傳神通</t>
        </is>
      </c>
      <c r="B13" s="19" t="inlineStr">
        <is>
          <t>《金剛法相》(玄/土金)
《鬥轉星移》(天/空間)
《法天象地》(天/土)</t>
        </is>
      </c>
    </row>
    <row r="14">
      <c r="A14" s="18" t="inlineStr">
        <is>
          <t>神通條件</t>
        </is>
      </c>
      <c r="B14" s="19" t="inlineStr">
        <is>
          <t>信任；如子；衣缽</t>
        </is>
      </c>
    </row>
    <row r="15">
      <c r="A15" s="18" t="n"/>
      <c r="B15" s="19" t="n"/>
    </row>
    <row r="16">
      <c r="A16" s="18" t="inlineStr">
        <is>
          <t>═══ 資源與援助 ═══</t>
        </is>
      </c>
      <c r="B16" s="19" t="n"/>
    </row>
    <row r="17">
      <c r="A17" s="18" t="inlineStr">
        <is>
          <t>每月資源供給</t>
        </is>
      </c>
      <c r="B17" s="19" t="inlineStr">
        <is>
          <t>初識: 靈石5,000/月+宗門丹藥(真傳標準)
信任: 靈石10,000/月+地級劍器自由選
親近: 靈石20,000/月+洗劍池閉關(×1.5)
如子: 天級劍器×1
衣缽: 繼承宗主之位</t>
        </is>
      </c>
    </row>
    <row r="18">
      <c r="A18" s="18" t="inlineStr">
        <is>
          <t>特殊援助</t>
        </is>
      </c>
      <c r="B18" s="19" t="inlineStr">
        <is>
          <t>劍意灌頂(每境界升1級劍法)；天下第一劍名號(NPC態度+1)；生死劍域(必死時觸發/3年)；衣缽傳承(劍道種子)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7" t="inlineStr">
        <is>
          <t>傳承名稱</t>
        </is>
      </c>
      <c r="B1" s="17" t="inlineStr">
        <is>
          <t>劍道種子</t>
        </is>
      </c>
    </row>
    <row r="2">
      <c r="A2" s="18" t="inlineStr">
        <is>
          <t>傳承類型</t>
        </is>
      </c>
      <c r="B2" s="19" t="inlineStr">
        <is>
          <t>衣缽級永久傳承</t>
        </is>
      </c>
    </row>
    <row r="3">
      <c r="A3" s="18" t="inlineStr">
        <is>
          <t>觸發條件</t>
        </is>
      </c>
      <c r="B3" s="19" t="inlineStr">
        <is>
          <t>親密度 ≥ 衣缽；弟子為劍修</t>
        </is>
      </c>
    </row>
    <row r="4">
      <c r="A4" s="18" t="n"/>
      <c r="B4" s="19" t="n"/>
    </row>
    <row r="5">
      <c r="A5" s="18" t="inlineStr">
        <is>
          <t>效果</t>
        </is>
      </c>
      <c r="B5" s="19" t="inlineStr">
        <is>
          <t>選擇一門已修習的劍類功法，直接升至 Lv.Max（上限），無需消耗修為和時間</t>
        </is>
      </c>
    </row>
    <row r="6">
      <c r="A6" s="18" t="n"/>
      <c r="B6" s="19" t="inlineStr">
        <is>
          <t>此後該功法附帶「無極劍意」：傷害額外 +2d6（無視防禦）</t>
        </is>
      </c>
    </row>
    <row r="7">
      <c r="A7" s="18" t="n"/>
      <c r="B7" s="19" t="n"/>
    </row>
    <row r="8">
      <c r="A8" s="18" t="inlineStr">
        <is>
          <t>限制</t>
        </is>
      </c>
      <c r="B8" s="19" t="inlineStr">
        <is>
          <t>每名弟子僅能獲得一次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天機·修真心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玄真長老 — NPC卡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/>
    <row r="4">
      <c r="A4" s="5" t="inlineStr">
        <is>
          <t>基本資訊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/>
    <row r="6">
      <c r="A6" s="6" t="inlineStr">
        <is>
          <t>姓名</t>
        </is>
      </c>
      <c r="B6" s="7" t="inlineStr">
        <is>
          <t>玄真長老</t>
        </is>
      </c>
      <c r="C6" s="3" t="n"/>
      <c r="D6" s="6" t="inlineStr">
        <is>
          <t>稱號</t>
        </is>
      </c>
      <c r="E6" s="8" t="inlineStr">
        <is>
          <t>元嬰期戒律峰首座</t>
        </is>
      </c>
      <c r="F6" s="2" t="n"/>
      <c r="G6" s="2" t="n"/>
      <c r="H6" s="3" t="n"/>
      <c r="I6" s="6" t="inlineStr">
        <is>
          <t>境界</t>
        </is>
      </c>
      <c r="J6" s="7" t="inlineStr">
        <is>
          <t>元嬰·圓(Lv.16)</t>
        </is>
      </c>
    </row>
    <row r="7">
      <c r="A7" s="6" t="inlineStr">
        <is>
          <t>性別</t>
        </is>
      </c>
      <c r="B7" s="7" t="inlineStr">
        <is>
          <t>男</t>
        </is>
      </c>
      <c r="C7" s="6" t="inlineStr">
        <is>
          <t>年齡</t>
        </is>
      </c>
      <c r="D7" s="7" t="n">
        <v>350</v>
      </c>
      <c r="E7" s="6" t="inlineStr">
        <is>
          <t>Lv</t>
        </is>
      </c>
      <c r="F7" s="7" t="n">
        <v>16</v>
      </c>
      <c r="G7" s="6" t="inlineStr">
        <is>
          <t>修為</t>
        </is>
      </c>
      <c r="H7" s="7" t="inlineStr">
        <is>
          <t>—</t>
        </is>
      </c>
      <c r="I7" s="2" t="n"/>
      <c r="J7" s="3" t="n"/>
    </row>
    <row r="8">
      <c r="A8" s="6" t="inlineStr">
        <is>
          <t>出身</t>
        </is>
      </c>
      <c r="B8" s="8" t="inlineStr">
        <is>
          <t>太虛劍宗（戒律峰首座）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6" t="inlineStr">
        <is>
          <t>宗門</t>
        </is>
      </c>
      <c r="B9" s="8" t="inlineStr">
        <is>
          <t>太虛劍宗</t>
        </is>
      </c>
      <c r="C9" s="2" t="n"/>
      <c r="D9" s="2" t="n"/>
      <c r="E9" s="3" t="n"/>
      <c r="F9" s="6" t="inlineStr">
        <is>
          <t>特殊</t>
        </is>
      </c>
      <c r="G9" s="8" t="inlineStr">
        <is>
          <t>無</t>
        </is>
      </c>
      <c r="H9" s="2" t="n"/>
      <c r="I9" s="2" t="n"/>
      <c r="J9" s="3" t="n"/>
    </row>
    <row r="10"/>
    <row r="11">
      <c r="A11" s="5" t="inlineStr">
        <is>
          <t>靈根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/>
    <row r="13">
      <c r="A13" s="6" t="inlineStr">
        <is>
          <t>類型</t>
        </is>
      </c>
      <c r="B13" s="7" t="inlineStr">
        <is>
          <t>金靈根</t>
        </is>
      </c>
      <c r="C13" s="2" t="n"/>
      <c r="D13" s="3" t="n"/>
      <c r="E13" s="6" t="inlineStr">
        <is>
          <t>品質</t>
        </is>
      </c>
      <c r="F13" s="7" t="inlineStr">
        <is>
          <t>極品</t>
        </is>
      </c>
      <c r="G13" s="2" t="n"/>
      <c r="H13" s="2" t="n"/>
      <c r="I13" s="2" t="n"/>
      <c r="J13" s="3" t="n"/>
    </row>
    <row r="14">
      <c r="A14" s="6" t="inlineStr">
        <is>
          <t>加成</t>
        </is>
      </c>
      <c r="B14" s="8" t="inlineStr">
        <is>
          <t>根骨+8 金系功法威力+15%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5"/>
    <row r="16">
      <c r="A16" s="5" t="inlineStr">
        <is>
          <t>八大屬性 (初始250點自由分配)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/>
    <row r="18">
      <c r="A18" s="6" t="inlineStr">
        <is>
          <t>根骨 GUG</t>
        </is>
      </c>
      <c r="B18" s="7" t="n">
        <v>72</v>
      </c>
      <c r="C18" s="3" t="n"/>
      <c r="D18" s="9" t="inlineStr">
        <is>
          <t>修煉/突破</t>
        </is>
      </c>
      <c r="E18" s="2" t="n"/>
      <c r="F18" s="2" t="n"/>
      <c r="G18" s="2" t="n"/>
      <c r="H18" s="3" t="n"/>
      <c r="I18" s="10">
        <f>FLOOR(B18/5,1)</f>
        <v/>
      </c>
      <c r="J18" s="11" t="inlineStr">
        <is>
          <t>加值÷5</t>
        </is>
      </c>
    </row>
    <row r="19">
      <c r="A19" s="6" t="inlineStr">
        <is>
          <t>悟性 WUX</t>
        </is>
      </c>
      <c r="B19" s="7" t="n">
        <v>60</v>
      </c>
      <c r="C19" s="3" t="n"/>
      <c r="D19" s="9" t="inlineStr">
        <is>
          <t>學習/破解</t>
        </is>
      </c>
      <c r="E19" s="2" t="n"/>
      <c r="F19" s="2" t="n"/>
      <c r="G19" s="2" t="n"/>
      <c r="H19" s="3" t="n"/>
      <c r="I19" s="10">
        <f>FLOOR(B19/5,1)</f>
        <v/>
      </c>
      <c r="J19" s="11" t="inlineStr">
        <is>
          <t>加值÷5</t>
        </is>
      </c>
    </row>
    <row r="20">
      <c r="A20" s="6" t="inlineStr">
        <is>
          <t>神識 SHS</t>
        </is>
      </c>
      <c r="B20" s="7" t="n">
        <v>65</v>
      </c>
      <c r="C20" s="3" t="n"/>
      <c r="D20" s="9" t="inlineStr">
        <is>
          <t>探查/先攻</t>
        </is>
      </c>
      <c r="E20" s="2" t="n"/>
      <c r="F20" s="2" t="n"/>
      <c r="G20" s="2" t="n"/>
      <c r="H20" s="3" t="n"/>
      <c r="I20" s="10">
        <f>FLOOR(B20/5,1)</f>
        <v/>
      </c>
      <c r="J20" s="11" t="inlineStr">
        <is>
          <t>加值÷5</t>
        </is>
      </c>
    </row>
    <row r="21">
      <c r="A21" s="6" t="inlineStr">
        <is>
          <t>肉身 RSS</t>
        </is>
      </c>
      <c r="B21" s="7" t="n">
        <v>68</v>
      </c>
      <c r="C21" s="3" t="n"/>
      <c r="D21" s="9" t="inlineStr">
        <is>
          <t>生命值（HP）/近戰</t>
        </is>
      </c>
      <c r="E21" s="2" t="n"/>
      <c r="F21" s="2" t="n"/>
      <c r="G21" s="2" t="n"/>
      <c r="H21" s="3" t="n"/>
      <c r="I21" s="10">
        <f>FLOOR(B21/5,1)</f>
        <v/>
      </c>
      <c r="J21" s="11" t="inlineStr">
        <is>
          <t>加值÷5</t>
        </is>
      </c>
    </row>
    <row r="22">
      <c r="A22" s="6" t="inlineStr">
        <is>
          <t>靈力 LIL</t>
        </is>
      </c>
      <c r="B22" s="7" t="n">
        <v>58</v>
      </c>
      <c r="C22" s="3" t="n"/>
      <c r="D22" s="9" t="inlineStr">
        <is>
          <t>法術/真氣</t>
        </is>
      </c>
      <c r="E22" s="2" t="n"/>
      <c r="F22" s="2" t="n"/>
      <c r="G22" s="2" t="n"/>
      <c r="H22" s="3" t="n"/>
      <c r="I22" s="10">
        <f>FLOOR(B22/5,1)</f>
        <v/>
      </c>
      <c r="J22" s="11" t="inlineStr">
        <is>
          <t>加值÷5</t>
        </is>
      </c>
    </row>
    <row r="23">
      <c r="A23" s="6" t="inlineStr">
        <is>
          <t>身法 SHF</t>
        </is>
      </c>
      <c r="B23" s="7" t="n">
        <v>55</v>
      </c>
      <c r="C23" s="3" t="n"/>
      <c r="D23" s="9" t="inlineStr">
        <is>
          <t>閃避/移動</t>
        </is>
      </c>
      <c r="E23" s="2" t="n"/>
      <c r="F23" s="2" t="n"/>
      <c r="G23" s="2" t="n"/>
      <c r="H23" s="3" t="n"/>
      <c r="I23" s="10">
        <f>FLOOR(B23/5,1)</f>
        <v/>
      </c>
      <c r="J23" s="11" t="inlineStr">
        <is>
          <t>加值÷5</t>
        </is>
      </c>
    </row>
    <row r="24">
      <c r="A24" s="6" t="inlineStr">
        <is>
          <t>機緣 JIY</t>
        </is>
      </c>
      <c r="B24" s="7" t="n">
        <v>40</v>
      </c>
      <c r="C24" s="3" t="n"/>
      <c r="D24" s="9" t="inlineStr">
        <is>
          <t>探索/掉落</t>
        </is>
      </c>
      <c r="E24" s="2" t="n"/>
      <c r="F24" s="2" t="n"/>
      <c r="G24" s="2" t="n"/>
      <c r="H24" s="3" t="n"/>
      <c r="I24" s="10">
        <f>FLOOR(B24/5,1)</f>
        <v/>
      </c>
      <c r="J24" s="11" t="inlineStr">
        <is>
          <t>加值÷5</t>
        </is>
      </c>
    </row>
    <row r="25">
      <c r="A25" s="6" t="inlineStr">
        <is>
          <t>道心 DAX</t>
        </is>
      </c>
      <c r="B25" s="7" t="n">
        <v>70</v>
      </c>
      <c r="C25" s="3" t="n"/>
      <c r="D25" s="9" t="inlineStr">
        <is>
          <t>心魔/渡劫</t>
        </is>
      </c>
      <c r="E25" s="2" t="n"/>
      <c r="F25" s="2" t="n"/>
      <c r="G25" s="2" t="n"/>
      <c r="H25" s="3" t="n"/>
      <c r="I25" s="10">
        <f>FLOOR(B25/5,1)</f>
        <v/>
      </c>
      <c r="J25" s="11" t="inlineStr">
        <is>
          <t>加值÷5</t>
        </is>
      </c>
    </row>
    <row r="26"/>
    <row r="27">
      <c r="A27" s="5" t="inlineStr">
        <is>
          <t>派生屬性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/>
    <row r="29">
      <c r="A29" s="6" t="inlineStr">
        <is>
          <t>生命值 HP</t>
        </is>
      </c>
      <c r="B29" s="12">
        <f>3.0*B21</f>
        <v/>
      </c>
      <c r="C29" s="2" t="n"/>
      <c r="D29" s="2" t="n"/>
      <c r="E29" s="3" t="n"/>
      <c r="F29" s="13" t="inlineStr">
        <is>
          <t>肉身×境界係數</t>
        </is>
      </c>
      <c r="G29" s="2" t="n"/>
      <c r="H29" s="2" t="n"/>
      <c r="I29" s="2" t="n"/>
      <c r="J29" s="3" t="n"/>
    </row>
    <row r="30">
      <c r="A30" s="14" t="inlineStr">
        <is>
          <t>真氣池</t>
        </is>
      </c>
      <c r="B30" s="10">
        <f>2.0*B22</f>
        <v/>
      </c>
      <c r="C30" s="2" t="n"/>
      <c r="D30" s="2" t="n"/>
      <c r="E30" s="3" t="n"/>
      <c r="F30" s="9" t="inlineStr">
        <is>
          <t>靈力×境界係數</t>
        </is>
      </c>
      <c r="G30" s="2" t="n"/>
      <c r="H30" s="2" t="n"/>
      <c r="I30" s="2" t="n"/>
      <c r="J30" s="3" t="n"/>
    </row>
    <row r="31">
      <c r="A31" s="6" t="inlineStr">
        <is>
          <t>先攻值</t>
        </is>
      </c>
      <c r="B31" s="12">
        <f>B20+FLOOR(B23/5,1)</f>
        <v/>
      </c>
      <c r="C31" s="2" t="n"/>
      <c r="D31" s="2" t="n"/>
      <c r="E31" s="3" t="n"/>
      <c r="F31" s="13" t="inlineStr">
        <is>
          <t>神識+floor(身法/5)</t>
        </is>
      </c>
      <c r="G31" s="2" t="n"/>
      <c r="H31" s="2" t="n"/>
      <c r="I31" s="2" t="n"/>
      <c r="J31" s="3" t="n"/>
    </row>
    <row r="32">
      <c r="A32" s="14" t="inlineStr">
        <is>
          <t>物理防禦</t>
        </is>
      </c>
      <c r="B32" s="15" t="n">
        <v>30</v>
      </c>
      <c r="C32" s="2" t="n"/>
      <c r="D32" s="2" t="n"/>
      <c r="E32" s="3" t="n"/>
      <c r="F32" s="9" t="inlineStr">
        <is>
          <t>法袍+功法</t>
        </is>
      </c>
      <c r="G32" s="2" t="n"/>
      <c r="H32" s="2" t="n"/>
      <c r="I32" s="2" t="n"/>
      <c r="J32" s="3" t="n"/>
    </row>
    <row r="33">
      <c r="A33" s="6" t="inlineStr">
        <is>
          <t>法術抗性</t>
        </is>
      </c>
      <c r="B33" s="16" t="n">
        <v>35</v>
      </c>
      <c r="C33" s="2" t="n"/>
      <c r="D33" s="2" t="n"/>
      <c r="E33" s="3" t="n"/>
      <c r="F33" s="13" t="inlineStr">
        <is>
          <t>法袍+功法</t>
        </is>
      </c>
      <c r="G33" s="2" t="n"/>
      <c r="H33" s="2" t="n"/>
      <c r="I33" s="2" t="n"/>
      <c r="J33" s="3" t="n"/>
    </row>
    <row r="34">
      <c r="A34" s="14" t="inlineStr">
        <is>
          <t>護體真氣</t>
        </is>
      </c>
      <c r="B34" s="15" t="n">
        <v>50</v>
      </c>
      <c r="C34" s="2" t="n"/>
      <c r="D34" s="2" t="n"/>
      <c r="E34" s="3" t="n"/>
      <c r="F34" s="9" t="inlineStr">
        <is>
          <t>心法+法寶</t>
        </is>
      </c>
      <c r="G34" s="2" t="n"/>
      <c r="H34" s="2" t="n"/>
      <c r="I34" s="2" t="n"/>
      <c r="J34" s="3" t="n"/>
    </row>
    <row r="35">
      <c r="A35" s="6" t="inlineStr">
        <is>
          <t>閃避</t>
        </is>
      </c>
      <c r="B35" s="16" t="n">
        <v>55</v>
      </c>
      <c r="C35" s="2" t="n"/>
      <c r="D35" s="2" t="n"/>
      <c r="E35" s="3" t="n"/>
      <c r="F35" s="13" t="inlineStr">
        <is>
          <t>身法值</t>
        </is>
      </c>
      <c r="G35" s="2" t="n"/>
      <c r="H35" s="2" t="n"/>
      <c r="I35" s="2" t="n"/>
      <c r="J35" s="3" t="n"/>
    </row>
    <row r="36">
      <c r="A36" s="14" t="inlineStr">
        <is>
          <t>移動</t>
        </is>
      </c>
      <c r="B36" s="15" t="inlineStr">
        <is>
          <t>2區</t>
        </is>
      </c>
      <c r="C36" s="2" t="n"/>
      <c r="D36" s="2" t="n"/>
      <c r="E36" s="3" t="n"/>
      <c r="F36" s="9" t="inlineStr">
        <is>
          <t>根據身法</t>
        </is>
      </c>
      <c r="G36" s="2" t="n"/>
      <c r="H36" s="2" t="n"/>
      <c r="I36" s="2" t="n"/>
      <c r="J36" s="3" t="n"/>
    </row>
    <row r="37">
      <c r="A37" s="6" t="inlineStr">
        <is>
          <t>大成功</t>
        </is>
      </c>
      <c r="B37" s="12">
        <f>3+FLOOR((G7-1)/3,1)</f>
        <v/>
      </c>
      <c r="C37" s="2" t="n"/>
      <c r="D37" s="2" t="n"/>
      <c r="E37" s="3" t="n"/>
      <c r="F37" s="13" t="inlineStr">
        <is>
          <t>1d100≤此值</t>
        </is>
      </c>
      <c r="G37" s="2" t="n"/>
      <c r="H37" s="2" t="n"/>
      <c r="I37" s="2" t="n"/>
      <c r="J37" s="3" t="n"/>
    </row>
    <row r="38">
      <c r="A38" s="14" t="inlineStr">
        <is>
          <t>大失敗</t>
        </is>
      </c>
      <c r="B38" s="15" t="inlineStr">
        <is>
          <t>96-00</t>
        </is>
      </c>
      <c r="C38" s="2" t="n"/>
      <c r="D38" s="2" t="n"/>
      <c r="E38" s="3" t="n"/>
      <c r="F38" s="9" t="inlineStr">
        <is>
          <t>固定5%</t>
        </is>
      </c>
      <c r="G38" s="2" t="n"/>
      <c r="H38" s="2" t="n"/>
      <c r="I38" s="2" t="n"/>
      <c r="J38" s="3" t="n"/>
    </row>
    <row r="39"/>
    <row r="40"/>
    <row r="41">
      <c r="A41" s="5" t="inlineStr">
        <is>
          <t>裝備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/>
    <row r="43">
      <c r="A43" s="6" t="inlineStr">
        <is>
          <t>武器</t>
        </is>
      </c>
      <c r="B43" s="8" t="inlineStr">
        <is>
          <t>紫電劍（地級，2d8+肉身/6，附雷屬麻痺）</t>
        </is>
      </c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6" t="inlineStr">
        <is>
          <t>法袍</t>
        </is>
      </c>
      <c r="B44" s="8" t="inlineStr">
        <is>
          <t>八卦道袍（地級，防+20，法抗+30，道心+15）</t>
        </is>
      </c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6" t="inlineStr">
        <is>
          <t>法寶</t>
        </is>
      </c>
      <c r="B45" s="8" t="inlineStr">
        <is>
          <t>—</t>
        </is>
      </c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6" t="inlineStr">
        <is>
          <t>飾品</t>
        </is>
      </c>
      <c r="B46" s="8" t="inlineStr">
        <is>
          <t>—</t>
        </is>
      </c>
      <c r="C46" s="2" t="n"/>
      <c r="D46" s="2" t="n"/>
      <c r="E46" s="2" t="n"/>
      <c r="F46" s="2" t="n"/>
      <c r="G46" s="2" t="n"/>
      <c r="H46" s="2" t="n"/>
      <c r="I46" s="2" t="n"/>
      <c r="J46" s="3" t="n"/>
    </row>
    <row r="47"/>
    <row r="48">
      <c r="A48" s="5" t="inlineStr">
        <is>
          <t>功法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/>
    <row r="50">
      <c r="A50" s="6" t="inlineStr">
        <is>
          <t>心法</t>
        </is>
      </c>
      <c r="B50" s="8" t="inlineStr">
        <is>
          <t>《天罡正氣訣》Lv.5、《金剛鍛體訣》Lv.3</t>
        </is>
      </c>
      <c r="C50" s="2" t="n"/>
      <c r="D50" s="2" t="n"/>
      <c r="E50" s="2" t="n"/>
      <c r="F50" s="2" t="n"/>
      <c r="G50" s="2" t="n"/>
      <c r="H50" s="2" t="n"/>
      <c r="I50" s="2" t="n"/>
      <c r="J50" s="3" t="n"/>
    </row>
    <row r="51">
      <c r="A51" s="6" t="inlineStr">
        <is>
          <t>武技</t>
        </is>
      </c>
      <c r="B51" s="8" t="inlineStr">
        <is>
          <t>《清風十三式》Lv.5、《裂天劍罡》Lv.3</t>
        </is>
      </c>
      <c r="C51" s="2" t="n"/>
      <c r="D51" s="2" t="n"/>
      <c r="E51" s="2" t="n"/>
      <c r="F51" s="2" t="n"/>
      <c r="G51" s="2" t="n"/>
      <c r="H51" s="2" t="n"/>
      <c r="I51" s="2" t="n"/>
      <c r="J51" s="3" t="n"/>
    </row>
    <row r="52"/>
    <row r="53">
      <c r="A53" s="5" t="inlineStr">
        <is>
          <t>物品與狀態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</row>
    <row r="54"/>
    <row r="55">
      <c r="A55" s="6" t="inlineStr">
        <is>
          <t>靈石</t>
        </is>
      </c>
      <c r="B55" s="7" t="n">
        <v>50000</v>
      </c>
      <c r="D55" s="6" t="inlineStr">
        <is>
          <t>丹藥</t>
        </is>
      </c>
      <c r="E55" s="8" t="inlineStr">
        <is>
          <t>地級丹藥×20</t>
        </is>
      </c>
      <c r="F55" s="2" t="n"/>
      <c r="G55" s="2" t="n"/>
      <c r="H55" s="2" t="n"/>
      <c r="I55" s="2" t="n"/>
      <c r="J55" s="3" t="n"/>
    </row>
    <row r="56">
      <c r="A56" s="6" t="inlineStr">
        <is>
          <t>藥毒</t>
        </is>
      </c>
      <c r="B56" s="15" t="inlineStr">
        <is>
          <t>5/100</t>
        </is>
      </c>
      <c r="D56" s="6" t="inlineStr">
        <is>
          <t>心魔</t>
        </is>
      </c>
      <c r="E56" s="15" t="inlineStr">
        <is>
          <t>10/100</t>
        </is>
      </c>
    </row>
    <row r="57">
      <c r="A57" s="6" t="inlineStr">
        <is>
          <t>壽元</t>
        </is>
      </c>
      <c r="B57" s="7" t="inlineStr">
        <is>
          <t>600年</t>
        </is>
      </c>
      <c r="D57" s="6" t="inlineStr">
        <is>
          <t>已耗</t>
        </is>
      </c>
      <c r="E57" s="7" t="inlineStr">
        <is>
          <t>350年</t>
        </is>
      </c>
    </row>
    <row r="58"/>
    <row r="59">
      <c r="A59" s="5" t="inlineStr">
        <is>
          <t>背景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/>
    <row r="61" ht="80" customHeight="1">
      <c r="A61" s="6" t="inlineStr">
        <is>
          <t>故事</t>
        </is>
      </c>
      <c r="B61" s="8" t="inlineStr">
        <is>
          <t>玄真長老是太虛劍宗戒律峰首座，元嬰·圓滿修為。他鐵面無私但內心正直，對門規一絲不苟。是玩家在太虛劍宗中最可能接觸的高層NPC。</t>
        </is>
      </c>
      <c r="C61" s="2" t="n"/>
      <c r="D61" s="2" t="n"/>
      <c r="E61" s="2" t="n"/>
      <c r="F61" s="2" t="n"/>
      <c r="G61" s="2" t="n"/>
      <c r="H61" s="2" t="n"/>
      <c r="I61" s="2" t="n"/>
      <c r="J61" s="3" t="n"/>
    </row>
  </sheetData>
  <mergeCells count="63">
    <mergeCell ref="B9:E9"/>
    <mergeCell ref="F29:J29"/>
    <mergeCell ref="D20:H20"/>
    <mergeCell ref="B25:C25"/>
    <mergeCell ref="B61:J61"/>
    <mergeCell ref="F34:J34"/>
    <mergeCell ref="B14:J14"/>
    <mergeCell ref="D19:H19"/>
    <mergeCell ref="B30:E30"/>
    <mergeCell ref="A53:J53"/>
    <mergeCell ref="B13:D13"/>
    <mergeCell ref="A4:J4"/>
    <mergeCell ref="B8:J8"/>
    <mergeCell ref="B22:C22"/>
    <mergeCell ref="B33:E33"/>
    <mergeCell ref="B18:C18"/>
    <mergeCell ref="D22:H22"/>
    <mergeCell ref="H7:J7"/>
    <mergeCell ref="B36:E36"/>
    <mergeCell ref="B32:E32"/>
    <mergeCell ref="B44:J44"/>
    <mergeCell ref="F30:J30"/>
    <mergeCell ref="B21:C21"/>
    <mergeCell ref="G9:J9"/>
    <mergeCell ref="D21:H21"/>
    <mergeCell ref="B35:E35"/>
    <mergeCell ref="B23:C23"/>
    <mergeCell ref="F36:J36"/>
    <mergeCell ref="A59:J59"/>
    <mergeCell ref="F33:J33"/>
    <mergeCell ref="A48:J48"/>
    <mergeCell ref="F32:J32"/>
    <mergeCell ref="F35:J35"/>
    <mergeCell ref="A11:J11"/>
    <mergeCell ref="B31:E31"/>
    <mergeCell ref="A1:J1"/>
    <mergeCell ref="B51:J51"/>
    <mergeCell ref="B45:J45"/>
    <mergeCell ref="B19:C19"/>
    <mergeCell ref="F38:J38"/>
    <mergeCell ref="B50:J50"/>
    <mergeCell ref="F31:J31"/>
    <mergeCell ref="A16:J16"/>
    <mergeCell ref="D18:H18"/>
    <mergeCell ref="F13:J13"/>
    <mergeCell ref="A41:J41"/>
    <mergeCell ref="B6:C6"/>
    <mergeCell ref="B24:C24"/>
    <mergeCell ref="D25:H25"/>
    <mergeCell ref="E55:J55"/>
    <mergeCell ref="F37:J37"/>
    <mergeCell ref="D24:H24"/>
    <mergeCell ref="B46:J46"/>
    <mergeCell ref="B20:C20"/>
    <mergeCell ref="A27:J27"/>
    <mergeCell ref="B38:E38"/>
    <mergeCell ref="E6:H6"/>
    <mergeCell ref="A2:J2"/>
    <mergeCell ref="B29:E29"/>
    <mergeCell ref="D23:H23"/>
    <mergeCell ref="B37:E37"/>
    <mergeCell ref="B43:J43"/>
    <mergeCell ref="B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7" t="inlineStr">
        <is>
          <t>師父名稱</t>
        </is>
      </c>
      <c r="B1" s="17" t="inlineStr">
        <is>
          <t>玄真子</t>
        </is>
      </c>
    </row>
    <row r="2">
      <c r="A2" s="18" t="inlineStr">
        <is>
          <t>師父品級</t>
        </is>
      </c>
      <c r="B2" s="19" t="inlineStr">
        <is>
          <t>長老級</t>
        </is>
      </c>
    </row>
    <row r="3">
      <c r="A3" s="18" t="inlineStr">
        <is>
          <t>境界</t>
        </is>
      </c>
      <c r="B3" s="19" t="inlineStr">
        <is>
          <t>元嬰後期 (Lv.15)</t>
        </is>
      </c>
    </row>
    <row r="4">
      <c r="A4" s="18" t="inlineStr">
        <is>
          <t>收徒上限</t>
        </is>
      </c>
      <c r="B4" s="19" t="inlineStr">
        <is>
          <t>3</t>
        </is>
      </c>
    </row>
    <row r="5">
      <c r="A5" s="18" t="n"/>
      <c r="B5" s="19" t="n"/>
    </row>
    <row r="6">
      <c r="A6" s="18" t="inlineStr">
        <is>
          <t>收徒條件</t>
        </is>
      </c>
      <c r="B6" s="19" t="inlineStr">
        <is>
          <t>金靈根/劍修；通過「洗劍池試劍」；太虛劍宗弟子優先</t>
        </is>
      </c>
    </row>
    <row r="7">
      <c r="A7" s="18" t="n"/>
      <c r="B7" s="19" t="n"/>
    </row>
    <row r="8">
      <c r="A8" s="18" t="inlineStr">
        <is>
          <t>═══ 可傳授功法 ═══</t>
        </is>
      </c>
      <c r="B8" s="19" t="n"/>
    </row>
    <row r="9">
      <c r="A9" s="18" t="inlineStr">
        <is>
          <t>可傳心法</t>
        </is>
      </c>
      <c r="B9" s="19" t="inlineStr">
        <is>
          <t>《天罡正氣訣》(玄/金)
《金剛鍛體訣》(黃/金土)
《太乙真訣》(地/金)</t>
        </is>
      </c>
    </row>
    <row r="10">
      <c r="A10" s="18" t="inlineStr">
        <is>
          <t>心法條件</t>
        </is>
      </c>
      <c r="B10" s="19" t="inlineStr">
        <is>
          <t>正義陣營/初識；無/信任；道心≥30/親近</t>
        </is>
      </c>
    </row>
    <row r="11">
      <c r="A11" s="18" t="inlineStr">
        <is>
          <t>可傳武技</t>
        </is>
      </c>
      <c r="B11" s="19" t="inlineStr">
        <is>
          <t>《基礎劍法》(黃/金)
《破空指》(黃/金)
《青蓮劍訣》(玄/木)
《裂天劍罡》(地/金)</t>
        </is>
      </c>
    </row>
    <row r="12">
      <c r="A12" s="18" t="inlineStr">
        <is>
          <t>武技條件</t>
        </is>
      </c>
      <c r="B12" s="19" t="inlineStr">
        <is>
          <t>無條件；金靈根/初識；劍類/信任；如子+試煉</t>
        </is>
      </c>
    </row>
    <row r="13">
      <c r="A13" s="18" t="inlineStr">
        <is>
          <t>可傳神通</t>
        </is>
      </c>
      <c r="B13" s="19" t="inlineStr">
        <is>
          <t>《金剛法相》(玄/土金)</t>
        </is>
      </c>
    </row>
    <row r="14">
      <c r="A14" s="18" t="inlineStr">
        <is>
          <t>神通條件</t>
        </is>
      </c>
      <c r="B14" s="19" t="inlineStr">
        <is>
          <t>親密度≥親近</t>
        </is>
      </c>
    </row>
    <row r="15">
      <c r="A15" s="18" t="n"/>
      <c r="B15" s="19" t="n"/>
    </row>
    <row r="16">
      <c r="A16" s="18" t="inlineStr">
        <is>
          <t>═══ 資源與援助 ═══</t>
        </is>
      </c>
      <c r="B16" s="19" t="n"/>
    </row>
    <row r="17">
      <c r="A17" s="18" t="inlineStr">
        <is>
          <t>每月資源供給</t>
        </is>
      </c>
      <c r="B17" s="19" t="inlineStr">
        <is>
          <t>初識: 靈石500+回靈丹×3
信任: 靈石1,000+大回靈丹×2+療傷丹×2
親近: 靈石2,000+超級回靈丹×1+內門優先
如子: 靈石3,000+地級劍器</t>
        </is>
      </c>
    </row>
    <row r="18">
      <c r="A18" s="18" t="inlineStr">
        <is>
          <t>特殊援助</t>
        </is>
      </c>
      <c r="B18" s="19" t="inlineStr">
        <is>
          <t>劍道指點(+10%)；戒律庇護(1次/年)；天劫護法(突破+15)；劍心傳承(衣缽/難度（DC）80)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天機·修真心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秦羽 — NPC卡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/>
    <row r="4">
      <c r="A4" s="5" t="inlineStr">
        <is>
          <t>基本資訊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/>
    <row r="6">
      <c r="A6" s="6" t="inlineStr">
        <is>
          <t>姓名</t>
        </is>
      </c>
      <c r="B6" s="7" t="inlineStr">
        <is>
          <t>秦羽</t>
        </is>
      </c>
      <c r="C6" s="3" t="n"/>
      <c r="D6" s="6" t="inlineStr">
        <is>
          <t>稱號</t>
        </is>
      </c>
      <c r="E6" s="8" t="inlineStr">
        <is>
          <t>太虛劍宗築基師兄</t>
        </is>
      </c>
      <c r="F6" s="2" t="n"/>
      <c r="G6" s="2" t="n"/>
      <c r="H6" s="3" t="n"/>
      <c r="I6" s="6" t="inlineStr">
        <is>
          <t>境界</t>
        </is>
      </c>
      <c r="J6" s="7" t="inlineStr">
        <is>
          <t>金丹·初(Lv.9)</t>
        </is>
      </c>
    </row>
    <row r="7">
      <c r="A7" s="6" t="inlineStr">
        <is>
          <t>性別</t>
        </is>
      </c>
      <c r="B7" s="7" t="inlineStr">
        <is>
          <t>男</t>
        </is>
      </c>
      <c r="C7" s="6" t="inlineStr">
        <is>
          <t>年齡</t>
        </is>
      </c>
      <c r="D7" s="7" t="n">
        <v>28</v>
      </c>
      <c r="E7" s="6" t="inlineStr">
        <is>
          <t>Lv</t>
        </is>
      </c>
      <c r="F7" s="7" t="n">
        <v>9</v>
      </c>
      <c r="G7" s="6" t="inlineStr">
        <is>
          <t>修為</t>
        </is>
      </c>
      <c r="H7" s="7" t="inlineStr">
        <is>
          <t>—</t>
        </is>
      </c>
      <c r="I7" s="2" t="n"/>
      <c r="J7" s="3" t="n"/>
    </row>
    <row r="8">
      <c r="A8" s="6" t="inlineStr">
        <is>
          <t>出身</t>
        </is>
      </c>
      <c r="B8" s="8" t="inlineStr">
        <is>
          <t>太虛劍宗內門弟子（真傳候補）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6" t="inlineStr">
        <is>
          <t>宗門</t>
        </is>
      </c>
      <c r="B9" s="8" t="inlineStr">
        <is>
          <t>太虛劍宗</t>
        </is>
      </c>
      <c r="C9" s="2" t="n"/>
      <c r="D9" s="2" t="n"/>
      <c r="E9" s="3" t="n"/>
      <c r="F9" s="6" t="inlineStr">
        <is>
          <t>特殊</t>
        </is>
      </c>
      <c r="G9" s="8" t="inlineStr">
        <is>
          <t>劍心通明（劍類武技傷害+30%）</t>
        </is>
      </c>
      <c r="H9" s="2" t="n"/>
      <c r="I9" s="2" t="n"/>
      <c r="J9" s="3" t="n"/>
    </row>
    <row r="10"/>
    <row r="11">
      <c r="A11" s="5" t="inlineStr">
        <is>
          <t>靈根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/>
    <row r="13">
      <c r="A13" s="6" t="inlineStr">
        <is>
          <t>類型</t>
        </is>
      </c>
      <c r="B13" s="7" t="inlineStr">
        <is>
          <t>金靈根</t>
        </is>
      </c>
      <c r="C13" s="2" t="n"/>
      <c r="D13" s="3" t="n"/>
      <c r="E13" s="6" t="inlineStr">
        <is>
          <t>品質</t>
        </is>
      </c>
      <c r="F13" s="7" t="inlineStr">
        <is>
          <t>上品（×1.3）</t>
        </is>
      </c>
      <c r="G13" s="2" t="n"/>
      <c r="H13" s="2" t="n"/>
      <c r="I13" s="2" t="n"/>
      <c r="J13" s="3" t="n"/>
    </row>
    <row r="14">
      <c r="A14" s="6" t="inlineStr">
        <is>
          <t>加成</t>
        </is>
      </c>
      <c r="B14" s="8" t="inlineStr">
        <is>
          <t>根骨+5；金系功法威力+10%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5"/>
    <row r="16">
      <c r="A16" s="5" t="inlineStr">
        <is>
          <t>八大屬性 (初始250點自由分配)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/>
    <row r="18">
      <c r="A18" s="6" t="inlineStr">
        <is>
          <t>根骨 GUG</t>
        </is>
      </c>
      <c r="B18" s="7" t="n">
        <v>58</v>
      </c>
      <c r="C18" s="3" t="n"/>
      <c r="D18" s="9" t="inlineStr">
        <is>
          <t>修煉/突破</t>
        </is>
      </c>
      <c r="E18" s="2" t="n"/>
      <c r="F18" s="2" t="n"/>
      <c r="G18" s="2" t="n"/>
      <c r="H18" s="3" t="n"/>
      <c r="I18" s="10">
        <f>FLOOR(B18/5,1)</f>
        <v/>
      </c>
      <c r="J18" s="11" t="inlineStr">
        <is>
          <t>加值÷5</t>
        </is>
      </c>
    </row>
    <row r="19">
      <c r="A19" s="6" t="inlineStr">
        <is>
          <t>悟性 WUX</t>
        </is>
      </c>
      <c r="B19" s="7" t="n">
        <v>42</v>
      </c>
      <c r="C19" s="3" t="n"/>
      <c r="D19" s="9" t="inlineStr">
        <is>
          <t>學習/破解</t>
        </is>
      </c>
      <c r="E19" s="2" t="n"/>
      <c r="F19" s="2" t="n"/>
      <c r="G19" s="2" t="n"/>
      <c r="H19" s="3" t="n"/>
      <c r="I19" s="10">
        <f>FLOOR(B19/5,1)</f>
        <v/>
      </c>
      <c r="J19" s="11" t="inlineStr">
        <is>
          <t>加值÷5</t>
        </is>
      </c>
    </row>
    <row r="20">
      <c r="A20" s="6" t="inlineStr">
        <is>
          <t>神識 SHS</t>
        </is>
      </c>
      <c r="B20" s="7" t="n">
        <v>45</v>
      </c>
      <c r="C20" s="3" t="n"/>
      <c r="D20" s="9" t="inlineStr">
        <is>
          <t>探查/先攻</t>
        </is>
      </c>
      <c r="E20" s="2" t="n"/>
      <c r="F20" s="2" t="n"/>
      <c r="G20" s="2" t="n"/>
      <c r="H20" s="3" t="n"/>
      <c r="I20" s="10">
        <f>FLOOR(B20/5,1)</f>
        <v/>
      </c>
      <c r="J20" s="11" t="inlineStr">
        <is>
          <t>加值÷5</t>
        </is>
      </c>
    </row>
    <row r="21">
      <c r="A21" s="6" t="inlineStr">
        <is>
          <t>肉身 RSS</t>
        </is>
      </c>
      <c r="B21" s="7" t="n">
        <v>52</v>
      </c>
      <c r="C21" s="3" t="n"/>
      <c r="D21" s="9" t="inlineStr">
        <is>
          <t>生命值（HP）/近戰</t>
        </is>
      </c>
      <c r="E21" s="2" t="n"/>
      <c r="F21" s="2" t="n"/>
      <c r="G21" s="2" t="n"/>
      <c r="H21" s="3" t="n"/>
      <c r="I21" s="10">
        <f>FLOOR(B21/5,1)</f>
        <v/>
      </c>
      <c r="J21" s="11" t="inlineStr">
        <is>
          <t>加值÷5</t>
        </is>
      </c>
    </row>
    <row r="22">
      <c r="A22" s="6" t="inlineStr">
        <is>
          <t>靈力 LIL</t>
        </is>
      </c>
      <c r="B22" s="7" t="n">
        <v>40</v>
      </c>
      <c r="C22" s="3" t="n"/>
      <c r="D22" s="9" t="inlineStr">
        <is>
          <t>法術/真氣</t>
        </is>
      </c>
      <c r="E22" s="2" t="n"/>
      <c r="F22" s="2" t="n"/>
      <c r="G22" s="2" t="n"/>
      <c r="H22" s="3" t="n"/>
      <c r="I22" s="10">
        <f>FLOOR(B22/5,1)</f>
        <v/>
      </c>
      <c r="J22" s="11" t="inlineStr">
        <is>
          <t>加值÷5</t>
        </is>
      </c>
    </row>
    <row r="23">
      <c r="A23" s="6" t="inlineStr">
        <is>
          <t>身法 SHF</t>
        </is>
      </c>
      <c r="B23" s="7" t="n">
        <v>45</v>
      </c>
      <c r="C23" s="3" t="n"/>
      <c r="D23" s="9" t="inlineStr">
        <is>
          <t>閃避/移動</t>
        </is>
      </c>
      <c r="E23" s="2" t="n"/>
      <c r="F23" s="2" t="n"/>
      <c r="G23" s="2" t="n"/>
      <c r="H23" s="3" t="n"/>
      <c r="I23" s="10">
        <f>FLOOR(B23/5,1)</f>
        <v/>
      </c>
      <c r="J23" s="11" t="inlineStr">
        <is>
          <t>加值÷5</t>
        </is>
      </c>
    </row>
    <row r="24">
      <c r="A24" s="6" t="inlineStr">
        <is>
          <t>機緣 JIY</t>
        </is>
      </c>
      <c r="B24" s="7" t="n">
        <v>30</v>
      </c>
      <c r="C24" s="3" t="n"/>
      <c r="D24" s="9" t="inlineStr">
        <is>
          <t>探索/掉落</t>
        </is>
      </c>
      <c r="E24" s="2" t="n"/>
      <c r="F24" s="2" t="n"/>
      <c r="G24" s="2" t="n"/>
      <c r="H24" s="3" t="n"/>
      <c r="I24" s="10">
        <f>FLOOR(B24/5,1)</f>
        <v/>
      </c>
      <c r="J24" s="11" t="inlineStr">
        <is>
          <t>加值÷5</t>
        </is>
      </c>
    </row>
    <row r="25">
      <c r="A25" s="6" t="inlineStr">
        <is>
          <t>道心 DAX</t>
        </is>
      </c>
      <c r="B25" s="7" t="n">
        <v>48</v>
      </c>
      <c r="C25" s="3" t="n"/>
      <c r="D25" s="9" t="inlineStr">
        <is>
          <t>心魔/渡劫</t>
        </is>
      </c>
      <c r="E25" s="2" t="n"/>
      <c r="F25" s="2" t="n"/>
      <c r="G25" s="2" t="n"/>
      <c r="H25" s="3" t="n"/>
      <c r="I25" s="10">
        <f>FLOOR(B25/5,1)</f>
        <v/>
      </c>
      <c r="J25" s="11" t="inlineStr">
        <is>
          <t>加值÷5</t>
        </is>
      </c>
    </row>
    <row r="26"/>
    <row r="27">
      <c r="A27" s="5" t="inlineStr">
        <is>
          <t>派生屬性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/>
    <row r="29">
      <c r="A29" s="6" t="inlineStr">
        <is>
          <t>生命值 HP</t>
        </is>
      </c>
      <c r="B29" s="12">
        <f>2.5*B21</f>
        <v/>
      </c>
      <c r="C29" s="2" t="n"/>
      <c r="D29" s="2" t="n"/>
      <c r="E29" s="3" t="n"/>
      <c r="F29" s="13" t="inlineStr">
        <is>
          <t>肉身×境界係數</t>
        </is>
      </c>
      <c r="G29" s="2" t="n"/>
      <c r="H29" s="2" t="n"/>
      <c r="I29" s="2" t="n"/>
      <c r="J29" s="3" t="n"/>
    </row>
    <row r="30">
      <c r="A30" s="14" t="inlineStr">
        <is>
          <t>真氣池</t>
        </is>
      </c>
      <c r="B30" s="10">
        <f>1.6*B22</f>
        <v/>
      </c>
      <c r="C30" s="2" t="n"/>
      <c r="D30" s="2" t="n"/>
      <c r="E30" s="3" t="n"/>
      <c r="F30" s="9" t="inlineStr">
        <is>
          <t>靈力×境界係數</t>
        </is>
      </c>
      <c r="G30" s="2" t="n"/>
      <c r="H30" s="2" t="n"/>
      <c r="I30" s="2" t="n"/>
      <c r="J30" s="3" t="n"/>
    </row>
    <row r="31">
      <c r="A31" s="6" t="inlineStr">
        <is>
          <t>先攻值</t>
        </is>
      </c>
      <c r="B31" s="12">
        <f>B20+FLOOR(B23/5,1)</f>
        <v/>
      </c>
      <c r="C31" s="2" t="n"/>
      <c r="D31" s="2" t="n"/>
      <c r="E31" s="3" t="n"/>
      <c r="F31" s="13" t="inlineStr">
        <is>
          <t>神識+floor(身法/5)</t>
        </is>
      </c>
      <c r="G31" s="2" t="n"/>
      <c r="H31" s="2" t="n"/>
      <c r="I31" s="2" t="n"/>
      <c r="J31" s="3" t="n"/>
    </row>
    <row r="32">
      <c r="A32" s="14" t="inlineStr">
        <is>
          <t>物理防禦</t>
        </is>
      </c>
      <c r="B32" s="15" t="n">
        <v>18</v>
      </c>
      <c r="C32" s="2" t="n"/>
      <c r="D32" s="2" t="n"/>
      <c r="E32" s="3" t="n"/>
      <c r="F32" s="9" t="inlineStr">
        <is>
          <t>法袍+功法</t>
        </is>
      </c>
      <c r="G32" s="2" t="n"/>
      <c r="H32" s="2" t="n"/>
      <c r="I32" s="2" t="n"/>
      <c r="J32" s="3" t="n"/>
    </row>
    <row r="33">
      <c r="A33" s="6" t="inlineStr">
        <is>
          <t>法術抗性</t>
        </is>
      </c>
      <c r="B33" s="16" t="n">
        <v>16</v>
      </c>
      <c r="C33" s="2" t="n"/>
      <c r="D33" s="2" t="n"/>
      <c r="E33" s="3" t="n"/>
      <c r="F33" s="13" t="inlineStr">
        <is>
          <t>法袍+功法</t>
        </is>
      </c>
      <c r="G33" s="2" t="n"/>
      <c r="H33" s="2" t="n"/>
      <c r="I33" s="2" t="n"/>
      <c r="J33" s="3" t="n"/>
    </row>
    <row r="34">
      <c r="A34" s="14" t="inlineStr">
        <is>
          <t>護體真氣</t>
        </is>
      </c>
      <c r="B34" s="15" t="n">
        <v>10</v>
      </c>
      <c r="C34" s="2" t="n"/>
      <c r="D34" s="2" t="n"/>
      <c r="E34" s="3" t="n"/>
      <c r="F34" s="9" t="inlineStr">
        <is>
          <t>心法+法寶</t>
        </is>
      </c>
      <c r="G34" s="2" t="n"/>
      <c r="H34" s="2" t="n"/>
      <c r="I34" s="2" t="n"/>
      <c r="J34" s="3" t="n"/>
    </row>
    <row r="35">
      <c r="A35" s="6" t="inlineStr">
        <is>
          <t>閃避</t>
        </is>
      </c>
      <c r="B35" s="16" t="n">
        <v>45</v>
      </c>
      <c r="C35" s="2" t="n"/>
      <c r="D35" s="2" t="n"/>
      <c r="E35" s="3" t="n"/>
      <c r="F35" s="13" t="inlineStr">
        <is>
          <t>身法值</t>
        </is>
      </c>
      <c r="G35" s="2" t="n"/>
      <c r="H35" s="2" t="n"/>
      <c r="I35" s="2" t="n"/>
      <c r="J35" s="3" t="n"/>
    </row>
    <row r="36">
      <c r="A36" s="14" t="inlineStr">
        <is>
          <t>移動</t>
        </is>
      </c>
      <c r="B36" s="15" t="inlineStr">
        <is>
          <t>2區</t>
        </is>
      </c>
      <c r="C36" s="2" t="n"/>
      <c r="D36" s="2" t="n"/>
      <c r="E36" s="3" t="n"/>
      <c r="F36" s="9" t="inlineStr">
        <is>
          <t>根據身法</t>
        </is>
      </c>
      <c r="G36" s="2" t="n"/>
      <c r="H36" s="2" t="n"/>
      <c r="I36" s="2" t="n"/>
      <c r="J36" s="3" t="n"/>
    </row>
    <row r="37">
      <c r="A37" s="6" t="inlineStr">
        <is>
          <t>大成功</t>
        </is>
      </c>
      <c r="B37" s="12">
        <f>3+FLOOR((G7-1)/3,1)</f>
        <v/>
      </c>
      <c r="C37" s="2" t="n"/>
      <c r="D37" s="2" t="n"/>
      <c r="E37" s="3" t="n"/>
      <c r="F37" s="13" t="inlineStr">
        <is>
          <t>1d100≤此值</t>
        </is>
      </c>
      <c r="G37" s="2" t="n"/>
      <c r="H37" s="2" t="n"/>
      <c r="I37" s="2" t="n"/>
      <c r="J37" s="3" t="n"/>
    </row>
    <row r="38">
      <c r="A38" s="14" t="inlineStr">
        <is>
          <t>大失敗</t>
        </is>
      </c>
      <c r="B38" s="15" t="inlineStr">
        <is>
          <t>96-00</t>
        </is>
      </c>
      <c r="C38" s="2" t="n"/>
      <c r="D38" s="2" t="n"/>
      <c r="E38" s="3" t="n"/>
      <c r="F38" s="9" t="inlineStr">
        <is>
          <t>固定5%</t>
        </is>
      </c>
      <c r="G38" s="2" t="n"/>
      <c r="H38" s="2" t="n"/>
      <c r="I38" s="2" t="n"/>
      <c r="J38" s="3" t="n"/>
    </row>
    <row r="39"/>
    <row r="40"/>
    <row r="41">
      <c r="A41" s="5" t="inlineStr">
        <is>
          <t>裝備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/>
    <row r="43">
      <c r="A43" s="6" t="inlineStr">
        <is>
          <t>武器</t>
        </is>
      </c>
      <c r="B43" s="8" t="inlineStr">
        <is>
          <t>流雲劍（玄級，1d10+3+肉+身/8，先攻+5）</t>
        </is>
      </c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6" t="inlineStr">
        <is>
          <t>法袍</t>
        </is>
      </c>
      <c r="B44" s="8" t="inlineStr">
        <is>
          <t>雲紋錦繡袍（玄級，防+8，法抗+12，身法+5）</t>
        </is>
      </c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6" t="inlineStr">
        <is>
          <t>法寶</t>
        </is>
      </c>
      <c r="B45" s="8" t="inlineStr">
        <is>
          <t>護身戒（玄級，護體真氣+10，擋致命1次）</t>
        </is>
      </c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6" t="inlineStr">
        <is>
          <t>飾品</t>
        </is>
      </c>
      <c r="B46" s="8" t="inlineStr">
        <is>
          <t>—</t>
        </is>
      </c>
      <c r="C46" s="2" t="n"/>
      <c r="D46" s="2" t="n"/>
      <c r="E46" s="2" t="n"/>
      <c r="F46" s="2" t="n"/>
      <c r="G46" s="2" t="n"/>
      <c r="H46" s="2" t="n"/>
      <c r="I46" s="2" t="n"/>
      <c r="J46" s="3" t="n"/>
    </row>
    <row r="47"/>
    <row r="48">
      <c r="A48" s="5" t="inlineStr">
        <is>
          <t>功法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/>
    <row r="50">
      <c r="A50" s="6" t="inlineStr">
        <is>
          <t>心法</t>
        </is>
      </c>
      <c r="B50" s="8" t="inlineStr">
        <is>
          <t>《天罡正氣訣》Lv.2（玄級，全屬性+4，對邪魔傷害+18%）</t>
        </is>
      </c>
      <c r="C50" s="2" t="n"/>
      <c r="D50" s="2" t="n"/>
      <c r="E50" s="2" t="n"/>
      <c r="F50" s="2" t="n"/>
      <c r="G50" s="2" t="n"/>
      <c r="H50" s="2" t="n"/>
      <c r="I50" s="2" t="n"/>
      <c r="J50" s="3" t="n"/>
    </row>
    <row r="51">
      <c r="A51" s="6" t="inlineStr">
        <is>
          <t>武技</t>
        </is>
      </c>
      <c r="B51" s="8" t="inlineStr">
        <is>
          <t>《清風十三式》Lv.2、《焚天劍訣》Lv.1</t>
        </is>
      </c>
      <c r="C51" s="2" t="n"/>
      <c r="D51" s="2" t="n"/>
      <c r="E51" s="2" t="n"/>
      <c r="F51" s="2" t="n"/>
      <c r="G51" s="2" t="n"/>
      <c r="H51" s="2" t="n"/>
      <c r="I51" s="2" t="n"/>
      <c r="J51" s="3" t="n"/>
    </row>
    <row r="52"/>
    <row r="53">
      <c r="A53" s="5" t="inlineStr">
        <is>
          <t>物品與狀態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</row>
    <row r="54"/>
    <row r="55">
      <c r="A55" s="6" t="inlineStr">
        <is>
          <t>靈石</t>
        </is>
      </c>
      <c r="B55" s="7" t="n">
        <v>500</v>
      </c>
      <c r="D55" s="6" t="inlineStr">
        <is>
          <t>丹藥</t>
        </is>
      </c>
      <c r="E55" s="8" t="inlineStr">
        <is>
          <t>續骨丹×3, 回靈丹×5, 築基丹×1</t>
        </is>
      </c>
      <c r="F55" s="2" t="n"/>
      <c r="G55" s="2" t="n"/>
      <c r="H55" s="2" t="n"/>
      <c r="I55" s="2" t="n"/>
      <c r="J55" s="3" t="n"/>
    </row>
    <row r="56">
      <c r="A56" s="6" t="inlineStr">
        <is>
          <t>藥毒</t>
        </is>
      </c>
      <c r="B56" s="15" t="inlineStr">
        <is>
          <t>0/100</t>
        </is>
      </c>
      <c r="D56" s="6" t="inlineStr">
        <is>
          <t>心魔</t>
        </is>
      </c>
      <c r="E56" s="15" t="inlineStr">
        <is>
          <t>5/100</t>
        </is>
      </c>
    </row>
    <row r="57">
      <c r="A57" s="6" t="inlineStr">
        <is>
          <t>壽元</t>
        </is>
      </c>
      <c r="B57" s="7" t="inlineStr">
        <is>
          <t>300年</t>
        </is>
      </c>
      <c r="D57" s="6" t="inlineStr">
        <is>
          <t>已耗</t>
        </is>
      </c>
      <c r="E57" s="7" t="inlineStr">
        <is>
          <t>28年</t>
        </is>
      </c>
    </row>
    <row r="58"/>
    <row r="59">
      <c r="A59" s="5" t="inlineStr">
        <is>
          <t>背景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/>
    <row r="61" ht="80" customHeight="1">
      <c r="A61" s="6" t="inlineStr">
        <is>
          <t>故事</t>
        </is>
      </c>
      <c r="B61" s="8" t="inlineStr">
        <is>
          <t>秦羽是太虛劍宗的築基期師兄，金丹·初境界。性格溫和循循善誘，對新入門的師弟師妹照顧有加。他的目標是成為真傳弟子。</t>
        </is>
      </c>
      <c r="C61" s="2" t="n"/>
      <c r="D61" s="2" t="n"/>
      <c r="E61" s="2" t="n"/>
      <c r="F61" s="2" t="n"/>
      <c r="G61" s="2" t="n"/>
      <c r="H61" s="2" t="n"/>
      <c r="I61" s="2" t="n"/>
      <c r="J61" s="3" t="n"/>
    </row>
  </sheetData>
  <mergeCells count="63">
    <mergeCell ref="B9:E9"/>
    <mergeCell ref="F29:J29"/>
    <mergeCell ref="D20:H20"/>
    <mergeCell ref="B25:C25"/>
    <mergeCell ref="B61:J61"/>
    <mergeCell ref="F34:J34"/>
    <mergeCell ref="B14:J14"/>
    <mergeCell ref="D19:H19"/>
    <mergeCell ref="B30:E30"/>
    <mergeCell ref="A53:J53"/>
    <mergeCell ref="B13:D13"/>
    <mergeCell ref="A4:J4"/>
    <mergeCell ref="B8:J8"/>
    <mergeCell ref="B22:C22"/>
    <mergeCell ref="B33:E33"/>
    <mergeCell ref="B18:C18"/>
    <mergeCell ref="D22:H22"/>
    <mergeCell ref="H7:J7"/>
    <mergeCell ref="B36:E36"/>
    <mergeCell ref="B32:E32"/>
    <mergeCell ref="B44:J44"/>
    <mergeCell ref="F30:J30"/>
    <mergeCell ref="B21:C21"/>
    <mergeCell ref="G9:J9"/>
    <mergeCell ref="D21:H21"/>
    <mergeCell ref="B35:E35"/>
    <mergeCell ref="B23:C23"/>
    <mergeCell ref="F36:J36"/>
    <mergeCell ref="A59:J59"/>
    <mergeCell ref="F33:J33"/>
    <mergeCell ref="A48:J48"/>
    <mergeCell ref="F32:J32"/>
    <mergeCell ref="F35:J35"/>
    <mergeCell ref="A11:J11"/>
    <mergeCell ref="B31:E31"/>
    <mergeCell ref="A1:J1"/>
    <mergeCell ref="B51:J51"/>
    <mergeCell ref="B45:J45"/>
    <mergeCell ref="B19:C19"/>
    <mergeCell ref="F38:J38"/>
    <mergeCell ref="B50:J50"/>
    <mergeCell ref="F31:J31"/>
    <mergeCell ref="A16:J16"/>
    <mergeCell ref="D18:H18"/>
    <mergeCell ref="F13:J13"/>
    <mergeCell ref="A41:J41"/>
    <mergeCell ref="B6:C6"/>
    <mergeCell ref="B24:C24"/>
    <mergeCell ref="D25:H25"/>
    <mergeCell ref="E55:J55"/>
    <mergeCell ref="F37:J37"/>
    <mergeCell ref="D24:H24"/>
    <mergeCell ref="B46:J46"/>
    <mergeCell ref="B20:C20"/>
    <mergeCell ref="A27:J27"/>
    <mergeCell ref="B38:E38"/>
    <mergeCell ref="E6:H6"/>
    <mergeCell ref="A2:J2"/>
    <mergeCell ref="B29:E29"/>
    <mergeCell ref="D23:H23"/>
    <mergeCell ref="B37:E37"/>
    <mergeCell ref="B43:J43"/>
    <mergeCell ref="B34:E3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7" t="inlineStr">
        <is>
          <t>角色</t>
        </is>
      </c>
      <c r="B1" s="17" t="inlineStr">
        <is>
          <t>新手引路人（非正式師父）</t>
        </is>
      </c>
    </row>
    <row r="2">
      <c r="A2" s="18" t="inlineStr">
        <is>
          <t>名稱</t>
        </is>
      </c>
      <c r="B2" s="19" t="inlineStr">
        <is>
          <t>秦羽</t>
        </is>
      </c>
    </row>
    <row r="3">
      <c r="A3" s="18" t="inlineStr">
        <is>
          <t>境界</t>
        </is>
      </c>
      <c r="B3" s="19" t="inlineStr">
        <is>
          <t>築基後期 (Lv.7) — 尚未達到收徒最低要求(金丹)</t>
        </is>
      </c>
    </row>
    <row r="4">
      <c r="A4" s="18" t="inlineStr">
        <is>
          <t>身份</t>
        </is>
      </c>
      <c r="B4" s="19" t="inlineStr">
        <is>
          <t>太虛劍宗內門弟子·洗劍池劍術教習</t>
        </is>
      </c>
    </row>
    <row r="5">
      <c r="A5" s="18" t="n"/>
      <c r="B5" s="19" t="n"/>
    </row>
    <row r="6">
      <c r="A6" s="18" t="inlineStr">
        <is>
          <t>可提供的幫助</t>
        </is>
      </c>
      <c r="B6" s="19" t="n"/>
    </row>
    <row r="7">
      <c r="A7" s="18" t="inlineStr">
        <is>
          <t>劍術基礎</t>
        </is>
      </c>
      <c r="B7" s="19" t="inlineStr">
        <is>
          <t>免費教授《基礎劍法》至 Lv.3（無需拜師）</t>
        </is>
      </c>
    </row>
    <row r="8">
      <c r="A8" s="18" t="inlineStr">
        <is>
          <t>戰鬥指導</t>
        </is>
      </c>
      <c r="B8" s="19" t="inlineStr">
        <is>
          <t>與秦羽切磋時，劍類武技參悟 難度（DC） −5（被動）</t>
        </is>
      </c>
    </row>
    <row r="9">
      <c r="A9" s="18" t="inlineStr">
        <is>
          <t>入門推薦</t>
        </is>
      </c>
      <c r="B9" s="19" t="inlineStr">
        <is>
          <t>可推薦玩家拜入太虛劍宗（聲望+10；無需考核）</t>
        </is>
      </c>
    </row>
    <row r="10">
      <c r="A10" s="18" t="inlineStr">
        <is>
          <t>情報分享</t>
        </is>
      </c>
      <c r="B10" s="19" t="inlineStr">
        <is>
          <t>提供太虛劍宗內部情報（宗門任務/祕境資訊）</t>
        </is>
      </c>
    </row>
    <row r="11">
      <c r="A11" s="18" t="n"/>
      <c r="B11" s="19" t="n"/>
    </row>
    <row r="12">
      <c r="A12" s="18" t="inlineStr">
        <is>
          <t>限制</t>
        </is>
      </c>
      <c r="B12" s="19" t="inlineStr">
        <is>
          <t>秦羽僅為築基期，無法傳授玄級以上功法，亦無收徒權</t>
        </is>
      </c>
    </row>
    <row r="13">
      <c r="A13" s="18" t="n"/>
      <c r="B13" s="19" t="inlineStr">
        <is>
          <t>當玩家達到金丹期後，可經秦羽引薦拜入玄真子或獨孤無極門下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7" t="inlineStr">
        <is>
          <t>名稱</t>
        </is>
      </c>
      <c r="B1" s="17" t="inlineStr">
        <is>
          <t>葛雲</t>
        </is>
      </c>
    </row>
    <row r="2">
      <c r="A2" s="18" t="inlineStr">
        <is>
          <t>境界</t>
        </is>
      </c>
      <c r="B2" s="19" t="inlineStr">
        <is>
          <t>元嬰初期 (Lv.13)</t>
        </is>
      </c>
    </row>
    <row r="3">
      <c r="A3" s="18" t="inlineStr">
        <is>
          <t>靈根</t>
        </is>
      </c>
      <c r="B3" s="19" t="inlineStr">
        <is>
          <t>木靈根(上品) + 火靈根(中品)</t>
        </is>
      </c>
    </row>
    <row r="4">
      <c r="A4" s="18" t="inlineStr">
        <is>
          <t>身份</t>
        </is>
      </c>
      <c r="B4" s="19" t="inlineStr">
        <is>
          <t>丹霞谷煉丹堂首席長老</t>
        </is>
      </c>
    </row>
    <row r="5">
      <c r="A5" s="18" t="inlineStr">
        <is>
          <t>性格</t>
        </is>
      </c>
      <c r="B5" s="19" t="inlineStr">
        <is>
          <t>溫和儒雅，沉迷煉丹</t>
        </is>
      </c>
    </row>
    <row r="6">
      <c r="A6" s="18" t="inlineStr">
        <is>
          <t>生命值（HP）</t>
        </is>
      </c>
      <c r="B6" s="19" t="inlineStr">
        <is>
          <t>~350 (肉身×5.0)</t>
        </is>
      </c>
    </row>
    <row r="7">
      <c r="A7" s="18" t="inlineStr">
        <is>
          <t>靈力</t>
        </is>
      </c>
      <c r="B7" s="19" t="inlineStr">
        <is>
          <t>~260</t>
        </is>
      </c>
    </row>
    <row r="8">
      <c r="A8" s="18" t="inlineStr">
        <is>
          <t>戰鬥風格</t>
        </is>
      </c>
      <c r="B8" s="19" t="inlineStr">
        <is>
          <t>非戰鬥型NPC；以丹藥和陣法輔助為主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7" t="inlineStr">
        <is>
          <t>師父名稱</t>
        </is>
      </c>
      <c r="B1" s="17" t="inlineStr">
        <is>
          <t>葛雲</t>
        </is>
      </c>
    </row>
    <row r="2">
      <c r="A2" s="18" t="inlineStr">
        <is>
          <t>師父品級</t>
        </is>
      </c>
      <c r="B2" s="19" t="inlineStr">
        <is>
          <t>長老級</t>
        </is>
      </c>
    </row>
    <row r="3">
      <c r="A3" s="18" t="inlineStr">
        <is>
          <t>境界</t>
        </is>
      </c>
      <c r="B3" s="19" t="inlineStr">
        <is>
          <t>元嬰初期 (Lv.13)</t>
        </is>
      </c>
    </row>
    <row r="4">
      <c r="A4" s="18" t="inlineStr">
        <is>
          <t>收徒條件</t>
        </is>
      </c>
      <c r="B4" s="19" t="inlineStr">
        <is>
          <t>木/火靈根；煉丹技能≥2品；丹霞谷弟子優先</t>
        </is>
      </c>
    </row>
    <row r="5">
      <c r="A5" s="18" t="inlineStr">
        <is>
          <t>收徒上限</t>
        </is>
      </c>
      <c r="B5" s="19" t="inlineStr">
        <is>
          <t>4</t>
        </is>
      </c>
    </row>
    <row r="6">
      <c r="A6" s="18" t="n"/>
      <c r="B6" s="19" t="n"/>
    </row>
    <row r="7">
      <c r="A7" s="18" t="inlineStr">
        <is>
          <t>可傳心法</t>
        </is>
      </c>
      <c r="B7" s="19" t="inlineStr">
        <is>
          <t>《長春功》(黃/木)
《青木長生功》(玄/木)
《純陽吐納術》(黃/火)</t>
        </is>
      </c>
    </row>
    <row r="8">
      <c r="A8" s="18" t="inlineStr">
        <is>
          <t>心法條件</t>
        </is>
      </c>
      <c r="B8" s="19" t="inlineStr">
        <is>
          <t>無條件；木靈根/信任；火靈根/初識</t>
        </is>
      </c>
    </row>
    <row r="9">
      <c r="A9" s="18" t="inlineStr">
        <is>
          <t>可傳武技</t>
        </is>
      </c>
      <c r="B9" s="19" t="inlineStr">
        <is>
          <t>《萬木森羅》(地/木)</t>
        </is>
      </c>
    </row>
    <row r="10">
      <c r="A10" s="18" t="inlineStr">
        <is>
          <t>武技條件</t>
        </is>
      </c>
      <c r="B10" s="19" t="inlineStr">
        <is>
          <t>親密度≥親近</t>
        </is>
      </c>
    </row>
    <row r="11">
      <c r="A11" s="18" t="inlineStr">
        <is>
          <t>可傳神通</t>
        </is>
      </c>
      <c r="B11" s="19" t="inlineStr">
        <is>
          <t>《五行輪轉》(玄/混沌)</t>
        </is>
      </c>
    </row>
    <row r="12">
      <c r="A12" s="18" t="inlineStr">
        <is>
          <t>神通條件</t>
        </is>
      </c>
      <c r="B12" s="19" t="inlineStr">
        <is>
          <t>親密度≥親近；需至少2條靈根</t>
        </is>
      </c>
    </row>
    <row r="13">
      <c r="A13" s="18" t="n"/>
      <c r="B13" s="19" t="n"/>
    </row>
    <row r="14">
      <c r="A14" s="18" t="inlineStr">
        <is>
          <t>每月資源供給</t>
        </is>
      </c>
      <c r="B14" s="19" t="inlineStr">
        <is>
          <t>初識: 靈石500+回靈丹×5+療傷丹×3
信任: 靈石1,000+大回靈丹×3+續骨丹×2
親近: 靈石1,500+超級回靈丹×1+再生丹×1+煉丹材料×2</t>
        </is>
      </c>
    </row>
    <row r="15">
      <c r="A15" s="18" t="inlineStr">
        <is>
          <t>特殊援助</t>
        </is>
      </c>
      <c r="B15" s="19" t="inlineStr">
        <is>
          <t>煉丹特訓(+15檢定+旁觀地品煉丹)
專屬丹藥(親近/每季)
藥毒清理(免費洗髓丹/每境界1次)
丹道傳承(衣缽/地品配方×3)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天機·修真心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血煞魔君 — NPC卡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/>
    <row r="4">
      <c r="A4" s="5" t="inlineStr">
        <is>
          <t>基本資訊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/>
    <row r="6">
      <c r="A6" s="6" t="inlineStr">
        <is>
          <t>姓名</t>
        </is>
      </c>
      <c r="B6" s="7" t="inlineStr">
        <is>
          <t>血煞魔君</t>
        </is>
      </c>
      <c r="C6" s="3" t="n"/>
      <c r="D6" s="6" t="inlineStr">
        <is>
          <t>稱號</t>
        </is>
      </c>
      <c r="E6" s="8" t="inlineStr">
        <is>
          <t>化神期魔修</t>
        </is>
      </c>
      <c r="F6" s="2" t="n"/>
      <c r="G6" s="2" t="n"/>
      <c r="H6" s="3" t="n"/>
      <c r="I6" s="6" t="inlineStr">
        <is>
          <t>境界</t>
        </is>
      </c>
      <c r="J6" s="7" t="inlineStr">
        <is>
          <t>化神·中(Lv.18)</t>
        </is>
      </c>
    </row>
    <row r="7">
      <c r="A7" s="6" t="inlineStr">
        <is>
          <t>性別</t>
        </is>
      </c>
      <c r="B7" s="7" t="inlineStr">
        <is>
          <t>男</t>
        </is>
      </c>
      <c r="C7" s="6" t="inlineStr">
        <is>
          <t>年齡</t>
        </is>
      </c>
      <c r="D7" s="7" t="n">
        <v>500</v>
      </c>
      <c r="E7" s="6" t="inlineStr">
        <is>
          <t>Lv</t>
        </is>
      </c>
      <c r="F7" s="7" t="n">
        <v>18</v>
      </c>
      <c r="G7" s="6" t="inlineStr">
        <is>
          <t>修為</t>
        </is>
      </c>
      <c r="H7" s="7" t="inlineStr">
        <is>
          <t>—</t>
        </is>
      </c>
      <c r="I7" s="2" t="n"/>
      <c r="J7" s="3" t="n"/>
    </row>
    <row r="8">
      <c r="A8" s="6" t="inlineStr">
        <is>
          <t>出身</t>
        </is>
      </c>
      <c r="B8" s="8" t="inlineStr">
        <is>
          <t>原正道棄徒→墮入魔道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6" t="inlineStr">
        <is>
          <t>宗門</t>
        </is>
      </c>
      <c r="B9" s="8" t="inlineStr">
        <is>
          <t>散修（魔道）</t>
        </is>
      </c>
      <c r="C9" s="2" t="n"/>
      <c r="D9" s="2" t="n"/>
      <c r="E9" s="3" t="n"/>
      <c r="F9" s="6" t="inlineStr">
        <is>
          <t>特殊</t>
        </is>
      </c>
      <c r="G9" s="8" t="inlineStr">
        <is>
          <t>暗靈根（變異·稀有）；弱點：道心偏低、心魔值高</t>
        </is>
      </c>
      <c r="H9" s="2" t="n"/>
      <c r="I9" s="2" t="n"/>
      <c r="J9" s="3" t="n"/>
    </row>
    <row r="10"/>
    <row r="11">
      <c r="A11" s="5" t="inlineStr">
        <is>
          <t>靈根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/>
    <row r="13">
      <c r="A13" s="6" t="inlineStr">
        <is>
          <t>類型</t>
        </is>
      </c>
      <c r="B13" s="7" t="inlineStr">
        <is>
          <t>暗靈根（變異）</t>
        </is>
      </c>
      <c r="C13" s="2" t="n"/>
      <c r="D13" s="3" t="n"/>
      <c r="E13" s="6" t="inlineStr">
        <is>
          <t>品質</t>
        </is>
      </c>
      <c r="F13" s="7" t="inlineStr">
        <is>
          <t>上品</t>
        </is>
      </c>
      <c r="G13" s="2" t="n"/>
      <c r="H13" s="2" t="n"/>
      <c r="I13" s="2" t="n"/>
      <c r="J13" s="3" t="n"/>
    </row>
    <row r="14">
      <c r="A14" s="6" t="inlineStr">
        <is>
          <t>加成</t>
        </is>
      </c>
      <c r="B14" s="8" t="inlineStr">
        <is>
          <t>暗系功法威力+20%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5"/>
    <row r="16">
      <c r="A16" s="5" t="inlineStr">
        <is>
          <t>八大屬性 (初始250點自由分配)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/>
    <row r="18">
      <c r="A18" s="6" t="inlineStr">
        <is>
          <t>根骨 GUG</t>
        </is>
      </c>
      <c r="B18" s="7" t="n">
        <v>68</v>
      </c>
      <c r="C18" s="3" t="n"/>
      <c r="D18" s="9" t="inlineStr">
        <is>
          <t>修煉/突破</t>
        </is>
      </c>
      <c r="E18" s="2" t="n"/>
      <c r="F18" s="2" t="n"/>
      <c r="G18" s="2" t="n"/>
      <c r="H18" s="3" t="n"/>
      <c r="I18" s="10">
        <f>FLOOR(B18/5,1)</f>
        <v/>
      </c>
      <c r="J18" s="11" t="inlineStr">
        <is>
          <t>加值÷5</t>
        </is>
      </c>
    </row>
    <row r="19">
      <c r="A19" s="6" t="inlineStr">
        <is>
          <t>悟性 WUX</t>
        </is>
      </c>
      <c r="B19" s="7" t="n">
        <v>55</v>
      </c>
      <c r="C19" s="3" t="n"/>
      <c r="D19" s="9" t="inlineStr">
        <is>
          <t>學習/破解</t>
        </is>
      </c>
      <c r="E19" s="2" t="n"/>
      <c r="F19" s="2" t="n"/>
      <c r="G19" s="2" t="n"/>
      <c r="H19" s="3" t="n"/>
      <c r="I19" s="10">
        <f>FLOOR(B19/5,1)</f>
        <v/>
      </c>
      <c r="J19" s="11" t="inlineStr">
        <is>
          <t>加值÷5</t>
        </is>
      </c>
    </row>
    <row r="20">
      <c r="A20" s="6" t="inlineStr">
        <is>
          <t>神識 SHS</t>
        </is>
      </c>
      <c r="B20" s="7" t="n">
        <v>60</v>
      </c>
      <c r="C20" s="3" t="n"/>
      <c r="D20" s="9" t="inlineStr">
        <is>
          <t>探查/先攻</t>
        </is>
      </c>
      <c r="E20" s="2" t="n"/>
      <c r="F20" s="2" t="n"/>
      <c r="G20" s="2" t="n"/>
      <c r="H20" s="3" t="n"/>
      <c r="I20" s="10">
        <f>FLOOR(B20/5,1)</f>
        <v/>
      </c>
      <c r="J20" s="11" t="inlineStr">
        <is>
          <t>加值÷5</t>
        </is>
      </c>
    </row>
    <row r="21">
      <c r="A21" s="6" t="inlineStr">
        <is>
          <t>肉身 RSS</t>
        </is>
      </c>
      <c r="B21" s="7" t="n">
        <v>72</v>
      </c>
      <c r="C21" s="3" t="n"/>
      <c r="D21" s="9" t="inlineStr">
        <is>
          <t>生命值（HP）/近戰</t>
        </is>
      </c>
      <c r="E21" s="2" t="n"/>
      <c r="F21" s="2" t="n"/>
      <c r="G21" s="2" t="n"/>
      <c r="H21" s="3" t="n"/>
      <c r="I21" s="10">
        <f>FLOOR(B21/5,1)</f>
        <v/>
      </c>
      <c r="J21" s="11" t="inlineStr">
        <is>
          <t>加值÷5</t>
        </is>
      </c>
    </row>
    <row r="22">
      <c r="A22" s="6" t="inlineStr">
        <is>
          <t>靈力 LIL</t>
        </is>
      </c>
      <c r="B22" s="7" t="n">
        <v>70</v>
      </c>
      <c r="C22" s="3" t="n"/>
      <c r="D22" s="9" t="inlineStr">
        <is>
          <t>法術/真氣</t>
        </is>
      </c>
      <c r="E22" s="2" t="n"/>
      <c r="F22" s="2" t="n"/>
      <c r="G22" s="2" t="n"/>
      <c r="H22" s="3" t="n"/>
      <c r="I22" s="10">
        <f>FLOOR(B22/5,1)</f>
        <v/>
      </c>
      <c r="J22" s="11" t="inlineStr">
        <is>
          <t>加值÷5</t>
        </is>
      </c>
    </row>
    <row r="23">
      <c r="A23" s="6" t="inlineStr">
        <is>
          <t>身法 SHF</t>
        </is>
      </c>
      <c r="B23" s="7" t="n">
        <v>58</v>
      </c>
      <c r="C23" s="3" t="n"/>
      <c r="D23" s="9" t="inlineStr">
        <is>
          <t>閃避/移動</t>
        </is>
      </c>
      <c r="E23" s="2" t="n"/>
      <c r="F23" s="2" t="n"/>
      <c r="G23" s="2" t="n"/>
      <c r="H23" s="3" t="n"/>
      <c r="I23" s="10">
        <f>FLOOR(B23/5,1)</f>
        <v/>
      </c>
      <c r="J23" s="11" t="inlineStr">
        <is>
          <t>加值÷5</t>
        </is>
      </c>
    </row>
    <row r="24">
      <c r="A24" s="6" t="inlineStr">
        <is>
          <t>機緣 JIY</t>
        </is>
      </c>
      <c r="B24" s="7" t="n">
        <v>35</v>
      </c>
      <c r="C24" s="3" t="n"/>
      <c r="D24" s="9" t="inlineStr">
        <is>
          <t>探索/掉落</t>
        </is>
      </c>
      <c r="E24" s="2" t="n"/>
      <c r="F24" s="2" t="n"/>
      <c r="G24" s="2" t="n"/>
      <c r="H24" s="3" t="n"/>
      <c r="I24" s="10">
        <f>FLOOR(B24/5,1)</f>
        <v/>
      </c>
      <c r="J24" s="11" t="inlineStr">
        <is>
          <t>加值÷5</t>
        </is>
      </c>
    </row>
    <row r="25">
      <c r="A25" s="6" t="inlineStr">
        <is>
          <t>道心 DAX</t>
        </is>
      </c>
      <c r="B25" s="7" t="n">
        <v>55</v>
      </c>
      <c r="C25" s="3" t="n"/>
      <c r="D25" s="9" t="inlineStr">
        <is>
          <t>心魔/渡劫</t>
        </is>
      </c>
      <c r="E25" s="2" t="n"/>
      <c r="F25" s="2" t="n"/>
      <c r="G25" s="2" t="n"/>
      <c r="H25" s="3" t="n"/>
      <c r="I25" s="10">
        <f>FLOOR(B25/5,1)</f>
        <v/>
      </c>
      <c r="J25" s="11" t="inlineStr">
        <is>
          <t>加值÷5</t>
        </is>
      </c>
    </row>
    <row r="26"/>
    <row r="27">
      <c r="A27" s="5" t="inlineStr">
        <is>
          <t>派生屬性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/>
    <row r="29">
      <c r="A29" s="6" t="inlineStr">
        <is>
          <t>生命值 HP</t>
        </is>
      </c>
      <c r="B29" s="12">
        <f>3.5*B21</f>
        <v/>
      </c>
      <c r="C29" s="2" t="n"/>
      <c r="D29" s="2" t="n"/>
      <c r="E29" s="3" t="n"/>
      <c r="F29" s="13" t="inlineStr">
        <is>
          <t>肉身×境界係數</t>
        </is>
      </c>
      <c r="G29" s="2" t="n"/>
      <c r="H29" s="2" t="n"/>
      <c r="I29" s="2" t="n"/>
      <c r="J29" s="3" t="n"/>
    </row>
    <row r="30">
      <c r="A30" s="14" t="inlineStr">
        <is>
          <t>真氣池</t>
        </is>
      </c>
      <c r="B30" s="10">
        <f>2.5*B22</f>
        <v/>
      </c>
      <c r="C30" s="2" t="n"/>
      <c r="D30" s="2" t="n"/>
      <c r="E30" s="3" t="n"/>
      <c r="F30" s="9" t="inlineStr">
        <is>
          <t>靈力×境界係數</t>
        </is>
      </c>
      <c r="G30" s="2" t="n"/>
      <c r="H30" s="2" t="n"/>
      <c r="I30" s="2" t="n"/>
      <c r="J30" s="3" t="n"/>
    </row>
    <row r="31">
      <c r="A31" s="6" t="inlineStr">
        <is>
          <t>先攻值</t>
        </is>
      </c>
      <c r="B31" s="12">
        <f>B20+FLOOR(B23/5,1)</f>
        <v/>
      </c>
      <c r="C31" s="2" t="n"/>
      <c r="D31" s="2" t="n"/>
      <c r="E31" s="3" t="n"/>
      <c r="F31" s="13" t="inlineStr">
        <is>
          <t>神識+floor(身法/5)</t>
        </is>
      </c>
      <c r="G31" s="2" t="n"/>
      <c r="H31" s="2" t="n"/>
      <c r="I31" s="2" t="n"/>
      <c r="J31" s="3" t="n"/>
    </row>
    <row r="32">
      <c r="A32" s="14" t="inlineStr">
        <is>
          <t>物理防禦</t>
        </is>
      </c>
      <c r="B32" s="15" t="n">
        <v>28</v>
      </c>
      <c r="C32" s="2" t="n"/>
      <c r="D32" s="2" t="n"/>
      <c r="E32" s="3" t="n"/>
      <c r="F32" s="9" t="inlineStr">
        <is>
          <t>法袍+功法</t>
        </is>
      </c>
      <c r="G32" s="2" t="n"/>
      <c r="H32" s="2" t="n"/>
      <c r="I32" s="2" t="n"/>
      <c r="J32" s="3" t="n"/>
    </row>
    <row r="33">
      <c r="A33" s="6" t="inlineStr">
        <is>
          <t>法術抗性</t>
        </is>
      </c>
      <c r="B33" s="16" t="n">
        <v>35</v>
      </c>
      <c r="C33" s="2" t="n"/>
      <c r="D33" s="2" t="n"/>
      <c r="E33" s="3" t="n"/>
      <c r="F33" s="13" t="inlineStr">
        <is>
          <t>法袍+功法</t>
        </is>
      </c>
      <c r="G33" s="2" t="n"/>
      <c r="H33" s="2" t="n"/>
      <c r="I33" s="2" t="n"/>
      <c r="J33" s="3" t="n"/>
    </row>
    <row r="34">
      <c r="A34" s="14" t="inlineStr">
        <is>
          <t>護體真氣</t>
        </is>
      </c>
      <c r="B34" s="15" t="n">
        <v>80</v>
      </c>
      <c r="C34" s="2" t="n"/>
      <c r="D34" s="2" t="n"/>
      <c r="E34" s="3" t="n"/>
      <c r="F34" s="9" t="inlineStr">
        <is>
          <t>心法+法寶</t>
        </is>
      </c>
      <c r="G34" s="2" t="n"/>
      <c r="H34" s="2" t="n"/>
      <c r="I34" s="2" t="n"/>
      <c r="J34" s="3" t="n"/>
    </row>
    <row r="35">
      <c r="A35" s="6" t="inlineStr">
        <is>
          <t>閃避</t>
        </is>
      </c>
      <c r="B35" s="16" t="n">
        <v>58</v>
      </c>
      <c r="C35" s="2" t="n"/>
      <c r="D35" s="2" t="n"/>
      <c r="E35" s="3" t="n"/>
      <c r="F35" s="13" t="inlineStr">
        <is>
          <t>身法值</t>
        </is>
      </c>
      <c r="G35" s="2" t="n"/>
      <c r="H35" s="2" t="n"/>
      <c r="I35" s="2" t="n"/>
      <c r="J35" s="3" t="n"/>
    </row>
    <row r="36">
      <c r="A36" s="14" t="inlineStr">
        <is>
          <t>移動</t>
        </is>
      </c>
      <c r="B36" s="15" t="inlineStr">
        <is>
          <t>2區</t>
        </is>
      </c>
      <c r="C36" s="2" t="n"/>
      <c r="D36" s="2" t="n"/>
      <c r="E36" s="3" t="n"/>
      <c r="F36" s="9" t="inlineStr">
        <is>
          <t>根據身法</t>
        </is>
      </c>
      <c r="G36" s="2" t="n"/>
      <c r="H36" s="2" t="n"/>
      <c r="I36" s="2" t="n"/>
      <c r="J36" s="3" t="n"/>
    </row>
    <row r="37">
      <c r="A37" s="6" t="inlineStr">
        <is>
          <t>大成功</t>
        </is>
      </c>
      <c r="B37" s="12">
        <f>3+FLOOR((G7-1)/3,1)</f>
        <v/>
      </c>
      <c r="C37" s="2" t="n"/>
      <c r="D37" s="2" t="n"/>
      <c r="E37" s="3" t="n"/>
      <c r="F37" s="13" t="inlineStr">
        <is>
          <t>1d100≤此值</t>
        </is>
      </c>
      <c r="G37" s="2" t="n"/>
      <c r="H37" s="2" t="n"/>
      <c r="I37" s="2" t="n"/>
      <c r="J37" s="3" t="n"/>
    </row>
    <row r="38">
      <c r="A38" s="14" t="inlineStr">
        <is>
          <t>大失敗</t>
        </is>
      </c>
      <c r="B38" s="15" t="inlineStr">
        <is>
          <t>96-00</t>
        </is>
      </c>
      <c r="C38" s="2" t="n"/>
      <c r="D38" s="2" t="n"/>
      <c r="E38" s="3" t="n"/>
      <c r="F38" s="9" t="inlineStr">
        <is>
          <t>固定5%</t>
        </is>
      </c>
      <c r="G38" s="2" t="n"/>
      <c r="H38" s="2" t="n"/>
      <c r="I38" s="2" t="n"/>
      <c r="J38" s="3" t="n"/>
    </row>
    <row r="39"/>
    <row r="40"/>
    <row r="41">
      <c r="A41" s="5" t="inlineStr">
        <is>
          <t>裝備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/>
    <row r="43">
      <c r="A43" s="6" t="inlineStr">
        <is>
          <t>武器</t>
        </is>
      </c>
      <c r="B43" s="8" t="inlineStr">
        <is>
          <t>血飲狂刀（地級，2d8+4+肉/6，擊殺回生命值（HP）×15%）</t>
        </is>
      </c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6" t="inlineStr">
        <is>
          <t>法袍</t>
        </is>
      </c>
      <c r="B44" s="8" t="inlineStr">
        <is>
          <t>五行戰甲（地級，防+30，法抗+40，全屬性+5）</t>
        </is>
      </c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6" t="inlineStr">
        <is>
          <t>法寶</t>
        </is>
      </c>
      <c r="B45" s="8" t="inlineStr">
        <is>
          <t>—</t>
        </is>
      </c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6" t="inlineStr">
        <is>
          <t>飾品</t>
        </is>
      </c>
      <c r="B46" s="8" t="inlineStr">
        <is>
          <t>—</t>
        </is>
      </c>
      <c r="C46" s="2" t="n"/>
      <c r="D46" s="2" t="n"/>
      <c r="E46" s="2" t="n"/>
      <c r="F46" s="2" t="n"/>
      <c r="G46" s="2" t="n"/>
      <c r="H46" s="2" t="n"/>
      <c r="I46" s="2" t="n"/>
      <c r="J46" s="3" t="n"/>
    </row>
    <row r="47"/>
    <row r="48">
      <c r="A48" s="5" t="inlineStr">
        <is>
          <t>功法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/>
    <row r="50">
      <c r="A50" s="6" t="inlineStr">
        <is>
          <t>心法</t>
        </is>
      </c>
      <c r="B50" s="8" t="inlineStr">
        <is>
          <t>《血煞魔經》Lv.5（攻擊吸血+25%，心魔+5/突破）</t>
        </is>
      </c>
      <c r="C50" s="2" t="n"/>
      <c r="D50" s="2" t="n"/>
      <c r="E50" s="2" t="n"/>
      <c r="F50" s="2" t="n"/>
      <c r="G50" s="2" t="n"/>
      <c r="H50" s="2" t="n"/>
      <c r="I50" s="2" t="n"/>
      <c r="J50" s="3" t="n"/>
    </row>
    <row r="51">
      <c r="A51" s="6" t="inlineStr">
        <is>
          <t>武技</t>
        </is>
      </c>
      <c r="B51" s="8" t="inlineStr">
        <is>
          <t>《血飲刀法》Lv.4、《血煞掌》Lv.5</t>
        </is>
      </c>
      <c r="C51" s="2" t="n"/>
      <c r="D51" s="2" t="n"/>
      <c r="E51" s="2" t="n"/>
      <c r="F51" s="2" t="n"/>
      <c r="G51" s="2" t="n"/>
      <c r="H51" s="2" t="n"/>
      <c r="I51" s="2" t="n"/>
      <c r="J51" s="3" t="n"/>
    </row>
    <row r="52"/>
    <row r="53">
      <c r="A53" s="5" t="inlineStr">
        <is>
          <t>物品與狀態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</row>
    <row r="54"/>
    <row r="55">
      <c r="A55" s="6" t="inlineStr">
        <is>
          <t>靈石</t>
        </is>
      </c>
      <c r="B55" s="7" t="n">
        <v>200000</v>
      </c>
      <c r="D55" s="6" t="inlineStr">
        <is>
          <t>丹藥</t>
        </is>
      </c>
      <c r="E55" s="8" t="inlineStr">
        <is>
          <t>魔道丹藥×30</t>
        </is>
      </c>
      <c r="F55" s="2" t="n"/>
      <c r="G55" s="2" t="n"/>
      <c r="H55" s="2" t="n"/>
      <c r="I55" s="2" t="n"/>
      <c r="J55" s="3" t="n"/>
    </row>
    <row r="56">
      <c r="A56" s="6" t="inlineStr">
        <is>
          <t>藥毒</t>
        </is>
      </c>
      <c r="B56" s="15" t="inlineStr">
        <is>
          <t>20/100</t>
        </is>
      </c>
      <c r="D56" s="6" t="inlineStr">
        <is>
          <t>心魔</t>
        </is>
      </c>
      <c r="E56" s="15" t="inlineStr">
        <is>
          <t>45/100</t>
        </is>
      </c>
    </row>
    <row r="57">
      <c r="A57" s="6" t="inlineStr">
        <is>
          <t>壽元</t>
        </is>
      </c>
      <c r="B57" s="7" t="inlineStr">
        <is>
          <t>800年</t>
        </is>
      </c>
      <c r="D57" s="6" t="inlineStr">
        <is>
          <t>已耗</t>
        </is>
      </c>
      <c r="E57" s="7" t="inlineStr">
        <is>
          <t>500年</t>
        </is>
      </c>
    </row>
    <row r="58"/>
    <row r="59">
      <c r="A59" s="5" t="inlineStr">
        <is>
          <t>背景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/>
    <row r="61" ht="80" customHeight="1">
      <c r="A61" s="6" t="inlineStr">
        <is>
          <t>故事</t>
        </is>
      </c>
      <c r="B61" s="8" t="inlineStr">
        <is>
          <t>血煞魔君原名厲無邪，曾是太虛劍宗最有前途的弟子。因突破化神失敗走火入魔墮入魔道。他最大武器是偽裝——平時溫文爾雅，實則嗜血殘暴。是金丹~元嬰期最大威脅。</t>
        </is>
      </c>
      <c r="C61" s="2" t="n"/>
      <c r="D61" s="2" t="n"/>
      <c r="E61" s="2" t="n"/>
      <c r="F61" s="2" t="n"/>
      <c r="G61" s="2" t="n"/>
      <c r="H61" s="2" t="n"/>
      <c r="I61" s="2" t="n"/>
      <c r="J61" s="3" t="n"/>
    </row>
  </sheetData>
  <mergeCells count="63">
    <mergeCell ref="B9:E9"/>
    <mergeCell ref="F29:J29"/>
    <mergeCell ref="D20:H20"/>
    <mergeCell ref="B25:C25"/>
    <mergeCell ref="B61:J61"/>
    <mergeCell ref="F34:J34"/>
    <mergeCell ref="B14:J14"/>
    <mergeCell ref="D19:H19"/>
    <mergeCell ref="B30:E30"/>
    <mergeCell ref="A53:J53"/>
    <mergeCell ref="B13:D13"/>
    <mergeCell ref="A4:J4"/>
    <mergeCell ref="B8:J8"/>
    <mergeCell ref="B22:C22"/>
    <mergeCell ref="B33:E33"/>
    <mergeCell ref="B18:C18"/>
    <mergeCell ref="D22:H22"/>
    <mergeCell ref="B36:E36"/>
    <mergeCell ref="H7:J7"/>
    <mergeCell ref="B32:E32"/>
    <mergeCell ref="B44:J44"/>
    <mergeCell ref="F30:J30"/>
    <mergeCell ref="B21:C21"/>
    <mergeCell ref="G9:J9"/>
    <mergeCell ref="D21:H21"/>
    <mergeCell ref="B35:E35"/>
    <mergeCell ref="B23:C23"/>
    <mergeCell ref="F36:J36"/>
    <mergeCell ref="A59:J59"/>
    <mergeCell ref="F33:J33"/>
    <mergeCell ref="A48:J48"/>
    <mergeCell ref="F32:J32"/>
    <mergeCell ref="F35:J35"/>
    <mergeCell ref="A11:J11"/>
    <mergeCell ref="B31:E31"/>
    <mergeCell ref="A1:J1"/>
    <mergeCell ref="B51:J51"/>
    <mergeCell ref="B45:J45"/>
    <mergeCell ref="B19:C19"/>
    <mergeCell ref="F38:J38"/>
    <mergeCell ref="B50:J50"/>
    <mergeCell ref="F31:J31"/>
    <mergeCell ref="A16:J16"/>
    <mergeCell ref="D18:H18"/>
    <mergeCell ref="F13:J13"/>
    <mergeCell ref="A41:J41"/>
    <mergeCell ref="B6:C6"/>
    <mergeCell ref="B24:C24"/>
    <mergeCell ref="D25:H25"/>
    <mergeCell ref="E55:J55"/>
    <mergeCell ref="F37:J37"/>
    <mergeCell ref="D24:H24"/>
    <mergeCell ref="B46:J46"/>
    <mergeCell ref="B20:C20"/>
    <mergeCell ref="A27:J27"/>
    <mergeCell ref="B38:E38"/>
    <mergeCell ref="E6:H6"/>
    <mergeCell ref="A2:J2"/>
    <mergeCell ref="B29:E29"/>
    <mergeCell ref="D23:H23"/>
    <mergeCell ref="B37:E37"/>
    <mergeCell ref="B43:J43"/>
    <mergeCell ref="B34:E3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7" t="inlineStr">
        <is>
          <t>師父名稱</t>
        </is>
      </c>
      <c r="B1" s="17" t="inlineStr">
        <is>
          <t>血煞魔君</t>
        </is>
      </c>
    </row>
    <row r="2">
      <c r="A2" s="18" t="inlineStr">
        <is>
          <t>師父品級</t>
        </is>
      </c>
      <c r="B2" s="19" t="inlineStr">
        <is>
          <t>掌門級（魔道）</t>
        </is>
      </c>
    </row>
    <row r="3">
      <c r="A3" s="18" t="inlineStr">
        <is>
          <t>境界</t>
        </is>
      </c>
      <c r="B3" s="19" t="inlineStr">
        <is>
          <t>化神中期 (Lv.18)</t>
        </is>
      </c>
    </row>
    <row r="4">
      <c r="A4" s="18" t="inlineStr">
        <is>
          <t>收徒上限</t>
        </is>
      </c>
      <c r="B4" s="19" t="inlineStr">
        <is>
          <t>5</t>
        </is>
      </c>
    </row>
    <row r="5">
      <c r="A5" s="18" t="n"/>
      <c r="B5" s="19" t="n"/>
    </row>
    <row r="6">
      <c r="A6" s="18" t="inlineStr">
        <is>
          <t>收徒條件</t>
        </is>
      </c>
      <c r="B6" s="19" t="inlineStr">
        <is>
          <t>非正義陣營；道心≥40；完成「血煞入門試煉」
⚠️ 拜入將永久轉為魔道陣營</t>
        </is>
      </c>
    </row>
    <row r="7">
      <c r="A7" s="18" t="n"/>
      <c r="B7" s="19" t="n"/>
    </row>
    <row r="8">
      <c r="A8" s="18" t="inlineStr">
        <is>
          <t>═══ 可傳授功法 ═══</t>
        </is>
      </c>
      <c r="B8" s="19" t="n"/>
    </row>
    <row r="9">
      <c r="A9" s="18" t="inlineStr">
        <is>
          <t>可傳心法</t>
        </is>
      </c>
      <c r="B9" s="19" t="inlineStr">
        <is>
          <t>《太陰呼吸法》(黃/水陰)
《萬象歸元訣》(玄/混沌)
《玄陰真解》(地/暗冰)
《血煞魔功》(地/暗)</t>
        </is>
      </c>
    </row>
    <row r="10">
      <c r="A10" s="18" t="inlineStr">
        <is>
          <t>心法條件</t>
        </is>
      </c>
      <c r="B10" s="19" t="inlineStr">
        <is>
          <t>無條件；信任；暗冰靈根/親近；如子/生命值（HP）永久-10%</t>
        </is>
      </c>
    </row>
    <row r="11">
      <c r="A11" s="18" t="inlineStr">
        <is>
          <t>可傳武技</t>
        </is>
      </c>
      <c r="B11" s="19" t="inlineStr">
        <is>
          <t>《焚天掌》(玄/火)
《驚雷閃》(地/雷)
《暗影步》(玄/暗)</t>
        </is>
      </c>
    </row>
    <row r="12">
      <c r="A12" s="18" t="inlineStr">
        <is>
          <t>武技條件</t>
        </is>
      </c>
      <c r="B12" s="19" t="inlineStr">
        <is>
          <t>信任；雷靈根/親近；暗靈根/初識</t>
        </is>
      </c>
    </row>
    <row r="13">
      <c r="A13" s="18" t="inlineStr">
        <is>
          <t>可傳神通</t>
        </is>
      </c>
      <c r="B13" s="19" t="inlineStr">
        <is>
          <t>《三昧真火》(地/火)</t>
        </is>
      </c>
    </row>
    <row r="14">
      <c r="A14" s="18" t="inlineStr">
        <is>
          <t>神通條件</t>
        </is>
      </c>
      <c r="B14" s="19" t="inlineStr">
        <is>
          <t>親密度≥如子</t>
        </is>
      </c>
    </row>
    <row r="15">
      <c r="A15" s="18" t="n"/>
      <c r="B15" s="19" t="n"/>
    </row>
    <row r="16">
      <c r="A16" s="18" t="inlineStr">
        <is>
          <t>═══ 資源與援助 ═══</t>
        </is>
      </c>
      <c r="B16" s="19" t="n"/>
    </row>
    <row r="17">
      <c r="A17" s="18" t="inlineStr">
        <is>
          <t>每月資源供給</t>
        </is>
      </c>
      <c r="B17" s="19" t="inlineStr">
        <is>
          <t>初識: 靈石2,000+魔道材料
信任: 靈石5,000+大回靈丹×3+續骨丹×3
親近: 靈石10,000+超級回靈丹×2+地級魔器
如子: 靈石15,000+3名金丹魔修護衛</t>
        </is>
      </c>
    </row>
    <row r="18">
      <c r="A18" s="18" t="inlineStr">
        <is>
          <t>特殊援助</t>
        </is>
      </c>
      <c r="B18" s="19" t="inlineStr">
        <is>
          <t>殺戮指導(擊殺回血+5%)；魔道庇護(正道追殺避難)；玄陰宗人脈(親近)；血煞灌頂(衣缽/跳過天劫+心魔+20)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65" customWidth="1" min="2" max="2"/>
  </cols>
  <sheetData>
    <row r="1">
      <c r="A1" s="17" t="inlineStr">
        <is>
          <t>傳承名稱</t>
        </is>
      </c>
      <c r="B1" s="17" t="inlineStr">
        <is>
          <t>血煞灌頂 ⚠️ 魔道祕法</t>
        </is>
      </c>
    </row>
    <row r="2">
      <c r="A2" s="18" t="inlineStr">
        <is>
          <t>傳承類型</t>
        </is>
      </c>
      <c r="B2" s="19" t="inlineStr">
        <is>
          <t>衣缽級一次性傳承</t>
        </is>
      </c>
    </row>
    <row r="3">
      <c r="A3" s="18" t="inlineStr">
        <is>
          <t>觸發條件</t>
        </is>
      </c>
      <c r="B3" s="19" t="inlineStr">
        <is>
          <t>親密度 ≥ 衣缽；弟子境界 ≥ 金丹；非正義陣營</t>
        </is>
      </c>
    </row>
    <row r="4">
      <c r="A4" s="18" t="n"/>
      <c r="B4" s="19" t="n"/>
    </row>
    <row r="5">
      <c r="A5" s="18" t="inlineStr">
        <is>
          <t>效果1</t>
        </is>
      </c>
      <c r="B5" s="19" t="inlineStr">
        <is>
          <t>即刻突破當前境界（跳過天劫檢定）</t>
        </is>
      </c>
    </row>
    <row r="6">
      <c r="A6" s="18" t="inlineStr">
        <is>
          <t>效果2</t>
        </is>
      </c>
      <c r="B6" s="19" t="inlineStr">
        <is>
          <t>獲得臨時buff「血煞沸騰」(7天全屬性+10，每天生命值（HP）-5%)</t>
        </is>
      </c>
    </row>
    <row r="7">
      <c r="A7" s="18" t="inlineStr">
        <is>
          <t>效果3</t>
        </is>
      </c>
      <c r="B7" s="19" t="inlineStr">
        <is>
          <t>永久獲得「嗜血」被動：擊殺回復生命值（HP）×目標境界係數×5%</t>
        </is>
      </c>
    </row>
    <row r="8">
      <c r="A8" s="18" t="n"/>
      <c r="B8" s="19" t="n"/>
    </row>
    <row r="9">
      <c r="A9" s="18" t="inlineStr">
        <is>
          <t>代價(弟子)</t>
        </is>
      </c>
      <c r="B9" s="19" t="inlineStr">
        <is>
          <t>心魔檢定難度（DC）+20(失敗=走火入魔)；永久失去1條非暗系靈根</t>
        </is>
      </c>
    </row>
    <row r="10">
      <c r="A10" s="18" t="inlineStr">
        <is>
          <t>代價(師父)</t>
        </is>
      </c>
      <c r="B10" s="19" t="inlineStr">
        <is>
          <t>消耗3級修為(需1年恢復)</t>
        </is>
      </c>
    </row>
    <row r="11">
      <c r="A11" s="18" t="n"/>
      <c r="B11" s="19" t="n"/>
    </row>
    <row r="12">
      <c r="A12" s="18" t="inlineStr">
        <is>
          <t>警告</t>
        </is>
      </c>
      <c r="B12" s="19" t="inlineStr">
        <is>
          <t>正道玩家使用後陣營永久轉為魔道！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7" t="inlineStr">
        <is>
          <t>名稱</t>
        </is>
      </c>
      <c r="B1" s="17" t="inlineStr">
        <is>
          <t>鎮北真君</t>
        </is>
      </c>
    </row>
    <row r="2">
      <c r="A2" s="18" t="inlineStr">
        <is>
          <t>境界</t>
        </is>
      </c>
      <c r="B2" s="19" t="inlineStr">
        <is>
          <t>合體後期 (Lv.27)</t>
        </is>
      </c>
    </row>
    <row r="3">
      <c r="A3" s="18" t="inlineStr">
        <is>
          <t>靈根</t>
        </is>
      </c>
      <c r="B3" s="19" t="inlineStr">
        <is>
          <t>土靈根(天靈根) + 金靈根(上品)</t>
        </is>
      </c>
    </row>
    <row r="4">
      <c r="A4" s="18" t="inlineStr">
        <is>
          <t>身份</t>
        </is>
      </c>
      <c r="B4" s="19" t="inlineStr">
        <is>
          <t>北疆鎮守使，正道聯盟北方最高統帥</t>
        </is>
      </c>
    </row>
    <row r="5">
      <c r="A5" s="18" t="inlineStr">
        <is>
          <t>性格</t>
        </is>
      </c>
      <c r="B5" s="19" t="inlineStr">
        <is>
          <t>沉默寡言，以身作則，對魔族絕不妥協</t>
        </is>
      </c>
    </row>
    <row r="6">
      <c r="A6" s="18" t="inlineStr">
        <is>
          <t>生命值（HP）</t>
        </is>
      </c>
      <c r="B6" s="19" t="inlineStr">
        <is>
          <t>~1,050 (肉身×8.0)</t>
        </is>
      </c>
    </row>
    <row r="7">
      <c r="A7" s="18" t="inlineStr">
        <is>
          <t>靈力</t>
        </is>
      </c>
      <c r="B7" s="19" t="inlineStr">
        <is>
          <t>~720</t>
        </is>
      </c>
    </row>
    <row r="8">
      <c r="A8" s="18" t="inlineStr">
        <is>
          <t>戰鬥風格</t>
        </is>
      </c>
      <c r="B8" s="19" t="inlineStr">
        <is>
          <t>重型防禦型；一夫當關萬夫莫開的統帥型戰士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7" t="inlineStr">
        <is>
          <t>師父名稱</t>
        </is>
      </c>
      <c r="B1" s="17" t="inlineStr">
        <is>
          <t>鎮北真君</t>
        </is>
      </c>
    </row>
    <row r="2">
      <c r="A2" s="18" t="inlineStr">
        <is>
          <t>師父品級</t>
        </is>
      </c>
      <c r="B2" s="19" t="inlineStr">
        <is>
          <t>掌門級</t>
        </is>
      </c>
    </row>
    <row r="3">
      <c r="A3" s="18" t="inlineStr">
        <is>
          <t>境界</t>
        </is>
      </c>
      <c r="B3" s="19" t="inlineStr">
        <is>
          <t>合體後期 (Lv.27)</t>
        </is>
      </c>
    </row>
    <row r="4">
      <c r="A4" s="18" t="inlineStr">
        <is>
          <t>收徒條件</t>
        </is>
      </c>
      <c r="B4" s="19" t="inlineStr">
        <is>
          <t>正義陣營；聲望≥50；北疆前線服役6個月</t>
        </is>
      </c>
    </row>
    <row r="5">
      <c r="A5" s="18" t="inlineStr">
        <is>
          <t>收徒上限</t>
        </is>
      </c>
      <c r="B5" s="19" t="inlineStr">
        <is>
          <t>5</t>
        </is>
      </c>
    </row>
    <row r="6">
      <c r="A6" s="18" t="n"/>
      <c r="B6" s="19" t="n"/>
    </row>
    <row r="7">
      <c r="A7" s="18" t="inlineStr">
        <is>
          <t>可傳心法</t>
        </is>
      </c>
      <c r="B7" s="19" t="inlineStr">
        <is>
          <t>《金剛鍛體訣》(黃/金土)
《天罡正氣訣》(玄/金)
《九轉玄功》(地/土)</t>
        </is>
      </c>
    </row>
    <row r="8">
      <c r="A8" s="18" t="inlineStr">
        <is>
          <t>心法條件</t>
        </is>
      </c>
      <c r="B8" s="19" t="inlineStr">
        <is>
          <t>無條件；正義/信任；親近(體修核心)</t>
        </is>
      </c>
    </row>
    <row r="9">
      <c r="A9" s="18" t="inlineStr">
        <is>
          <t>可傳武技</t>
        </is>
      </c>
      <c r="B9" s="19" t="inlineStr">
        <is>
          <t>《鐵壁訣》(黃/土)
《裂天劍罡》(地/金)
《冰封千里》(地/冰)</t>
        </is>
      </c>
    </row>
    <row r="10">
      <c r="A10" s="18" t="inlineStr">
        <is>
          <t>武技條件</t>
        </is>
      </c>
      <c r="B10" s="19" t="inlineStr">
        <is>
          <t>無條件；親近；親近</t>
        </is>
      </c>
    </row>
    <row r="11">
      <c r="A11" s="18" t="inlineStr">
        <is>
          <t>可傳神通</t>
        </is>
      </c>
      <c r="B11" s="19" t="inlineStr">
        <is>
          <t>《金剛法相》(玄/土金)
《法天象地》(天/土)</t>
        </is>
      </c>
    </row>
    <row r="12">
      <c r="A12" s="18" t="inlineStr">
        <is>
          <t>神通條件</t>
        </is>
      </c>
      <c r="B12" s="19" t="inlineStr">
        <is>
          <t>信任；衣缽</t>
        </is>
      </c>
    </row>
    <row r="13">
      <c r="A13" s="18" t="n"/>
      <c r="B13" s="19" t="n"/>
    </row>
    <row r="14">
      <c r="A14" s="18" t="inlineStr">
        <is>
          <t>每月資源供給</t>
        </is>
      </c>
      <c r="B14" s="19" t="inlineStr">
        <is>
          <t>初識: 靈石2,000+軍需丹藥×3
信任: 靈石5,000+地級裝備×1
親近: 靈石10,000+百人修士小隊調動權
如子: 靈石20,000+天級防具</t>
        </is>
      </c>
    </row>
    <row r="15">
      <c r="A15" s="18" t="inlineStr">
        <is>
          <t>特殊援助</t>
        </is>
      </c>
      <c r="B15" s="19" t="inlineStr">
        <is>
          <t>北疆軍陣(北疆範圍全屬性+5+生命值（HP）+20%)
軍功兌換(信任/北疆專屬裝備)
破魔特訓(對魔族+15%永久)
絕境守護(50%概率親自出手/每境界1次)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天機·修真心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墨淵 — 角色卡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/>
    <row r="4">
      <c r="A4" s="5" t="inlineStr">
        <is>
          <t>基本資訊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/>
    <row r="6">
      <c r="A6" s="6" t="inlineStr">
        <is>
          <t>姓名</t>
        </is>
      </c>
      <c r="B6" s="7" t="inlineStr">
        <is>
          <t>墨淵</t>
        </is>
      </c>
      <c r="C6" s="3" t="n"/>
      <c r="D6" s="6" t="inlineStr">
        <is>
          <t>稱號</t>
        </is>
      </c>
      <c r="E6" s="8" t="inlineStr">
        <is>
          <t>天機府入門弟子</t>
        </is>
      </c>
      <c r="F6" s="2" t="n"/>
      <c r="G6" s="2" t="n"/>
      <c r="H6" s="3" t="n"/>
      <c r="I6" s="6" t="inlineStr">
        <is>
          <t>境界</t>
        </is>
      </c>
      <c r="J6" s="7" t="inlineStr">
        <is>
          <t>煉氣·初(Lv.1)</t>
        </is>
      </c>
    </row>
    <row r="7">
      <c r="A7" s="6" t="inlineStr">
        <is>
          <t>性別</t>
        </is>
      </c>
      <c r="B7" s="7" t="inlineStr">
        <is>
          <t>男</t>
        </is>
      </c>
      <c r="C7" s="6" t="inlineStr">
        <is>
          <t>年齡</t>
        </is>
      </c>
      <c r="D7" s="7" t="n">
        <v>24</v>
      </c>
      <c r="E7" s="6" t="inlineStr">
        <is>
          <t>Lv</t>
        </is>
      </c>
      <c r="F7" s="7" t="n">
        <v>1</v>
      </c>
      <c r="G7" s="6" t="inlineStr">
        <is>
          <t>修為</t>
        </is>
      </c>
      <c r="H7" s="7" t="inlineStr">
        <is>
          <t>0/100</t>
        </is>
      </c>
      <c r="I7" s="2" t="n"/>
      <c r="J7" s="3" t="n"/>
    </row>
    <row r="8">
      <c r="A8" s="6" t="inlineStr">
        <is>
          <t>出身</t>
        </is>
      </c>
      <c r="B8" s="8" t="inlineStr">
        <is>
          <t>私塾先生→天機府（大器晚成）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6" t="inlineStr">
        <is>
          <t>宗門</t>
        </is>
      </c>
      <c r="B9" s="8" t="inlineStr">
        <is>
          <t>天機府</t>
        </is>
      </c>
      <c r="C9" s="2" t="n"/>
      <c r="D9" s="2" t="n"/>
      <c r="E9" s="3" t="n"/>
      <c r="F9" s="6" t="inlineStr">
        <is>
          <t>特殊</t>
        </is>
      </c>
      <c r="G9" s="8" t="inlineStr">
        <is>
          <t>無</t>
        </is>
      </c>
      <c r="H9" s="2" t="n"/>
      <c r="I9" s="2" t="n"/>
      <c r="J9" s="3" t="n"/>
    </row>
    <row r="10"/>
    <row r="11">
      <c r="A11" s="5" t="inlineStr">
        <is>
          <t>靈根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/>
    <row r="13">
      <c r="A13" s="6" t="inlineStr">
        <is>
          <t>類型</t>
        </is>
      </c>
      <c r="B13" s="7" t="inlineStr">
        <is>
          <t>水靈根</t>
        </is>
      </c>
      <c r="C13" s="2" t="n"/>
      <c r="D13" s="3" t="n"/>
      <c r="E13" s="6" t="inlineStr">
        <is>
          <t>品質</t>
        </is>
      </c>
      <c r="F13" s="7" t="inlineStr">
        <is>
          <t>上品（×1.3）</t>
        </is>
      </c>
      <c r="G13" s="2" t="n"/>
      <c r="H13" s="2" t="n"/>
      <c r="I13" s="2" t="n"/>
      <c r="J13" s="3" t="n"/>
    </row>
    <row r="14">
      <c r="A14" s="6" t="inlineStr">
        <is>
          <t>加成</t>
        </is>
      </c>
      <c r="B14" s="8" t="inlineStr">
        <is>
          <t>神識+5；水系功法威力+10%；陣法佈置速度+15%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5"/>
    <row r="16">
      <c r="A16" s="5" t="inlineStr">
        <is>
          <t>八大屬性 (初始250點自由分配)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/>
    <row r="18">
      <c r="A18" s="6" t="inlineStr">
        <is>
          <t>根骨 GUG</t>
        </is>
      </c>
      <c r="B18" s="7" t="n">
        <v>30</v>
      </c>
      <c r="C18" s="3" t="n"/>
      <c r="D18" s="9" t="inlineStr">
        <is>
          <t>修煉/突破</t>
        </is>
      </c>
      <c r="E18" s="2" t="n"/>
      <c r="F18" s="2" t="n"/>
      <c r="G18" s="2" t="n"/>
      <c r="H18" s="3" t="n"/>
      <c r="I18" s="10">
        <f>FLOOR(B18/5,1)</f>
        <v/>
      </c>
      <c r="J18" s="11" t="inlineStr">
        <is>
          <t>加值÷5</t>
        </is>
      </c>
    </row>
    <row r="19">
      <c r="A19" s="6" t="inlineStr">
        <is>
          <t>悟性 WUX</t>
        </is>
      </c>
      <c r="B19" s="7" t="n">
        <v>40</v>
      </c>
      <c r="C19" s="3" t="n"/>
      <c r="D19" s="9" t="inlineStr">
        <is>
          <t>學習/破解</t>
        </is>
      </c>
      <c r="E19" s="2" t="n"/>
      <c r="F19" s="2" t="n"/>
      <c r="G19" s="2" t="n"/>
      <c r="H19" s="3" t="n"/>
      <c r="I19" s="10">
        <f>FLOOR(B19/5,1)</f>
        <v/>
      </c>
      <c r="J19" s="11" t="inlineStr">
        <is>
          <t>加值÷5</t>
        </is>
      </c>
    </row>
    <row r="20">
      <c r="A20" s="6" t="inlineStr">
        <is>
          <t>神識 SHS</t>
        </is>
      </c>
      <c r="B20" s="7" t="n">
        <v>35</v>
      </c>
      <c r="C20" s="3" t="n"/>
      <c r="D20" s="9" t="inlineStr">
        <is>
          <t>探查/先攻</t>
        </is>
      </c>
      <c r="E20" s="2" t="n"/>
      <c r="F20" s="2" t="n"/>
      <c r="G20" s="2" t="n"/>
      <c r="H20" s="3" t="n"/>
      <c r="I20" s="10">
        <f>FLOOR(B20/5,1)</f>
        <v/>
      </c>
      <c r="J20" s="11" t="inlineStr">
        <is>
          <t>加值÷5</t>
        </is>
      </c>
    </row>
    <row r="21">
      <c r="A21" s="6" t="inlineStr">
        <is>
          <t>肉身 RSS</t>
        </is>
      </c>
      <c r="B21" s="7" t="n">
        <v>28</v>
      </c>
      <c r="C21" s="3" t="n"/>
      <c r="D21" s="9" t="inlineStr">
        <is>
          <t>生命值（HP）/近戰</t>
        </is>
      </c>
      <c r="E21" s="2" t="n"/>
      <c r="F21" s="2" t="n"/>
      <c r="G21" s="2" t="n"/>
      <c r="H21" s="3" t="n"/>
      <c r="I21" s="10">
        <f>FLOOR(B21/5,1)</f>
        <v/>
      </c>
      <c r="J21" s="11" t="inlineStr">
        <is>
          <t>加值÷5</t>
        </is>
      </c>
    </row>
    <row r="22">
      <c r="A22" s="6" t="inlineStr">
        <is>
          <t>靈力 LIL</t>
        </is>
      </c>
      <c r="B22" s="7" t="n">
        <v>30</v>
      </c>
      <c r="C22" s="3" t="n"/>
      <c r="D22" s="9" t="inlineStr">
        <is>
          <t>法術/真氣</t>
        </is>
      </c>
      <c r="E22" s="2" t="n"/>
      <c r="F22" s="2" t="n"/>
      <c r="G22" s="2" t="n"/>
      <c r="H22" s="3" t="n"/>
      <c r="I22" s="10">
        <f>FLOOR(B22/5,1)</f>
        <v/>
      </c>
      <c r="J22" s="11" t="inlineStr">
        <is>
          <t>加值÷5</t>
        </is>
      </c>
    </row>
    <row r="23">
      <c r="A23" s="6" t="inlineStr">
        <is>
          <t>身法 SHF</t>
        </is>
      </c>
      <c r="B23" s="7" t="n">
        <v>32</v>
      </c>
      <c r="C23" s="3" t="n"/>
      <c r="D23" s="9" t="inlineStr">
        <is>
          <t>閃避/移動</t>
        </is>
      </c>
      <c r="E23" s="2" t="n"/>
      <c r="F23" s="2" t="n"/>
      <c r="G23" s="2" t="n"/>
      <c r="H23" s="3" t="n"/>
      <c r="I23" s="10">
        <f>FLOOR(B23/5,1)</f>
        <v/>
      </c>
      <c r="J23" s="11" t="inlineStr">
        <is>
          <t>加值÷5</t>
        </is>
      </c>
    </row>
    <row r="24">
      <c r="A24" s="6" t="inlineStr">
        <is>
          <t>機緣 JIY</t>
        </is>
      </c>
      <c r="B24" s="7" t="n">
        <v>25</v>
      </c>
      <c r="C24" s="3" t="n"/>
      <c r="D24" s="9" t="inlineStr">
        <is>
          <t>探索/掉落</t>
        </is>
      </c>
      <c r="E24" s="2" t="n"/>
      <c r="F24" s="2" t="n"/>
      <c r="G24" s="2" t="n"/>
      <c r="H24" s="3" t="n"/>
      <c r="I24" s="10">
        <f>FLOOR(B24/5,1)</f>
        <v/>
      </c>
      <c r="J24" s="11" t="inlineStr">
        <is>
          <t>加值÷5</t>
        </is>
      </c>
    </row>
    <row r="25">
      <c r="A25" s="6" t="inlineStr">
        <is>
          <t>道心 DAX</t>
        </is>
      </c>
      <c r="B25" s="7" t="n">
        <v>38</v>
      </c>
      <c r="C25" s="3" t="n"/>
      <c r="D25" s="9" t="inlineStr">
        <is>
          <t>心魔/渡劫</t>
        </is>
      </c>
      <c r="E25" s="2" t="n"/>
      <c r="F25" s="2" t="n"/>
      <c r="G25" s="2" t="n"/>
      <c r="H25" s="3" t="n"/>
      <c r="I25" s="10">
        <f>FLOOR(B25/5,1)</f>
        <v/>
      </c>
      <c r="J25" s="11" t="inlineStr">
        <is>
          <t>加值÷5</t>
        </is>
      </c>
    </row>
    <row r="26"/>
    <row r="27">
      <c r="A27" s="5" t="inlineStr">
        <is>
          <t>派生屬性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/>
    <row r="29">
      <c r="A29" s="6" t="inlineStr">
        <is>
          <t>生命值 HP</t>
        </is>
      </c>
      <c r="B29" s="12">
        <f>1.5*B21</f>
        <v/>
      </c>
      <c r="C29" s="2" t="n"/>
      <c r="D29" s="2" t="n"/>
      <c r="E29" s="3" t="n"/>
      <c r="F29" s="13" t="inlineStr">
        <is>
          <t>肉身×境界係數</t>
        </is>
      </c>
      <c r="G29" s="2" t="n"/>
      <c r="H29" s="2" t="n"/>
      <c r="I29" s="2" t="n"/>
      <c r="J29" s="3" t="n"/>
    </row>
    <row r="30">
      <c r="A30" s="14" t="inlineStr">
        <is>
          <t>真氣池</t>
        </is>
      </c>
      <c r="B30" s="10">
        <f>1.0*B22</f>
        <v/>
      </c>
      <c r="C30" s="2" t="n"/>
      <c r="D30" s="2" t="n"/>
      <c r="E30" s="3" t="n"/>
      <c r="F30" s="9" t="inlineStr">
        <is>
          <t>靈力×境界係數</t>
        </is>
      </c>
      <c r="G30" s="2" t="n"/>
      <c r="H30" s="2" t="n"/>
      <c r="I30" s="2" t="n"/>
      <c r="J30" s="3" t="n"/>
    </row>
    <row r="31">
      <c r="A31" s="6" t="inlineStr">
        <is>
          <t>先攻值</t>
        </is>
      </c>
      <c r="B31" s="12">
        <f>B20+FLOOR(B23/5,1)</f>
        <v/>
      </c>
      <c r="C31" s="2" t="n"/>
      <c r="D31" s="2" t="n"/>
      <c r="E31" s="3" t="n"/>
      <c r="F31" s="13" t="inlineStr">
        <is>
          <t>神識+floor(身法/5)</t>
        </is>
      </c>
      <c r="G31" s="2" t="n"/>
      <c r="H31" s="2" t="n"/>
      <c r="I31" s="2" t="n"/>
      <c r="J31" s="3" t="n"/>
    </row>
    <row r="32">
      <c r="A32" s="14" t="inlineStr">
        <is>
          <t>物理防禦</t>
        </is>
      </c>
      <c r="B32" s="15" t="n">
        <v>4</v>
      </c>
      <c r="C32" s="2" t="n"/>
      <c r="D32" s="2" t="n"/>
      <c r="E32" s="3" t="n"/>
      <c r="F32" s="9" t="inlineStr">
        <is>
          <t>法袍+功法</t>
        </is>
      </c>
      <c r="G32" s="2" t="n"/>
      <c r="H32" s="2" t="n"/>
      <c r="I32" s="2" t="n"/>
      <c r="J32" s="3" t="n"/>
    </row>
    <row r="33">
      <c r="A33" s="6" t="inlineStr">
        <is>
          <t>法術抗性</t>
        </is>
      </c>
      <c r="B33" s="16" t="n">
        <v>6</v>
      </c>
      <c r="C33" s="2" t="n"/>
      <c r="D33" s="2" t="n"/>
      <c r="E33" s="3" t="n"/>
      <c r="F33" s="13" t="inlineStr">
        <is>
          <t>法袍+功法</t>
        </is>
      </c>
      <c r="G33" s="2" t="n"/>
      <c r="H33" s="2" t="n"/>
      <c r="I33" s="2" t="n"/>
      <c r="J33" s="3" t="n"/>
    </row>
    <row r="34">
      <c r="A34" s="14" t="inlineStr">
        <is>
          <t>護體真氣</t>
        </is>
      </c>
      <c r="B34" s="15" t="n">
        <v>0</v>
      </c>
      <c r="C34" s="2" t="n"/>
      <c r="D34" s="2" t="n"/>
      <c r="E34" s="3" t="n"/>
      <c r="F34" s="9" t="inlineStr">
        <is>
          <t>心法+法寶</t>
        </is>
      </c>
      <c r="G34" s="2" t="n"/>
      <c r="H34" s="2" t="n"/>
      <c r="I34" s="2" t="n"/>
      <c r="J34" s="3" t="n"/>
    </row>
    <row r="35">
      <c r="A35" s="6" t="inlineStr">
        <is>
          <t>閃避</t>
        </is>
      </c>
      <c r="B35" s="16" t="n">
        <v>32</v>
      </c>
      <c r="C35" s="2" t="n"/>
      <c r="D35" s="2" t="n"/>
      <c r="E35" s="3" t="n"/>
      <c r="F35" s="13" t="inlineStr">
        <is>
          <t>身法值</t>
        </is>
      </c>
      <c r="G35" s="2" t="n"/>
      <c r="H35" s="2" t="n"/>
      <c r="I35" s="2" t="n"/>
      <c r="J35" s="3" t="n"/>
    </row>
    <row r="36">
      <c r="A36" s="14" t="inlineStr">
        <is>
          <t>移動</t>
        </is>
      </c>
      <c r="B36" s="15" t="inlineStr">
        <is>
          <t>1區</t>
        </is>
      </c>
      <c r="C36" s="2" t="n"/>
      <c r="D36" s="2" t="n"/>
      <c r="E36" s="3" t="n"/>
      <c r="F36" s="9" t="inlineStr">
        <is>
          <t>根據身法</t>
        </is>
      </c>
      <c r="G36" s="2" t="n"/>
      <c r="H36" s="2" t="n"/>
      <c r="I36" s="2" t="n"/>
      <c r="J36" s="3" t="n"/>
    </row>
    <row r="37">
      <c r="A37" s="6" t="inlineStr">
        <is>
          <t>大成功</t>
        </is>
      </c>
      <c r="B37" s="12">
        <f>3+FLOOR((G7-1)/3,1)</f>
        <v/>
      </c>
      <c r="C37" s="2" t="n"/>
      <c r="D37" s="2" t="n"/>
      <c r="E37" s="3" t="n"/>
      <c r="F37" s="13" t="inlineStr">
        <is>
          <t>1d100≤此值</t>
        </is>
      </c>
      <c r="G37" s="2" t="n"/>
      <c r="H37" s="2" t="n"/>
      <c r="I37" s="2" t="n"/>
      <c r="J37" s="3" t="n"/>
    </row>
    <row r="38">
      <c r="A38" s="14" t="inlineStr">
        <is>
          <t>大失敗</t>
        </is>
      </c>
      <c r="B38" s="15" t="inlineStr">
        <is>
          <t>96-00</t>
        </is>
      </c>
      <c r="C38" s="2" t="n"/>
      <c r="D38" s="2" t="n"/>
      <c r="E38" s="3" t="n"/>
      <c r="F38" s="9" t="inlineStr">
        <is>
          <t>固定5%</t>
        </is>
      </c>
      <c r="G38" s="2" t="n"/>
      <c r="H38" s="2" t="n"/>
      <c r="I38" s="2" t="n"/>
      <c r="J38" s="3" t="n"/>
    </row>
    <row r="39"/>
    <row r="40"/>
    <row r="41">
      <c r="A41" s="5" t="inlineStr">
        <is>
          <t>裝備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/>
    <row r="43">
      <c r="A43" s="6" t="inlineStr">
        <is>
          <t>武器</t>
        </is>
      </c>
      <c r="B43" s="8" t="inlineStr">
        <is>
          <t>五行符筆（玄級，1d10+靈+神/8，切換五行屬性）</t>
        </is>
      </c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6" t="inlineStr">
        <is>
          <t>法袍</t>
        </is>
      </c>
      <c r="B44" s="8" t="inlineStr">
        <is>
          <t>靈紋布袍（黃級，防+4，法抗+6，靈回+1/回合）</t>
        </is>
      </c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6" t="inlineStr">
        <is>
          <t>法寶</t>
        </is>
      </c>
      <c r="B45" s="8" t="inlineStr">
        <is>
          <t>—</t>
        </is>
      </c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6" t="inlineStr">
        <is>
          <t>飾品</t>
        </is>
      </c>
      <c r="B46" s="8" t="inlineStr">
        <is>
          <t>護身玉佩（黃級，法抗+3，道心+2）</t>
        </is>
      </c>
      <c r="C46" s="2" t="n"/>
      <c r="D46" s="2" t="n"/>
      <c r="E46" s="2" t="n"/>
      <c r="F46" s="2" t="n"/>
      <c r="G46" s="2" t="n"/>
      <c r="H46" s="2" t="n"/>
      <c r="I46" s="2" t="n"/>
      <c r="J46" s="3" t="n"/>
    </row>
    <row r="47"/>
    <row r="48">
      <c r="A48" s="5" t="inlineStr">
        <is>
          <t>功法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/>
    <row r="50">
      <c r="A50" s="6" t="inlineStr">
        <is>
          <t>心法</t>
        </is>
      </c>
      <c r="B50" s="8" t="inlineStr">
        <is>
          <t>《水鏡真訣》Lv.1（玄級，神識+5，陣法佈置+15%）</t>
        </is>
      </c>
      <c r="C50" s="2" t="n"/>
      <c r="D50" s="2" t="n"/>
      <c r="E50" s="2" t="n"/>
      <c r="F50" s="2" t="n"/>
      <c r="G50" s="2" t="n"/>
      <c r="H50" s="2" t="n"/>
      <c r="I50" s="2" t="n"/>
      <c r="J50" s="3" t="n"/>
    </row>
    <row r="51">
      <c r="A51" s="6" t="inlineStr">
        <is>
          <t>武技</t>
        </is>
      </c>
      <c r="B51" s="8" t="inlineStr">
        <is>
          <t>《基礎陣法》（可佈置黃級陣法，佈陣速度×1.2）</t>
        </is>
      </c>
      <c r="C51" s="2" t="n"/>
      <c r="D51" s="2" t="n"/>
      <c r="E51" s="2" t="n"/>
      <c r="F51" s="2" t="n"/>
      <c r="G51" s="2" t="n"/>
      <c r="H51" s="2" t="n"/>
      <c r="I51" s="2" t="n"/>
      <c r="J51" s="3" t="n"/>
    </row>
    <row r="52"/>
    <row r="53">
      <c r="A53" s="5" t="inlineStr">
        <is>
          <t>物品與狀態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</row>
    <row r="54"/>
    <row r="55">
      <c r="A55" s="6" t="inlineStr">
        <is>
          <t>靈石</t>
        </is>
      </c>
      <c r="B55" s="7" t="n">
        <v>120</v>
      </c>
      <c r="D55" s="6" t="inlineStr">
        <is>
          <t>丹藥</t>
        </is>
      </c>
      <c r="E55" s="8" t="inlineStr">
        <is>
          <t>培元丹×2, 回靈丹×2, 陣法入門卷軸×1</t>
        </is>
      </c>
      <c r="F55" s="2" t="n"/>
      <c r="G55" s="2" t="n"/>
      <c r="H55" s="2" t="n"/>
      <c r="I55" s="2" t="n"/>
      <c r="J55" s="3" t="n"/>
    </row>
    <row r="56">
      <c r="A56" s="6" t="inlineStr">
        <is>
          <t>藥毒</t>
        </is>
      </c>
      <c r="B56" s="15" t="inlineStr">
        <is>
          <t>0/100</t>
        </is>
      </c>
      <c r="D56" s="6" t="inlineStr">
        <is>
          <t>心魔</t>
        </is>
      </c>
      <c r="E56" s="15" t="inlineStr">
        <is>
          <t>0/100</t>
        </is>
      </c>
    </row>
    <row r="57">
      <c r="A57" s="6" t="inlineStr">
        <is>
          <t>壽元</t>
        </is>
      </c>
      <c r="B57" s="7" t="inlineStr">
        <is>
          <t>150年</t>
        </is>
      </c>
      <c r="D57" s="6" t="inlineStr">
        <is>
          <t>已耗</t>
        </is>
      </c>
      <c r="E57" s="7" t="inlineStr">
        <is>
          <t>24年</t>
        </is>
      </c>
    </row>
    <row r="58"/>
    <row r="59">
      <c r="A59" s="5" t="inlineStr">
        <is>
          <t>背景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/>
    <row r="61" ht="80" customHeight="1">
      <c r="A61" s="6" t="inlineStr">
        <is>
          <t>故事</t>
        </is>
      </c>
      <c r="B61" s="8" t="inlineStr">
        <is>
          <t>墨淵本是一名私塾先生，24歲時機緣巧合救了一位受傷的天機府陣師。他大器晚成，但悟性過人——三個月內參悟了別人一年才能掌握的陣法基礎。旁人笑他來晚了，他卻說："好飯不怕晚，大道不問年。"</t>
        </is>
      </c>
      <c r="C61" s="2" t="n"/>
      <c r="D61" s="2" t="n"/>
      <c r="E61" s="2" t="n"/>
      <c r="F61" s="2" t="n"/>
      <c r="G61" s="2" t="n"/>
      <c r="H61" s="2" t="n"/>
      <c r="I61" s="2" t="n"/>
      <c r="J61" s="3" t="n"/>
    </row>
  </sheetData>
  <mergeCells count="63">
    <mergeCell ref="B9:E9"/>
    <mergeCell ref="F29:J29"/>
    <mergeCell ref="D20:H20"/>
    <mergeCell ref="B25:C25"/>
    <mergeCell ref="B61:J61"/>
    <mergeCell ref="F34:J34"/>
    <mergeCell ref="B14:J14"/>
    <mergeCell ref="D19:H19"/>
    <mergeCell ref="B30:E30"/>
    <mergeCell ref="A53:J53"/>
    <mergeCell ref="B13:D13"/>
    <mergeCell ref="A4:J4"/>
    <mergeCell ref="B8:J8"/>
    <mergeCell ref="B22:C22"/>
    <mergeCell ref="B33:E33"/>
    <mergeCell ref="B18:C18"/>
    <mergeCell ref="D22:H22"/>
    <mergeCell ref="B36:E36"/>
    <mergeCell ref="H7:J7"/>
    <mergeCell ref="B32:E32"/>
    <mergeCell ref="B44:J44"/>
    <mergeCell ref="F30:J30"/>
    <mergeCell ref="B21:C21"/>
    <mergeCell ref="G9:J9"/>
    <mergeCell ref="D21:H21"/>
    <mergeCell ref="B35:E35"/>
    <mergeCell ref="B23:C23"/>
    <mergeCell ref="F36:J36"/>
    <mergeCell ref="A59:J59"/>
    <mergeCell ref="F33:J33"/>
    <mergeCell ref="A48:J48"/>
    <mergeCell ref="F32:J32"/>
    <mergeCell ref="F35:J35"/>
    <mergeCell ref="A11:J11"/>
    <mergeCell ref="B31:E31"/>
    <mergeCell ref="A1:J1"/>
    <mergeCell ref="B51:J51"/>
    <mergeCell ref="B45:J45"/>
    <mergeCell ref="B19:C19"/>
    <mergeCell ref="F38:J38"/>
    <mergeCell ref="B50:J50"/>
    <mergeCell ref="F31:J31"/>
    <mergeCell ref="A16:J16"/>
    <mergeCell ref="D18:H18"/>
    <mergeCell ref="F13:J13"/>
    <mergeCell ref="A41:J41"/>
    <mergeCell ref="B6:C6"/>
    <mergeCell ref="B24:C24"/>
    <mergeCell ref="D25:H25"/>
    <mergeCell ref="E55:J55"/>
    <mergeCell ref="F37:J37"/>
    <mergeCell ref="D24:H24"/>
    <mergeCell ref="B46:J46"/>
    <mergeCell ref="B20:C20"/>
    <mergeCell ref="A27:J27"/>
    <mergeCell ref="B38:E38"/>
    <mergeCell ref="E6:H6"/>
    <mergeCell ref="A2:J2"/>
    <mergeCell ref="B29:E29"/>
    <mergeCell ref="D23:H23"/>
    <mergeCell ref="B37:E37"/>
    <mergeCell ref="B43:J43"/>
    <mergeCell ref="B34:E3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天機·修真心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拓跋野 — 角色卡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/>
    <row r="4">
      <c r="A4" s="5" t="inlineStr">
        <is>
          <t>基本資訊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/>
    <row r="6">
      <c r="A6" s="6" t="inlineStr">
        <is>
          <t>姓名</t>
        </is>
      </c>
      <c r="B6" s="7" t="inlineStr">
        <is>
          <t>拓跋野</t>
        </is>
      </c>
      <c r="C6" s="3" t="n"/>
      <c r="D6" s="6" t="inlineStr">
        <is>
          <t>稱號</t>
        </is>
      </c>
      <c r="E6" s="8" t="inlineStr">
        <is>
          <t>蠻獸山見習御獸師</t>
        </is>
      </c>
      <c r="F6" s="2" t="n"/>
      <c r="G6" s="2" t="n"/>
      <c r="H6" s="3" t="n"/>
      <c r="I6" s="6" t="inlineStr">
        <is>
          <t>境界</t>
        </is>
      </c>
      <c r="J6" s="7" t="inlineStr">
        <is>
          <t>煉氣·初(Lv.1)</t>
        </is>
      </c>
    </row>
    <row r="7">
      <c r="A7" s="6" t="inlineStr">
        <is>
          <t>性別</t>
        </is>
      </c>
      <c r="B7" s="7" t="inlineStr">
        <is>
          <t>男</t>
        </is>
      </c>
      <c r="C7" s="6" t="inlineStr">
        <is>
          <t>年齡</t>
        </is>
      </c>
      <c r="D7" s="7" t="n">
        <v>19</v>
      </c>
      <c r="E7" s="6" t="inlineStr">
        <is>
          <t>Lv</t>
        </is>
      </c>
      <c r="F7" s="7" t="n">
        <v>1</v>
      </c>
      <c r="G7" s="6" t="inlineStr">
        <is>
          <t>修為</t>
        </is>
      </c>
      <c r="H7" s="7" t="inlineStr">
        <is>
          <t>0/100</t>
        </is>
      </c>
      <c r="I7" s="2" t="n"/>
      <c r="J7" s="3" t="n"/>
    </row>
    <row r="8">
      <c r="A8" s="6" t="inlineStr">
        <is>
          <t>出身</t>
        </is>
      </c>
      <c r="B8" s="8" t="inlineStr">
        <is>
          <t>北冥獵戶部落（無宗門·自學御獸）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6" t="inlineStr">
        <is>
          <t>宗門</t>
        </is>
      </c>
      <c r="B9" s="8" t="inlineStr">
        <is>
          <t>蠻獸山（相關）</t>
        </is>
      </c>
      <c r="C9" s="2" t="n"/>
      <c r="D9" s="2" t="n"/>
      <c r="E9" s="3" t="n"/>
      <c r="F9" s="6" t="inlineStr">
        <is>
          <t>特殊</t>
        </is>
      </c>
      <c r="G9" s="8" t="inlineStr">
        <is>
          <t>無</t>
        </is>
      </c>
      <c r="H9" s="2" t="n"/>
      <c r="I9" s="2" t="n"/>
      <c r="J9" s="3" t="n"/>
    </row>
    <row r="10"/>
    <row r="11">
      <c r="A11" s="5" t="inlineStr">
        <is>
          <t>靈根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/>
    <row r="13">
      <c r="A13" s="6" t="inlineStr">
        <is>
          <t>類型</t>
        </is>
      </c>
      <c r="B13" s="7" t="inlineStr">
        <is>
          <t>土靈根</t>
        </is>
      </c>
      <c r="C13" s="2" t="n"/>
      <c r="D13" s="3" t="n"/>
      <c r="E13" s="6" t="inlineStr">
        <is>
          <t>品質</t>
        </is>
      </c>
      <c r="F13" s="7" t="inlineStr">
        <is>
          <t>上品（×1.3）</t>
        </is>
      </c>
      <c r="G13" s="2" t="n"/>
      <c r="H13" s="2" t="n"/>
      <c r="I13" s="2" t="n"/>
      <c r="J13" s="3" t="n"/>
    </row>
    <row r="14">
      <c r="A14" s="6" t="inlineStr">
        <is>
          <t>加成</t>
        </is>
      </c>
      <c r="B14" s="8" t="inlineStr">
        <is>
          <t>道心+5；土系功法威力+10%；防禦類功法+15%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5"/>
    <row r="16">
      <c r="A16" s="5" t="inlineStr">
        <is>
          <t>八大屬性 (初始250點自由分配)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/>
    <row r="18">
      <c r="A18" s="6" t="inlineStr">
        <is>
          <t>根骨 GUG</t>
        </is>
      </c>
      <c r="B18" s="7" t="n">
        <v>30</v>
      </c>
      <c r="C18" s="3" t="n"/>
      <c r="D18" s="9" t="inlineStr">
        <is>
          <t>修煉/突破</t>
        </is>
      </c>
      <c r="E18" s="2" t="n"/>
      <c r="F18" s="2" t="n"/>
      <c r="G18" s="2" t="n"/>
      <c r="H18" s="3" t="n"/>
      <c r="I18" s="10">
        <f>FLOOR(B18/5,1)</f>
        <v/>
      </c>
      <c r="J18" s="11" t="inlineStr">
        <is>
          <t>加值÷5</t>
        </is>
      </c>
    </row>
    <row r="19">
      <c r="A19" s="6" t="inlineStr">
        <is>
          <t>悟性 WUX</t>
        </is>
      </c>
      <c r="B19" s="7" t="n">
        <v>28</v>
      </c>
      <c r="C19" s="3" t="n"/>
      <c r="D19" s="9" t="inlineStr">
        <is>
          <t>學習/破解</t>
        </is>
      </c>
      <c r="E19" s="2" t="n"/>
      <c r="F19" s="2" t="n"/>
      <c r="G19" s="2" t="n"/>
      <c r="H19" s="3" t="n"/>
      <c r="I19" s="10">
        <f>FLOOR(B19/5,1)</f>
        <v/>
      </c>
      <c r="J19" s="11" t="inlineStr">
        <is>
          <t>加值÷5</t>
        </is>
      </c>
    </row>
    <row r="20">
      <c r="A20" s="6" t="inlineStr">
        <is>
          <t>神識 SHS</t>
        </is>
      </c>
      <c r="B20" s="7" t="n">
        <v>32</v>
      </c>
      <c r="C20" s="3" t="n"/>
      <c r="D20" s="9" t="inlineStr">
        <is>
          <t>探查/先攻</t>
        </is>
      </c>
      <c r="E20" s="2" t="n"/>
      <c r="F20" s="2" t="n"/>
      <c r="G20" s="2" t="n"/>
      <c r="H20" s="3" t="n"/>
      <c r="I20" s="10">
        <f>FLOOR(B20/5,1)</f>
        <v/>
      </c>
      <c r="J20" s="11" t="inlineStr">
        <is>
          <t>加值÷5</t>
        </is>
      </c>
    </row>
    <row r="21">
      <c r="A21" s="6" t="inlineStr">
        <is>
          <t>肉身 RSS</t>
        </is>
      </c>
      <c r="B21" s="7" t="n">
        <v>35</v>
      </c>
      <c r="C21" s="3" t="n"/>
      <c r="D21" s="9" t="inlineStr">
        <is>
          <t>生命值（HP）/近戰</t>
        </is>
      </c>
      <c r="E21" s="2" t="n"/>
      <c r="F21" s="2" t="n"/>
      <c r="G21" s="2" t="n"/>
      <c r="H21" s="3" t="n"/>
      <c r="I21" s="10">
        <f>FLOOR(B21/5,1)</f>
        <v/>
      </c>
      <c r="J21" s="11" t="inlineStr">
        <is>
          <t>加值÷5</t>
        </is>
      </c>
    </row>
    <row r="22">
      <c r="A22" s="6" t="inlineStr">
        <is>
          <t>靈力 LIL</t>
        </is>
      </c>
      <c r="B22" s="7" t="n">
        <v>28</v>
      </c>
      <c r="C22" s="3" t="n"/>
      <c r="D22" s="9" t="inlineStr">
        <is>
          <t>法術/真氣</t>
        </is>
      </c>
      <c r="E22" s="2" t="n"/>
      <c r="F22" s="2" t="n"/>
      <c r="G22" s="2" t="n"/>
      <c r="H22" s="3" t="n"/>
      <c r="I22" s="10">
        <f>FLOOR(B22/5,1)</f>
        <v/>
      </c>
      <c r="J22" s="11" t="inlineStr">
        <is>
          <t>加值÷5</t>
        </is>
      </c>
    </row>
    <row r="23">
      <c r="A23" s="6" t="inlineStr">
        <is>
          <t>身法 SHF</t>
        </is>
      </c>
      <c r="B23" s="7" t="n">
        <v>40</v>
      </c>
      <c r="C23" s="3" t="n"/>
      <c r="D23" s="9" t="inlineStr">
        <is>
          <t>閃避/移動</t>
        </is>
      </c>
      <c r="E23" s="2" t="n"/>
      <c r="F23" s="2" t="n"/>
      <c r="G23" s="2" t="n"/>
      <c r="H23" s="3" t="n"/>
      <c r="I23" s="10">
        <f>FLOOR(B23/5,1)</f>
        <v/>
      </c>
      <c r="J23" s="11" t="inlineStr">
        <is>
          <t>加值÷5</t>
        </is>
      </c>
    </row>
    <row r="24">
      <c r="A24" s="6" t="inlineStr">
        <is>
          <t>機緣 JIY</t>
        </is>
      </c>
      <c r="B24" s="7" t="n">
        <v>30</v>
      </c>
      <c r="C24" s="3" t="n"/>
      <c r="D24" s="9" t="inlineStr">
        <is>
          <t>探索/掉落</t>
        </is>
      </c>
      <c r="E24" s="2" t="n"/>
      <c r="F24" s="2" t="n"/>
      <c r="G24" s="2" t="n"/>
      <c r="H24" s="3" t="n"/>
      <c r="I24" s="10">
        <f>FLOOR(B24/5,1)</f>
        <v/>
      </c>
      <c r="J24" s="11" t="inlineStr">
        <is>
          <t>加值÷5</t>
        </is>
      </c>
    </row>
    <row r="25">
      <c r="A25" s="6" t="inlineStr">
        <is>
          <t>道心 DAX</t>
        </is>
      </c>
      <c r="B25" s="7" t="n">
        <v>38</v>
      </c>
      <c r="C25" s="3" t="n"/>
      <c r="D25" s="9" t="inlineStr">
        <is>
          <t>心魔/渡劫</t>
        </is>
      </c>
      <c r="E25" s="2" t="n"/>
      <c r="F25" s="2" t="n"/>
      <c r="G25" s="2" t="n"/>
      <c r="H25" s="3" t="n"/>
      <c r="I25" s="10">
        <f>FLOOR(B25/5,1)</f>
        <v/>
      </c>
      <c r="J25" s="11" t="inlineStr">
        <is>
          <t>加值÷5</t>
        </is>
      </c>
    </row>
    <row r="26"/>
    <row r="27">
      <c r="A27" s="5" t="inlineStr">
        <is>
          <t>派生屬性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/>
    <row r="29">
      <c r="A29" s="6" t="inlineStr">
        <is>
          <t>生命值 HP</t>
        </is>
      </c>
      <c r="B29" s="12">
        <f>1.5*B21</f>
        <v/>
      </c>
      <c r="C29" s="2" t="n"/>
      <c r="D29" s="2" t="n"/>
      <c r="E29" s="3" t="n"/>
      <c r="F29" s="13" t="inlineStr">
        <is>
          <t>肉身×境界係數</t>
        </is>
      </c>
      <c r="G29" s="2" t="n"/>
      <c r="H29" s="2" t="n"/>
      <c r="I29" s="2" t="n"/>
      <c r="J29" s="3" t="n"/>
    </row>
    <row r="30">
      <c r="A30" s="14" t="inlineStr">
        <is>
          <t>真氣池</t>
        </is>
      </c>
      <c r="B30" s="10">
        <f>1.0*B22</f>
        <v/>
      </c>
      <c r="C30" s="2" t="n"/>
      <c r="D30" s="2" t="n"/>
      <c r="E30" s="3" t="n"/>
      <c r="F30" s="9" t="inlineStr">
        <is>
          <t>靈力×境界係數</t>
        </is>
      </c>
      <c r="G30" s="2" t="n"/>
      <c r="H30" s="2" t="n"/>
      <c r="I30" s="2" t="n"/>
      <c r="J30" s="3" t="n"/>
    </row>
    <row r="31">
      <c r="A31" s="6" t="inlineStr">
        <is>
          <t>先攻值</t>
        </is>
      </c>
      <c r="B31" s="12">
        <f>B20+FLOOR(B23/5,1)</f>
        <v/>
      </c>
      <c r="C31" s="2" t="n"/>
      <c r="D31" s="2" t="n"/>
      <c r="E31" s="3" t="n"/>
      <c r="F31" s="13" t="inlineStr">
        <is>
          <t>神識+floor(身法/5)</t>
        </is>
      </c>
      <c r="G31" s="2" t="n"/>
      <c r="H31" s="2" t="n"/>
      <c r="I31" s="2" t="n"/>
      <c r="J31" s="3" t="n"/>
    </row>
    <row r="32">
      <c r="A32" s="14" t="inlineStr">
        <is>
          <t>物理防禦</t>
        </is>
      </c>
      <c r="B32" s="15" t="n">
        <v>5</v>
      </c>
      <c r="C32" s="2" t="n"/>
      <c r="D32" s="2" t="n"/>
      <c r="E32" s="3" t="n"/>
      <c r="F32" s="9" t="inlineStr">
        <is>
          <t>法袍+功法</t>
        </is>
      </c>
      <c r="G32" s="2" t="n"/>
      <c r="H32" s="2" t="n"/>
      <c r="I32" s="2" t="n"/>
      <c r="J32" s="3" t="n"/>
    </row>
    <row r="33">
      <c r="A33" s="6" t="inlineStr">
        <is>
          <t>法術抗性</t>
        </is>
      </c>
      <c r="B33" s="16" t="n">
        <v>0</v>
      </c>
      <c r="C33" s="2" t="n"/>
      <c r="D33" s="2" t="n"/>
      <c r="E33" s="3" t="n"/>
      <c r="F33" s="13" t="inlineStr">
        <is>
          <t>法袍+功法</t>
        </is>
      </c>
      <c r="G33" s="2" t="n"/>
      <c r="H33" s="2" t="n"/>
      <c r="I33" s="2" t="n"/>
      <c r="J33" s="3" t="n"/>
    </row>
    <row r="34">
      <c r="A34" s="14" t="inlineStr">
        <is>
          <t>護體真氣</t>
        </is>
      </c>
      <c r="B34" s="15" t="n">
        <v>0</v>
      </c>
      <c r="C34" s="2" t="n"/>
      <c r="D34" s="2" t="n"/>
      <c r="E34" s="3" t="n"/>
      <c r="F34" s="9" t="inlineStr">
        <is>
          <t>心法+法寶</t>
        </is>
      </c>
      <c r="G34" s="2" t="n"/>
      <c r="H34" s="2" t="n"/>
      <c r="I34" s="2" t="n"/>
      <c r="J34" s="3" t="n"/>
    </row>
    <row r="35">
      <c r="A35" s="6" t="inlineStr">
        <is>
          <t>閃避</t>
        </is>
      </c>
      <c r="B35" s="16" t="n">
        <v>40</v>
      </c>
      <c r="C35" s="2" t="n"/>
      <c r="D35" s="2" t="n"/>
      <c r="E35" s="3" t="n"/>
      <c r="F35" s="13" t="inlineStr">
        <is>
          <t>身法值</t>
        </is>
      </c>
      <c r="G35" s="2" t="n"/>
      <c r="H35" s="2" t="n"/>
      <c r="I35" s="2" t="n"/>
      <c r="J35" s="3" t="n"/>
    </row>
    <row r="36">
      <c r="A36" s="14" t="inlineStr">
        <is>
          <t>移動</t>
        </is>
      </c>
      <c r="B36" s="15" t="inlineStr">
        <is>
          <t>2區</t>
        </is>
      </c>
      <c r="C36" s="2" t="n"/>
      <c r="D36" s="2" t="n"/>
      <c r="E36" s="3" t="n"/>
      <c r="F36" s="9" t="inlineStr">
        <is>
          <t>根據身法</t>
        </is>
      </c>
      <c r="G36" s="2" t="n"/>
      <c r="H36" s="2" t="n"/>
      <c r="I36" s="2" t="n"/>
      <c r="J36" s="3" t="n"/>
    </row>
    <row r="37">
      <c r="A37" s="6" t="inlineStr">
        <is>
          <t>大成功</t>
        </is>
      </c>
      <c r="B37" s="12">
        <f>3+FLOOR((G7-1)/3,1)</f>
        <v/>
      </c>
      <c r="C37" s="2" t="n"/>
      <c r="D37" s="2" t="n"/>
      <c r="E37" s="3" t="n"/>
      <c r="F37" s="13" t="inlineStr">
        <is>
          <t>1d100≤此值</t>
        </is>
      </c>
      <c r="G37" s="2" t="n"/>
      <c r="H37" s="2" t="n"/>
      <c r="I37" s="2" t="n"/>
      <c r="J37" s="3" t="n"/>
    </row>
    <row r="38">
      <c r="A38" s="14" t="inlineStr">
        <is>
          <t>大失敗</t>
        </is>
      </c>
      <c r="B38" s="15" t="inlineStr">
        <is>
          <t>96-00</t>
        </is>
      </c>
      <c r="C38" s="2" t="n"/>
      <c r="D38" s="2" t="n"/>
      <c r="E38" s="3" t="n"/>
      <c r="F38" s="9" t="inlineStr">
        <is>
          <t>固定5%</t>
        </is>
      </c>
      <c r="G38" s="2" t="n"/>
      <c r="H38" s="2" t="n"/>
      <c r="I38" s="2" t="n"/>
      <c r="J38" s="3" t="n"/>
    </row>
    <row r="39"/>
    <row r="40"/>
    <row r="41">
      <c r="A41" s="5" t="inlineStr">
        <is>
          <t>裝備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/>
    <row r="43">
      <c r="A43" s="6" t="inlineStr">
        <is>
          <t>武器</t>
        </is>
      </c>
      <c r="B43" s="8" t="inlineStr">
        <is>
          <t>獸皮鞭（黃級，1d4+1+神識/10，馴獸+5檢定）</t>
        </is>
      </c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6" t="inlineStr">
        <is>
          <t>法袍</t>
        </is>
      </c>
      <c r="B44" s="8" t="inlineStr">
        <is>
          <t>獸皮甲（黃級，防+5，對野獸傷害-3）</t>
        </is>
      </c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6" t="inlineStr">
        <is>
          <t>法寶</t>
        </is>
      </c>
      <c r="B45" s="8" t="inlineStr">
        <is>
          <t>—</t>
        </is>
      </c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6" t="inlineStr">
        <is>
          <t>飾品</t>
        </is>
      </c>
      <c r="B46" s="8" t="inlineStr">
        <is>
          <t>—</t>
        </is>
      </c>
      <c r="C46" s="2" t="n"/>
      <c r="D46" s="2" t="n"/>
      <c r="E46" s="2" t="n"/>
      <c r="F46" s="2" t="n"/>
      <c r="G46" s="2" t="n"/>
      <c r="H46" s="2" t="n"/>
      <c r="I46" s="2" t="n"/>
      <c r="J46" s="3" t="n"/>
    </row>
    <row r="47"/>
    <row r="48">
      <c r="A48" s="5" t="inlineStr">
        <is>
          <t>功法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/>
    <row r="50">
      <c r="A50" s="6" t="inlineStr">
        <is>
          <t>心法</t>
        </is>
      </c>
      <c r="B50" s="8" t="inlineStr">
        <is>
          <t>《土德厚生訣》Lv.1（玄級，道心+5，御獸親和+15%）</t>
        </is>
      </c>
      <c r="C50" s="2" t="n"/>
      <c r="D50" s="2" t="n"/>
      <c r="E50" s="2" t="n"/>
      <c r="F50" s="2" t="n"/>
      <c r="G50" s="2" t="n"/>
      <c r="H50" s="2" t="n"/>
      <c r="I50" s="2" t="n"/>
      <c r="J50" s="3" t="n"/>
    </row>
    <row r="51">
      <c r="A51" s="6" t="inlineStr">
        <is>
          <t>武技</t>
        </is>
      </c>
      <c r="B51" s="8" t="inlineStr">
        <is>
          <t>《基礎御獸術》（可馴服黃級靈獸，馴獸檢定+10）</t>
        </is>
      </c>
      <c r="C51" s="2" t="n"/>
      <c r="D51" s="2" t="n"/>
      <c r="E51" s="2" t="n"/>
      <c r="F51" s="2" t="n"/>
      <c r="G51" s="2" t="n"/>
      <c r="H51" s="2" t="n"/>
      <c r="I51" s="2" t="n"/>
      <c r="J51" s="3" t="n"/>
    </row>
    <row r="52"/>
    <row r="53">
      <c r="A53" s="5" t="inlineStr">
        <is>
          <t>物品與狀態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</row>
    <row r="54"/>
    <row r="55">
      <c r="A55" s="6" t="inlineStr">
        <is>
          <t>靈石</t>
        </is>
      </c>
      <c r="B55" s="7" t="n">
        <v>15</v>
      </c>
      <c r="D55" s="6" t="inlineStr">
        <is>
          <t>丹藥</t>
        </is>
      </c>
      <c r="E55" s="8" t="inlineStr">
        <is>
          <t>療傷丹×3, 靈獸乾糧×10</t>
        </is>
      </c>
      <c r="F55" s="2" t="n"/>
      <c r="G55" s="2" t="n"/>
      <c r="H55" s="2" t="n"/>
      <c r="I55" s="2" t="n"/>
      <c r="J55" s="3" t="n"/>
    </row>
    <row r="56">
      <c r="A56" s="6" t="inlineStr">
        <is>
          <t>藥毒</t>
        </is>
      </c>
      <c r="B56" s="15" t="inlineStr">
        <is>
          <t>0/100</t>
        </is>
      </c>
      <c r="D56" s="6" t="inlineStr">
        <is>
          <t>心魔</t>
        </is>
      </c>
      <c r="E56" s="15" t="inlineStr">
        <is>
          <t>0/100</t>
        </is>
      </c>
    </row>
    <row r="57">
      <c r="A57" s="6" t="inlineStr">
        <is>
          <t>壽元</t>
        </is>
      </c>
      <c r="B57" s="7" t="inlineStr">
        <is>
          <t>150年</t>
        </is>
      </c>
      <c r="D57" s="6" t="inlineStr">
        <is>
          <t>已耗</t>
        </is>
      </c>
      <c r="E57" s="7" t="inlineStr">
        <is>
          <t>19年</t>
        </is>
      </c>
    </row>
    <row r="58"/>
    <row r="59">
      <c r="A59" s="5" t="inlineStr">
        <is>
          <t>背景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/>
    <row r="61" ht="80" customHeight="1">
      <c r="A61" s="6" t="inlineStr">
        <is>
          <t>故事</t>
        </is>
      </c>
      <c r="B61" s="8" t="inlineStr">
        <is>
          <t>拓跋野來自北冥蠻獸山下的獵戶部落，自幼與野獸為伴。十五歲時救下一隻受傷的鐵甲犀幼崽，從此踏上御獸之道。他沒有宗門資源，全靠自己摸索。他最大的夢想是馴服一頭真龍。</t>
        </is>
      </c>
      <c r="C61" s="2" t="n"/>
      <c r="D61" s="2" t="n"/>
      <c r="E61" s="2" t="n"/>
      <c r="F61" s="2" t="n"/>
      <c r="G61" s="2" t="n"/>
      <c r="H61" s="2" t="n"/>
      <c r="I61" s="2" t="n"/>
      <c r="J61" s="3" t="n"/>
    </row>
  </sheetData>
  <mergeCells count="63">
    <mergeCell ref="B9:E9"/>
    <mergeCell ref="F29:J29"/>
    <mergeCell ref="D20:H20"/>
    <mergeCell ref="B25:C25"/>
    <mergeCell ref="B61:J61"/>
    <mergeCell ref="F34:J34"/>
    <mergeCell ref="B14:J14"/>
    <mergeCell ref="D19:H19"/>
    <mergeCell ref="B30:E30"/>
    <mergeCell ref="A53:J53"/>
    <mergeCell ref="B13:D13"/>
    <mergeCell ref="A4:J4"/>
    <mergeCell ref="B8:J8"/>
    <mergeCell ref="B22:C22"/>
    <mergeCell ref="B33:E33"/>
    <mergeCell ref="B18:C18"/>
    <mergeCell ref="D22:H22"/>
    <mergeCell ref="B36:E36"/>
    <mergeCell ref="H7:J7"/>
    <mergeCell ref="B32:E32"/>
    <mergeCell ref="B44:J44"/>
    <mergeCell ref="F30:J30"/>
    <mergeCell ref="B21:C21"/>
    <mergeCell ref="G9:J9"/>
    <mergeCell ref="D21:H21"/>
    <mergeCell ref="B35:E35"/>
    <mergeCell ref="B23:C23"/>
    <mergeCell ref="F36:J36"/>
    <mergeCell ref="A59:J59"/>
    <mergeCell ref="F33:J33"/>
    <mergeCell ref="A48:J48"/>
    <mergeCell ref="F32:J32"/>
    <mergeCell ref="F35:J35"/>
    <mergeCell ref="A11:J11"/>
    <mergeCell ref="B31:E31"/>
    <mergeCell ref="A1:J1"/>
    <mergeCell ref="B51:J51"/>
    <mergeCell ref="B45:J45"/>
    <mergeCell ref="B19:C19"/>
    <mergeCell ref="F38:J38"/>
    <mergeCell ref="B50:J50"/>
    <mergeCell ref="F31:J31"/>
    <mergeCell ref="A16:J16"/>
    <mergeCell ref="D18:H18"/>
    <mergeCell ref="F13:J13"/>
    <mergeCell ref="A41:J41"/>
    <mergeCell ref="B6:C6"/>
    <mergeCell ref="B24:C24"/>
    <mergeCell ref="D25:H25"/>
    <mergeCell ref="E55:J55"/>
    <mergeCell ref="F37:J37"/>
    <mergeCell ref="D24:H24"/>
    <mergeCell ref="B46:J46"/>
    <mergeCell ref="B20:C20"/>
    <mergeCell ref="A27:J27"/>
    <mergeCell ref="B38:E38"/>
    <mergeCell ref="E6:H6"/>
    <mergeCell ref="A2:J2"/>
    <mergeCell ref="B29:E29"/>
    <mergeCell ref="D23:H23"/>
    <mergeCell ref="B37:E37"/>
    <mergeCell ref="B43:J43"/>
    <mergeCell ref="B34:E3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天機·修真心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葉靈溪 — 角色卡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/>
    <row r="4">
      <c r="A4" s="5" t="inlineStr">
        <is>
          <t>基本資訊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/>
    <row r="6">
      <c r="A6" s="6" t="inlineStr">
        <is>
          <t>姓名</t>
        </is>
      </c>
      <c r="B6" s="7" t="inlineStr">
        <is>
          <t>葉靈溪</t>
        </is>
      </c>
      <c r="C6" s="3" t="n"/>
      <c r="D6" s="6" t="inlineStr">
        <is>
          <t>稱號</t>
        </is>
      </c>
      <c r="E6" s="8" t="inlineStr">
        <is>
          <t>丹霞谷入門弟子</t>
        </is>
      </c>
      <c r="F6" s="2" t="n"/>
      <c r="G6" s="2" t="n"/>
      <c r="H6" s="3" t="n"/>
      <c r="I6" s="6" t="inlineStr">
        <is>
          <t>境界</t>
        </is>
      </c>
      <c r="J6" s="7" t="inlineStr">
        <is>
          <t>煉氣·初(Lv.1)</t>
        </is>
      </c>
    </row>
    <row r="7">
      <c r="A7" s="6" t="inlineStr">
        <is>
          <t>性別</t>
        </is>
      </c>
      <c r="B7" s="7" t="inlineStr">
        <is>
          <t>男</t>
        </is>
      </c>
      <c r="C7" s="6" t="inlineStr">
        <is>
          <t>年齡</t>
        </is>
      </c>
      <c r="D7" s="7" t="n">
        <v>21</v>
      </c>
      <c r="E7" s="6" t="inlineStr">
        <is>
          <t>Lv</t>
        </is>
      </c>
      <c r="F7" s="7" t="n">
        <v>1</v>
      </c>
      <c r="G7" s="6" t="inlineStr">
        <is>
          <t>修為</t>
        </is>
      </c>
      <c r="H7" s="7" t="inlineStr">
        <is>
          <t>0/100</t>
        </is>
      </c>
      <c r="I7" s="2" t="n"/>
      <c r="J7" s="3" t="n"/>
    </row>
    <row r="8">
      <c r="A8" s="6" t="inlineStr">
        <is>
          <t>出身</t>
        </is>
      </c>
      <c r="B8" s="8" t="inlineStr">
        <is>
          <t>東土藥商世家→丹霞谷學習煉丹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6" t="inlineStr">
        <is>
          <t>宗門</t>
        </is>
      </c>
      <c r="B9" s="8" t="inlineStr">
        <is>
          <t>丹霞谷</t>
        </is>
      </c>
      <c r="C9" s="2" t="n"/>
      <c r="D9" s="2" t="n"/>
      <c r="E9" s="3" t="n"/>
      <c r="F9" s="6" t="inlineStr">
        <is>
          <t>特殊</t>
        </is>
      </c>
      <c r="G9" s="8" t="inlineStr">
        <is>
          <t>無</t>
        </is>
      </c>
      <c r="H9" s="2" t="n"/>
      <c r="I9" s="2" t="n"/>
      <c r="J9" s="3" t="n"/>
    </row>
    <row r="10"/>
    <row r="11">
      <c r="A11" s="5" t="inlineStr">
        <is>
          <t>靈根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/>
    <row r="13">
      <c r="A13" s="6" t="inlineStr">
        <is>
          <t>類型</t>
        </is>
      </c>
      <c r="B13" s="7" t="inlineStr">
        <is>
          <t>木火雙靈根</t>
        </is>
      </c>
      <c r="C13" s="2" t="n"/>
      <c r="D13" s="3" t="n"/>
      <c r="E13" s="6" t="inlineStr">
        <is>
          <t>品質</t>
        </is>
      </c>
      <c r="F13" s="7" t="inlineStr">
        <is>
          <t>中品（×1.2）</t>
        </is>
      </c>
      <c r="G13" s="2" t="n"/>
      <c r="H13" s="2" t="n"/>
      <c r="I13" s="2" t="n"/>
      <c r="J13" s="3" t="n"/>
    </row>
    <row r="14">
      <c r="A14" s="6" t="inlineStr">
        <is>
          <t>加成</t>
        </is>
      </c>
      <c r="B14" s="8" t="inlineStr">
        <is>
          <t>木：肉身+5 煉丹+10% / 火：靈力+5 煉器+15%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5"/>
    <row r="16">
      <c r="A16" s="5" t="inlineStr">
        <is>
          <t>八大屬性 (初始250點自由分配)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/>
    <row r="18">
      <c r="A18" s="6" t="inlineStr">
        <is>
          <t>根骨 GUG</t>
        </is>
      </c>
      <c r="B18" s="7" t="n">
        <v>28</v>
      </c>
      <c r="C18" s="3" t="n"/>
      <c r="D18" s="9" t="inlineStr">
        <is>
          <t>修煉/突破</t>
        </is>
      </c>
      <c r="E18" s="2" t="n"/>
      <c r="F18" s="2" t="n"/>
      <c r="G18" s="2" t="n"/>
      <c r="H18" s="3" t="n"/>
      <c r="I18" s="10">
        <f>FLOOR(B18/5,1)</f>
        <v/>
      </c>
      <c r="J18" s="11" t="inlineStr">
        <is>
          <t>加值÷5</t>
        </is>
      </c>
    </row>
    <row r="19">
      <c r="A19" s="6" t="inlineStr">
        <is>
          <t>悟性 WUX</t>
        </is>
      </c>
      <c r="B19" s="7" t="n">
        <v>35</v>
      </c>
      <c r="C19" s="3" t="n"/>
      <c r="D19" s="9" t="inlineStr">
        <is>
          <t>學習/破解</t>
        </is>
      </c>
      <c r="E19" s="2" t="n"/>
      <c r="F19" s="2" t="n"/>
      <c r="G19" s="2" t="n"/>
      <c r="H19" s="3" t="n"/>
      <c r="I19" s="10">
        <f>FLOOR(B19/5,1)</f>
        <v/>
      </c>
      <c r="J19" s="11" t="inlineStr">
        <is>
          <t>加值÷5</t>
        </is>
      </c>
    </row>
    <row r="20">
      <c r="A20" s="6" t="inlineStr">
        <is>
          <t>神識 SHS</t>
        </is>
      </c>
      <c r="B20" s="7" t="n">
        <v>32</v>
      </c>
      <c r="C20" s="3" t="n"/>
      <c r="D20" s="9" t="inlineStr">
        <is>
          <t>探查/先攻</t>
        </is>
      </c>
      <c r="E20" s="2" t="n"/>
      <c r="F20" s="2" t="n"/>
      <c r="G20" s="2" t="n"/>
      <c r="H20" s="3" t="n"/>
      <c r="I20" s="10">
        <f>FLOOR(B20/5,1)</f>
        <v/>
      </c>
      <c r="J20" s="11" t="inlineStr">
        <is>
          <t>加值÷5</t>
        </is>
      </c>
    </row>
    <row r="21">
      <c r="A21" s="6" t="inlineStr">
        <is>
          <t>肉身 RSS</t>
        </is>
      </c>
      <c r="B21" s="7" t="n">
        <v>25</v>
      </c>
      <c r="C21" s="3" t="n"/>
      <c r="D21" s="9" t="inlineStr">
        <is>
          <t>生命值（HP）/近戰</t>
        </is>
      </c>
      <c r="E21" s="2" t="n"/>
      <c r="F21" s="2" t="n"/>
      <c r="G21" s="2" t="n"/>
      <c r="H21" s="3" t="n"/>
      <c r="I21" s="10">
        <f>FLOOR(B21/5,1)</f>
        <v/>
      </c>
      <c r="J21" s="11" t="inlineStr">
        <is>
          <t>加值÷5</t>
        </is>
      </c>
    </row>
    <row r="22">
      <c r="A22" s="6" t="inlineStr">
        <is>
          <t>靈力 LIL</t>
        </is>
      </c>
      <c r="B22" s="7" t="n">
        <v>38</v>
      </c>
      <c r="C22" s="3" t="n"/>
      <c r="D22" s="9" t="inlineStr">
        <is>
          <t>法術/真氣</t>
        </is>
      </c>
      <c r="E22" s="2" t="n"/>
      <c r="F22" s="2" t="n"/>
      <c r="G22" s="2" t="n"/>
      <c r="H22" s="3" t="n"/>
      <c r="I22" s="10">
        <f>FLOOR(B22/5,1)</f>
        <v/>
      </c>
      <c r="J22" s="11" t="inlineStr">
        <is>
          <t>加值÷5</t>
        </is>
      </c>
    </row>
    <row r="23">
      <c r="A23" s="6" t="inlineStr">
        <is>
          <t>身法 SHF</t>
        </is>
      </c>
      <c r="B23" s="7" t="n">
        <v>28</v>
      </c>
      <c r="C23" s="3" t="n"/>
      <c r="D23" s="9" t="inlineStr">
        <is>
          <t>閃避/移動</t>
        </is>
      </c>
      <c r="E23" s="2" t="n"/>
      <c r="F23" s="2" t="n"/>
      <c r="G23" s="2" t="n"/>
      <c r="H23" s="3" t="n"/>
      <c r="I23" s="10">
        <f>FLOOR(B23/5,1)</f>
        <v/>
      </c>
      <c r="J23" s="11" t="inlineStr">
        <is>
          <t>加值÷5</t>
        </is>
      </c>
    </row>
    <row r="24">
      <c r="A24" s="6" t="inlineStr">
        <is>
          <t>機緣 JIY</t>
        </is>
      </c>
      <c r="B24" s="7" t="n">
        <v>30</v>
      </c>
      <c r="C24" s="3" t="n"/>
      <c r="D24" s="9" t="inlineStr">
        <is>
          <t>探索/掉落</t>
        </is>
      </c>
      <c r="E24" s="2" t="n"/>
      <c r="F24" s="2" t="n"/>
      <c r="G24" s="2" t="n"/>
      <c r="H24" s="3" t="n"/>
      <c r="I24" s="10">
        <f>FLOOR(B24/5,1)</f>
        <v/>
      </c>
      <c r="J24" s="11" t="inlineStr">
        <is>
          <t>加值÷5</t>
        </is>
      </c>
    </row>
    <row r="25">
      <c r="A25" s="6" t="inlineStr">
        <is>
          <t>道心 DAX</t>
        </is>
      </c>
      <c r="B25" s="7" t="n">
        <v>34</v>
      </c>
      <c r="C25" s="3" t="n"/>
      <c r="D25" s="9" t="inlineStr">
        <is>
          <t>心魔/渡劫</t>
        </is>
      </c>
      <c r="E25" s="2" t="n"/>
      <c r="F25" s="2" t="n"/>
      <c r="G25" s="2" t="n"/>
      <c r="H25" s="3" t="n"/>
      <c r="I25" s="10">
        <f>FLOOR(B25/5,1)</f>
        <v/>
      </c>
      <c r="J25" s="11" t="inlineStr">
        <is>
          <t>加值÷5</t>
        </is>
      </c>
    </row>
    <row r="26"/>
    <row r="27">
      <c r="A27" s="5" t="inlineStr">
        <is>
          <t>派生屬性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/>
    <row r="29">
      <c r="A29" s="6" t="inlineStr">
        <is>
          <t>生命值 HP</t>
        </is>
      </c>
      <c r="B29" s="12">
        <f>1.5*B21</f>
        <v/>
      </c>
      <c r="C29" s="2" t="n"/>
      <c r="D29" s="2" t="n"/>
      <c r="E29" s="3" t="n"/>
      <c r="F29" s="13" t="inlineStr">
        <is>
          <t>肉身×境界係數</t>
        </is>
      </c>
      <c r="G29" s="2" t="n"/>
      <c r="H29" s="2" t="n"/>
      <c r="I29" s="2" t="n"/>
      <c r="J29" s="3" t="n"/>
    </row>
    <row r="30">
      <c r="A30" s="14" t="inlineStr">
        <is>
          <t>真氣池</t>
        </is>
      </c>
      <c r="B30" s="10">
        <f>1.0*B22</f>
        <v/>
      </c>
      <c r="C30" s="2" t="n"/>
      <c r="D30" s="2" t="n"/>
      <c r="E30" s="3" t="n"/>
      <c r="F30" s="9" t="inlineStr">
        <is>
          <t>靈力×境界係數</t>
        </is>
      </c>
      <c r="G30" s="2" t="n"/>
      <c r="H30" s="2" t="n"/>
      <c r="I30" s="2" t="n"/>
      <c r="J30" s="3" t="n"/>
    </row>
    <row r="31">
      <c r="A31" s="6" t="inlineStr">
        <is>
          <t>先攻值</t>
        </is>
      </c>
      <c r="B31" s="12">
        <f>B20+FLOOR(B23/5,1)</f>
        <v/>
      </c>
      <c r="C31" s="2" t="n"/>
      <c r="D31" s="2" t="n"/>
      <c r="E31" s="3" t="n"/>
      <c r="F31" s="13" t="inlineStr">
        <is>
          <t>神識+floor(身法/5)</t>
        </is>
      </c>
      <c r="G31" s="2" t="n"/>
      <c r="H31" s="2" t="n"/>
      <c r="I31" s="2" t="n"/>
      <c r="J31" s="3" t="n"/>
    </row>
    <row r="32">
      <c r="A32" s="14" t="inlineStr">
        <is>
          <t>物理防禦</t>
        </is>
      </c>
      <c r="B32" s="15" t="n">
        <v>3</v>
      </c>
      <c r="C32" s="2" t="n"/>
      <c r="D32" s="2" t="n"/>
      <c r="E32" s="3" t="n"/>
      <c r="F32" s="9" t="inlineStr">
        <is>
          <t>法袍+功法</t>
        </is>
      </c>
      <c r="G32" s="2" t="n"/>
      <c r="H32" s="2" t="n"/>
      <c r="I32" s="2" t="n"/>
      <c r="J32" s="3" t="n"/>
    </row>
    <row r="33">
      <c r="A33" s="6" t="inlineStr">
        <is>
          <t>法術抗性</t>
        </is>
      </c>
      <c r="B33" s="16" t="n">
        <v>5</v>
      </c>
      <c r="C33" s="2" t="n"/>
      <c r="D33" s="2" t="n"/>
      <c r="E33" s="3" t="n"/>
      <c r="F33" s="13" t="inlineStr">
        <is>
          <t>法袍+功法</t>
        </is>
      </c>
      <c r="G33" s="2" t="n"/>
      <c r="H33" s="2" t="n"/>
      <c r="I33" s="2" t="n"/>
      <c r="J33" s="3" t="n"/>
    </row>
    <row r="34">
      <c r="A34" s="14" t="inlineStr">
        <is>
          <t>護體真氣</t>
        </is>
      </c>
      <c r="B34" s="15" t="n">
        <v>0</v>
      </c>
      <c r="C34" s="2" t="n"/>
      <c r="D34" s="2" t="n"/>
      <c r="E34" s="3" t="n"/>
      <c r="F34" s="9" t="inlineStr">
        <is>
          <t>心法+法寶</t>
        </is>
      </c>
      <c r="G34" s="2" t="n"/>
      <c r="H34" s="2" t="n"/>
      <c r="I34" s="2" t="n"/>
      <c r="J34" s="3" t="n"/>
    </row>
    <row r="35">
      <c r="A35" s="6" t="inlineStr">
        <is>
          <t>閃避</t>
        </is>
      </c>
      <c r="B35" s="16" t="n">
        <v>28</v>
      </c>
      <c r="C35" s="2" t="n"/>
      <c r="D35" s="2" t="n"/>
      <c r="E35" s="3" t="n"/>
      <c r="F35" s="13" t="inlineStr">
        <is>
          <t>身法值</t>
        </is>
      </c>
      <c r="G35" s="2" t="n"/>
      <c r="H35" s="2" t="n"/>
      <c r="I35" s="2" t="n"/>
      <c r="J35" s="3" t="n"/>
    </row>
    <row r="36">
      <c r="A36" s="14" t="inlineStr">
        <is>
          <t>移動</t>
        </is>
      </c>
      <c r="B36" s="15" t="inlineStr">
        <is>
          <t>1區</t>
        </is>
      </c>
      <c r="C36" s="2" t="n"/>
      <c r="D36" s="2" t="n"/>
      <c r="E36" s="3" t="n"/>
      <c r="F36" s="9" t="inlineStr">
        <is>
          <t>根據身法</t>
        </is>
      </c>
      <c r="G36" s="2" t="n"/>
      <c r="H36" s="2" t="n"/>
      <c r="I36" s="2" t="n"/>
      <c r="J36" s="3" t="n"/>
    </row>
    <row r="37">
      <c r="A37" s="6" t="inlineStr">
        <is>
          <t>大成功</t>
        </is>
      </c>
      <c r="B37" s="12">
        <f>3+FLOOR((G7-1)/3,1)</f>
        <v/>
      </c>
      <c r="C37" s="2" t="n"/>
      <c r="D37" s="2" t="n"/>
      <c r="E37" s="3" t="n"/>
      <c r="F37" s="13" t="inlineStr">
        <is>
          <t>1d100≤此值</t>
        </is>
      </c>
      <c r="G37" s="2" t="n"/>
      <c r="H37" s="2" t="n"/>
      <c r="I37" s="2" t="n"/>
      <c r="J37" s="3" t="n"/>
    </row>
    <row r="38">
      <c r="A38" s="14" t="inlineStr">
        <is>
          <t>大失敗</t>
        </is>
      </c>
      <c r="B38" s="15" t="inlineStr">
        <is>
          <t>96-00</t>
        </is>
      </c>
      <c r="C38" s="2" t="n"/>
      <c r="D38" s="2" t="n"/>
      <c r="E38" s="3" t="n"/>
      <c r="F38" s="9" t="inlineStr">
        <is>
          <t>固定5%</t>
        </is>
      </c>
      <c r="G38" s="2" t="n"/>
      <c r="H38" s="2" t="n"/>
      <c r="I38" s="2" t="n"/>
      <c r="J38" s="3" t="n"/>
    </row>
    <row r="39"/>
    <row r="40"/>
    <row r="41">
      <c r="A41" s="5" t="inlineStr">
        <is>
          <t>裝備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/>
    <row r="43">
      <c r="A43" s="6" t="inlineStr">
        <is>
          <t>武器</t>
        </is>
      </c>
      <c r="B43" s="8" t="inlineStr">
        <is>
          <t>靈木杖（黃級，1d6+靈力/10，法術傷害+10%）</t>
        </is>
      </c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6" t="inlineStr">
        <is>
          <t>法袍</t>
        </is>
      </c>
      <c r="B44" s="8" t="inlineStr">
        <is>
          <t>素色道袍（黃級，防+3，法抗+5，道心+3）</t>
        </is>
      </c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6" t="inlineStr">
        <is>
          <t>法寶</t>
        </is>
      </c>
      <c r="B45" s="8" t="inlineStr">
        <is>
          <t>—</t>
        </is>
      </c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6" t="inlineStr">
        <is>
          <t>飾品</t>
        </is>
      </c>
      <c r="B46" s="8" t="inlineStr">
        <is>
          <t>—</t>
        </is>
      </c>
      <c r="C46" s="2" t="n"/>
      <c r="D46" s="2" t="n"/>
      <c r="E46" s="2" t="n"/>
      <c r="F46" s="2" t="n"/>
      <c r="G46" s="2" t="n"/>
      <c r="H46" s="2" t="n"/>
      <c r="I46" s="2" t="n"/>
      <c r="J46" s="3" t="n"/>
    </row>
    <row r="47"/>
    <row r="48">
      <c r="A48" s="5" t="inlineStr">
        <is>
          <t>功法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/>
    <row r="50">
      <c r="A50" s="6" t="inlineStr">
        <is>
          <t>心法</t>
        </is>
      </c>
      <c r="B50" s="8" t="inlineStr">
        <is>
          <t>《木靈真解》Lv.1（玄級，木系功法+15%，煉丹+10）</t>
        </is>
      </c>
      <c r="C50" s="2" t="n"/>
      <c r="D50" s="2" t="n"/>
      <c r="E50" s="2" t="n"/>
      <c r="F50" s="2" t="n"/>
      <c r="G50" s="2" t="n"/>
      <c r="H50" s="2" t="n"/>
      <c r="I50" s="2" t="n"/>
      <c r="J50" s="3" t="n"/>
    </row>
    <row r="51">
      <c r="A51" s="6" t="inlineStr">
        <is>
          <t>武技</t>
        </is>
      </c>
      <c r="B51" s="8" t="inlineStr">
        <is>
          <t>《基礎煉丹術》（煉丹檢定+10，可煉製黃級丹藥）</t>
        </is>
      </c>
      <c r="C51" s="2" t="n"/>
      <c r="D51" s="2" t="n"/>
      <c r="E51" s="2" t="n"/>
      <c r="F51" s="2" t="n"/>
      <c r="G51" s="2" t="n"/>
      <c r="H51" s="2" t="n"/>
      <c r="I51" s="2" t="n"/>
      <c r="J51" s="3" t="n"/>
    </row>
    <row r="52"/>
    <row r="53">
      <c r="A53" s="5" t="inlineStr">
        <is>
          <t>物品與狀態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</row>
    <row r="54"/>
    <row r="55">
      <c r="A55" s="6" t="inlineStr">
        <is>
          <t>靈石</t>
        </is>
      </c>
      <c r="B55" s="7" t="n">
        <v>170</v>
      </c>
      <c r="D55" s="6" t="inlineStr">
        <is>
          <t>丹藥</t>
        </is>
      </c>
      <c r="E55" s="8" t="inlineStr">
        <is>
          <t>培元丹×3, 回靈丹×2, 療傷丹×3, 清心散×1</t>
        </is>
      </c>
      <c r="F55" s="2" t="n"/>
      <c r="G55" s="2" t="n"/>
      <c r="H55" s="2" t="n"/>
      <c r="I55" s="2" t="n"/>
      <c r="J55" s="3" t="n"/>
    </row>
    <row r="56">
      <c r="A56" s="6" t="inlineStr">
        <is>
          <t>藥毒</t>
        </is>
      </c>
      <c r="B56" s="15" t="inlineStr">
        <is>
          <t>0/100</t>
        </is>
      </c>
      <c r="D56" s="6" t="inlineStr">
        <is>
          <t>心魔</t>
        </is>
      </c>
      <c r="E56" s="15" t="inlineStr">
        <is>
          <t>0/100</t>
        </is>
      </c>
    </row>
    <row r="57">
      <c r="A57" s="6" t="inlineStr">
        <is>
          <t>壽元</t>
        </is>
      </c>
      <c r="B57" s="7" t="inlineStr">
        <is>
          <t>150年</t>
        </is>
      </c>
      <c r="D57" s="6" t="inlineStr">
        <is>
          <t>已耗</t>
        </is>
      </c>
      <c r="E57" s="7" t="inlineStr">
        <is>
          <t>21年</t>
        </is>
      </c>
    </row>
    <row r="58"/>
    <row r="59">
      <c r="A59" s="5" t="inlineStr">
        <is>
          <t>背景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/>
    <row r="61" ht="80" customHeight="1">
      <c r="A61" s="6" t="inlineStr">
        <is>
          <t>故事</t>
        </is>
      </c>
      <c r="B61" s="8" t="inlineStr">
        <is>
          <t>葉靈溪生於東土藥商世家，自幼辨識百草。他雖然靈根品質平平，但勝在勤奮與熱愛——丹爐前的他比任何人都專注。他夢想煉製出天級丹藥，證明"資質不夠，努力來湊"。</t>
        </is>
      </c>
      <c r="C61" s="2" t="n"/>
      <c r="D61" s="2" t="n"/>
      <c r="E61" s="2" t="n"/>
      <c r="F61" s="2" t="n"/>
      <c r="G61" s="2" t="n"/>
      <c r="H61" s="2" t="n"/>
      <c r="I61" s="2" t="n"/>
      <c r="J61" s="3" t="n"/>
    </row>
  </sheetData>
  <mergeCells count="63">
    <mergeCell ref="B9:E9"/>
    <mergeCell ref="F29:J29"/>
    <mergeCell ref="D20:H20"/>
    <mergeCell ref="B25:C25"/>
    <mergeCell ref="B61:J61"/>
    <mergeCell ref="F34:J34"/>
    <mergeCell ref="B14:J14"/>
    <mergeCell ref="D19:H19"/>
    <mergeCell ref="B30:E30"/>
    <mergeCell ref="A53:J53"/>
    <mergeCell ref="B13:D13"/>
    <mergeCell ref="A4:J4"/>
    <mergeCell ref="B8:J8"/>
    <mergeCell ref="B22:C22"/>
    <mergeCell ref="B33:E33"/>
    <mergeCell ref="B18:C18"/>
    <mergeCell ref="D22:H22"/>
    <mergeCell ref="B36:E36"/>
    <mergeCell ref="H7:J7"/>
    <mergeCell ref="B32:E32"/>
    <mergeCell ref="B44:J44"/>
    <mergeCell ref="F30:J30"/>
    <mergeCell ref="B21:C21"/>
    <mergeCell ref="G9:J9"/>
    <mergeCell ref="D21:H21"/>
    <mergeCell ref="B35:E35"/>
    <mergeCell ref="B23:C23"/>
    <mergeCell ref="F36:J36"/>
    <mergeCell ref="A59:J59"/>
    <mergeCell ref="F33:J33"/>
    <mergeCell ref="A48:J48"/>
    <mergeCell ref="F32:J32"/>
    <mergeCell ref="F35:J35"/>
    <mergeCell ref="A11:J11"/>
    <mergeCell ref="B31:E31"/>
    <mergeCell ref="A1:J1"/>
    <mergeCell ref="B51:J51"/>
    <mergeCell ref="B45:J45"/>
    <mergeCell ref="B19:C19"/>
    <mergeCell ref="F38:J38"/>
    <mergeCell ref="B50:J50"/>
    <mergeCell ref="F31:J31"/>
    <mergeCell ref="A16:J16"/>
    <mergeCell ref="D18:H18"/>
    <mergeCell ref="F13:J13"/>
    <mergeCell ref="A41:J41"/>
    <mergeCell ref="B6:C6"/>
    <mergeCell ref="B24:C24"/>
    <mergeCell ref="D25:H25"/>
    <mergeCell ref="E55:J55"/>
    <mergeCell ref="F37:J37"/>
    <mergeCell ref="D24:H24"/>
    <mergeCell ref="B46:J46"/>
    <mergeCell ref="B20:C20"/>
    <mergeCell ref="A27:J27"/>
    <mergeCell ref="B38:E38"/>
    <mergeCell ref="E6:H6"/>
    <mergeCell ref="A2:J2"/>
    <mergeCell ref="B29:E29"/>
    <mergeCell ref="D23:H23"/>
    <mergeCell ref="B37:E37"/>
    <mergeCell ref="B43:J43"/>
    <mergeCell ref="B34:E3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天機·修真心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4" t="inlineStr">
        <is>
          <t>雲千影 — 角色卡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/>
    <row r="4">
      <c r="A4" s="5" t="inlineStr">
        <is>
          <t>基本資訊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/>
    <row r="6">
      <c r="A6" s="6" t="inlineStr">
        <is>
          <t>姓名</t>
        </is>
      </c>
      <c r="B6" s="7" t="inlineStr">
        <is>
          <t>雲千影</t>
        </is>
      </c>
      <c r="C6" s="3" t="n"/>
      <c r="D6" s="6" t="inlineStr">
        <is>
          <t>稱號</t>
        </is>
      </c>
      <c r="E6" s="8" t="inlineStr">
        <is>
          <t>太虛劍宗外門弟子</t>
        </is>
      </c>
      <c r="F6" s="2" t="n"/>
      <c r="G6" s="2" t="n"/>
      <c r="H6" s="3" t="n"/>
      <c r="I6" s="6" t="inlineStr">
        <is>
          <t>境界</t>
        </is>
      </c>
      <c r="J6" s="7" t="inlineStr">
        <is>
          <t>煉氣·初(Lv.1)</t>
        </is>
      </c>
    </row>
    <row r="7">
      <c r="A7" s="6" t="inlineStr">
        <is>
          <t>性別</t>
        </is>
      </c>
      <c r="B7" s="7" t="inlineStr">
        <is>
          <t>女</t>
        </is>
      </c>
      <c r="C7" s="6" t="inlineStr">
        <is>
          <t>年齡</t>
        </is>
      </c>
      <c r="D7" s="7" t="n">
        <v>18</v>
      </c>
      <c r="E7" s="6" t="inlineStr">
        <is>
          <t>Lv</t>
        </is>
      </c>
      <c r="F7" s="7" t="n">
        <v>1</v>
      </c>
      <c r="G7" s="6" t="inlineStr">
        <is>
          <t>修為</t>
        </is>
      </c>
      <c r="H7" s="7" t="inlineStr">
        <is>
          <t>0/100</t>
        </is>
      </c>
      <c r="I7" s="2" t="n"/>
      <c r="J7" s="3" t="n"/>
    </row>
    <row r="8">
      <c r="A8" s="6" t="inlineStr">
        <is>
          <t>出身</t>
        </is>
      </c>
      <c r="B8" s="8" t="inlineStr">
        <is>
          <t>中等宗門內門弟子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6" t="inlineStr">
        <is>
          <t>宗門</t>
        </is>
      </c>
      <c r="B9" s="8" t="inlineStr">
        <is>
          <t>太虛劍宗</t>
        </is>
      </c>
      <c r="C9" s="2" t="n"/>
      <c r="D9" s="2" t="n"/>
      <c r="E9" s="3" t="n"/>
      <c r="F9" s="6" t="inlineStr">
        <is>
          <t>特殊</t>
        </is>
      </c>
      <c r="G9" s="8" t="inlineStr">
        <is>
          <t>無</t>
        </is>
      </c>
      <c r="H9" s="2" t="n"/>
      <c r="I9" s="2" t="n"/>
      <c r="J9" s="3" t="n"/>
    </row>
    <row r="10"/>
    <row r="11">
      <c r="A11" s="5" t="inlineStr">
        <is>
          <t>靈根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3" t="n"/>
    </row>
    <row r="12"/>
    <row r="13">
      <c r="A13" s="6" t="inlineStr">
        <is>
          <t>類型</t>
        </is>
      </c>
      <c r="B13" s="7" t="inlineStr">
        <is>
          <t>金靈根</t>
        </is>
      </c>
      <c r="C13" s="2" t="n"/>
      <c r="D13" s="3" t="n"/>
      <c r="E13" s="6" t="inlineStr">
        <is>
          <t>品質</t>
        </is>
      </c>
      <c r="F13" s="7" t="inlineStr">
        <is>
          <t>上品（×1.3）</t>
        </is>
      </c>
      <c r="G13" s="2" t="n"/>
      <c r="H13" s="2" t="n"/>
      <c r="I13" s="2" t="n"/>
      <c r="J13" s="3" t="n"/>
    </row>
    <row r="14">
      <c r="A14" s="6" t="inlineStr">
        <is>
          <t>加成</t>
        </is>
      </c>
      <c r="B14" s="8" t="inlineStr">
        <is>
          <t>根骨+5；金系功法威力+10%；煉器成功率+10%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5"/>
    <row r="16">
      <c r="A16" s="5" t="inlineStr">
        <is>
          <t>八大屬性 (初始250點自由分配)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/>
    <row r="18">
      <c r="A18" s="6" t="inlineStr">
        <is>
          <t>根骨 GUG</t>
        </is>
      </c>
      <c r="B18" s="7" t="n">
        <v>42</v>
      </c>
      <c r="C18" s="3" t="n"/>
      <c r="D18" s="9" t="inlineStr">
        <is>
          <t>修煉/突破</t>
        </is>
      </c>
      <c r="E18" s="2" t="n"/>
      <c r="F18" s="2" t="n"/>
      <c r="G18" s="2" t="n"/>
      <c r="H18" s="3" t="n"/>
      <c r="I18" s="10">
        <f>FLOOR(B18/5,1)</f>
        <v/>
      </c>
      <c r="J18" s="11" t="inlineStr">
        <is>
          <t>加值÷5</t>
        </is>
      </c>
    </row>
    <row r="19">
      <c r="A19" s="6" t="inlineStr">
        <is>
          <t>悟性 WUX</t>
        </is>
      </c>
      <c r="B19" s="7" t="n">
        <v>33</v>
      </c>
      <c r="C19" s="3" t="n"/>
      <c r="D19" s="9" t="inlineStr">
        <is>
          <t>學習/破解</t>
        </is>
      </c>
      <c r="E19" s="2" t="n"/>
      <c r="F19" s="2" t="n"/>
      <c r="G19" s="2" t="n"/>
      <c r="H19" s="3" t="n"/>
      <c r="I19" s="10">
        <f>FLOOR(B19/5,1)</f>
        <v/>
      </c>
      <c r="J19" s="11" t="inlineStr">
        <is>
          <t>加值÷5</t>
        </is>
      </c>
    </row>
    <row r="20">
      <c r="A20" s="6" t="inlineStr">
        <is>
          <t>神識 SHS</t>
        </is>
      </c>
      <c r="B20" s="7" t="n">
        <v>30</v>
      </c>
      <c r="C20" s="3" t="n"/>
      <c r="D20" s="9" t="inlineStr">
        <is>
          <t>探查/先攻</t>
        </is>
      </c>
      <c r="E20" s="2" t="n"/>
      <c r="F20" s="2" t="n"/>
      <c r="G20" s="2" t="n"/>
      <c r="H20" s="3" t="n"/>
      <c r="I20" s="10">
        <f>FLOOR(B20/5,1)</f>
        <v/>
      </c>
      <c r="J20" s="11" t="inlineStr">
        <is>
          <t>加值÷5</t>
        </is>
      </c>
    </row>
    <row r="21">
      <c r="A21" s="6" t="inlineStr">
        <is>
          <t>肉身 RSS</t>
        </is>
      </c>
      <c r="B21" s="7" t="n">
        <v>35</v>
      </c>
      <c r="C21" s="3" t="n"/>
      <c r="D21" s="9" t="inlineStr">
        <is>
          <t>生命值（HP）/近戰</t>
        </is>
      </c>
      <c r="E21" s="2" t="n"/>
      <c r="F21" s="2" t="n"/>
      <c r="G21" s="2" t="n"/>
      <c r="H21" s="3" t="n"/>
      <c r="I21" s="10">
        <f>FLOOR(B21/5,1)</f>
        <v/>
      </c>
      <c r="J21" s="11" t="inlineStr">
        <is>
          <t>加值÷5</t>
        </is>
      </c>
    </row>
    <row r="22">
      <c r="A22" s="6" t="inlineStr">
        <is>
          <t>靈力 LIL</t>
        </is>
      </c>
      <c r="B22" s="7" t="n">
        <v>32</v>
      </c>
      <c r="C22" s="3" t="n"/>
      <c r="D22" s="9" t="inlineStr">
        <is>
          <t>法術/真氣</t>
        </is>
      </c>
      <c r="E22" s="2" t="n"/>
      <c r="F22" s="2" t="n"/>
      <c r="G22" s="2" t="n"/>
      <c r="H22" s="3" t="n"/>
      <c r="I22" s="10">
        <f>FLOOR(B22/5,1)</f>
        <v/>
      </c>
      <c r="J22" s="11" t="inlineStr">
        <is>
          <t>加值÷5</t>
        </is>
      </c>
    </row>
    <row r="23">
      <c r="A23" s="6" t="inlineStr">
        <is>
          <t>身法 SHF</t>
        </is>
      </c>
      <c r="B23" s="7" t="n">
        <v>34</v>
      </c>
      <c r="C23" s="3" t="n"/>
      <c r="D23" s="9" t="inlineStr">
        <is>
          <t>閃避/移動</t>
        </is>
      </c>
      <c r="E23" s="2" t="n"/>
      <c r="F23" s="2" t="n"/>
      <c r="G23" s="2" t="n"/>
      <c r="H23" s="3" t="n"/>
      <c r="I23" s="10">
        <f>FLOOR(B23/5,1)</f>
        <v/>
      </c>
      <c r="J23" s="11" t="inlineStr">
        <is>
          <t>加值÷5</t>
        </is>
      </c>
    </row>
    <row r="24">
      <c r="A24" s="6" t="inlineStr">
        <is>
          <t>機緣 JIY</t>
        </is>
      </c>
      <c r="B24" s="7" t="n">
        <v>22</v>
      </c>
      <c r="C24" s="3" t="n"/>
      <c r="D24" s="9" t="inlineStr">
        <is>
          <t>探索/掉落</t>
        </is>
      </c>
      <c r="E24" s="2" t="n"/>
      <c r="F24" s="2" t="n"/>
      <c r="G24" s="2" t="n"/>
      <c r="H24" s="3" t="n"/>
      <c r="I24" s="10">
        <f>FLOOR(B24/5,1)</f>
        <v/>
      </c>
      <c r="J24" s="11" t="inlineStr">
        <is>
          <t>加值÷5</t>
        </is>
      </c>
    </row>
    <row r="25">
      <c r="A25" s="6" t="inlineStr">
        <is>
          <t>道心 DAX</t>
        </is>
      </c>
      <c r="B25" s="7" t="n">
        <v>36</v>
      </c>
      <c r="C25" s="3" t="n"/>
      <c r="D25" s="9" t="inlineStr">
        <is>
          <t>心魔/渡劫</t>
        </is>
      </c>
      <c r="E25" s="2" t="n"/>
      <c r="F25" s="2" t="n"/>
      <c r="G25" s="2" t="n"/>
      <c r="H25" s="3" t="n"/>
      <c r="I25" s="10">
        <f>FLOOR(B25/5,1)</f>
        <v/>
      </c>
      <c r="J25" s="11" t="inlineStr">
        <is>
          <t>加值÷5</t>
        </is>
      </c>
    </row>
    <row r="26"/>
    <row r="27">
      <c r="A27" s="5" t="inlineStr">
        <is>
          <t>派生屬性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3" t="n"/>
    </row>
    <row r="28"/>
    <row r="29">
      <c r="A29" s="6" t="inlineStr">
        <is>
          <t>生命值 HP</t>
        </is>
      </c>
      <c r="B29" s="12">
        <f>1.5*B21</f>
        <v/>
      </c>
      <c r="C29" s="2" t="n"/>
      <c r="D29" s="2" t="n"/>
      <c r="E29" s="3" t="n"/>
      <c r="F29" s="13" t="inlineStr">
        <is>
          <t>肉身×境界係數</t>
        </is>
      </c>
      <c r="G29" s="2" t="n"/>
      <c r="H29" s="2" t="n"/>
      <c r="I29" s="2" t="n"/>
      <c r="J29" s="3" t="n"/>
    </row>
    <row r="30">
      <c r="A30" s="14" t="inlineStr">
        <is>
          <t>真氣池</t>
        </is>
      </c>
      <c r="B30" s="10">
        <f>1.0*B22</f>
        <v/>
      </c>
      <c r="C30" s="2" t="n"/>
      <c r="D30" s="2" t="n"/>
      <c r="E30" s="3" t="n"/>
      <c r="F30" s="9" t="inlineStr">
        <is>
          <t>靈力×境界係數</t>
        </is>
      </c>
      <c r="G30" s="2" t="n"/>
      <c r="H30" s="2" t="n"/>
      <c r="I30" s="2" t="n"/>
      <c r="J30" s="3" t="n"/>
    </row>
    <row r="31">
      <c r="A31" s="6" t="inlineStr">
        <is>
          <t>先攻值</t>
        </is>
      </c>
      <c r="B31" s="12">
        <f>B20+FLOOR(B23/5,1)</f>
        <v/>
      </c>
      <c r="C31" s="2" t="n"/>
      <c r="D31" s="2" t="n"/>
      <c r="E31" s="3" t="n"/>
      <c r="F31" s="13" t="inlineStr">
        <is>
          <t>神識+floor(身法/5)</t>
        </is>
      </c>
      <c r="G31" s="2" t="n"/>
      <c r="H31" s="2" t="n"/>
      <c r="I31" s="2" t="n"/>
      <c r="J31" s="3" t="n"/>
    </row>
    <row r="32">
      <c r="A32" s="14" t="inlineStr">
        <is>
          <t>物理防禦</t>
        </is>
      </c>
      <c r="B32" s="15" t="n">
        <v>5</v>
      </c>
      <c r="C32" s="2" t="n"/>
      <c r="D32" s="2" t="n"/>
      <c r="E32" s="3" t="n"/>
      <c r="F32" s="9" t="inlineStr">
        <is>
          <t>法袍+功法</t>
        </is>
      </c>
      <c r="G32" s="2" t="n"/>
      <c r="H32" s="2" t="n"/>
      <c r="I32" s="2" t="n"/>
      <c r="J32" s="3" t="n"/>
    </row>
    <row r="33">
      <c r="A33" s="6" t="inlineStr">
        <is>
          <t>法術抗性</t>
        </is>
      </c>
      <c r="B33" s="16" t="n">
        <v>8</v>
      </c>
      <c r="C33" s="2" t="n"/>
      <c r="D33" s="2" t="n"/>
      <c r="E33" s="3" t="n"/>
      <c r="F33" s="13" t="inlineStr">
        <is>
          <t>法袍+功法</t>
        </is>
      </c>
      <c r="G33" s="2" t="n"/>
      <c r="H33" s="2" t="n"/>
      <c r="I33" s="2" t="n"/>
      <c r="J33" s="3" t="n"/>
    </row>
    <row r="34">
      <c r="A34" s="14" t="inlineStr">
        <is>
          <t>護體真氣</t>
        </is>
      </c>
      <c r="B34" s="15" t="n">
        <v>0</v>
      </c>
      <c r="C34" s="2" t="n"/>
      <c r="D34" s="2" t="n"/>
      <c r="E34" s="3" t="n"/>
      <c r="F34" s="9" t="inlineStr">
        <is>
          <t>心法+法寶</t>
        </is>
      </c>
      <c r="G34" s="2" t="n"/>
      <c r="H34" s="2" t="n"/>
      <c r="I34" s="2" t="n"/>
      <c r="J34" s="3" t="n"/>
    </row>
    <row r="35">
      <c r="A35" s="6" t="inlineStr">
        <is>
          <t>閃避</t>
        </is>
      </c>
      <c r="B35" s="16" t="n">
        <v>34</v>
      </c>
      <c r="C35" s="2" t="n"/>
      <c r="D35" s="2" t="n"/>
      <c r="E35" s="3" t="n"/>
      <c r="F35" s="13" t="inlineStr">
        <is>
          <t>身法值</t>
        </is>
      </c>
      <c r="G35" s="2" t="n"/>
      <c r="H35" s="2" t="n"/>
      <c r="I35" s="2" t="n"/>
      <c r="J35" s="3" t="n"/>
    </row>
    <row r="36">
      <c r="A36" s="14" t="inlineStr">
        <is>
          <t>移動</t>
        </is>
      </c>
      <c r="B36" s="15" t="inlineStr">
        <is>
          <t>1區</t>
        </is>
      </c>
      <c r="C36" s="2" t="n"/>
      <c r="D36" s="2" t="n"/>
      <c r="E36" s="3" t="n"/>
      <c r="F36" s="9" t="inlineStr">
        <is>
          <t>根據身法</t>
        </is>
      </c>
      <c r="G36" s="2" t="n"/>
      <c r="H36" s="2" t="n"/>
      <c r="I36" s="2" t="n"/>
      <c r="J36" s="3" t="n"/>
    </row>
    <row r="37">
      <c r="A37" s="6" t="inlineStr">
        <is>
          <t>大成功</t>
        </is>
      </c>
      <c r="B37" s="12">
        <f>3+FLOOR((G7-1)/3,1)</f>
        <v/>
      </c>
      <c r="C37" s="2" t="n"/>
      <c r="D37" s="2" t="n"/>
      <c r="E37" s="3" t="n"/>
      <c r="F37" s="13" t="inlineStr">
        <is>
          <t>1d100≤此值</t>
        </is>
      </c>
      <c r="G37" s="2" t="n"/>
      <c r="H37" s="2" t="n"/>
      <c r="I37" s="2" t="n"/>
      <c r="J37" s="3" t="n"/>
    </row>
    <row r="38">
      <c r="A38" s="14" t="inlineStr">
        <is>
          <t>大失敗</t>
        </is>
      </c>
      <c r="B38" s="15" t="inlineStr">
        <is>
          <t>96-00</t>
        </is>
      </c>
      <c r="C38" s="2" t="n"/>
      <c r="D38" s="2" t="n"/>
      <c r="E38" s="3" t="n"/>
      <c r="F38" s="9" t="inlineStr">
        <is>
          <t>固定5%</t>
        </is>
      </c>
      <c r="G38" s="2" t="n"/>
      <c r="H38" s="2" t="n"/>
      <c r="I38" s="2" t="n"/>
      <c r="J38" s="3" t="n"/>
    </row>
    <row r="39"/>
    <row r="40"/>
    <row r="41">
      <c r="A41" s="5" t="inlineStr">
        <is>
          <t>裝備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3" t="n"/>
    </row>
    <row r="42"/>
    <row r="43">
      <c r="A43" s="6" t="inlineStr">
        <is>
          <t>武器</t>
        </is>
      </c>
      <c r="B43" s="8" t="inlineStr">
        <is>
          <t>青鋒劍（玄級，1d10+肉身/8，命中+5）</t>
        </is>
      </c>
      <c r="C43" s="2" t="n"/>
      <c r="D43" s="2" t="n"/>
      <c r="E43" s="2" t="n"/>
      <c r="F43" s="2" t="n"/>
      <c r="G43" s="2" t="n"/>
      <c r="H43" s="2" t="n"/>
      <c r="I43" s="2" t="n"/>
      <c r="J43" s="3" t="n"/>
    </row>
    <row r="44">
      <c r="A44" s="6" t="inlineStr">
        <is>
          <t>法袍</t>
        </is>
      </c>
      <c r="B44" s="8" t="inlineStr">
        <is>
          <t>靈絲法袍（黃級，防+4，法抗+8）</t>
        </is>
      </c>
      <c r="C44" s="2" t="n"/>
      <c r="D44" s="2" t="n"/>
      <c r="E44" s="2" t="n"/>
      <c r="F44" s="2" t="n"/>
      <c r="G44" s="2" t="n"/>
      <c r="H44" s="2" t="n"/>
      <c r="I44" s="2" t="n"/>
      <c r="J44" s="3" t="n"/>
    </row>
    <row r="45">
      <c r="A45" s="6" t="inlineStr">
        <is>
          <t>法寶</t>
        </is>
      </c>
      <c r="B45" s="8" t="inlineStr">
        <is>
          <t>護身玉符（擋致命1次）</t>
        </is>
      </c>
      <c r="C45" s="2" t="n"/>
      <c r="D45" s="2" t="n"/>
      <c r="E45" s="2" t="n"/>
      <c r="F45" s="2" t="n"/>
      <c r="G45" s="2" t="n"/>
      <c r="H45" s="2" t="n"/>
      <c r="I45" s="2" t="n"/>
      <c r="J45" s="3" t="n"/>
    </row>
    <row r="46">
      <c r="A46" s="6" t="inlineStr">
        <is>
          <t>飾品</t>
        </is>
      </c>
      <c r="B46" s="8" t="inlineStr">
        <is>
          <t>護心鏡掛墜（抵消10溢出致命傷）</t>
        </is>
      </c>
      <c r="C46" s="2" t="n"/>
      <c r="D46" s="2" t="n"/>
      <c r="E46" s="2" t="n"/>
      <c r="F46" s="2" t="n"/>
      <c r="G46" s="2" t="n"/>
      <c r="H46" s="2" t="n"/>
      <c r="I46" s="2" t="n"/>
      <c r="J46" s="3" t="n"/>
    </row>
    <row r="47"/>
    <row r="48">
      <c r="A48" s="5" t="inlineStr">
        <is>
          <t>功法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</row>
    <row r="49"/>
    <row r="50">
      <c r="A50" s="6" t="inlineStr">
        <is>
          <t>心法</t>
        </is>
      </c>
      <c r="B50" s="8" t="inlineStr">
        <is>
          <t>《天罡正氣訣》Lv.1（玄級，全屬性+3，對邪魔傷害+15%）</t>
        </is>
      </c>
      <c r="C50" s="2" t="n"/>
      <c r="D50" s="2" t="n"/>
      <c r="E50" s="2" t="n"/>
      <c r="F50" s="2" t="n"/>
      <c r="G50" s="2" t="n"/>
      <c r="H50" s="2" t="n"/>
      <c r="I50" s="2" t="n"/>
      <c r="J50" s="3" t="n"/>
    </row>
    <row r="51">
      <c r="A51" s="6" t="inlineStr">
        <is>
          <t>武技</t>
        </is>
      </c>
      <c r="B51" s="8" t="inlineStr">
        <is>
          <t>《青蓮劍訣》Lv.1（玄級，中距2d8+肉身/8，第3擊×1.5）</t>
        </is>
      </c>
      <c r="C51" s="2" t="n"/>
      <c r="D51" s="2" t="n"/>
      <c r="E51" s="2" t="n"/>
      <c r="F51" s="2" t="n"/>
      <c r="G51" s="2" t="n"/>
      <c r="H51" s="2" t="n"/>
      <c r="I51" s="2" t="n"/>
      <c r="J51" s="3" t="n"/>
    </row>
    <row r="52"/>
    <row r="53">
      <c r="A53" s="5" t="inlineStr">
        <is>
          <t>物品與狀態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  <c r="J53" s="3" t="n"/>
    </row>
    <row r="54"/>
    <row r="55">
      <c r="A55" s="6" t="inlineStr">
        <is>
          <t>靈石</t>
        </is>
      </c>
      <c r="B55" s="7" t="n">
        <v>190</v>
      </c>
      <c r="D55" s="6" t="inlineStr">
        <is>
          <t>丹藥</t>
        </is>
      </c>
      <c r="E55" s="8" t="inlineStr">
        <is>
          <t>培元丹×2, 回靈丹×3, 療傷丹×3</t>
        </is>
      </c>
      <c r="F55" s="2" t="n"/>
      <c r="G55" s="2" t="n"/>
      <c r="H55" s="2" t="n"/>
      <c r="I55" s="2" t="n"/>
      <c r="J55" s="3" t="n"/>
    </row>
    <row r="56">
      <c r="A56" s="6" t="inlineStr">
        <is>
          <t>藥毒</t>
        </is>
      </c>
      <c r="B56" s="15" t="inlineStr">
        <is>
          <t>0/100</t>
        </is>
      </c>
      <c r="D56" s="6" t="inlineStr">
        <is>
          <t>心魔</t>
        </is>
      </c>
      <c r="E56" s="15" t="inlineStr">
        <is>
          <t>0/100</t>
        </is>
      </c>
    </row>
    <row r="57">
      <c r="A57" s="6" t="inlineStr">
        <is>
          <t>壽元</t>
        </is>
      </c>
      <c r="B57" s="7" t="inlineStr">
        <is>
          <t>150年</t>
        </is>
      </c>
      <c r="D57" s="6" t="inlineStr">
        <is>
          <t>已耗</t>
        </is>
      </c>
      <c r="E57" s="7" t="inlineStr">
        <is>
          <t>18年</t>
        </is>
      </c>
    </row>
    <row r="58"/>
    <row r="59">
      <c r="A59" s="5" t="inlineStr">
        <is>
          <t>背景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3" t="n"/>
    </row>
    <row r="60"/>
    <row r="61" ht="80" customHeight="1">
      <c r="A61" s="6" t="inlineStr">
        <is>
          <t>故事</t>
        </is>
      </c>
      <c r="B61" s="8" t="inlineStr">
        <is>
          <t>雲千影出身中州小城，8歲時被太虛劍宗遊歷長老發現其金靈根上品資質，收入外門。在洗劍池苦練十年基礎劍法，終於煉氣圓滿，獲准參加內門考核。她性情冷傲，寡言少語，劍心極純。</t>
        </is>
      </c>
      <c r="C61" s="2" t="n"/>
      <c r="D61" s="2" t="n"/>
      <c r="E61" s="2" t="n"/>
      <c r="F61" s="2" t="n"/>
      <c r="G61" s="2" t="n"/>
      <c r="H61" s="2" t="n"/>
      <c r="I61" s="2" t="n"/>
      <c r="J61" s="3" t="n"/>
    </row>
  </sheetData>
  <mergeCells count="63">
    <mergeCell ref="B9:E9"/>
    <mergeCell ref="F29:J29"/>
    <mergeCell ref="D20:H20"/>
    <mergeCell ref="B25:C25"/>
    <mergeCell ref="B61:J61"/>
    <mergeCell ref="F34:J34"/>
    <mergeCell ref="B14:J14"/>
    <mergeCell ref="D19:H19"/>
    <mergeCell ref="B30:E30"/>
    <mergeCell ref="A53:J53"/>
    <mergeCell ref="B13:D13"/>
    <mergeCell ref="A4:J4"/>
    <mergeCell ref="B8:J8"/>
    <mergeCell ref="B22:C22"/>
    <mergeCell ref="B33:E33"/>
    <mergeCell ref="B18:C18"/>
    <mergeCell ref="D22:H22"/>
    <mergeCell ref="B36:E36"/>
    <mergeCell ref="H7:J7"/>
    <mergeCell ref="B32:E32"/>
    <mergeCell ref="B44:J44"/>
    <mergeCell ref="F30:J30"/>
    <mergeCell ref="B21:C21"/>
    <mergeCell ref="G9:J9"/>
    <mergeCell ref="D21:H21"/>
    <mergeCell ref="B35:E35"/>
    <mergeCell ref="B23:C23"/>
    <mergeCell ref="F36:J36"/>
    <mergeCell ref="A59:J59"/>
    <mergeCell ref="F33:J33"/>
    <mergeCell ref="A48:J48"/>
    <mergeCell ref="F32:J32"/>
    <mergeCell ref="F35:J35"/>
    <mergeCell ref="A11:J11"/>
    <mergeCell ref="B31:E31"/>
    <mergeCell ref="A1:J1"/>
    <mergeCell ref="B51:J51"/>
    <mergeCell ref="B45:J45"/>
    <mergeCell ref="B19:C19"/>
    <mergeCell ref="F38:J38"/>
    <mergeCell ref="B50:J50"/>
    <mergeCell ref="F31:J31"/>
    <mergeCell ref="A16:J16"/>
    <mergeCell ref="D18:H18"/>
    <mergeCell ref="F13:J13"/>
    <mergeCell ref="A41:J41"/>
    <mergeCell ref="B6:C6"/>
    <mergeCell ref="B24:C24"/>
    <mergeCell ref="D25:H25"/>
    <mergeCell ref="E55:J55"/>
    <mergeCell ref="F37:J37"/>
    <mergeCell ref="D24:H24"/>
    <mergeCell ref="B46:J46"/>
    <mergeCell ref="B20:C20"/>
    <mergeCell ref="A27:J27"/>
    <mergeCell ref="B38:E38"/>
    <mergeCell ref="E6:H6"/>
    <mergeCell ref="A2:J2"/>
    <mergeCell ref="B29:E29"/>
    <mergeCell ref="D23:H23"/>
    <mergeCell ref="B37:E37"/>
    <mergeCell ref="B43:J43"/>
    <mergeCell ref="B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2026-06-21T18:16:16Z</dcterms:created>
  <dcterms:modified xmlns:dcterms="http://purl.org/dc/terms/" xmlns:xsi="http://www.w3.org/2001/XMLSchema-instance" xsi:type="dcterms:W3CDTF">2026-07-18T15:33:55Z</dcterms:modified>
</cp:coreProperties>
</file>