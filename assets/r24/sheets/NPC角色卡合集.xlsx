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冒險者生成器" sheetId="1" state="visible" r:id="rId1"/>
    <sheet xmlns:r="http://schemas.openxmlformats.org/officeDocument/2006/relationships" name="俘虜背景生成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D700"/>
      <sz val="14"/>
    </font>
    <font>
      <name val="Microsoft YaHei"/>
      <b val="1"/>
      <color rgb="00FFD700"/>
      <sz val="10"/>
    </font>
    <font>
      <name val="Microsoft YaHei"/>
      <color rgb="001A1A2E"/>
      <sz val="10"/>
    </font>
    <font>
      <name val="Microsoft YaHei"/>
      <b val="1"/>
      <color rgb="0000FF88"/>
      <sz val="10"/>
    </font>
    <font>
      <name val="Microsoft YaHei"/>
      <color rgb="00888888"/>
      <sz val="8"/>
    </font>
    <font>
      <name val="Microsoft YaHe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2D2D44"/>
        <bgColor rgb="002D2D44"/>
      </patternFill>
    </fill>
    <fill>
      <patternFill patternType="solid">
        <fgColor rgb="001C2A3A"/>
        <bgColor rgb="001C2A3A"/>
      </patternFill>
    </fill>
    <fill>
      <patternFill patternType="solid">
        <fgColor rgb="00B83B4A"/>
        <bgColor rgb="00B83B4A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</cols>
  <sheetData>
    <row r="1">
      <c r="A1" s="1" t="inlineStr">
        <is>
          <t>深淵領主 — 冒險者入侵生成器 (GM工具 · 自動計算)</t>
        </is>
      </c>
    </row>
    <row r="3">
      <c r="A3" s="2" t="inlineStr">
        <is>
          <t>步驟1: 入侵觸發 → INF + 1d6 ≥ 8 觸發入侵</t>
        </is>
      </c>
    </row>
    <row r="4">
      <c r="A4" s="3" t="inlineStr">
        <is>
          <t>當前INF</t>
        </is>
      </c>
      <c r="B4" s="4" t="inlineStr"/>
      <c r="C4" s="5" t="inlineStr">
        <is>
          <t>1d6 (擲骰)</t>
        </is>
      </c>
      <c r="D4" s="4" t="inlineStr"/>
      <c r="E4" s="5" t="inlineStr">
        <is>
          <t>INF + 1d6</t>
        </is>
      </c>
      <c r="F4" s="6">
        <f>IFERROR(B4+D4,"")</f>
        <v/>
      </c>
      <c r="G4" s="5" t="inlineStr">
        <is>
          <t>判斷</t>
        </is>
      </c>
      <c r="H4" s="6">
        <f>IF(F4="","",IF(F4&gt;=8,"⚔ 入侵!","✓ 安全"))</f>
        <v/>
      </c>
    </row>
    <row r="6">
      <c r="A6" s="2" t="inlineStr">
        <is>
          <t>步驟2: 入侵源 (1d6)</t>
        </is>
      </c>
    </row>
    <row r="7">
      <c r="A7" s="5" t="inlineStr">
        <is>
          <t>1</t>
        </is>
      </c>
      <c r="B7" s="7" t="inlineStr">
        <is>
          <t>冒險者公會</t>
        </is>
      </c>
    </row>
    <row r="8">
      <c r="A8" s="5" t="inlineStr">
        <is>
          <t>2</t>
        </is>
      </c>
      <c r="B8" s="7" t="inlineStr">
        <is>
          <t>光明教團</t>
        </is>
      </c>
    </row>
    <row r="9">
      <c r="A9" s="5" t="inlineStr">
        <is>
          <t>3</t>
        </is>
      </c>
      <c r="B9" s="7" t="inlineStr">
        <is>
          <t>皇家調查團</t>
        </is>
      </c>
    </row>
    <row r="10">
      <c r="A10" s="5" t="inlineStr">
        <is>
          <t>4</t>
        </is>
      </c>
      <c r="B10" s="7" t="inlineStr">
        <is>
          <t>民間獵魔人</t>
        </is>
      </c>
    </row>
    <row r="11">
      <c r="A11" s="5" t="inlineStr">
        <is>
          <t>5</t>
        </is>
      </c>
      <c r="B11" s="7" t="inlineStr">
        <is>
          <t>混合(擲兩次)</t>
        </is>
      </c>
    </row>
    <row r="12">
      <c r="A12" s="5" t="inlineStr">
        <is>
          <t>6</t>
        </is>
      </c>
      <c r="B12" s="7" t="inlineStr">
        <is>
          <t>特殊(GM裁定)</t>
        </is>
      </c>
    </row>
    <row r="14">
      <c r="A14" s="2">
        <f> "步驟3: Tier &amp; 規模 (當前 INF="&amp;B4&amp;")"</f>
        <v/>
      </c>
    </row>
    <row r="15">
      <c r="A15" s="5" t="inlineStr">
        <is>
          <t>INF</t>
        </is>
      </c>
      <c r="B15" s="5" t="inlineStr">
        <is>
          <t>Tier</t>
        </is>
      </c>
      <c r="C15" s="5" t="inlineStr">
        <is>
          <t>骰池範圍</t>
        </is>
      </c>
      <c r="D15" s="5" t="inlineStr">
        <is>
          <t>小隊人數</t>
        </is>
      </c>
      <c r="E15" s="5" t="inlineStr">
        <is>
          <t>Boss?</t>
        </is>
      </c>
      <c r="F15" s="5" t="inlineStr">
        <is>
          <t>掉落等級</t>
        </is>
      </c>
    </row>
    <row r="16">
      <c r="A16" s="8" t="inlineStr">
        <is>
          <t>1-3</t>
        </is>
      </c>
      <c r="B16" s="8" t="inlineStr">
        <is>
          <t>T1 新手</t>
        </is>
      </c>
      <c r="C16" s="8" t="inlineStr">
        <is>
          <t>2-3骰</t>
        </is>
      </c>
      <c r="D16" s="8" t="inlineStr">
        <is>
          <t>2-3人</t>
        </is>
      </c>
      <c r="E16" s="8" t="inlineStr">
        <is>
          <t>無</t>
        </is>
      </c>
      <c r="F16" s="8" t="inlineStr">
        <is>
          <t>基礎</t>
        </is>
      </c>
    </row>
    <row r="17">
      <c r="A17" s="8" t="inlineStr">
        <is>
          <t>4-6</t>
        </is>
      </c>
      <c r="B17" s="8" t="inlineStr">
        <is>
          <t>T2 熟練</t>
        </is>
      </c>
      <c r="C17" s="8" t="inlineStr">
        <is>
          <t>4-5骰</t>
        </is>
      </c>
      <c r="D17" s="8" t="inlineStr">
        <is>
          <t>3-4人</t>
        </is>
      </c>
      <c r="E17" s="8" t="inlineStr">
        <is>
          <t>無</t>
        </is>
      </c>
      <c r="F17" s="8" t="inlineStr">
        <is>
          <t>進階</t>
        </is>
      </c>
    </row>
    <row r="18">
      <c r="A18" s="8" t="inlineStr">
        <is>
          <t>7-9</t>
        </is>
      </c>
      <c r="B18" s="8" t="inlineStr">
        <is>
          <t>T3 精英</t>
        </is>
      </c>
      <c r="C18" s="8" t="inlineStr">
        <is>
          <t>6-7骰</t>
        </is>
      </c>
      <c r="D18" s="8" t="inlineStr">
        <is>
          <t>4-5人</t>
        </is>
      </c>
      <c r="E18" s="8" t="inlineStr">
        <is>
          <t>隊長(Phase 2+)</t>
        </is>
      </c>
      <c r="F18" s="8" t="inlineStr">
        <is>
          <t>稀有</t>
        </is>
      </c>
    </row>
    <row r="19">
      <c r="A19" s="8" t="inlineStr">
        <is>
          <t>10-12</t>
        </is>
      </c>
      <c r="B19" s="8" t="inlineStr">
        <is>
          <t>T4 英雄</t>
        </is>
      </c>
      <c r="C19" s="8" t="inlineStr">
        <is>
          <t>8-9骰</t>
        </is>
      </c>
      <c r="D19" s="8" t="inlineStr">
        <is>
          <t>5-6人</t>
        </is>
      </c>
      <c r="E19" s="8" t="inlineStr">
        <is>
          <t>Boss(Phase 2/3)</t>
        </is>
      </c>
      <c r="F19" s="8" t="inlineStr">
        <is>
          <t>史詩</t>
        </is>
      </c>
    </row>
    <row r="20">
      <c r="A20" s="8" t="inlineStr">
        <is>
          <t>13-15</t>
        </is>
      </c>
      <c r="B20" s="8" t="inlineStr">
        <is>
          <t>T5 傳奇</t>
        </is>
      </c>
      <c r="C20" s="8" t="inlineStr">
        <is>
          <t>10+骰</t>
        </is>
      </c>
      <c r="D20" s="8" t="inlineStr">
        <is>
          <t>6-8人</t>
        </is>
      </c>
      <c r="E20" s="8" t="inlineStr">
        <is>
          <t>傳奇Boss×2</t>
        </is>
      </c>
      <c r="F20" s="8" t="inlineStr">
        <is>
          <t>傳奇</t>
        </is>
      </c>
    </row>
    <row r="22">
      <c r="A22" s="3" t="inlineStr">
        <is>
          <t>當前匹配 Tier</t>
        </is>
      </c>
      <c r="B22" s="6">
        <f>IFERROR(IF(B4&lt;=3,"T1 新手",IF(B4&lt;=6,"T2 熟練",IF(B4&lt;=9,"T3 精英",IF(B4&lt;=12,"T4 英雄",IF(B4&lt;=15,"T5 傳奇",""))))),"請輸入INF")</f>
        <v/>
      </c>
      <c r="C22" s="3" t="inlineStr">
        <is>
          <t>骰池範圍</t>
        </is>
      </c>
      <c r="D22" s="6">
        <f>IFERROR(IF(B4&lt;=3,"2-3骰",IF(B4&lt;=6,"4-5骰",IF(B4&lt;=9,"6-7骰",IF(B4&lt;=12,"8-9骰","10+骰")))),"—")</f>
        <v/>
      </c>
      <c r="E22" s="3" t="inlineStr">
        <is>
          <t>小隊人數</t>
        </is>
      </c>
      <c r="F22" s="6">
        <f>IFERROR(IF(B4&lt;=3,"2-3人",IF(B4&lt;=6,"3-4人",IF(B4&lt;=9,"4-5人",IF(B4&lt;=12,"5-6人","6-8人")))),"—")</f>
        <v/>
      </c>
      <c r="G22" s="3" t="inlineStr">
        <is>
          <t>Boss?</t>
        </is>
      </c>
      <c r="H22" s="6">
        <f>IFERROR(IF(B4&lt;=3,"無",IF(B4&lt;=6,"無",IF(B4&lt;=9,"隊長(Phase 2+)",IF(B4&lt;=12,"Boss(Phase 2/3)","傳奇Boss×2")))),"—")</f>
        <v/>
      </c>
      <c r="I22" s="9" t="inlineStr"/>
    </row>
    <row r="25">
      <c r="A25" s="2" t="inlineStr">
        <is>
          <t>步驟4: 職業組成 (1d6)</t>
        </is>
      </c>
    </row>
    <row r="26">
      <c r="A26" s="5" t="inlineStr">
        <is>
          <t>1</t>
        </is>
      </c>
      <c r="B26" s="7" t="inlineStr">
        <is>
          <t>混合: 戰士+盜賊+法師</t>
        </is>
      </c>
    </row>
    <row r="27">
      <c r="A27" s="5" t="inlineStr">
        <is>
          <t>2</t>
        </is>
      </c>
      <c r="B27" s="7" t="inlineStr">
        <is>
          <t>偏物理: 戰士×2+盜賊+牧師</t>
        </is>
      </c>
    </row>
    <row r="28">
      <c r="A28" s="5" t="inlineStr">
        <is>
          <t>3</t>
        </is>
      </c>
      <c r="B28" s="7" t="inlineStr">
        <is>
          <t>偏魔法: 法師×2+牧師+遊俠</t>
        </is>
      </c>
    </row>
    <row r="29">
      <c r="A29" s="5" t="inlineStr">
        <is>
          <t>4</t>
        </is>
      </c>
      <c r="B29" s="7" t="inlineStr">
        <is>
          <t>偏偵察: 盜賊×2+遊俠+戰士</t>
        </is>
      </c>
    </row>
    <row r="30">
      <c r="A30" s="5" t="inlineStr">
        <is>
          <t>5</t>
        </is>
      </c>
      <c r="B30" s="7" t="inlineStr">
        <is>
          <t>全牧師(教團專屬)</t>
        </is>
      </c>
    </row>
    <row r="31">
      <c r="A31" s="5" t="inlineStr">
        <is>
          <t>6</t>
        </is>
      </c>
      <c r="B31" s="7" t="inlineStr">
        <is>
          <t>重投或GM定製</t>
        </is>
      </c>
    </row>
    <row r="33">
      <c r="A33" s="2" t="inlineStr">
        <is>
          <t>步驟5: 敘事鉤子 (1d6)</t>
        </is>
      </c>
    </row>
    <row r="34">
      <c r="A34" s="5" t="inlineStr">
        <is>
          <t>1</t>
        </is>
      </c>
      <c r="B34" s="7" t="inlineStr">
        <is>
          <t>復仇: 爲上次被擊敗的同伴而來</t>
        </is>
      </c>
    </row>
    <row r="35">
      <c r="A35" s="5" t="inlineStr">
        <is>
          <t>2</t>
        </is>
      </c>
      <c r="B35" s="7" t="inlineStr">
        <is>
          <t>救人: 來救被俘虜的冒險者</t>
        </is>
      </c>
    </row>
    <row r="36">
      <c r="A36" s="5" t="inlineStr">
        <is>
          <t>3</t>
        </is>
      </c>
      <c r="B36" s="7" t="inlineStr">
        <is>
          <t>尋寶: 聽說地城有遠古神器</t>
        </is>
      </c>
    </row>
    <row r="37">
      <c r="A37" s="5" t="inlineStr">
        <is>
          <t>4</t>
        </is>
      </c>
      <c r="B37" s="7" t="inlineStr">
        <is>
          <t>奉命: 公會/教團/王室指派</t>
        </is>
      </c>
    </row>
    <row r="38">
      <c r="A38" s="5" t="inlineStr">
        <is>
          <t>5</t>
        </is>
      </c>
      <c r="B38" s="7" t="inlineStr">
        <is>
          <t>試煉: 新人晉升測試</t>
        </is>
      </c>
    </row>
    <row r="39">
      <c r="A39" s="5" t="inlineStr">
        <is>
          <t>6</t>
        </is>
      </c>
      <c r="B39" s="7" t="inlineStr">
        <is>
          <t>迷路: 其實只是走錯了...</t>
        </is>
      </c>
    </row>
    <row r="42">
      <c r="A42" s="10" t="inlineStr">
        <is>
          <t>冒險者AI行爲表 (2d6)</t>
        </is>
      </c>
    </row>
    <row r="43">
      <c r="A43" s="5" t="inlineStr">
        <is>
          <t>2d6</t>
        </is>
      </c>
      <c r="B43" s="5" t="inlineStr">
        <is>
          <t>戰術行爲</t>
        </is>
      </c>
      <c r="C43" s="5" t="inlineStr">
        <is>
          <t>效果</t>
        </is>
      </c>
    </row>
    <row r="44">
      <c r="A44" s="5" t="inlineStr">
        <is>
          <t>2</t>
        </is>
      </c>
      <c r="B44" s="8" t="inlineStr">
        <is>
          <t>魯莽衝鋒</t>
        </is>
      </c>
      <c r="C44" s="7" t="inlineStr">
        <is>
          <t>全隊直衝下一層，不計代價</t>
        </is>
      </c>
    </row>
    <row r="45">
      <c r="A45" s="5" t="inlineStr">
        <is>
          <t>3-4</t>
        </is>
      </c>
      <c r="B45" s="8" t="inlineStr">
        <is>
          <t>分散搜索</t>
        </is>
      </c>
      <c r="C45" s="7" t="inlineStr">
        <is>
          <t>分開偵察多個房間</t>
        </is>
      </c>
    </row>
    <row r="46">
      <c r="A46" s="5" t="inlineStr">
        <is>
          <t>5-6</t>
        </is>
      </c>
      <c r="B46" s="8" t="inlineStr">
        <is>
          <t>謹慎推進</t>
        </is>
      </c>
      <c r="C46" s="7" t="inlineStr">
        <is>
          <t>盜賊先行偵察陷阱</t>
        </is>
      </c>
    </row>
    <row r="47">
      <c r="A47" s="5" t="inlineStr">
        <is>
          <t>7</t>
        </is>
      </c>
      <c r="B47" s="8" t="inlineStr">
        <is>
          <t>穩紮穩打</t>
        </is>
      </c>
      <c r="C47" s="7" t="inlineStr">
        <is>
          <t>牧師居中，戰士護衛</t>
        </is>
      </c>
    </row>
    <row r="48">
      <c r="A48" s="5" t="inlineStr">
        <is>
          <t>8-9</t>
        </is>
      </c>
      <c r="B48" s="8" t="inlineStr">
        <is>
          <t>火力壓制</t>
        </is>
      </c>
      <c r="C48" s="7" t="inlineStr">
        <is>
          <t>法師遠程削弱防線</t>
        </is>
      </c>
    </row>
    <row r="49">
      <c r="A49" s="5" t="inlineStr">
        <is>
          <t>10-11</t>
        </is>
      </c>
      <c r="B49" s="8" t="inlineStr">
        <is>
          <t>戰術撤退</t>
        </is>
      </c>
      <c r="C49" s="7" t="inlineStr">
        <is>
          <t>退回安全層重振旗鼓</t>
        </is>
      </c>
    </row>
    <row r="50">
      <c r="A50" s="5" t="inlineStr">
        <is>
          <t>12</t>
        </is>
      </c>
      <c r="B50" s="8" t="inlineStr">
        <is>
          <t>孤注一擲</t>
        </is>
      </c>
      <c r="C50" s="7" t="inlineStr">
        <is>
          <t>全體釋放終極技能突襲核心</t>
        </is>
      </c>
    </row>
  </sheetData>
  <mergeCells count="32">
    <mergeCell ref="A25:I25"/>
    <mergeCell ref="B7:I7"/>
    <mergeCell ref="C48:I48"/>
    <mergeCell ref="A3:I3"/>
    <mergeCell ref="B31:I31"/>
    <mergeCell ref="B27:I27"/>
    <mergeCell ref="B12:I12"/>
    <mergeCell ref="A33:I33"/>
    <mergeCell ref="B39:I39"/>
    <mergeCell ref="B11:I11"/>
    <mergeCell ref="A42:I42"/>
    <mergeCell ref="A14:I14"/>
    <mergeCell ref="C49:I49"/>
    <mergeCell ref="B8:I8"/>
    <mergeCell ref="C45:I45"/>
    <mergeCell ref="B29:I29"/>
    <mergeCell ref="B38:I38"/>
    <mergeCell ref="B34:I34"/>
    <mergeCell ref="B10:I10"/>
    <mergeCell ref="B28:I28"/>
    <mergeCell ref="B37:I37"/>
    <mergeCell ref="C47:I47"/>
    <mergeCell ref="B9:I9"/>
    <mergeCell ref="C50:I50"/>
    <mergeCell ref="C44:I44"/>
    <mergeCell ref="B30:I30"/>
    <mergeCell ref="A1:I1"/>
    <mergeCell ref="B36:I36"/>
    <mergeCell ref="C46:I46"/>
    <mergeCell ref="A6:I6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俘虜背景快速生成 (3d6)</t>
        </is>
      </c>
    </row>
    <row r="3">
      <c r="A3" s="5" t="inlineStr">
        <is>
          <t>出身 (1d6)</t>
        </is>
      </c>
      <c r="B3" s="11" t="inlineStr"/>
      <c r="C3" s="5" t="inlineStr">
        <is>
          <t>動機 (1d6)</t>
        </is>
      </c>
      <c r="D3" s="11" t="inlineStr"/>
      <c r="E3" s="5" t="inlineStr">
        <is>
          <t>祕密 (1d6)</t>
        </is>
      </c>
      <c r="F3" s="11" t="inlineStr"/>
    </row>
    <row r="4">
      <c r="A4" s="8" t="inlineStr">
        <is>
          <t>1</t>
        </is>
      </c>
      <c r="B4" s="12" t="inlineStr">
        <is>
          <t>家子女: 老實本分</t>
        </is>
      </c>
      <c r="C4" s="8" t="inlineStr">
        <is>
          <t>1</t>
        </is>
      </c>
      <c r="D4" s="12" t="inlineStr">
        <is>
          <t>妹妹籌藥費</t>
        </is>
      </c>
      <c r="E4" s="8" t="inlineStr">
        <is>
          <t>1</t>
        </is>
      </c>
      <c r="F4" s="12" t="inlineStr">
        <is>
          <t>實是貴族私生子</t>
        </is>
      </c>
    </row>
    <row r="5">
      <c r="A5" s="8" t="inlineStr">
        <is>
          <t>2</t>
        </is>
      </c>
      <c r="B5" s="12" t="inlineStr">
        <is>
          <t>市貧民: 爲生存而戰</t>
        </is>
      </c>
      <c r="C5" s="8" t="inlineStr">
        <is>
          <t>2</t>
        </is>
      </c>
      <c r="D5" s="12" t="inlineStr">
        <is>
          <t>明自己</t>
        </is>
      </c>
      <c r="E5" s="8" t="inlineStr">
        <is>
          <t>2</t>
        </is>
      </c>
      <c r="F5" s="12" t="inlineStr">
        <is>
          <t>上藏着舊情人的信</t>
        </is>
      </c>
    </row>
    <row r="6">
      <c r="A6" s="8" t="inlineStr">
        <is>
          <t>3</t>
        </is>
      </c>
      <c r="B6" s="12" t="inlineStr">
        <is>
          <t>落貴族: 不甘平凡</t>
        </is>
      </c>
      <c r="C6" s="8" t="inlineStr">
        <is>
          <t>3</t>
        </is>
      </c>
      <c r="D6" s="12" t="inlineStr">
        <is>
          <t>清債務</t>
        </is>
      </c>
      <c r="E6" s="8" t="inlineStr">
        <is>
          <t>3</t>
        </is>
      </c>
      <c r="F6" s="12" t="inlineStr">
        <is>
          <t>怕黑暗(幽閉恐懼)</t>
        </is>
      </c>
    </row>
    <row r="7">
      <c r="A7" s="8" t="inlineStr">
        <is>
          <t>4</t>
        </is>
      </c>
      <c r="B7" s="12" t="inlineStr">
        <is>
          <t>兒院長大: 獨立堅韌</t>
        </is>
      </c>
      <c r="C7" s="8" t="inlineStr">
        <is>
          <t>4</t>
        </is>
      </c>
      <c r="D7" s="12" t="inlineStr">
        <is>
          <t>隨偶像</t>
        </is>
      </c>
      <c r="E7" s="8" t="inlineStr">
        <is>
          <t>4</t>
        </is>
      </c>
      <c r="F7" s="12" t="inlineStr">
        <is>
          <t>一次出任務</t>
        </is>
      </c>
    </row>
    <row r="8">
      <c r="A8" s="8" t="inlineStr">
        <is>
          <t>5</t>
        </is>
      </c>
      <c r="B8" s="12" t="inlineStr">
        <is>
          <t>人家庭: 精明算計</t>
        </is>
      </c>
      <c r="C8" s="8" t="inlineStr">
        <is>
          <t>5</t>
        </is>
      </c>
      <c r="D8" s="12" t="inlineStr">
        <is>
          <t>避過去</t>
        </is>
      </c>
      <c r="E8" s="8" t="inlineStr">
        <is>
          <t>5</t>
        </is>
      </c>
      <c r="F8" s="12" t="inlineStr">
        <is>
          <t>道公會高層祕密</t>
        </is>
      </c>
    </row>
    <row r="9">
      <c r="A9" s="8" t="inlineStr">
        <is>
          <t>6</t>
        </is>
      </c>
      <c r="B9" s="12" t="inlineStr">
        <is>
          <t>險者世家: 天生冒險者</t>
        </is>
      </c>
      <c r="C9" s="8" t="inlineStr">
        <is>
          <t>6</t>
        </is>
      </c>
      <c r="D9" s="12" t="inlineStr">
        <is>
          <t>找失蹤親人</t>
        </is>
      </c>
      <c r="E9" s="8" t="inlineStr">
        <is>
          <t>6</t>
        </is>
      </c>
      <c r="F9" s="12" t="inlineStr">
        <is>
          <t>實是深淵血統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2026-06-28T14:53:59Z</dcterms:created>
  <dcterms:modified xmlns:dcterms="http://purl.org/dc/terms/" xmlns:xsi="http://www.w3.org/2001/XMLSchema-instance" xsi:type="dcterms:W3CDTF">2026-06-28T14:53:59Z</dcterms:modified>
</cp:coreProperties>
</file>