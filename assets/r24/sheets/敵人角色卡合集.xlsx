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怪物卡-批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D700"/>
      <sz val="14"/>
    </font>
    <font>
      <name val="Microsoft YaHei"/>
      <b val="1"/>
      <color rgb="00FFD700"/>
      <sz val="10"/>
    </font>
    <font>
      <name val="Microsoft YaHei"/>
      <color rgb="00FFFFFF"/>
      <sz val="10"/>
    </font>
    <font>
      <name val="Microsoft YaHei"/>
      <color rgb="001A1A2E"/>
      <sz val="10"/>
    </font>
    <font>
      <name val="Microsoft YaHei"/>
      <b val="1"/>
      <color rgb="0000FF88"/>
      <sz val="10"/>
    </font>
    <font>
      <name val="Microsoft YaHei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2D2D44"/>
        <bgColor rgb="002D2D44"/>
      </patternFill>
    </fill>
    <fill>
      <patternFill patternType="solid">
        <fgColor rgb="000F3460"/>
        <bgColor rgb="000F3460"/>
      </patternFill>
    </fill>
    <fill>
      <patternFill patternType="solid">
        <fgColor rgb="001C2A3A"/>
        <bgColor rgb="001C2A3A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深淵領主 — 怪物卡模板 (批量登記 · 自動計算)</t>
        </is>
      </c>
    </row>
    <row r="3">
      <c r="A3" s="2" t="inlineStr">
        <is>
          <t>怪物名稱</t>
        </is>
      </c>
      <c r="B3" s="2" t="inlineStr">
        <is>
          <t>類型</t>
        </is>
      </c>
      <c r="C3" s="2" t="inlineStr">
        <is>
          <t>CP</t>
        </is>
      </c>
      <c r="D3" s="2" t="inlineStr">
        <is>
          <t>MV</t>
        </is>
      </c>
      <c r="E3" s="2" t="inlineStr">
        <is>
          <t>LOY</t>
        </is>
      </c>
      <c r="F3" s="2" t="inlineStr">
        <is>
          <t>HP</t>
        </is>
      </c>
      <c r="G3" s="2" t="inlineStr">
        <is>
          <t>特殊戰鬥能力</t>
        </is>
      </c>
      <c r="H3" s="2" t="inlineStr">
        <is>
          <t>經營能力(d66)</t>
        </is>
      </c>
      <c r="I3" s="2" t="inlineStr">
        <is>
          <t>最佳房間</t>
        </is>
      </c>
      <c r="J3" s="2" t="inlineStr">
        <is>
          <t>經營崗位</t>
        </is>
      </c>
      <c r="K3" s="2" t="inlineStr">
        <is>
          <t>備註</t>
        </is>
      </c>
    </row>
    <row r="4">
      <c r="A4" s="3" t="inlineStr"/>
      <c r="B4" s="3" t="inlineStr"/>
      <c r="C4" s="4" t="inlineStr"/>
      <c r="D4" s="4" t="inlineStr"/>
      <c r="E4" s="4" t="inlineStr"/>
      <c r="F4" s="4" t="inlineStr"/>
      <c r="G4" s="3" t="inlineStr"/>
      <c r="H4" s="3" t="inlineStr"/>
      <c r="I4" s="3" t="inlineStr"/>
      <c r="J4" s="4" t="inlineStr"/>
      <c r="K4" s="3" t="inlineStr"/>
    </row>
    <row r="5">
      <c r="A5" s="3" t="inlineStr"/>
      <c r="B5" s="3" t="inlineStr"/>
      <c r="C5" s="4" t="inlineStr"/>
      <c r="D5" s="4" t="inlineStr"/>
      <c r="E5" s="4" t="inlineStr"/>
      <c r="F5" s="4" t="inlineStr"/>
      <c r="G5" s="3" t="inlineStr"/>
      <c r="H5" s="3" t="inlineStr"/>
      <c r="I5" s="3" t="inlineStr"/>
      <c r="J5" s="4" t="inlineStr"/>
      <c r="K5" s="3" t="inlineStr"/>
    </row>
    <row r="6">
      <c r="A6" s="3" t="inlineStr"/>
      <c r="B6" s="3" t="inlineStr"/>
      <c r="C6" s="4" t="inlineStr"/>
      <c r="D6" s="4" t="inlineStr"/>
      <c r="E6" s="4" t="inlineStr"/>
      <c r="F6" s="4" t="inlineStr"/>
      <c r="G6" s="3" t="inlineStr"/>
      <c r="H6" s="3" t="inlineStr"/>
      <c r="I6" s="3" t="inlineStr"/>
      <c r="J6" s="4" t="inlineStr"/>
      <c r="K6" s="3" t="inlineStr"/>
    </row>
    <row r="7">
      <c r="A7" s="3" t="inlineStr"/>
      <c r="B7" s="3" t="inlineStr"/>
      <c r="C7" s="4" t="inlineStr"/>
      <c r="D7" s="4" t="inlineStr"/>
      <c r="E7" s="4" t="inlineStr"/>
      <c r="F7" s="4" t="inlineStr"/>
      <c r="G7" s="3" t="inlineStr"/>
      <c r="H7" s="3" t="inlineStr"/>
      <c r="I7" s="3" t="inlineStr"/>
      <c r="J7" s="4" t="inlineStr"/>
      <c r="K7" s="3" t="inlineStr"/>
    </row>
    <row r="8">
      <c r="A8" s="3" t="inlineStr"/>
      <c r="B8" s="3" t="inlineStr"/>
      <c r="C8" s="4" t="inlineStr"/>
      <c r="D8" s="4" t="inlineStr"/>
      <c r="E8" s="4" t="inlineStr"/>
      <c r="F8" s="4" t="inlineStr"/>
      <c r="G8" s="3" t="inlineStr"/>
      <c r="H8" s="3" t="inlineStr"/>
      <c r="I8" s="3" t="inlineStr"/>
      <c r="J8" s="4" t="inlineStr"/>
      <c r="K8" s="3" t="inlineStr"/>
    </row>
    <row r="9">
      <c r="A9" s="3" t="inlineStr"/>
      <c r="B9" s="3" t="inlineStr"/>
      <c r="C9" s="4" t="inlineStr"/>
      <c r="D9" s="4" t="inlineStr"/>
      <c r="E9" s="4" t="inlineStr"/>
      <c r="F9" s="4" t="inlineStr"/>
      <c r="G9" s="3" t="inlineStr"/>
      <c r="H9" s="3" t="inlineStr"/>
      <c r="I9" s="3" t="inlineStr"/>
      <c r="J9" s="4" t="inlineStr"/>
      <c r="K9" s="3" t="inlineStr"/>
    </row>
    <row r="10">
      <c r="A10" s="3" t="inlineStr"/>
      <c r="B10" s="3" t="inlineStr"/>
      <c r="C10" s="4" t="inlineStr"/>
      <c r="D10" s="4" t="inlineStr"/>
      <c r="E10" s="4" t="inlineStr"/>
      <c r="F10" s="4" t="inlineStr"/>
      <c r="G10" s="3" t="inlineStr"/>
      <c r="H10" s="3" t="inlineStr"/>
      <c r="I10" s="3" t="inlineStr"/>
      <c r="J10" s="4" t="inlineStr"/>
      <c r="K10" s="3" t="inlineStr"/>
    </row>
    <row r="11">
      <c r="A11" s="3" t="inlineStr"/>
      <c r="B11" s="3" t="inlineStr"/>
      <c r="C11" s="4" t="inlineStr"/>
      <c r="D11" s="4" t="inlineStr"/>
      <c r="E11" s="4" t="inlineStr"/>
      <c r="F11" s="4" t="inlineStr"/>
      <c r="G11" s="3" t="inlineStr"/>
      <c r="H11" s="3" t="inlineStr"/>
      <c r="I11" s="3" t="inlineStr"/>
      <c r="J11" s="4" t="inlineStr"/>
      <c r="K11" s="3" t="inlineStr"/>
    </row>
    <row r="12">
      <c r="A12" s="3" t="inlineStr"/>
      <c r="B12" s="3" t="inlineStr"/>
      <c r="C12" s="4" t="inlineStr"/>
      <c r="D12" s="4" t="inlineStr"/>
      <c r="E12" s="4" t="inlineStr"/>
      <c r="F12" s="4" t="inlineStr"/>
      <c r="G12" s="3" t="inlineStr"/>
      <c r="H12" s="3" t="inlineStr"/>
      <c r="I12" s="3" t="inlineStr"/>
      <c r="J12" s="4" t="inlineStr"/>
      <c r="K12" s="3" t="inlineStr"/>
    </row>
    <row r="13">
      <c r="A13" s="3" t="inlineStr"/>
      <c r="B13" s="3" t="inlineStr"/>
      <c r="C13" s="4" t="inlineStr"/>
      <c r="D13" s="4" t="inlineStr"/>
      <c r="E13" s="4" t="inlineStr"/>
      <c r="F13" s="4" t="inlineStr"/>
      <c r="G13" s="3" t="inlineStr"/>
      <c r="H13" s="3" t="inlineStr"/>
      <c r="I13" s="3" t="inlineStr"/>
      <c r="J13" s="4" t="inlineStr"/>
      <c r="K13" s="3" t="inlineStr"/>
    </row>
    <row r="14">
      <c r="A14" s="3" t="inlineStr"/>
      <c r="B14" s="3" t="inlineStr"/>
      <c r="C14" s="4" t="inlineStr"/>
      <c r="D14" s="4" t="inlineStr"/>
      <c r="E14" s="4" t="inlineStr"/>
      <c r="F14" s="4" t="inlineStr"/>
      <c r="G14" s="3" t="inlineStr"/>
      <c r="H14" s="3" t="inlineStr"/>
      <c r="I14" s="3" t="inlineStr"/>
      <c r="J14" s="4" t="inlineStr"/>
      <c r="K14" s="3" t="inlineStr"/>
    </row>
    <row r="15">
      <c r="A15" s="3" t="inlineStr"/>
      <c r="B15" s="3" t="inlineStr"/>
      <c r="C15" s="4" t="inlineStr"/>
      <c r="D15" s="4" t="inlineStr"/>
      <c r="E15" s="4" t="inlineStr"/>
      <c r="F15" s="4" t="inlineStr"/>
      <c r="G15" s="3" t="inlineStr"/>
      <c r="H15" s="3" t="inlineStr"/>
      <c r="I15" s="3" t="inlineStr"/>
      <c r="J15" s="4" t="inlineStr"/>
      <c r="K15" s="3" t="inlineStr"/>
    </row>
    <row r="16">
      <c r="A16" s="3" t="inlineStr"/>
      <c r="B16" s="3" t="inlineStr"/>
      <c r="C16" s="4" t="inlineStr"/>
      <c r="D16" s="4" t="inlineStr"/>
      <c r="E16" s="4" t="inlineStr"/>
      <c r="F16" s="4" t="inlineStr"/>
      <c r="G16" s="3" t="inlineStr"/>
      <c r="H16" s="3" t="inlineStr"/>
      <c r="I16" s="3" t="inlineStr"/>
      <c r="J16" s="4" t="inlineStr"/>
      <c r="K16" s="3" t="inlineStr"/>
    </row>
    <row r="17">
      <c r="A17" s="3" t="inlineStr"/>
      <c r="B17" s="3" t="inlineStr"/>
      <c r="C17" s="4" t="inlineStr"/>
      <c r="D17" s="4" t="inlineStr"/>
      <c r="E17" s="4" t="inlineStr"/>
      <c r="F17" s="4" t="inlineStr"/>
      <c r="G17" s="3" t="inlineStr"/>
      <c r="H17" s="3" t="inlineStr"/>
      <c r="I17" s="3" t="inlineStr"/>
      <c r="J17" s="4" t="inlineStr"/>
      <c r="K17" s="3" t="inlineStr"/>
    </row>
    <row r="18">
      <c r="A18" s="3" t="inlineStr"/>
      <c r="B18" s="3" t="inlineStr"/>
      <c r="C18" s="4" t="inlineStr"/>
      <c r="D18" s="4" t="inlineStr"/>
      <c r="E18" s="4" t="inlineStr"/>
      <c r="F18" s="4" t="inlineStr"/>
      <c r="G18" s="3" t="inlineStr"/>
      <c r="H18" s="3" t="inlineStr"/>
      <c r="I18" s="3" t="inlineStr"/>
      <c r="J18" s="4" t="inlineStr"/>
      <c r="K18" s="3" t="inlineStr"/>
    </row>
    <row r="19">
      <c r="A19" s="3" t="inlineStr"/>
      <c r="B19" s="3" t="inlineStr"/>
      <c r="C19" s="4" t="inlineStr"/>
      <c r="D19" s="4" t="inlineStr"/>
      <c r="E19" s="4" t="inlineStr"/>
      <c r="F19" s="4" t="inlineStr"/>
      <c r="G19" s="3" t="inlineStr"/>
      <c r="H19" s="3" t="inlineStr"/>
      <c r="I19" s="3" t="inlineStr"/>
      <c r="J19" s="4" t="inlineStr"/>
      <c r="K19" s="3" t="inlineStr"/>
    </row>
    <row r="20">
      <c r="A20" s="3" t="inlineStr"/>
      <c r="B20" s="3" t="inlineStr"/>
      <c r="C20" s="4" t="inlineStr"/>
      <c r="D20" s="4" t="inlineStr"/>
      <c r="E20" s="4" t="inlineStr"/>
      <c r="F20" s="4" t="inlineStr"/>
      <c r="G20" s="3" t="inlineStr"/>
      <c r="H20" s="3" t="inlineStr"/>
      <c r="I20" s="3" t="inlineStr"/>
      <c r="J20" s="4" t="inlineStr"/>
      <c r="K20" s="3" t="inlineStr"/>
    </row>
    <row r="21">
      <c r="A21" s="3" t="inlineStr"/>
      <c r="B21" s="3" t="inlineStr"/>
      <c r="C21" s="4" t="inlineStr"/>
      <c r="D21" s="4" t="inlineStr"/>
      <c r="E21" s="4" t="inlineStr"/>
      <c r="F21" s="4" t="inlineStr"/>
      <c r="G21" s="3" t="inlineStr"/>
      <c r="H21" s="3" t="inlineStr"/>
      <c r="I21" s="3" t="inlineStr"/>
      <c r="J21" s="4" t="inlineStr"/>
      <c r="K21" s="3" t="inlineStr"/>
    </row>
    <row r="22">
      <c r="A22" s="3" t="inlineStr"/>
      <c r="B22" s="3" t="inlineStr"/>
      <c r="C22" s="4" t="inlineStr"/>
      <c r="D22" s="4" t="inlineStr"/>
      <c r="E22" s="4" t="inlineStr"/>
      <c r="F22" s="4" t="inlineStr"/>
      <c r="G22" s="3" t="inlineStr"/>
      <c r="H22" s="3" t="inlineStr"/>
      <c r="I22" s="3" t="inlineStr"/>
      <c r="J22" s="4" t="inlineStr"/>
      <c r="K22" s="3" t="inlineStr"/>
    </row>
    <row r="23">
      <c r="A23" s="3" t="inlineStr"/>
      <c r="B23" s="3" t="inlineStr"/>
      <c r="C23" s="4" t="inlineStr"/>
      <c r="D23" s="4" t="inlineStr"/>
      <c r="E23" s="4" t="inlineStr"/>
      <c r="F23" s="4" t="inlineStr"/>
      <c r="G23" s="3" t="inlineStr"/>
      <c r="H23" s="3" t="inlineStr"/>
      <c r="I23" s="3" t="inlineStr"/>
      <c r="J23" s="4" t="inlineStr"/>
      <c r="K23" s="3" t="inlineStr"/>
    </row>
    <row r="25">
      <c r="A25" s="5" t="inlineStr">
        <is>
          <t>彙總計算 (自動)</t>
        </is>
      </c>
    </row>
    <row r="26">
      <c r="A26" s="6" t="inlineStr">
        <is>
          <t>經營組 ΣMV</t>
        </is>
      </c>
      <c r="B26" s="7">
        <f>SUMIF(J4:J23,"是",D4:D23)</f>
        <v/>
      </c>
      <c r="C26" s="6" t="inlineStr">
        <is>
          <t>經營骰池加骰</t>
        </is>
      </c>
      <c r="D26" s="7">
        <f>IFERROR(FLOOR(B26/2,1), 0)</f>
        <v/>
      </c>
    </row>
    <row r="27">
      <c r="A27" s="6" t="inlineStr">
        <is>
          <t>戰鬥組 ΣCP</t>
        </is>
      </c>
      <c r="B27" s="7">
        <f>SUMIF(J4:J23,"否",C4:C23)</f>
        <v/>
      </c>
      <c r="C27" s="6" t="inlineStr">
        <is>
          <t>戰鬥骰池加骰</t>
        </is>
      </c>
      <c r="D27" s="7">
        <f>IFERROR(FLOOR(B27/2,1), 0)</f>
        <v/>
      </c>
    </row>
    <row r="31">
      <c r="A31" s="5" t="inlineStr">
        <is>
          <t>怪物參考數據 (基礎8種)</t>
        </is>
      </c>
    </row>
    <row r="32">
      <c r="A32" s="2" t="inlineStr">
        <is>
          <t>名稱</t>
        </is>
      </c>
      <c r="B32" s="2" t="inlineStr">
        <is>
          <t>類型</t>
        </is>
      </c>
      <c r="C32" s="2" t="inlineStr">
        <is>
          <t>CP</t>
        </is>
      </c>
      <c r="D32" s="2" t="inlineStr">
        <is>
          <t>MV</t>
        </is>
      </c>
      <c r="E32" s="2" t="inlineStr">
        <is>
          <t>特殊能力</t>
        </is>
      </c>
      <c r="F32" s="2" t="inlineStr">
        <is>
          <t>招募消耗</t>
        </is>
      </c>
      <c r="G32" s="2" t="inlineStr">
        <is>
          <t>維護/回合</t>
        </is>
      </c>
      <c r="H32" s="2" t="inlineStr">
        <is>
          <t>來源</t>
        </is>
      </c>
    </row>
    <row r="33">
      <c r="A33" s="8" t="inlineStr">
        <is>
          <t>骷髏兵</t>
        </is>
      </c>
      <c r="B33" s="9" t="inlineStr">
        <is>
          <t>亡靈</t>
        </is>
      </c>
      <c r="C33" s="9" t="inlineStr">
        <is>
          <t>1</t>
        </is>
      </c>
      <c r="D33" s="9" t="inlineStr">
        <is>
          <t>1</t>
        </is>
      </c>
      <c r="E33" s="9" t="inlineStr">
        <is>
          <t>亡靈：不收食物維護</t>
        </is>
      </c>
      <c r="F33" s="9" t="inlineStr">
        <is>
          <t>●×1</t>
        </is>
      </c>
      <c r="G33" s="9" t="inlineStr">
        <is>
          <t>無</t>
        </is>
      </c>
    </row>
    <row r="34">
      <c r="A34" s="8" t="inlineStr">
        <is>
          <t>史萊姆</t>
        </is>
      </c>
      <c r="B34" s="9" t="inlineStr">
        <is>
          <t>異怪</t>
        </is>
      </c>
      <c r="C34" s="9" t="inlineStr">
        <is>
          <t>2</t>
        </is>
      </c>
      <c r="D34" s="9" t="inlineStr">
        <is>
          <t>0</t>
        </is>
      </c>
      <c r="E34" s="9" t="inlineStr">
        <is>
          <t>腐蝕攻擊：對金屬裝備額外傷害</t>
        </is>
      </c>
      <c r="F34" s="9" t="inlineStr">
        <is>
          <t>◇×2</t>
        </is>
      </c>
      <c r="G34" s="9" t="inlineStr">
        <is>
          <t>◆×1</t>
        </is>
      </c>
    </row>
    <row r="35">
      <c r="A35" s="8" t="inlineStr">
        <is>
          <t>暗影</t>
        </is>
      </c>
      <c r="B35" s="9" t="inlineStr">
        <is>
          <t>精類</t>
        </is>
      </c>
      <c r="C35" s="9" t="inlineStr">
        <is>
          <t>2</t>
        </is>
      </c>
      <c r="D35" s="9" t="inlineStr">
        <is>
          <t>1</t>
        </is>
      </c>
      <c r="E35" s="9" t="inlineStr">
        <is>
          <t>伏擊大師：先攻+2</t>
        </is>
      </c>
      <c r="F35" s="9" t="inlineStr">
        <is>
          <t>●×2</t>
        </is>
      </c>
      <c r="G35" s="9" t="inlineStr">
        <is>
          <t>◇×1</t>
        </is>
      </c>
    </row>
    <row r="36">
      <c r="A36" s="8" t="inlineStr">
        <is>
          <t>石像鬼</t>
        </is>
      </c>
      <c r="B36" s="9" t="inlineStr">
        <is>
          <t>構裝</t>
        </is>
      </c>
      <c r="C36" s="9" t="inlineStr">
        <is>
          <t>3</t>
        </is>
      </c>
      <c r="D36" s="9" t="inlineStr">
        <is>
          <t>2</t>
        </is>
      </c>
      <c r="E36" s="9" t="inlineStr">
        <is>
          <t>飛行：可巡邏多個房間</t>
        </is>
      </c>
      <c r="F36" s="9" t="inlineStr">
        <is>
          <t>■×2+◇×2</t>
        </is>
      </c>
      <c r="G36" s="9" t="inlineStr">
        <is>
          <t>■×1</t>
        </is>
      </c>
    </row>
    <row r="37">
      <c r="A37" s="8" t="inlineStr">
        <is>
          <t>地獄犬</t>
        </is>
      </c>
      <c r="B37" s="9" t="inlineStr">
        <is>
          <t>魔物</t>
        </is>
      </c>
      <c r="C37" s="9" t="inlineStr">
        <is>
          <t>3</t>
        </is>
      </c>
      <c r="D37" s="9" t="inlineStr">
        <is>
          <t>1</t>
        </is>
      </c>
      <c r="E37" s="9" t="inlineStr">
        <is>
          <t>追蹤嗅覺：逃跑追擊+2骰</t>
        </is>
      </c>
      <c r="F37" s="9" t="inlineStr">
        <is>
          <t>●×3+◆×1</t>
        </is>
      </c>
      <c r="G37" s="9" t="inlineStr">
        <is>
          <t>◆×1</t>
        </is>
      </c>
    </row>
    <row r="38">
      <c r="A38" s="8" t="inlineStr">
        <is>
          <t>元素構裝體</t>
        </is>
      </c>
      <c r="B38" s="9" t="inlineStr">
        <is>
          <t>構裝</t>
        </is>
      </c>
      <c r="C38" s="9" t="inlineStr">
        <is>
          <t>4</t>
        </is>
      </c>
      <c r="D38" s="9" t="inlineStr">
        <is>
          <t>3</t>
        </is>
      </c>
      <c r="E38" s="9" t="inlineStr">
        <is>
          <t>元素免疫：對應元素傷害減免</t>
        </is>
      </c>
      <c r="F38" s="9" t="inlineStr">
        <is>
          <t>■×4+◇×3</t>
        </is>
      </c>
      <c r="G38" s="9" t="inlineStr">
        <is>
          <t>◇×2</t>
        </is>
      </c>
    </row>
    <row r="39">
      <c r="A39" s="8" t="inlineStr">
        <is>
          <t>蛛羣</t>
        </is>
      </c>
      <c r="B39" s="9" t="inlineStr">
        <is>
          <t>蟲類</t>
        </is>
      </c>
      <c r="C39" s="9" t="inlineStr">
        <is>
          <t>2</t>
        </is>
      </c>
      <c r="D39" s="9" t="inlineStr">
        <is>
          <t>1</t>
        </is>
      </c>
      <c r="E39" s="9" t="inlineStr">
        <is>
          <t>蛛網陷阱：協助陷阱觸發+1骰</t>
        </is>
      </c>
      <c r="F39" s="9" t="inlineStr">
        <is>
          <t>■×1+◇×1</t>
        </is>
      </c>
      <c r="G39" s="9" t="inlineStr">
        <is>
          <t>無</t>
        </is>
      </c>
    </row>
    <row r="40">
      <c r="A40" s="8" t="inlineStr">
        <is>
          <t>邪教徒</t>
        </is>
      </c>
      <c r="B40" s="9" t="inlineStr">
        <is>
          <t>人形</t>
        </is>
      </c>
      <c r="C40" s="9" t="inlineStr">
        <is>
          <t>1</t>
        </is>
      </c>
      <c r="D40" s="9" t="inlineStr">
        <is>
          <t>2</t>
        </is>
      </c>
      <c r="E40" s="9" t="inlineStr">
        <is>
          <t>黑暗儀式：協助所有ARC檢定</t>
        </is>
      </c>
      <c r="F40" s="9" t="inlineStr">
        <is>
          <t>●×2+◇×1</t>
        </is>
      </c>
      <c r="G40" s="9" t="inlineStr">
        <is>
          <t>◆×1</t>
        </is>
      </c>
    </row>
    <row r="43">
      <c r="A43" s="5" t="inlineStr">
        <is>
          <t>怪物經營能力 d66 速查</t>
        </is>
      </c>
    </row>
    <row r="44">
      <c r="A44" s="2" t="inlineStr">
        <is>
          <t>d66</t>
        </is>
      </c>
      <c r="B44" s="2" t="inlineStr">
        <is>
          <t>能力名</t>
        </is>
      </c>
      <c r="C44" s="2" t="inlineStr">
        <is>
          <t>系別</t>
        </is>
      </c>
      <c r="D44" s="2" t="inlineStr">
        <is>
          <t>普通級(ML1-2)</t>
        </is>
      </c>
      <c r="E44" s="2" t="inlineStr">
        <is>
          <t>強化級(ML3-4)</t>
        </is>
      </c>
      <c r="F44" s="2" t="inlineStr">
        <is>
          <t>專家級(ML5+)</t>
        </is>
      </c>
    </row>
    <row r="45">
      <c r="A45" s="10" t="inlineStr">
        <is>
          <t>11</t>
        </is>
      </c>
      <c r="B45" s="11" t="inlineStr">
        <is>
          <t>礦脈感知</t>
        </is>
      </c>
      <c r="C45" s="11" t="inlineStr">
        <is>
          <t>採礦</t>
        </is>
      </c>
      <c r="D45" s="11" t="inlineStr">
        <is>
          <t>MV+1</t>
        </is>
      </c>
      <c r="E45" s="11" t="inlineStr">
        <is>
          <t>MV+2,採礦+1骰</t>
        </is>
      </c>
      <c r="F45" s="11" t="inlineStr">
        <is>
          <t>MV+3,+2骰,10%稀有礦</t>
        </is>
      </c>
    </row>
    <row r="46">
      <c r="A46" s="10" t="inlineStr">
        <is>
          <t>12</t>
        </is>
      </c>
      <c r="B46" s="11" t="inlineStr">
        <is>
          <t>建材精煉</t>
        </is>
      </c>
      <c r="C46" s="11" t="inlineStr">
        <is>
          <t>採礦</t>
        </is>
      </c>
      <c r="D46" s="11" t="inlineStr">
        <is>
          <t>建材消耗-10%</t>
        </is>
      </c>
      <c r="E46" s="11" t="inlineStr">
        <is>
          <t>-20%</t>
        </is>
      </c>
      <c r="F46" s="11" t="inlineStr">
        <is>
          <t>-30%,報廢回收50%</t>
        </is>
      </c>
    </row>
    <row r="47">
      <c r="A47" s="10" t="inlineStr">
        <is>
          <t>14</t>
        </is>
      </c>
      <c r="B47" s="11" t="inlineStr">
        <is>
          <t>雙倍產出</t>
        </is>
      </c>
      <c r="C47" s="11" t="inlineStr">
        <is>
          <t>採礦</t>
        </is>
      </c>
      <c r="D47" s="11" t="inlineStr">
        <is>
          <t>6觸發額外產出</t>
        </is>
      </c>
      <c r="E47" s="11" t="inlineStr">
        <is>
          <t>5-6觸發</t>
        </is>
      </c>
      <c r="F47" s="11" t="inlineStr">
        <is>
          <t>5-6觸發,6多產2</t>
        </is>
      </c>
    </row>
    <row r="48">
      <c r="A48" s="10" t="inlineStr">
        <is>
          <t>21</t>
        </is>
      </c>
      <c r="B48" s="11" t="inlineStr">
        <is>
          <t>建築快手</t>
        </is>
      </c>
      <c r="C48" s="11" t="inlineStr">
        <is>
          <t>建造</t>
        </is>
      </c>
      <c r="D48" s="11" t="inlineStr">
        <is>
          <t>建造+1骰</t>
        </is>
      </c>
      <c r="E48" s="11" t="inlineStr">
        <is>
          <t>+2骰</t>
        </is>
      </c>
      <c r="F48" s="11" t="inlineStr">
        <is>
          <t>+3骰,時間減半</t>
        </is>
      </c>
    </row>
    <row r="49">
      <c r="A49" s="10" t="inlineStr">
        <is>
          <t>23</t>
        </is>
      </c>
      <c r="B49" s="11" t="inlineStr">
        <is>
          <t>維護專家</t>
        </is>
      </c>
      <c r="C49" s="11" t="inlineStr">
        <is>
          <t>建造</t>
        </is>
      </c>
      <c r="D49" s="11" t="inlineStr">
        <is>
          <t>房間維護費-1</t>
        </is>
      </c>
      <c r="E49" s="11" t="inlineStr">
        <is>
          <t>-2</t>
        </is>
      </c>
      <c r="F49" s="11" t="inlineStr">
        <is>
          <t>全免,相鄰-1</t>
        </is>
      </c>
    </row>
    <row r="50">
      <c r="A50" s="10" t="inlineStr">
        <is>
          <t>31</t>
        </is>
      </c>
      <c r="B50" s="11" t="inlineStr">
        <is>
          <t>魔素親和</t>
        </is>
      </c>
      <c r="C50" s="11" t="inlineStr">
        <is>
          <t>魔法</t>
        </is>
      </c>
      <c r="D50" s="11" t="inlineStr">
        <is>
          <t>MV當作ARC</t>
        </is>
      </c>
      <c r="E50" s="11" t="inlineStr">
        <is>
          <t>MV+1且當作ARC</t>
        </is>
      </c>
      <c r="F50" s="11" t="inlineStr">
        <is>
          <t>MV+2,◇消耗-1</t>
        </is>
      </c>
    </row>
    <row r="51">
      <c r="A51" s="10" t="inlineStr">
        <is>
          <t>36</t>
        </is>
      </c>
      <c r="B51" s="11" t="inlineStr">
        <is>
          <t>禁忌知識</t>
        </is>
      </c>
      <c r="C51" s="11" t="inlineStr">
        <is>
          <t>魔法</t>
        </is>
      </c>
      <c r="D51" s="11" t="inlineStr">
        <is>
          <t>解鎖1隱藏研究</t>
        </is>
      </c>
      <c r="E51" s="11" t="inlineStr">
        <is>
          <t>2項,速度+20%</t>
        </is>
      </c>
      <c r="F51" s="11" t="inlineStr">
        <is>
          <t>3項,速度+50%</t>
        </is>
      </c>
    </row>
    <row r="52">
      <c r="A52" s="10" t="inlineStr">
        <is>
          <t>41</t>
        </is>
      </c>
      <c r="B52" s="11" t="inlineStr">
        <is>
          <t>獄卒本能</t>
        </is>
      </c>
      <c r="C52" s="11" t="inlineStr">
        <is>
          <t>囚牢</t>
        </is>
      </c>
      <c r="D52" s="11" t="inlineStr">
        <is>
          <t>逃跑檢定-1骰</t>
        </is>
      </c>
      <c r="E52" s="11" t="inlineStr">
        <is>
          <t>-2骰</t>
        </is>
      </c>
      <c r="F52" s="11" t="inlineStr">
        <is>
          <t>-3骰,暴動減半</t>
        </is>
      </c>
    </row>
    <row r="53">
      <c r="A53" s="10" t="inlineStr">
        <is>
          <t>44</t>
        </is>
      </c>
      <c r="B53" s="11" t="inlineStr">
        <is>
          <t>秩序維護</t>
        </is>
      </c>
      <c r="C53" s="11" t="inlineStr">
        <is>
          <t>囚牢</t>
        </is>
      </c>
      <c r="D53" s="11" t="inlineStr">
        <is>
          <t>同房LOY不降</t>
        </is>
      </c>
      <c r="E53" s="11" t="inlineStr">
        <is>
          <t>同層LOY不降</t>
        </is>
      </c>
      <c r="F53" s="11" t="inlineStr">
        <is>
          <t>全地城下降減半</t>
        </is>
      </c>
    </row>
    <row r="54">
      <c r="A54" s="10" t="inlineStr">
        <is>
          <t>51</t>
        </is>
      </c>
      <c r="B54" s="11" t="inlineStr">
        <is>
          <t>暗影偵察</t>
        </is>
      </c>
      <c r="C54" s="11" t="inlineStr">
        <is>
          <t>偵察</t>
        </is>
      </c>
      <c r="D54" s="11" t="inlineStr">
        <is>
          <t>預警+1回合</t>
        </is>
      </c>
      <c r="E54" s="11" t="inlineStr">
        <is>
          <t>+2回合</t>
        </is>
      </c>
      <c r="F54" s="11" t="inlineStr">
        <is>
          <t>+2且辨識職業弱點</t>
        </is>
      </c>
    </row>
    <row r="55">
      <c r="A55" s="10" t="inlineStr">
        <is>
          <t>52</t>
        </is>
      </c>
      <c r="B55" s="11" t="inlineStr">
        <is>
          <t>陷阱快手</t>
        </is>
      </c>
      <c r="C55" s="11" t="inlineStr">
        <is>
          <t>偵察</t>
        </is>
      </c>
      <c r="D55" s="11" t="inlineStr">
        <is>
          <t>重置時間減半</t>
        </is>
      </c>
      <c r="E55" s="11" t="inlineStr">
        <is>
          <t>免費+減半</t>
        </is>
      </c>
      <c r="F55" s="11" t="inlineStr">
        <is>
          <t>免費+瞬間+保留50%</t>
        </is>
      </c>
    </row>
    <row r="56">
      <c r="A56" s="10" t="inlineStr">
        <is>
          <t>61</t>
        </is>
      </c>
      <c r="B56" s="11" t="inlineStr">
        <is>
          <t>幸運之星</t>
        </is>
      </c>
      <c r="C56" s="11" t="inlineStr">
        <is>
          <t>特殊</t>
        </is>
      </c>
      <c r="D56" s="11" t="inlineStr">
        <is>
          <t>重投1骰/回合</t>
        </is>
      </c>
      <c r="E56" s="11" t="inlineStr">
        <is>
          <t>重投2骰</t>
        </is>
      </c>
      <c r="F56" s="11" t="inlineStr">
        <is>
          <t>重投3骰或整池</t>
        </is>
      </c>
    </row>
    <row r="57">
      <c r="A57" s="10" t="inlineStr">
        <is>
          <t>66</t>
        </is>
      </c>
      <c r="B57" s="11" t="inlineStr">
        <is>
          <t>深淵賜福</t>
        </is>
      </c>
      <c r="C57" s="11" t="inlineStr">
        <is>
          <t>特殊</t>
        </is>
      </c>
      <c r="D57" s="11" t="inlineStr">
        <is>
          <t>重投兩次取優</t>
        </is>
      </c>
      <c r="E57" s="11" t="inlineStr">
        <is>
          <t>獲得兩項全生效</t>
        </is>
      </c>
      <c r="F57" s="11" t="inlineStr">
        <is>
          <t>兩項+自選第三項</t>
        </is>
      </c>
    </row>
  </sheetData>
  <mergeCells count="4">
    <mergeCell ref="A1:K1"/>
    <mergeCell ref="A25:K25"/>
    <mergeCell ref="A43:K4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2026-06-28T14:53:59Z</dcterms:created>
  <dcterms:modified xmlns:dcterms="http://purl.org/dc/terms/" xmlns:xsi="http://www.w3.org/2001/XMLSchema-instance" xsi:type="dcterms:W3CDTF">2026-06-28T14:53:59Z</dcterms:modified>
</cp:coreProperties>
</file>