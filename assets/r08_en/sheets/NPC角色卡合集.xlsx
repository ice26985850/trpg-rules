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ngong Laoren-Character Sheet" sheetId="1" state="visible" r:id="rId1"/>
    <sheet xmlns:r="http://schemas.openxmlformats.org/officeDocument/2006/relationships" name="Nangong Laoren-Master File" sheetId="2" state="visible" r:id="rId2"/>
    <sheet xmlns:r="http://schemas.openxmlformats.org/officeDocument/2006/relationships" name="Nangong Laoren-Sp. Inheritance" sheetId="3" state="visible" r:id="rId3"/>
    <sheet xmlns:r="http://schemas.openxmlformats.org/officeDocument/2006/relationships" name="Tianyazi-Character Sheet" sheetId="4" state="visible" r:id="rId4"/>
    <sheet xmlns:r="http://schemas.openxmlformats.org/officeDocument/2006/relationships" name="Tianyazi-Master File" sheetId="5" state="visible" r:id="rId5"/>
    <sheet xmlns:r="http://schemas.openxmlformats.org/officeDocument/2006/relationships" name="Tianyazi-Sp. Inheritance" sheetId="6" state="visible" r:id="rId6"/>
    <sheet xmlns:r="http://schemas.openxmlformats.org/officeDocument/2006/relationships" name="Dugu Wuji-Character Sheet" sheetId="7" state="visible" r:id="rId7"/>
    <sheet xmlns:r="http://schemas.openxmlformats.org/officeDocument/2006/relationships" name="Dugu Wuji-Master File" sheetId="8" state="visible" r:id="rId8"/>
    <sheet xmlns:r="http://schemas.openxmlformats.org/officeDocument/2006/relationships" name="Dugu Wuji-Sp. Inheritance" sheetId="9" state="visible" r:id="rId9"/>
    <sheet xmlns:r="http://schemas.openxmlformats.org/officeDocument/2006/relationships" name="Elder Xuanzhen-Character Sheet" sheetId="10" state="visible" r:id="rId10"/>
    <sheet xmlns:r="http://schemas.openxmlformats.org/officeDocument/2006/relationships" name="Elder Xuanzhen-Master File" sheetId="11" state="visible" r:id="rId11"/>
    <sheet xmlns:r="http://schemas.openxmlformats.org/officeDocument/2006/relationships" name="Qin Yu-Character Sheet" sheetId="12" state="visible" r:id="rId12"/>
    <sheet xmlns:r="http://schemas.openxmlformats.org/officeDocument/2006/relationships" name="Qin Yu-Guide" sheetId="13" state="visible" r:id="rId13"/>
    <sheet xmlns:r="http://schemas.openxmlformats.org/officeDocument/2006/relationships" name="Ge Yun-Character Sheet" sheetId="14" state="visible" r:id="rId14"/>
    <sheet xmlns:r="http://schemas.openxmlformats.org/officeDocument/2006/relationships" name="Ge Yun-Master File" sheetId="15" state="visible" r:id="rId15"/>
    <sheet xmlns:r="http://schemas.openxmlformats.org/officeDocument/2006/relationships" name="Bloodfiend Lord-Character Sheet" sheetId="16" state="visible" r:id="rId16"/>
    <sheet xmlns:r="http://schemas.openxmlformats.org/officeDocument/2006/relationships" name="Bloodfiend Lord-Master File" sheetId="17" state="visible" r:id="rId17"/>
    <sheet xmlns:r="http://schemas.openxmlformats.org/officeDocument/2006/relationships" name="Bloodfiend Lord-Sp. Inheritance" sheetId="18" state="visible" r:id="rId18"/>
    <sheet xmlns:r="http://schemas.openxmlformats.org/officeDocument/2006/relationships" name="Zhenbei Lord-Character Sheet" sheetId="19" state="visible" r:id="rId19"/>
    <sheet xmlns:r="http://schemas.openxmlformats.org/officeDocument/2006/relationships" name="Zhenbei True Lord-Master File" sheetId="20" state="visible" r:id="rId20"/>
    <sheet xmlns:r="http://schemas.openxmlformats.org/officeDocument/2006/relationships" name="Moyuan" sheetId="21" state="visible" r:id="rId21"/>
    <sheet xmlns:r="http://schemas.openxmlformats.org/officeDocument/2006/relationships" name="Tuoba Ye" sheetId="22" state="visible" r:id="rId22"/>
    <sheet xmlns:r="http://schemas.openxmlformats.org/officeDocument/2006/relationships" name="Ye Lingxi" sheetId="23" state="visible" r:id="rId23"/>
    <sheet xmlns:r="http://schemas.openxmlformats.org/officeDocument/2006/relationships" name="Yun Qianying" sheetId="24" state="visible" r:id="rId2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icrosoft YaHei"/>
      <b val="1"/>
      <color rgb="00FFFFFF"/>
      <sz val="14"/>
    </font>
    <font>
      <name val="Microsoft YaHei"/>
      <b val="1"/>
      <color rgb="00D4AF37"/>
      <sz val="12"/>
    </font>
    <font>
      <name val="Microsoft YaHei"/>
      <b val="1"/>
      <color rgb="00E0D8C0"/>
      <sz val="11"/>
    </font>
    <font>
      <name val="Microsoft YaHei"/>
      <color rgb="00E0D8C0"/>
      <sz val="10"/>
    </font>
    <font>
      <name val="Microsoft YaHei"/>
      <color rgb="00A0A080"/>
      <sz val="9"/>
    </font>
    <font>
      <name val="Microsoft YaHei"/>
      <i val="1"/>
      <color rgb="00D4AF37"/>
      <sz val="10"/>
    </font>
    <font>
      <name val="Microsoft YaHei"/>
      <b val="1"/>
      <color rgb="00d4af37"/>
      <sz val="12"/>
    </font>
    <font>
      <name val="Microsoft YaHei"/>
      <b val="1"/>
      <color rgb="00c0a860"/>
      <sz val="10"/>
    </font>
    <font>
      <name val="Microsoft YaHei"/>
      <color rgb="00e0d8c0"/>
      <sz val="10"/>
    </font>
  </fonts>
  <fills count="9">
    <fill>
      <patternFill/>
    </fill>
    <fill>
      <patternFill patternType="gray125"/>
    </fill>
    <fill>
      <patternFill patternType="solid">
        <fgColor rgb="001A1030"/>
        <bgColor rgb="001A1030"/>
      </patternFill>
    </fill>
    <fill>
      <patternFill patternType="solid">
        <fgColor rgb="002A2030"/>
        <bgColor rgb="002A2030"/>
      </patternFill>
    </fill>
    <fill>
      <patternFill patternType="solid">
        <fgColor rgb="0012101A"/>
        <bgColor rgb="0012101A"/>
      </patternFill>
    </fill>
    <fill>
      <patternFill patternType="solid">
        <fgColor rgb="000A0A14"/>
        <bgColor rgb="000A0A14"/>
      </patternFill>
    </fill>
    <fill>
      <patternFill patternType="solid">
        <fgColor rgb="001A1525"/>
        <bgColor rgb="001A1525"/>
      </patternFill>
    </fill>
    <fill>
      <patternFill patternType="solid">
        <fgColor rgb="002a2030"/>
        <bgColor rgb="002a2030"/>
      </patternFill>
    </fill>
    <fill>
      <patternFill patternType="solid">
        <fgColor rgb="001a1525"/>
        <bgColor rgb="001a1525"/>
      </patternFill>
    </fill>
  </fills>
  <borders count="7">
    <border>
      <left/>
      <right/>
      <top/>
      <bottom/>
      <diagonal/>
    </border>
    <border>
      <left style="thin">
        <color rgb="003A3040"/>
      </left>
      <right style="thin">
        <color rgb="003A3040"/>
      </right>
      <top style="thin">
        <color rgb="003A3040"/>
      </top>
      <bottom style="thin">
        <color rgb="003A3040"/>
      </bottom>
    </border>
    <border>
      <left/>
      <right/>
      <top style="thin">
        <color rgb="003A3040"/>
      </top>
      <bottom style="thin">
        <color rgb="003A3040"/>
      </bottom>
      <diagonal/>
    </border>
    <border>
      <left/>
      <right style="thin">
        <color rgb="003A3040"/>
      </right>
      <top style="thin">
        <color rgb="003A3040"/>
      </top>
      <bottom style="thin">
        <color rgb="003A3040"/>
      </bottom>
      <diagonal/>
    </border>
    <border>
      <left style="thin">
        <color rgb="003a3040"/>
      </left>
      <right style="thin">
        <color rgb="003a3040"/>
      </right>
      <top style="thin">
        <color rgb="003a3040"/>
      </top>
      <bottom style="thin">
        <color rgb="003a3040"/>
      </bottom>
    </border>
    <border>
      <left/>
      <right/>
      <top style="thin">
        <color rgb="003A3040"/>
      </top>
      <bottom/>
      <diagonal/>
    </border>
    <border>
      <left/>
      <right style="thin">
        <color rgb="003A3040"/>
      </right>
      <top style="thin">
        <color rgb="003A3040"/>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6"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4" borderId="1" applyAlignment="1" pivotButton="0" quotePrefix="0" xfId="0">
      <alignment horizontal="center" vertical="center" wrapText="1"/>
    </xf>
    <xf numFmtId="0" fontId="7" fillId="7" borderId="4" applyAlignment="1" pivotButton="0" quotePrefix="0" xfId="0">
      <alignment vertical="top" wrapText="1"/>
    </xf>
    <xf numFmtId="0" fontId="8" fillId="8" borderId="4" applyAlignment="1" pivotButton="0" quotePrefix="0" xfId="0">
      <alignment vertical="top" wrapText="1"/>
    </xf>
    <xf numFmtId="0" fontId="9" fillId="8" borderId="4"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Nangong old man — NPCCard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Nangong old man</t>
        </is>
      </c>
      <c r="C6" s="3" t="n"/>
      <c r="D6" s="6" t="inlineStr">
        <is>
          <t>Title</t>
        </is>
      </c>
      <c r="E6" s="8" t="inlineStr">
        <is>
          <t>Golden CoreTraveling for a period</t>
        </is>
      </c>
      <c r="F6" s="2" t="n"/>
      <c r="G6" s="2" t="n"/>
      <c r="H6" s="3" t="n"/>
      <c r="I6" s="6" t="inlineStr">
        <is>
          <t>Realm</t>
        </is>
      </c>
      <c r="J6" s="7" t="inlineStr">
        <is>
          <t>Golden Core·round(Lv.12)</t>
        </is>
      </c>
    </row>
    <row r="7">
      <c r="A7" s="6" t="inlineStr">
        <is>
          <t>gender</t>
        </is>
      </c>
      <c r="B7" s="7" t="inlineStr">
        <is>
          <t>male</t>
        </is>
      </c>
      <c r="C7" s="6" t="inlineStr">
        <is>
          <t>age</t>
        </is>
      </c>
      <c r="D7" s="7" t="n">
        <v>120</v>
      </c>
      <c r="E7" s="6" t="inlineStr">
        <is>
          <t>Lv</t>
        </is>
      </c>
      <c r="F7" s="7" t="n">
        <v>12</v>
      </c>
      <c r="G7" s="6" t="inlineStr">
        <is>
          <t>Cultivation</t>
        </is>
      </c>
      <c r="H7" s="7" t="inlineStr">
        <is>
          <t>—</t>
        </is>
      </c>
      <c r="I7" s="2" t="n"/>
      <c r="J7" s="3" t="n"/>
    </row>
    <row r="8">
      <c r="A8" s="6" t="inlineStr">
        <is>
          <t>origin</t>
        </is>
      </c>
      <c r="B8" s="8" t="inlineStr">
        <is>
          <t>Loose cultivator without sect（Traveling around）</t>
        </is>
      </c>
      <c r="C8" s="2" t="n"/>
      <c r="D8" s="2" t="n"/>
      <c r="E8" s="2" t="n"/>
      <c r="F8" s="2" t="n"/>
      <c r="G8" s="2" t="n"/>
      <c r="H8" s="2" t="n"/>
      <c r="I8" s="2" t="n"/>
      <c r="J8" s="3" t="n"/>
    </row>
    <row r="9">
      <c r="A9" s="6" t="inlineStr">
        <is>
          <t>sect</t>
        </is>
      </c>
      <c r="B9" s="8" t="inlineStr">
        <is>
          <t>without（casual cultivator）</t>
        </is>
      </c>
      <c r="C9" s="2" t="n"/>
      <c r="D9" s="2" t="n"/>
      <c r="E9" s="3" t="n"/>
      <c r="F9" s="6" t="inlineStr">
        <is>
          <t>special</t>
        </is>
      </c>
      <c r="G9" s="8" t="inlineStr">
        <is>
          <t>without</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wood fire doubleSpirit Root</t>
        </is>
      </c>
      <c r="C13" s="2" t="n"/>
      <c r="D13" s="3" t="n"/>
      <c r="E13" s="6" t="inlineStr">
        <is>
          <t>quality</t>
        </is>
      </c>
      <c r="F13" s="7" t="inlineStr">
        <is>
          <t>middle grade</t>
        </is>
      </c>
      <c r="G13" s="2" t="n"/>
      <c r="H13" s="2" t="n"/>
      <c r="I13" s="2" t="n"/>
      <c r="J13" s="3" t="n"/>
    </row>
    <row r="14">
      <c r="A14" s="6" t="inlineStr">
        <is>
          <t>addition</t>
        </is>
      </c>
      <c r="B14" s="8" t="inlineStr">
        <is>
          <t>Wood：Physique+5 Pill Refining+10% / fire：Spirit Power+5</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50</v>
      </c>
      <c r="C18" s="3" t="n"/>
      <c r="D18" s="9" t="inlineStr">
        <is>
          <t>practice/Breakthrough</t>
        </is>
      </c>
      <c r="E18" s="2" t="n"/>
      <c r="F18" s="2" t="n"/>
      <c r="G18" s="2" t="n"/>
      <c r="H18" s="3" t="n"/>
      <c r="I18" s="10">
        <f>FLOOR(B18/5,1)</f>
        <v/>
      </c>
      <c r="J18" s="11" t="inlineStr">
        <is>
          <t>bonus÷5</t>
        </is>
      </c>
    </row>
    <row r="19">
      <c r="A19" s="6" t="inlineStr">
        <is>
          <t>Comprehension WUX</t>
        </is>
      </c>
      <c r="B19" s="7" t="n">
        <v>55</v>
      </c>
      <c r="C19" s="3" t="n"/>
      <c r="D19" s="9" t="inlineStr">
        <is>
          <t>learn/crack</t>
        </is>
      </c>
      <c r="E19" s="2" t="n"/>
      <c r="F19" s="2" t="n"/>
      <c r="G19" s="2" t="n"/>
      <c r="H19" s="3" t="n"/>
      <c r="I19" s="10">
        <f>FLOOR(B19/5,1)</f>
        <v/>
      </c>
      <c r="J19" s="11" t="inlineStr">
        <is>
          <t>bonus÷5</t>
        </is>
      </c>
    </row>
    <row r="20">
      <c r="A20" s="6" t="inlineStr">
        <is>
          <t>Divine Sense SHS</t>
        </is>
      </c>
      <c r="B20" s="7" t="n">
        <v>48</v>
      </c>
      <c r="C20" s="3" t="n"/>
      <c r="D20" s="9" t="inlineStr">
        <is>
          <t>explore/Initiative</t>
        </is>
      </c>
      <c r="E20" s="2" t="n"/>
      <c r="F20" s="2" t="n"/>
      <c r="G20" s="2" t="n"/>
      <c r="H20" s="3" t="n"/>
      <c r="I20" s="10">
        <f>FLOOR(B20/5,1)</f>
        <v/>
      </c>
      <c r="J20" s="11" t="inlineStr">
        <is>
          <t>bonus÷5</t>
        </is>
      </c>
    </row>
    <row r="21">
      <c r="A21" s="6" t="inlineStr">
        <is>
          <t>Physique RSS</t>
        </is>
      </c>
      <c r="B21" s="7" t="n">
        <v>45</v>
      </c>
      <c r="C21" s="3" t="n"/>
      <c r="D21" s="9" t="inlineStr">
        <is>
          <t>Health Points（HP）/Melee</t>
        </is>
      </c>
      <c r="E21" s="2" t="n"/>
      <c r="F21" s="2" t="n"/>
      <c r="G21" s="2" t="n"/>
      <c r="H21" s="3" t="n"/>
      <c r="I21" s="10">
        <f>FLOOR(B21/5,1)</f>
        <v/>
      </c>
      <c r="J21" s="11" t="inlineStr">
        <is>
          <t>bonus÷5</t>
        </is>
      </c>
    </row>
    <row r="22">
      <c r="A22" s="6" t="inlineStr">
        <is>
          <t>Spirit Power LIL</t>
        </is>
      </c>
      <c r="B22" s="7" t="n">
        <v>60</v>
      </c>
      <c r="C22" s="3" t="n"/>
      <c r="D22" s="9" t="inlineStr">
        <is>
          <t>Spell/Infuriated</t>
        </is>
      </c>
      <c r="E22" s="2" t="n"/>
      <c r="F22" s="2" t="n"/>
      <c r="G22" s="2" t="n"/>
      <c r="H22" s="3" t="n"/>
      <c r="I22" s="10">
        <f>FLOOR(B22/5,1)</f>
        <v/>
      </c>
      <c r="J22" s="11" t="inlineStr">
        <is>
          <t>bonus÷5</t>
        </is>
      </c>
    </row>
    <row r="23">
      <c r="A23" s="6" t="inlineStr">
        <is>
          <t>Agility SHF</t>
        </is>
      </c>
      <c r="B23" s="7" t="n">
        <v>40</v>
      </c>
      <c r="C23" s="3" t="n"/>
      <c r="D23" s="9" t="inlineStr">
        <is>
          <t>Evasion/move</t>
        </is>
      </c>
      <c r="E23" s="2" t="n"/>
      <c r="F23" s="2" t="n"/>
      <c r="G23" s="2" t="n"/>
      <c r="H23" s="3" t="n"/>
      <c r="I23" s="10">
        <f>FLOOR(B23/5,1)</f>
        <v/>
      </c>
      <c r="J23" s="11" t="inlineStr">
        <is>
          <t>bonus÷5</t>
        </is>
      </c>
    </row>
    <row r="24">
      <c r="A24" s="6" t="inlineStr">
        <is>
          <t>Fortune JIY</t>
        </is>
      </c>
      <c r="B24" s="7" t="n">
        <v>42</v>
      </c>
      <c r="C24" s="3" t="n"/>
      <c r="D24" s="9" t="inlineStr">
        <is>
          <t>explore/fall</t>
        </is>
      </c>
      <c r="E24" s="2" t="n"/>
      <c r="F24" s="2" t="n"/>
      <c r="G24" s="2" t="n"/>
      <c r="H24" s="3" t="n"/>
      <c r="I24" s="10">
        <f>FLOOR(B24/5,1)</f>
        <v/>
      </c>
      <c r="J24" s="11" t="inlineStr">
        <is>
          <t>bonus÷5</t>
        </is>
      </c>
    </row>
    <row r="25">
      <c r="A25" s="6" t="inlineStr">
        <is>
          <t>Dao Heart DAX</t>
        </is>
      </c>
      <c r="B25" s="7" t="n">
        <v>52</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2.5*B21</f>
        <v/>
      </c>
      <c r="C29" s="2" t="n"/>
      <c r="D29" s="2" t="n"/>
      <c r="E29" s="3" t="n"/>
      <c r="F29" s="13" t="inlineStr">
        <is>
          <t>Physique×Realmcoefficient</t>
        </is>
      </c>
      <c r="G29" s="2" t="n"/>
      <c r="H29" s="2" t="n"/>
      <c r="I29" s="2" t="n"/>
      <c r="J29" s="3" t="n"/>
    </row>
    <row r="30">
      <c r="A30" s="14" t="inlineStr">
        <is>
          <t>Qi Pool</t>
        </is>
      </c>
      <c r="B30" s="10">
        <f>1.6*B22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22</v>
      </c>
      <c r="C32" s="2" t="n"/>
      <c r="D32" s="2" t="n"/>
      <c r="E32" s="3" t="n"/>
      <c r="F32" s="9" t="inlineStr">
        <is>
          <t>robe+Cultivation Technique</t>
        </is>
      </c>
      <c r="G32" s="2" t="n"/>
      <c r="H32" s="2" t="n"/>
      <c r="I32" s="2" t="n"/>
      <c r="J32" s="3" t="n"/>
    </row>
    <row r="33">
      <c r="A33" s="6" t="inlineStr">
        <is>
          <t>SpellResistance</t>
        </is>
      </c>
      <c r="B33" s="16" t="n">
        <v>30</v>
      </c>
      <c r="C33" s="2" t="n"/>
      <c r="D33" s="2" t="n"/>
      <c r="E33" s="3" t="n"/>
      <c r="F33" s="13" t="inlineStr">
        <is>
          <t>robe+Cultivation Technique</t>
        </is>
      </c>
      <c r="G33" s="2" t="n"/>
      <c r="H33" s="2" t="n"/>
      <c r="I33" s="2" t="n"/>
      <c r="J33" s="3" t="n"/>
    </row>
    <row r="34">
      <c r="A34" s="14" t="inlineStr">
        <is>
          <t>body protection energy</t>
        </is>
      </c>
      <c r="B34" s="15" t="n">
        <v>25</v>
      </c>
      <c r="C34" s="2" t="n"/>
      <c r="D34" s="2" t="n"/>
      <c r="E34" s="3" t="n"/>
      <c r="F34" s="9" t="inlineStr">
        <is>
          <t>Inner Art+magic weapon</t>
        </is>
      </c>
      <c r="G34" s="2" t="n"/>
      <c r="H34" s="2" t="n"/>
      <c r="I34" s="2" t="n"/>
      <c r="J34" s="3" t="n"/>
    </row>
    <row r="35">
      <c r="A35" s="6" t="inlineStr">
        <is>
          <t>Evasion</t>
        </is>
      </c>
      <c r="B35" s="16" t="n">
        <v>40</v>
      </c>
      <c r="C35" s="2" t="n"/>
      <c r="D35" s="2" t="n"/>
      <c r="E35" s="3" t="n"/>
      <c r="F35" s="13" t="inlineStr">
        <is>
          <t>Agilityvalue</t>
        </is>
      </c>
      <c r="G35" s="2" t="n"/>
      <c r="H35" s="2" t="n"/>
      <c r="I35" s="2" t="n"/>
      <c r="J35" s="3" t="n"/>
    </row>
    <row r="36">
      <c r="A36" s="14" t="inlineStr">
        <is>
          <t>move</t>
        </is>
      </c>
      <c r="B36" s="15" t="inlineStr">
        <is>
          <t>2district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Sun Rod（Xuan level，1d10+3+spirit+enlightenment/8，Fire+20%）</t>
        </is>
      </c>
      <c r="C43" s="2" t="n"/>
      <c r="D43" s="2" t="n"/>
      <c r="E43" s="2" t="n"/>
      <c r="F43" s="2" t="n"/>
      <c r="G43" s="2" t="n"/>
      <c r="H43" s="2" t="n"/>
      <c r="I43" s="2" t="n"/>
      <c r="J43" s="3" t="n"/>
    </row>
    <row r="44">
      <c r="A44" s="6" t="inlineStr">
        <is>
          <t>robe</t>
        </is>
      </c>
      <c r="B44" s="8" t="inlineStr">
        <is>
          <t>Taoist robe of two rituals（Xuan level，Defend+10，Magic resistance+16，Dao Heart+8）</t>
        </is>
      </c>
      <c r="C44" s="2" t="n"/>
      <c r="D44" s="2" t="n"/>
      <c r="E44" s="2" t="n"/>
      <c r="F44" s="2" t="n"/>
      <c r="G44" s="2" t="n"/>
      <c r="H44" s="2" t="n"/>
      <c r="I44" s="2" t="n"/>
      <c r="J44" s="3" t="n"/>
    </row>
    <row r="45">
      <c r="A45" s="6" t="inlineStr">
        <is>
          <t>magic weapon</t>
        </is>
      </c>
      <c r="B45" s="8" t="inlineStr">
        <is>
          <t>—</t>
        </is>
      </c>
      <c r="C45" s="2" t="n"/>
      <c r="D45" s="2" t="n"/>
      <c r="E45" s="2" t="n"/>
      <c r="F45" s="2" t="n"/>
      <c r="G45" s="2" t="n"/>
      <c r="H45" s="2" t="n"/>
      <c r="I45" s="2" t="n"/>
      <c r="J45" s="3" t="n"/>
    </row>
    <row r="46">
      <c r="A46" s="6" t="inlineStr">
        <is>
          <t>jewelry</t>
        </is>
      </c>
      <c r="B46" s="8" t="inlineStr">
        <is>
          <t>Jade Talisman（Block fatal1Second-rate）</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《Changchun Gong》（Wood properties，Shouyuan+50，PillEffect+20%）</t>
        </is>
      </c>
      <c r="C50" s="2" t="n"/>
      <c r="D50" s="2" t="n"/>
      <c r="E50" s="2" t="n"/>
      <c r="F50" s="2" t="n"/>
      <c r="G50" s="2" t="n"/>
      <c r="H50" s="2" t="n"/>
      <c r="I50" s="2" t="n"/>
      <c r="J50" s="3" t="n"/>
    </row>
    <row r="51">
      <c r="A51" s="6" t="inlineStr">
        <is>
          <t>Martial Technique</t>
        </is>
      </c>
      <c r="B51" s="8" t="inlineStr">
        <is>
          <t>《Burning Sky Palm》Lv.3、《Qingfeng Thirteen Styles》Lv.2</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3000</v>
      </c>
      <c r="D55" s="6" t="inlineStr">
        <is>
          <t>Pill</t>
        </is>
      </c>
      <c r="E55" s="8" t="inlineStr">
        <is>
          <t>Continuing Bone Pill×5, Peiyuandan×10, Miscellaneous Dan×20</t>
        </is>
      </c>
      <c r="F55" s="2" t="n"/>
      <c r="G55" s="2" t="n"/>
      <c r="H55" s="2" t="n"/>
      <c r="I55" s="2" t="n"/>
      <c r="J55" s="3" t="n"/>
    </row>
    <row r="56">
      <c r="A56" s="6" t="inlineStr">
        <is>
          <t>Poison</t>
        </is>
      </c>
      <c r="B56" s="15" t="inlineStr">
        <is>
          <t>10/100</t>
        </is>
      </c>
      <c r="D56" s="6" t="inlineStr">
        <is>
          <t>Inner Demon</t>
        </is>
      </c>
      <c r="E56" s="15" t="inlineStr">
        <is>
          <t>15/100</t>
        </is>
      </c>
    </row>
    <row r="57">
      <c r="A57" s="6" t="inlineStr">
        <is>
          <t>Shouyuan</t>
        </is>
      </c>
      <c r="B57" s="7" t="inlineStr">
        <is>
          <t>350Year</t>
        </is>
      </c>
      <c r="D57" s="6" t="inlineStr">
        <is>
          <t>Consumed</t>
        </is>
      </c>
      <c r="E57" s="7" t="inlineStr">
        <is>
          <t>120Year</t>
        </is>
      </c>
    </row>
    <row r="58"/>
    <row r="59">
      <c r="A59" s="5" t="inlineStr">
        <is>
          <t>background</t>
        </is>
      </c>
      <c r="B59" s="2" t="n"/>
      <c r="C59" s="2" t="n"/>
      <c r="D59" s="2" t="n"/>
      <c r="E59" s="2" t="n"/>
      <c r="F59" s="2" t="n"/>
      <c r="G59" s="2" t="n"/>
      <c r="H59" s="2" t="n"/>
      <c r="I59" s="2" t="n"/>
      <c r="J59" s="3" t="n"/>
    </row>
    <row r="60"/>
    <row r="61" ht="80" customHeight="1">
      <c r="A61" s="6" t="inlineStr">
        <is>
          <t>story</t>
        </is>
      </c>
      <c r="B61" s="8" t="inlineStr">
        <is>
          <t>Old man Nangong is a travelerGolden CoreLounge practice period。He is well informed，Like to support younger generations，It is important to meet players on the journey and give them key guidance.NPC。</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H7:J7"/>
    <mergeCell ref="B36:E36"/>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6" customWidth="1" min="1" max="1"/>
    <col width="60" customWidth="1" min="2" max="2"/>
  </cols>
  <sheetData>
    <row r="1">
      <c r="A1" s="17" t="inlineStr">
        <is>
          <t>masterName</t>
        </is>
      </c>
      <c r="B1" s="17" t="inlineStr">
        <is>
          <t>Nangong old man（Nangonghe）</t>
        </is>
      </c>
    </row>
    <row r="2">
      <c r="A2" s="18" t="inlineStr">
        <is>
          <t>Master level</t>
        </is>
      </c>
      <c r="B2" s="19" t="inlineStr">
        <is>
          <t>Casual cultivator level</t>
        </is>
      </c>
    </row>
    <row r="3">
      <c r="A3" s="18" t="inlineStr">
        <is>
          <t>Realm</t>
        </is>
      </c>
      <c r="B3" s="19" t="inlineStr">
        <is>
          <t>Golden CorePerfected (Lv.12)</t>
        </is>
      </c>
    </row>
    <row r="4">
      <c r="A4" s="18" t="inlineStr">
        <is>
          <t>Maximum number of apprentices</t>
        </is>
      </c>
      <c r="B4" s="19" t="inlineStr">
        <is>
          <t>2</t>
        </is>
      </c>
    </row>
    <row r="5">
      <c r="A5" s="18" t="n"/>
      <c r="B5" s="19" t="n"/>
    </row>
    <row r="6">
      <c r="A6" s="18" t="inlineStr">
        <is>
          <t>Conditions for accepting apprentices</t>
        </is>
      </c>
      <c r="B6" s="19" t="inlineStr">
        <is>
          <t>Fortune ≥ 30；Complete a piece「interesting things」（GMRuling）</t>
        </is>
      </c>
    </row>
    <row r="7">
      <c r="A7" s="18" t="n"/>
      <c r="B7" s="19" t="n"/>
    </row>
    <row r="8">
      <c r="A8" s="18" t="inlineStr">
        <is>
          <t>═══ TeachableCultivation Technique ═══</t>
        </is>
      </c>
      <c r="B8" s="19" t="n"/>
    </row>
    <row r="9">
      <c r="A9" s="18" t="inlineStr">
        <is>
          <t>transferableInner Art</t>
        </is>
      </c>
      <c r="B9" s="19" t="inlineStr">
        <is>
          <t>《Pure Yang Breathing Technique》(Yellow/fire)
《Aoki Longevity Kung Fu》(mysterious/Wood)
《The Return of Everything》(mysterious/chaos)</t>
        </is>
      </c>
    </row>
    <row r="10">
      <c r="A10" s="18" t="inlineStr">
        <is>
          <t>Inner Artcondition</t>
        </is>
      </c>
      <c r="B10" s="19" t="inlineStr">
        <is>
          <t>fireSpirit Root/First acquaintance；WoodSpirit Root/trust；manySpirit Rootwho/close</t>
        </is>
      </c>
    </row>
    <row r="11">
      <c r="A11" s="18" t="inlineStr">
        <is>
          <t>transferableMartial Technique</t>
        </is>
      </c>
      <c r="B11" s="19" t="inlineStr">
        <is>
          <t>《Basic swordsmanship》(Yellow/gold)
《Wind Step》(mysterious/wind)
《Burning Sky Palm》(mysterious/fire)</t>
        </is>
      </c>
    </row>
    <row r="12">
      <c r="A12" s="18" t="inlineStr">
        <is>
          <t>Martial Techniquecondition</t>
        </is>
      </c>
      <c r="B12" s="19" t="inlineStr">
        <is>
          <t>unconditionally；Agility≥40/trust；fireSpirit Root/close</t>
        </is>
      </c>
    </row>
    <row r="13">
      <c r="A13" s="18" t="inlineStr">
        <is>
          <t>transferableDivine Ability</t>
        </is>
      </c>
      <c r="B13" s="19" t="inlineStr">
        <is>
          <t>《Incarnation of the Crane》(mysterious)</t>
        </is>
      </c>
    </row>
    <row r="14">
      <c r="A14" s="18" t="inlineStr">
        <is>
          <t>Divine Abilitycondition</t>
        </is>
      </c>
      <c r="B14" s="19" t="inlineStr">
        <is>
          <t>intimacy≥close，Finish「Heming Mountain Trial」</t>
        </is>
      </c>
    </row>
    <row r="15">
      <c r="A15" s="18" t="n"/>
      <c r="B15" s="19" t="n"/>
    </row>
    <row r="16">
      <c r="A16" s="18" t="inlineStr">
        <is>
          <t>═══ Resources and Assistance ═══</t>
        </is>
      </c>
      <c r="B16" s="19" t="n"/>
    </row>
    <row r="17">
      <c r="A17" s="18" t="inlineStr">
        <is>
          <t>Monthly resource supply</t>
        </is>
      </c>
      <c r="B17" s="19" t="inlineStr">
        <is>
          <t>First acquaintance: spirit stone100+Recovery Pill×2
trust: spirit stone200+Recovery Pill×3+Healing Pill×1
close: spirit stone300+Great recovery elixir×2+Pill RefiningMaterial×1</t>
        </is>
      </c>
    </row>
    <row r="18">
      <c r="A18" s="18" t="inlineStr">
        <is>
          <t>special assistance</t>
        </is>
      </c>
      <c r="B18" s="19" t="inlineStr">
        <is>
          <t>Pill Refiningguidance(+10)；Recommendations(1Second-rate/level)；The secret of suppressing cultivation(Like a child)；emergency rescue(30%Probability)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6" customWidth="1" min="1" max="1"/>
    <col width="65" customWidth="1" min="2" max="2"/>
  </cols>
  <sheetData>
    <row r="1">
      <c r="A1" s="17" t="inlineStr">
        <is>
          <t>InheritanceName</t>
        </is>
      </c>
      <c r="B1" s="17" t="inlineStr">
        <is>
          <t>The secret of suppressing cultivation</t>
        </is>
      </c>
    </row>
    <row r="2">
      <c r="A2" s="18" t="inlineStr">
        <is>
          <t>InheritanceType</t>
        </is>
      </c>
      <c r="B2" s="19" t="inlineStr">
        <is>
          <t>Such as sub-level permanent skills</t>
        </is>
      </c>
    </row>
    <row r="3">
      <c r="A3" s="18" t="inlineStr">
        <is>
          <t>Trigger condition</t>
        </is>
      </c>
      <c r="B3" s="19" t="inlineStr">
        <is>
          <t>intimacy ≥ Like a child</t>
        </is>
      </c>
    </row>
    <row r="4">
      <c r="A4" s="18" t="n"/>
      <c r="B4" s="19" t="n"/>
    </row>
    <row r="5">
      <c r="A5" s="18" t="inlineStr">
        <is>
          <t>Effect(1layer)</t>
        </is>
      </c>
      <c r="B5" s="19" t="inlineStr">
        <is>
          <t>Breakthroughdifficulty（DC）+5；Attribute upper limit+5；Heavenly catastropheDamage-10% (per suppression10Automatic yearly1layer/upper limit3layer)</t>
        </is>
      </c>
    </row>
    <row r="6">
      <c r="A6" s="18" t="inlineStr">
        <is>
          <t>Effect(2layer)</t>
        </is>
      </c>
      <c r="B6" s="19" t="inlineStr">
        <is>
          <t>Breakthroughdifficulty（DC）+10；Attribute upper limit+10；Heavenly catastropheDamage-20%；Initiative+10(Same situation)</t>
        </is>
      </c>
    </row>
    <row r="7">
      <c r="A7" s="18" t="inlineStr">
        <is>
          <t>Effect(3layer)</t>
        </is>
      </c>
      <c r="B7" s="19" t="inlineStr">
        <is>
          <t>Breakthroughdifficulty（DC）+20；Attribute upper limit+15；Heavenly catastropheDamage-30%；Can be surpassed1StageCombatno punishment</t>
        </is>
      </c>
    </row>
    <row r="8">
      <c r="A8" s="18" t="n"/>
      <c r="B8" s="19" t="n"/>
    </row>
    <row r="9">
      <c r="A9" s="18" t="inlineStr">
        <is>
          <t>Notice</t>
        </is>
      </c>
      <c r="B9" s="19" t="inlineStr">
        <is>
          <t>onceBreakthrough，Clear all layers。Old man Nangong used this method toGolden CorePerfectedsuppress50Year。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Tianyazi — NPCCard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Tianyazi</t>
        </is>
      </c>
      <c r="C6" s="3" t="n"/>
      <c r="D6" s="6" t="inlineStr">
        <is>
          <t>Title</t>
        </is>
      </c>
      <c r="E6" s="8" t="inlineStr">
        <is>
          <t>Void RefiningA reclusive master</t>
        </is>
      </c>
      <c r="F6" s="2" t="n"/>
      <c r="G6" s="2" t="n"/>
      <c r="H6" s="3" t="n"/>
      <c r="I6" s="6" t="inlineStr">
        <is>
          <t>Realm</t>
        </is>
      </c>
      <c r="J6" s="7" t="inlineStr">
        <is>
          <t>Void Refining·back(Lv.23)</t>
        </is>
      </c>
    </row>
    <row r="7">
      <c r="A7" s="6" t="inlineStr">
        <is>
          <t>gender</t>
        </is>
      </c>
      <c r="B7" s="7" t="inlineStr">
        <is>
          <t>male</t>
        </is>
      </c>
      <c r="C7" s="6" t="inlineStr">
        <is>
          <t>age</t>
        </is>
      </c>
      <c r="D7" s="7" t="n">
        <v>1200</v>
      </c>
      <c r="E7" s="6" t="inlineStr">
        <is>
          <t>Lv</t>
        </is>
      </c>
      <c r="F7" s="7" t="n">
        <v>23</v>
      </c>
      <c r="G7" s="6" t="inlineStr">
        <is>
          <t>Cultivation</t>
        </is>
      </c>
      <c r="H7" s="7" t="inlineStr">
        <is>
          <t>—</t>
        </is>
      </c>
      <c r="I7" s="2" t="n"/>
      <c r="J7" s="3" t="n"/>
    </row>
    <row r="8">
      <c r="A8" s="6" t="inlineStr">
        <is>
          <t>origin</t>
        </is>
      </c>
      <c r="B8" s="8" t="inlineStr">
        <is>
          <t>Heaven's MechanismThe former head of the mansion（Already retired）</t>
        </is>
      </c>
      <c r="C8" s="2" t="n"/>
      <c r="D8" s="2" t="n"/>
      <c r="E8" s="2" t="n"/>
      <c r="F8" s="2" t="n"/>
      <c r="G8" s="2" t="n"/>
      <c r="H8" s="2" t="n"/>
      <c r="I8" s="2" t="n"/>
      <c r="J8" s="3" t="n"/>
    </row>
    <row r="9">
      <c r="A9" s="6" t="inlineStr">
        <is>
          <t>sect</t>
        </is>
      </c>
      <c r="B9" s="8" t="inlineStr">
        <is>
          <t>without（in seclusion）</t>
        </is>
      </c>
      <c r="C9" s="2" t="n"/>
      <c r="D9" s="2" t="n"/>
      <c r="E9" s="3" t="n"/>
      <c r="F9" s="6" t="inlineStr">
        <is>
          <t>special</t>
        </is>
      </c>
      <c r="G9" s="8" t="inlineStr">
        <is>
          <t>Heaven's MechanismCalculation（Forecast3round trend，whole teamInitiative+10）</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waterSpirit Root</t>
        </is>
      </c>
      <c r="C13" s="2" t="n"/>
      <c r="D13" s="3" t="n"/>
      <c r="E13" s="6" t="inlineStr">
        <is>
          <t>quality</t>
        </is>
      </c>
      <c r="F13" s="7" t="inlineStr">
        <is>
          <t>The best</t>
        </is>
      </c>
      <c r="G13" s="2" t="n"/>
      <c r="H13" s="2" t="n"/>
      <c r="I13" s="2" t="n"/>
      <c r="J13" s="3" t="n"/>
    </row>
    <row r="14">
      <c r="A14" s="6" t="inlineStr">
        <is>
          <t>addition</t>
        </is>
      </c>
      <c r="B14" s="8" t="inlineStr">
        <is>
          <t>Divine Sense+8 water systemCultivation Techniquepower+15%</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68</v>
      </c>
      <c r="C18" s="3" t="n"/>
      <c r="D18" s="9" t="inlineStr">
        <is>
          <t>practice/Breakthrough</t>
        </is>
      </c>
      <c r="E18" s="2" t="n"/>
      <c r="F18" s="2" t="n"/>
      <c r="G18" s="2" t="n"/>
      <c r="H18" s="3" t="n"/>
      <c r="I18" s="10">
        <f>FLOOR(B18/5,1)</f>
        <v/>
      </c>
      <c r="J18" s="11" t="inlineStr">
        <is>
          <t>bonus÷5</t>
        </is>
      </c>
    </row>
    <row r="19">
      <c r="A19" s="6" t="inlineStr">
        <is>
          <t>Comprehension WUX</t>
        </is>
      </c>
      <c r="B19" s="7" t="n">
        <v>85</v>
      </c>
      <c r="C19" s="3" t="n"/>
      <c r="D19" s="9" t="inlineStr">
        <is>
          <t>learn/crack</t>
        </is>
      </c>
      <c r="E19" s="2" t="n"/>
      <c r="F19" s="2" t="n"/>
      <c r="G19" s="2" t="n"/>
      <c r="H19" s="3" t="n"/>
      <c r="I19" s="10">
        <f>FLOOR(B19/5,1)</f>
        <v/>
      </c>
      <c r="J19" s="11" t="inlineStr">
        <is>
          <t>bonus÷5</t>
        </is>
      </c>
    </row>
    <row r="20">
      <c r="A20" s="6" t="inlineStr">
        <is>
          <t>Divine Sense SHS</t>
        </is>
      </c>
      <c r="B20" s="7" t="n">
        <v>82</v>
      </c>
      <c r="C20" s="3" t="n"/>
      <c r="D20" s="9" t="inlineStr">
        <is>
          <t>explore/Initiative</t>
        </is>
      </c>
      <c r="E20" s="2" t="n"/>
      <c r="F20" s="2" t="n"/>
      <c r="G20" s="2" t="n"/>
      <c r="H20" s="3" t="n"/>
      <c r="I20" s="10">
        <f>FLOOR(B20/5,1)</f>
        <v/>
      </c>
      <c r="J20" s="11" t="inlineStr">
        <is>
          <t>bonus÷5</t>
        </is>
      </c>
    </row>
    <row r="21">
      <c r="A21" s="6" t="inlineStr">
        <is>
          <t>Physique RSS</t>
        </is>
      </c>
      <c r="B21" s="7" t="n">
        <v>65</v>
      </c>
      <c r="C21" s="3" t="n"/>
      <c r="D21" s="9" t="inlineStr">
        <is>
          <t>Health Points（HP）/Melee</t>
        </is>
      </c>
      <c r="E21" s="2" t="n"/>
      <c r="F21" s="2" t="n"/>
      <c r="G21" s="2" t="n"/>
      <c r="H21" s="3" t="n"/>
      <c r="I21" s="10">
        <f>FLOOR(B21/5,1)</f>
        <v/>
      </c>
      <c r="J21" s="11" t="inlineStr">
        <is>
          <t>bonus÷5</t>
        </is>
      </c>
    </row>
    <row r="22">
      <c r="A22" s="6" t="inlineStr">
        <is>
          <t>Spirit Power LIL</t>
        </is>
      </c>
      <c r="B22" s="7" t="n">
        <v>75</v>
      </c>
      <c r="C22" s="3" t="n"/>
      <c r="D22" s="9" t="inlineStr">
        <is>
          <t>Spell/Infuriated</t>
        </is>
      </c>
      <c r="E22" s="2" t="n"/>
      <c r="F22" s="2" t="n"/>
      <c r="G22" s="2" t="n"/>
      <c r="H22" s="3" t="n"/>
      <c r="I22" s="10">
        <f>FLOOR(B22/5,1)</f>
        <v/>
      </c>
      <c r="J22" s="11" t="inlineStr">
        <is>
          <t>bonus÷5</t>
        </is>
      </c>
    </row>
    <row r="23">
      <c r="A23" s="6" t="inlineStr">
        <is>
          <t>Agility SHF</t>
        </is>
      </c>
      <c r="B23" s="7" t="n">
        <v>62</v>
      </c>
      <c r="C23" s="3" t="n"/>
      <c r="D23" s="9" t="inlineStr">
        <is>
          <t>Evasion/move</t>
        </is>
      </c>
      <c r="E23" s="2" t="n"/>
      <c r="F23" s="2" t="n"/>
      <c r="G23" s="2" t="n"/>
      <c r="H23" s="3" t="n"/>
      <c r="I23" s="10">
        <f>FLOOR(B23/5,1)</f>
        <v/>
      </c>
      <c r="J23" s="11" t="inlineStr">
        <is>
          <t>bonus÷5</t>
        </is>
      </c>
    </row>
    <row r="24">
      <c r="A24" s="6" t="inlineStr">
        <is>
          <t>Fortune JIY</t>
        </is>
      </c>
      <c r="B24" s="7" t="n">
        <v>55</v>
      </c>
      <c r="C24" s="3" t="n"/>
      <c r="D24" s="9" t="inlineStr">
        <is>
          <t>explore/fall</t>
        </is>
      </c>
      <c r="E24" s="2" t="n"/>
      <c r="F24" s="2" t="n"/>
      <c r="G24" s="2" t="n"/>
      <c r="H24" s="3" t="n"/>
      <c r="I24" s="10">
        <f>FLOOR(B24/5,1)</f>
        <v/>
      </c>
      <c r="J24" s="11" t="inlineStr">
        <is>
          <t>bonus÷5</t>
        </is>
      </c>
    </row>
    <row r="25">
      <c r="A25" s="6" t="inlineStr">
        <is>
          <t>Dao Heart DAX</t>
        </is>
      </c>
      <c r="B25" s="7" t="n">
        <v>80</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4.0*B21</f>
        <v/>
      </c>
      <c r="C29" s="2" t="n"/>
      <c r="D29" s="2" t="n"/>
      <c r="E29" s="3" t="n"/>
      <c r="F29" s="13" t="inlineStr">
        <is>
          <t>Physique×Realmcoefficient</t>
        </is>
      </c>
      <c r="G29" s="2" t="n"/>
      <c r="H29" s="2" t="n"/>
      <c r="I29" s="2" t="n"/>
      <c r="J29" s="3" t="n"/>
    </row>
    <row r="30">
      <c r="A30" s="14" t="inlineStr">
        <is>
          <t>Qi Pool</t>
        </is>
      </c>
      <c r="B30" s="10">
        <f>3.0*B22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35</v>
      </c>
      <c r="C32" s="2" t="n"/>
      <c r="D32" s="2" t="n"/>
      <c r="E32" s="3" t="n"/>
      <c r="F32" s="9" t="inlineStr">
        <is>
          <t>robe+Cultivation Technique</t>
        </is>
      </c>
      <c r="G32" s="2" t="n"/>
      <c r="H32" s="2" t="n"/>
      <c r="I32" s="2" t="n"/>
      <c r="J32" s="3" t="n"/>
    </row>
    <row r="33">
      <c r="A33" s="6" t="inlineStr">
        <is>
          <t>SpellResistance</t>
        </is>
      </c>
      <c r="B33" s="16" t="n">
        <v>45</v>
      </c>
      <c r="C33" s="2" t="n"/>
      <c r="D33" s="2" t="n"/>
      <c r="E33" s="3" t="n"/>
      <c r="F33" s="13" t="inlineStr">
        <is>
          <t>robe+Cultivation Technique</t>
        </is>
      </c>
      <c r="G33" s="2" t="n"/>
      <c r="H33" s="2" t="n"/>
      <c r="I33" s="2" t="n"/>
      <c r="J33" s="3" t="n"/>
    </row>
    <row r="34">
      <c r="A34" s="14" t="inlineStr">
        <is>
          <t>body protection energy</t>
        </is>
      </c>
      <c r="B34" s="15" t="n">
        <v>120</v>
      </c>
      <c r="C34" s="2" t="n"/>
      <c r="D34" s="2" t="n"/>
      <c r="E34" s="3" t="n"/>
      <c r="F34" s="9" t="inlineStr">
        <is>
          <t>Inner Art+magic weapon</t>
        </is>
      </c>
      <c r="G34" s="2" t="n"/>
      <c r="H34" s="2" t="n"/>
      <c r="I34" s="2" t="n"/>
      <c r="J34" s="3" t="n"/>
    </row>
    <row r="35">
      <c r="A35" s="6" t="inlineStr">
        <is>
          <t>Evasion</t>
        </is>
      </c>
      <c r="B35" s="16" t="n">
        <v>62</v>
      </c>
      <c r="C35" s="2" t="n"/>
      <c r="D35" s="2" t="n"/>
      <c r="E35" s="3" t="n"/>
      <c r="F35" s="13" t="inlineStr">
        <is>
          <t>Agilityvalue</t>
        </is>
      </c>
      <c r="G35" s="2" t="n"/>
      <c r="H35" s="2" t="n"/>
      <c r="I35" s="2" t="n"/>
      <c r="J35" s="3" t="n"/>
    </row>
    <row r="36">
      <c r="A36" s="14" t="inlineStr">
        <is>
          <t>move</t>
        </is>
      </c>
      <c r="B36" s="15" t="inlineStr">
        <is>
          <t>2district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Heaven's Mechanismcalculus rod（Heaven level，4d12+3+spirit/4，ignore15Magic resistance）</t>
        </is>
      </c>
      <c r="C43" s="2" t="n"/>
      <c r="D43" s="2" t="n"/>
      <c r="E43" s="2" t="n"/>
      <c r="F43" s="2" t="n"/>
      <c r="G43" s="2" t="n"/>
      <c r="H43" s="2" t="n"/>
      <c r="I43" s="2" t="n"/>
      <c r="J43" s="3" t="n"/>
    </row>
    <row r="44">
      <c r="A44" s="6" t="inlineStr">
        <is>
          <t>robe</t>
        </is>
      </c>
      <c r="B44" s="8" t="inlineStr">
        <is>
          <t>Wuji Taoist Robe（prefecture level，Defend+25，Magic resistance+38，Dao Heart+20）</t>
        </is>
      </c>
      <c r="C44" s="2" t="n"/>
      <c r="D44" s="2" t="n"/>
      <c r="E44" s="2" t="n"/>
      <c r="F44" s="2" t="n"/>
      <c r="G44" s="2" t="n"/>
      <c r="H44" s="2" t="n"/>
      <c r="I44" s="2" t="n"/>
      <c r="J44" s="3" t="n"/>
    </row>
    <row r="45">
      <c r="A45" s="6" t="inlineStr">
        <is>
          <t>magic weapon</t>
        </is>
      </c>
      <c r="B45" s="8" t="inlineStr">
        <is>
          <t>—</t>
        </is>
      </c>
      <c r="C45" s="2" t="n"/>
      <c r="D45" s="2" t="n"/>
      <c r="E45" s="2" t="n"/>
      <c r="F45" s="2" t="n"/>
      <c r="G45" s="2" t="n"/>
      <c r="H45" s="2" t="n"/>
      <c r="I45" s="2" t="n"/>
      <c r="J45" s="3" t="n"/>
    </row>
    <row r="46">
      <c r="A46" s="6" t="inlineStr">
        <is>
          <t>jewelry</t>
        </is>
      </c>
      <c r="B46" s="8" t="inlineStr">
        <is>
          <t>—</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《Heaven's Mechanismdeduction》（prefecture level·Homemade，Deducing the future3round trend）</t>
        </is>
      </c>
      <c r="C50" s="2" t="n"/>
      <c r="D50" s="2" t="n"/>
      <c r="E50" s="2" t="n"/>
      <c r="F50" s="2" t="n"/>
      <c r="G50" s="2" t="n"/>
      <c r="H50" s="2" t="n"/>
      <c r="I50" s="2" t="n"/>
      <c r="J50" s="3" t="n"/>
    </row>
    <row r="51">
      <c r="A51" s="6" t="inlineStr">
        <is>
          <t>Martial Technique</t>
        </is>
      </c>
      <c r="B51" s="8" t="inlineStr">
        <is>
          <t>《Catalog of Ten Thousand Formations》（Heaven level·Can be arranged at the same time3Array）</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500000</v>
      </c>
      <c r="D55" s="6" t="inlineStr">
        <is>
          <t>Pill</t>
        </is>
      </c>
      <c r="E55" s="8" t="inlineStr">
        <is>
          <t>Heaven levelFormation ArrayMaterial×50</t>
        </is>
      </c>
      <c r="F55" s="2" t="n"/>
      <c r="G55" s="2" t="n"/>
      <c r="H55" s="2" t="n"/>
      <c r="I55" s="2" t="n"/>
      <c r="J55" s="3" t="n"/>
    </row>
    <row r="56">
      <c r="A56" s="6" t="inlineStr">
        <is>
          <t>Poison</t>
        </is>
      </c>
      <c r="B56" s="15" t="inlineStr">
        <is>
          <t>0/100</t>
        </is>
      </c>
      <c r="D56" s="6" t="inlineStr">
        <is>
          <t>Inner Demon</t>
        </is>
      </c>
      <c r="E56" s="15" t="inlineStr">
        <is>
          <t>0/100</t>
        </is>
      </c>
    </row>
    <row r="57">
      <c r="A57" s="6" t="inlineStr">
        <is>
          <t>Shouyuan</t>
        </is>
      </c>
      <c r="B57" s="7" t="inlineStr">
        <is>
          <t>2000Year</t>
        </is>
      </c>
      <c r="D57" s="6" t="inlineStr">
        <is>
          <t>Consumed</t>
        </is>
      </c>
      <c r="E57" s="7" t="inlineStr">
        <is>
          <t>1200Year</t>
        </is>
      </c>
    </row>
    <row r="58"/>
    <row r="59">
      <c r="A59" s="5" t="inlineStr">
        <is>
          <t>background</t>
        </is>
      </c>
      <c r="B59" s="2" t="n"/>
      <c r="C59" s="2" t="n"/>
      <c r="D59" s="2" t="n"/>
      <c r="E59" s="2" t="n"/>
      <c r="F59" s="2" t="n"/>
      <c r="G59" s="2" t="n"/>
      <c r="H59" s="2" t="n"/>
      <c r="I59" s="2" t="n"/>
      <c r="J59" s="3" t="n"/>
    </row>
    <row r="60"/>
    <row r="61" ht="80" customHeight="1">
      <c r="A61" s="6" t="inlineStr">
        <is>
          <t>story</t>
        </is>
      </c>
      <c r="B61" s="8" t="inlineStr">
        <is>
          <t>Tianyazi isHeaven's MechanismThe former head of the mansion，by「Heaven's Mechanismdeduction」famous。After retiring, he still occasionally「Handy」Promote some things that should happen in heaven——For example, guiding talented young formation cultivators。</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B36:E36"/>
    <mergeCell ref="H7:J7"/>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6" customWidth="1" min="1" max="1"/>
    <col width="60" customWidth="1" min="2" max="2"/>
  </cols>
  <sheetData>
    <row r="1">
      <c r="A1" s="17" t="inlineStr">
        <is>
          <t>masterName</t>
        </is>
      </c>
      <c r="B1" s="17" t="inlineStr">
        <is>
          <t>Tianyazi</t>
        </is>
      </c>
    </row>
    <row r="2">
      <c r="A2" s="18" t="inlineStr">
        <is>
          <t>Master level</t>
        </is>
      </c>
      <c r="B2" s="19" t="inlineStr">
        <is>
          <t>Hidden master</t>
        </is>
      </c>
    </row>
    <row r="3">
      <c r="A3" s="18" t="inlineStr">
        <is>
          <t>Realm</t>
        </is>
      </c>
      <c r="B3" s="19" t="inlineStr">
        <is>
          <t>Void RefiningLate (Lv.23)</t>
        </is>
      </c>
    </row>
    <row r="4">
      <c r="A4" s="18" t="inlineStr">
        <is>
          <t>Maximum number of apprentices</t>
        </is>
      </c>
      <c r="B4" s="19" t="inlineStr">
        <is>
          <t>1（Very dependent on fate）</t>
        </is>
      </c>
    </row>
    <row r="5">
      <c r="A5" s="18" t="n"/>
      <c r="B5" s="19" t="n"/>
    </row>
    <row r="6">
      <c r="A6" s="18" t="inlineStr">
        <is>
          <t>Conditions for accepting apprentices</t>
        </is>
      </c>
      <c r="B6" s="19" t="inlineStr">
        <is>
          <t>Fortune ≥ 60（Just depends on fate）；Comprehension ≥ 50</t>
        </is>
      </c>
    </row>
    <row r="7">
      <c r="A7" s="18" t="n"/>
      <c r="B7" s="19" t="n"/>
    </row>
    <row r="8">
      <c r="A8" s="18" t="inlineStr">
        <is>
          <t>═══ TeachableCultivation Technique ═══</t>
        </is>
      </c>
      <c r="B8" s="19" t="n"/>
    </row>
    <row r="9">
      <c r="A9" s="18" t="inlineStr">
        <is>
          <t>transferableInner Art</t>
        </is>
      </c>
      <c r="B9" s="19" t="inlineStr">
        <is>
          <t>《The Return of Everything》(mysterious/chaos)
《Hunyuan Taoist Scripture》(land/chaos)
《Wind and Thunder True Secret》(land/Lei Feng)</t>
        </is>
      </c>
    </row>
    <row r="10">
      <c r="A10" s="18" t="inlineStr">
        <is>
          <t>Inner Artcondition</t>
        </is>
      </c>
      <c r="B10" s="19" t="inlineStr">
        <is>
          <t>First acquaintance；close+chaos/balanced；wind and thunderSpirit Root/close</t>
        </is>
      </c>
    </row>
    <row r="11">
      <c r="A11" s="18" t="inlineStr">
        <is>
          <t>transferableMartial Technique</t>
        </is>
      </c>
      <c r="B11" s="19" t="inlineStr">
        <is>
          <t>《Wind Step》(mysterious/wind)
《Qianjiyin》(mysterious/water)
《Shadow Step》(mysterious/dark)</t>
        </is>
      </c>
    </row>
    <row r="12">
      <c r="A12" s="18" t="inlineStr">
        <is>
          <t>Martial Techniquecondition</t>
        </is>
      </c>
      <c r="B12" s="19" t="inlineStr">
        <is>
          <t>unconditionally；waterSpirit Root/trust；trust</t>
        </is>
      </c>
    </row>
    <row r="13">
      <c r="A13" s="18" t="inlineStr">
        <is>
          <t>transferableDivine Ability</t>
        </is>
      </c>
      <c r="B13" s="19" t="inlineStr">
        <is>
          <t>《clairvoyance》(mysterious/without)
《Five Elements Rotation》(mysterious/chaos)
《Heaven's Mechanismdeduction》(land/without)
《void step》(land/space)
《Complete astrology deduction》(sky/without) —— NEW</t>
        </is>
      </c>
    </row>
    <row r="14">
      <c r="A14" s="18" t="inlineStr">
        <is>
          <t>Divine Abilitycondition</t>
        </is>
      </c>
      <c r="B14" s="19" t="inlineStr">
        <is>
          <t>Comprehension≥40/close
trust
Comprehension≥50/Like a child
Like a child
mantle(The secret method passed down by Tianyazi himself)</t>
        </is>
      </c>
    </row>
    <row r="15">
      <c r="A15" s="18" t="n"/>
      <c r="B15" s="19" t="n"/>
    </row>
    <row r="16">
      <c r="A16" s="18" t="inlineStr">
        <is>
          <t>═══ Resources and Assistance ═══</t>
        </is>
      </c>
      <c r="B16" s="19" t="n"/>
    </row>
    <row r="17">
      <c r="A17" s="18" t="inlineStr">
        <is>
          <t>Monthly resource supply</t>
        </is>
      </c>
      <c r="B17" s="19" t="inlineStr">
        <is>
          <t>indefinite（Travel around the world）──BreakthroughbigRealmLand gift level secrets
Major event giftsHeaven's MechanismHouse connection token
gift of mantle《Complete astrology deduction》</t>
        </is>
      </c>
    </row>
    <row r="18">
      <c r="A18" s="18" t="inlineStr">
        <is>
          <t>special assistance</t>
        </is>
      </c>
      <c r="B18" s="19" t="inlineStr">
        <is>
          <t>Heaven's Mechanismintelligence(EveryRealm1Ask)；Anticipate crisis(close)；Eye of HeavenInheritance(mantle/difficulty（DC）70)；Change fate against fate(mantle/1Second-rate/lifespan-50)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65" customWidth="1" min="2" max="2"/>
  </cols>
  <sheetData>
    <row r="1">
      <c r="A1" s="17" t="inlineStr">
        <is>
          <t>InheritanceName</t>
        </is>
      </c>
      <c r="B1" s="17" t="inlineStr">
        <is>
          <t>Change fate against fate</t>
        </is>
      </c>
    </row>
    <row r="2">
      <c r="A2" s="18" t="inlineStr">
        <is>
          <t>InheritanceType</t>
        </is>
      </c>
      <c r="B2" s="19" t="inlineStr">
        <is>
          <t>Yibo level disposableInheritance</t>
        </is>
      </c>
    </row>
    <row r="3">
      <c r="A3" s="18" t="inlineStr">
        <is>
          <t>Trigger condition</t>
        </is>
      </c>
      <c r="B3" s="19" t="inlineStr">
        <is>
          <t>intimacy ≥ mantle</t>
        </is>
      </c>
    </row>
    <row r="4">
      <c r="A4" s="18" t="inlineStr">
        <is>
          <t>Number of uses</t>
        </is>
      </c>
      <c r="B4" s="19" t="inlineStr">
        <is>
          <t>lifelong1Second-rate</t>
        </is>
      </c>
    </row>
    <row r="5">
      <c r="A5" s="18" t="n"/>
      <c r="B5" s="19" t="n"/>
    </row>
    <row r="6">
      <c r="A6" s="18" t="inlineStr">
        <is>
          <t>Effect</t>
        </is>
      </c>
      <c r="B6" s="19" t="inlineStr">
        <is>
          <t>The disciple must dieCheckHour(d100=00orHealth Points（HP）Return to zero)Change to success/Health Points（HP）left1</t>
        </is>
      </c>
    </row>
    <row r="7">
      <c r="A7" s="18" t="n"/>
      <c r="B7" s="19" t="n"/>
    </row>
    <row r="8">
      <c r="A8" s="18" t="inlineStr">
        <is>
          <t>cost(Tianyazi)</t>
        </is>
      </c>
      <c r="B8" s="19" t="inlineStr">
        <is>
          <t>lifespan-50Year(permanent)；1Deduction cannot be used during the yearDivine Ability；weak30sky(All attributes-20)</t>
        </is>
      </c>
    </row>
    <row r="9">
      <c r="A9" s="18" t="n"/>
      <c r="B9" s="19" t="n"/>
    </row>
    <row r="10">
      <c r="A10" s="18" t="inlineStr">
        <is>
          <t>GMNotice</t>
        </is>
      </c>
      <c r="B10" s="19" t="inlineStr">
        <is>
          <t>Story-level abilities——Tianyazi is optional「Don't take action」。Only used when the disciple is truly worthy。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Dugu Wuji — NPCCard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Dugu Wuji</t>
        </is>
      </c>
      <c r="C6" s="3" t="n"/>
      <c r="D6" s="6" t="inlineStr">
        <is>
          <t>Title</t>
        </is>
      </c>
      <c r="E6" s="8" t="inlineStr">
        <is>
          <t>Master of Taixu Sword Sect·MahayanaQi Jianzun</t>
        </is>
      </c>
      <c r="F6" s="2" t="n"/>
      <c r="G6" s="2" t="n"/>
      <c r="H6" s="3" t="n"/>
      <c r="I6" s="6" t="inlineStr">
        <is>
          <t>Realm</t>
        </is>
      </c>
      <c r="J6" s="7" t="inlineStr">
        <is>
          <t>Mahayana·back(Lv.31)</t>
        </is>
      </c>
    </row>
    <row r="7">
      <c r="A7" s="6" t="inlineStr">
        <is>
          <t>gender</t>
        </is>
      </c>
      <c r="B7" s="7" t="inlineStr">
        <is>
          <t>male</t>
        </is>
      </c>
      <c r="C7" s="6" t="inlineStr">
        <is>
          <t>age</t>
        </is>
      </c>
      <c r="D7" s="7" t="n">
        <v>3000</v>
      </c>
      <c r="E7" s="6" t="inlineStr">
        <is>
          <t>Lv</t>
        </is>
      </c>
      <c r="F7" s="7" t="n">
        <v>31</v>
      </c>
      <c r="G7" s="6" t="inlineStr">
        <is>
          <t>Cultivation</t>
        </is>
      </c>
      <c r="H7" s="7" t="inlineStr">
        <is>
          <t>—</t>
        </is>
      </c>
      <c r="I7" s="2" t="n"/>
      <c r="J7" s="3" t="n"/>
    </row>
    <row r="8">
      <c r="A8" s="6" t="inlineStr">
        <is>
          <t>origin</t>
        </is>
      </c>
      <c r="B8" s="8" t="inlineStr">
        <is>
          <t>The contemporary leader of the Taixu Sword Sect（No. 1 on the list）</t>
        </is>
      </c>
      <c r="C8" s="2" t="n"/>
      <c r="D8" s="2" t="n"/>
      <c r="E8" s="2" t="n"/>
      <c r="F8" s="2" t="n"/>
      <c r="G8" s="2" t="n"/>
      <c r="H8" s="2" t="n"/>
      <c r="I8" s="2" t="n"/>
      <c r="J8" s="3" t="n"/>
    </row>
    <row r="9">
      <c r="A9" s="6" t="inlineStr">
        <is>
          <t>sect</t>
        </is>
      </c>
      <c r="B9" s="8" t="inlineStr">
        <is>
          <t>Taixu Sword Sect</t>
        </is>
      </c>
      <c r="C9" s="2" t="n"/>
      <c r="D9" s="2" t="n"/>
      <c r="E9" s="3" t="n"/>
      <c r="F9" s="6" t="inlineStr">
        <is>
          <t>special</t>
        </is>
      </c>
      <c r="G9" s="8" t="inlineStr">
        <is>
          <t>The heart of the sword is clear（SwordsDamage+50%，cooling-1round）</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goldSpirit Root</t>
        </is>
      </c>
      <c r="C13" s="2" t="n"/>
      <c r="D13" s="3" t="n"/>
      <c r="E13" s="6" t="inlineStr">
        <is>
          <t>quality</t>
        </is>
      </c>
      <c r="F13" s="7" t="inlineStr">
        <is>
          <t>The best</t>
        </is>
      </c>
      <c r="G13" s="2" t="n"/>
      <c r="H13" s="2" t="n"/>
      <c r="I13" s="2" t="n"/>
      <c r="J13" s="3" t="n"/>
    </row>
    <row r="14">
      <c r="A14" s="6" t="inlineStr">
        <is>
          <t>addition</t>
        </is>
      </c>
      <c r="B14" s="8" t="inlineStr">
        <is>
          <t>Constitution+8 Gold systemCultivation Techniquepower+15%</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88</v>
      </c>
      <c r="C18" s="3" t="n"/>
      <c r="D18" s="9" t="inlineStr">
        <is>
          <t>practice/Breakthrough</t>
        </is>
      </c>
      <c r="E18" s="2" t="n"/>
      <c r="F18" s="2" t="n"/>
      <c r="G18" s="2" t="n"/>
      <c r="H18" s="3" t="n"/>
      <c r="I18" s="10">
        <f>FLOOR(B18/5,1)</f>
        <v/>
      </c>
      <c r="J18" s="11" t="inlineStr">
        <is>
          <t>bonus÷5</t>
        </is>
      </c>
    </row>
    <row r="19">
      <c r="A19" s="6" t="inlineStr">
        <is>
          <t>Comprehension WUX</t>
        </is>
      </c>
      <c r="B19" s="7" t="n">
        <v>82</v>
      </c>
      <c r="C19" s="3" t="n"/>
      <c r="D19" s="9" t="inlineStr">
        <is>
          <t>learn/crack</t>
        </is>
      </c>
      <c r="E19" s="2" t="n"/>
      <c r="F19" s="2" t="n"/>
      <c r="G19" s="2" t="n"/>
      <c r="H19" s="3" t="n"/>
      <c r="I19" s="10">
        <f>FLOOR(B19/5,1)</f>
        <v/>
      </c>
      <c r="J19" s="11" t="inlineStr">
        <is>
          <t>bonus÷5</t>
        </is>
      </c>
    </row>
    <row r="20">
      <c r="A20" s="6" t="inlineStr">
        <is>
          <t>Divine Sense SHS</t>
        </is>
      </c>
      <c r="B20" s="7" t="n">
        <v>85</v>
      </c>
      <c r="C20" s="3" t="n"/>
      <c r="D20" s="9" t="inlineStr">
        <is>
          <t>explore/Initiative</t>
        </is>
      </c>
      <c r="E20" s="2" t="n"/>
      <c r="F20" s="2" t="n"/>
      <c r="G20" s="2" t="n"/>
      <c r="H20" s="3" t="n"/>
      <c r="I20" s="10">
        <f>FLOOR(B20/5,1)</f>
        <v/>
      </c>
      <c r="J20" s="11" t="inlineStr">
        <is>
          <t>bonus÷5</t>
        </is>
      </c>
    </row>
    <row r="21">
      <c r="A21" s="6" t="inlineStr">
        <is>
          <t>Physique RSS</t>
        </is>
      </c>
      <c r="B21" s="7" t="n">
        <v>90</v>
      </c>
      <c r="C21" s="3" t="n"/>
      <c r="D21" s="9" t="inlineStr">
        <is>
          <t>Health Points（HP）/Melee</t>
        </is>
      </c>
      <c r="E21" s="2" t="n"/>
      <c r="F21" s="2" t="n"/>
      <c r="G21" s="2" t="n"/>
      <c r="H21" s="3" t="n"/>
      <c r="I21" s="10">
        <f>FLOOR(B21/5,1)</f>
        <v/>
      </c>
      <c r="J21" s="11" t="inlineStr">
        <is>
          <t>bonus÷5</t>
        </is>
      </c>
    </row>
    <row r="22">
      <c r="A22" s="6" t="inlineStr">
        <is>
          <t>Spirit Power LIL</t>
        </is>
      </c>
      <c r="B22" s="7" t="n">
        <v>78</v>
      </c>
      <c r="C22" s="3" t="n"/>
      <c r="D22" s="9" t="inlineStr">
        <is>
          <t>Spell/Infuriated</t>
        </is>
      </c>
      <c r="E22" s="2" t="n"/>
      <c r="F22" s="2" t="n"/>
      <c r="G22" s="2" t="n"/>
      <c r="H22" s="3" t="n"/>
      <c r="I22" s="10">
        <f>FLOOR(B22/5,1)</f>
        <v/>
      </c>
      <c r="J22" s="11" t="inlineStr">
        <is>
          <t>bonus÷5</t>
        </is>
      </c>
    </row>
    <row r="23">
      <c r="A23" s="6" t="inlineStr">
        <is>
          <t>Agility SHF</t>
        </is>
      </c>
      <c r="B23" s="7" t="n">
        <v>80</v>
      </c>
      <c r="C23" s="3" t="n"/>
      <c r="D23" s="9" t="inlineStr">
        <is>
          <t>Evasion/move</t>
        </is>
      </c>
      <c r="E23" s="2" t="n"/>
      <c r="F23" s="2" t="n"/>
      <c r="G23" s="2" t="n"/>
      <c r="H23" s="3" t="n"/>
      <c r="I23" s="10">
        <f>FLOOR(B23/5,1)</f>
        <v/>
      </c>
      <c r="J23" s="11" t="inlineStr">
        <is>
          <t>bonus÷5</t>
        </is>
      </c>
    </row>
    <row r="24">
      <c r="A24" s="6" t="inlineStr">
        <is>
          <t>Fortune JIY</t>
        </is>
      </c>
      <c r="B24" s="7" t="n">
        <v>70</v>
      </c>
      <c r="C24" s="3" t="n"/>
      <c r="D24" s="9" t="inlineStr">
        <is>
          <t>explore/fall</t>
        </is>
      </c>
      <c r="E24" s="2" t="n"/>
      <c r="F24" s="2" t="n"/>
      <c r="G24" s="2" t="n"/>
      <c r="H24" s="3" t="n"/>
      <c r="I24" s="10">
        <f>FLOOR(B24/5,1)</f>
        <v/>
      </c>
      <c r="J24" s="11" t="inlineStr">
        <is>
          <t>bonus÷5</t>
        </is>
      </c>
    </row>
    <row r="25">
      <c r="A25" s="6" t="inlineStr">
        <is>
          <t>Dao Heart DAX</t>
        </is>
      </c>
      <c r="B25" s="7" t="n">
        <v>92</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5.0*B21</f>
        <v/>
      </c>
      <c r="C29" s="2" t="n"/>
      <c r="D29" s="2" t="n"/>
      <c r="E29" s="3" t="n"/>
      <c r="F29" s="13" t="inlineStr">
        <is>
          <t>Physique×Realmcoefficient</t>
        </is>
      </c>
      <c r="G29" s="2" t="n"/>
      <c r="H29" s="2" t="n"/>
      <c r="I29" s="2" t="n"/>
      <c r="J29" s="3" t="n"/>
    </row>
    <row r="30">
      <c r="A30" s="14" t="inlineStr">
        <is>
          <t>Qi Pool</t>
        </is>
      </c>
      <c r="B30" s="10">
        <f>4.0*B22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50</v>
      </c>
      <c r="C32" s="2" t="n"/>
      <c r="D32" s="2" t="n"/>
      <c r="E32" s="3" t="n"/>
      <c r="F32" s="9" t="inlineStr">
        <is>
          <t>robe+Cultivation Technique</t>
        </is>
      </c>
      <c r="G32" s="2" t="n"/>
      <c r="H32" s="2" t="n"/>
      <c r="I32" s="2" t="n"/>
      <c r="J32" s="3" t="n"/>
    </row>
    <row r="33">
      <c r="A33" s="6" t="inlineStr">
        <is>
          <t>SpellResistance</t>
        </is>
      </c>
      <c r="B33" s="16" t="n">
        <v>55</v>
      </c>
      <c r="C33" s="2" t="n"/>
      <c r="D33" s="2" t="n"/>
      <c r="E33" s="3" t="n"/>
      <c r="F33" s="13" t="inlineStr">
        <is>
          <t>robe+Cultivation Technique</t>
        </is>
      </c>
      <c r="G33" s="2" t="n"/>
      <c r="H33" s="2" t="n"/>
      <c r="I33" s="2" t="n"/>
      <c r="J33" s="3" t="n"/>
    </row>
    <row r="34">
      <c r="A34" s="14" t="inlineStr">
        <is>
          <t>body protection energy</t>
        </is>
      </c>
      <c r="B34" s="15" t="n">
        <v>250</v>
      </c>
      <c r="C34" s="2" t="n"/>
      <c r="D34" s="2" t="n"/>
      <c r="E34" s="3" t="n"/>
      <c r="F34" s="9" t="inlineStr">
        <is>
          <t>Inner Art+magic weapon</t>
        </is>
      </c>
      <c r="G34" s="2" t="n"/>
      <c r="H34" s="2" t="n"/>
      <c r="I34" s="2" t="n"/>
      <c r="J34" s="3" t="n"/>
    </row>
    <row r="35">
      <c r="A35" s="6" t="inlineStr">
        <is>
          <t>Evasion</t>
        </is>
      </c>
      <c r="B35" s="16" t="n">
        <v>80</v>
      </c>
      <c r="C35" s="2" t="n"/>
      <c r="D35" s="2" t="n"/>
      <c r="E35" s="3" t="n"/>
      <c r="F35" s="13" t="inlineStr">
        <is>
          <t>Agilityvalue</t>
        </is>
      </c>
      <c r="G35" s="2" t="n"/>
      <c r="H35" s="2" t="n"/>
      <c r="I35" s="2" t="n"/>
      <c r="J35" s="3" t="n"/>
    </row>
    <row r="36">
      <c r="A36" s="14" t="inlineStr">
        <is>
          <t>move</t>
        </is>
      </c>
      <c r="B36" s="15" t="inlineStr">
        <is>
          <t>3district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Taixu Immortal Sword（Heaven level，4d12+Meat/4，hit+15）</t>
        </is>
      </c>
      <c r="C43" s="2" t="n"/>
      <c r="D43" s="2" t="n"/>
      <c r="E43" s="2" t="n"/>
      <c r="F43" s="2" t="n"/>
      <c r="G43" s="2" t="n"/>
      <c r="H43" s="2" t="n"/>
      <c r="I43" s="2" t="n"/>
      <c r="J43" s="3" t="n"/>
    </row>
    <row r="44">
      <c r="A44" s="6" t="inlineStr">
        <is>
          <t>robe</t>
        </is>
      </c>
      <c r="B44" s="8" t="inlineStr">
        <is>
          <t>Hunyuan Taoist Robe（Heaven level，Defend+45，Magic resistance+65，All attributes+12）</t>
        </is>
      </c>
      <c r="C44" s="2" t="n"/>
      <c r="D44" s="2" t="n"/>
      <c r="E44" s="2" t="n"/>
      <c r="F44" s="2" t="n"/>
      <c r="G44" s="2" t="n"/>
      <c r="H44" s="2" t="n"/>
      <c r="I44" s="2" t="n"/>
      <c r="J44" s="3" t="n"/>
    </row>
    <row r="45">
      <c r="A45" s="6" t="inlineStr">
        <is>
          <t>magic weapon</t>
        </is>
      </c>
      <c r="B45" s="8" t="inlineStr">
        <is>
          <t>—</t>
        </is>
      </c>
      <c r="C45" s="2" t="n"/>
      <c r="D45" s="2" t="n"/>
      <c r="E45" s="2" t="n"/>
      <c r="F45" s="2" t="n"/>
      <c r="G45" s="2" t="n"/>
      <c r="H45" s="2" t="n"/>
      <c r="I45" s="2" t="n"/>
      <c r="J45" s="3" t="n"/>
    </row>
    <row r="46">
      <c r="A46" s="6" t="inlineStr">
        <is>
          <t>jewelry</t>
        </is>
      </c>
      <c r="B46" s="8" t="inlineStr">
        <is>
          <t>—</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《Taixu Sword Sutra》（Tianpin·SwordsDamage+50%）</t>
        </is>
      </c>
      <c r="C50" s="2" t="n"/>
      <c r="D50" s="2" t="n"/>
      <c r="E50" s="2" t="n"/>
      <c r="F50" s="2" t="n"/>
      <c r="G50" s="2" t="n"/>
      <c r="H50" s="2" t="n"/>
      <c r="I50" s="2" t="n"/>
      <c r="J50" s="3" t="n"/>
    </row>
    <row r="51">
      <c r="A51" s="6" t="inlineStr">
        <is>
          <t>Martial Technique</t>
        </is>
      </c>
      <c r="B51" s="8" t="inlineStr">
        <is>
          <t>《Wan Jian returns to his clan》Lv.5、《Killing Immortal Sword Intent》Lv.5</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5000000</v>
      </c>
      <c r="D55" s="6" t="inlineStr">
        <is>
          <t>Pill</t>
        </is>
      </c>
      <c r="E55" s="8" t="inlineStr">
        <is>
          <t>Heaven levelPill×50</t>
        </is>
      </c>
      <c r="F55" s="2" t="n"/>
      <c r="G55" s="2" t="n"/>
      <c r="H55" s="2" t="n"/>
      <c r="I55" s="2" t="n"/>
      <c r="J55" s="3" t="n"/>
    </row>
    <row r="56">
      <c r="A56" s="6" t="inlineStr">
        <is>
          <t>Poison</t>
        </is>
      </c>
      <c r="B56" s="15" t="inlineStr">
        <is>
          <t>0/100</t>
        </is>
      </c>
      <c r="D56" s="6" t="inlineStr">
        <is>
          <t>Inner Demon</t>
        </is>
      </c>
      <c r="E56" s="15" t="inlineStr">
        <is>
          <t>0/100</t>
        </is>
      </c>
    </row>
    <row r="57">
      <c r="A57" s="6" t="inlineStr">
        <is>
          <t>Shouyuan</t>
        </is>
      </c>
      <c r="B57" s="7" t="inlineStr">
        <is>
          <t>5000Year</t>
        </is>
      </c>
      <c r="D57" s="6" t="inlineStr">
        <is>
          <t>Consumed</t>
        </is>
      </c>
      <c r="E57" s="7" t="inlineStr">
        <is>
          <t>3000Year</t>
        </is>
      </c>
    </row>
    <row r="58"/>
    <row r="59">
      <c r="A59" s="5" t="inlineStr">
        <is>
          <t>background</t>
        </is>
      </c>
      <c r="B59" s="2" t="n"/>
      <c r="C59" s="2" t="n"/>
      <c r="D59" s="2" t="n"/>
      <c r="E59" s="2" t="n"/>
      <c r="F59" s="2" t="n"/>
      <c r="G59" s="2" t="n"/>
      <c r="H59" s="2" t="n"/>
      <c r="I59" s="2" t="n"/>
      <c r="J59" s="3" t="n"/>
    </row>
    <row r="60"/>
    <row r="61" ht="80" customHeight="1">
      <c r="A61" s="6" t="inlineStr">
        <is>
          <t>story</t>
        </is>
      </c>
      <c r="B61" s="8" t="inlineStr">
        <is>
          <t>Dugu Wuji is the leader of Taixu Sword Sect，MahayanaLateSword Master，No. 1 on the list。Three hundred years ago, he cut off the pillar of demonic energy in the Western Region with one sword alone.，recognized as「The first person in swordsmanship in the world」。If he wants to ascend，Tribulation CrossingNot a problem——but he doesn't want to。</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H7:J7"/>
    <mergeCell ref="B36:E36"/>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6" customWidth="1" min="1" max="1"/>
    <col width="60" customWidth="1" min="2" max="2"/>
  </cols>
  <sheetData>
    <row r="1">
      <c r="A1" s="17" t="inlineStr">
        <is>
          <t>masterName</t>
        </is>
      </c>
      <c r="B1" s="17" t="inlineStr">
        <is>
          <t>Dugu Wuji</t>
        </is>
      </c>
    </row>
    <row r="2">
      <c r="A2" s="18" t="inlineStr">
        <is>
          <t>Master level</t>
        </is>
      </c>
      <c r="B2" s="19" t="inlineStr">
        <is>
          <t>Hidden master</t>
        </is>
      </c>
    </row>
    <row r="3">
      <c r="A3" s="18" t="inlineStr">
        <is>
          <t>Realm</t>
        </is>
      </c>
      <c r="B3" s="19" t="inlineStr">
        <is>
          <t>MahayanaEarly (Lv.29)</t>
        </is>
      </c>
    </row>
    <row r="4">
      <c r="A4" s="18" t="inlineStr">
        <is>
          <t>Maximum number of apprentices</t>
        </is>
      </c>
      <c r="B4" s="19" t="inlineStr">
        <is>
          <t>1（extremely rare）</t>
        </is>
      </c>
    </row>
    <row r="5">
      <c r="A5" s="18" t="n"/>
      <c r="B5" s="19" t="n"/>
    </row>
    <row r="6">
      <c r="A6" s="18" t="inlineStr">
        <is>
          <t>Conditions for accepting apprentices</t>
        </is>
      </c>
      <c r="B6" s="19" t="inlineStr">
        <is>
          <t>goldSpirit Root + Sword Cultivator；True disciple of Taixu Sword Sect；「Taixu sword discussion」forward3name；Reputation≥70</t>
        </is>
      </c>
    </row>
    <row r="7">
      <c r="A7" s="18" t="n"/>
      <c r="B7" s="19" t="n"/>
    </row>
    <row r="8">
      <c r="A8" s="18" t="inlineStr">
        <is>
          <t>═══ TeachableCultivation Technique ═══</t>
        </is>
      </c>
      <c r="B8" s="19" t="n"/>
    </row>
    <row r="9">
      <c r="A9" s="18" t="inlineStr">
        <is>
          <t>transferableInner Art</t>
        </is>
      </c>
      <c r="B9" s="19" t="inlineStr">
        <is>
          <t>《Tiangang Zhengqi Jue》(mysterious/gold)
《Taiyi Zhenjue》(land/gold)
《Hunyuan Immortal Code》(sky/chaos)</t>
        </is>
      </c>
    </row>
    <row r="10">
      <c r="A10" s="18" t="inlineStr">
        <is>
          <t>Inner Artcondition</t>
        </is>
      </c>
      <c r="B10" s="19" t="inlineStr">
        <is>
          <t>Just pass it on；trust；mantle</t>
        </is>
      </c>
    </row>
    <row r="11">
      <c r="A11" s="18" t="inlineStr">
        <is>
          <t>transferableMartial Technique</t>
        </is>
      </c>
      <c r="B11" s="19" t="inlineStr">
        <is>
          <t>《Sky-Splitting Sword Gang》(land/gold)
《Wan Jian returns to his clan》(sky/gold)</t>
        </is>
      </c>
    </row>
    <row r="12">
      <c r="A12" s="18" t="inlineStr">
        <is>
          <t>Martial Techniquecondition</t>
        </is>
      </c>
      <c r="B12" s="19" t="inlineStr">
        <is>
          <t>close；mantle+「Trial of Ten Thousand Swords」</t>
        </is>
      </c>
    </row>
    <row r="13">
      <c r="A13" s="18" t="inlineStr">
        <is>
          <t>transferableDivine Ability</t>
        </is>
      </c>
      <c r="B13" s="19" t="inlineStr">
        <is>
          <t>《Vajra Dharma》(mysterious/earth metal)
《Time flies》(sky/space)
《Dharma, heaven and earth》(sky/earth)</t>
        </is>
      </c>
    </row>
    <row r="14">
      <c r="A14" s="18" t="inlineStr">
        <is>
          <t>Divine Abilitycondition</t>
        </is>
      </c>
      <c r="B14" s="19" t="inlineStr">
        <is>
          <t>trust；Like a child；mantle</t>
        </is>
      </c>
    </row>
    <row r="15">
      <c r="A15" s="18" t="n"/>
      <c r="B15" s="19" t="n"/>
    </row>
    <row r="16">
      <c r="A16" s="18" t="inlineStr">
        <is>
          <t>═══ Resources and Assistance ═══</t>
        </is>
      </c>
      <c r="B16" s="19" t="n"/>
    </row>
    <row r="17">
      <c r="A17" s="18" t="inlineStr">
        <is>
          <t>Monthly resource supply</t>
        </is>
      </c>
      <c r="B17" s="19" t="inlineStr">
        <is>
          <t>First acquaintance: spirit stone5,000/moon+sectPill(True transmission standard)
trust: spirit stone10,000/moon+Free choice of earth-level swords
close: spirit stone20,000/moon+Xijianchi Retreat(×1.5)
Like a child: Heaven level sword×1
mantle: Inherit the position of patriarch</t>
        </is>
      </c>
    </row>
    <row r="18">
      <c r="A18" s="18" t="inlineStr">
        <is>
          <t>special assistance</t>
        </is>
      </c>
      <c r="B18" s="19" t="inlineStr">
        <is>
          <t>Sword Intention Initiation(EveryRealmLift1Level swordsmanship)；The title of the best sword in the world(NPCAttitude+1)；Sword Domain of Life and Death(Triggered when mortal/3Year)；mantleInheritance(Kendo seeds)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6" customWidth="1" min="1" max="1"/>
    <col width="65" customWidth="1" min="2" max="2"/>
  </cols>
  <sheetData>
    <row r="1">
      <c r="A1" s="17" t="inlineStr">
        <is>
          <t>InheritanceName</t>
        </is>
      </c>
      <c r="B1" s="17" t="inlineStr">
        <is>
          <t>Kendo seeds</t>
        </is>
      </c>
    </row>
    <row r="2">
      <c r="A2" s="18" t="inlineStr">
        <is>
          <t>InheritanceType</t>
        </is>
      </c>
      <c r="B2" s="19" t="inlineStr">
        <is>
          <t>Mantle Level PermanentInheritance</t>
        </is>
      </c>
    </row>
    <row r="3">
      <c r="A3" s="18" t="inlineStr">
        <is>
          <t>Trigger condition</t>
        </is>
      </c>
      <c r="B3" s="19" t="inlineStr">
        <is>
          <t>intimacy ≥ mantle；The disciple isSword Cultivator</t>
        </is>
      </c>
    </row>
    <row r="4">
      <c r="A4" s="18" t="n"/>
      <c r="B4" s="19" t="n"/>
    </row>
    <row r="5">
      <c r="A5" s="18" t="inlineStr">
        <is>
          <t>Effect</t>
        </is>
      </c>
      <c r="B5" s="19" t="inlineStr">
        <is>
          <t>Choose a sword class that you have learnedCultivation Technique，Upgrade directly to Lv.Max（upper limit），No need to waste cultivation and time</t>
        </is>
      </c>
    </row>
    <row r="6">
      <c r="A6" s="18" t="n"/>
      <c r="B6" s="19" t="inlineStr">
        <is>
          <t>Thereafter theCultivation TechniqueComes with「Infinite Sword Intent」：Damageextra +2d6（ignoreDefense）</t>
        </is>
      </c>
    </row>
    <row r="7">
      <c r="A7" s="18" t="n"/>
      <c r="B7" s="19" t="n"/>
    </row>
    <row r="8">
      <c r="A8" s="18" t="inlineStr">
        <is>
          <t>limit</t>
        </is>
      </c>
      <c r="B8" s="19" t="inlineStr">
        <is>
          <t>Each disciple can only obtain it once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Elder Xuanzhen — NPCCard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Elder Xuanzhen</t>
        </is>
      </c>
      <c r="C6" s="3" t="n"/>
      <c r="D6" s="6" t="inlineStr">
        <is>
          <t>Title</t>
        </is>
      </c>
      <c r="E6" s="8" t="inlineStr">
        <is>
          <t>Nascent SoulThe first of Qijie Peak</t>
        </is>
      </c>
      <c r="F6" s="2" t="n"/>
      <c r="G6" s="2" t="n"/>
      <c r="H6" s="3" t="n"/>
      <c r="I6" s="6" t="inlineStr">
        <is>
          <t>Realm</t>
        </is>
      </c>
      <c r="J6" s="7" t="inlineStr">
        <is>
          <t>Nascent Soul·round(Lv.16)</t>
        </is>
      </c>
    </row>
    <row r="7">
      <c r="A7" s="6" t="inlineStr">
        <is>
          <t>gender</t>
        </is>
      </c>
      <c r="B7" s="7" t="inlineStr">
        <is>
          <t>male</t>
        </is>
      </c>
      <c r="C7" s="6" t="inlineStr">
        <is>
          <t>age</t>
        </is>
      </c>
      <c r="D7" s="7" t="n">
        <v>350</v>
      </c>
      <c r="E7" s="6" t="inlineStr">
        <is>
          <t>Lv</t>
        </is>
      </c>
      <c r="F7" s="7" t="n">
        <v>16</v>
      </c>
      <c r="G7" s="6" t="inlineStr">
        <is>
          <t>Cultivation</t>
        </is>
      </c>
      <c r="H7" s="7" t="inlineStr">
        <is>
          <t>—</t>
        </is>
      </c>
      <c r="I7" s="2" t="n"/>
      <c r="J7" s="3" t="n"/>
    </row>
    <row r="8">
      <c r="A8" s="6" t="inlineStr">
        <is>
          <t>origin</t>
        </is>
      </c>
      <c r="B8" s="8" t="inlineStr">
        <is>
          <t>Taixu Sword Sect（The first of the Discipline Peak）</t>
        </is>
      </c>
      <c r="C8" s="2" t="n"/>
      <c r="D8" s="2" t="n"/>
      <c r="E8" s="2" t="n"/>
      <c r="F8" s="2" t="n"/>
      <c r="G8" s="2" t="n"/>
      <c r="H8" s="2" t="n"/>
      <c r="I8" s="2" t="n"/>
      <c r="J8" s="3" t="n"/>
    </row>
    <row r="9">
      <c r="A9" s="6" t="inlineStr">
        <is>
          <t>sect</t>
        </is>
      </c>
      <c r="B9" s="8" t="inlineStr">
        <is>
          <t>Taixu Sword Sect</t>
        </is>
      </c>
      <c r="C9" s="2" t="n"/>
      <c r="D9" s="2" t="n"/>
      <c r="E9" s="3" t="n"/>
      <c r="F9" s="6" t="inlineStr">
        <is>
          <t>special</t>
        </is>
      </c>
      <c r="G9" s="8" t="inlineStr">
        <is>
          <t>without</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goldSpirit Root</t>
        </is>
      </c>
      <c r="C13" s="2" t="n"/>
      <c r="D13" s="3" t="n"/>
      <c r="E13" s="6" t="inlineStr">
        <is>
          <t>quality</t>
        </is>
      </c>
      <c r="F13" s="7" t="inlineStr">
        <is>
          <t>The best</t>
        </is>
      </c>
      <c r="G13" s="2" t="n"/>
      <c r="H13" s="2" t="n"/>
      <c r="I13" s="2" t="n"/>
      <c r="J13" s="3" t="n"/>
    </row>
    <row r="14">
      <c r="A14" s="6" t="inlineStr">
        <is>
          <t>addition</t>
        </is>
      </c>
      <c r="B14" s="8" t="inlineStr">
        <is>
          <t>Constitution+8 Gold systemCultivation Techniquepower+15%</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72</v>
      </c>
      <c r="C18" s="3" t="n"/>
      <c r="D18" s="9" t="inlineStr">
        <is>
          <t>practice/Breakthrough</t>
        </is>
      </c>
      <c r="E18" s="2" t="n"/>
      <c r="F18" s="2" t="n"/>
      <c r="G18" s="2" t="n"/>
      <c r="H18" s="3" t="n"/>
      <c r="I18" s="10">
        <f>FLOOR(B18/5,1)</f>
        <v/>
      </c>
      <c r="J18" s="11" t="inlineStr">
        <is>
          <t>bonus÷5</t>
        </is>
      </c>
    </row>
    <row r="19">
      <c r="A19" s="6" t="inlineStr">
        <is>
          <t>Comprehension WUX</t>
        </is>
      </c>
      <c r="B19" s="7" t="n">
        <v>60</v>
      </c>
      <c r="C19" s="3" t="n"/>
      <c r="D19" s="9" t="inlineStr">
        <is>
          <t>learn/crack</t>
        </is>
      </c>
      <c r="E19" s="2" t="n"/>
      <c r="F19" s="2" t="n"/>
      <c r="G19" s="2" t="n"/>
      <c r="H19" s="3" t="n"/>
      <c r="I19" s="10">
        <f>FLOOR(B19/5,1)</f>
        <v/>
      </c>
      <c r="J19" s="11" t="inlineStr">
        <is>
          <t>bonus÷5</t>
        </is>
      </c>
    </row>
    <row r="20">
      <c r="A20" s="6" t="inlineStr">
        <is>
          <t>Divine Sense SHS</t>
        </is>
      </c>
      <c r="B20" s="7" t="n">
        <v>65</v>
      </c>
      <c r="C20" s="3" t="n"/>
      <c r="D20" s="9" t="inlineStr">
        <is>
          <t>explore/Initiative</t>
        </is>
      </c>
      <c r="E20" s="2" t="n"/>
      <c r="F20" s="2" t="n"/>
      <c r="G20" s="2" t="n"/>
      <c r="H20" s="3" t="n"/>
      <c r="I20" s="10">
        <f>FLOOR(B20/5,1)</f>
        <v/>
      </c>
      <c r="J20" s="11" t="inlineStr">
        <is>
          <t>bonus÷5</t>
        </is>
      </c>
    </row>
    <row r="21">
      <c r="A21" s="6" t="inlineStr">
        <is>
          <t>Physique RSS</t>
        </is>
      </c>
      <c r="B21" s="7" t="n">
        <v>68</v>
      </c>
      <c r="C21" s="3" t="n"/>
      <c r="D21" s="9" t="inlineStr">
        <is>
          <t>Health Points（HP）/Melee</t>
        </is>
      </c>
      <c r="E21" s="2" t="n"/>
      <c r="F21" s="2" t="n"/>
      <c r="G21" s="2" t="n"/>
      <c r="H21" s="3" t="n"/>
      <c r="I21" s="10">
        <f>FLOOR(B21/5,1)</f>
        <v/>
      </c>
      <c r="J21" s="11" t="inlineStr">
        <is>
          <t>bonus÷5</t>
        </is>
      </c>
    </row>
    <row r="22">
      <c r="A22" s="6" t="inlineStr">
        <is>
          <t>Spirit Power LIL</t>
        </is>
      </c>
      <c r="B22" s="7" t="n">
        <v>58</v>
      </c>
      <c r="C22" s="3" t="n"/>
      <c r="D22" s="9" t="inlineStr">
        <is>
          <t>Spell/Infuriated</t>
        </is>
      </c>
      <c r="E22" s="2" t="n"/>
      <c r="F22" s="2" t="n"/>
      <c r="G22" s="2" t="n"/>
      <c r="H22" s="3" t="n"/>
      <c r="I22" s="10">
        <f>FLOOR(B22/5,1)</f>
        <v/>
      </c>
      <c r="J22" s="11" t="inlineStr">
        <is>
          <t>bonus÷5</t>
        </is>
      </c>
    </row>
    <row r="23">
      <c r="A23" s="6" t="inlineStr">
        <is>
          <t>Agility SHF</t>
        </is>
      </c>
      <c r="B23" s="7" t="n">
        <v>55</v>
      </c>
      <c r="C23" s="3" t="n"/>
      <c r="D23" s="9" t="inlineStr">
        <is>
          <t>Evasion/move</t>
        </is>
      </c>
      <c r="E23" s="2" t="n"/>
      <c r="F23" s="2" t="n"/>
      <c r="G23" s="2" t="n"/>
      <c r="H23" s="3" t="n"/>
      <c r="I23" s="10">
        <f>FLOOR(B23/5,1)</f>
        <v/>
      </c>
      <c r="J23" s="11" t="inlineStr">
        <is>
          <t>bonus÷5</t>
        </is>
      </c>
    </row>
    <row r="24">
      <c r="A24" s="6" t="inlineStr">
        <is>
          <t>Fortune JIY</t>
        </is>
      </c>
      <c r="B24" s="7" t="n">
        <v>40</v>
      </c>
      <c r="C24" s="3" t="n"/>
      <c r="D24" s="9" t="inlineStr">
        <is>
          <t>explore/fall</t>
        </is>
      </c>
      <c r="E24" s="2" t="n"/>
      <c r="F24" s="2" t="n"/>
      <c r="G24" s="2" t="n"/>
      <c r="H24" s="3" t="n"/>
      <c r="I24" s="10">
        <f>FLOOR(B24/5,1)</f>
        <v/>
      </c>
      <c r="J24" s="11" t="inlineStr">
        <is>
          <t>bonus÷5</t>
        </is>
      </c>
    </row>
    <row r="25">
      <c r="A25" s="6" t="inlineStr">
        <is>
          <t>Dao Heart DAX</t>
        </is>
      </c>
      <c r="B25" s="7" t="n">
        <v>70</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3.0*B21</f>
        <v/>
      </c>
      <c r="C29" s="2" t="n"/>
      <c r="D29" s="2" t="n"/>
      <c r="E29" s="3" t="n"/>
      <c r="F29" s="13" t="inlineStr">
        <is>
          <t>Physique×Realmcoefficient</t>
        </is>
      </c>
      <c r="G29" s="2" t="n"/>
      <c r="H29" s="2" t="n"/>
      <c r="I29" s="2" t="n"/>
      <c r="J29" s="3" t="n"/>
    </row>
    <row r="30">
      <c r="A30" s="14" t="inlineStr">
        <is>
          <t>Qi Pool</t>
        </is>
      </c>
      <c r="B30" s="10">
        <f>2.0*B22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30</v>
      </c>
      <c r="C32" s="2" t="n"/>
      <c r="D32" s="2" t="n"/>
      <c r="E32" s="3" t="n"/>
      <c r="F32" s="9" t="inlineStr">
        <is>
          <t>robe+Cultivation Technique</t>
        </is>
      </c>
      <c r="G32" s="2" t="n"/>
      <c r="H32" s="2" t="n"/>
      <c r="I32" s="2" t="n"/>
      <c r="J32" s="3" t="n"/>
    </row>
    <row r="33">
      <c r="A33" s="6" t="inlineStr">
        <is>
          <t>SpellResistance</t>
        </is>
      </c>
      <c r="B33" s="16" t="n">
        <v>35</v>
      </c>
      <c r="C33" s="2" t="n"/>
      <c r="D33" s="2" t="n"/>
      <c r="E33" s="3" t="n"/>
      <c r="F33" s="13" t="inlineStr">
        <is>
          <t>robe+Cultivation Technique</t>
        </is>
      </c>
      <c r="G33" s="2" t="n"/>
      <c r="H33" s="2" t="n"/>
      <c r="I33" s="2" t="n"/>
      <c r="J33" s="3" t="n"/>
    </row>
    <row r="34">
      <c r="A34" s="14" t="inlineStr">
        <is>
          <t>body protection energy</t>
        </is>
      </c>
      <c r="B34" s="15" t="n">
        <v>50</v>
      </c>
      <c r="C34" s="2" t="n"/>
      <c r="D34" s="2" t="n"/>
      <c r="E34" s="3" t="n"/>
      <c r="F34" s="9" t="inlineStr">
        <is>
          <t>Inner Art+magic weapon</t>
        </is>
      </c>
      <c r="G34" s="2" t="n"/>
      <c r="H34" s="2" t="n"/>
      <c r="I34" s="2" t="n"/>
      <c r="J34" s="3" t="n"/>
    </row>
    <row r="35">
      <c r="A35" s="6" t="inlineStr">
        <is>
          <t>Evasion</t>
        </is>
      </c>
      <c r="B35" s="16" t="n">
        <v>55</v>
      </c>
      <c r="C35" s="2" t="n"/>
      <c r="D35" s="2" t="n"/>
      <c r="E35" s="3" t="n"/>
      <c r="F35" s="13" t="inlineStr">
        <is>
          <t>Agilityvalue</t>
        </is>
      </c>
      <c r="G35" s="2" t="n"/>
      <c r="H35" s="2" t="n"/>
      <c r="I35" s="2" t="n"/>
      <c r="J35" s="3" t="n"/>
    </row>
    <row r="36">
      <c r="A36" s="14" t="inlineStr">
        <is>
          <t>move</t>
        </is>
      </c>
      <c r="B36" s="15" t="inlineStr">
        <is>
          <t>2district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Purple Lightning Sword（prefecture level，2d8+Physique/6，Paralysis with thunder）</t>
        </is>
      </c>
      <c r="C43" s="2" t="n"/>
      <c r="D43" s="2" t="n"/>
      <c r="E43" s="2" t="n"/>
      <c r="F43" s="2" t="n"/>
      <c r="G43" s="2" t="n"/>
      <c r="H43" s="2" t="n"/>
      <c r="I43" s="2" t="n"/>
      <c r="J43" s="3" t="n"/>
    </row>
    <row r="44">
      <c r="A44" s="6" t="inlineStr">
        <is>
          <t>robe</t>
        </is>
      </c>
      <c r="B44" s="8" t="inlineStr">
        <is>
          <t>Bagua Taoist Robe（prefecture level，Defend+20，Magic resistance+30，Dao Heart+15）</t>
        </is>
      </c>
      <c r="C44" s="2" t="n"/>
      <c r="D44" s="2" t="n"/>
      <c r="E44" s="2" t="n"/>
      <c r="F44" s="2" t="n"/>
      <c r="G44" s="2" t="n"/>
      <c r="H44" s="2" t="n"/>
      <c r="I44" s="2" t="n"/>
      <c r="J44" s="3" t="n"/>
    </row>
    <row r="45">
      <c r="A45" s="6" t="inlineStr">
        <is>
          <t>magic weapon</t>
        </is>
      </c>
      <c r="B45" s="8" t="inlineStr">
        <is>
          <t>—</t>
        </is>
      </c>
      <c r="C45" s="2" t="n"/>
      <c r="D45" s="2" t="n"/>
      <c r="E45" s="2" t="n"/>
      <c r="F45" s="2" t="n"/>
      <c r="G45" s="2" t="n"/>
      <c r="H45" s="2" t="n"/>
      <c r="I45" s="2" t="n"/>
      <c r="J45" s="3" t="n"/>
    </row>
    <row r="46">
      <c r="A46" s="6" t="inlineStr">
        <is>
          <t>jewelry</t>
        </is>
      </c>
      <c r="B46" s="8" t="inlineStr">
        <is>
          <t>—</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《Tiangang Zhengqi Jue》Lv.5、《Vajra Body Forging Technique》Lv.3</t>
        </is>
      </c>
      <c r="C50" s="2" t="n"/>
      <c r="D50" s="2" t="n"/>
      <c r="E50" s="2" t="n"/>
      <c r="F50" s="2" t="n"/>
      <c r="G50" s="2" t="n"/>
      <c r="H50" s="2" t="n"/>
      <c r="I50" s="2" t="n"/>
      <c r="J50" s="3" t="n"/>
    </row>
    <row r="51">
      <c r="A51" s="6" t="inlineStr">
        <is>
          <t>Martial Technique</t>
        </is>
      </c>
      <c r="B51" s="8" t="inlineStr">
        <is>
          <t>《Qingfeng Thirteen Styles》Lv.5、《Sky-Splitting Sword Gang》Lv.3</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50000</v>
      </c>
      <c r="D55" s="6" t="inlineStr">
        <is>
          <t>Pill</t>
        </is>
      </c>
      <c r="E55" s="8" t="inlineStr">
        <is>
          <t>prefecture levelPill×20</t>
        </is>
      </c>
      <c r="F55" s="2" t="n"/>
      <c r="G55" s="2" t="n"/>
      <c r="H55" s="2" t="n"/>
      <c r="I55" s="2" t="n"/>
      <c r="J55" s="3" t="n"/>
    </row>
    <row r="56">
      <c r="A56" s="6" t="inlineStr">
        <is>
          <t>Poison</t>
        </is>
      </c>
      <c r="B56" s="15" t="inlineStr">
        <is>
          <t>5/100</t>
        </is>
      </c>
      <c r="D56" s="6" t="inlineStr">
        <is>
          <t>Inner Demon</t>
        </is>
      </c>
      <c r="E56" s="15" t="inlineStr">
        <is>
          <t>10/100</t>
        </is>
      </c>
    </row>
    <row r="57">
      <c r="A57" s="6" t="inlineStr">
        <is>
          <t>Shouyuan</t>
        </is>
      </c>
      <c r="B57" s="7" t="inlineStr">
        <is>
          <t>600Year</t>
        </is>
      </c>
      <c r="D57" s="6" t="inlineStr">
        <is>
          <t>Consumed</t>
        </is>
      </c>
      <c r="E57" s="7" t="inlineStr">
        <is>
          <t>350Year</t>
        </is>
      </c>
    </row>
    <row r="58"/>
    <row r="59">
      <c r="A59" s="5" t="inlineStr">
        <is>
          <t>background</t>
        </is>
      </c>
      <c r="B59" s="2" t="n"/>
      <c r="C59" s="2" t="n"/>
      <c r="D59" s="2" t="n"/>
      <c r="E59" s="2" t="n"/>
      <c r="F59" s="2" t="n"/>
      <c r="G59" s="2" t="n"/>
      <c r="H59" s="2" t="n"/>
      <c r="I59" s="2" t="n"/>
      <c r="J59" s="3" t="n"/>
    </row>
    <row r="60"/>
    <row r="61" ht="80" customHeight="1">
      <c r="A61" s="6" t="inlineStr">
        <is>
          <t>story</t>
        </is>
      </c>
      <c r="B61" s="8" t="inlineStr">
        <is>
          <t>Elder Xuanzhen is the leader of Taixu Sword Sect’s Discipline Peak，Nascent Soul·PerfectedCultivation。He is selfless but honest at heart，Meticulous about door rules。He is the most likely high-level person that players can come into contact with in the Taixu Sword Sect.NPC。</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B36:E36"/>
    <mergeCell ref="H7:J7"/>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6" customWidth="1" min="1" max="1"/>
    <col width="60" customWidth="1" min="2" max="2"/>
  </cols>
  <sheetData>
    <row r="1">
      <c r="A1" s="17" t="inlineStr">
        <is>
          <t>masterName</t>
        </is>
      </c>
      <c r="B1" s="17" t="inlineStr">
        <is>
          <t>Xuan Zhenzi</t>
        </is>
      </c>
    </row>
    <row r="2">
      <c r="A2" s="18" t="inlineStr">
        <is>
          <t>Master level</t>
        </is>
      </c>
      <c r="B2" s="19" t="inlineStr">
        <is>
          <t>Elder level</t>
        </is>
      </c>
    </row>
    <row r="3">
      <c r="A3" s="18" t="inlineStr">
        <is>
          <t>Realm</t>
        </is>
      </c>
      <c r="B3" s="19" t="inlineStr">
        <is>
          <t>Nascent SoulLate (Lv.15)</t>
        </is>
      </c>
    </row>
    <row r="4">
      <c r="A4" s="18" t="inlineStr">
        <is>
          <t>Maximum number of apprentices</t>
        </is>
      </c>
      <c r="B4" s="19" t="inlineStr">
        <is>
          <t>3</t>
        </is>
      </c>
    </row>
    <row r="5">
      <c r="A5" s="18" t="n"/>
      <c r="B5" s="19" t="n"/>
    </row>
    <row r="6">
      <c r="A6" s="18" t="inlineStr">
        <is>
          <t>Conditions for accepting apprentices</t>
        </is>
      </c>
      <c r="B6" s="19" t="inlineStr">
        <is>
          <t>goldSpirit Root/Sword Cultivator；pass through「Test the sword in the sword washing pool」；Disciples of Taixu Sword Sect are given priority</t>
        </is>
      </c>
    </row>
    <row r="7">
      <c r="A7" s="18" t="n"/>
      <c r="B7" s="19" t="n"/>
    </row>
    <row r="8">
      <c r="A8" s="18" t="inlineStr">
        <is>
          <t>═══ TeachableCultivation Technique ═══</t>
        </is>
      </c>
      <c r="B8" s="19" t="n"/>
    </row>
    <row r="9">
      <c r="A9" s="18" t="inlineStr">
        <is>
          <t>transferableInner Art</t>
        </is>
      </c>
      <c r="B9" s="19" t="inlineStr">
        <is>
          <t>《Tiangang Zhengqi Jue》(mysterious/gold)
《Vajra Body Forging Technique》(Yellow/metal soil)
《Taiyi Zhenjue》(land/gold)</t>
        </is>
      </c>
    </row>
    <row r="10">
      <c r="A10" s="18" t="inlineStr">
        <is>
          <t>Inner Artcondition</t>
        </is>
      </c>
      <c r="B10" s="19" t="inlineStr">
        <is>
          <t>justice camp/First acquaintance；without/trust；Dao Heart≥30/close</t>
        </is>
      </c>
    </row>
    <row r="11">
      <c r="A11" s="18" t="inlineStr">
        <is>
          <t>transferableMartial Technique</t>
        </is>
      </c>
      <c r="B11" s="19" t="inlineStr">
        <is>
          <t>《Basic swordsmanship》(Yellow/gold)
《short breaking index》(Yellow/gold)
《Green Lotus Sword Technique》(mysterious/Wood)
《Sky-Splitting Sword Gang》(land/gold)</t>
        </is>
      </c>
    </row>
    <row r="12">
      <c r="A12" s="18" t="inlineStr">
        <is>
          <t>Martial Techniquecondition</t>
        </is>
      </c>
      <c r="B12" s="19" t="inlineStr">
        <is>
          <t>unconditionally；goldSpirit Root/First acquaintance；Swords/trust；Like a child+Trial</t>
        </is>
      </c>
    </row>
    <row r="13">
      <c r="A13" s="18" t="inlineStr">
        <is>
          <t>transferableDivine Ability</t>
        </is>
      </c>
      <c r="B13" s="19" t="inlineStr">
        <is>
          <t>《Vajra Dharma》(mysterious/earth metal)</t>
        </is>
      </c>
    </row>
    <row r="14">
      <c r="A14" s="18" t="inlineStr">
        <is>
          <t>Divine Abilitycondition</t>
        </is>
      </c>
      <c r="B14" s="19" t="inlineStr">
        <is>
          <t>intimacy≥close</t>
        </is>
      </c>
    </row>
    <row r="15">
      <c r="A15" s="18" t="n"/>
      <c r="B15" s="19" t="n"/>
    </row>
    <row r="16">
      <c r="A16" s="18" t="inlineStr">
        <is>
          <t>═══ Resources and Assistance ═══</t>
        </is>
      </c>
      <c r="B16" s="19" t="n"/>
    </row>
    <row r="17">
      <c r="A17" s="18" t="inlineStr">
        <is>
          <t>Monthly resource supply</t>
        </is>
      </c>
      <c r="B17" s="19" t="inlineStr">
        <is>
          <t>First acquaintance: spirit stone500+Recovery Pill×3
trust: spirit stone1,000+Great recovery elixir×2+Healing Pill×2
close: spirit stone2,000+Super healing elixir×1+Inner door priority
Like a child: spirit stone3,000+Earth level sword</t>
        </is>
      </c>
    </row>
    <row r="18">
      <c r="A18" s="18" t="inlineStr">
        <is>
          <t>special assistance</t>
        </is>
      </c>
      <c r="B18" s="19" t="inlineStr">
        <is>
          <t>Kendo instruction(+10%)；Discipline Shelter(1Second-rate/Year)；Heavenly Tribulation Dharma Protector(Breakthrough+15)；KenshinInheritance(mantle/difficulty（DC）80)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Qin Yu — NPCCard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Qin Yu</t>
        </is>
      </c>
      <c r="C6" s="3" t="n"/>
      <c r="D6" s="6" t="inlineStr">
        <is>
          <t>Title</t>
        </is>
      </c>
      <c r="E6" s="8" t="inlineStr">
        <is>
          <t>Taixu Sword SectFoundation EstablishmentSenior brother</t>
        </is>
      </c>
      <c r="F6" s="2" t="n"/>
      <c r="G6" s="2" t="n"/>
      <c r="H6" s="3" t="n"/>
      <c r="I6" s="6" t="inlineStr">
        <is>
          <t>Realm</t>
        </is>
      </c>
      <c r="J6" s="7" t="inlineStr">
        <is>
          <t>Golden Core·early(Lv.9)</t>
        </is>
      </c>
    </row>
    <row r="7">
      <c r="A7" s="6" t="inlineStr">
        <is>
          <t>gender</t>
        </is>
      </c>
      <c r="B7" s="7" t="inlineStr">
        <is>
          <t>male</t>
        </is>
      </c>
      <c r="C7" s="6" t="inlineStr">
        <is>
          <t>age</t>
        </is>
      </c>
      <c r="D7" s="7" t="n">
        <v>28</v>
      </c>
      <c r="E7" s="6" t="inlineStr">
        <is>
          <t>Lv</t>
        </is>
      </c>
      <c r="F7" s="7" t="n">
        <v>9</v>
      </c>
      <c r="G7" s="6" t="inlineStr">
        <is>
          <t>Cultivation</t>
        </is>
      </c>
      <c r="H7" s="7" t="inlineStr">
        <is>
          <t>—</t>
        </is>
      </c>
      <c r="I7" s="2" t="n"/>
      <c r="J7" s="3" t="n"/>
    </row>
    <row r="8">
      <c r="A8" s="6" t="inlineStr">
        <is>
          <t>origin</t>
        </is>
      </c>
      <c r="B8" s="8" t="inlineStr">
        <is>
          <t>Disciple of the inner sect of Taixu Sword Sect（Candidate for true biography）</t>
        </is>
      </c>
      <c r="C8" s="2" t="n"/>
      <c r="D8" s="2" t="n"/>
      <c r="E8" s="2" t="n"/>
      <c r="F8" s="2" t="n"/>
      <c r="G8" s="2" t="n"/>
      <c r="H8" s="2" t="n"/>
      <c r="I8" s="2" t="n"/>
      <c r="J8" s="3" t="n"/>
    </row>
    <row r="9">
      <c r="A9" s="6" t="inlineStr">
        <is>
          <t>sect</t>
        </is>
      </c>
      <c r="B9" s="8" t="inlineStr">
        <is>
          <t>Taixu Sword Sect</t>
        </is>
      </c>
      <c r="C9" s="2" t="n"/>
      <c r="D9" s="2" t="n"/>
      <c r="E9" s="3" t="n"/>
      <c r="F9" s="6" t="inlineStr">
        <is>
          <t>special</t>
        </is>
      </c>
      <c r="G9" s="8" t="inlineStr">
        <is>
          <t>The heart of the sword is clear（SwordsMartial TechniqueDamage+30%）</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goldSpirit Root</t>
        </is>
      </c>
      <c r="C13" s="2" t="n"/>
      <c r="D13" s="3" t="n"/>
      <c r="E13" s="6" t="inlineStr">
        <is>
          <t>quality</t>
        </is>
      </c>
      <c r="F13" s="7" t="inlineStr">
        <is>
          <t>Top grade（×1.3）</t>
        </is>
      </c>
      <c r="G13" s="2" t="n"/>
      <c r="H13" s="2" t="n"/>
      <c r="I13" s="2" t="n"/>
      <c r="J13" s="3" t="n"/>
    </row>
    <row r="14">
      <c r="A14" s="6" t="inlineStr">
        <is>
          <t>addition</t>
        </is>
      </c>
      <c r="B14" s="8" t="inlineStr">
        <is>
          <t>Constitution+5；Gold systemCultivation Techniquepower+10%</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58</v>
      </c>
      <c r="C18" s="3" t="n"/>
      <c r="D18" s="9" t="inlineStr">
        <is>
          <t>practice/Breakthrough</t>
        </is>
      </c>
      <c r="E18" s="2" t="n"/>
      <c r="F18" s="2" t="n"/>
      <c r="G18" s="2" t="n"/>
      <c r="H18" s="3" t="n"/>
      <c r="I18" s="10">
        <f>FLOOR(B18/5,1)</f>
        <v/>
      </c>
      <c r="J18" s="11" t="inlineStr">
        <is>
          <t>bonus÷5</t>
        </is>
      </c>
    </row>
    <row r="19">
      <c r="A19" s="6" t="inlineStr">
        <is>
          <t>Comprehension WUX</t>
        </is>
      </c>
      <c r="B19" s="7" t="n">
        <v>42</v>
      </c>
      <c r="C19" s="3" t="n"/>
      <c r="D19" s="9" t="inlineStr">
        <is>
          <t>learn/crack</t>
        </is>
      </c>
      <c r="E19" s="2" t="n"/>
      <c r="F19" s="2" t="n"/>
      <c r="G19" s="2" t="n"/>
      <c r="H19" s="3" t="n"/>
      <c r="I19" s="10">
        <f>FLOOR(B19/5,1)</f>
        <v/>
      </c>
      <c r="J19" s="11" t="inlineStr">
        <is>
          <t>bonus÷5</t>
        </is>
      </c>
    </row>
    <row r="20">
      <c r="A20" s="6" t="inlineStr">
        <is>
          <t>Divine Sense SHS</t>
        </is>
      </c>
      <c r="B20" s="7" t="n">
        <v>45</v>
      </c>
      <c r="C20" s="3" t="n"/>
      <c r="D20" s="9" t="inlineStr">
        <is>
          <t>explore/Initiative</t>
        </is>
      </c>
      <c r="E20" s="2" t="n"/>
      <c r="F20" s="2" t="n"/>
      <c r="G20" s="2" t="n"/>
      <c r="H20" s="3" t="n"/>
      <c r="I20" s="10">
        <f>FLOOR(B20/5,1)</f>
        <v/>
      </c>
      <c r="J20" s="11" t="inlineStr">
        <is>
          <t>bonus÷5</t>
        </is>
      </c>
    </row>
    <row r="21">
      <c r="A21" s="6" t="inlineStr">
        <is>
          <t>Physique RSS</t>
        </is>
      </c>
      <c r="B21" s="7" t="n">
        <v>52</v>
      </c>
      <c r="C21" s="3" t="n"/>
      <c r="D21" s="9" t="inlineStr">
        <is>
          <t>Health Points（HP）/Melee</t>
        </is>
      </c>
      <c r="E21" s="2" t="n"/>
      <c r="F21" s="2" t="n"/>
      <c r="G21" s="2" t="n"/>
      <c r="H21" s="3" t="n"/>
      <c r="I21" s="10">
        <f>FLOOR(B21/5,1)</f>
        <v/>
      </c>
      <c r="J21" s="11" t="inlineStr">
        <is>
          <t>bonus÷5</t>
        </is>
      </c>
    </row>
    <row r="22">
      <c r="A22" s="6" t="inlineStr">
        <is>
          <t>Spirit Power LIL</t>
        </is>
      </c>
      <c r="B22" s="7" t="n">
        <v>40</v>
      </c>
      <c r="C22" s="3" t="n"/>
      <c r="D22" s="9" t="inlineStr">
        <is>
          <t>Spell/Infuriated</t>
        </is>
      </c>
      <c r="E22" s="2" t="n"/>
      <c r="F22" s="2" t="n"/>
      <c r="G22" s="2" t="n"/>
      <c r="H22" s="3" t="n"/>
      <c r="I22" s="10">
        <f>FLOOR(B22/5,1)</f>
        <v/>
      </c>
      <c r="J22" s="11" t="inlineStr">
        <is>
          <t>bonus÷5</t>
        </is>
      </c>
    </row>
    <row r="23">
      <c r="A23" s="6" t="inlineStr">
        <is>
          <t>Agility SHF</t>
        </is>
      </c>
      <c r="B23" s="7" t="n">
        <v>45</v>
      </c>
      <c r="C23" s="3" t="n"/>
      <c r="D23" s="9" t="inlineStr">
        <is>
          <t>Evasion/move</t>
        </is>
      </c>
      <c r="E23" s="2" t="n"/>
      <c r="F23" s="2" t="n"/>
      <c r="G23" s="2" t="n"/>
      <c r="H23" s="3" t="n"/>
      <c r="I23" s="10">
        <f>FLOOR(B23/5,1)</f>
        <v/>
      </c>
      <c r="J23" s="11" t="inlineStr">
        <is>
          <t>bonus÷5</t>
        </is>
      </c>
    </row>
    <row r="24">
      <c r="A24" s="6" t="inlineStr">
        <is>
          <t>Fortune JIY</t>
        </is>
      </c>
      <c r="B24" s="7" t="n">
        <v>30</v>
      </c>
      <c r="C24" s="3" t="n"/>
      <c r="D24" s="9" t="inlineStr">
        <is>
          <t>explore/fall</t>
        </is>
      </c>
      <c r="E24" s="2" t="n"/>
      <c r="F24" s="2" t="n"/>
      <c r="G24" s="2" t="n"/>
      <c r="H24" s="3" t="n"/>
      <c r="I24" s="10">
        <f>FLOOR(B24/5,1)</f>
        <v/>
      </c>
      <c r="J24" s="11" t="inlineStr">
        <is>
          <t>bonus÷5</t>
        </is>
      </c>
    </row>
    <row r="25">
      <c r="A25" s="6" t="inlineStr">
        <is>
          <t>Dao Heart DAX</t>
        </is>
      </c>
      <c r="B25" s="7" t="n">
        <v>48</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2.5*B21</f>
        <v/>
      </c>
      <c r="C29" s="2" t="n"/>
      <c r="D29" s="2" t="n"/>
      <c r="E29" s="3" t="n"/>
      <c r="F29" s="13" t="inlineStr">
        <is>
          <t>Physique×Realmcoefficient</t>
        </is>
      </c>
      <c r="G29" s="2" t="n"/>
      <c r="H29" s="2" t="n"/>
      <c r="I29" s="2" t="n"/>
      <c r="J29" s="3" t="n"/>
    </row>
    <row r="30">
      <c r="A30" s="14" t="inlineStr">
        <is>
          <t>Qi Pool</t>
        </is>
      </c>
      <c r="B30" s="10">
        <f>1.6*B22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18</v>
      </c>
      <c r="C32" s="2" t="n"/>
      <c r="D32" s="2" t="n"/>
      <c r="E32" s="3" t="n"/>
      <c r="F32" s="9" t="inlineStr">
        <is>
          <t>robe+Cultivation Technique</t>
        </is>
      </c>
      <c r="G32" s="2" t="n"/>
      <c r="H32" s="2" t="n"/>
      <c r="I32" s="2" t="n"/>
      <c r="J32" s="3" t="n"/>
    </row>
    <row r="33">
      <c r="A33" s="6" t="inlineStr">
        <is>
          <t>SpellResistance</t>
        </is>
      </c>
      <c r="B33" s="16" t="n">
        <v>16</v>
      </c>
      <c r="C33" s="2" t="n"/>
      <c r="D33" s="2" t="n"/>
      <c r="E33" s="3" t="n"/>
      <c r="F33" s="13" t="inlineStr">
        <is>
          <t>robe+Cultivation Technique</t>
        </is>
      </c>
      <c r="G33" s="2" t="n"/>
      <c r="H33" s="2" t="n"/>
      <c r="I33" s="2" t="n"/>
      <c r="J33" s="3" t="n"/>
    </row>
    <row r="34">
      <c r="A34" s="14" t="inlineStr">
        <is>
          <t>body protection energy</t>
        </is>
      </c>
      <c r="B34" s="15" t="n">
        <v>10</v>
      </c>
      <c r="C34" s="2" t="n"/>
      <c r="D34" s="2" t="n"/>
      <c r="E34" s="3" t="n"/>
      <c r="F34" s="9" t="inlineStr">
        <is>
          <t>Inner Art+magic weapon</t>
        </is>
      </c>
      <c r="G34" s="2" t="n"/>
      <c r="H34" s="2" t="n"/>
      <c r="I34" s="2" t="n"/>
      <c r="J34" s="3" t="n"/>
    </row>
    <row r="35">
      <c r="A35" s="6" t="inlineStr">
        <is>
          <t>Evasion</t>
        </is>
      </c>
      <c r="B35" s="16" t="n">
        <v>45</v>
      </c>
      <c r="C35" s="2" t="n"/>
      <c r="D35" s="2" t="n"/>
      <c r="E35" s="3" t="n"/>
      <c r="F35" s="13" t="inlineStr">
        <is>
          <t>Agilityvalue</t>
        </is>
      </c>
      <c r="G35" s="2" t="n"/>
      <c r="H35" s="2" t="n"/>
      <c r="I35" s="2" t="n"/>
      <c r="J35" s="3" t="n"/>
    </row>
    <row r="36">
      <c r="A36" s="14" t="inlineStr">
        <is>
          <t>move</t>
        </is>
      </c>
      <c r="B36" s="15" t="inlineStr">
        <is>
          <t>2district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Flowing Cloud Sword（Xuan level，1d10+3+Meat+body/8，Initiative+5）</t>
        </is>
      </c>
      <c r="C43" s="2" t="n"/>
      <c r="D43" s="2" t="n"/>
      <c r="E43" s="2" t="n"/>
      <c r="F43" s="2" t="n"/>
      <c r="G43" s="2" t="n"/>
      <c r="H43" s="2" t="n"/>
      <c r="I43" s="2" t="n"/>
      <c r="J43" s="3" t="n"/>
    </row>
    <row r="44">
      <c r="A44" s="6" t="inlineStr">
        <is>
          <t>robe</t>
        </is>
      </c>
      <c r="B44" s="8" t="inlineStr">
        <is>
          <t>Cloud pattern embroidered robe（Xuan level，Defend+8，Magic resistance+12，Agility+5）</t>
        </is>
      </c>
      <c r="C44" s="2" t="n"/>
      <c r="D44" s="2" t="n"/>
      <c r="E44" s="2" t="n"/>
      <c r="F44" s="2" t="n"/>
      <c r="G44" s="2" t="n"/>
      <c r="H44" s="2" t="n"/>
      <c r="I44" s="2" t="n"/>
      <c r="J44" s="3" t="n"/>
    </row>
    <row r="45">
      <c r="A45" s="6" t="inlineStr">
        <is>
          <t>magic weapon</t>
        </is>
      </c>
      <c r="B45" s="8" t="inlineStr">
        <is>
          <t>amulet ring（Xuan level，body protection energy+10，Block fatal1Second-rate）</t>
        </is>
      </c>
      <c r="C45" s="2" t="n"/>
      <c r="D45" s="2" t="n"/>
      <c r="E45" s="2" t="n"/>
      <c r="F45" s="2" t="n"/>
      <c r="G45" s="2" t="n"/>
      <c r="H45" s="2" t="n"/>
      <c r="I45" s="2" t="n"/>
      <c r="J45" s="3" t="n"/>
    </row>
    <row r="46">
      <c r="A46" s="6" t="inlineStr">
        <is>
          <t>jewelry</t>
        </is>
      </c>
      <c r="B46" s="8" t="inlineStr">
        <is>
          <t>—</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《Tiangang Zhengqi Jue》Lv.2（Xuan level，All attributes+4，against evil spiritsDamage+18%）</t>
        </is>
      </c>
      <c r="C50" s="2" t="n"/>
      <c r="D50" s="2" t="n"/>
      <c r="E50" s="2" t="n"/>
      <c r="F50" s="2" t="n"/>
      <c r="G50" s="2" t="n"/>
      <c r="H50" s="2" t="n"/>
      <c r="I50" s="2" t="n"/>
      <c r="J50" s="3" t="n"/>
    </row>
    <row r="51">
      <c r="A51" s="6" t="inlineStr">
        <is>
          <t>Martial Technique</t>
        </is>
      </c>
      <c r="B51" s="8" t="inlineStr">
        <is>
          <t>《Qingfeng Thirteen Styles》Lv.2、《Burning Sky Sword Technique》Lv.1</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500</v>
      </c>
      <c r="D55" s="6" t="inlineStr">
        <is>
          <t>Pill</t>
        </is>
      </c>
      <c r="E55" s="8" t="inlineStr">
        <is>
          <t>Continuing Bone Pill×3, Recovery Pill×5, Foundation EstablishmentDan×1</t>
        </is>
      </c>
      <c r="F55" s="2" t="n"/>
      <c r="G55" s="2" t="n"/>
      <c r="H55" s="2" t="n"/>
      <c r="I55" s="2" t="n"/>
      <c r="J55" s="3" t="n"/>
    </row>
    <row r="56">
      <c r="A56" s="6" t="inlineStr">
        <is>
          <t>Poison</t>
        </is>
      </c>
      <c r="B56" s="15" t="inlineStr">
        <is>
          <t>0/100</t>
        </is>
      </c>
      <c r="D56" s="6" t="inlineStr">
        <is>
          <t>Inner Demon</t>
        </is>
      </c>
      <c r="E56" s="15" t="inlineStr">
        <is>
          <t>5/100</t>
        </is>
      </c>
    </row>
    <row r="57">
      <c r="A57" s="6" t="inlineStr">
        <is>
          <t>Shouyuan</t>
        </is>
      </c>
      <c r="B57" s="7" t="inlineStr">
        <is>
          <t>300Year</t>
        </is>
      </c>
      <c r="D57" s="6" t="inlineStr">
        <is>
          <t>Consumed</t>
        </is>
      </c>
      <c r="E57" s="7" t="inlineStr">
        <is>
          <t>28Year</t>
        </is>
      </c>
    </row>
    <row r="58"/>
    <row r="59">
      <c r="A59" s="5" t="inlineStr">
        <is>
          <t>background</t>
        </is>
      </c>
      <c r="B59" s="2" t="n"/>
      <c r="C59" s="2" t="n"/>
      <c r="D59" s="2" t="n"/>
      <c r="E59" s="2" t="n"/>
      <c r="F59" s="2" t="n"/>
      <c r="G59" s="2" t="n"/>
      <c r="H59" s="2" t="n"/>
      <c r="I59" s="2" t="n"/>
      <c r="J59" s="3" t="n"/>
    </row>
    <row r="60"/>
    <row r="61" ht="80" customHeight="1">
      <c r="A61" s="6" t="inlineStr">
        <is>
          <t>story</t>
        </is>
      </c>
      <c r="B61" s="8" t="inlineStr">
        <is>
          <t>Qin Yu is from Taixu Sword SectFoundation EstablishmentBrother Qi，Golden Core·earlyRealm。Gentle and persuasive personality，Take good care of the new junior brothers and sisters。His goal is to become a true disciple。</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B36:E36"/>
    <mergeCell ref="H7:J7"/>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6" customWidth="1" min="1" max="1"/>
    <col width="60" customWidth="1" min="2" max="2"/>
  </cols>
  <sheetData>
    <row r="1">
      <c r="A1" s="17" t="inlineStr">
        <is>
          <t>Role</t>
        </is>
      </c>
      <c r="B1" s="17" t="inlineStr">
        <is>
          <t>Guide for newbies（informal master）</t>
        </is>
      </c>
    </row>
    <row r="2">
      <c r="A2" s="18" t="inlineStr">
        <is>
          <t>Name</t>
        </is>
      </c>
      <c r="B2" s="19" t="inlineStr">
        <is>
          <t>Qin Yu</t>
        </is>
      </c>
    </row>
    <row r="3">
      <c r="A3" s="18" t="inlineStr">
        <is>
          <t>Realm</t>
        </is>
      </c>
      <c r="B3" s="19" t="inlineStr">
        <is>
          <t>Foundation EstablishmentLate (Lv.7) — Not yet meet the minimum requirements for recruiting a disciple(Golden Core)</t>
        </is>
      </c>
    </row>
    <row r="4">
      <c r="A4" s="18" t="inlineStr">
        <is>
          <t>identity</t>
        </is>
      </c>
      <c r="B4" s="19" t="inlineStr">
        <is>
          <t>Disciple of the inner sect of Taixu Sword Sect·Swordsmanship training in Xijianchi</t>
        </is>
      </c>
    </row>
    <row r="5">
      <c r="A5" s="18" t="n"/>
      <c r="B5" s="19" t="n"/>
    </row>
    <row r="6">
      <c r="A6" s="18" t="inlineStr">
        <is>
          <t>Help available</t>
        </is>
      </c>
      <c r="B6" s="19" t="n"/>
    </row>
    <row r="7">
      <c r="A7" s="18" t="inlineStr">
        <is>
          <t>Basics of swordsmanship</t>
        </is>
      </c>
      <c r="B7" s="19" t="inlineStr">
        <is>
          <t>free professor《Basic swordsmanship》to Lv.3（No needTake a Master）</t>
        </is>
      </c>
    </row>
    <row r="8">
      <c r="A8" s="18" t="inlineStr">
        <is>
          <t>Combatguidance</t>
        </is>
      </c>
      <c r="B8" s="19" t="inlineStr">
        <is>
          <t>When sparring with Qin Yu，SwordsMartial Techniqueenlightenment difficulty（DC） −5（Passive）</t>
        </is>
      </c>
    </row>
    <row r="9">
      <c r="A9" s="18" t="inlineStr">
        <is>
          <t>Recommended for beginners</t>
        </is>
      </c>
      <c r="B9" s="19" t="inlineStr">
        <is>
          <t>Can recommend players to join the Taixu Sword Sect（Reputation+10；No assessment required）</t>
        </is>
      </c>
    </row>
    <row r="10">
      <c r="A10" s="18" t="inlineStr">
        <is>
          <t>Intelligence sharing</t>
        </is>
      </c>
      <c r="B10" s="19" t="inlineStr">
        <is>
          <t>Provide internal information of Taixu Sword Sect（Sect mission/Secret information）</t>
        </is>
      </c>
    </row>
    <row r="11">
      <c r="A11" s="18" t="n"/>
      <c r="B11" s="19" t="n"/>
    </row>
    <row r="12">
      <c r="A12" s="18" t="inlineStr">
        <is>
          <t>limit</t>
        </is>
      </c>
      <c r="B12" s="19" t="inlineStr">
        <is>
          <t>Qin Yu onlyFoundation EstablishmentExpect，Cannot be taught above Xuan levelCultivation Technique，No right to accept disciples</t>
        </is>
      </c>
    </row>
    <row r="13">
      <c r="A13" s="18" t="n"/>
      <c r="B13" s="19" t="inlineStr">
        <is>
          <t>When the player reachesGolden CoreAfter the period，Can be introduced by Qin Yu to become a disciple of Xuan Zhenzi or Dugu Wuji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6" customWidth="1" min="1" max="1"/>
    <col width="60" customWidth="1" min="2" max="2"/>
  </cols>
  <sheetData>
    <row r="1">
      <c r="A1" s="17" t="inlineStr">
        <is>
          <t>Name</t>
        </is>
      </c>
      <c r="B1" s="17" t="inlineStr">
        <is>
          <t>Ge Yun</t>
        </is>
      </c>
    </row>
    <row r="2">
      <c r="A2" s="18" t="inlineStr">
        <is>
          <t>Realm</t>
        </is>
      </c>
      <c r="B2" s="19" t="inlineStr">
        <is>
          <t>Nascent SoulEarly (Lv.13)</t>
        </is>
      </c>
    </row>
    <row r="3">
      <c r="A3" s="18" t="inlineStr">
        <is>
          <t>Spirit Root</t>
        </is>
      </c>
      <c r="B3" s="19" t="inlineStr">
        <is>
          <t>WoodSpirit Root(Top grade) + fireSpirit Root(middle grade)</t>
        </is>
      </c>
    </row>
    <row r="4">
      <c r="A4" s="18" t="inlineStr">
        <is>
          <t>identity</t>
        </is>
      </c>
      <c r="B4" s="19" t="inlineStr">
        <is>
          <t>Danxia ValleyPill Refiningchief elder</t>
        </is>
      </c>
    </row>
    <row r="5">
      <c r="A5" s="18" t="inlineStr">
        <is>
          <t>character</t>
        </is>
      </c>
      <c r="B5" s="19" t="inlineStr">
        <is>
          <t>Gentle and elegant，addictedPill Refining</t>
        </is>
      </c>
    </row>
    <row r="6">
      <c r="A6" s="18" t="inlineStr">
        <is>
          <t>Health Points（HP）</t>
        </is>
      </c>
      <c r="B6" s="19" t="inlineStr">
        <is>
          <t>~350 (Physique×5.0)</t>
        </is>
      </c>
    </row>
    <row r="7">
      <c r="A7" s="18" t="inlineStr">
        <is>
          <t>Spirit Power</t>
        </is>
      </c>
      <c r="B7" s="19" t="inlineStr">
        <is>
          <t>~260</t>
        </is>
      </c>
    </row>
    <row r="8">
      <c r="A8" s="18" t="inlineStr">
        <is>
          <t>CombatStyle</t>
        </is>
      </c>
      <c r="B8" s="19" t="inlineStr">
        <is>
          <t>NoCombattypeNPC；byPillandFormation ArrayMainly auxiliary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60" customWidth="1" min="2" max="2"/>
  </cols>
  <sheetData>
    <row r="1">
      <c r="A1" s="17" t="inlineStr">
        <is>
          <t>masterName</t>
        </is>
      </c>
      <c r="B1" s="17" t="inlineStr">
        <is>
          <t>Ge Yun</t>
        </is>
      </c>
    </row>
    <row r="2">
      <c r="A2" s="18" t="inlineStr">
        <is>
          <t>Master level</t>
        </is>
      </c>
      <c r="B2" s="19" t="inlineStr">
        <is>
          <t>Elder level</t>
        </is>
      </c>
    </row>
    <row r="3">
      <c r="A3" s="18" t="inlineStr">
        <is>
          <t>Realm</t>
        </is>
      </c>
      <c r="B3" s="19" t="inlineStr">
        <is>
          <t>Nascent SoulEarly (Lv.13)</t>
        </is>
      </c>
    </row>
    <row r="4">
      <c r="A4" s="18" t="inlineStr">
        <is>
          <t>Conditions for accepting apprentices</t>
        </is>
      </c>
      <c r="B4" s="19" t="inlineStr">
        <is>
          <t>Wood/fireSpirit Root；Pill RefiningSkill≥2Taste；Danxia Valley disciples are given priority</t>
        </is>
      </c>
    </row>
    <row r="5">
      <c r="A5" s="18" t="inlineStr">
        <is>
          <t>Maximum number of apprentices</t>
        </is>
      </c>
      <c r="B5" s="19" t="inlineStr">
        <is>
          <t>4</t>
        </is>
      </c>
    </row>
    <row r="6">
      <c r="A6" s="18" t="n"/>
      <c r="B6" s="19" t="n"/>
    </row>
    <row r="7">
      <c r="A7" s="18" t="inlineStr">
        <is>
          <t>transferableInner Art</t>
        </is>
      </c>
      <c r="B7" s="19" t="inlineStr">
        <is>
          <t>《Changchun Gong》(Yellow/Wood)
《Aoki Longevity Kung Fu》(mysterious/Wood)
《Pure Yang Breathing Technique》(Yellow/fire)</t>
        </is>
      </c>
    </row>
    <row r="8">
      <c r="A8" s="18" t="inlineStr">
        <is>
          <t>Inner Artcondition</t>
        </is>
      </c>
      <c r="B8" s="19" t="inlineStr">
        <is>
          <t>unconditionally；WoodSpirit Root/trust；fireSpirit Root/First acquaintance</t>
        </is>
      </c>
    </row>
    <row r="9">
      <c r="A9" s="18" t="inlineStr">
        <is>
          <t>transferableMartial Technique</t>
        </is>
      </c>
      <c r="B9" s="19" t="inlineStr">
        <is>
          <t>《Wan Musen Luo》(land/Wood)</t>
        </is>
      </c>
    </row>
    <row r="10">
      <c r="A10" s="18" t="inlineStr">
        <is>
          <t>Martial Techniquecondition</t>
        </is>
      </c>
      <c r="B10" s="19" t="inlineStr">
        <is>
          <t>intimacy≥close</t>
        </is>
      </c>
    </row>
    <row r="11">
      <c r="A11" s="18" t="inlineStr">
        <is>
          <t>transferableDivine Ability</t>
        </is>
      </c>
      <c r="B11" s="19" t="inlineStr">
        <is>
          <t>《Five Elements Rotation》(mysterious/chaos)</t>
        </is>
      </c>
    </row>
    <row r="12">
      <c r="A12" s="18" t="inlineStr">
        <is>
          <t>Divine Abilitycondition</t>
        </is>
      </c>
      <c r="B12" s="19" t="inlineStr">
        <is>
          <t>intimacy≥close；Requires at least2ArticleSpirit Root</t>
        </is>
      </c>
    </row>
    <row r="13">
      <c r="A13" s="18" t="n"/>
      <c r="B13" s="19" t="n"/>
    </row>
    <row r="14">
      <c r="A14" s="18" t="inlineStr">
        <is>
          <t>Monthly resource supply</t>
        </is>
      </c>
      <c r="B14" s="19" t="inlineStr">
        <is>
          <t>First acquaintance: spirit stone500+Recovery Pill×5+Healing Pill×3
trust: spirit stone1,000+Great recovery elixir×3+Continuing Bone Pill×2
close: spirit stone1,500+Super healing elixir×1+Regeneration Pill×1+Pill RefiningMaterial×2</t>
        </is>
      </c>
    </row>
    <row r="15">
      <c r="A15" s="18" t="inlineStr">
        <is>
          <t>special assistance</t>
        </is>
      </c>
      <c r="B15" s="19" t="inlineStr">
        <is>
          <t>Pill RefiningSpecial training(+15Check+Watch the treasuresPill Refining)
ExclusivePill(close/quarterly)
Drug and poison cleanup(Free Marrow Cleansing Pill/EveryRealm1Second-rate)
AlchemyInheritance(mantle/Ground product formula×3)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Blood Demon King — NPCCard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Blood Demon King</t>
        </is>
      </c>
      <c r="C6" s="3" t="n"/>
      <c r="D6" s="6" t="inlineStr">
        <is>
          <t>Title</t>
        </is>
      </c>
      <c r="E6" s="8" t="inlineStr">
        <is>
          <t>Spirit TransformationQi Moxiu</t>
        </is>
      </c>
      <c r="F6" s="2" t="n"/>
      <c r="G6" s="2" t="n"/>
      <c r="H6" s="3" t="n"/>
      <c r="I6" s="6" t="inlineStr">
        <is>
          <t>Realm</t>
        </is>
      </c>
      <c r="J6" s="7" t="inlineStr">
        <is>
          <t>Spirit Transformation·middle(Lv.18)</t>
        </is>
      </c>
    </row>
    <row r="7">
      <c r="A7" s="6" t="inlineStr">
        <is>
          <t>gender</t>
        </is>
      </c>
      <c r="B7" s="7" t="inlineStr">
        <is>
          <t>male</t>
        </is>
      </c>
      <c r="C7" s="6" t="inlineStr">
        <is>
          <t>age</t>
        </is>
      </c>
      <c r="D7" s="7" t="n">
        <v>500</v>
      </c>
      <c r="E7" s="6" t="inlineStr">
        <is>
          <t>Lv</t>
        </is>
      </c>
      <c r="F7" s="7" t="n">
        <v>18</v>
      </c>
      <c r="G7" s="6" t="inlineStr">
        <is>
          <t>Cultivation</t>
        </is>
      </c>
      <c r="H7" s="7" t="inlineStr">
        <is>
          <t>—</t>
        </is>
      </c>
      <c r="I7" s="2" t="n"/>
      <c r="J7" s="3" t="n"/>
    </row>
    <row r="8">
      <c r="A8" s="6" t="inlineStr">
        <is>
          <t>origin</t>
        </is>
      </c>
      <c r="B8" s="8" t="inlineStr">
        <is>
          <t>Abandoned disciple of the original righteous path→Fall into evil</t>
        </is>
      </c>
      <c r="C8" s="2" t="n"/>
      <c r="D8" s="2" t="n"/>
      <c r="E8" s="2" t="n"/>
      <c r="F8" s="2" t="n"/>
      <c r="G8" s="2" t="n"/>
      <c r="H8" s="2" t="n"/>
      <c r="I8" s="2" t="n"/>
      <c r="J8" s="3" t="n"/>
    </row>
    <row r="9">
      <c r="A9" s="6" t="inlineStr">
        <is>
          <t>sect</t>
        </is>
      </c>
      <c r="B9" s="8" t="inlineStr">
        <is>
          <t>casual cultivator（magic way）</t>
        </is>
      </c>
      <c r="C9" s="2" t="n"/>
      <c r="D9" s="2" t="n"/>
      <c r="E9" s="3" t="n"/>
      <c r="F9" s="6" t="inlineStr">
        <is>
          <t>special</t>
        </is>
      </c>
      <c r="G9" s="8" t="inlineStr">
        <is>
          <t>darkSpirit Root（mutation·Rare）；Weakness：Dao HeartOn the low side、Inner DemonHigh value</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darkSpirit Root（mutation）</t>
        </is>
      </c>
      <c r="C13" s="2" t="n"/>
      <c r="D13" s="3" t="n"/>
      <c r="E13" s="6" t="inlineStr">
        <is>
          <t>quality</t>
        </is>
      </c>
      <c r="F13" s="7" t="inlineStr">
        <is>
          <t>Top grade</t>
        </is>
      </c>
      <c r="G13" s="2" t="n"/>
      <c r="H13" s="2" t="n"/>
      <c r="I13" s="2" t="n"/>
      <c r="J13" s="3" t="n"/>
    </row>
    <row r="14">
      <c r="A14" s="6" t="inlineStr">
        <is>
          <t>addition</t>
        </is>
      </c>
      <c r="B14" s="8" t="inlineStr">
        <is>
          <t>Dark systemCultivation Techniquepower+20%</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68</v>
      </c>
      <c r="C18" s="3" t="n"/>
      <c r="D18" s="9" t="inlineStr">
        <is>
          <t>practice/Breakthrough</t>
        </is>
      </c>
      <c r="E18" s="2" t="n"/>
      <c r="F18" s="2" t="n"/>
      <c r="G18" s="2" t="n"/>
      <c r="H18" s="3" t="n"/>
      <c r="I18" s="10">
        <f>FLOOR(B18/5,1)</f>
        <v/>
      </c>
      <c r="J18" s="11" t="inlineStr">
        <is>
          <t>bonus÷5</t>
        </is>
      </c>
    </row>
    <row r="19">
      <c r="A19" s="6" t="inlineStr">
        <is>
          <t>Comprehension WUX</t>
        </is>
      </c>
      <c r="B19" s="7" t="n">
        <v>55</v>
      </c>
      <c r="C19" s="3" t="n"/>
      <c r="D19" s="9" t="inlineStr">
        <is>
          <t>learn/crack</t>
        </is>
      </c>
      <c r="E19" s="2" t="n"/>
      <c r="F19" s="2" t="n"/>
      <c r="G19" s="2" t="n"/>
      <c r="H19" s="3" t="n"/>
      <c r="I19" s="10">
        <f>FLOOR(B19/5,1)</f>
        <v/>
      </c>
      <c r="J19" s="11" t="inlineStr">
        <is>
          <t>bonus÷5</t>
        </is>
      </c>
    </row>
    <row r="20">
      <c r="A20" s="6" t="inlineStr">
        <is>
          <t>Divine Sense SHS</t>
        </is>
      </c>
      <c r="B20" s="7" t="n">
        <v>60</v>
      </c>
      <c r="C20" s="3" t="n"/>
      <c r="D20" s="9" t="inlineStr">
        <is>
          <t>explore/Initiative</t>
        </is>
      </c>
      <c r="E20" s="2" t="n"/>
      <c r="F20" s="2" t="n"/>
      <c r="G20" s="2" t="n"/>
      <c r="H20" s="3" t="n"/>
      <c r="I20" s="10">
        <f>FLOOR(B20/5,1)</f>
        <v/>
      </c>
      <c r="J20" s="11" t="inlineStr">
        <is>
          <t>bonus÷5</t>
        </is>
      </c>
    </row>
    <row r="21">
      <c r="A21" s="6" t="inlineStr">
        <is>
          <t>Physique RSS</t>
        </is>
      </c>
      <c r="B21" s="7" t="n">
        <v>72</v>
      </c>
      <c r="C21" s="3" t="n"/>
      <c r="D21" s="9" t="inlineStr">
        <is>
          <t>Health Points（HP）/Melee</t>
        </is>
      </c>
      <c r="E21" s="2" t="n"/>
      <c r="F21" s="2" t="n"/>
      <c r="G21" s="2" t="n"/>
      <c r="H21" s="3" t="n"/>
      <c r="I21" s="10">
        <f>FLOOR(B21/5,1)</f>
        <v/>
      </c>
      <c r="J21" s="11" t="inlineStr">
        <is>
          <t>bonus÷5</t>
        </is>
      </c>
    </row>
    <row r="22">
      <c r="A22" s="6" t="inlineStr">
        <is>
          <t>Spirit Power LIL</t>
        </is>
      </c>
      <c r="B22" s="7" t="n">
        <v>70</v>
      </c>
      <c r="C22" s="3" t="n"/>
      <c r="D22" s="9" t="inlineStr">
        <is>
          <t>Spell/Infuriated</t>
        </is>
      </c>
      <c r="E22" s="2" t="n"/>
      <c r="F22" s="2" t="n"/>
      <c r="G22" s="2" t="n"/>
      <c r="H22" s="3" t="n"/>
      <c r="I22" s="10">
        <f>FLOOR(B22/5,1)</f>
        <v/>
      </c>
      <c r="J22" s="11" t="inlineStr">
        <is>
          <t>bonus÷5</t>
        </is>
      </c>
    </row>
    <row r="23">
      <c r="A23" s="6" t="inlineStr">
        <is>
          <t>Agility SHF</t>
        </is>
      </c>
      <c r="B23" s="7" t="n">
        <v>58</v>
      </c>
      <c r="C23" s="3" t="n"/>
      <c r="D23" s="9" t="inlineStr">
        <is>
          <t>Evasion/move</t>
        </is>
      </c>
      <c r="E23" s="2" t="n"/>
      <c r="F23" s="2" t="n"/>
      <c r="G23" s="2" t="n"/>
      <c r="H23" s="3" t="n"/>
      <c r="I23" s="10">
        <f>FLOOR(B23/5,1)</f>
        <v/>
      </c>
      <c r="J23" s="11" t="inlineStr">
        <is>
          <t>bonus÷5</t>
        </is>
      </c>
    </row>
    <row r="24">
      <c r="A24" s="6" t="inlineStr">
        <is>
          <t>Fortune JIY</t>
        </is>
      </c>
      <c r="B24" s="7" t="n">
        <v>35</v>
      </c>
      <c r="C24" s="3" t="n"/>
      <c r="D24" s="9" t="inlineStr">
        <is>
          <t>explore/fall</t>
        </is>
      </c>
      <c r="E24" s="2" t="n"/>
      <c r="F24" s="2" t="n"/>
      <c r="G24" s="2" t="n"/>
      <c r="H24" s="3" t="n"/>
      <c r="I24" s="10">
        <f>FLOOR(B24/5,1)</f>
        <v/>
      </c>
      <c r="J24" s="11" t="inlineStr">
        <is>
          <t>bonus÷5</t>
        </is>
      </c>
    </row>
    <row r="25">
      <c r="A25" s="6" t="inlineStr">
        <is>
          <t>Dao Heart DAX</t>
        </is>
      </c>
      <c r="B25" s="7" t="n">
        <v>55</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3.5*B21</f>
        <v/>
      </c>
      <c r="C29" s="2" t="n"/>
      <c r="D29" s="2" t="n"/>
      <c r="E29" s="3" t="n"/>
      <c r="F29" s="13" t="inlineStr">
        <is>
          <t>Physique×Realmcoefficient</t>
        </is>
      </c>
      <c r="G29" s="2" t="n"/>
      <c r="H29" s="2" t="n"/>
      <c r="I29" s="2" t="n"/>
      <c r="J29" s="3" t="n"/>
    </row>
    <row r="30">
      <c r="A30" s="14" t="inlineStr">
        <is>
          <t>Qi Pool</t>
        </is>
      </c>
      <c r="B30" s="10">
        <f>2.5*B22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28</v>
      </c>
      <c r="C32" s="2" t="n"/>
      <c r="D32" s="2" t="n"/>
      <c r="E32" s="3" t="n"/>
      <c r="F32" s="9" t="inlineStr">
        <is>
          <t>robe+Cultivation Technique</t>
        </is>
      </c>
      <c r="G32" s="2" t="n"/>
      <c r="H32" s="2" t="n"/>
      <c r="I32" s="2" t="n"/>
      <c r="J32" s="3" t="n"/>
    </row>
    <row r="33">
      <c r="A33" s="6" t="inlineStr">
        <is>
          <t>SpellResistance</t>
        </is>
      </c>
      <c r="B33" s="16" t="n">
        <v>35</v>
      </c>
      <c r="C33" s="2" t="n"/>
      <c r="D33" s="2" t="n"/>
      <c r="E33" s="3" t="n"/>
      <c r="F33" s="13" t="inlineStr">
        <is>
          <t>robe+Cultivation Technique</t>
        </is>
      </c>
      <c r="G33" s="2" t="n"/>
      <c r="H33" s="2" t="n"/>
      <c r="I33" s="2" t="n"/>
      <c r="J33" s="3" t="n"/>
    </row>
    <row r="34">
      <c r="A34" s="14" t="inlineStr">
        <is>
          <t>body protection energy</t>
        </is>
      </c>
      <c r="B34" s="15" t="n">
        <v>80</v>
      </c>
      <c r="C34" s="2" t="n"/>
      <c r="D34" s="2" t="n"/>
      <c r="E34" s="3" t="n"/>
      <c r="F34" s="9" t="inlineStr">
        <is>
          <t>Inner Art+magic weapon</t>
        </is>
      </c>
      <c r="G34" s="2" t="n"/>
      <c r="H34" s="2" t="n"/>
      <c r="I34" s="2" t="n"/>
      <c r="J34" s="3" t="n"/>
    </row>
    <row r="35">
      <c r="A35" s="6" t="inlineStr">
        <is>
          <t>Evasion</t>
        </is>
      </c>
      <c r="B35" s="16" t="n">
        <v>58</v>
      </c>
      <c r="C35" s="2" t="n"/>
      <c r="D35" s="2" t="n"/>
      <c r="E35" s="3" t="n"/>
      <c r="F35" s="13" t="inlineStr">
        <is>
          <t>Agilityvalue</t>
        </is>
      </c>
      <c r="G35" s="2" t="n"/>
      <c r="H35" s="2" t="n"/>
      <c r="I35" s="2" t="n"/>
      <c r="J35" s="3" t="n"/>
    </row>
    <row r="36">
      <c r="A36" s="14" t="inlineStr">
        <is>
          <t>move</t>
        </is>
      </c>
      <c r="B36" s="15" t="inlineStr">
        <is>
          <t>2district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Blood Drinking Knife（prefecture level，2d8+4+Meat/6，Kill backHealth Points（HP）×15%）</t>
        </is>
      </c>
      <c r="C43" s="2" t="n"/>
      <c r="D43" s="2" t="n"/>
      <c r="E43" s="2" t="n"/>
      <c r="F43" s="2" t="n"/>
      <c r="G43" s="2" t="n"/>
      <c r="H43" s="2" t="n"/>
      <c r="I43" s="2" t="n"/>
      <c r="J43" s="3" t="n"/>
    </row>
    <row r="44">
      <c r="A44" s="6" t="inlineStr">
        <is>
          <t>robe</t>
        </is>
      </c>
      <c r="B44" s="8" t="inlineStr">
        <is>
          <t>Five elements armor（prefecture level，Defend+30，Magic resistance+40，All attributes+5）</t>
        </is>
      </c>
      <c r="C44" s="2" t="n"/>
      <c r="D44" s="2" t="n"/>
      <c r="E44" s="2" t="n"/>
      <c r="F44" s="2" t="n"/>
      <c r="G44" s="2" t="n"/>
      <c r="H44" s="2" t="n"/>
      <c r="I44" s="2" t="n"/>
      <c r="J44" s="3" t="n"/>
    </row>
    <row r="45">
      <c r="A45" s="6" t="inlineStr">
        <is>
          <t>magic weapon</t>
        </is>
      </c>
      <c r="B45" s="8" t="inlineStr">
        <is>
          <t>—</t>
        </is>
      </c>
      <c r="C45" s="2" t="n"/>
      <c r="D45" s="2" t="n"/>
      <c r="E45" s="2" t="n"/>
      <c r="F45" s="2" t="n"/>
      <c r="G45" s="2" t="n"/>
      <c r="H45" s="2" t="n"/>
      <c r="I45" s="2" t="n"/>
      <c r="J45" s="3" t="n"/>
    </row>
    <row r="46">
      <c r="A46" s="6" t="inlineStr">
        <is>
          <t>jewelry</t>
        </is>
      </c>
      <c r="B46" s="8" t="inlineStr">
        <is>
          <t>—</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《Blood Demon Sutra》Lv.5（AttackVampire+25%，Inner Demon+5/Breakthrough）</t>
        </is>
      </c>
      <c r="C50" s="2" t="n"/>
      <c r="D50" s="2" t="n"/>
      <c r="E50" s="2" t="n"/>
      <c r="F50" s="2" t="n"/>
      <c r="G50" s="2" t="n"/>
      <c r="H50" s="2" t="n"/>
      <c r="I50" s="2" t="n"/>
      <c r="J50" s="3" t="n"/>
    </row>
    <row r="51">
      <c r="A51" s="6" t="inlineStr">
        <is>
          <t>Martial Technique</t>
        </is>
      </c>
      <c r="B51" s="8" t="inlineStr">
        <is>
          <t>《Blood Drinking Knife Technique》Lv.4、《Bloody Palm》Lv.5</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200000</v>
      </c>
      <c r="D55" s="6" t="inlineStr">
        <is>
          <t>Pill</t>
        </is>
      </c>
      <c r="E55" s="8" t="inlineStr">
        <is>
          <t>magic wayPill×30</t>
        </is>
      </c>
      <c r="F55" s="2" t="n"/>
      <c r="G55" s="2" t="n"/>
      <c r="H55" s="2" t="n"/>
      <c r="I55" s="2" t="n"/>
      <c r="J55" s="3" t="n"/>
    </row>
    <row r="56">
      <c r="A56" s="6" t="inlineStr">
        <is>
          <t>Poison</t>
        </is>
      </c>
      <c r="B56" s="15" t="inlineStr">
        <is>
          <t>20/100</t>
        </is>
      </c>
      <c r="D56" s="6" t="inlineStr">
        <is>
          <t>Inner Demon</t>
        </is>
      </c>
      <c r="E56" s="15" t="inlineStr">
        <is>
          <t>45/100</t>
        </is>
      </c>
    </row>
    <row r="57">
      <c r="A57" s="6" t="inlineStr">
        <is>
          <t>Shouyuan</t>
        </is>
      </c>
      <c r="B57" s="7" t="inlineStr">
        <is>
          <t>800Year</t>
        </is>
      </c>
      <c r="D57" s="6" t="inlineStr">
        <is>
          <t>Consumed</t>
        </is>
      </c>
      <c r="E57" s="7" t="inlineStr">
        <is>
          <t>500Year</t>
        </is>
      </c>
    </row>
    <row r="58"/>
    <row r="59">
      <c r="A59" s="5" t="inlineStr">
        <is>
          <t>background</t>
        </is>
      </c>
      <c r="B59" s="2" t="n"/>
      <c r="C59" s="2" t="n"/>
      <c r="D59" s="2" t="n"/>
      <c r="E59" s="2" t="n"/>
      <c r="F59" s="2" t="n"/>
      <c r="G59" s="2" t="n"/>
      <c r="H59" s="2" t="n"/>
      <c r="I59" s="2" t="n"/>
      <c r="J59" s="3" t="n"/>
    </row>
    <row r="60"/>
    <row r="61" ht="80" customHeight="1">
      <c r="A61" s="6" t="inlineStr">
        <is>
          <t>story</t>
        </is>
      </c>
      <c r="B61" s="8" t="inlineStr">
        <is>
          <t>Blood Demon King's original name is Li Wuxie，He was once the most promising disciple of Taixu Sword Sect。becauseBreakthroughSpirit TransformationFailQigong DeviationFall into evil。His greatest weapon is disguise——Usually gentle and polite，In fact, bloodthirsty and brutal。yesGolden Core~Nascent Soulbiggest threat。</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H7:J7"/>
    <mergeCell ref="B36:E36"/>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6" customWidth="1" min="1" max="1"/>
    <col width="60" customWidth="1" min="2" max="2"/>
  </cols>
  <sheetData>
    <row r="1">
      <c r="A1" s="17" t="inlineStr">
        <is>
          <t>masterName</t>
        </is>
      </c>
      <c r="B1" s="17" t="inlineStr">
        <is>
          <t>Blood Demon King</t>
        </is>
      </c>
    </row>
    <row r="2">
      <c r="A2" s="18" t="inlineStr">
        <is>
          <t>Master level</t>
        </is>
      </c>
      <c r="B2" s="19" t="inlineStr">
        <is>
          <t>Head level（magic way）</t>
        </is>
      </c>
    </row>
    <row r="3">
      <c r="A3" s="18" t="inlineStr">
        <is>
          <t>Realm</t>
        </is>
      </c>
      <c r="B3" s="19" t="inlineStr">
        <is>
          <t>Spirit TransformationMiddle (Lv.18)</t>
        </is>
      </c>
    </row>
    <row r="4">
      <c r="A4" s="18" t="inlineStr">
        <is>
          <t>Maximum number of apprentices</t>
        </is>
      </c>
      <c r="B4" s="19" t="inlineStr">
        <is>
          <t>5</t>
        </is>
      </c>
    </row>
    <row r="5">
      <c r="A5" s="18" t="n"/>
      <c r="B5" s="19" t="n"/>
    </row>
    <row r="6">
      <c r="A6" s="18" t="inlineStr">
        <is>
          <t>Conditions for accepting apprentices</t>
        </is>
      </c>
      <c r="B6" s="19" t="inlineStr">
        <is>
          <t>unjust camp；Dao Heart≥40；Finish「Blood Fiend Introductory Trial」
⚠️ Joining will permanently transform you into the demonic camp.</t>
        </is>
      </c>
    </row>
    <row r="7">
      <c r="A7" s="18" t="n"/>
      <c r="B7" s="19" t="n"/>
    </row>
    <row r="8">
      <c r="A8" s="18" t="inlineStr">
        <is>
          <t>═══ TeachableCultivation Technique ═══</t>
        </is>
      </c>
      <c r="B8" s="19" t="n"/>
    </row>
    <row r="9">
      <c r="A9" s="18" t="inlineStr">
        <is>
          <t>transferableInner Art</t>
        </is>
      </c>
      <c r="B9" s="19" t="inlineStr">
        <is>
          <t>《Taiyin breathing method》(Yellow/Shuiyin)
《The Return of Everything》(mysterious/chaos)
《Xuanyin True Explanation》(land/dark ice)
《Blood evil magic skill》(land/dark)</t>
        </is>
      </c>
    </row>
    <row r="10">
      <c r="A10" s="18" t="inlineStr">
        <is>
          <t>Inner Artcondition</t>
        </is>
      </c>
      <c r="B10" s="19" t="inlineStr">
        <is>
          <t>unconditionally；trust；dark iceSpirit Root/close；Like a child/Health Points（HP）permanent-10%</t>
        </is>
      </c>
    </row>
    <row r="11">
      <c r="A11" s="18" t="inlineStr">
        <is>
          <t>transferableMartial Technique</t>
        </is>
      </c>
      <c r="B11" s="19" t="inlineStr">
        <is>
          <t>《Burning Sky Palm》(mysterious/fire)
《thunder flash》(land/thunder)
《Shadow Step》(mysterious/dark)</t>
        </is>
      </c>
    </row>
    <row r="12">
      <c r="A12" s="18" t="inlineStr">
        <is>
          <t>Martial Techniquecondition</t>
        </is>
      </c>
      <c r="B12" s="19" t="inlineStr">
        <is>
          <t>trust；thunderSpirit Root/close；darkSpirit Root/First acquaintance</t>
        </is>
      </c>
    </row>
    <row r="13">
      <c r="A13" s="18" t="inlineStr">
        <is>
          <t>transferableDivine Ability</t>
        </is>
      </c>
      <c r="B13" s="19" t="inlineStr">
        <is>
          <t>《Samadhi True Fire》(land/fire)</t>
        </is>
      </c>
    </row>
    <row r="14">
      <c r="A14" s="18" t="inlineStr">
        <is>
          <t>Divine Abilitycondition</t>
        </is>
      </c>
      <c r="B14" s="19" t="inlineStr">
        <is>
          <t>intimacy≥Like a child</t>
        </is>
      </c>
    </row>
    <row r="15">
      <c r="A15" s="18" t="n"/>
      <c r="B15" s="19" t="n"/>
    </row>
    <row r="16">
      <c r="A16" s="18" t="inlineStr">
        <is>
          <t>═══ Resources and Assistance ═══</t>
        </is>
      </c>
      <c r="B16" s="19" t="n"/>
    </row>
    <row r="17">
      <c r="A17" s="18" t="inlineStr">
        <is>
          <t>Monthly resource supply</t>
        </is>
      </c>
      <c r="B17" s="19" t="inlineStr">
        <is>
          <t>First acquaintance: spirit stone2,000+Magic materials
trust: spirit stone5,000+Great recovery elixir×3+Continuing Bone Pill×3
close: spirit stone10,000+Super healing elixir×2+Earth level magic weapon
Like a child: spirit stone15,000+3nameGolden CoreDemon Guard</t>
        </is>
      </c>
    </row>
    <row r="18">
      <c r="A18" s="18" t="inlineStr">
        <is>
          <t>special assistance</t>
        </is>
      </c>
      <c r="B18" s="19" t="inlineStr">
        <is>
          <t>Killing Instructions(Kill and restore blood+5%)；Demonic Asylum(Righteous pursuit and refuge)；Xuanyin Sect connections(close)；Blood Evil Initiation(mantle/Skip the catastrophe+Inner Demon+20)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6" customWidth="1" min="1" max="1"/>
    <col width="65" customWidth="1" min="2" max="2"/>
  </cols>
  <sheetData>
    <row r="1">
      <c r="A1" s="17" t="inlineStr">
        <is>
          <t>InheritanceName</t>
        </is>
      </c>
      <c r="B1" s="17" t="inlineStr">
        <is>
          <t>Blood Evil Initiation ⚠️ Magic secrets</t>
        </is>
      </c>
    </row>
    <row r="2">
      <c r="A2" s="18" t="inlineStr">
        <is>
          <t>InheritanceType</t>
        </is>
      </c>
      <c r="B2" s="19" t="inlineStr">
        <is>
          <t>Yibo level disposableInheritance</t>
        </is>
      </c>
    </row>
    <row r="3">
      <c r="A3" s="18" t="inlineStr">
        <is>
          <t>Trigger condition</t>
        </is>
      </c>
      <c r="B3" s="19" t="inlineStr">
        <is>
          <t>intimacy ≥ mantle；discipleRealm ≥ Golden Core；unjust camp</t>
        </is>
      </c>
    </row>
    <row r="4">
      <c r="A4" s="18" t="n"/>
      <c r="B4" s="19" t="n"/>
    </row>
    <row r="5">
      <c r="A5" s="18" t="inlineStr">
        <is>
          <t>Effect1</t>
        </is>
      </c>
      <c r="B5" s="19" t="inlineStr">
        <is>
          <t>immediatelyBreakthroughcurrentRealm（Skip the catastropheCheck）</t>
        </is>
      </c>
    </row>
    <row r="6">
      <c r="A6" s="18" t="inlineStr">
        <is>
          <t>Effect2</t>
        </is>
      </c>
      <c r="B6" s="19" t="inlineStr">
        <is>
          <t>get temporarybuff「The blood boils」(7Tianquan attributes+10，every dayHealth Points（HP）-5%)</t>
        </is>
      </c>
    </row>
    <row r="7">
      <c r="A7" s="18" t="inlineStr">
        <is>
          <t>Effect3</t>
        </is>
      </c>
      <c r="B7" s="19" t="inlineStr">
        <is>
          <t>Get permanently「Bloodthirsty」Passive：Kill replyHealth Points（HP）×TargetRealmcoefficient×5%</t>
        </is>
      </c>
    </row>
    <row r="8">
      <c r="A8" s="18" t="n"/>
      <c r="B8" s="19" t="n"/>
    </row>
    <row r="9">
      <c r="A9" s="18" t="inlineStr">
        <is>
          <t>cost(disciple)</t>
        </is>
      </c>
      <c r="B9" s="19" t="inlineStr">
        <is>
          <t>Inner DemonCheckdifficulty（DC）+20(Fail=Qigong Deviation)；permanently lost1non-dark systemSpirit Root</t>
        </is>
      </c>
    </row>
    <row r="10">
      <c r="A10" s="18" t="inlineStr">
        <is>
          <t>cost(master)</t>
        </is>
      </c>
      <c r="B10" s="19" t="inlineStr">
        <is>
          <t>consume3level cultivation(need1year recovery)</t>
        </is>
      </c>
    </row>
    <row r="11">
      <c r="A11" s="18" t="n"/>
      <c r="B11" s="19" t="n"/>
    </row>
    <row r="12">
      <c r="A12" s="18" t="inlineStr">
        <is>
          <t>warn</t>
        </is>
      </c>
      <c r="B12" s="19" t="inlineStr">
        <is>
          <t>After being used by a righteous player, the camp will be permanently converted to a demonic one.！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6" customWidth="1" min="1" max="1"/>
    <col width="60" customWidth="1" min="2" max="2"/>
  </cols>
  <sheetData>
    <row r="1">
      <c r="A1" s="17" t="inlineStr">
        <is>
          <t>Name</t>
        </is>
      </c>
      <c r="B1" s="17" t="inlineStr">
        <is>
          <t>Zhenbei Zhenjun</t>
        </is>
      </c>
    </row>
    <row r="2">
      <c r="A2" s="18" t="inlineStr">
        <is>
          <t>Realm</t>
        </is>
      </c>
      <c r="B2" s="19" t="inlineStr">
        <is>
          <t>FusionLate (Lv.27)</t>
        </is>
      </c>
    </row>
    <row r="3">
      <c r="A3" s="18" t="inlineStr">
        <is>
          <t>Spirit Root</t>
        </is>
      </c>
      <c r="B3" s="19" t="inlineStr">
        <is>
          <t>earthSpirit Root(skySpirit Root) + goldSpirit Root(Top grade)</t>
        </is>
      </c>
    </row>
    <row r="4">
      <c r="A4" s="18" t="inlineStr">
        <is>
          <t>identity</t>
        </is>
      </c>
      <c r="B4" s="19" t="inlineStr">
        <is>
          <t>Guardian envoy of Northern Xinjiang，Supreme Commander of the North of the Righteous Alliance</t>
        </is>
      </c>
    </row>
    <row r="5">
      <c r="A5" s="18" t="inlineStr">
        <is>
          <t>character</t>
        </is>
      </c>
      <c r="B5" s="19" t="inlineStr">
        <is>
          <t>taciturn，Lead by example，Never compromise with the demons</t>
        </is>
      </c>
    </row>
    <row r="6">
      <c r="A6" s="18" t="inlineStr">
        <is>
          <t>Health Points（HP）</t>
        </is>
      </c>
      <c r="B6" s="19" t="inlineStr">
        <is>
          <t>~1,050 (Physique×8.0)</t>
        </is>
      </c>
    </row>
    <row r="7">
      <c r="A7" s="18" t="inlineStr">
        <is>
          <t>Spirit Power</t>
        </is>
      </c>
      <c r="B7" s="19" t="inlineStr">
        <is>
          <t>~720</t>
        </is>
      </c>
    </row>
    <row r="8">
      <c r="A8" s="18" t="inlineStr">
        <is>
          <t>CombatStyle</t>
        </is>
      </c>
      <c r="B8" s="19" t="inlineStr">
        <is>
          <t>Heavy dutyDefensetype；A commander-in-chief warrior who can stand in the way of one man.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60" customWidth="1" min="2" max="2"/>
  </cols>
  <sheetData>
    <row r="1">
      <c r="A1" s="17" t="inlineStr">
        <is>
          <t>masterName</t>
        </is>
      </c>
      <c r="B1" s="17" t="inlineStr">
        <is>
          <t>Zhenbei Zhenjun</t>
        </is>
      </c>
    </row>
    <row r="2">
      <c r="A2" s="18" t="inlineStr">
        <is>
          <t>Master level</t>
        </is>
      </c>
      <c r="B2" s="19" t="inlineStr">
        <is>
          <t>Head level</t>
        </is>
      </c>
    </row>
    <row r="3">
      <c r="A3" s="18" t="inlineStr">
        <is>
          <t>Realm</t>
        </is>
      </c>
      <c r="B3" s="19" t="inlineStr">
        <is>
          <t>FusionLate (Lv.27)</t>
        </is>
      </c>
    </row>
    <row r="4">
      <c r="A4" s="18" t="inlineStr">
        <is>
          <t>Conditions for accepting apprentices</t>
        </is>
      </c>
      <c r="B4" s="19" t="inlineStr">
        <is>
          <t>justice camp；Reputation≥50；Serving on the front line in Northern Xinjiang6months</t>
        </is>
      </c>
    </row>
    <row r="5">
      <c r="A5" s="18" t="inlineStr">
        <is>
          <t>Maximum number of apprentices</t>
        </is>
      </c>
      <c r="B5" s="19" t="inlineStr">
        <is>
          <t>5</t>
        </is>
      </c>
    </row>
    <row r="6">
      <c r="A6" s="18" t="n"/>
      <c r="B6" s="19" t="n"/>
    </row>
    <row r="7">
      <c r="A7" s="18" t="inlineStr">
        <is>
          <t>transferableInner Art</t>
        </is>
      </c>
      <c r="B7" s="19" t="inlineStr">
        <is>
          <t>《Vajra Body Forging Technique》(Yellow/metal soil)
《Tiangang Zhengqi Jue》(mysterious/gold)
《Nine Turns Mysterious Skill》(land/earth)</t>
        </is>
      </c>
    </row>
    <row r="8">
      <c r="A8" s="18" t="inlineStr">
        <is>
          <t>Inner Artcondition</t>
        </is>
      </c>
      <c r="B8" s="19" t="inlineStr">
        <is>
          <t>unconditionally；justice/trust；close(Core of physical training)</t>
        </is>
      </c>
    </row>
    <row r="9">
      <c r="A9" s="18" t="inlineStr">
        <is>
          <t>transferableMartial Technique</t>
        </is>
      </c>
      <c r="B9" s="19" t="inlineStr">
        <is>
          <t>《Iron Wall Jue》(Yellow/earth)
《Sky-Splitting Sword Gang》(land/gold)
《Frozen for thousands of miles》(land/ice)</t>
        </is>
      </c>
    </row>
    <row r="10">
      <c r="A10" s="18" t="inlineStr">
        <is>
          <t>Martial Techniquecondition</t>
        </is>
      </c>
      <c r="B10" s="19" t="inlineStr">
        <is>
          <t>unconditionally；close；close</t>
        </is>
      </c>
    </row>
    <row r="11">
      <c r="A11" s="18" t="inlineStr">
        <is>
          <t>transferableDivine Ability</t>
        </is>
      </c>
      <c r="B11" s="19" t="inlineStr">
        <is>
          <t>《Vajra Dharma》(mysterious/earth metal)
《Dharma, heaven and earth》(sky/earth)</t>
        </is>
      </c>
    </row>
    <row r="12">
      <c r="A12" s="18" t="inlineStr">
        <is>
          <t>Divine Abilitycondition</t>
        </is>
      </c>
      <c r="B12" s="19" t="inlineStr">
        <is>
          <t>trust；mantle</t>
        </is>
      </c>
    </row>
    <row r="13">
      <c r="A13" s="18" t="n"/>
      <c r="B13" s="19" t="n"/>
    </row>
    <row r="14">
      <c r="A14" s="18" t="inlineStr">
        <is>
          <t>Monthly resource supply</t>
        </is>
      </c>
      <c r="B14" s="19" t="inlineStr">
        <is>
          <t>First acquaintance: spirit stone2,000+Military suppliesPill×3
trust: spirit stone5,000+Prefecture level equipment×1
close: spirit stone10,000+Hundreds of peopleCultivatorTeam transfer rights
Like a child: spirit stone20,000+Heaven level armor</t>
        </is>
      </c>
    </row>
    <row r="15">
      <c r="A15" s="18" t="inlineStr">
        <is>
          <t>special assistance</t>
        </is>
      </c>
      <c r="B15" s="19" t="inlineStr">
        <is>
          <t>Northern Xinjiang Military Formation(All attributes in Northern Xinjiang+5+Health Points（HP）+20%)
Military merit exchange(trust/Beijiang exclusive equipment)
Demon-breaking training(Against the demons+15%permanent)
Desperate Guard(50%Probability to take action personally/EveryRealm1Second-rate)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Mo Yuan — character 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Mo Yuan</t>
        </is>
      </c>
      <c r="C6" s="3" t="n"/>
      <c r="D6" s="6" t="inlineStr">
        <is>
          <t>Title</t>
        </is>
      </c>
      <c r="E6" s="8" t="inlineStr">
        <is>
          <t>Heaven's MechanismEntrance disciple of the mansion</t>
        </is>
      </c>
      <c r="F6" s="2" t="n"/>
      <c r="G6" s="2" t="n"/>
      <c r="H6" s="3" t="n"/>
      <c r="I6" s="6" t="inlineStr">
        <is>
          <t>Realm</t>
        </is>
      </c>
      <c r="J6" s="7" t="inlineStr">
        <is>
          <t>Qi Refining·early(Lv.1)</t>
        </is>
      </c>
    </row>
    <row r="7">
      <c r="A7" s="6" t="inlineStr">
        <is>
          <t>gender</t>
        </is>
      </c>
      <c r="B7" s="7" t="inlineStr">
        <is>
          <t>male</t>
        </is>
      </c>
      <c r="C7" s="6" t="inlineStr">
        <is>
          <t>age</t>
        </is>
      </c>
      <c r="D7" s="7" t="n">
        <v>24</v>
      </c>
      <c r="E7" s="6" t="inlineStr">
        <is>
          <t>Lv</t>
        </is>
      </c>
      <c r="F7" s="7" t="n">
        <v>1</v>
      </c>
      <c r="G7" s="6" t="inlineStr">
        <is>
          <t>Cultivation</t>
        </is>
      </c>
      <c r="H7" s="7" t="inlineStr">
        <is>
          <t>0/100</t>
        </is>
      </c>
      <c r="I7" s="2" t="n"/>
      <c r="J7" s="3" t="n"/>
    </row>
    <row r="8">
      <c r="A8" s="6" t="inlineStr">
        <is>
          <t>origin</t>
        </is>
      </c>
      <c r="B8" s="8" t="inlineStr">
        <is>
          <t>Mr. Private School→Heaven's MechanismMansion（late bloomer）</t>
        </is>
      </c>
      <c r="C8" s="2" t="n"/>
      <c r="D8" s="2" t="n"/>
      <c r="E8" s="2" t="n"/>
      <c r="F8" s="2" t="n"/>
      <c r="G8" s="2" t="n"/>
      <c r="H8" s="2" t="n"/>
      <c r="I8" s="2" t="n"/>
      <c r="J8" s="3" t="n"/>
    </row>
    <row r="9">
      <c r="A9" s="6" t="inlineStr">
        <is>
          <t>sect</t>
        </is>
      </c>
      <c r="B9" s="8" t="inlineStr">
        <is>
          <t>Heaven's MechanismMansion</t>
        </is>
      </c>
      <c r="C9" s="2" t="n"/>
      <c r="D9" s="2" t="n"/>
      <c r="E9" s="3" t="n"/>
      <c r="F9" s="6" t="inlineStr">
        <is>
          <t>special</t>
        </is>
      </c>
      <c r="G9" s="8" t="inlineStr">
        <is>
          <t>without</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waterSpirit Root</t>
        </is>
      </c>
      <c r="C13" s="2" t="n"/>
      <c r="D13" s="3" t="n"/>
      <c r="E13" s="6" t="inlineStr">
        <is>
          <t>quality</t>
        </is>
      </c>
      <c r="F13" s="7" t="inlineStr">
        <is>
          <t>Top grade（×1.3）</t>
        </is>
      </c>
      <c r="G13" s="2" t="n"/>
      <c r="H13" s="2" t="n"/>
      <c r="I13" s="2" t="n"/>
      <c r="J13" s="3" t="n"/>
    </row>
    <row r="14">
      <c r="A14" s="6" t="inlineStr">
        <is>
          <t>addition</t>
        </is>
      </c>
      <c r="B14" s="8" t="inlineStr">
        <is>
          <t>Divine Sense+5；water systemCultivation Techniquepower+10%；Formation ArrayLayout speed+15%</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30</v>
      </c>
      <c r="C18" s="3" t="n"/>
      <c r="D18" s="9" t="inlineStr">
        <is>
          <t>practice/Breakthrough</t>
        </is>
      </c>
      <c r="E18" s="2" t="n"/>
      <c r="F18" s="2" t="n"/>
      <c r="G18" s="2" t="n"/>
      <c r="H18" s="3" t="n"/>
      <c r="I18" s="10">
        <f>FLOOR(B18/5,1)</f>
        <v/>
      </c>
      <c r="J18" s="11" t="inlineStr">
        <is>
          <t>bonus÷5</t>
        </is>
      </c>
    </row>
    <row r="19">
      <c r="A19" s="6" t="inlineStr">
        <is>
          <t>Comprehension WUX</t>
        </is>
      </c>
      <c r="B19" s="7" t="n">
        <v>40</v>
      </c>
      <c r="C19" s="3" t="n"/>
      <c r="D19" s="9" t="inlineStr">
        <is>
          <t>learn/crack</t>
        </is>
      </c>
      <c r="E19" s="2" t="n"/>
      <c r="F19" s="2" t="n"/>
      <c r="G19" s="2" t="n"/>
      <c r="H19" s="3" t="n"/>
      <c r="I19" s="10">
        <f>FLOOR(B19/5,1)</f>
        <v/>
      </c>
      <c r="J19" s="11" t="inlineStr">
        <is>
          <t>bonus÷5</t>
        </is>
      </c>
    </row>
    <row r="20">
      <c r="A20" s="6" t="inlineStr">
        <is>
          <t>Divine Sense SHS</t>
        </is>
      </c>
      <c r="B20" s="7" t="n">
        <v>35</v>
      </c>
      <c r="C20" s="3" t="n"/>
      <c r="D20" s="9" t="inlineStr">
        <is>
          <t>explore/Initiative</t>
        </is>
      </c>
      <c r="E20" s="2" t="n"/>
      <c r="F20" s="2" t="n"/>
      <c r="G20" s="2" t="n"/>
      <c r="H20" s="3" t="n"/>
      <c r="I20" s="10">
        <f>FLOOR(B20/5,1)</f>
        <v/>
      </c>
      <c r="J20" s="11" t="inlineStr">
        <is>
          <t>bonus÷5</t>
        </is>
      </c>
    </row>
    <row r="21">
      <c r="A21" s="6" t="inlineStr">
        <is>
          <t>Physique RSS</t>
        </is>
      </c>
      <c r="B21" s="7" t="n">
        <v>28</v>
      </c>
      <c r="C21" s="3" t="n"/>
      <c r="D21" s="9" t="inlineStr">
        <is>
          <t>Health Points（HP）/Melee</t>
        </is>
      </c>
      <c r="E21" s="2" t="n"/>
      <c r="F21" s="2" t="n"/>
      <c r="G21" s="2" t="n"/>
      <c r="H21" s="3" t="n"/>
      <c r="I21" s="10">
        <f>FLOOR(B21/5,1)</f>
        <v/>
      </c>
      <c r="J21" s="11" t="inlineStr">
        <is>
          <t>bonus÷5</t>
        </is>
      </c>
    </row>
    <row r="22">
      <c r="A22" s="6" t="inlineStr">
        <is>
          <t>Spirit Power LIL</t>
        </is>
      </c>
      <c r="B22" s="7" t="n">
        <v>30</v>
      </c>
      <c r="C22" s="3" t="n"/>
      <c r="D22" s="9" t="inlineStr">
        <is>
          <t>Spell/Infuriated</t>
        </is>
      </c>
      <c r="E22" s="2" t="n"/>
      <c r="F22" s="2" t="n"/>
      <c r="G22" s="2" t="n"/>
      <c r="H22" s="3" t="n"/>
      <c r="I22" s="10">
        <f>FLOOR(B22/5,1)</f>
        <v/>
      </c>
      <c r="J22" s="11" t="inlineStr">
        <is>
          <t>bonus÷5</t>
        </is>
      </c>
    </row>
    <row r="23">
      <c r="A23" s="6" t="inlineStr">
        <is>
          <t>Agility SHF</t>
        </is>
      </c>
      <c r="B23" s="7" t="n">
        <v>32</v>
      </c>
      <c r="C23" s="3" t="n"/>
      <c r="D23" s="9" t="inlineStr">
        <is>
          <t>Evasion/move</t>
        </is>
      </c>
      <c r="E23" s="2" t="n"/>
      <c r="F23" s="2" t="n"/>
      <c r="G23" s="2" t="n"/>
      <c r="H23" s="3" t="n"/>
      <c r="I23" s="10">
        <f>FLOOR(B23/5,1)</f>
        <v/>
      </c>
      <c r="J23" s="11" t="inlineStr">
        <is>
          <t>bonus÷5</t>
        </is>
      </c>
    </row>
    <row r="24">
      <c r="A24" s="6" t="inlineStr">
        <is>
          <t>Fortune JIY</t>
        </is>
      </c>
      <c r="B24" s="7" t="n">
        <v>25</v>
      </c>
      <c r="C24" s="3" t="n"/>
      <c r="D24" s="9" t="inlineStr">
        <is>
          <t>explore/fall</t>
        </is>
      </c>
      <c r="E24" s="2" t="n"/>
      <c r="F24" s="2" t="n"/>
      <c r="G24" s="2" t="n"/>
      <c r="H24" s="3" t="n"/>
      <c r="I24" s="10">
        <f>FLOOR(B24/5,1)</f>
        <v/>
      </c>
      <c r="J24" s="11" t="inlineStr">
        <is>
          <t>bonus÷5</t>
        </is>
      </c>
    </row>
    <row r="25">
      <c r="A25" s="6" t="inlineStr">
        <is>
          <t>Dao Heart DAX</t>
        </is>
      </c>
      <c r="B25" s="7" t="n">
        <v>38</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1.5*B21</f>
        <v/>
      </c>
      <c r="C29" s="2" t="n"/>
      <c r="D29" s="2" t="n"/>
      <c r="E29" s="3" t="n"/>
      <c r="F29" s="13" t="inlineStr">
        <is>
          <t>Physique×Realmcoefficient</t>
        </is>
      </c>
      <c r="G29" s="2" t="n"/>
      <c r="H29" s="2" t="n"/>
      <c r="I29" s="2" t="n"/>
      <c r="J29" s="3" t="n"/>
    </row>
    <row r="30">
      <c r="A30" s="14" t="inlineStr">
        <is>
          <t>Qi Pool</t>
        </is>
      </c>
      <c r="B30" s="10">
        <f>1.0*B22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4</v>
      </c>
      <c r="C32" s="2" t="n"/>
      <c r="D32" s="2" t="n"/>
      <c r="E32" s="3" t="n"/>
      <c r="F32" s="9" t="inlineStr">
        <is>
          <t>robe+Cultivation Technique</t>
        </is>
      </c>
      <c r="G32" s="2" t="n"/>
      <c r="H32" s="2" t="n"/>
      <c r="I32" s="2" t="n"/>
      <c r="J32" s="3" t="n"/>
    </row>
    <row r="33">
      <c r="A33" s="6" t="inlineStr">
        <is>
          <t>SpellResistance</t>
        </is>
      </c>
      <c r="B33" s="16" t="n">
        <v>6</v>
      </c>
      <c r="C33" s="2" t="n"/>
      <c r="D33" s="2" t="n"/>
      <c r="E33" s="3" t="n"/>
      <c r="F33" s="13" t="inlineStr">
        <is>
          <t>robe+Cultivation Technique</t>
        </is>
      </c>
      <c r="G33" s="2" t="n"/>
      <c r="H33" s="2" t="n"/>
      <c r="I33" s="2" t="n"/>
      <c r="J33" s="3" t="n"/>
    </row>
    <row r="34">
      <c r="A34" s="14" t="inlineStr">
        <is>
          <t>body protection energy</t>
        </is>
      </c>
      <c r="B34" s="15" t="n">
        <v>0</v>
      </c>
      <c r="C34" s="2" t="n"/>
      <c r="D34" s="2" t="n"/>
      <c r="E34" s="3" t="n"/>
      <c r="F34" s="9" t="inlineStr">
        <is>
          <t>Inner Art+magic weapon</t>
        </is>
      </c>
      <c r="G34" s="2" t="n"/>
      <c r="H34" s="2" t="n"/>
      <c r="I34" s="2" t="n"/>
      <c r="J34" s="3" t="n"/>
    </row>
    <row r="35">
      <c r="A35" s="6" t="inlineStr">
        <is>
          <t>Evasion</t>
        </is>
      </c>
      <c r="B35" s="16" t="n">
        <v>32</v>
      </c>
      <c r="C35" s="2" t="n"/>
      <c r="D35" s="2" t="n"/>
      <c r="E35" s="3" t="n"/>
      <c r="F35" s="13" t="inlineStr">
        <is>
          <t>Agilityvalue</t>
        </is>
      </c>
      <c r="G35" s="2" t="n"/>
      <c r="H35" s="2" t="n"/>
      <c r="I35" s="2" t="n"/>
      <c r="J35" s="3" t="n"/>
    </row>
    <row r="36">
      <c r="A36" s="14" t="inlineStr">
        <is>
          <t>move</t>
        </is>
      </c>
      <c r="B36" s="15" t="inlineStr">
        <is>
          <t>1district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five elements pen（Xuan level，1d10+spirit+god/8，Switch the five elements attributes）</t>
        </is>
      </c>
      <c r="C43" s="2" t="n"/>
      <c r="D43" s="2" t="n"/>
      <c r="E43" s="2" t="n"/>
      <c r="F43" s="2" t="n"/>
      <c r="G43" s="2" t="n"/>
      <c r="H43" s="2" t="n"/>
      <c r="I43" s="2" t="n"/>
      <c r="J43" s="3" t="n"/>
    </row>
    <row r="44">
      <c r="A44" s="6" t="inlineStr">
        <is>
          <t>robe</t>
        </is>
      </c>
      <c r="B44" s="8" t="inlineStr">
        <is>
          <t>Netherweave Cloth Robe（Yellow level，Defend+4，Magic resistance+6，Spiritual return+1/round）</t>
        </is>
      </c>
      <c r="C44" s="2" t="n"/>
      <c r="D44" s="2" t="n"/>
      <c r="E44" s="2" t="n"/>
      <c r="F44" s="2" t="n"/>
      <c r="G44" s="2" t="n"/>
      <c r="H44" s="2" t="n"/>
      <c r="I44" s="2" t="n"/>
      <c r="J44" s="3" t="n"/>
    </row>
    <row r="45">
      <c r="A45" s="6" t="inlineStr">
        <is>
          <t>magic weapon</t>
        </is>
      </c>
      <c r="B45" s="8" t="inlineStr">
        <is>
          <t>—</t>
        </is>
      </c>
      <c r="C45" s="2" t="n"/>
      <c r="D45" s="2" t="n"/>
      <c r="E45" s="2" t="n"/>
      <c r="F45" s="2" t="n"/>
      <c r="G45" s="2" t="n"/>
      <c r="H45" s="2" t="n"/>
      <c r="I45" s="2" t="n"/>
      <c r="J45" s="3" t="n"/>
    </row>
    <row r="46">
      <c r="A46" s="6" t="inlineStr">
        <is>
          <t>jewelry</t>
        </is>
      </c>
      <c r="B46" s="8" t="inlineStr">
        <is>
          <t>Protective jade pendant（Yellow level，Magic resistance+3，Dao Heart+2）</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《The secret of water mirror》Lv.1（Xuan level，Divine Sense+5，Formation Arraylayout+15%）</t>
        </is>
      </c>
      <c r="C50" s="2" t="n"/>
      <c r="D50" s="2" t="n"/>
      <c r="E50" s="2" t="n"/>
      <c r="F50" s="2" t="n"/>
      <c r="G50" s="2" t="n"/>
      <c r="H50" s="2" t="n"/>
      <c r="I50" s="2" t="n"/>
      <c r="J50" s="3" t="n"/>
    </row>
    <row r="51">
      <c r="A51" s="6" t="inlineStr">
        <is>
          <t>Martial Technique</t>
        </is>
      </c>
      <c r="B51" s="8" t="inlineStr">
        <is>
          <t>《BasicsFormation Array》（Yellow level can be arrangedFormation Array，Array speed×1.2）</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120</v>
      </c>
      <c r="D55" s="6" t="inlineStr">
        <is>
          <t>Pill</t>
        </is>
      </c>
      <c r="E55" s="8" t="inlineStr">
        <is>
          <t>Peiyuandan×2, Recovery Pill×2, Formation ArrayGetting Started Scroll×1</t>
        </is>
      </c>
      <c r="F55" s="2" t="n"/>
      <c r="G55" s="2" t="n"/>
      <c r="H55" s="2" t="n"/>
      <c r="I55" s="2" t="n"/>
      <c r="J55" s="3" t="n"/>
    </row>
    <row r="56">
      <c r="A56" s="6" t="inlineStr">
        <is>
          <t>Poison</t>
        </is>
      </c>
      <c r="B56" s="15" t="inlineStr">
        <is>
          <t>0/100</t>
        </is>
      </c>
      <c r="D56" s="6" t="inlineStr">
        <is>
          <t>Inner Demon</t>
        </is>
      </c>
      <c r="E56" s="15" t="inlineStr">
        <is>
          <t>0/100</t>
        </is>
      </c>
    </row>
    <row r="57">
      <c r="A57" s="6" t="inlineStr">
        <is>
          <t>Shouyuan</t>
        </is>
      </c>
      <c r="B57" s="7" t="inlineStr">
        <is>
          <t>150Year</t>
        </is>
      </c>
      <c r="D57" s="6" t="inlineStr">
        <is>
          <t>Consumed</t>
        </is>
      </c>
      <c r="E57" s="7" t="inlineStr">
        <is>
          <t>24Year</t>
        </is>
      </c>
    </row>
    <row r="58"/>
    <row r="59">
      <c r="A59" s="5" t="inlineStr">
        <is>
          <t>background</t>
        </is>
      </c>
      <c r="B59" s="2" t="n"/>
      <c r="C59" s="2" t="n"/>
      <c r="D59" s="2" t="n"/>
      <c r="E59" s="2" t="n"/>
      <c r="F59" s="2" t="n"/>
      <c r="G59" s="2" t="n"/>
      <c r="H59" s="2" t="n"/>
      <c r="I59" s="2" t="n"/>
      <c r="J59" s="3" t="n"/>
    </row>
    <row r="60"/>
    <row r="61" ht="80" customHeight="1">
      <c r="A61" s="6" t="inlineStr">
        <is>
          <t>story</t>
        </is>
      </c>
      <c r="B61" s="8" t="inlineStr">
        <is>
          <t>Mo Yuan was originally a private school teacher，24years oldFortuneCoincidentally saved an injured personHeaven's MechanismFu Zhenshi。He was a late bloomer，butComprehensionExtraordinary——In three months, you can understand what it takes others a year to master.Formation ArrayBasics。Others laughed at him for coming late，He said："Don’t be afraid of being late for a good meal，The road does not care about the year。"</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H7:J7"/>
    <mergeCell ref="B36:E36"/>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Tuoba Ye — character 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Tuoba Ye</t>
        </is>
      </c>
      <c r="C6" s="3" t="n"/>
      <c r="D6" s="6" t="inlineStr">
        <is>
          <t>Title</t>
        </is>
      </c>
      <c r="E6" s="8" t="inlineStr">
        <is>
          <t>Barbarian Beast Mountain Trainee Beastmaster</t>
        </is>
      </c>
      <c r="F6" s="2" t="n"/>
      <c r="G6" s="2" t="n"/>
      <c r="H6" s="3" t="n"/>
      <c r="I6" s="6" t="inlineStr">
        <is>
          <t>Realm</t>
        </is>
      </c>
      <c r="J6" s="7" t="inlineStr">
        <is>
          <t>Qi Refining·early(Lv.1)</t>
        </is>
      </c>
    </row>
    <row r="7">
      <c r="A7" s="6" t="inlineStr">
        <is>
          <t>gender</t>
        </is>
      </c>
      <c r="B7" s="7" t="inlineStr">
        <is>
          <t>male</t>
        </is>
      </c>
      <c r="C7" s="6" t="inlineStr">
        <is>
          <t>age</t>
        </is>
      </c>
      <c r="D7" s="7" t="n">
        <v>19</v>
      </c>
      <c r="E7" s="6" t="inlineStr">
        <is>
          <t>Lv</t>
        </is>
      </c>
      <c r="F7" s="7" t="n">
        <v>1</v>
      </c>
      <c r="G7" s="6" t="inlineStr">
        <is>
          <t>Cultivation</t>
        </is>
      </c>
      <c r="H7" s="7" t="inlineStr">
        <is>
          <t>0/100</t>
        </is>
      </c>
      <c r="I7" s="2" t="n"/>
      <c r="J7" s="3" t="n"/>
    </row>
    <row r="8">
      <c r="A8" s="6" t="inlineStr">
        <is>
          <t>origin</t>
        </is>
      </c>
      <c r="B8" s="8" t="inlineStr">
        <is>
          <t>Northern Orion Tribe（No sect·Self-taught beast control）</t>
        </is>
      </c>
      <c r="C8" s="2" t="n"/>
      <c r="D8" s="2" t="n"/>
      <c r="E8" s="2" t="n"/>
      <c r="F8" s="2" t="n"/>
      <c r="G8" s="2" t="n"/>
      <c r="H8" s="2" t="n"/>
      <c r="I8" s="2" t="n"/>
      <c r="J8" s="3" t="n"/>
    </row>
    <row r="9">
      <c r="A9" s="6" t="inlineStr">
        <is>
          <t>sect</t>
        </is>
      </c>
      <c r="B9" s="8" t="inlineStr">
        <is>
          <t>Savage Mountain（Related）</t>
        </is>
      </c>
      <c r="C9" s="2" t="n"/>
      <c r="D9" s="2" t="n"/>
      <c r="E9" s="3" t="n"/>
      <c r="F9" s="6" t="inlineStr">
        <is>
          <t>special</t>
        </is>
      </c>
      <c r="G9" s="8" t="inlineStr">
        <is>
          <t>without</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earthSpirit Root</t>
        </is>
      </c>
      <c r="C13" s="2" t="n"/>
      <c r="D13" s="3" t="n"/>
      <c r="E13" s="6" t="inlineStr">
        <is>
          <t>quality</t>
        </is>
      </c>
      <c r="F13" s="7" t="inlineStr">
        <is>
          <t>Top grade（×1.3）</t>
        </is>
      </c>
      <c r="G13" s="2" t="n"/>
      <c r="H13" s="2" t="n"/>
      <c r="I13" s="2" t="n"/>
      <c r="J13" s="3" t="n"/>
    </row>
    <row r="14">
      <c r="A14" s="6" t="inlineStr">
        <is>
          <t>addition</t>
        </is>
      </c>
      <c r="B14" s="8" t="inlineStr">
        <is>
          <t>Dao Heart+5；Earth systemCultivation Techniquepower+10%；DefenseclassCultivation Technique+15%</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30</v>
      </c>
      <c r="C18" s="3" t="n"/>
      <c r="D18" s="9" t="inlineStr">
        <is>
          <t>practice/Breakthrough</t>
        </is>
      </c>
      <c r="E18" s="2" t="n"/>
      <c r="F18" s="2" t="n"/>
      <c r="G18" s="2" t="n"/>
      <c r="H18" s="3" t="n"/>
      <c r="I18" s="10">
        <f>FLOOR(B18/5,1)</f>
        <v/>
      </c>
      <c r="J18" s="11" t="inlineStr">
        <is>
          <t>bonus÷5</t>
        </is>
      </c>
    </row>
    <row r="19">
      <c r="A19" s="6" t="inlineStr">
        <is>
          <t>Comprehension WUX</t>
        </is>
      </c>
      <c r="B19" s="7" t="n">
        <v>28</v>
      </c>
      <c r="C19" s="3" t="n"/>
      <c r="D19" s="9" t="inlineStr">
        <is>
          <t>learn/crack</t>
        </is>
      </c>
      <c r="E19" s="2" t="n"/>
      <c r="F19" s="2" t="n"/>
      <c r="G19" s="2" t="n"/>
      <c r="H19" s="3" t="n"/>
      <c r="I19" s="10">
        <f>FLOOR(B19/5,1)</f>
        <v/>
      </c>
      <c r="J19" s="11" t="inlineStr">
        <is>
          <t>bonus÷5</t>
        </is>
      </c>
    </row>
    <row r="20">
      <c r="A20" s="6" t="inlineStr">
        <is>
          <t>Divine Sense SHS</t>
        </is>
      </c>
      <c r="B20" s="7" t="n">
        <v>32</v>
      </c>
      <c r="C20" s="3" t="n"/>
      <c r="D20" s="9" t="inlineStr">
        <is>
          <t>explore/Initiative</t>
        </is>
      </c>
      <c r="E20" s="2" t="n"/>
      <c r="F20" s="2" t="n"/>
      <c r="G20" s="2" t="n"/>
      <c r="H20" s="3" t="n"/>
      <c r="I20" s="10">
        <f>FLOOR(B20/5,1)</f>
        <v/>
      </c>
      <c r="J20" s="11" t="inlineStr">
        <is>
          <t>bonus÷5</t>
        </is>
      </c>
    </row>
    <row r="21">
      <c r="A21" s="6" t="inlineStr">
        <is>
          <t>Physique RSS</t>
        </is>
      </c>
      <c r="B21" s="7" t="n">
        <v>35</v>
      </c>
      <c r="C21" s="3" t="n"/>
      <c r="D21" s="9" t="inlineStr">
        <is>
          <t>Health Points（HP）/Melee</t>
        </is>
      </c>
      <c r="E21" s="2" t="n"/>
      <c r="F21" s="2" t="n"/>
      <c r="G21" s="2" t="n"/>
      <c r="H21" s="3" t="n"/>
      <c r="I21" s="10">
        <f>FLOOR(B21/5,1)</f>
        <v/>
      </c>
      <c r="J21" s="11" t="inlineStr">
        <is>
          <t>bonus÷5</t>
        </is>
      </c>
    </row>
    <row r="22">
      <c r="A22" s="6" t="inlineStr">
        <is>
          <t>Spirit Power LIL</t>
        </is>
      </c>
      <c r="B22" s="7" t="n">
        <v>28</v>
      </c>
      <c r="C22" s="3" t="n"/>
      <c r="D22" s="9" t="inlineStr">
        <is>
          <t>Spell/Infuriated</t>
        </is>
      </c>
      <c r="E22" s="2" t="n"/>
      <c r="F22" s="2" t="n"/>
      <c r="G22" s="2" t="n"/>
      <c r="H22" s="3" t="n"/>
      <c r="I22" s="10">
        <f>FLOOR(B22/5,1)</f>
        <v/>
      </c>
      <c r="J22" s="11" t="inlineStr">
        <is>
          <t>bonus÷5</t>
        </is>
      </c>
    </row>
    <row r="23">
      <c r="A23" s="6" t="inlineStr">
        <is>
          <t>Agility SHF</t>
        </is>
      </c>
      <c r="B23" s="7" t="n">
        <v>40</v>
      </c>
      <c r="C23" s="3" t="n"/>
      <c r="D23" s="9" t="inlineStr">
        <is>
          <t>Evasion/move</t>
        </is>
      </c>
      <c r="E23" s="2" t="n"/>
      <c r="F23" s="2" t="n"/>
      <c r="G23" s="2" t="n"/>
      <c r="H23" s="3" t="n"/>
      <c r="I23" s="10">
        <f>FLOOR(B23/5,1)</f>
        <v/>
      </c>
      <c r="J23" s="11" t="inlineStr">
        <is>
          <t>bonus÷5</t>
        </is>
      </c>
    </row>
    <row r="24">
      <c r="A24" s="6" t="inlineStr">
        <is>
          <t>Fortune JIY</t>
        </is>
      </c>
      <c r="B24" s="7" t="n">
        <v>30</v>
      </c>
      <c r="C24" s="3" t="n"/>
      <c r="D24" s="9" t="inlineStr">
        <is>
          <t>explore/fall</t>
        </is>
      </c>
      <c r="E24" s="2" t="n"/>
      <c r="F24" s="2" t="n"/>
      <c r="G24" s="2" t="n"/>
      <c r="H24" s="3" t="n"/>
      <c r="I24" s="10">
        <f>FLOOR(B24/5,1)</f>
        <v/>
      </c>
      <c r="J24" s="11" t="inlineStr">
        <is>
          <t>bonus÷5</t>
        </is>
      </c>
    </row>
    <row r="25">
      <c r="A25" s="6" t="inlineStr">
        <is>
          <t>Dao Heart DAX</t>
        </is>
      </c>
      <c r="B25" s="7" t="n">
        <v>38</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1.5*B21</f>
        <v/>
      </c>
      <c r="C29" s="2" t="n"/>
      <c r="D29" s="2" t="n"/>
      <c r="E29" s="3" t="n"/>
      <c r="F29" s="13" t="inlineStr">
        <is>
          <t>Physique×Realmcoefficient</t>
        </is>
      </c>
      <c r="G29" s="2" t="n"/>
      <c r="H29" s="2" t="n"/>
      <c r="I29" s="2" t="n"/>
      <c r="J29" s="3" t="n"/>
    </row>
    <row r="30">
      <c r="A30" s="14" t="inlineStr">
        <is>
          <t>Qi Pool</t>
        </is>
      </c>
      <c r="B30" s="10">
        <f>1.0*B22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5</v>
      </c>
      <c r="C32" s="2" t="n"/>
      <c r="D32" s="2" t="n"/>
      <c r="E32" s="3" t="n"/>
      <c r="F32" s="9" t="inlineStr">
        <is>
          <t>robe+Cultivation Technique</t>
        </is>
      </c>
      <c r="G32" s="2" t="n"/>
      <c r="H32" s="2" t="n"/>
      <c r="I32" s="2" t="n"/>
      <c r="J32" s="3" t="n"/>
    </row>
    <row r="33">
      <c r="A33" s="6" t="inlineStr">
        <is>
          <t>SpellResistance</t>
        </is>
      </c>
      <c r="B33" s="16" t="n">
        <v>0</v>
      </c>
      <c r="C33" s="2" t="n"/>
      <c r="D33" s="2" t="n"/>
      <c r="E33" s="3" t="n"/>
      <c r="F33" s="13" t="inlineStr">
        <is>
          <t>robe+Cultivation Technique</t>
        </is>
      </c>
      <c r="G33" s="2" t="n"/>
      <c r="H33" s="2" t="n"/>
      <c r="I33" s="2" t="n"/>
      <c r="J33" s="3" t="n"/>
    </row>
    <row r="34">
      <c r="A34" s="14" t="inlineStr">
        <is>
          <t>body protection energy</t>
        </is>
      </c>
      <c r="B34" s="15" t="n">
        <v>0</v>
      </c>
      <c r="C34" s="2" t="n"/>
      <c r="D34" s="2" t="n"/>
      <c r="E34" s="3" t="n"/>
      <c r="F34" s="9" t="inlineStr">
        <is>
          <t>Inner Art+magic weapon</t>
        </is>
      </c>
      <c r="G34" s="2" t="n"/>
      <c r="H34" s="2" t="n"/>
      <c r="I34" s="2" t="n"/>
      <c r="J34" s="3" t="n"/>
    </row>
    <row r="35">
      <c r="A35" s="6" t="inlineStr">
        <is>
          <t>Evasion</t>
        </is>
      </c>
      <c r="B35" s="16" t="n">
        <v>40</v>
      </c>
      <c r="C35" s="2" t="n"/>
      <c r="D35" s="2" t="n"/>
      <c r="E35" s="3" t="n"/>
      <c r="F35" s="13" t="inlineStr">
        <is>
          <t>Agilityvalue</t>
        </is>
      </c>
      <c r="G35" s="2" t="n"/>
      <c r="H35" s="2" t="n"/>
      <c r="I35" s="2" t="n"/>
      <c r="J35" s="3" t="n"/>
    </row>
    <row r="36">
      <c r="A36" s="14" t="inlineStr">
        <is>
          <t>move</t>
        </is>
      </c>
      <c r="B36" s="15" t="inlineStr">
        <is>
          <t>2district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animal skin whip（Yellow level，1d4+1+Divine Sense/10，tame animals+5Check）</t>
        </is>
      </c>
      <c r="C43" s="2" t="n"/>
      <c r="D43" s="2" t="n"/>
      <c r="E43" s="2" t="n"/>
      <c r="F43" s="2" t="n"/>
      <c r="G43" s="2" t="n"/>
      <c r="H43" s="2" t="n"/>
      <c r="I43" s="2" t="n"/>
      <c r="J43" s="3" t="n"/>
    </row>
    <row r="44">
      <c r="A44" s="6" t="inlineStr">
        <is>
          <t>robe</t>
        </is>
      </c>
      <c r="B44" s="8" t="inlineStr">
        <is>
          <t>animal skin armor（Yellow level，Defend+5，to the beastDamage-3）</t>
        </is>
      </c>
      <c r="C44" s="2" t="n"/>
      <c r="D44" s="2" t="n"/>
      <c r="E44" s="2" t="n"/>
      <c r="F44" s="2" t="n"/>
      <c r="G44" s="2" t="n"/>
      <c r="H44" s="2" t="n"/>
      <c r="I44" s="2" t="n"/>
      <c r="J44" s="3" t="n"/>
    </row>
    <row r="45">
      <c r="A45" s="6" t="inlineStr">
        <is>
          <t>magic weapon</t>
        </is>
      </c>
      <c r="B45" s="8" t="inlineStr">
        <is>
          <t>—</t>
        </is>
      </c>
      <c r="C45" s="2" t="n"/>
      <c r="D45" s="2" t="n"/>
      <c r="E45" s="2" t="n"/>
      <c r="F45" s="2" t="n"/>
      <c r="G45" s="2" t="n"/>
      <c r="H45" s="2" t="n"/>
      <c r="I45" s="2" t="n"/>
      <c r="J45" s="3" t="n"/>
    </row>
    <row r="46">
      <c r="A46" s="6" t="inlineStr">
        <is>
          <t>jewelry</t>
        </is>
      </c>
      <c r="B46" s="8" t="inlineStr">
        <is>
          <t>—</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《Tu De Health Tips》Lv.1（Xuan level，Dao Heart+5，Beast Controlling+15%）</t>
        </is>
      </c>
      <c r="C50" s="2" t="n"/>
      <c r="D50" s="2" t="n"/>
      <c r="E50" s="2" t="n"/>
      <c r="F50" s="2" t="n"/>
      <c r="G50" s="2" t="n"/>
      <c r="H50" s="2" t="n"/>
      <c r="I50" s="2" t="n"/>
      <c r="J50" s="3" t="n"/>
    </row>
    <row r="51">
      <c r="A51" s="6" t="inlineStr">
        <is>
          <t>Martial Technique</t>
        </is>
      </c>
      <c r="B51" s="8" t="inlineStr">
        <is>
          <t>《Basic beast control》（Can tame yellow level spiritual beasts，tame animalsCheck+10）</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15</v>
      </c>
      <c r="D55" s="6" t="inlineStr">
        <is>
          <t>Pill</t>
        </is>
      </c>
      <c r="E55" s="8" t="inlineStr">
        <is>
          <t>Healing Pill×3, Spirit beast dry food×10</t>
        </is>
      </c>
      <c r="F55" s="2" t="n"/>
      <c r="G55" s="2" t="n"/>
      <c r="H55" s="2" t="n"/>
      <c r="I55" s="2" t="n"/>
      <c r="J55" s="3" t="n"/>
    </row>
    <row r="56">
      <c r="A56" s="6" t="inlineStr">
        <is>
          <t>Poison</t>
        </is>
      </c>
      <c r="B56" s="15" t="inlineStr">
        <is>
          <t>0/100</t>
        </is>
      </c>
      <c r="D56" s="6" t="inlineStr">
        <is>
          <t>Inner Demon</t>
        </is>
      </c>
      <c r="E56" s="15" t="inlineStr">
        <is>
          <t>0/100</t>
        </is>
      </c>
    </row>
    <row r="57">
      <c r="A57" s="6" t="inlineStr">
        <is>
          <t>Shouyuan</t>
        </is>
      </c>
      <c r="B57" s="7" t="inlineStr">
        <is>
          <t>150Year</t>
        </is>
      </c>
      <c r="D57" s="6" t="inlineStr">
        <is>
          <t>Consumed</t>
        </is>
      </c>
      <c r="E57" s="7" t="inlineStr">
        <is>
          <t>19Year</t>
        </is>
      </c>
    </row>
    <row r="58"/>
    <row r="59">
      <c r="A59" s="5" t="inlineStr">
        <is>
          <t>background</t>
        </is>
      </c>
      <c r="B59" s="2" t="n"/>
      <c r="C59" s="2" t="n"/>
      <c r="D59" s="2" t="n"/>
      <c r="E59" s="2" t="n"/>
      <c r="F59" s="2" t="n"/>
      <c r="G59" s="2" t="n"/>
      <c r="H59" s="2" t="n"/>
      <c r="I59" s="2" t="n"/>
      <c r="J59" s="3" t="n"/>
    </row>
    <row r="60"/>
    <row r="61" ht="80" customHeight="1">
      <c r="A61" s="6" t="inlineStr">
        <is>
          <t>story</t>
        </is>
      </c>
      <c r="B61" s="8" t="inlineStr">
        <is>
          <t>Tuoba Ye comes from the Orion tribe at the foot of the Northern Ming Beast Mountain.，Living with wild beasts since childhood。At the age of fifteen, he rescued an injured rhinoceros cub.，From now on, he embarks on the road of beast control。He has no sect resources，All depends on your own exploration。His biggest dream is to tame a real dragon。</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H7:J7"/>
    <mergeCell ref="B36:E36"/>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Ye Lingxi — character 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Ye Lingxi</t>
        </is>
      </c>
      <c r="C6" s="3" t="n"/>
      <c r="D6" s="6" t="inlineStr">
        <is>
          <t>Title</t>
        </is>
      </c>
      <c r="E6" s="8" t="inlineStr">
        <is>
          <t>Beginner disciple of Danxia Valley</t>
        </is>
      </c>
      <c r="F6" s="2" t="n"/>
      <c r="G6" s="2" t="n"/>
      <c r="H6" s="3" t="n"/>
      <c r="I6" s="6" t="inlineStr">
        <is>
          <t>Realm</t>
        </is>
      </c>
      <c r="J6" s="7" t="inlineStr">
        <is>
          <t>Qi Refining·early(Lv.1)</t>
        </is>
      </c>
    </row>
    <row r="7">
      <c r="A7" s="6" t="inlineStr">
        <is>
          <t>gender</t>
        </is>
      </c>
      <c r="B7" s="7" t="inlineStr">
        <is>
          <t>male</t>
        </is>
      </c>
      <c r="C7" s="6" t="inlineStr">
        <is>
          <t>age</t>
        </is>
      </c>
      <c r="D7" s="7" t="n">
        <v>21</v>
      </c>
      <c r="E7" s="6" t="inlineStr">
        <is>
          <t>Lv</t>
        </is>
      </c>
      <c r="F7" s="7" t="n">
        <v>1</v>
      </c>
      <c r="G7" s="6" t="inlineStr">
        <is>
          <t>Cultivation</t>
        </is>
      </c>
      <c r="H7" s="7" t="inlineStr">
        <is>
          <t>0/100</t>
        </is>
      </c>
      <c r="I7" s="2" t="n"/>
      <c r="J7" s="3" t="n"/>
    </row>
    <row r="8">
      <c r="A8" s="6" t="inlineStr">
        <is>
          <t>origin</t>
        </is>
      </c>
      <c r="B8" s="8" t="inlineStr">
        <is>
          <t>Dongtu Pharmacy Family→Danxia Valley StudyPill Refining</t>
        </is>
      </c>
      <c r="C8" s="2" t="n"/>
      <c r="D8" s="2" t="n"/>
      <c r="E8" s="2" t="n"/>
      <c r="F8" s="2" t="n"/>
      <c r="G8" s="2" t="n"/>
      <c r="H8" s="2" t="n"/>
      <c r="I8" s="2" t="n"/>
      <c r="J8" s="3" t="n"/>
    </row>
    <row r="9">
      <c r="A9" s="6" t="inlineStr">
        <is>
          <t>sect</t>
        </is>
      </c>
      <c r="B9" s="8" t="inlineStr">
        <is>
          <t>Danxia Valley</t>
        </is>
      </c>
      <c r="C9" s="2" t="n"/>
      <c r="D9" s="2" t="n"/>
      <c r="E9" s="3" t="n"/>
      <c r="F9" s="6" t="inlineStr">
        <is>
          <t>special</t>
        </is>
      </c>
      <c r="G9" s="8" t="inlineStr">
        <is>
          <t>without</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wood fire doubleSpirit Root</t>
        </is>
      </c>
      <c r="C13" s="2" t="n"/>
      <c r="D13" s="3" t="n"/>
      <c r="E13" s="6" t="inlineStr">
        <is>
          <t>quality</t>
        </is>
      </c>
      <c r="F13" s="7" t="inlineStr">
        <is>
          <t>middle grade（×1.2）</t>
        </is>
      </c>
      <c r="G13" s="2" t="n"/>
      <c r="H13" s="2" t="n"/>
      <c r="I13" s="2" t="n"/>
      <c r="J13" s="3" t="n"/>
    </row>
    <row r="14">
      <c r="A14" s="6" t="inlineStr">
        <is>
          <t>addition</t>
        </is>
      </c>
      <c r="B14" s="8" t="inlineStr">
        <is>
          <t>Wood：Physique+5 Pill Refining+10% / fire：Spirit Power+5 Refining weapons+15%</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28</v>
      </c>
      <c r="C18" s="3" t="n"/>
      <c r="D18" s="9" t="inlineStr">
        <is>
          <t>practice/Breakthrough</t>
        </is>
      </c>
      <c r="E18" s="2" t="n"/>
      <c r="F18" s="2" t="n"/>
      <c r="G18" s="2" t="n"/>
      <c r="H18" s="3" t="n"/>
      <c r="I18" s="10">
        <f>FLOOR(B18/5,1)</f>
        <v/>
      </c>
      <c r="J18" s="11" t="inlineStr">
        <is>
          <t>bonus÷5</t>
        </is>
      </c>
    </row>
    <row r="19">
      <c r="A19" s="6" t="inlineStr">
        <is>
          <t>Comprehension WUX</t>
        </is>
      </c>
      <c r="B19" s="7" t="n">
        <v>35</v>
      </c>
      <c r="C19" s="3" t="n"/>
      <c r="D19" s="9" t="inlineStr">
        <is>
          <t>learn/crack</t>
        </is>
      </c>
      <c r="E19" s="2" t="n"/>
      <c r="F19" s="2" t="n"/>
      <c r="G19" s="2" t="n"/>
      <c r="H19" s="3" t="n"/>
      <c r="I19" s="10">
        <f>FLOOR(B19/5,1)</f>
        <v/>
      </c>
      <c r="J19" s="11" t="inlineStr">
        <is>
          <t>bonus÷5</t>
        </is>
      </c>
    </row>
    <row r="20">
      <c r="A20" s="6" t="inlineStr">
        <is>
          <t>Divine Sense SHS</t>
        </is>
      </c>
      <c r="B20" s="7" t="n">
        <v>32</v>
      </c>
      <c r="C20" s="3" t="n"/>
      <c r="D20" s="9" t="inlineStr">
        <is>
          <t>explore/Initiative</t>
        </is>
      </c>
      <c r="E20" s="2" t="n"/>
      <c r="F20" s="2" t="n"/>
      <c r="G20" s="2" t="n"/>
      <c r="H20" s="3" t="n"/>
      <c r="I20" s="10">
        <f>FLOOR(B20/5,1)</f>
        <v/>
      </c>
      <c r="J20" s="11" t="inlineStr">
        <is>
          <t>bonus÷5</t>
        </is>
      </c>
    </row>
    <row r="21">
      <c r="A21" s="6" t="inlineStr">
        <is>
          <t>Physique RSS</t>
        </is>
      </c>
      <c r="B21" s="7" t="n">
        <v>25</v>
      </c>
      <c r="C21" s="3" t="n"/>
      <c r="D21" s="9" t="inlineStr">
        <is>
          <t>Health Points（HP）/Melee</t>
        </is>
      </c>
      <c r="E21" s="2" t="n"/>
      <c r="F21" s="2" t="n"/>
      <c r="G21" s="2" t="n"/>
      <c r="H21" s="3" t="n"/>
      <c r="I21" s="10">
        <f>FLOOR(B21/5,1)</f>
        <v/>
      </c>
      <c r="J21" s="11" t="inlineStr">
        <is>
          <t>bonus÷5</t>
        </is>
      </c>
    </row>
    <row r="22">
      <c r="A22" s="6" t="inlineStr">
        <is>
          <t>Spirit Power LIL</t>
        </is>
      </c>
      <c r="B22" s="7" t="n">
        <v>38</v>
      </c>
      <c r="C22" s="3" t="n"/>
      <c r="D22" s="9" t="inlineStr">
        <is>
          <t>Spell/Infuriated</t>
        </is>
      </c>
      <c r="E22" s="2" t="n"/>
      <c r="F22" s="2" t="n"/>
      <c r="G22" s="2" t="n"/>
      <c r="H22" s="3" t="n"/>
      <c r="I22" s="10">
        <f>FLOOR(B22/5,1)</f>
        <v/>
      </c>
      <c r="J22" s="11" t="inlineStr">
        <is>
          <t>bonus÷5</t>
        </is>
      </c>
    </row>
    <row r="23">
      <c r="A23" s="6" t="inlineStr">
        <is>
          <t>Agility SHF</t>
        </is>
      </c>
      <c r="B23" s="7" t="n">
        <v>28</v>
      </c>
      <c r="C23" s="3" t="n"/>
      <c r="D23" s="9" t="inlineStr">
        <is>
          <t>Evasion/move</t>
        </is>
      </c>
      <c r="E23" s="2" t="n"/>
      <c r="F23" s="2" t="n"/>
      <c r="G23" s="2" t="n"/>
      <c r="H23" s="3" t="n"/>
      <c r="I23" s="10">
        <f>FLOOR(B23/5,1)</f>
        <v/>
      </c>
      <c r="J23" s="11" t="inlineStr">
        <is>
          <t>bonus÷5</t>
        </is>
      </c>
    </row>
    <row r="24">
      <c r="A24" s="6" t="inlineStr">
        <is>
          <t>Fortune JIY</t>
        </is>
      </c>
      <c r="B24" s="7" t="n">
        <v>30</v>
      </c>
      <c r="C24" s="3" t="n"/>
      <c r="D24" s="9" t="inlineStr">
        <is>
          <t>explore/fall</t>
        </is>
      </c>
      <c r="E24" s="2" t="n"/>
      <c r="F24" s="2" t="n"/>
      <c r="G24" s="2" t="n"/>
      <c r="H24" s="3" t="n"/>
      <c r="I24" s="10">
        <f>FLOOR(B24/5,1)</f>
        <v/>
      </c>
      <c r="J24" s="11" t="inlineStr">
        <is>
          <t>bonus÷5</t>
        </is>
      </c>
    </row>
    <row r="25">
      <c r="A25" s="6" t="inlineStr">
        <is>
          <t>Dao Heart DAX</t>
        </is>
      </c>
      <c r="B25" s="7" t="n">
        <v>34</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1.5*B21</f>
        <v/>
      </c>
      <c r="C29" s="2" t="n"/>
      <c r="D29" s="2" t="n"/>
      <c r="E29" s="3" t="n"/>
      <c r="F29" s="13" t="inlineStr">
        <is>
          <t>Physique×Realmcoefficient</t>
        </is>
      </c>
      <c r="G29" s="2" t="n"/>
      <c r="H29" s="2" t="n"/>
      <c r="I29" s="2" t="n"/>
      <c r="J29" s="3" t="n"/>
    </row>
    <row r="30">
      <c r="A30" s="14" t="inlineStr">
        <is>
          <t>Qi Pool</t>
        </is>
      </c>
      <c r="B30" s="10">
        <f>1.0*B22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3</v>
      </c>
      <c r="C32" s="2" t="n"/>
      <c r="D32" s="2" t="n"/>
      <c r="E32" s="3" t="n"/>
      <c r="F32" s="9" t="inlineStr">
        <is>
          <t>robe+Cultivation Technique</t>
        </is>
      </c>
      <c r="G32" s="2" t="n"/>
      <c r="H32" s="2" t="n"/>
      <c r="I32" s="2" t="n"/>
      <c r="J32" s="3" t="n"/>
    </row>
    <row r="33">
      <c r="A33" s="6" t="inlineStr">
        <is>
          <t>SpellResistance</t>
        </is>
      </c>
      <c r="B33" s="16" t="n">
        <v>5</v>
      </c>
      <c r="C33" s="2" t="n"/>
      <c r="D33" s="2" t="n"/>
      <c r="E33" s="3" t="n"/>
      <c r="F33" s="13" t="inlineStr">
        <is>
          <t>robe+Cultivation Technique</t>
        </is>
      </c>
      <c r="G33" s="2" t="n"/>
      <c r="H33" s="2" t="n"/>
      <c r="I33" s="2" t="n"/>
      <c r="J33" s="3" t="n"/>
    </row>
    <row r="34">
      <c r="A34" s="14" t="inlineStr">
        <is>
          <t>body protection energy</t>
        </is>
      </c>
      <c r="B34" s="15" t="n">
        <v>0</v>
      </c>
      <c r="C34" s="2" t="n"/>
      <c r="D34" s="2" t="n"/>
      <c r="E34" s="3" t="n"/>
      <c r="F34" s="9" t="inlineStr">
        <is>
          <t>Inner Art+magic weapon</t>
        </is>
      </c>
      <c r="G34" s="2" t="n"/>
      <c r="H34" s="2" t="n"/>
      <c r="I34" s="2" t="n"/>
      <c r="J34" s="3" t="n"/>
    </row>
    <row r="35">
      <c r="A35" s="6" t="inlineStr">
        <is>
          <t>Evasion</t>
        </is>
      </c>
      <c r="B35" s="16" t="n">
        <v>28</v>
      </c>
      <c r="C35" s="2" t="n"/>
      <c r="D35" s="2" t="n"/>
      <c r="E35" s="3" t="n"/>
      <c r="F35" s="13" t="inlineStr">
        <is>
          <t>Agilityvalue</t>
        </is>
      </c>
      <c r="G35" s="2" t="n"/>
      <c r="H35" s="2" t="n"/>
      <c r="I35" s="2" t="n"/>
      <c r="J35" s="3" t="n"/>
    </row>
    <row r="36">
      <c r="A36" s="14" t="inlineStr">
        <is>
          <t>move</t>
        </is>
      </c>
      <c r="B36" s="15" t="inlineStr">
        <is>
          <t>1district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Spirit Wood Staff（Yellow level，1d6+Spirit Power/10，SpellDamage+10%）</t>
        </is>
      </c>
      <c r="C43" s="2" t="n"/>
      <c r="D43" s="2" t="n"/>
      <c r="E43" s="2" t="n"/>
      <c r="F43" s="2" t="n"/>
      <c r="G43" s="2" t="n"/>
      <c r="H43" s="2" t="n"/>
      <c r="I43" s="2" t="n"/>
      <c r="J43" s="3" t="n"/>
    </row>
    <row r="44">
      <c r="A44" s="6" t="inlineStr">
        <is>
          <t>robe</t>
        </is>
      </c>
      <c r="B44" s="8" t="inlineStr">
        <is>
          <t>Plain color robe（Yellow level，Defend+3，Magic resistance+5，Dao Heart+3）</t>
        </is>
      </c>
      <c r="C44" s="2" t="n"/>
      <c r="D44" s="2" t="n"/>
      <c r="E44" s="2" t="n"/>
      <c r="F44" s="2" t="n"/>
      <c r="G44" s="2" t="n"/>
      <c r="H44" s="2" t="n"/>
      <c r="I44" s="2" t="n"/>
      <c r="J44" s="3" t="n"/>
    </row>
    <row r="45">
      <c r="A45" s="6" t="inlineStr">
        <is>
          <t>magic weapon</t>
        </is>
      </c>
      <c r="B45" s="8" t="inlineStr">
        <is>
          <t>—</t>
        </is>
      </c>
      <c r="C45" s="2" t="n"/>
      <c r="D45" s="2" t="n"/>
      <c r="E45" s="2" t="n"/>
      <c r="F45" s="2" t="n"/>
      <c r="G45" s="2" t="n"/>
      <c r="H45" s="2" t="n"/>
      <c r="I45" s="2" t="n"/>
      <c r="J45" s="3" t="n"/>
    </row>
    <row r="46">
      <c r="A46" s="6" t="inlineStr">
        <is>
          <t>jewelry</t>
        </is>
      </c>
      <c r="B46" s="8" t="inlineStr">
        <is>
          <t>—</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《True interpretation of wood spirit》Lv.1（Xuan level，Wood typeCultivation Technique+15%，Pill Refining+10）</t>
        </is>
      </c>
      <c r="C50" s="2" t="n"/>
      <c r="D50" s="2" t="n"/>
      <c r="E50" s="2" t="n"/>
      <c r="F50" s="2" t="n"/>
      <c r="G50" s="2" t="n"/>
      <c r="H50" s="2" t="n"/>
      <c r="I50" s="2" t="n"/>
      <c r="J50" s="3" t="n"/>
    </row>
    <row r="51">
      <c r="A51" s="6" t="inlineStr">
        <is>
          <t>Martial Technique</t>
        </is>
      </c>
      <c r="B51" s="8" t="inlineStr">
        <is>
          <t>《BasicsPill Refiningtechnique》（Pill RefiningCheck+10，Refinable yellow levelPill）</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170</v>
      </c>
      <c r="D55" s="6" t="inlineStr">
        <is>
          <t>Pill</t>
        </is>
      </c>
      <c r="E55" s="8" t="inlineStr">
        <is>
          <t>Peiyuandan×3, Recovery Pill×2, Healing Pill×3, Qingxin Powder×1</t>
        </is>
      </c>
      <c r="F55" s="2" t="n"/>
      <c r="G55" s="2" t="n"/>
      <c r="H55" s="2" t="n"/>
      <c r="I55" s="2" t="n"/>
      <c r="J55" s="3" t="n"/>
    </row>
    <row r="56">
      <c r="A56" s="6" t="inlineStr">
        <is>
          <t>Poison</t>
        </is>
      </c>
      <c r="B56" s="15" t="inlineStr">
        <is>
          <t>0/100</t>
        </is>
      </c>
      <c r="D56" s="6" t="inlineStr">
        <is>
          <t>Inner Demon</t>
        </is>
      </c>
      <c r="E56" s="15" t="inlineStr">
        <is>
          <t>0/100</t>
        </is>
      </c>
    </row>
    <row r="57">
      <c r="A57" s="6" t="inlineStr">
        <is>
          <t>Shouyuan</t>
        </is>
      </c>
      <c r="B57" s="7" t="inlineStr">
        <is>
          <t>150Year</t>
        </is>
      </c>
      <c r="D57" s="6" t="inlineStr">
        <is>
          <t>Consumed</t>
        </is>
      </c>
      <c r="E57" s="7" t="inlineStr">
        <is>
          <t>21Year</t>
        </is>
      </c>
    </row>
    <row r="58"/>
    <row r="59">
      <c r="A59" s="5" t="inlineStr">
        <is>
          <t>background</t>
        </is>
      </c>
      <c r="B59" s="2" t="n"/>
      <c r="C59" s="2" t="n"/>
      <c r="D59" s="2" t="n"/>
      <c r="E59" s="2" t="n"/>
      <c r="F59" s="2" t="n"/>
      <c r="G59" s="2" t="n"/>
      <c r="H59" s="2" t="n"/>
      <c r="I59" s="2" t="n"/>
      <c r="J59" s="3" t="n"/>
    </row>
    <row r="60"/>
    <row r="61" ht="80" customHeight="1">
      <c r="A61" s="6" t="inlineStr">
        <is>
          <t>story</t>
        </is>
      </c>
      <c r="B61" s="8" t="inlineStr">
        <is>
          <t>Ye Lingxi was born into a family of medicine merchants in Dongtu.，Identifying herbs since childhood。Although heSpirit RootAverage quality，But it’s better than hard work and love——In front of the alchemy furnace, he was more focused than anyone else。He dreams of refining heaven-levelPill，Prove"Not qualified enough，Work hard to get it together"。</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H7:J7"/>
    <mergeCell ref="B36:E36"/>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cols>
    <col width="1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Tianji: Cultivation of the True Heart</t>
        </is>
      </c>
      <c r="B1" s="2" t="n"/>
      <c r="C1" s="2" t="n"/>
      <c r="D1" s="2" t="n"/>
      <c r="E1" s="2" t="n"/>
      <c r="F1" s="2" t="n"/>
      <c r="G1" s="2" t="n"/>
      <c r="H1" s="2" t="n"/>
      <c r="I1" s="2" t="n"/>
      <c r="J1" s="3" t="n"/>
    </row>
    <row r="2">
      <c r="A2" s="4" t="inlineStr">
        <is>
          <t>Yun Qianying — character card</t>
        </is>
      </c>
      <c r="B2" s="2" t="n"/>
      <c r="C2" s="2" t="n"/>
      <c r="D2" s="2" t="n"/>
      <c r="E2" s="2" t="n"/>
      <c r="F2" s="2" t="n"/>
      <c r="G2" s="2" t="n"/>
      <c r="H2" s="2" t="n"/>
      <c r="I2" s="2" t="n"/>
      <c r="J2" s="3" t="n"/>
    </row>
    <row r="3"/>
    <row r="4">
      <c r="A4" s="5" t="inlineStr">
        <is>
          <t>Basic information</t>
        </is>
      </c>
      <c r="B4" s="2" t="n"/>
      <c r="C4" s="2" t="n"/>
      <c r="D4" s="2" t="n"/>
      <c r="E4" s="2" t="n"/>
      <c r="F4" s="2" t="n"/>
      <c r="G4" s="2" t="n"/>
      <c r="H4" s="2" t="n"/>
      <c r="I4" s="2" t="n"/>
      <c r="J4" s="3" t="n"/>
    </row>
    <row r="5"/>
    <row r="6">
      <c r="A6" s="6" t="inlineStr">
        <is>
          <t>Name</t>
        </is>
      </c>
      <c r="B6" s="7" t="inlineStr">
        <is>
          <t>Yun Qianying</t>
        </is>
      </c>
      <c r="C6" s="3" t="n"/>
      <c r="D6" s="6" t="inlineStr">
        <is>
          <t>Title</t>
        </is>
      </c>
      <c r="E6" s="8" t="inlineStr">
        <is>
          <t>Outer disciple of Taixu Sword Sect</t>
        </is>
      </c>
      <c r="F6" s="2" t="n"/>
      <c r="G6" s="2" t="n"/>
      <c r="H6" s="3" t="n"/>
      <c r="I6" s="6" t="inlineStr">
        <is>
          <t>Realm</t>
        </is>
      </c>
      <c r="J6" s="7" t="inlineStr">
        <is>
          <t>Qi Refining·early(Lv.1)</t>
        </is>
      </c>
    </row>
    <row r="7">
      <c r="A7" s="6" t="inlineStr">
        <is>
          <t>gender</t>
        </is>
      </c>
      <c r="B7" s="7" t="inlineStr">
        <is>
          <t>female</t>
        </is>
      </c>
      <c r="C7" s="6" t="inlineStr">
        <is>
          <t>age</t>
        </is>
      </c>
      <c r="D7" s="7" t="n">
        <v>18</v>
      </c>
      <c r="E7" s="6" t="inlineStr">
        <is>
          <t>Lv</t>
        </is>
      </c>
      <c r="F7" s="7" t="n">
        <v>1</v>
      </c>
      <c r="G7" s="6" t="inlineStr">
        <is>
          <t>Cultivation</t>
        </is>
      </c>
      <c r="H7" s="7" t="inlineStr">
        <is>
          <t>0/100</t>
        </is>
      </c>
      <c r="I7" s="2" t="n"/>
      <c r="J7" s="3" t="n"/>
    </row>
    <row r="8">
      <c r="A8" s="6" t="inlineStr">
        <is>
          <t>origin</t>
        </is>
      </c>
      <c r="B8" s="8" t="inlineStr">
        <is>
          <t>Disciple of the middle sect</t>
        </is>
      </c>
      <c r="C8" s="2" t="n"/>
      <c r="D8" s="2" t="n"/>
      <c r="E8" s="2" t="n"/>
      <c r="F8" s="2" t="n"/>
      <c r="G8" s="2" t="n"/>
      <c r="H8" s="2" t="n"/>
      <c r="I8" s="2" t="n"/>
      <c r="J8" s="3" t="n"/>
    </row>
    <row r="9">
      <c r="A9" s="6" t="inlineStr">
        <is>
          <t>sect</t>
        </is>
      </c>
      <c r="B9" s="8" t="inlineStr">
        <is>
          <t>Taixu Sword Sect</t>
        </is>
      </c>
      <c r="C9" s="2" t="n"/>
      <c r="D9" s="2" t="n"/>
      <c r="E9" s="3" t="n"/>
      <c r="F9" s="6" t="inlineStr">
        <is>
          <t>special</t>
        </is>
      </c>
      <c r="G9" s="8" t="inlineStr">
        <is>
          <t>without</t>
        </is>
      </c>
      <c r="H9" s="2" t="n"/>
      <c r="I9" s="2" t="n"/>
      <c r="J9" s="3" t="n"/>
    </row>
    <row r="10"/>
    <row r="11">
      <c r="A11" s="5" t="inlineStr">
        <is>
          <t>Spirit Root</t>
        </is>
      </c>
      <c r="B11" s="2" t="n"/>
      <c r="C11" s="2" t="n"/>
      <c r="D11" s="2" t="n"/>
      <c r="E11" s="2" t="n"/>
      <c r="F11" s="2" t="n"/>
      <c r="G11" s="2" t="n"/>
      <c r="H11" s="2" t="n"/>
      <c r="I11" s="2" t="n"/>
      <c r="J11" s="3" t="n"/>
    </row>
    <row r="12"/>
    <row r="13">
      <c r="A13" s="6" t="inlineStr">
        <is>
          <t>Type</t>
        </is>
      </c>
      <c r="B13" s="7" t="inlineStr">
        <is>
          <t>goldSpirit Root</t>
        </is>
      </c>
      <c r="C13" s="2" t="n"/>
      <c r="D13" s="3" t="n"/>
      <c r="E13" s="6" t="inlineStr">
        <is>
          <t>quality</t>
        </is>
      </c>
      <c r="F13" s="7" t="inlineStr">
        <is>
          <t>Top grade（×1.3）</t>
        </is>
      </c>
      <c r="G13" s="2" t="n"/>
      <c r="H13" s="2" t="n"/>
      <c r="I13" s="2" t="n"/>
      <c r="J13" s="3" t="n"/>
    </row>
    <row r="14">
      <c r="A14" s="6" t="inlineStr">
        <is>
          <t>addition</t>
        </is>
      </c>
      <c r="B14" s="8" t="inlineStr">
        <is>
          <t>Constitution+5；Gold systemCultivation Techniquepower+10%；Refining weaponsSuccess Rate+10%</t>
        </is>
      </c>
      <c r="C14" s="2" t="n"/>
      <c r="D14" s="2" t="n"/>
      <c r="E14" s="2" t="n"/>
      <c r="F14" s="2" t="n"/>
      <c r="G14" s="2" t="n"/>
      <c r="H14" s="2" t="n"/>
      <c r="I14" s="2" t="n"/>
      <c r="J14" s="3" t="n"/>
    </row>
    <row r="15"/>
    <row r="16">
      <c r="A16" s="5" t="inlineStr">
        <is>
          <t>Eight Attributes (initial250free allocation of points)</t>
        </is>
      </c>
      <c r="B16" s="2" t="n"/>
      <c r="C16" s="2" t="n"/>
      <c r="D16" s="2" t="n"/>
      <c r="E16" s="2" t="n"/>
      <c r="F16" s="2" t="n"/>
      <c r="G16" s="2" t="n"/>
      <c r="H16" s="2" t="n"/>
      <c r="I16" s="2" t="n"/>
      <c r="J16" s="3" t="n"/>
    </row>
    <row r="17"/>
    <row r="18">
      <c r="A18" s="6" t="inlineStr">
        <is>
          <t>Constitution GUG</t>
        </is>
      </c>
      <c r="B18" s="7" t="n">
        <v>42</v>
      </c>
      <c r="C18" s="3" t="n"/>
      <c r="D18" s="9" t="inlineStr">
        <is>
          <t>practice/Breakthrough</t>
        </is>
      </c>
      <c r="E18" s="2" t="n"/>
      <c r="F18" s="2" t="n"/>
      <c r="G18" s="2" t="n"/>
      <c r="H18" s="3" t="n"/>
      <c r="I18" s="10">
        <f>FLOOR(B18/5,1)</f>
        <v/>
      </c>
      <c r="J18" s="11" t="inlineStr">
        <is>
          <t>bonus÷5</t>
        </is>
      </c>
    </row>
    <row r="19">
      <c r="A19" s="6" t="inlineStr">
        <is>
          <t>Comprehension WUX</t>
        </is>
      </c>
      <c r="B19" s="7" t="n">
        <v>33</v>
      </c>
      <c r="C19" s="3" t="n"/>
      <c r="D19" s="9" t="inlineStr">
        <is>
          <t>learn/crack</t>
        </is>
      </c>
      <c r="E19" s="2" t="n"/>
      <c r="F19" s="2" t="n"/>
      <c r="G19" s="2" t="n"/>
      <c r="H19" s="3" t="n"/>
      <c r="I19" s="10">
        <f>FLOOR(B19/5,1)</f>
        <v/>
      </c>
      <c r="J19" s="11" t="inlineStr">
        <is>
          <t>bonus÷5</t>
        </is>
      </c>
    </row>
    <row r="20">
      <c r="A20" s="6" t="inlineStr">
        <is>
          <t>Divine Sense SHS</t>
        </is>
      </c>
      <c r="B20" s="7" t="n">
        <v>30</v>
      </c>
      <c r="C20" s="3" t="n"/>
      <c r="D20" s="9" t="inlineStr">
        <is>
          <t>explore/Initiative</t>
        </is>
      </c>
      <c r="E20" s="2" t="n"/>
      <c r="F20" s="2" t="n"/>
      <c r="G20" s="2" t="n"/>
      <c r="H20" s="3" t="n"/>
      <c r="I20" s="10">
        <f>FLOOR(B20/5,1)</f>
        <v/>
      </c>
      <c r="J20" s="11" t="inlineStr">
        <is>
          <t>bonus÷5</t>
        </is>
      </c>
    </row>
    <row r="21">
      <c r="A21" s="6" t="inlineStr">
        <is>
          <t>Physique RSS</t>
        </is>
      </c>
      <c r="B21" s="7" t="n">
        <v>35</v>
      </c>
      <c r="C21" s="3" t="n"/>
      <c r="D21" s="9" t="inlineStr">
        <is>
          <t>Health Points（HP）/Melee</t>
        </is>
      </c>
      <c r="E21" s="2" t="n"/>
      <c r="F21" s="2" t="n"/>
      <c r="G21" s="2" t="n"/>
      <c r="H21" s="3" t="n"/>
      <c r="I21" s="10">
        <f>FLOOR(B21/5,1)</f>
        <v/>
      </c>
      <c r="J21" s="11" t="inlineStr">
        <is>
          <t>bonus÷5</t>
        </is>
      </c>
    </row>
    <row r="22">
      <c r="A22" s="6" t="inlineStr">
        <is>
          <t>Spirit Power LIL</t>
        </is>
      </c>
      <c r="B22" s="7" t="n">
        <v>32</v>
      </c>
      <c r="C22" s="3" t="n"/>
      <c r="D22" s="9" t="inlineStr">
        <is>
          <t>Spell/Infuriated</t>
        </is>
      </c>
      <c r="E22" s="2" t="n"/>
      <c r="F22" s="2" t="n"/>
      <c r="G22" s="2" t="n"/>
      <c r="H22" s="3" t="n"/>
      <c r="I22" s="10">
        <f>FLOOR(B22/5,1)</f>
        <v/>
      </c>
      <c r="J22" s="11" t="inlineStr">
        <is>
          <t>bonus÷5</t>
        </is>
      </c>
    </row>
    <row r="23">
      <c r="A23" s="6" t="inlineStr">
        <is>
          <t>Agility SHF</t>
        </is>
      </c>
      <c r="B23" s="7" t="n">
        <v>34</v>
      </c>
      <c r="C23" s="3" t="n"/>
      <c r="D23" s="9" t="inlineStr">
        <is>
          <t>Evasion/move</t>
        </is>
      </c>
      <c r="E23" s="2" t="n"/>
      <c r="F23" s="2" t="n"/>
      <c r="G23" s="2" t="n"/>
      <c r="H23" s="3" t="n"/>
      <c r="I23" s="10">
        <f>FLOOR(B23/5,1)</f>
        <v/>
      </c>
      <c r="J23" s="11" t="inlineStr">
        <is>
          <t>bonus÷5</t>
        </is>
      </c>
    </row>
    <row r="24">
      <c r="A24" s="6" t="inlineStr">
        <is>
          <t>Fortune JIY</t>
        </is>
      </c>
      <c r="B24" s="7" t="n">
        <v>22</v>
      </c>
      <c r="C24" s="3" t="n"/>
      <c r="D24" s="9" t="inlineStr">
        <is>
          <t>explore/fall</t>
        </is>
      </c>
      <c r="E24" s="2" t="n"/>
      <c r="F24" s="2" t="n"/>
      <c r="G24" s="2" t="n"/>
      <c r="H24" s="3" t="n"/>
      <c r="I24" s="10">
        <f>FLOOR(B24/5,1)</f>
        <v/>
      </c>
      <c r="J24" s="11" t="inlineStr">
        <is>
          <t>bonus÷5</t>
        </is>
      </c>
    </row>
    <row r="25">
      <c r="A25" s="6" t="inlineStr">
        <is>
          <t>Dao Heart DAX</t>
        </is>
      </c>
      <c r="B25" s="7" t="n">
        <v>36</v>
      </c>
      <c r="C25" s="3" t="n"/>
      <c r="D25" s="9" t="inlineStr">
        <is>
          <t>Inner Demon/Tribulation Crossing</t>
        </is>
      </c>
      <c r="E25" s="2" t="n"/>
      <c r="F25" s="2" t="n"/>
      <c r="G25" s="2" t="n"/>
      <c r="H25" s="3" t="n"/>
      <c r="I25" s="10">
        <f>FLOOR(B25/5,1)</f>
        <v/>
      </c>
      <c r="J25" s="11" t="inlineStr">
        <is>
          <t>bonus÷5</t>
        </is>
      </c>
    </row>
    <row r="26"/>
    <row r="27">
      <c r="A27" s="5" t="inlineStr">
        <is>
          <t>Derived properties</t>
        </is>
      </c>
      <c r="B27" s="2" t="n"/>
      <c r="C27" s="2" t="n"/>
      <c r="D27" s="2" t="n"/>
      <c r="E27" s="2" t="n"/>
      <c r="F27" s="2" t="n"/>
      <c r="G27" s="2" t="n"/>
      <c r="H27" s="2" t="n"/>
      <c r="I27" s="2" t="n"/>
      <c r="J27" s="3" t="n"/>
    </row>
    <row r="28"/>
    <row r="29">
      <c r="A29" s="6" t="inlineStr">
        <is>
          <t>Health Points HP</t>
        </is>
      </c>
      <c r="B29" s="12">
        <f>1.5*B21</f>
        <v/>
      </c>
      <c r="C29" s="2" t="n"/>
      <c r="D29" s="2" t="n"/>
      <c r="E29" s="3" t="n"/>
      <c r="F29" s="13" t="inlineStr">
        <is>
          <t>Physique×Realmcoefficient</t>
        </is>
      </c>
      <c r="G29" s="2" t="n"/>
      <c r="H29" s="2" t="n"/>
      <c r="I29" s="2" t="n"/>
      <c r="J29" s="3" t="n"/>
    </row>
    <row r="30">
      <c r="A30" s="14" t="inlineStr">
        <is>
          <t>Qi Pool</t>
        </is>
      </c>
      <c r="B30" s="10">
        <f>1.0*B22</f>
        <v/>
      </c>
      <c r="C30" s="2" t="n"/>
      <c r="D30" s="2" t="n"/>
      <c r="E30" s="3" t="n"/>
      <c r="F30" s="9" t="inlineStr">
        <is>
          <t>Spirit Power×Realmcoefficient</t>
        </is>
      </c>
      <c r="G30" s="2" t="n"/>
      <c r="H30" s="2" t="n"/>
      <c r="I30" s="2" t="n"/>
      <c r="J30" s="3" t="n"/>
    </row>
    <row r="31">
      <c r="A31" s="6" t="inlineStr">
        <is>
          <t>Initiativevalue</t>
        </is>
      </c>
      <c r="B31" s="12">
        <f>B20+FLOOR(B23/5,1)</f>
        <v/>
      </c>
      <c r="C31" s="2" t="n"/>
      <c r="D31" s="2" t="n"/>
      <c r="E31" s="3" t="n"/>
      <c r="F31" s="13" t="inlineStr">
        <is>
          <t>Divine Sense+floor(Agility/5)</t>
        </is>
      </c>
      <c r="G31" s="2" t="n"/>
      <c r="H31" s="2" t="n"/>
      <c r="I31" s="2" t="n"/>
      <c r="J31" s="3" t="n"/>
    </row>
    <row r="32">
      <c r="A32" s="14" t="inlineStr">
        <is>
          <t>physicsDefense</t>
        </is>
      </c>
      <c r="B32" s="15" t="n">
        <v>5</v>
      </c>
      <c r="C32" s="2" t="n"/>
      <c r="D32" s="2" t="n"/>
      <c r="E32" s="3" t="n"/>
      <c r="F32" s="9" t="inlineStr">
        <is>
          <t>robe+Cultivation Technique</t>
        </is>
      </c>
      <c r="G32" s="2" t="n"/>
      <c r="H32" s="2" t="n"/>
      <c r="I32" s="2" t="n"/>
      <c r="J32" s="3" t="n"/>
    </row>
    <row r="33">
      <c r="A33" s="6" t="inlineStr">
        <is>
          <t>SpellResistance</t>
        </is>
      </c>
      <c r="B33" s="16" t="n">
        <v>8</v>
      </c>
      <c r="C33" s="2" t="n"/>
      <c r="D33" s="2" t="n"/>
      <c r="E33" s="3" t="n"/>
      <c r="F33" s="13" t="inlineStr">
        <is>
          <t>robe+Cultivation Technique</t>
        </is>
      </c>
      <c r="G33" s="2" t="n"/>
      <c r="H33" s="2" t="n"/>
      <c r="I33" s="2" t="n"/>
      <c r="J33" s="3" t="n"/>
    </row>
    <row r="34">
      <c r="A34" s="14" t="inlineStr">
        <is>
          <t>body protection energy</t>
        </is>
      </c>
      <c r="B34" s="15" t="n">
        <v>0</v>
      </c>
      <c r="C34" s="2" t="n"/>
      <c r="D34" s="2" t="n"/>
      <c r="E34" s="3" t="n"/>
      <c r="F34" s="9" t="inlineStr">
        <is>
          <t>Inner Art+magic weapon</t>
        </is>
      </c>
      <c r="G34" s="2" t="n"/>
      <c r="H34" s="2" t="n"/>
      <c r="I34" s="2" t="n"/>
      <c r="J34" s="3" t="n"/>
    </row>
    <row r="35">
      <c r="A35" s="6" t="inlineStr">
        <is>
          <t>Evasion</t>
        </is>
      </c>
      <c r="B35" s="16" t="n">
        <v>34</v>
      </c>
      <c r="C35" s="2" t="n"/>
      <c r="D35" s="2" t="n"/>
      <c r="E35" s="3" t="n"/>
      <c r="F35" s="13" t="inlineStr">
        <is>
          <t>Agilityvalue</t>
        </is>
      </c>
      <c r="G35" s="2" t="n"/>
      <c r="H35" s="2" t="n"/>
      <c r="I35" s="2" t="n"/>
      <c r="J35" s="3" t="n"/>
    </row>
    <row r="36">
      <c r="A36" s="14" t="inlineStr">
        <is>
          <t>move</t>
        </is>
      </c>
      <c r="B36" s="15" t="inlineStr">
        <is>
          <t>1district</t>
        </is>
      </c>
      <c r="C36" s="2" t="n"/>
      <c r="D36" s="2" t="n"/>
      <c r="E36" s="3" t="n"/>
      <c r="F36" s="9" t="inlineStr">
        <is>
          <t>according toAgility</t>
        </is>
      </c>
      <c r="G36" s="2" t="n"/>
      <c r="H36" s="2" t="n"/>
      <c r="I36" s="2" t="n"/>
      <c r="J36" s="3" t="n"/>
    </row>
    <row r="37">
      <c r="A37" s="6" t="inlineStr">
        <is>
          <t>Major Successachievement</t>
        </is>
      </c>
      <c r="B37" s="12">
        <f>3+FLOOR((G7-1)/3,1)</f>
        <v/>
      </c>
      <c r="C37" s="2" t="n"/>
      <c r="D37" s="2" t="n"/>
      <c r="E37" s="3" t="n"/>
      <c r="F37" s="13" t="inlineStr">
        <is>
          <t>1d100≤this value</t>
        </is>
      </c>
      <c r="G37" s="2" t="n"/>
      <c r="H37" s="2" t="n"/>
      <c r="I37" s="2" t="n"/>
      <c r="J37" s="3" t="n"/>
    </row>
    <row r="38">
      <c r="A38" s="14" t="inlineStr">
        <is>
          <t>big failure</t>
        </is>
      </c>
      <c r="B38" s="15" t="inlineStr">
        <is>
          <t>96-00</t>
        </is>
      </c>
      <c r="C38" s="2" t="n"/>
      <c r="D38" s="2" t="n"/>
      <c r="E38" s="3" t="n"/>
      <c r="F38" s="9" t="inlineStr">
        <is>
          <t>fixed5%</t>
        </is>
      </c>
      <c r="G38" s="2" t="n"/>
      <c r="H38" s="2" t="n"/>
      <c r="I38" s="2" t="n"/>
      <c r="J38" s="3" t="n"/>
    </row>
    <row r="39"/>
    <row r="40"/>
    <row r="41">
      <c r="A41" s="5" t="inlineStr">
        <is>
          <t>Equipment</t>
        </is>
      </c>
      <c r="B41" s="2" t="n"/>
      <c r="C41" s="2" t="n"/>
      <c r="D41" s="2" t="n"/>
      <c r="E41" s="2" t="n"/>
      <c r="F41" s="2" t="n"/>
      <c r="G41" s="2" t="n"/>
      <c r="H41" s="2" t="n"/>
      <c r="I41" s="2" t="n"/>
      <c r="J41" s="3" t="n"/>
    </row>
    <row r="42"/>
    <row r="43">
      <c r="A43" s="6" t="inlineStr">
        <is>
          <t>arms</t>
        </is>
      </c>
      <c r="B43" s="8" t="inlineStr">
        <is>
          <t>Qingfeng sword（Xuan level，1d10+Physique/8，hit+5）</t>
        </is>
      </c>
      <c r="C43" s="2" t="n"/>
      <c r="D43" s="2" t="n"/>
      <c r="E43" s="2" t="n"/>
      <c r="F43" s="2" t="n"/>
      <c r="G43" s="2" t="n"/>
      <c r="H43" s="2" t="n"/>
      <c r="I43" s="2" t="n"/>
      <c r="J43" s="3" t="n"/>
    </row>
    <row r="44">
      <c r="A44" s="6" t="inlineStr">
        <is>
          <t>robe</t>
        </is>
      </c>
      <c r="B44" s="8" t="inlineStr">
        <is>
          <t>Spirit Silk Robe（Yellow level，Defend+4，Magic resistance+8）</t>
        </is>
      </c>
      <c r="C44" s="2" t="n"/>
      <c r="D44" s="2" t="n"/>
      <c r="E44" s="2" t="n"/>
      <c r="F44" s="2" t="n"/>
      <c r="G44" s="2" t="n"/>
      <c r="H44" s="2" t="n"/>
      <c r="I44" s="2" t="n"/>
      <c r="J44" s="3" t="n"/>
    </row>
    <row r="45">
      <c r="A45" s="6" t="inlineStr">
        <is>
          <t>magic weapon</t>
        </is>
      </c>
      <c r="B45" s="8" t="inlineStr">
        <is>
          <t>Jade Talisman（Block fatal1Second-rate）</t>
        </is>
      </c>
      <c r="C45" s="2" t="n"/>
      <c r="D45" s="2" t="n"/>
      <c r="E45" s="2" t="n"/>
      <c r="F45" s="2" t="n"/>
      <c r="G45" s="2" t="n"/>
      <c r="H45" s="2" t="n"/>
      <c r="I45" s="2" t="n"/>
      <c r="J45" s="3" t="n"/>
    </row>
    <row r="46">
      <c r="A46" s="6" t="inlineStr">
        <is>
          <t>jewelry</t>
        </is>
      </c>
      <c r="B46" s="8" t="inlineStr">
        <is>
          <t>Breastplate pendant（offset10Overflow fatal injury）</t>
        </is>
      </c>
      <c r="C46" s="2" t="n"/>
      <c r="D46" s="2" t="n"/>
      <c r="E46" s="2" t="n"/>
      <c r="F46" s="2" t="n"/>
      <c r="G46" s="2" t="n"/>
      <c r="H46" s="2" t="n"/>
      <c r="I46" s="2" t="n"/>
      <c r="J46" s="3" t="n"/>
    </row>
    <row r="47"/>
    <row r="48">
      <c r="A48" s="5" t="inlineStr">
        <is>
          <t>Cultivation Technique</t>
        </is>
      </c>
      <c r="B48" s="2" t="n"/>
      <c r="C48" s="2" t="n"/>
      <c r="D48" s="2" t="n"/>
      <c r="E48" s="2" t="n"/>
      <c r="F48" s="2" t="n"/>
      <c r="G48" s="2" t="n"/>
      <c r="H48" s="2" t="n"/>
      <c r="I48" s="2" t="n"/>
      <c r="J48" s="3" t="n"/>
    </row>
    <row r="49"/>
    <row r="50">
      <c r="A50" s="6" t="inlineStr">
        <is>
          <t>Inner Art</t>
        </is>
      </c>
      <c r="B50" s="8" t="inlineStr">
        <is>
          <t>《Tiangang Zhengqi Jue》Lv.1（Xuan level，All attributes+3，against evil spiritsDamage+15%）</t>
        </is>
      </c>
      <c r="C50" s="2" t="n"/>
      <c r="D50" s="2" t="n"/>
      <c r="E50" s="2" t="n"/>
      <c r="F50" s="2" t="n"/>
      <c r="G50" s="2" t="n"/>
      <c r="H50" s="2" t="n"/>
      <c r="I50" s="2" t="n"/>
      <c r="J50" s="3" t="n"/>
    </row>
    <row r="51">
      <c r="A51" s="6" t="inlineStr">
        <is>
          <t>Martial Technique</t>
        </is>
      </c>
      <c r="B51" s="8" t="inlineStr">
        <is>
          <t>《Green Lotus Sword Technique》Lv.1（Xuan level，mid distance2d8+Physique/8，No.3hit×1.5）</t>
        </is>
      </c>
      <c r="C51" s="2" t="n"/>
      <c r="D51" s="2" t="n"/>
      <c r="E51" s="2" t="n"/>
      <c r="F51" s="2" t="n"/>
      <c r="G51" s="2" t="n"/>
      <c r="H51" s="2" t="n"/>
      <c r="I51" s="2" t="n"/>
      <c r="J51" s="3" t="n"/>
    </row>
    <row r="52"/>
    <row r="53">
      <c r="A53" s="5" t="inlineStr">
        <is>
          <t>Itemwith status</t>
        </is>
      </c>
      <c r="B53" s="2" t="n"/>
      <c r="C53" s="2" t="n"/>
      <c r="D53" s="2" t="n"/>
      <c r="E53" s="2" t="n"/>
      <c r="F53" s="2" t="n"/>
      <c r="G53" s="2" t="n"/>
      <c r="H53" s="2" t="n"/>
      <c r="I53" s="2" t="n"/>
      <c r="J53" s="3" t="n"/>
    </row>
    <row r="54"/>
    <row r="55">
      <c r="A55" s="6" t="inlineStr">
        <is>
          <t>spirit stone</t>
        </is>
      </c>
      <c r="B55" s="7" t="n">
        <v>190</v>
      </c>
      <c r="D55" s="6" t="inlineStr">
        <is>
          <t>Pill</t>
        </is>
      </c>
      <c r="E55" s="8" t="inlineStr">
        <is>
          <t>Peiyuandan×2, Recovery Pill×3, Healing Pill×3</t>
        </is>
      </c>
      <c r="F55" s="2" t="n"/>
      <c r="G55" s="2" t="n"/>
      <c r="H55" s="2" t="n"/>
      <c r="I55" s="2" t="n"/>
      <c r="J55" s="3" t="n"/>
    </row>
    <row r="56">
      <c r="A56" s="6" t="inlineStr">
        <is>
          <t>Poison</t>
        </is>
      </c>
      <c r="B56" s="15" t="inlineStr">
        <is>
          <t>0/100</t>
        </is>
      </c>
      <c r="D56" s="6" t="inlineStr">
        <is>
          <t>Inner Demon</t>
        </is>
      </c>
      <c r="E56" s="15" t="inlineStr">
        <is>
          <t>0/100</t>
        </is>
      </c>
    </row>
    <row r="57">
      <c r="A57" s="6" t="inlineStr">
        <is>
          <t>Shouyuan</t>
        </is>
      </c>
      <c r="B57" s="7" t="inlineStr">
        <is>
          <t>150Year</t>
        </is>
      </c>
      <c r="D57" s="6" t="inlineStr">
        <is>
          <t>Consumed</t>
        </is>
      </c>
      <c r="E57" s="7" t="inlineStr">
        <is>
          <t>18Year</t>
        </is>
      </c>
    </row>
    <row r="58"/>
    <row r="59">
      <c r="A59" s="5" t="inlineStr">
        <is>
          <t>background</t>
        </is>
      </c>
      <c r="B59" s="2" t="n"/>
      <c r="C59" s="2" t="n"/>
      <c r="D59" s="2" t="n"/>
      <c r="E59" s="2" t="n"/>
      <c r="F59" s="2" t="n"/>
      <c r="G59" s="2" t="n"/>
      <c r="H59" s="2" t="n"/>
      <c r="I59" s="2" t="n"/>
      <c r="J59" s="3" t="n"/>
    </row>
    <row r="60"/>
    <row r="61" ht="80" customHeight="1">
      <c r="A61" s="6" t="inlineStr">
        <is>
          <t>story</t>
        </is>
      </c>
      <c r="B61" s="8" t="inlineStr">
        <is>
          <t>Yun Qianying was born in a small town in Zhongzhou，8When he was young, his gold was discovered by a traveling elder of the Taixu Sword Sect.Spirit RootTop quality qualification，Income outside door。Practicing basic swordsmanship for ten years in the Sword Washing Pool，finallyQi RefiningPerfected，Approved to participate in the internal examination。She has a cold and arrogant temperament，taciturn，The heart of the sword is extremely pure。</t>
        </is>
      </c>
      <c r="C61" s="2" t="n"/>
      <c r="D61" s="2" t="n"/>
      <c r="E61" s="2" t="n"/>
      <c r="F61" s="2" t="n"/>
      <c r="G61" s="2" t="n"/>
      <c r="H61" s="2" t="n"/>
      <c r="I61" s="2" t="n"/>
      <c r="J61" s="3" t="n"/>
    </row>
  </sheetData>
  <mergeCells count="63">
    <mergeCell ref="B9:E9"/>
    <mergeCell ref="F29:J29"/>
    <mergeCell ref="D20:H20"/>
    <mergeCell ref="B25:C25"/>
    <mergeCell ref="B61:J61"/>
    <mergeCell ref="F34:J34"/>
    <mergeCell ref="B14:J14"/>
    <mergeCell ref="D19:H19"/>
    <mergeCell ref="B30:E30"/>
    <mergeCell ref="A53:J53"/>
    <mergeCell ref="B13:D13"/>
    <mergeCell ref="A4:J4"/>
    <mergeCell ref="B8:J8"/>
    <mergeCell ref="B22:C22"/>
    <mergeCell ref="B33:E33"/>
    <mergeCell ref="B18:C18"/>
    <mergeCell ref="D22:H22"/>
    <mergeCell ref="H7:J7"/>
    <mergeCell ref="B36:E36"/>
    <mergeCell ref="B32:E32"/>
    <mergeCell ref="B44:J44"/>
    <mergeCell ref="F30:J30"/>
    <mergeCell ref="B21:C21"/>
    <mergeCell ref="G9:J9"/>
    <mergeCell ref="D21:H21"/>
    <mergeCell ref="B35:E35"/>
    <mergeCell ref="B23:C23"/>
    <mergeCell ref="F36:J36"/>
    <mergeCell ref="A59:J59"/>
    <mergeCell ref="F33:J33"/>
    <mergeCell ref="A48:J48"/>
    <mergeCell ref="F32:J32"/>
    <mergeCell ref="F35:J35"/>
    <mergeCell ref="A11:J11"/>
    <mergeCell ref="B31:E31"/>
    <mergeCell ref="A1:J1"/>
    <mergeCell ref="B51:J51"/>
    <mergeCell ref="B45:J45"/>
    <mergeCell ref="B19:C19"/>
    <mergeCell ref="F38:J38"/>
    <mergeCell ref="B50:J50"/>
    <mergeCell ref="F31:J31"/>
    <mergeCell ref="A16:J16"/>
    <mergeCell ref="D18:H18"/>
    <mergeCell ref="F13:J13"/>
    <mergeCell ref="A41:J41"/>
    <mergeCell ref="B6:C6"/>
    <mergeCell ref="B24:C24"/>
    <mergeCell ref="D25:H25"/>
    <mergeCell ref="E55:J55"/>
    <mergeCell ref="F37:J37"/>
    <mergeCell ref="D24:H24"/>
    <mergeCell ref="B46:J46"/>
    <mergeCell ref="B20:C20"/>
    <mergeCell ref="A27:J27"/>
    <mergeCell ref="B38:E38"/>
    <mergeCell ref="E6:H6"/>
    <mergeCell ref="A2:J2"/>
    <mergeCell ref="B29:E29"/>
    <mergeCell ref="D23:H23"/>
    <mergeCell ref="B37:E37"/>
    <mergeCell ref="B43:J43"/>
    <mergeCell ref="B34:E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2026-06-21T18:16:16Z</dcterms:created>
  <dcterms:modified xmlns:dcterms="http://purl.org/dc/terms/" xmlns:xsi="http://www.w3.org/2001/XMLSchema-instance" xsi:type="dcterms:W3CDTF">2026-08-09T10:19:52Z</dcterms:modified>
</cp:coreProperties>
</file>