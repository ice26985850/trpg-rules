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 Sheet" sheetId="1" state="visible" r:id="rId1"/>
    <sheet xmlns:r="http://schemas.openxmlformats.org/officeDocument/2006/relationships" name="Techniques &amp; Gear" sheetId="2" state="visible" r:id="rId2"/>
    <sheet xmlns:r="http://schemas.openxmlformats.org/officeDocument/2006/relationships" name="Background &amp; Notes" sheetId="3" state="visible" r:id="rId3"/>
    <sheet xmlns:r="http://schemas.openxmlformats.org/officeDocument/2006/relationships" name="Quick D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D4AF37"/>
      <sz val="12"/>
    </font>
    <font>
      <name val="Microsoft YaHei"/>
      <color rgb="00E0D8C0"/>
      <sz val="10"/>
    </font>
    <font>
      <name val="Microsoft YaHei"/>
      <b val="1"/>
      <color rgb="00E0D8C0"/>
      <sz val="11"/>
    </font>
    <font>
      <name val="Microsoft YaHei"/>
      <i val="1"/>
      <color rgb="00D4AF37"/>
      <sz val="10"/>
    </font>
    <font>
      <name val="Microsoft YaHei"/>
      <color rgb="00A0A080"/>
      <sz val="9"/>
    </font>
  </fonts>
  <fills count="9">
    <fill>
      <patternFill/>
    </fill>
    <fill>
      <patternFill patternType="gray125"/>
    </fill>
    <fill>
      <patternFill patternType="solid">
        <fgColor rgb="001A1030"/>
        <bgColor rgb="001A1030"/>
      </patternFill>
    </fill>
    <fill>
      <patternFill patternType="solid">
        <fgColor rgb="002A2030"/>
        <bgColor rgb="002A2030"/>
      </patternFill>
    </fill>
    <fill>
      <patternFill patternType="solid">
        <fgColor rgb="0012101A"/>
        <bgColor rgb="0012101A"/>
      </patternFill>
    </fill>
    <fill>
      <patternFill patternType="solid">
        <fgColor rgb="000A0A14"/>
        <bgColor rgb="000A0A14"/>
      </patternFill>
    </fill>
    <fill>
      <patternFill patternType="solid">
        <fgColor rgb="001A1525"/>
        <bgColor rgb="001A1525"/>
      </patternFill>
    </fill>
    <fill>
      <patternFill patternType="solid">
        <fgColor rgb="00152015"/>
        <bgColor rgb="00152015"/>
      </patternFill>
    </fill>
    <fill>
      <patternFill patternType="solid">
        <fgColor rgb="00301515"/>
        <bgColor rgb="00301515"/>
      </patternFill>
    </fill>
  </fills>
  <borders count="9">
    <border>
      <left/>
      <right/>
      <top/>
      <bottom/>
      <diagonal/>
    </border>
    <border>
      <left style="thin">
        <color rgb="003A3040"/>
      </left>
      <right style="thin">
        <color rgb="003A3040"/>
      </right>
      <top style="thin">
        <color rgb="003A3040"/>
      </top>
      <bottom style="thin">
        <color rgb="003A3040"/>
      </bottom>
    </border>
    <border>
      <left/>
      <right/>
      <top style="thin">
        <color rgb="003A3040"/>
      </top>
      <bottom/>
      <diagonal/>
    </border>
    <border>
      <left/>
      <right style="thin">
        <color rgb="003A3040"/>
      </right>
      <top style="thin">
        <color rgb="003A3040"/>
      </top>
      <bottom/>
      <diagonal/>
    </border>
    <border>
      <left/>
      <right/>
      <top style="thin">
        <color rgb="003A3040"/>
      </top>
      <bottom style="thin">
        <color rgb="003A3040"/>
      </bottom>
      <diagonal/>
    </border>
    <border>
      <left/>
      <right style="thin">
        <color rgb="003A3040"/>
      </right>
      <top style="thin">
        <color rgb="003A3040"/>
      </top>
      <bottom style="thin">
        <color rgb="003A3040"/>
      </bottom>
      <diagonal/>
    </border>
    <border>
      <left style="thin">
        <color rgb="003A3040"/>
      </left>
      <right/>
      <top/>
      <bottom/>
      <diagonal/>
    </border>
    <border>
      <left style="thin">
        <color rgb="003A3040"/>
      </left>
      <right style="thin">
        <color rgb="003A3040"/>
      </right>
      <top/>
      <bottom/>
      <diagonal/>
    </border>
    <border>
      <left style="thin">
        <color rgb="003A3040"/>
      </left>
      <right style="thin">
        <color rgb="003A3040"/>
      </right>
      <top/>
      <bottom style="thin">
        <color rgb="003A304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4" pivotButton="0" quotePrefix="0" xfId="0"/>
    <xf numFmtId="0" fontId="0" fillId="3" borderId="5" pivotButton="0" quotePrefix="0" xfId="0"/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6" borderId="4" pivotButton="0" quotePrefix="0" xfId="0"/>
    <xf numFmtId="0" fontId="0" fillId="6" borderId="5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1" applyAlignment="1" pivotButton="0" quotePrefix="0" xfId="0">
      <alignment horizontal="left" vertical="center" wrapText="1"/>
    </xf>
    <xf numFmtId="0" fontId="0" fillId="7" borderId="4" pivotButton="0" quotePrefix="0" xfId="0"/>
    <xf numFmtId="0" fontId="0" fillId="7" borderId="5" pivotButton="0" quotePrefix="0" xfId="0"/>
    <xf numFmtId="0" fontId="0" fillId="4" borderId="0" pivotButton="0" quotePrefix="0" xfId="0"/>
    <xf numFmtId="0" fontId="6" fillId="4" borderId="1" applyAlignment="1" pivotButton="0" quotePrefix="0" xfId="0">
      <alignment horizontal="left" vertical="center" wrapText="1"/>
    </xf>
    <xf numFmtId="0" fontId="0" fillId="4" borderId="4" pivotButton="0" quotePrefix="0" xfId="0"/>
    <xf numFmtId="0" fontId="0" fillId="4" borderId="5" pivotButton="0" quotePrefix="0" xfId="0"/>
    <xf numFmtId="0" fontId="4" fillId="6" borderId="1" applyAlignment="1" pivotButton="0" quotePrefix="0" xfId="0">
      <alignment horizontal="left" vertical="center" wrapText="1"/>
    </xf>
    <xf numFmtId="0" fontId="0" fillId="6" borderId="0" pivotButton="0" quotePrefix="0" xfId="0"/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6" fillId="8" borderId="1" applyAlignment="1" pivotButton="0" quotePrefix="0" xfId="0">
      <alignment horizontal="left" vertical="center" wrapText="1"/>
    </xf>
    <xf numFmtId="0" fontId="0" fillId="8" borderId="4" pivotButton="0" quotePrefix="0" xfId="0"/>
    <xf numFmtId="0" fontId="0" fillId="8" borderId="5" pivotButton="0" quotePrefix="0" xfId="0"/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5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F37"/>
    <outlinePr summaryBelow="1" summaryRight="1"/>
    <pageSetUpPr/>
  </sheetPr>
  <dimension ref="A1:J9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Tianji: Cultivation of the True Heart — character card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/>
    <row r="3">
      <c r="A3" s="4" t="inlineStr">
        <is>
          <t>Basic Information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/>
    <row r="5">
      <c r="A5" s="7" t="inlineStr">
        <is>
          <t>Role Name</t>
        </is>
      </c>
      <c r="B5" s="8" t="inlineStr"/>
      <c r="C5" s="3" t="n"/>
      <c r="D5" s="7" t="inlineStr">
        <is>
          <t>Player Name</t>
        </is>
      </c>
      <c r="E5" s="8" t="inlineStr"/>
      <c r="F5" s="7" t="inlineStr">
        <is>
          <t>Daoist title</t>
        </is>
      </c>
      <c r="G5" s="8" t="inlineStr"/>
      <c r="H5" s="7" t="inlineStr">
        <is>
          <t>Realm</t>
        </is>
      </c>
      <c r="I5" s="8" t="inlineStr"/>
      <c r="J5" s="3" t="n"/>
    </row>
    <row r="6">
      <c r="A6" s="7" t="inlineStr">
        <is>
          <t>Spirit Root</t>
        </is>
      </c>
      <c r="B6" s="8" t="inlineStr"/>
      <c r="C6" s="2" t="n"/>
      <c r="D6" s="2" t="n"/>
      <c r="E6" s="3" t="n"/>
      <c r="F6" s="7" t="inlineStr">
        <is>
          <t>Spirit RootQuality</t>
        </is>
      </c>
      <c r="G6" s="8" t="inlineStr"/>
      <c r="H6" s="7" t="inlineStr">
        <is>
          <t>sect</t>
        </is>
      </c>
      <c r="I6" s="8" t="inlineStr"/>
      <c r="J6" s="3" t="n"/>
    </row>
    <row r="7">
      <c r="A7" s="7" t="inlineStr">
        <is>
          <t>Background Origin</t>
        </is>
      </c>
      <c r="B7" s="8" t="inlineStr"/>
      <c r="C7" s="2" t="n"/>
      <c r="D7" s="2" t="n"/>
      <c r="E7" s="3" t="n"/>
      <c r="F7" s="7" t="inlineStr">
        <is>
          <t>Level(Lv)</t>
        </is>
      </c>
      <c r="G7" s="9" t="n">
        <v>1</v>
      </c>
      <c r="H7" s="7" t="inlineStr">
        <is>
          <t>Cultivation</t>
        </is>
      </c>
      <c r="I7" s="9" t="n">
        <v>0</v>
      </c>
      <c r="J7" s="3" t="n"/>
    </row>
    <row r="8"/>
    <row r="9">
      <c r="A9" s="4" t="inlineStr">
        <is>
          <t>Eight Attributes（Initial250Points Free Allocation）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3" t="n"/>
    </row>
    <row r="10">
      <c r="A10" s="7" t="inlineStr">
        <is>
          <t>Constitution GUG</t>
        </is>
      </c>
      <c r="B10" s="9" t="inlineStr"/>
      <c r="C10" s="3" t="n"/>
      <c r="D10" s="10" t="inlineStr"/>
      <c r="E10" s="11" t="inlineStr">
        <is>
          <t>Refinement Speed、BreakthroughCheck</t>
        </is>
      </c>
      <c r="F10" s="2" t="n"/>
      <c r="G10" s="2" t="n"/>
      <c r="H10" s="3" t="n"/>
      <c r="I10" s="10">
        <f>IF(B10="","",FLOOR(B10/5,1))</f>
        <v/>
      </c>
    </row>
    <row r="11">
      <c r="A11" s="12" t="inlineStr"/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>
      <c r="A12" s="7" t="inlineStr">
        <is>
          <t>Comprehension WUX</t>
        </is>
      </c>
      <c r="B12" s="9" t="inlineStr"/>
      <c r="C12" s="3" t="n"/>
      <c r="D12" s="10" t="inlineStr"/>
      <c r="E12" s="11" t="inlineStr">
        <is>
          <t>Cultivation TechniqueLearning、Formation ArrayCrack</t>
        </is>
      </c>
      <c r="F12" s="2" t="n"/>
      <c r="G12" s="2" t="n"/>
      <c r="H12" s="3" t="n"/>
      <c r="I12" s="10">
        <f>IF(B12="","",FLOOR(B12/5,1))</f>
        <v/>
      </c>
    </row>
    <row r="13">
      <c r="A13" s="12" t="inlineStr"/>
      <c r="B13" s="2" t="n"/>
      <c r="C13" s="2" t="n"/>
      <c r="D13" s="2" t="n"/>
      <c r="E13" s="2" t="n"/>
      <c r="F13" s="2" t="n"/>
      <c r="G13" s="2" t="n"/>
      <c r="H13" s="2" t="n"/>
      <c r="I13" s="2" t="n"/>
      <c r="J13" s="3" t="n"/>
    </row>
    <row r="14">
      <c r="A14" s="7" t="inlineStr">
        <is>
          <t>Divine Sense SHS</t>
        </is>
      </c>
      <c r="B14" s="9" t="inlineStr"/>
      <c r="C14" s="3" t="n"/>
      <c r="D14" s="10" t="inlineStr"/>
      <c r="E14" s="11" t="inlineStr">
        <is>
          <t>explore、Initiativebenchmark</t>
        </is>
      </c>
      <c r="F14" s="2" t="n"/>
      <c r="G14" s="2" t="n"/>
      <c r="H14" s="3" t="n"/>
      <c r="I14" s="10">
        <f>IF(B14="","",FLOOR(B14/5,1))</f>
        <v/>
      </c>
    </row>
    <row r="15">
      <c r="A15" s="12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>
      <c r="A16" s="7" t="inlineStr">
        <is>
          <t>Physique RSS</t>
        </is>
      </c>
      <c r="B16" s="9" t="inlineStr"/>
      <c r="C16" s="3" t="n"/>
      <c r="D16" s="10" t="inlineStr"/>
      <c r="E16" s="11" t="inlineStr">
        <is>
          <t>Health Points（HP）Basics、MeleeAttack</t>
        </is>
      </c>
      <c r="F16" s="2" t="n"/>
      <c r="G16" s="2" t="n"/>
      <c r="H16" s="3" t="n"/>
      <c r="I16" s="10">
        <f>IF(B16="","",FLOOR(B16/5,1))</f>
        <v/>
      </c>
    </row>
    <row r="17">
      <c r="A17" s="12" t="inlineStr"/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</row>
    <row r="18">
      <c r="A18" s="7" t="inlineStr">
        <is>
          <t>Spirit Power LIL</t>
        </is>
      </c>
      <c r="B18" s="9" t="inlineStr"/>
      <c r="C18" s="3" t="n"/>
      <c r="D18" s="10" t="inlineStr"/>
      <c r="E18" s="11" t="inlineStr">
        <is>
          <t>SpellAttack、Qi PoolBasics</t>
        </is>
      </c>
      <c r="F18" s="2" t="n"/>
      <c r="G18" s="2" t="n"/>
      <c r="H18" s="3" t="n"/>
      <c r="I18" s="10">
        <f>IF(B18="","",FLOOR(B18/5,1))</f>
        <v/>
      </c>
    </row>
    <row r="19">
      <c r="A19" s="12" t="inlineStr"/>
      <c r="B19" s="2" t="n"/>
      <c r="C19" s="2" t="n"/>
      <c r="D19" s="2" t="n"/>
      <c r="E19" s="2" t="n"/>
      <c r="F19" s="2" t="n"/>
      <c r="G19" s="2" t="n"/>
      <c r="H19" s="2" t="n"/>
      <c r="I19" s="2" t="n"/>
      <c r="J19" s="3" t="n"/>
    </row>
    <row r="20">
      <c r="A20" s="7" t="inlineStr">
        <is>
          <t>Agility SHF</t>
        </is>
      </c>
      <c r="B20" s="9" t="inlineStr"/>
      <c r="C20" s="3" t="n"/>
      <c r="D20" s="10" t="inlineStr"/>
      <c r="E20" s="11" t="inlineStr">
        <is>
          <t>Evasion、Initiativefine-tuning</t>
        </is>
      </c>
      <c r="F20" s="2" t="n"/>
      <c r="G20" s="2" t="n"/>
      <c r="H20" s="3" t="n"/>
      <c r="I20" s="10">
        <f>IF(B20="","",FLOOR(B20/5,1))</f>
        <v/>
      </c>
    </row>
    <row r="21">
      <c r="A21" s="12" t="inlineStr"/>
      <c r="B21" s="2" t="n"/>
      <c r="C21" s="2" t="n"/>
      <c r="D21" s="2" t="n"/>
      <c r="E21" s="2" t="n"/>
      <c r="F21" s="2" t="n"/>
      <c r="G21" s="2" t="n"/>
      <c r="H21" s="2" t="n"/>
      <c r="I21" s="2" t="n"/>
      <c r="J21" s="3" t="n"/>
    </row>
    <row r="22">
      <c r="A22" s="7" t="inlineStr">
        <is>
          <t>Fortune JIY</t>
        </is>
      </c>
      <c r="B22" s="9" t="inlineStr"/>
      <c r="C22" s="3" t="n"/>
      <c r="D22" s="10" t="inlineStr"/>
      <c r="E22" s="11" t="inlineStr">
        <is>
          <t>Explore and discover、Drop quality</t>
        </is>
      </c>
      <c r="F22" s="2" t="n"/>
      <c r="G22" s="2" t="n"/>
      <c r="H22" s="3" t="n"/>
      <c r="I22" s="10">
        <f>IF(B22="","",FLOOR(B22/5,1))</f>
        <v/>
      </c>
    </row>
    <row r="23">
      <c r="A23" s="12" t="inlineStr"/>
      <c r="B23" s="2" t="n"/>
      <c r="C23" s="2" t="n"/>
      <c r="D23" s="2" t="n"/>
      <c r="E23" s="2" t="n"/>
      <c r="F23" s="2" t="n"/>
      <c r="G23" s="2" t="n"/>
      <c r="H23" s="2" t="n"/>
      <c r="I23" s="2" t="n"/>
      <c r="J23" s="3" t="n"/>
    </row>
    <row r="24">
      <c r="A24" s="7" t="inlineStr">
        <is>
          <t>Dao Heart DAX</t>
        </is>
      </c>
      <c r="B24" s="9" t="inlineStr"/>
      <c r="C24" s="3" t="n"/>
      <c r="D24" s="10" t="inlineStr"/>
      <c r="E24" s="11" t="inlineStr">
        <is>
          <t>anti-Qigong Deviation、Tribulation CrossingResistance</t>
        </is>
      </c>
      <c r="F24" s="2" t="n"/>
      <c r="G24" s="2" t="n"/>
      <c r="H24" s="3" t="n"/>
      <c r="I24" s="10">
        <f>IF(B24="","",FLOOR(B24/5,1))</f>
        <v/>
      </c>
    </row>
    <row r="25">
      <c r="A25" s="12" t="inlineStr"/>
      <c r="B25" s="2" t="n"/>
      <c r="C25" s="2" t="n"/>
      <c r="D25" s="2" t="n"/>
      <c r="E25" s="2" t="n"/>
      <c r="F25" s="2" t="n"/>
      <c r="G25" s="2" t="n"/>
      <c r="H25" s="2" t="n"/>
      <c r="I25" s="2" t="n"/>
      <c r="J25" s="3" t="n"/>
    </row>
    <row r="26"/>
    <row r="27">
      <c r="A27" s="4" t="inlineStr">
        <is>
          <t>Realmparameters（Automatic calculation）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/>
    <row r="29">
      <c r="A29" s="7" t="inlineStr">
        <is>
          <t>Realmquick check</t>
        </is>
      </c>
      <c r="B29" s="2" t="n"/>
      <c r="C29" s="2" t="n"/>
      <c r="D29" s="2" t="n"/>
      <c r="E29" s="2" t="n"/>
      <c r="F29" s="3" t="n"/>
    </row>
    <row r="30">
      <c r="A30" s="15" t="inlineStr">
        <is>
          <t>Level</t>
        </is>
      </c>
      <c r="B30" s="15" t="inlineStr">
        <is>
          <t>Realm</t>
        </is>
      </c>
      <c r="C30" s="15" t="inlineStr">
        <is>
          <t>life coefficient</t>
        </is>
      </c>
      <c r="D30" s="15" t="inlineStr">
        <is>
          <t>Infuriating coefficient</t>
        </is>
      </c>
      <c r="E30" s="15" t="inlineStr">
        <is>
          <t>Breakthroughdifficulty（DC）</t>
        </is>
      </c>
      <c r="F30" s="15" t="inlineStr">
        <is>
          <t>Attribute upper limit</t>
        </is>
      </c>
    </row>
    <row r="31">
      <c r="A31" s="9" t="n">
        <v>1</v>
      </c>
      <c r="B31" s="9" t="inlineStr">
        <is>
          <t>Qi Refining·early</t>
        </is>
      </c>
      <c r="C31" s="16" t="n">
        <v>1.5</v>
      </c>
      <c r="D31" s="16" t="n">
        <v>1</v>
      </c>
      <c r="E31" s="9" t="inlineStr">
        <is>
          <t>—</t>
        </is>
      </c>
      <c r="F31" s="9" t="n">
        <v>50</v>
      </c>
    </row>
    <row r="32">
      <c r="A32" s="17" t="n">
        <v>2</v>
      </c>
      <c r="B32" s="17" t="inlineStr">
        <is>
          <t>Qi Refining·middle</t>
        </is>
      </c>
      <c r="C32" s="18" t="n">
        <v>1.5</v>
      </c>
      <c r="D32" s="18" t="n">
        <v>1</v>
      </c>
      <c r="E32" s="17" t="inlineStr">
        <is>
          <t>—</t>
        </is>
      </c>
      <c r="F32" s="17" t="n">
        <v>50</v>
      </c>
    </row>
    <row r="33">
      <c r="A33" s="9" t="n">
        <v>3</v>
      </c>
      <c r="B33" s="9" t="inlineStr">
        <is>
          <t>Qi Refining·back</t>
        </is>
      </c>
      <c r="C33" s="16" t="n">
        <v>1.5</v>
      </c>
      <c r="D33" s="16" t="n">
        <v>1</v>
      </c>
      <c r="E33" s="9" t="inlineStr">
        <is>
          <t>—</t>
        </is>
      </c>
      <c r="F33" s="9" t="n">
        <v>50</v>
      </c>
    </row>
    <row r="34">
      <c r="A34" s="17" t="n">
        <v>4</v>
      </c>
      <c r="B34" s="17" t="inlineStr">
        <is>
          <t>Qi Refining·round</t>
        </is>
      </c>
      <c r="C34" s="18" t="n">
        <v>1.5</v>
      </c>
      <c r="D34" s="18" t="n">
        <v>1</v>
      </c>
      <c r="E34" s="17" t="n">
        <v>40</v>
      </c>
      <c r="F34" s="17" t="n">
        <v>55</v>
      </c>
    </row>
    <row r="35">
      <c r="A35" s="9" t="n">
        <v>5</v>
      </c>
      <c r="B35" s="9" t="inlineStr">
        <is>
          <t>Foundation Establishment·early</t>
        </is>
      </c>
      <c r="C35" s="16" t="n">
        <v>2</v>
      </c>
      <c r="D35" s="16" t="n">
        <v>1.3</v>
      </c>
      <c r="E35" s="9" t="inlineStr">
        <is>
          <t>—</t>
        </is>
      </c>
      <c r="F35" s="9" t="n">
        <v>55</v>
      </c>
    </row>
    <row r="36">
      <c r="A36" s="17" t="n">
        <v>6</v>
      </c>
      <c r="B36" s="17" t="inlineStr">
        <is>
          <t>Foundation Establishment·middle</t>
        </is>
      </c>
      <c r="C36" s="18" t="n">
        <v>2</v>
      </c>
      <c r="D36" s="18" t="n">
        <v>1.3</v>
      </c>
      <c r="E36" s="17" t="inlineStr">
        <is>
          <t>—</t>
        </is>
      </c>
      <c r="F36" s="17" t="n">
        <v>55</v>
      </c>
    </row>
    <row r="37">
      <c r="A37" s="9" t="n">
        <v>7</v>
      </c>
      <c r="B37" s="9" t="inlineStr">
        <is>
          <t>Foundation Establishment·back</t>
        </is>
      </c>
      <c r="C37" s="16" t="n">
        <v>2</v>
      </c>
      <c r="D37" s="16" t="n">
        <v>1.3</v>
      </c>
      <c r="E37" s="9" t="inlineStr">
        <is>
          <t>—</t>
        </is>
      </c>
      <c r="F37" s="9" t="n">
        <v>55</v>
      </c>
    </row>
    <row r="38">
      <c r="A38" s="17" t="n">
        <v>8</v>
      </c>
      <c r="B38" s="17" t="inlineStr">
        <is>
          <t>Foundation Establishment·round</t>
        </is>
      </c>
      <c r="C38" s="18" t="n">
        <v>2</v>
      </c>
      <c r="D38" s="18" t="n">
        <v>1.3</v>
      </c>
      <c r="E38" s="17" t="n">
        <v>45</v>
      </c>
      <c r="F38" s="17" t="n">
        <v>60</v>
      </c>
    </row>
    <row r="39">
      <c r="A39" s="9" t="n">
        <v>9</v>
      </c>
      <c r="B39" s="9" t="inlineStr">
        <is>
          <t>Golden Core·early</t>
        </is>
      </c>
      <c r="C39" s="16" t="n">
        <v>2.5</v>
      </c>
      <c r="D39" s="16" t="n">
        <v>1.6</v>
      </c>
      <c r="E39" s="9" t="inlineStr">
        <is>
          <t>—</t>
        </is>
      </c>
      <c r="F39" s="9" t="n">
        <v>60</v>
      </c>
    </row>
    <row r="40">
      <c r="A40" s="17" t="n">
        <v>10</v>
      </c>
      <c r="B40" s="17" t="inlineStr">
        <is>
          <t>Golden Core·middle</t>
        </is>
      </c>
      <c r="C40" s="18" t="n">
        <v>2.5</v>
      </c>
      <c r="D40" s="18" t="n">
        <v>1.6</v>
      </c>
      <c r="E40" s="17" t="inlineStr">
        <is>
          <t>—</t>
        </is>
      </c>
      <c r="F40" s="17" t="n">
        <v>60</v>
      </c>
    </row>
    <row r="41">
      <c r="A41" s="9" t="n">
        <v>11</v>
      </c>
      <c r="B41" s="9" t="inlineStr">
        <is>
          <t>Golden Core·back</t>
        </is>
      </c>
      <c r="C41" s="16" t="n">
        <v>2.5</v>
      </c>
      <c r="D41" s="16" t="n">
        <v>1.6</v>
      </c>
      <c r="E41" s="9" t="inlineStr">
        <is>
          <t>—</t>
        </is>
      </c>
      <c r="F41" s="9" t="n">
        <v>60</v>
      </c>
    </row>
    <row r="42">
      <c r="A42" s="17" t="n">
        <v>12</v>
      </c>
      <c r="B42" s="17" t="inlineStr">
        <is>
          <t>Golden Core·round</t>
        </is>
      </c>
      <c r="C42" s="18" t="n">
        <v>2.5</v>
      </c>
      <c r="D42" s="18" t="n">
        <v>1.6</v>
      </c>
      <c r="E42" s="17" t="n">
        <v>50</v>
      </c>
      <c r="F42" s="17" t="n">
        <v>65</v>
      </c>
    </row>
    <row r="43">
      <c r="A43" s="9" t="n">
        <v>13</v>
      </c>
      <c r="B43" s="9" t="inlineStr">
        <is>
          <t>Nascent Soul·early</t>
        </is>
      </c>
      <c r="C43" s="16" t="n">
        <v>3</v>
      </c>
      <c r="D43" s="16" t="n">
        <v>2</v>
      </c>
      <c r="E43" s="9" t="inlineStr">
        <is>
          <t>—</t>
        </is>
      </c>
      <c r="F43" s="9" t="n">
        <v>65</v>
      </c>
    </row>
    <row r="44">
      <c r="A44" s="17" t="n">
        <v>14</v>
      </c>
      <c r="B44" s="17" t="inlineStr">
        <is>
          <t>Nascent Soul·middle</t>
        </is>
      </c>
      <c r="C44" s="18" t="n">
        <v>3</v>
      </c>
      <c r="D44" s="18" t="n">
        <v>2</v>
      </c>
      <c r="E44" s="17" t="inlineStr">
        <is>
          <t>—</t>
        </is>
      </c>
      <c r="F44" s="17" t="n">
        <v>65</v>
      </c>
    </row>
    <row r="45">
      <c r="A45" s="9" t="n">
        <v>15</v>
      </c>
      <c r="B45" s="9" t="inlineStr">
        <is>
          <t>Nascent Soul·back</t>
        </is>
      </c>
      <c r="C45" s="16" t="n">
        <v>3</v>
      </c>
      <c r="D45" s="16" t="n">
        <v>2</v>
      </c>
      <c r="E45" s="9" t="inlineStr">
        <is>
          <t>—</t>
        </is>
      </c>
      <c r="F45" s="9" t="n">
        <v>65</v>
      </c>
    </row>
    <row r="46">
      <c r="A46" s="17" t="n">
        <v>16</v>
      </c>
      <c r="B46" s="17" t="inlineStr">
        <is>
          <t>Nascent Soul·round</t>
        </is>
      </c>
      <c r="C46" s="18" t="n">
        <v>3</v>
      </c>
      <c r="D46" s="18" t="n">
        <v>2</v>
      </c>
      <c r="E46" s="17" t="n">
        <v>55</v>
      </c>
      <c r="F46" s="17" t="n">
        <v>70</v>
      </c>
    </row>
    <row r="47">
      <c r="A47" s="9" t="n">
        <v>17</v>
      </c>
      <c r="B47" s="9" t="inlineStr">
        <is>
          <t>Spirit Transformation·early</t>
        </is>
      </c>
      <c r="C47" s="16" t="n">
        <v>3.5</v>
      </c>
      <c r="D47" s="16" t="n">
        <v>2.5</v>
      </c>
      <c r="E47" s="9" t="inlineStr">
        <is>
          <t>—</t>
        </is>
      </c>
      <c r="F47" s="9" t="n">
        <v>70</v>
      </c>
    </row>
    <row r="48">
      <c r="A48" s="17" t="n">
        <v>18</v>
      </c>
      <c r="B48" s="17" t="inlineStr">
        <is>
          <t>Spirit Transformation·middle</t>
        </is>
      </c>
      <c r="C48" s="18" t="n">
        <v>3.5</v>
      </c>
      <c r="D48" s="18" t="n">
        <v>2.5</v>
      </c>
      <c r="E48" s="17" t="inlineStr">
        <is>
          <t>—</t>
        </is>
      </c>
      <c r="F48" s="17" t="n">
        <v>70</v>
      </c>
    </row>
    <row r="49">
      <c r="A49" s="9" t="n">
        <v>19</v>
      </c>
      <c r="B49" s="9" t="inlineStr">
        <is>
          <t>Spirit Transformation·back</t>
        </is>
      </c>
      <c r="C49" s="16" t="n">
        <v>3.5</v>
      </c>
      <c r="D49" s="16" t="n">
        <v>2.5</v>
      </c>
      <c r="E49" s="9" t="inlineStr">
        <is>
          <t>—</t>
        </is>
      </c>
      <c r="F49" s="9" t="n">
        <v>70</v>
      </c>
    </row>
    <row r="50">
      <c r="A50" s="17" t="n">
        <v>20</v>
      </c>
      <c r="B50" s="17" t="inlineStr">
        <is>
          <t>Spirit Transformation·round</t>
        </is>
      </c>
      <c r="C50" s="18" t="n">
        <v>3.5</v>
      </c>
      <c r="D50" s="18" t="n">
        <v>2.5</v>
      </c>
      <c r="E50" s="17" t="n">
        <v>60</v>
      </c>
      <c r="F50" s="17" t="n">
        <v>75</v>
      </c>
    </row>
    <row r="51">
      <c r="A51" s="9" t="n">
        <v>21</v>
      </c>
      <c r="B51" s="9" t="inlineStr">
        <is>
          <t>Void Refining·early</t>
        </is>
      </c>
      <c r="C51" s="16" t="n">
        <v>4</v>
      </c>
      <c r="D51" s="16" t="n">
        <v>3</v>
      </c>
      <c r="E51" s="9" t="inlineStr">
        <is>
          <t>—</t>
        </is>
      </c>
      <c r="F51" s="9" t="n">
        <v>75</v>
      </c>
    </row>
    <row r="52">
      <c r="A52" s="17" t="n">
        <v>22</v>
      </c>
      <c r="B52" s="17" t="inlineStr">
        <is>
          <t>Void Refining·middle</t>
        </is>
      </c>
      <c r="C52" s="18" t="n">
        <v>4</v>
      </c>
      <c r="D52" s="18" t="n">
        <v>3</v>
      </c>
      <c r="E52" s="17" t="inlineStr">
        <is>
          <t>—</t>
        </is>
      </c>
      <c r="F52" s="17" t="n">
        <v>75</v>
      </c>
    </row>
    <row r="53">
      <c r="A53" s="9" t="n">
        <v>23</v>
      </c>
      <c r="B53" s="9" t="inlineStr">
        <is>
          <t>Void Refining·back</t>
        </is>
      </c>
      <c r="C53" s="16" t="n">
        <v>4</v>
      </c>
      <c r="D53" s="16" t="n">
        <v>3</v>
      </c>
      <c r="E53" s="9" t="inlineStr">
        <is>
          <t>—</t>
        </is>
      </c>
      <c r="F53" s="9" t="n">
        <v>75</v>
      </c>
    </row>
    <row r="54">
      <c r="A54" s="17" t="n">
        <v>24</v>
      </c>
      <c r="B54" s="17" t="inlineStr">
        <is>
          <t>Void Refining·round</t>
        </is>
      </c>
      <c r="C54" s="18" t="n">
        <v>4</v>
      </c>
      <c r="D54" s="18" t="n">
        <v>3</v>
      </c>
      <c r="E54" s="17" t="n">
        <v>65</v>
      </c>
      <c r="F54" s="17" t="n">
        <v>80</v>
      </c>
    </row>
    <row r="55">
      <c r="A55" s="9" t="n">
        <v>25</v>
      </c>
      <c r="B55" s="9" t="inlineStr">
        <is>
          <t>Fusion·early</t>
        </is>
      </c>
      <c r="C55" s="16" t="n">
        <v>4.5</v>
      </c>
      <c r="D55" s="16" t="n">
        <v>3.5</v>
      </c>
      <c r="E55" s="9" t="inlineStr">
        <is>
          <t>—</t>
        </is>
      </c>
      <c r="F55" s="9" t="n">
        <v>80</v>
      </c>
    </row>
    <row r="56">
      <c r="A56" s="17" t="n">
        <v>26</v>
      </c>
      <c r="B56" s="17" t="inlineStr">
        <is>
          <t>Fusion·middle</t>
        </is>
      </c>
      <c r="C56" s="18" t="n">
        <v>4.5</v>
      </c>
      <c r="D56" s="18" t="n">
        <v>3.5</v>
      </c>
      <c r="E56" s="17" t="inlineStr">
        <is>
          <t>—</t>
        </is>
      </c>
      <c r="F56" s="17" t="n">
        <v>80</v>
      </c>
    </row>
    <row r="57">
      <c r="A57" s="9" t="n">
        <v>27</v>
      </c>
      <c r="B57" s="9" t="inlineStr">
        <is>
          <t>Fusion·back</t>
        </is>
      </c>
      <c r="C57" s="16" t="n">
        <v>4.5</v>
      </c>
      <c r="D57" s="16" t="n">
        <v>3.5</v>
      </c>
      <c r="E57" s="9" t="inlineStr">
        <is>
          <t>—</t>
        </is>
      </c>
      <c r="F57" s="9" t="n">
        <v>80</v>
      </c>
    </row>
    <row r="58">
      <c r="A58" s="17" t="n">
        <v>28</v>
      </c>
      <c r="B58" s="17" t="inlineStr">
        <is>
          <t>Fusion·round</t>
        </is>
      </c>
      <c r="C58" s="18" t="n">
        <v>4.5</v>
      </c>
      <c r="D58" s="18" t="n">
        <v>3.5</v>
      </c>
      <c r="E58" s="17" t="n">
        <v>70</v>
      </c>
      <c r="F58" s="17" t="n">
        <v>85</v>
      </c>
    </row>
    <row r="59">
      <c r="A59" s="9" t="n">
        <v>29</v>
      </c>
      <c r="B59" s="9" t="inlineStr">
        <is>
          <t>Mahayana·early</t>
        </is>
      </c>
      <c r="C59" s="16" t="n">
        <v>5</v>
      </c>
      <c r="D59" s="16" t="n">
        <v>4</v>
      </c>
      <c r="E59" s="9" t="inlineStr">
        <is>
          <t>—</t>
        </is>
      </c>
      <c r="F59" s="9" t="n">
        <v>85</v>
      </c>
    </row>
    <row r="60">
      <c r="A60" s="17" t="n">
        <v>30</v>
      </c>
      <c r="B60" s="17" t="inlineStr">
        <is>
          <t>Mahayana·middle</t>
        </is>
      </c>
      <c r="C60" s="18" t="n">
        <v>5</v>
      </c>
      <c r="D60" s="18" t="n">
        <v>4</v>
      </c>
      <c r="E60" s="17" t="inlineStr">
        <is>
          <t>—</t>
        </is>
      </c>
      <c r="F60" s="17" t="n">
        <v>85</v>
      </c>
    </row>
    <row r="61">
      <c r="A61" s="9" t="n">
        <v>31</v>
      </c>
      <c r="B61" s="9" t="inlineStr">
        <is>
          <t>Mahayana·back</t>
        </is>
      </c>
      <c r="C61" s="16" t="n">
        <v>5</v>
      </c>
      <c r="D61" s="16" t="n">
        <v>4</v>
      </c>
      <c r="E61" s="9" t="inlineStr">
        <is>
          <t>—</t>
        </is>
      </c>
      <c r="F61" s="9" t="n">
        <v>85</v>
      </c>
    </row>
    <row r="62">
      <c r="A62" s="17" t="n">
        <v>32</v>
      </c>
      <c r="B62" s="17" t="inlineStr">
        <is>
          <t>Mahayana·round</t>
        </is>
      </c>
      <c r="C62" s="18" t="n">
        <v>5</v>
      </c>
      <c r="D62" s="18" t="n">
        <v>4</v>
      </c>
      <c r="E62" s="17" t="n">
        <v>75</v>
      </c>
      <c r="F62" s="17" t="n">
        <v>90</v>
      </c>
    </row>
    <row r="63">
      <c r="A63" s="9" t="n">
        <v>33</v>
      </c>
      <c r="B63" s="9" t="inlineStr">
        <is>
          <t>Tribulation Crossing·early</t>
        </is>
      </c>
      <c r="C63" s="16" t="n">
        <v>5.5</v>
      </c>
      <c r="D63" s="16" t="n">
        <v>5</v>
      </c>
      <c r="E63" s="9" t="inlineStr">
        <is>
          <t>—</t>
        </is>
      </c>
      <c r="F63" s="9" t="n">
        <v>95</v>
      </c>
    </row>
    <row r="64">
      <c r="A64" s="17" t="n">
        <v>34</v>
      </c>
      <c r="B64" s="17" t="inlineStr">
        <is>
          <t>Tribulation Crossing·middle</t>
        </is>
      </c>
      <c r="C64" s="18" t="n">
        <v>5.5</v>
      </c>
      <c r="D64" s="18" t="n">
        <v>5</v>
      </c>
      <c r="E64" s="17" t="inlineStr">
        <is>
          <t>—</t>
        </is>
      </c>
      <c r="F64" s="17" t="n">
        <v>95</v>
      </c>
    </row>
    <row r="65">
      <c r="A65" s="9" t="n">
        <v>35</v>
      </c>
      <c r="B65" s="9" t="inlineStr">
        <is>
          <t>Tribulation Crossing·back</t>
        </is>
      </c>
      <c r="C65" s="16" t="n">
        <v>5.5</v>
      </c>
      <c r="D65" s="16" t="n">
        <v>5</v>
      </c>
      <c r="E65" s="9" t="inlineStr">
        <is>
          <t>—</t>
        </is>
      </c>
      <c r="F65" s="9" t="n">
        <v>95</v>
      </c>
    </row>
    <row r="66">
      <c r="A66" s="17" t="n">
        <v>36</v>
      </c>
      <c r="B66" s="17" t="inlineStr">
        <is>
          <t>Tribulation Crossing·round</t>
        </is>
      </c>
      <c r="C66" s="18" t="n">
        <v>5.5</v>
      </c>
      <c r="D66" s="18" t="n">
        <v>5</v>
      </c>
      <c r="E66" s="17" t="n">
        <v>80</v>
      </c>
      <c r="F66" s="17" t="n">
        <v>100</v>
      </c>
    </row>
    <row r="67">
      <c r="A67" s="4" t="inlineStr">
        <is>
          <t>Derived properties（Automatic calculation）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3" t="n"/>
    </row>
    <row r="68">
      <c r="A68" s="19" t="inlineStr">
        <is>
          <t>Health Points HP</t>
        </is>
      </c>
      <c r="B68" s="20">
        <f>VLOOKUP(B7,A31:F66,3,FALSE)*B16</f>
        <v/>
      </c>
      <c r="C68" s="2" t="n"/>
      <c r="D68" s="2" t="n"/>
      <c r="E68" s="3" t="n"/>
      <c r="F68" s="22" t="inlineStr">
        <is>
          <t>Physique × Realmlife coefficient</t>
        </is>
      </c>
      <c r="G68" s="2" t="n"/>
      <c r="H68" s="2" t="n"/>
      <c r="I68" s="2" t="n"/>
      <c r="J68" s="3" t="n"/>
    </row>
    <row r="69">
      <c r="A69" s="7" t="inlineStr">
        <is>
          <t>Qi Pool</t>
        </is>
      </c>
      <c r="B69" s="18">
        <f>VLOOKUP(B7,A31:F66,4,FALSE)*B18</f>
        <v/>
      </c>
      <c r="C69" s="2" t="n"/>
      <c r="D69" s="2" t="n"/>
      <c r="E69" s="3" t="n"/>
      <c r="F69" s="26" t="inlineStr">
        <is>
          <t>Spirit Power × RealmInfuriating coefficient</t>
        </is>
      </c>
      <c r="G69" s="2" t="n"/>
      <c r="H69" s="2" t="n"/>
      <c r="I69" s="2" t="n"/>
      <c r="J69" s="3" t="n"/>
    </row>
    <row r="70">
      <c r="A70" s="29" t="inlineStr">
        <is>
          <t>Initiativevalue</t>
        </is>
      </c>
      <c r="B70" s="10">
        <f>B14+FLOOR(B20/5,1)</f>
        <v/>
      </c>
      <c r="C70" s="2" t="n"/>
      <c r="D70" s="2" t="n"/>
      <c r="E70" s="3" t="n"/>
      <c r="F70" s="11" t="inlineStr">
        <is>
          <t>Divine Sense + floor(Agility/5)</t>
        </is>
      </c>
      <c r="G70" s="2" t="n"/>
      <c r="H70" s="2" t="n"/>
      <c r="I70" s="2" t="n"/>
      <c r="J70" s="3" t="n"/>
    </row>
    <row r="71">
      <c r="A71" s="19" t="inlineStr">
        <is>
          <t>Major SuccessFunction range</t>
        </is>
      </c>
      <c r="B71" s="20">
        <f>3+FLOOR((B7-1)/3,1)</f>
        <v/>
      </c>
      <c r="C71" s="2" t="n"/>
      <c r="D71" s="2" t="n"/>
      <c r="E71" s="3" t="n"/>
      <c r="F71" s="22" t="inlineStr">
        <is>
          <t>1d100 ≤ This value isMajor Successachievement</t>
        </is>
      </c>
      <c r="G71" s="2" t="n"/>
      <c r="H71" s="2" t="n"/>
      <c r="I71" s="2" t="n"/>
      <c r="J71" s="3" t="n"/>
    </row>
    <row r="72">
      <c r="A72" s="31" t="inlineStr">
        <is>
          <t>large failure range</t>
        </is>
      </c>
      <c r="B72" s="32">
        <f>96</f>
        <v/>
      </c>
      <c r="C72" s="2" t="n"/>
      <c r="D72" s="2" t="n"/>
      <c r="E72" s="3" t="n"/>
      <c r="F72" s="34" t="inlineStr">
        <is>
          <t>96-00 Fixed big failure</t>
        </is>
      </c>
      <c r="G72" s="2" t="n"/>
      <c r="H72" s="2" t="n"/>
      <c r="I72" s="2" t="n"/>
      <c r="J72" s="3" t="n"/>
    </row>
    <row r="73">
      <c r="A73" s="29" t="inlineStr">
        <is>
          <t>Moving distance(district)</t>
        </is>
      </c>
      <c r="B73" s="10">
        <f>IF(B20&gt;=80,"2區(1動作)",IF(B20&gt;=40,"2區","1區"))</f>
        <v/>
      </c>
      <c r="C73" s="2" t="n"/>
      <c r="D73" s="2" t="n"/>
      <c r="E73" s="3" t="n"/>
      <c r="F73" s="11" t="inlineStr">
        <is>
          <t>according toAgilityAutomatic judgment</t>
        </is>
      </c>
      <c r="G73" s="2" t="n"/>
      <c r="H73" s="2" t="n"/>
      <c r="I73" s="2" t="n"/>
      <c r="J73" s="3" t="n"/>
    </row>
    <row r="74">
      <c r="A74" s="7" t="inlineStr">
        <is>
          <t>Total attribute bonus</t>
        </is>
      </c>
      <c r="B74" s="18">
        <f>SUM(I10:I25)</f>
        <v/>
      </c>
      <c r="C74" s="2" t="n"/>
      <c r="D74" s="2" t="n"/>
      <c r="E74" s="3" t="n"/>
      <c r="F74" s="26" t="inlineStr">
        <is>
          <t>All properties÷5sum of bonuses</t>
        </is>
      </c>
      <c r="G74" s="2" t="n"/>
      <c r="H74" s="2" t="n"/>
      <c r="I74" s="2" t="n"/>
      <c r="J74" s="3" t="n"/>
    </row>
    <row r="75">
      <c r="A75" s="19" t="inlineStr">
        <is>
          <t>remaining allocation points</t>
        </is>
      </c>
      <c r="B75" s="20">
        <f>250-SUM(B10,B12,B14,B16,B18,B20,B22,B24)</f>
        <v/>
      </c>
      <c r="C75" s="2" t="n"/>
      <c r="D75" s="2" t="n"/>
      <c r="E75" s="3" t="n"/>
      <c r="F75" s="22" t="inlineStr">
        <is>
          <t>250-Assigned attributes</t>
        </is>
      </c>
      <c r="G75" s="2" t="n"/>
      <c r="H75" s="2" t="n"/>
      <c r="I75" s="2" t="n"/>
      <c r="J75" s="3" t="n"/>
    </row>
    <row r="76">
      <c r="A76" s="29" t="inlineStr">
        <is>
          <t>Cultivation TechniqueLoad upper limit</t>
        </is>
      </c>
      <c r="B76" s="10">
        <f>FLOOR(B7/4,1)+1</f>
        <v/>
      </c>
      <c r="C76" s="2" t="n"/>
      <c r="D76" s="2" t="n"/>
      <c r="E76" s="3" t="n"/>
      <c r="F76" s="11" t="inlineStr">
        <is>
          <t>Every4level+1Cultivation Techniquegroove</t>
        </is>
      </c>
      <c r="G76" s="2" t="n"/>
      <c r="H76" s="2" t="n"/>
      <c r="I76" s="2" t="n"/>
      <c r="J76" s="3" t="n"/>
    </row>
    <row r="77">
      <c r="A77" s="7" t="inlineStr">
        <is>
          <t>Cultivation Speed Base Value</t>
        </is>
      </c>
      <c r="B77" s="18">
        <f>B10/10</f>
        <v/>
      </c>
      <c r="C77" s="2" t="n"/>
      <c r="D77" s="2" t="n"/>
      <c r="E77" s="3" t="n"/>
      <c r="F77" s="26" t="inlineStr">
        <is>
          <t>Constitution ÷ 10 (Base Value)</t>
        </is>
      </c>
      <c r="G77" s="2" t="n"/>
      <c r="H77" s="2" t="n"/>
      <c r="I77" s="2" t="n"/>
      <c r="J77" s="3" t="n"/>
    </row>
    <row r="78"/>
    <row r="79">
      <c r="A79" s="4" t="inlineStr">
        <is>
          <t>Special Status</t>
        </is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3" t="n"/>
    </row>
    <row r="80">
      <c r="A80" s="31" t="inlineStr">
        <is>
          <t>Inner Demon Value</t>
        </is>
      </c>
      <c r="B80" s="37" t="inlineStr">
        <is>
          <t>0 (0-100)</t>
        </is>
      </c>
      <c r="C80" s="2" t="n"/>
      <c r="D80" s="3" t="n"/>
      <c r="E80" s="34" t="inlineStr">
        <is>
          <t>≥50 Check -10 / ≥80 Loss-of-Control Risk</t>
        </is>
      </c>
      <c r="F80" s="2" t="n"/>
      <c r="G80" s="2" t="n"/>
      <c r="H80" s="2" t="n"/>
      <c r="I80" s="2" t="n"/>
      <c r="J80" s="3" t="n"/>
    </row>
    <row r="81">
      <c r="A81" s="7" t="inlineStr">
        <is>
          <t>Medicine-Poison Value</t>
        </is>
      </c>
      <c r="B81" s="17" t="inlineStr">
        <is>
          <t>0 (0-100)</t>
        </is>
      </c>
      <c r="C81" s="2" t="n"/>
      <c r="D81" s="3" t="n"/>
      <c r="E81" s="26" t="inlineStr">
        <is>
          <t>≥40 Pill Effect -25% / ≥80 Ineffective Backlash</t>
        </is>
      </c>
      <c r="F81" s="2" t="n"/>
      <c r="G81" s="2" t="n"/>
      <c r="H81" s="2" t="n"/>
      <c r="I81" s="2" t="n"/>
      <c r="J81" s="3" t="n"/>
    </row>
    <row r="82">
      <c r="A82" s="29" t="inlineStr">
        <is>
          <t>Qigong Deviation Resistance</t>
        </is>
      </c>
      <c r="B82" s="10">
        <f>B24</f>
        <v/>
      </c>
      <c r="C82" s="2" t="n"/>
      <c r="D82" s="3" t="n"/>
      <c r="E82" s="11" t="inlineStr">
        <is>
          <t>Dao Heart Value is the Resistance Baseline</t>
        </is>
      </c>
      <c r="F82" s="2" t="n"/>
      <c r="G82" s="2" t="n"/>
      <c r="H82" s="2" t="n"/>
      <c r="I82" s="2" t="n"/>
      <c r="J82" s="3" t="n"/>
    </row>
    <row r="83">
      <c r="A83" s="19" t="inlineStr">
        <is>
          <t>Tribulation Crossing Resistance</t>
        </is>
      </c>
      <c r="B83" s="20">
        <f>B24+I24</f>
        <v/>
      </c>
      <c r="C83" s="2" t="n"/>
      <c r="D83" s="3" t="n"/>
      <c r="E83" s="22" t="inlineStr">
        <is>
          <t>Dao Heart + Dao Heart Bonus</t>
        </is>
      </c>
      <c r="F83" s="2" t="n"/>
      <c r="G83" s="2" t="n"/>
      <c r="H83" s="2" t="n"/>
      <c r="I83" s="2" t="n"/>
      <c r="J83" s="3" t="n"/>
    </row>
    <row r="84">
      <c r="A84" s="7" t="inlineStr">
        <is>
          <t>Fortune Value</t>
        </is>
      </c>
      <c r="B84" s="18">
        <f>B22</f>
        <v/>
      </c>
      <c r="C84" s="2" t="n"/>
      <c r="D84" s="3" t="n"/>
      <c r="E84" s="26" t="inlineStr">
        <is>
          <t>Fortune Value is used for rare events</t>
        </is>
      </c>
      <c r="F84" s="2" t="n"/>
      <c r="G84" s="2" t="n"/>
      <c r="H84" s="2" t="n"/>
      <c r="I84" s="2" t="n"/>
      <c r="J84" s="3" t="n"/>
    </row>
    <row r="85"/>
    <row r="86"/>
    <row r="87">
      <c r="A87" s="4" t="inlineStr">
        <is>
          <t>Common Check Formulas</t>
        </is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3" t="n"/>
    </row>
    <row r="88">
      <c r="A88" s="7" t="inlineStr">
        <is>
          <t>Melee Attack</t>
        </is>
      </c>
      <c r="B88" s="18" t="inlineStr">
        <is>
          <t>d100 ≤ B16</t>
        </is>
      </c>
      <c r="C88" s="2" t="n"/>
      <c r="D88" s="2" t="n"/>
      <c r="E88" s="2" t="n"/>
      <c r="F88" s="3" t="n"/>
      <c r="G88" s="26" t="inlineStr">
        <is>
          <t>Physique Value</t>
        </is>
      </c>
      <c r="H88" s="2" t="n"/>
      <c r="I88" s="2" t="n"/>
      <c r="J88" s="3" t="n"/>
    </row>
    <row r="89">
      <c r="A89" s="29" t="inlineStr">
        <is>
          <t>Spell Attack</t>
        </is>
      </c>
      <c r="B89" s="10" t="inlineStr">
        <is>
          <t>d100 ≤ B18</t>
        </is>
      </c>
      <c r="C89" s="2" t="n"/>
      <c r="D89" s="2" t="n"/>
      <c r="E89" s="2" t="n"/>
      <c r="F89" s="3" t="n"/>
      <c r="G89" s="11" t="inlineStr">
        <is>
          <t>Spirit Power Value</t>
        </is>
      </c>
      <c r="H89" s="2" t="n"/>
      <c r="I89" s="2" t="n"/>
      <c r="J89" s="3" t="n"/>
    </row>
    <row r="90">
      <c r="A90" s="7" t="inlineStr">
        <is>
          <t>Evasion</t>
        </is>
      </c>
      <c r="B90" s="18" t="inlineStr">
        <is>
          <t>d100 ≤ B20</t>
        </is>
      </c>
      <c r="C90" s="2" t="n"/>
      <c r="D90" s="2" t="n"/>
      <c r="E90" s="2" t="n"/>
      <c r="F90" s="3" t="n"/>
      <c r="G90" s="26" t="inlineStr">
        <is>
          <t>Agilityvalue</t>
        </is>
      </c>
      <c r="H90" s="2" t="n"/>
      <c r="I90" s="2" t="n"/>
      <c r="J90" s="3" t="n"/>
    </row>
    <row r="91">
      <c r="A91" s="29" t="inlineStr">
        <is>
          <t>Scout / Discern</t>
        </is>
      </c>
      <c r="B91" s="10" t="inlineStr">
        <is>
          <t>d100 ≤ B14</t>
        </is>
      </c>
      <c r="C91" s="2" t="n"/>
      <c r="D91" s="2" t="n"/>
      <c r="E91" s="2" t="n"/>
      <c r="F91" s="3" t="n"/>
      <c r="G91" s="11" t="inlineStr">
        <is>
          <t>Divine Sense Value</t>
        </is>
      </c>
      <c r="H91" s="2" t="n"/>
      <c r="I91" s="2" t="n"/>
      <c r="J91" s="3" t="n"/>
    </row>
    <row r="92">
      <c r="A92" s="7" t="inlineStr">
        <is>
          <t>Cultivation Technique Learning</t>
        </is>
      </c>
      <c r="B92" s="18" t="inlineStr">
        <is>
          <t>d100 ≤ B12</t>
        </is>
      </c>
      <c r="C92" s="2" t="n"/>
      <c r="D92" s="2" t="n"/>
      <c r="E92" s="2" t="n"/>
      <c r="F92" s="3" t="n"/>
      <c r="G92" s="26" t="inlineStr">
        <is>
          <t>Comprehension Value</t>
        </is>
      </c>
      <c r="H92" s="2" t="n"/>
      <c r="I92" s="2" t="n"/>
      <c r="J92" s="3" t="n"/>
    </row>
    <row r="93">
      <c r="A93" s="29" t="inlineStr">
        <is>
          <t>Breakthrough Check</t>
        </is>
      </c>
      <c r="B93" s="10" t="inlineStr">
        <is>
          <t>d100 ≤ B10-I10+(B7/2)</t>
        </is>
      </c>
      <c r="C93" s="2" t="n"/>
      <c r="D93" s="2" t="n"/>
      <c r="E93" s="2" t="n"/>
      <c r="F93" s="3" t="n"/>
      <c r="G93" s="11" t="inlineStr">
        <is>
          <t>Constitution - Constitution Bonus + Level/2 (Simplified)</t>
        </is>
      </c>
      <c r="H93" s="2" t="n"/>
      <c r="I93" s="2" t="n"/>
      <c r="J93" s="3" t="n"/>
    </row>
    <row r="94">
      <c r="A94" s="7" t="inlineStr">
        <is>
          <t>Pill Refining / Artifact Refining</t>
        </is>
      </c>
      <c r="B94" s="18" t="inlineStr">
        <is>
          <t>d100 ≤ B18</t>
        </is>
      </c>
      <c r="C94" s="2" t="n"/>
      <c r="D94" s="2" t="n"/>
      <c r="E94" s="2" t="n"/>
      <c r="F94" s="3" t="n"/>
      <c r="G94" s="26" t="inlineStr">
        <is>
          <t>Spirit Power Value</t>
        </is>
      </c>
      <c r="H94" s="2" t="n"/>
      <c r="I94" s="2" t="n"/>
      <c r="J94" s="3" t="n"/>
    </row>
    <row r="95">
      <c r="A95" s="29" t="inlineStr">
        <is>
          <t>Formation Array Setup</t>
        </is>
      </c>
      <c r="B95" s="10" t="inlineStr">
        <is>
          <t>d100 ≤ B12</t>
        </is>
      </c>
      <c r="C95" s="2" t="n"/>
      <c r="D95" s="2" t="n"/>
      <c r="E95" s="2" t="n"/>
      <c r="F95" s="3" t="n"/>
      <c r="G95" s="11" t="inlineStr">
        <is>
          <t>Comprehension Value</t>
        </is>
      </c>
      <c r="H95" s="2" t="n"/>
      <c r="I95" s="2" t="n"/>
      <c r="J95" s="3" t="n"/>
    </row>
    <row r="96">
      <c r="A96" s="7" t="inlineStr">
        <is>
          <t>Beast Taming</t>
        </is>
      </c>
      <c r="B96" s="18" t="inlineStr">
        <is>
          <t>d100 ≤ B20</t>
        </is>
      </c>
      <c r="C96" s="2" t="n"/>
      <c r="D96" s="2" t="n"/>
      <c r="E96" s="2" t="n"/>
      <c r="F96" s="3" t="n"/>
      <c r="G96" s="26" t="inlineStr">
        <is>
          <t>Agilityvalue</t>
        </is>
      </c>
      <c r="H96" s="2" t="n"/>
      <c r="I96" s="2" t="n"/>
      <c r="J96" s="3" t="n"/>
    </row>
    <row r="97">
      <c r="A97" s="29" t="inlineStr">
        <is>
          <t>Social / Persuade</t>
        </is>
      </c>
      <c r="B97" s="10" t="inlineStr">
        <is>
          <t>d100 ≤ B24</t>
        </is>
      </c>
      <c r="C97" s="2" t="n"/>
      <c r="D97" s="2" t="n"/>
      <c r="E97" s="2" t="n"/>
      <c r="F97" s="3" t="n"/>
      <c r="G97" s="11" t="inlineStr">
        <is>
          <t>Dao Heart Value</t>
        </is>
      </c>
      <c r="H97" s="2" t="n"/>
      <c r="I97" s="2" t="n"/>
      <c r="J97" s="3" t="n"/>
    </row>
    <row r="98">
      <c r="A98" s="7" t="inlineStr">
        <is>
          <t>Explore / Search</t>
        </is>
      </c>
      <c r="B98" s="18" t="inlineStr">
        <is>
          <t>d100 ≤ B22</t>
        </is>
      </c>
      <c r="C98" s="2" t="n"/>
      <c r="D98" s="2" t="n"/>
      <c r="E98" s="2" t="n"/>
      <c r="F98" s="3" t="n"/>
      <c r="G98" s="26" t="inlineStr">
        <is>
          <t>Fortune Value</t>
        </is>
      </c>
      <c r="H98" s="2" t="n"/>
      <c r="I98" s="2" t="n"/>
      <c r="J98" s="3" t="n"/>
    </row>
  </sheetData>
  <mergeCells count="90">
    <mergeCell ref="A23:J23"/>
    <mergeCell ref="B74:E74"/>
    <mergeCell ref="B90:F90"/>
    <mergeCell ref="B68:E68"/>
    <mergeCell ref="B22:C22"/>
    <mergeCell ref="B12:C12"/>
    <mergeCell ref="B76:E76"/>
    <mergeCell ref="F74:J74"/>
    <mergeCell ref="B84:D84"/>
    <mergeCell ref="G96:J96"/>
    <mergeCell ref="B14:C14"/>
    <mergeCell ref="F76:J76"/>
    <mergeCell ref="E24:H24"/>
    <mergeCell ref="A29:F29"/>
    <mergeCell ref="F75:J75"/>
    <mergeCell ref="B80:D80"/>
    <mergeCell ref="E10:H10"/>
    <mergeCell ref="B92:F92"/>
    <mergeCell ref="B24:C24"/>
    <mergeCell ref="B69:E69"/>
    <mergeCell ref="A3:J3"/>
    <mergeCell ref="B94:F94"/>
    <mergeCell ref="E82:J82"/>
    <mergeCell ref="B16:C16"/>
    <mergeCell ref="F73:J73"/>
    <mergeCell ref="I6:J6"/>
    <mergeCell ref="G91:J91"/>
    <mergeCell ref="B82:D82"/>
    <mergeCell ref="G94:J94"/>
    <mergeCell ref="B18:C18"/>
    <mergeCell ref="B96:F96"/>
    <mergeCell ref="A13:J13"/>
    <mergeCell ref="E22:H22"/>
    <mergeCell ref="I7:J7"/>
    <mergeCell ref="E12:H12"/>
    <mergeCell ref="A67:J67"/>
    <mergeCell ref="B98:F98"/>
    <mergeCell ref="A15:J15"/>
    <mergeCell ref="B83:D83"/>
    <mergeCell ref="B88:F88"/>
    <mergeCell ref="E14:H14"/>
    <mergeCell ref="G97:J97"/>
    <mergeCell ref="B77:E77"/>
    <mergeCell ref="A25:J25"/>
    <mergeCell ref="F77:J77"/>
    <mergeCell ref="G88:J88"/>
    <mergeCell ref="F69:J69"/>
    <mergeCell ref="B6:E6"/>
    <mergeCell ref="E16:H16"/>
    <mergeCell ref="G90:J90"/>
    <mergeCell ref="E18:H18"/>
    <mergeCell ref="B7:E7"/>
    <mergeCell ref="B72:E72"/>
    <mergeCell ref="B71:E71"/>
    <mergeCell ref="A79:J79"/>
    <mergeCell ref="E20:H20"/>
    <mergeCell ref="F71:J71"/>
    <mergeCell ref="B5:C5"/>
    <mergeCell ref="B20:C20"/>
    <mergeCell ref="A27:J27"/>
    <mergeCell ref="G95:J95"/>
    <mergeCell ref="G89:J89"/>
    <mergeCell ref="B91:F91"/>
    <mergeCell ref="A17:J17"/>
    <mergeCell ref="E84:J84"/>
    <mergeCell ref="F68:J68"/>
    <mergeCell ref="B93:F93"/>
    <mergeCell ref="A19:J19"/>
    <mergeCell ref="E80:J80"/>
    <mergeCell ref="B75:E75"/>
    <mergeCell ref="A9:J9"/>
    <mergeCell ref="G98:J98"/>
    <mergeCell ref="F70:J70"/>
    <mergeCell ref="A11:J11"/>
    <mergeCell ref="A1:J1"/>
    <mergeCell ref="E81:J81"/>
    <mergeCell ref="B70:E70"/>
    <mergeCell ref="B10:C10"/>
    <mergeCell ref="F72:J72"/>
    <mergeCell ref="A87:J87"/>
    <mergeCell ref="I5:J5"/>
    <mergeCell ref="B81:D81"/>
    <mergeCell ref="G93:J93"/>
    <mergeCell ref="B95:F95"/>
    <mergeCell ref="B73:E73"/>
    <mergeCell ref="B89:F89"/>
    <mergeCell ref="A21:J21"/>
    <mergeCell ref="G92:J92"/>
    <mergeCell ref="E83:J83"/>
    <mergeCell ref="B97:F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0D9"/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Cultivation Technique / Equipment Record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/>
    <row r="3">
      <c r="A3" s="4" t="inlineStr">
        <is>
          <t>Inner Art (Passive · Cap=FLOOR(B7/4,1)+1)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>
      <c r="A4" s="38" t="inlineStr">
        <is>
          <t>Name</t>
        </is>
      </c>
      <c r="B4" s="38" t="inlineStr">
        <is>
          <t>Grade</t>
        </is>
      </c>
      <c r="C4" s="38" t="inlineStr">
        <is>
          <t>Attribute</t>
        </is>
      </c>
      <c r="D4" s="38" t="inlineStr">
        <is>
          <t>Realm Requirement</t>
        </is>
      </c>
      <c r="E4" s="38" t="inlineStr">
        <is>
          <t>Effect</t>
        </is>
      </c>
      <c r="F4" s="38" t="inlineStr">
        <is>
          <t>Notes</t>
        </is>
      </c>
      <c r="G4" s="38" t="inlineStr"/>
      <c r="H4" s="38" t="inlineStr"/>
      <c r="I4" s="38" t="inlineStr"/>
      <c r="J4" s="3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</row>
    <row r="10"/>
    <row r="11">
      <c r="A11" s="4" t="inlineStr">
        <is>
          <t>Martial Technique (Active · Consumes Qi)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>
      <c r="A12" s="38" t="inlineStr">
        <is>
          <t>Name</t>
        </is>
      </c>
      <c r="B12" s="38" t="inlineStr">
        <is>
          <t>Grade</t>
        </is>
      </c>
      <c r="C12" s="38" t="inlineStr">
        <is>
          <t>Attribute</t>
        </is>
      </c>
      <c r="D12" s="38" t="inlineStr">
        <is>
          <t>Damage Die</t>
        </is>
      </c>
      <c r="E12" s="38" t="inlineStr">
        <is>
          <t>Qi Consumption</t>
        </is>
      </c>
      <c r="F12" s="38" t="inlineStr">
        <is>
          <t>Cooldown</t>
        </is>
      </c>
      <c r="G12" s="38" t="inlineStr">
        <is>
          <t>Range</t>
        </is>
      </c>
      <c r="H12" s="38" t="inlineStr">
        <is>
          <t>Effect</t>
        </is>
      </c>
      <c r="I12" s="38" t="inlineStr">
        <is>
          <t>Realm Requirement</t>
        </is>
      </c>
      <c r="J12" s="38" t="inlineStr">
        <is>
          <t>Notes</t>
        </is>
      </c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</row>
    <row r="18"/>
    <row r="19">
      <c r="A19" s="4" t="inlineStr">
        <is>
          <t>Divine Ability (Ultimate Skill · Long Cooldown)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3" t="n"/>
    </row>
    <row r="20">
      <c r="A20" s="38" t="inlineStr">
        <is>
          <t>Name</t>
        </is>
      </c>
      <c r="B20" s="38" t="inlineStr">
        <is>
          <t>Grade</t>
        </is>
      </c>
      <c r="C20" s="38" t="inlineStr">
        <is>
          <t>Attribute</t>
        </is>
      </c>
      <c r="D20" s="38" t="inlineStr">
        <is>
          <t>Damage Die</t>
        </is>
      </c>
      <c r="E20" s="38" t="inlineStr">
        <is>
          <t>Qi Consumption</t>
        </is>
      </c>
      <c r="F20" s="38" t="inlineStr">
        <is>
          <t>Cooldown</t>
        </is>
      </c>
      <c r="G20" s="38" t="inlineStr">
        <is>
          <t>Range</t>
        </is>
      </c>
      <c r="H20" s="38" t="inlineStr">
        <is>
          <t>Effect</t>
        </is>
      </c>
      <c r="I20" s="38" t="inlineStr">
        <is>
          <t>Realm Requirement</t>
        </is>
      </c>
      <c r="J20" s="38" t="inlineStr">
        <is>
          <t>Notes</t>
        </is>
      </c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</row>
    <row r="24"/>
    <row r="25">
      <c r="A25" s="4" t="inlineStr">
        <is>
          <t>Equipment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3" t="n"/>
    </row>
    <row r="26">
      <c r="A26" s="38" t="inlineStr">
        <is>
          <t>Slot</t>
        </is>
      </c>
      <c r="B26" s="38" t="inlineStr">
        <is>
          <t>Equipment Name</t>
        </is>
      </c>
      <c r="C26" s="38" t="inlineStr">
        <is>
          <t>Grade</t>
        </is>
      </c>
      <c r="D26" s="38" t="inlineStr">
        <is>
          <t>Attribute Bonus</t>
        </is>
      </c>
      <c r="E26" s="38" t="inlineStr">
        <is>
          <t>Special Effect</t>
        </is>
      </c>
      <c r="F26" s="38" t="inlineStr">
        <is>
          <t>Durability</t>
        </is>
      </c>
      <c r="G26" s="38" t="inlineStr">
        <is>
          <t>Notes</t>
        </is>
      </c>
      <c r="H26" s="38" t="inlineStr"/>
      <c r="I26" s="38" t="inlineStr"/>
      <c r="J26" s="38" t="inlineStr"/>
    </row>
    <row r="27">
      <c r="A27" s="38" t="inlineStr">
        <is>
          <t>arms</t>
        </is>
      </c>
      <c r="B27" s="8" t="inlineStr"/>
      <c r="C27" s="8" t="inlineStr"/>
      <c r="D27" s="8" t="inlineStr"/>
      <c r="E27" s="8" t="inlineStr"/>
      <c r="F27" s="8" t="inlineStr"/>
      <c r="G27" s="8" t="inlineStr"/>
    </row>
    <row r="28">
      <c r="A28" s="38" t="inlineStr">
        <is>
          <t>Robe / Armor</t>
        </is>
      </c>
      <c r="B28" s="8" t="inlineStr"/>
      <c r="C28" s="8" t="inlineStr"/>
      <c r="D28" s="8" t="inlineStr"/>
      <c r="E28" s="8" t="inlineStr"/>
      <c r="F28" s="8" t="inlineStr"/>
      <c r="G28" s="8" t="inlineStr"/>
    </row>
    <row r="29">
      <c r="A29" s="38" t="inlineStr">
        <is>
          <t>Head</t>
        </is>
      </c>
      <c r="B29" s="8" t="inlineStr"/>
      <c r="C29" s="8" t="inlineStr"/>
      <c r="D29" s="8" t="inlineStr"/>
      <c r="E29" s="8" t="inlineStr"/>
      <c r="F29" s="8" t="inlineStr"/>
      <c r="G29" s="8" t="inlineStr"/>
    </row>
    <row r="30">
      <c r="A30" s="38" t="inlineStr">
        <is>
          <t>Necklace</t>
        </is>
      </c>
      <c r="B30" s="8" t="inlineStr"/>
      <c r="C30" s="8" t="inlineStr"/>
      <c r="D30" s="8" t="inlineStr"/>
      <c r="E30" s="8" t="inlineStr"/>
      <c r="F30" s="8" t="inlineStr"/>
      <c r="G30" s="8" t="inlineStr"/>
    </row>
    <row r="31">
      <c r="A31" s="38" t="inlineStr">
        <is>
          <t>Ring (Left)</t>
        </is>
      </c>
      <c r="B31" s="8" t="inlineStr"/>
      <c r="C31" s="8" t="inlineStr"/>
      <c r="D31" s="8" t="inlineStr"/>
      <c r="E31" s="8" t="inlineStr"/>
      <c r="F31" s="8" t="inlineStr"/>
      <c r="G31" s="8" t="inlineStr"/>
    </row>
    <row r="32">
      <c r="A32" s="38" t="inlineStr">
        <is>
          <t>Ring (Right)</t>
        </is>
      </c>
      <c r="B32" s="8" t="inlineStr"/>
      <c r="C32" s="8" t="inlineStr"/>
      <c r="D32" s="8" t="inlineStr"/>
      <c r="E32" s="8" t="inlineStr"/>
      <c r="F32" s="8" t="inlineStr"/>
      <c r="G32" s="8" t="inlineStr"/>
    </row>
    <row r="33">
      <c r="A33" s="38" t="inlineStr">
        <is>
          <t>Belt</t>
        </is>
      </c>
      <c r="B33" s="8" t="inlineStr"/>
      <c r="C33" s="8" t="inlineStr"/>
      <c r="D33" s="8" t="inlineStr"/>
      <c r="E33" s="8" t="inlineStr"/>
      <c r="F33" s="8" t="inlineStr"/>
      <c r="G33" s="8" t="inlineStr"/>
    </row>
    <row r="34">
      <c r="A34" s="38" t="inlineStr">
        <is>
          <t>Boots</t>
        </is>
      </c>
      <c r="B34" s="8" t="inlineStr"/>
      <c r="C34" s="8" t="inlineStr"/>
      <c r="D34" s="8" t="inlineStr"/>
      <c r="E34" s="8" t="inlineStr"/>
      <c r="F34" s="8" t="inlineStr"/>
      <c r="G34" s="8" t="inlineStr"/>
    </row>
    <row r="35">
      <c r="A35" s="38" t="inlineStr">
        <is>
          <t>magic weapon</t>
        </is>
      </c>
      <c r="B35" s="8" t="inlineStr"/>
      <c r="C35" s="8" t="inlineStr"/>
      <c r="D35" s="8" t="inlineStr"/>
      <c r="E35" s="8" t="inlineStr"/>
      <c r="F35" s="8" t="inlineStr"/>
      <c r="G35" s="8" t="inlineStr"/>
    </row>
    <row r="36">
      <c r="A36" s="38" t="inlineStr">
        <is>
          <t>Spirit Beast</t>
        </is>
      </c>
      <c r="B36" s="8" t="inlineStr"/>
      <c r="C36" s="8" t="inlineStr"/>
      <c r="D36" s="8" t="inlineStr"/>
      <c r="E36" s="8" t="inlineStr"/>
      <c r="F36" s="8" t="inlineStr"/>
      <c r="G36" s="8" t="inlineStr"/>
    </row>
    <row r="37"/>
    <row r="38">
      <c r="A38" s="4" t="inlineStr">
        <is>
          <t>Pills / Consumables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3" t="n"/>
    </row>
    <row r="39">
      <c r="A39" s="38" t="inlineStr">
        <is>
          <t>Name</t>
        </is>
      </c>
      <c r="B39" s="38" t="inlineStr">
        <is>
          <t>Grade</t>
        </is>
      </c>
      <c r="C39" s="38" t="inlineStr">
        <is>
          <t>Category</t>
        </is>
      </c>
      <c r="D39" s="38" t="inlineStr">
        <is>
          <t>Effect</t>
        </is>
      </c>
      <c r="E39" s="38" t="inlineStr">
        <is>
          <t>Poison</t>
        </is>
      </c>
      <c r="F39" s="38" t="inlineStr">
        <is>
          <t>Quantity</t>
        </is>
      </c>
      <c r="G39" s="38" t="inlineStr">
        <is>
          <t>Notes</t>
        </is>
      </c>
      <c r="H39" s="38" t="inlineStr"/>
      <c r="I39" s="38" t="inlineStr"/>
      <c r="J39" s="3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</row>
    <row r="48"/>
    <row r="49">
      <c r="A49" s="7" t="inlineStr">
        <is>
          <t>Spirit Stones / Wealth</t>
        </is>
      </c>
      <c r="B49" s="8" t="inlineStr"/>
      <c r="C49" s="2" t="n"/>
      <c r="D49" s="2" t="n"/>
      <c r="E49" s="3" t="n"/>
      <c r="F49" s="7" t="inlineStr">
        <is>
          <t>Storage Space</t>
        </is>
      </c>
      <c r="G49" s="9" t="inlineStr">
        <is>
          <t>20 Slots</t>
        </is>
      </c>
      <c r="H49" s="2" t="n"/>
      <c r="I49" s="2" t="n"/>
      <c r="J49" s="3" t="n"/>
    </row>
  </sheetData>
  <mergeCells count="8">
    <mergeCell ref="A1:J1"/>
    <mergeCell ref="B49:E49"/>
    <mergeCell ref="G49:J49"/>
    <mergeCell ref="A3:J3"/>
    <mergeCell ref="A38:J38"/>
    <mergeCell ref="A25:J25"/>
    <mergeCell ref="A19:J19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6070"/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Character Background and Notes</t>
        </is>
      </c>
      <c r="B1" s="3" t="n"/>
    </row>
    <row r="2"/>
    <row r="3">
      <c r="A3" s="39" t="inlineStr">
        <is>
          <t>Appearance Description</t>
        </is>
      </c>
      <c r="B3" s="8" t="inlineStr"/>
    </row>
    <row r="4">
      <c r="A4" s="40" t="n"/>
      <c r="B4" s="8" t="inlineStr"/>
    </row>
    <row r="5">
      <c r="A5" s="40" t="n"/>
      <c r="B5" s="8" t="inlineStr"/>
    </row>
    <row r="6">
      <c r="A6" s="40" t="n"/>
      <c r="B6" s="8" t="inlineStr"/>
    </row>
    <row r="7">
      <c r="A7" s="40" t="n"/>
      <c r="B7" s="8" t="inlineStr"/>
    </row>
    <row r="8">
      <c r="A8" s="40" t="n"/>
      <c r="B8" s="8" t="inlineStr"/>
    </row>
    <row r="9">
      <c r="A9" s="40" t="n"/>
      <c r="B9" s="8" t="inlineStr"/>
    </row>
    <row r="10">
      <c r="A10" s="41" t="n"/>
      <c r="B10" s="8" t="inlineStr"/>
    </row>
    <row r="11">
      <c r="A11" s="39" t="inlineStr">
        <is>
          <t>Personality Traits</t>
        </is>
      </c>
      <c r="B11" s="8" t="inlineStr"/>
    </row>
    <row r="12">
      <c r="A12" s="40" t="n"/>
      <c r="B12" s="8" t="inlineStr"/>
    </row>
    <row r="13">
      <c r="A13" s="40" t="n"/>
      <c r="B13" s="8" t="inlineStr"/>
    </row>
    <row r="14">
      <c r="A14" s="40" t="n"/>
      <c r="B14" s="8" t="inlineStr"/>
    </row>
    <row r="15">
      <c r="A15" s="41" t="n"/>
      <c r="B15" s="8" t="inlineStr"/>
    </row>
    <row r="16">
      <c r="A16" s="39" t="inlineStr">
        <is>
          <t>Backstory</t>
        </is>
      </c>
      <c r="B16" s="8" t="inlineStr"/>
    </row>
    <row r="17">
      <c r="A17" s="40" t="n"/>
      <c r="B17" s="8" t="inlineStr"/>
    </row>
    <row r="18">
      <c r="A18" s="40" t="n"/>
      <c r="B18" s="8" t="inlineStr"/>
    </row>
    <row r="19">
      <c r="A19" s="40" t="n"/>
      <c r="B19" s="8" t="inlineStr"/>
    </row>
    <row r="20">
      <c r="A20" s="40" t="n"/>
      <c r="B20" s="8" t="inlineStr"/>
    </row>
    <row r="21">
      <c r="A21" s="40" t="n"/>
      <c r="B21" s="8" t="inlineStr"/>
    </row>
    <row r="22">
      <c r="A22" s="40" t="n"/>
      <c r="B22" s="8" t="inlineStr"/>
    </row>
    <row r="23">
      <c r="A23" s="40" t="n"/>
      <c r="B23" s="8" t="inlineStr"/>
    </row>
    <row r="24">
      <c r="A24" s="40" t="n"/>
      <c r="B24" s="8" t="inlineStr"/>
    </row>
    <row r="25">
      <c r="A25" s="40" t="n"/>
      <c r="B25" s="8" t="inlineStr"/>
    </row>
    <row r="26">
      <c r="A26" s="40" t="n"/>
      <c r="B26" s="8" t="inlineStr"/>
    </row>
    <row r="27">
      <c r="A27" s="41" t="n"/>
      <c r="B27" s="8" t="inlineStr"/>
    </row>
    <row r="28">
      <c r="A28" s="39" t="inlineStr">
        <is>
          <t>Immortality Pursuit Goal / Obsession</t>
        </is>
      </c>
      <c r="B28" s="8" t="inlineStr"/>
    </row>
    <row r="29">
      <c r="A29" s="40" t="n"/>
      <c r="B29" s="8" t="inlineStr"/>
    </row>
    <row r="30">
      <c r="A30" s="41" t="n"/>
      <c r="B30" s="8" t="inlineStr"/>
    </row>
    <row r="31">
      <c r="A31" s="39" t="inlineStr">
        <is>
          <t>Important Relationships</t>
        </is>
      </c>
      <c r="B31" s="8" t="inlineStr"/>
    </row>
    <row r="32">
      <c r="A32" s="40" t="n"/>
      <c r="B32" s="8" t="inlineStr"/>
    </row>
    <row r="33">
      <c r="A33" s="40" t="n"/>
      <c r="B33" s="8" t="inlineStr"/>
    </row>
    <row r="34">
      <c r="A34" s="40" t="n"/>
      <c r="B34" s="8" t="inlineStr"/>
    </row>
    <row r="35">
      <c r="A35" s="40" t="n"/>
      <c r="B35" s="8" t="inlineStr"/>
    </row>
    <row r="36">
      <c r="A36" s="41" t="n"/>
      <c r="B36" s="8" t="inlineStr"/>
    </row>
    <row r="37">
      <c r="A37" s="39" t="inlineStr">
        <is>
          <t>Adventure Log</t>
        </is>
      </c>
      <c r="B37" s="8" t="inlineStr"/>
    </row>
    <row r="38">
      <c r="A38" s="40" t="n"/>
      <c r="B38" s="8" t="inlineStr"/>
    </row>
    <row r="39">
      <c r="A39" s="40" t="n"/>
      <c r="B39" s="8" t="inlineStr"/>
    </row>
    <row r="40">
      <c r="A40" s="40" t="n"/>
      <c r="B40" s="8" t="inlineStr"/>
    </row>
    <row r="41">
      <c r="A41" s="40" t="n"/>
      <c r="B41" s="8" t="inlineStr"/>
    </row>
    <row r="42">
      <c r="A42" s="40" t="n"/>
      <c r="B42" s="8" t="inlineStr"/>
    </row>
    <row r="43">
      <c r="A43" s="40" t="n"/>
      <c r="B43" s="8" t="inlineStr"/>
    </row>
    <row r="44">
      <c r="A44" s="40" t="n"/>
      <c r="B44" s="8" t="inlineStr"/>
    </row>
    <row r="45">
      <c r="A45" s="40" t="n"/>
      <c r="B45" s="8" t="inlineStr"/>
    </row>
    <row r="46">
      <c r="A46" s="40" t="n"/>
      <c r="B46" s="8" t="inlineStr"/>
    </row>
    <row r="47">
      <c r="A47" s="40" t="n"/>
      <c r="B47" s="8" t="inlineStr"/>
    </row>
    <row r="48">
      <c r="A48" s="40" t="n"/>
      <c r="B48" s="8" t="inlineStr"/>
    </row>
    <row r="49">
      <c r="A49" s="40" t="n"/>
      <c r="B49" s="8" t="inlineStr"/>
    </row>
    <row r="50">
      <c r="A50" s="40" t="n"/>
      <c r="B50" s="8" t="inlineStr"/>
    </row>
    <row r="51">
      <c r="A51" s="41" t="n"/>
      <c r="B51" s="8" t="inlineStr"/>
    </row>
    <row r="52">
      <c r="A52" s="39" t="inlineStr">
        <is>
          <t>Notes</t>
        </is>
      </c>
      <c r="B52" s="8" t="inlineStr"/>
    </row>
    <row r="53">
      <c r="A53" s="40" t="n"/>
      <c r="B53" s="8" t="inlineStr"/>
    </row>
    <row r="54">
      <c r="A54" s="40" t="n"/>
      <c r="B54" s="8" t="inlineStr"/>
    </row>
    <row r="55">
      <c r="A55" s="40" t="n"/>
      <c r="B55" s="8" t="inlineStr"/>
    </row>
    <row r="56">
      <c r="A56" s="40" t="n"/>
      <c r="B56" s="8" t="inlineStr"/>
    </row>
    <row r="57">
      <c r="A57" s="40" t="n"/>
      <c r="B57" s="8" t="inlineStr"/>
    </row>
    <row r="58">
      <c r="A58" s="40" t="n"/>
      <c r="B58" s="8" t="inlineStr"/>
    </row>
    <row r="59">
      <c r="A59" s="41" t="n"/>
      <c r="B59" s="8" t="inlineStr"/>
    </row>
  </sheetData>
  <mergeCells count="8">
    <mergeCell ref="A31:A36"/>
    <mergeCell ref="A16:A27"/>
    <mergeCell ref="A52:A59"/>
    <mergeCell ref="A28:A30"/>
    <mergeCell ref="A3:A10"/>
    <mergeCell ref="A11:A15"/>
    <mergeCell ref="A1:B1"/>
    <mergeCell ref="A37:A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Tianji: Cultivation of the True Heart — Dice Reference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/>
    <row r="3">
      <c r="A3" s="4" t="inlineStr">
        <is>
          <t>D100 Check Quick Reference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>
      <c r="A4" s="38" t="inlineStr">
        <is>
          <t>Check Type</t>
        </is>
      </c>
      <c r="B4" s="38" t="inlineStr">
        <is>
          <t>Attribute</t>
        </is>
      </c>
      <c r="C4" s="38" t="inlineStr">
        <is>
          <t>Formula</t>
        </is>
      </c>
      <c r="D4" s="38" t="inlineStr">
        <is>
          <t>Difficulty Modifier (DC) Reference</t>
        </is>
      </c>
      <c r="E4" s="38" t="inlineStr">
        <is>
          <t>Margin of Success Effect</t>
        </is>
      </c>
      <c r="F4" s="38" t="inlineStr"/>
    </row>
    <row r="5">
      <c r="A5" s="7" t="inlineStr">
        <is>
          <t>Attack (Melee)</t>
        </is>
      </c>
      <c r="B5" s="17" t="inlineStr">
        <is>
          <t>Physique</t>
        </is>
      </c>
      <c r="C5" s="42" t="inlineStr">
        <is>
          <t>d100 ≤ Physique + Weapon Bonus</t>
        </is>
      </c>
      <c r="D5" s="2" t="n"/>
      <c r="E5" s="3" t="n"/>
      <c r="F5" s="26" t="inlineStr">
        <is>
          <t>Light Armor 15 / Medium Armor 25 / Heavy Armor 35</t>
        </is>
      </c>
      <c r="G5" s="2" t="n"/>
      <c r="H5" s="3" t="n"/>
      <c r="I5" s="26" t="inlineStr">
        <is>
          <t>Margin of Success (MoS) = Target Number (TN) - d100</t>
        </is>
      </c>
      <c r="J5" s="3" t="n"/>
    </row>
    <row r="6">
      <c r="A6" s="29" t="inlineStr">
        <is>
          <t>Attack (Spell)</t>
        </is>
      </c>
      <c r="B6" s="43" t="inlineStr">
        <is>
          <t>Spirit Power</t>
        </is>
      </c>
      <c r="C6" s="44" t="inlineStr">
        <is>
          <t>d100 ≤ Spirit Power + Magic Artifact Bonus</t>
        </is>
      </c>
      <c r="D6" s="2" t="n"/>
      <c r="E6" s="3" t="n"/>
      <c r="F6" s="11" t="inlineStr">
        <is>
          <t>Based on target's resistance</t>
        </is>
      </c>
      <c r="G6" s="2" t="n"/>
      <c r="H6" s="3" t="n"/>
      <c r="I6" s="11" t="inlineStr">
        <is>
          <t>Margin of Success (MoS) = Target Number (TN) - d100</t>
        </is>
      </c>
      <c r="J6" s="3" t="n"/>
    </row>
    <row r="7">
      <c r="A7" s="7" t="inlineStr">
        <is>
          <t>Evasion</t>
        </is>
      </c>
      <c r="B7" s="17" t="inlineStr">
        <is>
          <t>Agility</t>
        </is>
      </c>
      <c r="C7" s="42" t="inlineStr">
        <is>
          <t>d100 ≤ Agility + Qinggong Bonus</t>
        </is>
      </c>
      <c r="D7" s="2" t="n"/>
      <c r="E7" s="3" t="n"/>
      <c r="F7" s="26" t="inlineStr">
        <is>
          <t>Attacker Margin of Success (MoS) vs Evasion Margin of Success (MoS)</t>
        </is>
      </c>
      <c r="G7" s="2" t="n"/>
      <c r="H7" s="3" t="n"/>
      <c r="I7" s="26" t="inlineStr">
        <is>
          <t>On success: Full Evasion</t>
        </is>
      </c>
      <c r="J7" s="3" t="n"/>
    </row>
    <row r="8">
      <c r="A8" s="29" t="inlineStr">
        <is>
          <t>Initiative</t>
        </is>
      </c>
      <c r="B8" s="43" t="inlineStr">
        <is>
          <t>Divine Sense</t>
        </is>
      </c>
      <c r="C8" s="44" t="inlineStr">
        <is>
          <t>Divine Sense + floor(Agility/5)</t>
        </is>
      </c>
      <c r="D8" s="2" t="n"/>
      <c r="E8" s="3" t="n"/>
      <c r="F8" s="11" t="inlineStr">
        <is>
          <t>No Difficulty Modifier (DC)</t>
        </is>
      </c>
      <c r="G8" s="2" t="n"/>
      <c r="H8" s="3" t="n"/>
      <c r="I8" s="11" t="inlineStr">
        <is>
          <t>Determines action order</t>
        </is>
      </c>
      <c r="J8" s="3" t="n"/>
    </row>
    <row r="9">
      <c r="A9" s="7" t="inlineStr">
        <is>
          <t>Scout</t>
        </is>
      </c>
      <c r="B9" s="17" t="inlineStr">
        <is>
          <t>Divine Sense</t>
        </is>
      </c>
      <c r="C9" s="42" t="inlineStr">
        <is>
          <t>d100 ≤ Divine Sense + Scout Bonus</t>
        </is>
      </c>
      <c r="D9" s="2" t="n"/>
      <c r="E9" s="3" t="n"/>
      <c r="F9" s="26" t="inlineStr">
        <is>
          <t>Hidden Difficulty DC</t>
        </is>
      </c>
      <c r="G9" s="2" t="n"/>
      <c r="H9" s="3" t="n"/>
      <c r="I9" s="26" t="inlineStr">
        <is>
          <t>Margin of Success (MoS) = Amount of Detail Discovered</t>
        </is>
      </c>
      <c r="J9" s="3" t="n"/>
    </row>
    <row r="10">
      <c r="A10" s="29" t="inlineStr">
        <is>
          <t>Cultivation Technique Learning</t>
        </is>
      </c>
      <c r="B10" s="43" t="inlineStr">
        <is>
          <t>Comprehension</t>
        </is>
      </c>
      <c r="C10" s="44" t="inlineStr">
        <is>
          <t>d100 ≤ Comprehension</t>
        </is>
      </c>
      <c r="D10" s="2" t="n"/>
      <c r="E10" s="3" t="n"/>
      <c r="F10" s="11" t="inlineStr">
        <is>
          <t>Cultivation Technique Grade Difficulty Modifier (DC)</t>
        </is>
      </c>
      <c r="G10" s="2" t="n"/>
      <c r="H10" s="3" t="n"/>
      <c r="I10" s="11" t="inlineStr">
        <is>
          <t>On success: Learn</t>
        </is>
      </c>
      <c r="J10" s="3" t="n"/>
    </row>
    <row r="11">
      <c r="A11" s="7" t="inlineStr">
        <is>
          <t>Breakthrough</t>
        </is>
      </c>
      <c r="B11" s="17" t="inlineStr">
        <is>
          <t>Constitution</t>
        </is>
      </c>
      <c r="C11" s="42" t="inlineStr">
        <is>
          <t>d100 ≤ Constitution - Difficulty Modifier (DC)</t>
        </is>
      </c>
      <c r="D11" s="2" t="n"/>
      <c r="E11" s="3" t="n"/>
      <c r="F11" s="26" t="inlineStr">
        <is>
          <t>Minor Stage 25 / Major Breakthrough 40-80</t>
        </is>
      </c>
      <c r="G11" s="2" t="n"/>
      <c r="H11" s="3" t="n"/>
      <c r="I11" s="26" t="inlineStr">
        <is>
          <t>On success: Promotion</t>
        </is>
      </c>
      <c r="J11" s="3" t="n"/>
    </row>
    <row r="12">
      <c r="A12" s="29" t="inlineStr">
        <is>
          <t>Pill Refining</t>
        </is>
      </c>
      <c r="B12" s="43" t="inlineStr">
        <is>
          <t>Spirit Power</t>
        </is>
      </c>
      <c r="C12" s="44" t="inlineStr">
        <is>
          <t>d100 ≤ Spirit Power + Pillcraft Bonus</t>
        </is>
      </c>
      <c r="D12" s="2" t="n"/>
      <c r="E12" s="3" t="n"/>
      <c r="F12" s="11" t="inlineStr">
        <is>
          <t>Pill Recipe Difficulty Modifier (DC)</t>
        </is>
      </c>
      <c r="G12" s="2" t="n"/>
      <c r="H12" s="3" t="n"/>
      <c r="I12" s="11" t="inlineStr">
        <is>
          <t>Margin of Success affects quality</t>
        </is>
      </c>
      <c r="J12" s="3" t="n"/>
    </row>
    <row r="13">
      <c r="A13" s="7" t="inlineStr">
        <is>
          <t>Artifact Refining</t>
        </is>
      </c>
      <c r="B13" s="17" t="inlineStr">
        <is>
          <t>Spirit Power</t>
        </is>
      </c>
      <c r="C13" s="42" t="inlineStr">
        <is>
          <t>d100 ≤ Spirit Power + Artifactcraft Bonus</t>
        </is>
      </c>
      <c r="D13" s="2" t="n"/>
      <c r="E13" s="3" t="n"/>
      <c r="F13" s="26" t="inlineStr">
        <is>
          <t>Blueprint Difficulty Modifier (DC)</t>
        </is>
      </c>
      <c r="G13" s="2" t="n"/>
      <c r="H13" s="3" t="n"/>
      <c r="I13" s="26" t="inlineStr">
        <is>
          <t>Margin of Success affects quality</t>
        </is>
      </c>
      <c r="J13" s="3" t="n"/>
    </row>
    <row r="14">
      <c r="A14" s="29" t="inlineStr">
        <is>
          <t>Formation Array</t>
        </is>
      </c>
      <c r="B14" s="43" t="inlineStr">
        <is>
          <t>Comprehension</t>
        </is>
      </c>
      <c r="C14" s="44" t="inlineStr">
        <is>
          <t>d100 ≤ Comprehension + Formationcraft Bonus</t>
        </is>
      </c>
      <c r="D14" s="2" t="n"/>
      <c r="E14" s="3" t="n"/>
      <c r="F14" s="11" t="inlineStr">
        <is>
          <t>Formation Diagram Difficulty Modifier (DC)</t>
        </is>
      </c>
      <c r="G14" s="2" t="n"/>
      <c r="H14" s="3" t="n"/>
      <c r="I14" s="11" t="inlineStr">
        <is>
          <t>On success: Set Up Formation</t>
        </is>
      </c>
      <c r="J14" s="3" t="n"/>
    </row>
    <row r="15">
      <c r="A15" s="7" t="inlineStr">
        <is>
          <t>Beast Taming</t>
        </is>
      </c>
      <c r="B15" s="17" t="inlineStr">
        <is>
          <t>Agility</t>
        </is>
      </c>
      <c r="C15" s="42" t="inlineStr">
        <is>
          <t>d100 ≤ Agility + Beast Taming Bonus</t>
        </is>
      </c>
      <c r="D15" s="2" t="n"/>
      <c r="E15" s="3" t="n"/>
      <c r="F15" s="26" t="inlineStr">
        <is>
          <t>Spirit Beast Level Difficulty Modifier (DC)</t>
        </is>
      </c>
      <c r="G15" s="2" t="n"/>
      <c r="H15" s="3" t="n"/>
      <c r="I15" s="26" t="inlineStr">
        <is>
          <t>On success: Tame / Command</t>
        </is>
      </c>
      <c r="J15" s="3" t="n"/>
    </row>
    <row r="16">
      <c r="A16" s="29" t="inlineStr">
        <is>
          <t>Social</t>
        </is>
      </c>
      <c r="B16" s="43" t="inlineStr">
        <is>
          <t>Dao Heart</t>
        </is>
      </c>
      <c r="C16" s="44" t="inlineStr">
        <is>
          <t>d100 ≤ Dao Heart</t>
        </is>
      </c>
      <c r="D16" s="2" t="n"/>
      <c r="E16" s="3" t="n"/>
      <c r="F16" s="11" t="inlineStr">
        <is>
          <t>Attitude Difficulty Modifier (DC)</t>
        </is>
      </c>
      <c r="G16" s="2" t="n"/>
      <c r="H16" s="3" t="n"/>
      <c r="I16" s="11" t="inlineStr">
        <is>
          <t>On success: Persuade / Intimidate</t>
        </is>
      </c>
      <c r="J16" s="3" t="n"/>
    </row>
    <row r="17">
      <c r="A17" s="7" t="inlineStr">
        <is>
          <t>Inner Demon Contest</t>
        </is>
      </c>
      <c r="B17" s="17" t="inlineStr">
        <is>
          <t>Dao Heart</t>
        </is>
      </c>
      <c r="C17" s="42" t="inlineStr">
        <is>
          <t>d100 ≤ Dao Heart - Inner Demon Value</t>
        </is>
      </c>
      <c r="D17" s="2" t="n"/>
      <c r="E17" s="3" t="n"/>
      <c r="F17" s="26" t="inlineStr">
        <is>
          <t>Inner Demon Intensity Difficulty Modifier (DC)</t>
        </is>
      </c>
      <c r="G17" s="2" t="n"/>
      <c r="H17" s="3" t="n"/>
      <c r="I17" s="26" t="inlineStr">
        <is>
          <t>On failure, Inner Demon Value +1d10</t>
        </is>
      </c>
      <c r="J17" s="3" t="n"/>
    </row>
    <row r="18">
      <c r="A18" s="29" t="inlineStr">
        <is>
          <t>Tribulation Crossing</t>
        </is>
      </c>
      <c r="B18" s="43" t="inlineStr">
        <is>
          <t>Dao Heart</t>
        </is>
      </c>
      <c r="C18" s="44" t="inlineStr">
        <is>
          <t>d100 ≤ Dao Heart + Tribulation Bonus</t>
        </is>
      </c>
      <c r="D18" s="2" t="n"/>
      <c r="E18" s="3" t="n"/>
      <c r="F18" s="11" t="inlineStr">
        <is>
          <t>Heavenly Tribulation Difficulty Modifier (DC)</t>
        </is>
      </c>
      <c r="G18" s="2" t="n"/>
      <c r="H18" s="3" t="n"/>
      <c r="I18" s="11" t="inlineStr">
        <is>
          <t>3 Checks require 2 successes</t>
        </is>
      </c>
      <c r="J18" s="3" t="n"/>
    </row>
  </sheetData>
  <mergeCells count="44">
    <mergeCell ref="C16:E16"/>
    <mergeCell ref="I6:J6"/>
    <mergeCell ref="F5:H5"/>
    <mergeCell ref="F18:H18"/>
    <mergeCell ref="I15:J15"/>
    <mergeCell ref="C9:E9"/>
    <mergeCell ref="F8:H8"/>
    <mergeCell ref="I11:J11"/>
    <mergeCell ref="F17:H17"/>
    <mergeCell ref="C12:E12"/>
    <mergeCell ref="C11:E11"/>
    <mergeCell ref="I16:J16"/>
    <mergeCell ref="F13:H13"/>
    <mergeCell ref="I7:J7"/>
    <mergeCell ref="C8:E8"/>
    <mergeCell ref="C17:E17"/>
    <mergeCell ref="F9:H9"/>
    <mergeCell ref="C7:E7"/>
    <mergeCell ref="I18:J18"/>
    <mergeCell ref="A1:J1"/>
    <mergeCell ref="I12:J12"/>
    <mergeCell ref="C13:E13"/>
    <mergeCell ref="F14:H14"/>
    <mergeCell ref="C18:E18"/>
    <mergeCell ref="I5:J5"/>
    <mergeCell ref="I8:J8"/>
    <mergeCell ref="I14:J14"/>
    <mergeCell ref="C15:E15"/>
    <mergeCell ref="F11:H11"/>
    <mergeCell ref="I17:J17"/>
    <mergeCell ref="C6:E6"/>
    <mergeCell ref="F10:H10"/>
    <mergeCell ref="F16:H16"/>
    <mergeCell ref="C14:E14"/>
    <mergeCell ref="F6:H6"/>
    <mergeCell ref="C5:E5"/>
    <mergeCell ref="I10:J10"/>
    <mergeCell ref="A3:J3"/>
    <mergeCell ref="F12:H12"/>
    <mergeCell ref="F7:H7"/>
    <mergeCell ref="I13:J13"/>
    <mergeCell ref="F15:H15"/>
    <mergeCell ref="I9:J9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2026-06-17T16:48:08Z</dcterms:created>
  <dcterms:modified xmlns:dcterms="http://purl.org/dc/terms/" xmlns:xsi="http://www.w3.org/2001/XMLSchema-instance" xsi:type="dcterms:W3CDTF">2026-08-09T10:19:53Z</dcterms:modified>
</cp:coreProperties>
</file>