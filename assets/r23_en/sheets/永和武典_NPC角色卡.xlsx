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ongshu Xuan" sheetId="1" state="visible" r:id="rId1"/>
    <sheet name="Li Canyang" sheetId="2" state="visible" r:id="rId2"/>
    <sheet name="Mo Ran" sheetId="3" state="visible" r:id="rId3"/>
    <sheet name="Ye Xiuluo" sheetId="4" state="visible" r:id="rId4"/>
    <sheet name="Meng Po" sheetId="5" state="visible" r:id="rId5"/>
    <sheet name="Huijue" sheetId="6" state="visible" r:id="rId6"/>
    <sheet name="Cao Shaoqin" sheetId="7" state="visible" r:id="rId7"/>
    <sheet name="Zhuque" sheetId="8" state="visible" r:id="rId8"/>
    <sheet name="Liu Shengyan" sheetId="9" state="visible" r:id="rId9"/>
    <sheet name="Duan Tianya" sheetId="10" state="visible" r:id="rId10"/>
    <sheet name="Shen Wanjin" sheetId="11" state="visible" r:id="rId11"/>
    <sheet name="Baihe" sheetId="12" state="visible" r:id="rId12"/>
    <sheet name="Ziyang" sheetId="13" state="visible" r:id="rId13"/>
    <sheet name="Su Qingnang" sheetId="14" state="visible" r:id="rId14"/>
    <sheet name="Zhao Wuji" sheetId="15" state="visible" r:id="rId15"/>
    <sheet name="Lu Chenyuan" sheetId="16" state="visible" r:id="rId16"/>
    <sheet name="Han Tieyi" sheetId="17" state="visible" r:id="rId17"/>
    <sheet name="Liu Shengyan (Companion)" sheetId="18" state="visible" r:id="rId18"/>
    <sheet name="Duan Tianya (Companion)" sheetId="19" state="visible" r:id="rId19"/>
    <sheet name="Han Tieyi (Companion)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Microsoft YaHei"/>
      <b val="1"/>
      <color rgb="001a1a2e"/>
      <sz val="20"/>
    </font>
    <font>
      <name val="Microsoft YaHei"/>
      <color rgb="00666666"/>
      <sz val="9"/>
    </font>
    <font>
      <name val="Microsoft YaHei"/>
      <b val="1"/>
      <color rgb="002c3e50"/>
      <sz val="13"/>
    </font>
    <font>
      <name val="Microsoft YaHei"/>
      <b val="1"/>
      <color rgb="0034495e"/>
      <sz val="10"/>
    </font>
    <font>
      <name val="Microsoft YaHei"/>
      <sz val="10"/>
    </font>
    <font>
      <name val="Microsoft YaHei"/>
      <b val="1"/>
      <color rgb="00FFFFFF"/>
      <sz val="9"/>
    </font>
    <font>
      <name val="Microsoft YaHei"/>
      <b val="1"/>
      <i val="1"/>
      <sz val="10"/>
    </font>
    <font>
      <name val="Microsoft YaHei"/>
      <b val="1"/>
      <color rgb="001a1a2e"/>
      <sz val="14"/>
    </font>
    <font>
      <name val="Microsoft YaHei"/>
      <b val="1"/>
      <color rgb="001a1a2e"/>
      <sz val="18"/>
    </font>
    <font>
      <name val="Microsoft YaHei"/>
      <b val="1"/>
      <color rgb="002c3e50"/>
      <sz val="12"/>
    </font>
    <font>
      <name val="Microsoft YaHei"/>
      <b val="1"/>
      <color rgb="001a1a2e"/>
      <sz val="16"/>
    </font>
    <font>
      <name val="Microsoft YaHei"/>
      <b val="1"/>
      <i val="1"/>
      <sz val="14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11" fillId="0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</cols>
  <sheetData>
    <row r="1">
      <c r="A1" s="1" t="inlineStr">
        <is>
          <t>Yonghe Martial Codex</t>
        </is>
      </c>
      <c r="B1" s="2" t="n"/>
      <c r="C1" s="2" t="n"/>
      <c r="D1" s="2" t="n"/>
      <c r="E1" s="2" t="n"/>
      <c r="F1" s="2" t="n"/>
      <c r="G1" s="2" t="n"/>
      <c r="H1" s="3" t="n"/>
    </row>
    <row r="2">
      <c r="A2" s="4" t="inlineStr">
        <is>
          <t>Character Card · Tabletop Rules Studio</t>
        </is>
      </c>
      <c r="B2" s="2" t="n"/>
      <c r="C2" s="2" t="n"/>
      <c r="D2" s="2" t="n"/>
      <c r="E2" s="2" t="n"/>
      <c r="F2" s="2" t="n"/>
      <c r="G2" s="2" t="n"/>
      <c r="H2" s="3" t="n"/>
    </row>
    <row r="3"/>
    <row r="4">
      <c r="A4" s="5" t="inlineStr">
        <is>
          <t>— Basic Info —</t>
        </is>
      </c>
      <c r="B4" s="2" t="n"/>
      <c r="C4" s="2" t="n"/>
      <c r="D4" s="2" t="n"/>
      <c r="E4" s="2" t="n"/>
      <c r="F4" s="2" t="n"/>
      <c r="G4" s="2" t="n"/>
      <c r="H4" s="3" t="n"/>
    </row>
    <row r="5">
      <c r="A5" s="6" t="inlineStr">
        <is>
          <t>Character Name</t>
        </is>
      </c>
      <c r="B5" s="7" t="inlineStr">
        <is>
          <t>Gongshu Xuan</t>
        </is>
      </c>
      <c r="C5" s="6" t="inlineStr">
        <is>
          <t>Player</t>
        </is>
      </c>
      <c r="D5" s="7" t="n"/>
      <c r="E5" s="6" t="inlineStr">
        <is>
          <t>Sect</t>
        </is>
      </c>
      <c r="F5" s="7" t="inlineStr">
        <is>
          <t>Qianji Pavilion</t>
        </is>
      </c>
    </row>
    <row r="6">
      <c r="A6" s="6" t="inlineStr">
        <is>
          <t>Concept</t>
        </is>
      </c>
      <c r="B6" s="8" t="inlineStr">
        <is>
          <t>Pavilion Lord of Qianji Pavilion, an arithmetic prodigy; second-rate in direct combat but first-rate in mechanical tactics.</t>
        </is>
      </c>
      <c r="C6" s="2" t="n"/>
      <c r="D6" s="3" t="n"/>
      <c r="E6" s="6" t="inlineStr">
        <is>
          <t>Realm</t>
        </is>
      </c>
      <c r="F6" s="7" t="inlineStr">
        <is>
          <t>Perfecting the Craft</t>
        </is>
      </c>
      <c r="G6" s="6" t="inlineStr">
        <is>
          <t>Inner Cultivation Coefficient</t>
        </is>
      </c>
      <c r="H6" s="7" t="inlineStr">
        <is>
          <t>2</t>
        </is>
      </c>
    </row>
    <row r="7"/>
    <row r="8">
      <c r="A8" s="5" t="inlineStr">
        <is>
          <t>— Six Attributes —</t>
        </is>
      </c>
      <c r="B8" s="2" t="n"/>
      <c r="C8" s="2" t="n"/>
      <c r="D8" s="2" t="n"/>
      <c r="E8" s="2" t="n"/>
      <c r="F8" s="2" t="n"/>
      <c r="G8" s="2" t="n"/>
      <c r="H8" s="3" t="n"/>
    </row>
    <row r="9">
      <c r="A9" s="9" t="inlineStr">
        <is>
          <t>Attribute</t>
        </is>
      </c>
      <c r="B9" s="9" t="inlineStr">
        <is>
          <t>Base Value</t>
        </is>
      </c>
      <c r="C9" s="9" t="inlineStr">
        <is>
          <t>Modifier</t>
        </is>
      </c>
      <c r="D9" s="9" t="inlineStr">
        <is>
          <t>Description</t>
        </is>
      </c>
    </row>
    <row r="10">
      <c r="A10" s="6" t="inlineStr">
        <is>
          <t>Strength (STR)</t>
        </is>
      </c>
      <c r="B10" s="7" t="inlineStr">
        <is>
          <t>3</t>
        </is>
      </c>
      <c r="C10" s="10">
        <f>B10-4</f>
        <v/>
      </c>
      <c r="D10" s="4" t="inlineStr">
        <is>
          <t>Muscle power, explosive force</t>
        </is>
      </c>
      <c r="E10" s="2" t="n"/>
      <c r="F10" s="3" t="n"/>
    </row>
    <row r="11">
      <c r="A11" s="6" t="inlineStr">
        <is>
          <t>Agility (AGI)</t>
        </is>
      </c>
      <c r="B11" s="7" t="inlineStr">
        <is>
          <t>5</t>
        </is>
      </c>
      <c r="C11" s="10">
        <f>B11-4</f>
        <v/>
      </c>
      <c r="D11" s="4" t="inlineStr">
        <is>
          <t>Speed, flexibility, lightfoot</t>
        </is>
      </c>
      <c r="E11" s="2" t="n"/>
      <c r="F11" s="3" t="n"/>
    </row>
    <row r="12">
      <c r="A12" s="6" t="inlineStr">
        <is>
          <t>Constitution (CON)</t>
        </is>
      </c>
      <c r="B12" s="7" t="inlineStr">
        <is>
          <t>5</t>
        </is>
      </c>
      <c r="C12" s="10">
        <f>B12-4</f>
        <v/>
      </c>
      <c r="D12" s="4" t="inlineStr">
        <is>
          <t>Meridian capacity, physique, life resilience</t>
        </is>
      </c>
      <c r="E12" s="2" t="n"/>
      <c r="F12" s="3" t="n"/>
    </row>
    <row r="13">
      <c r="A13" s="6" t="inlineStr">
        <is>
          <t>Comprehension (CMP)</t>
        </is>
      </c>
      <c r="B13" s="7" t="inlineStr">
        <is>
          <t>10</t>
        </is>
      </c>
      <c r="C13" s="10">
        <f>B13-4</f>
        <v/>
      </c>
      <c r="D13" s="4" t="inlineStr">
        <is>
          <t>Martial comprehension, learning efficiency</t>
        </is>
      </c>
      <c r="E13" s="2" t="n"/>
      <c r="F13" s="3" t="n"/>
    </row>
    <row r="14">
      <c r="A14" s="6" t="inlineStr">
        <is>
          <t>Willpower (WIL)</t>
        </is>
      </c>
      <c r="B14" s="7" t="inlineStr">
        <is>
          <t>7</t>
        </is>
      </c>
      <c r="C14" s="10">
        <f>B14-4</f>
        <v/>
      </c>
      <c r="D14" s="4" t="inlineStr">
        <is>
          <t>Willpower, mental stability</t>
        </is>
      </c>
      <c r="E14" s="2" t="n"/>
      <c r="F14" s="3" t="n"/>
    </row>
    <row r="15">
      <c r="A15" s="6" t="inlineStr">
        <is>
          <t>Charisma (CHA)</t>
        </is>
      </c>
      <c r="B15" s="7" t="inlineStr">
        <is>
          <t>4</t>
        </is>
      </c>
      <c r="C15" s="10">
        <f>B15-4</f>
        <v/>
      </c>
      <c r="D15" s="4" t="inlineStr">
        <is>
          <t>Personal charm, interpersonal influence</t>
        </is>
      </c>
      <c r="E15" s="2" t="n"/>
      <c r="F15" s="3" t="n"/>
    </row>
    <row r="16">
      <c r="A16" s="6" t="inlineStr">
        <is>
          <t>Attribute Total</t>
        </is>
      </c>
      <c r="B16" s="3" t="n"/>
    </row>
    <row r="17"/>
    <row r="18">
      <c r="A18" s="5" t="inlineStr">
        <is>
          <t>— Derived Values —</t>
        </is>
      </c>
      <c r="B18" s="2" t="n"/>
      <c r="C18" s="2" t="n"/>
      <c r="D18" s="2" t="n"/>
      <c r="E18" s="2" t="n"/>
      <c r="F18" s="2" t="n"/>
      <c r="G18" s="2" t="n"/>
      <c r="H18" s="3" t="n"/>
    </row>
    <row r="19">
      <c r="A19" s="6" t="inlineStr">
        <is>
          <t>Health Points (HP)</t>
        </is>
      </c>
      <c r="B19" s="4" t="inlineStr">
        <is>
          <t>Constitution×5 + Realm Bonus</t>
        </is>
      </c>
      <c r="C19" s="2" t="n"/>
      <c r="D19" s="3" t="n"/>
      <c r="E19" s="11">
        <f>B12*5+IF(F6="Crossing the Threshold",5,IF(F6="Complete Mastery",10,IF(F6="Perfecting the Craft",15,IF(F6="Peak of Perfection",20,IF(F6="Return to Simplicity",25,0)))))</f>
        <v/>
      </c>
      <c r="F19" s="3" t="n"/>
    </row>
    <row r="20">
      <c r="A20" s="6" t="inlineStr">
        <is>
          <t>Qi</t>
        </is>
      </c>
      <c r="B20" s="4" t="inlineStr">
        <is>
          <t>Constitution × Inner-Cultivation Coefficient + Realm Bonus</t>
        </is>
      </c>
      <c r="C20" s="2" t="n"/>
      <c r="D20" s="3" t="n"/>
      <c r="E20" s="11">
        <f>B12*VALUE(LEFT(H6,1))+IF(F6="Crossing the Threshold",3,IF(F6="Complete Mastery",6,IF(F6="Perfecting the Craft",10,IF(F6="Peak of Perfection",15,IF(F6="Return to Simplicity",20,0)))))</f>
        <v/>
      </c>
      <c r="F20" s="3" t="n"/>
    </row>
    <row r="21">
      <c r="A21" s="6" t="inlineStr">
        <is>
          <t>Initiative</t>
        </is>
      </c>
      <c r="B21" s="4" t="inlineStr">
        <is>
          <t>Agility + Willpower</t>
        </is>
      </c>
      <c r="C21" s="2" t="n"/>
      <c r="D21" s="3" t="n"/>
      <c r="E21" s="11">
        <f>B11+B14</f>
        <v/>
      </c>
      <c r="F21" s="3" t="n"/>
    </row>
    <row r="22">
      <c r="A22" s="6" t="inlineStr">
        <is>
          <t>Evasion</t>
        </is>
      </c>
      <c r="B22" s="4" t="inlineStr">
        <is>
          <t>Agility Modifier + Lightfoot Level</t>
        </is>
      </c>
      <c r="C22" s="2" t="n"/>
      <c r="D22" s="3" t="n"/>
      <c r="E22" s="11">
        <f>C11+B42</f>
        <v/>
      </c>
      <c r="F22" s="3" t="n"/>
    </row>
    <row r="23">
      <c r="A23" s="6" t="inlineStr">
        <is>
          <t>Defense</t>
        </is>
      </c>
      <c r="B23" s="4" t="inlineStr">
        <is>
          <t>Constitution Modifier + Armor Value</t>
        </is>
      </c>
      <c r="C23" s="2" t="n"/>
      <c r="D23" s="3" t="n"/>
      <c r="E23" s="11">
        <f>C12+B43</f>
        <v/>
      </c>
      <c r="F23" s="3" t="n"/>
    </row>
    <row r="24"/>
    <row r="25">
      <c r="A25" s="5" t="inlineStr">
        <is>
          <t>— Skills —</t>
        </is>
      </c>
      <c r="B25" s="3" t="n"/>
    </row>
    <row r="26">
      <c r="A26" s="9" t="inlineStr">
        <is>
          <t>Skills</t>
        </is>
      </c>
      <c r="B26" s="9" t="inlineStr">
        <is>
          <t>Level</t>
        </is>
      </c>
      <c r="C26" s="9" t="inlineStr">
        <is>
          <t>Bonus</t>
        </is>
      </c>
      <c r="D26" s="9" t="inlineStr">
        <is>
          <t>Corresponding Attribute</t>
        </is>
      </c>
      <c r="E26" s="7" t="inlineStr">
        <is>
          <t>Notes</t>
        </is>
      </c>
      <c r="F26" s="2" t="n"/>
      <c r="G26" s="2" t="n"/>
      <c r="H26" s="3" t="n"/>
    </row>
    <row r="27">
      <c r="A27" s="6" t="inlineStr">
        <is>
          <t>Technique Reading</t>
        </is>
      </c>
      <c r="B27" s="7" t="inlineStr">
        <is>
          <t>6</t>
        </is>
      </c>
      <c r="C27" s="4">
        <f>C10+B27</f>
        <v/>
      </c>
      <c r="D27" s="4" t="inlineStr">
        <is>
          <t>C10</t>
        </is>
      </c>
    </row>
    <row r="28">
      <c r="A28" s="6" t="inlineStr">
        <is>
          <t>Jianghu Lore</t>
        </is>
      </c>
      <c r="B28" s="7" t="inlineStr">
        <is>
          <t>0</t>
        </is>
      </c>
      <c r="C28" s="4">
        <f>C10+B28</f>
        <v/>
      </c>
      <c r="D28" s="4" t="inlineStr">
        <is>
          <t>C10</t>
        </is>
      </c>
    </row>
    <row r="29">
      <c r="A29" s="6" t="inlineStr">
        <is>
          <t>Lightfoot</t>
        </is>
      </c>
      <c r="B29" s="7" t="inlineStr">
        <is>
          <t>0</t>
        </is>
      </c>
      <c r="C29" s="4">
        <f>C10+B29</f>
        <v/>
      </c>
      <c r="D29" s="4" t="inlineStr">
        <is>
          <t>C10</t>
        </is>
      </c>
    </row>
    <row r="30">
      <c r="A30" s="6" t="inlineStr">
        <is>
          <t>Oratory</t>
        </is>
      </c>
      <c r="B30" s="7" t="inlineStr">
        <is>
          <t>0</t>
        </is>
      </c>
      <c r="C30" s="4">
        <f>C10+B30</f>
        <v/>
      </c>
      <c r="D30" s="4" t="inlineStr">
        <is>
          <t>C10</t>
        </is>
      </c>
    </row>
    <row r="31">
      <c r="A31" s="6" t="inlineStr">
        <is>
          <t>Climbing</t>
        </is>
      </c>
      <c r="B31" s="7" t="inlineStr">
        <is>
          <t>0</t>
        </is>
      </c>
      <c r="C31" s="4">
        <f>C10+B31</f>
        <v/>
      </c>
      <c r="D31" s="4" t="inlineStr">
        <is>
          <t>C10</t>
        </is>
      </c>
    </row>
    <row r="32">
      <c r="A32" s="6" t="inlineStr">
        <is>
          <t>Stealth</t>
        </is>
      </c>
      <c r="B32" s="7" t="inlineStr">
        <is>
          <t>3</t>
        </is>
      </c>
      <c r="C32" s="4">
        <f>C10+B32</f>
        <v/>
      </c>
      <c r="D32" s="4" t="inlineStr">
        <is>
          <t>C10</t>
        </is>
      </c>
    </row>
    <row r="33">
      <c r="A33" s="6" t="inlineStr">
        <is>
          <t>Tracking</t>
        </is>
      </c>
      <c r="B33" s="7" t="inlineStr">
        <is>
          <t>0</t>
        </is>
      </c>
      <c r="C33" s="4">
        <f>C10+B33</f>
        <v/>
      </c>
      <c r="D33" s="4" t="inlineStr">
        <is>
          <t>C10</t>
        </is>
      </c>
    </row>
    <row r="34">
      <c r="A34" s="6" t="inlineStr">
        <is>
          <t>Read Intent</t>
        </is>
      </c>
      <c r="B34" s="7" t="inlineStr">
        <is>
          <t>0</t>
        </is>
      </c>
      <c r="C34" s="4">
        <f>C10+B34</f>
        <v/>
      </c>
      <c r="D34" s="4" t="inlineStr">
        <is>
          <t>C10</t>
        </is>
      </c>
    </row>
    <row r="35">
      <c r="A35" s="6" t="inlineStr">
        <is>
          <t>Disguise</t>
        </is>
      </c>
      <c r="B35" s="7" t="inlineStr">
        <is>
          <t>0</t>
        </is>
      </c>
      <c r="C35" s="4">
        <f>C10+B35</f>
        <v/>
      </c>
      <c r="D35" s="4" t="inlineStr">
        <is>
          <t>C10</t>
        </is>
      </c>
    </row>
    <row r="36">
      <c r="A36" s="6" t="inlineStr">
        <is>
          <t>Lockpicking</t>
        </is>
      </c>
      <c r="B36" s="7" t="inlineStr">
        <is>
          <t>0</t>
        </is>
      </c>
      <c r="C36" s="4">
        <f>C10+B36</f>
        <v/>
      </c>
      <c r="D36" s="4" t="inlineStr">
        <is>
          <t>C10</t>
        </is>
      </c>
    </row>
    <row r="37">
      <c r="A37" s="6" t="inlineStr">
        <is>
          <t>Trapcraft</t>
        </is>
      </c>
      <c r="B37" s="7" t="inlineStr">
        <is>
          <t>8</t>
        </is>
      </c>
      <c r="C37" s="4">
        <f>C10+B37</f>
        <v/>
      </c>
      <c r="D37" s="4" t="inlineStr">
        <is>
          <t>C10</t>
        </is>
      </c>
    </row>
    <row r="38">
      <c r="A38" s="6" t="inlineStr">
        <is>
          <t>Medicine</t>
        </is>
      </c>
      <c r="B38" s="7" t="inlineStr">
        <is>
          <t>0</t>
        </is>
      </c>
      <c r="C38" s="4">
        <f>C10+B38</f>
        <v/>
      </c>
      <c r="D38" s="4" t="inlineStr">
        <is>
          <t>C10</t>
        </is>
      </c>
    </row>
    <row r="39">
      <c r="A39" s="6" t="inlineStr">
        <is>
          <t>Alchemy</t>
        </is>
      </c>
      <c r="B39" s="7" t="inlineStr">
        <is>
          <t>3</t>
        </is>
      </c>
      <c r="C39" s="4">
        <f>C10+B39</f>
        <v/>
      </c>
      <c r="D39" s="4" t="inlineStr">
        <is>
          <t>C10</t>
        </is>
      </c>
    </row>
    <row r="40">
      <c r="A40" s="6" t="inlineStr">
        <is>
          <t>Poisoncraft</t>
        </is>
      </c>
      <c r="B40" s="7" t="inlineStr">
        <is>
          <t>0</t>
        </is>
      </c>
      <c r="C40" s="4">
        <f>C10+B40</f>
        <v/>
      </c>
      <c r="D40" s="4" t="inlineStr">
        <is>
          <t>C10</t>
        </is>
      </c>
    </row>
    <row r="41">
      <c r="A41" s="6" t="inlineStr">
        <is>
          <t>Hidden Weapon</t>
        </is>
      </c>
      <c r="B41" s="7" t="inlineStr">
        <is>
          <t>0</t>
        </is>
      </c>
      <c r="C41" s="4">
        <f>C10+B41</f>
        <v/>
      </c>
      <c r="D41" s="4" t="inlineStr">
        <is>
          <t>C10</t>
        </is>
      </c>
    </row>
    <row r="42">
      <c r="A42" s="4" t="inlineStr">
        <is>
          <t>Lightfoot Level</t>
        </is>
      </c>
      <c r="B42" s="7" t="inlineStr">
        <is>
          <t>0</t>
        </is>
      </c>
      <c r="C42" s="4">
        <f>C10+B42</f>
        <v/>
      </c>
      <c r="D42" s="4" t="inlineStr">
        <is>
          <t>C10</t>
        </is>
      </c>
    </row>
    <row r="43">
      <c r="A43" s="4" t="inlineStr">
        <is>
          <t>Armor Value</t>
        </is>
      </c>
      <c r="B43" s="7" t="inlineStr">
        <is>
          <t>0</t>
        </is>
      </c>
      <c r="C43" s="4">
        <f>C10+B43</f>
        <v/>
      </c>
      <c r="D43" s="4" t="inlineStr">
        <is>
          <t>C10</t>
        </is>
      </c>
    </row>
    <row r="44">
      <c r="A44" s="6" t="inlineStr">
        <is>
          <t>Saber Art</t>
        </is>
      </c>
      <c r="B44" s="7" t="inlineStr">
        <is>
          <t>0</t>
        </is>
      </c>
      <c r="C44" s="4">
        <f>C10+B44</f>
        <v/>
      </c>
      <c r="D44" s="4" t="inlineStr">
        <is>
          <t>C10</t>
        </is>
      </c>
    </row>
    <row r="45">
      <c r="A45" s="6" t="inlineStr">
        <is>
          <t>Sword Art</t>
        </is>
      </c>
      <c r="B45" s="7" t="inlineStr">
        <is>
          <t>0</t>
        </is>
      </c>
      <c r="C45" s="4">
        <f>C10+B45</f>
        <v/>
      </c>
      <c r="D45" s="4" t="inlineStr">
        <is>
          <t>C10</t>
        </is>
      </c>
    </row>
    <row r="46"/>
    <row r="47"/>
    <row r="48"/>
    <row r="49">
      <c r="A49" s="5" t="inlineStr">
        <is>
          <t>— Martial Arts —</t>
        </is>
      </c>
      <c r="B49" s="2" t="n"/>
      <c r="C49" s="2" t="n"/>
      <c r="D49" s="2" t="n"/>
      <c r="E49" s="2" t="n"/>
      <c r="F49" s="2" t="n"/>
      <c r="G49" s="2" t="n"/>
      <c r="H49" s="3" t="n"/>
    </row>
    <row r="50">
      <c r="A50" s="9" t="inlineStr">
        <is>
          <t>Martial Art Name</t>
        </is>
      </c>
      <c r="B50" s="9" t="inlineStr">
        <is>
          <t>Type</t>
        </is>
      </c>
      <c r="C50" s="9" t="inlineStr">
        <is>
          <t>Tier · Proficiency</t>
        </is>
      </c>
      <c r="D50" s="9" t="inlineStr">
        <is>
          <t>Force Type</t>
        </is>
      </c>
      <c r="E50" s="9" t="inlineStr">
        <is>
          <t>Moves</t>
        </is>
      </c>
      <c r="F50" s="9" t="inlineStr">
        <is>
          <t>Qi</t>
        </is>
      </c>
      <c r="G50" s="9" t="inlineStr">
        <is>
          <t>Hit</t>
        </is>
      </c>
      <c r="H50" s="9" t="inlineStr">
        <is>
          <t>Damage / Effect</t>
        </is>
      </c>
    </row>
    <row r="51">
      <c r="A51" s="7" t="inlineStr">
        <is>
          <t>Thousand-Mechanisms Art · Deduction</t>
        </is>
      </c>
      <c r="B51" s="7" t="inlineStr">
        <is>
          <t>Special</t>
        </is>
      </c>
      <c r="C51" s="7" t="inlineStr">
        <is>
          <t>Superior</t>
        </is>
      </c>
      <c r="D51" s="7" t="inlineStr">
        <is>
          <t>—</t>
        </is>
      </c>
      <c r="E51" s="7" t="inlineStr">
        <is>
          <t>Deduction</t>
        </is>
      </c>
      <c r="F51" s="7" t="inlineStr">
        <is>
          <t>4</t>
        </is>
      </c>
      <c r="G51" s="7" t="inlineStr">
        <is>
          <t>—</t>
        </is>
      </c>
      <c r="H51" s="7" t="inlineStr">
        <is>
          <t>—</t>
        </is>
      </c>
      <c r="I51" s="7" t="inlineStr">
        <is>
          <t>Mark Target</t>
        </is>
      </c>
    </row>
    <row r="52">
      <c r="A52" s="7" t="inlineStr">
        <is>
          <t>Rainstorm Pear-Blossom Needles</t>
        </is>
      </c>
      <c r="B52" s="7" t="inlineStr">
        <is>
          <t>Hidden Weapon</t>
        </is>
      </c>
      <c r="C52" s="7" t="inlineStr">
        <is>
          <t>Superior</t>
        </is>
      </c>
      <c r="D52" s="7" t="inlineStr">
        <is>
          <t>Long-range</t>
        </is>
      </c>
      <c r="E52" s="7" t="inlineStr">
        <is>
          <t>Rainstorm</t>
        </is>
      </c>
      <c r="F52" s="7" t="inlineStr">
        <is>
          <t>6</t>
        </is>
      </c>
      <c r="G52" s="7" t="inlineStr">
        <is>
          <t>+6</t>
        </is>
      </c>
      <c r="H52" s="7" t="inlineStr">
        <is>
          <t>3d4+5; area</t>
        </is>
      </c>
    </row>
    <row r="53">
      <c r="A53" s="7" t="inlineStr">
        <is>
          <t>Bronze-Man Formation</t>
        </is>
      </c>
      <c r="B53" s="7" t="inlineStr">
        <is>
          <t>Special · Mechanism</t>
        </is>
      </c>
      <c r="C53" s="7" t="inlineStr">
        <is>
          <t>Superior</t>
        </is>
      </c>
      <c r="D53" s="7" t="inlineStr">
        <is>
          <t>—</t>
        </is>
      </c>
      <c r="E53" s="7" t="inlineStr">
        <is>
          <t>—</t>
        </is>
      </c>
      <c r="F53" s="7" t="inlineStr">
        <is>
          <t>5</t>
        </is>
      </c>
      <c r="G53" s="7" t="inlineStr">
        <is>
          <t>—</t>
        </is>
      </c>
      <c r="H53" s="7" t="inlineStr">
        <is>
          <t>Summon Bronze-Man Shield</t>
        </is>
      </c>
    </row>
    <row r="54">
      <c r="A54" s="7" t="n"/>
      <c r="B54" s="7" t="n"/>
      <c r="C54" s="7" t="n"/>
      <c r="D54" s="7" t="n"/>
      <c r="E54" s="7" t="n"/>
      <c r="F54" s="7" t="n"/>
      <c r="G54" s="7" t="n"/>
      <c r="H54" s="7" t="n"/>
    </row>
    <row r="55">
      <c r="A55" s="7" t="n"/>
      <c r="B55" s="7" t="n"/>
      <c r="C55" s="7" t="n"/>
      <c r="D55" s="7" t="n"/>
      <c r="E55" s="7" t="n"/>
      <c r="F55" s="7" t="n"/>
      <c r="G55" s="7" t="n"/>
      <c r="H55" s="7" t="n"/>
    </row>
    <row r="56">
      <c r="A56" s="7" t="n"/>
      <c r="B56" s="7" t="n"/>
      <c r="C56" s="7" t="n"/>
      <c r="D56" s="7" t="n"/>
      <c r="E56" s="7" t="n"/>
      <c r="F56" s="7" t="n"/>
      <c r="G56" s="7" t="n"/>
      <c r="H56" s="7" t="n"/>
    </row>
    <row r="57">
      <c r="A57" s="7" t="n"/>
      <c r="B57" s="7" t="n"/>
      <c r="C57" s="7" t="n"/>
      <c r="D57" s="7" t="n"/>
      <c r="E57" s="7" t="n"/>
      <c r="F57" s="7" t="n"/>
      <c r="G57" s="7" t="n"/>
      <c r="H57" s="7" t="n"/>
    </row>
    <row r="58">
      <c r="A58" s="7" t="n"/>
      <c r="B58" s="7" t="n"/>
      <c r="C58" s="7" t="n"/>
      <c r="D58" s="7" t="n"/>
      <c r="E58" s="7" t="n"/>
      <c r="F58" s="7" t="n"/>
      <c r="G58" s="7" t="n"/>
      <c r="H58" s="7" t="n"/>
    </row>
    <row r="59"/>
    <row r="60"/>
    <row r="61">
      <c r="A61" s="5" t="inlineStr">
        <is>
          <t>— Equipment —</t>
        </is>
      </c>
      <c r="B61" s="2" t="n"/>
      <c r="C61" s="2" t="n"/>
      <c r="D61" s="2" t="n"/>
      <c r="E61" s="2" t="n"/>
      <c r="F61" s="2" t="n"/>
      <c r="G61" s="2" t="n"/>
      <c r="H61" s="3" t="n"/>
    </row>
    <row r="62">
      <c r="A62" s="9" t="inlineStr">
        <is>
          <t>Weapon</t>
        </is>
      </c>
      <c r="B62" s="9" t="inlineStr">
        <is>
          <t>Damage</t>
        </is>
      </c>
      <c r="C62" s="9" t="inlineStr">
        <is>
          <t>Hit Modifier</t>
        </is>
      </c>
      <c r="D62" s="9" t="inlineStr">
        <is>
          <t>Armor</t>
        </is>
      </c>
      <c r="E62" s="9" t="inlineStr">
        <is>
          <t>External Injury Reduction</t>
        </is>
      </c>
      <c r="F62" s="9" t="inlineStr">
        <is>
          <t>Item</t>
        </is>
      </c>
    </row>
    <row r="63">
      <c r="A63" s="7" t="n"/>
      <c r="B63" s="3" t="n"/>
      <c r="D63" s="7" t="n"/>
      <c r="E63" s="2" t="n"/>
      <c r="F63" s="3" t="n"/>
    </row>
    <row r="64"/>
    <row r="65"/>
    <row r="66"/>
    <row r="67"/>
    <row r="68"/>
    <row r="69">
      <c r="A69" s="6" t="inlineStr">
        <is>
          <t>Heroism</t>
        </is>
      </c>
      <c r="B69" s="7" t="inlineStr">
        <is>
          <t>10</t>
        </is>
      </c>
      <c r="D69" s="6" t="inlineStr">
        <is>
          <t>Infamy</t>
        </is>
      </c>
      <c r="E69" s="7" t="inlineStr">
        <is>
          <t>0</t>
        </is>
      </c>
    </row>
    <row r="70"/>
    <row r="71">
      <c r="A71" t="inlineStr">
        <is>
          <t>Can apprentice (Difficulty Class (DC) 16): Rainstorm Pear-Blossom Needles + Thousand-Mechanisms Art + Trapcraft.</t>
        </is>
      </c>
    </row>
    <row r="72">
      <c r="A72" t="inlineStr">
        <is>
          <t>Apprenticeship Gift: Mechanism Communicator + Trap Blueprint ×1 + Graduation: VIP Key</t>
        </is>
      </c>
    </row>
  </sheetData>
  <mergeCells count="29">
    <mergeCell ref="D13:F13"/>
    <mergeCell ref="D11:F11"/>
    <mergeCell ref="E26:H26"/>
    <mergeCell ref="B23:D23"/>
    <mergeCell ref="E23:F23"/>
    <mergeCell ref="A49:H49"/>
    <mergeCell ref="A1:H1"/>
    <mergeCell ref="A61:H61"/>
    <mergeCell ref="A16:B16"/>
    <mergeCell ref="B19:D19"/>
    <mergeCell ref="E20:F20"/>
    <mergeCell ref="A25:B25"/>
    <mergeCell ref="E19:F19"/>
    <mergeCell ref="D12:F12"/>
    <mergeCell ref="D15:F15"/>
    <mergeCell ref="B6:D6"/>
    <mergeCell ref="B20:D20"/>
    <mergeCell ref="A18:H18"/>
    <mergeCell ref="D14:F14"/>
    <mergeCell ref="A2:H2"/>
    <mergeCell ref="A8:H8"/>
    <mergeCell ref="D63:F63"/>
    <mergeCell ref="D10:F10"/>
    <mergeCell ref="A4:H4"/>
    <mergeCell ref="B22:D22"/>
    <mergeCell ref="A63:B63"/>
    <mergeCell ref="E22:F22"/>
    <mergeCell ref="B21:D21"/>
    <mergeCell ref="E21:F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2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</cols>
  <sheetData>
    <row r="1">
      <c r="A1" s="1" t="inlineStr">
        <is>
          <t>Yonghe Martial Codex</t>
        </is>
      </c>
      <c r="B1" s="2" t="n"/>
      <c r="C1" s="2" t="n"/>
      <c r="D1" s="2" t="n"/>
      <c r="E1" s="2" t="n"/>
      <c r="F1" s="2" t="n"/>
      <c r="G1" s="2" t="n"/>
      <c r="H1" s="3" t="n"/>
    </row>
    <row r="2">
      <c r="A2" s="4" t="inlineStr">
        <is>
          <t>Character Card · Tabletop Rules Studio</t>
        </is>
      </c>
      <c r="B2" s="2" t="n"/>
      <c r="C2" s="2" t="n"/>
      <c r="D2" s="2" t="n"/>
      <c r="E2" s="2" t="n"/>
      <c r="F2" s="2" t="n"/>
      <c r="G2" s="2" t="n"/>
      <c r="H2" s="3" t="n"/>
    </row>
    <row r="3"/>
    <row r="4">
      <c r="A4" s="5" t="inlineStr">
        <is>
          <t>— Basic Info —</t>
        </is>
      </c>
      <c r="B4" s="2" t="n"/>
      <c r="C4" s="2" t="n"/>
      <c r="D4" s="2" t="n"/>
      <c r="E4" s="2" t="n"/>
      <c r="F4" s="2" t="n"/>
      <c r="G4" s="2" t="n"/>
      <c r="H4" s="3" t="n"/>
    </row>
    <row r="5">
      <c r="A5" s="6" t="inlineStr">
        <is>
          <t>Character Name</t>
        </is>
      </c>
      <c r="B5" s="7" t="inlineStr">
        <is>
          <t>Li Canyang</t>
        </is>
      </c>
      <c r="C5" s="6" t="inlineStr">
        <is>
          <t>Player</t>
        </is>
      </c>
      <c r="D5" s="7" t="n"/>
      <c r="E5" s="6" t="inlineStr">
        <is>
          <t>Sect</t>
        </is>
      </c>
      <c r="F5" s="7" t="inlineStr">
        <is>
          <t>Blood Moon Cult</t>
        </is>
      </c>
    </row>
    <row r="6">
      <c r="A6" s="6" t="inlineStr">
        <is>
          <t>Concept</t>
        </is>
      </c>
      <c r="B6" s="8" t="inlineStr">
        <is>
          <t>Grand Guardian of the Blood Moon Cult, a battle-fanatic who wears his faith in combat, scarred all over, growing wilder with each fight.</t>
        </is>
      </c>
      <c r="C6" s="2" t="n"/>
      <c r="D6" s="3" t="n"/>
      <c r="E6" s="6" t="inlineStr">
        <is>
          <t>Realm</t>
        </is>
      </c>
      <c r="F6" s="7" t="inlineStr">
        <is>
          <t>Perfecting the Craft</t>
        </is>
      </c>
      <c r="G6" s="6" t="inlineStr">
        <is>
          <t>Inner Cultivation Coefficient</t>
        </is>
      </c>
      <c r="H6" s="7" t="inlineStr">
        <is>
          <t>3</t>
        </is>
      </c>
    </row>
    <row r="7"/>
    <row r="8">
      <c r="A8" s="5" t="inlineStr">
        <is>
          <t>— Six Attributes —</t>
        </is>
      </c>
      <c r="B8" s="2" t="n"/>
      <c r="C8" s="2" t="n"/>
      <c r="D8" s="2" t="n"/>
      <c r="E8" s="2" t="n"/>
      <c r="F8" s="2" t="n"/>
      <c r="G8" s="2" t="n"/>
      <c r="H8" s="3" t="n"/>
    </row>
    <row r="9">
      <c r="A9" s="9" t="inlineStr">
        <is>
          <t>Attribute</t>
        </is>
      </c>
      <c r="B9" s="9" t="inlineStr">
        <is>
          <t>Base Value</t>
        </is>
      </c>
      <c r="C9" s="9" t="inlineStr">
        <is>
          <t>Modifier</t>
        </is>
      </c>
      <c r="D9" s="9" t="inlineStr">
        <is>
          <t>Description</t>
        </is>
      </c>
    </row>
    <row r="10">
      <c r="A10" s="6" t="inlineStr">
        <is>
          <t>Strength (STR)</t>
        </is>
      </c>
      <c r="B10" s="7" t="inlineStr">
        <is>
          <t>8</t>
        </is>
      </c>
      <c r="C10" s="10">
        <f>B10-4</f>
        <v/>
      </c>
      <c r="D10" s="4" t="inlineStr">
        <is>
          <t>Muscle power, explosive force</t>
        </is>
      </c>
      <c r="E10" s="2" t="n"/>
      <c r="F10" s="3" t="n"/>
    </row>
    <row r="11">
      <c r="A11" s="6" t="inlineStr">
        <is>
          <t>Agility (AGI)</t>
        </is>
      </c>
      <c r="B11" s="7" t="inlineStr">
        <is>
          <t>7</t>
        </is>
      </c>
      <c r="C11" s="10">
        <f>B11-4</f>
        <v/>
      </c>
      <c r="D11" s="4" t="inlineStr">
        <is>
          <t>Speed, flexibility, lightfoot</t>
        </is>
      </c>
      <c r="E11" s="2" t="n"/>
      <c r="F11" s="3" t="n"/>
    </row>
    <row r="12">
      <c r="A12" s="6" t="inlineStr">
        <is>
          <t>Constitution (CON)</t>
        </is>
      </c>
      <c r="B12" s="7" t="inlineStr">
        <is>
          <t>7</t>
        </is>
      </c>
      <c r="C12" s="10">
        <f>B12-4</f>
        <v/>
      </c>
      <c r="D12" s="4" t="inlineStr">
        <is>
          <t>Meridian capacity, physique, life resilience</t>
        </is>
      </c>
      <c r="E12" s="2" t="n"/>
      <c r="F12" s="3" t="n"/>
    </row>
    <row r="13">
      <c r="A13" s="6" t="inlineStr">
        <is>
          <t>Comprehension (CMP)</t>
        </is>
      </c>
      <c r="B13" s="7" t="inlineStr">
        <is>
          <t>4</t>
        </is>
      </c>
      <c r="C13" s="10">
        <f>B13-4</f>
        <v/>
      </c>
      <c r="D13" s="4" t="inlineStr">
        <is>
          <t>Martial comprehension, learning efficiency</t>
        </is>
      </c>
      <c r="E13" s="2" t="n"/>
      <c r="F13" s="3" t="n"/>
    </row>
    <row r="14">
      <c r="A14" s="6" t="inlineStr">
        <is>
          <t>Willpower (WIL)</t>
        </is>
      </c>
      <c r="B14" s="7" t="inlineStr">
        <is>
          <t>5</t>
        </is>
      </c>
      <c r="C14" s="10">
        <f>B14-4</f>
        <v/>
      </c>
      <c r="D14" s="4" t="inlineStr">
        <is>
          <t>Willpower, mental stability</t>
        </is>
      </c>
      <c r="E14" s="2" t="n"/>
      <c r="F14" s="3" t="n"/>
    </row>
    <row r="15">
      <c r="A15" s="6" t="inlineStr">
        <is>
          <t>Charisma (CHA)</t>
        </is>
      </c>
      <c r="B15" s="7" t="inlineStr">
        <is>
          <t>3</t>
        </is>
      </c>
      <c r="C15" s="10">
        <f>B15-4</f>
        <v/>
      </c>
      <c r="D15" s="4" t="inlineStr">
        <is>
          <t>Personal charm, interpersonal influence</t>
        </is>
      </c>
      <c r="E15" s="2" t="n"/>
      <c r="F15" s="3" t="n"/>
    </row>
    <row r="16">
      <c r="A16" s="6" t="inlineStr">
        <is>
          <t>Attribute Total</t>
        </is>
      </c>
      <c r="B16" s="3" t="n"/>
    </row>
    <row r="17"/>
    <row r="18">
      <c r="A18" s="5" t="inlineStr">
        <is>
          <t>— Derived Values —</t>
        </is>
      </c>
      <c r="B18" s="2" t="n"/>
      <c r="C18" s="2" t="n"/>
      <c r="D18" s="2" t="n"/>
      <c r="E18" s="2" t="n"/>
      <c r="F18" s="2" t="n"/>
      <c r="G18" s="2" t="n"/>
      <c r="H18" s="3" t="n"/>
    </row>
    <row r="19">
      <c r="A19" s="6" t="inlineStr">
        <is>
          <t>Health Points (HP)</t>
        </is>
      </c>
      <c r="B19" s="4" t="inlineStr">
        <is>
          <t>Constitution×5 + Realm Bonus</t>
        </is>
      </c>
      <c r="C19" s="2" t="n"/>
      <c r="D19" s="3" t="n"/>
      <c r="E19" s="11">
        <f>B12*5+IF(F6="Crossing the Threshold",5,IF(F6="Complete Mastery",10,IF(F6="Perfecting the Craft",15,IF(F6="Peak of Perfection",20,IF(F6="Return to Simplicity",25,0)))))</f>
        <v/>
      </c>
      <c r="F19" s="3" t="n"/>
    </row>
    <row r="20">
      <c r="A20" s="6" t="inlineStr">
        <is>
          <t>Qi</t>
        </is>
      </c>
      <c r="B20" s="4" t="inlineStr">
        <is>
          <t>Constitution × Inner-Cultivation Coefficient + Realm Bonus</t>
        </is>
      </c>
      <c r="C20" s="2" t="n"/>
      <c r="D20" s="3" t="n"/>
      <c r="E20" s="11">
        <f>B12*VALUE(LEFT(H6,1))+IF(F6="Crossing the Threshold",3,IF(F6="Complete Mastery",6,IF(F6="Perfecting the Craft",10,IF(F6="Peak of Perfection",15,IF(F6="Return to Simplicity",20,0)))))</f>
        <v/>
      </c>
      <c r="F20" s="3" t="n"/>
    </row>
    <row r="21">
      <c r="A21" s="6" t="inlineStr">
        <is>
          <t>Initiative</t>
        </is>
      </c>
      <c r="B21" s="4" t="inlineStr">
        <is>
          <t>Agility + Willpower</t>
        </is>
      </c>
      <c r="C21" s="2" t="n"/>
      <c r="D21" s="3" t="n"/>
      <c r="E21" s="11">
        <f>B11+B14</f>
        <v/>
      </c>
      <c r="F21" s="3" t="n"/>
    </row>
    <row r="22">
      <c r="A22" s="6" t="inlineStr">
        <is>
          <t>Evasion</t>
        </is>
      </c>
      <c r="B22" s="4" t="inlineStr">
        <is>
          <t>Agility Modifier + Lightfoot Level</t>
        </is>
      </c>
      <c r="C22" s="2" t="n"/>
      <c r="D22" s="3" t="n"/>
      <c r="E22" s="11">
        <f>C11+B42</f>
        <v/>
      </c>
      <c r="F22" s="3" t="n"/>
    </row>
    <row r="23">
      <c r="A23" s="6" t="inlineStr">
        <is>
          <t>Defense</t>
        </is>
      </c>
      <c r="B23" s="4" t="inlineStr">
        <is>
          <t>Constitution Modifier + Armor Value</t>
        </is>
      </c>
      <c r="C23" s="2" t="n"/>
      <c r="D23" s="3" t="n"/>
      <c r="E23" s="11">
        <f>C12+B43</f>
        <v/>
      </c>
      <c r="F23" s="3" t="n"/>
    </row>
    <row r="24"/>
    <row r="25">
      <c r="A25" s="5" t="inlineStr">
        <is>
          <t>— Skills —</t>
        </is>
      </c>
      <c r="B25" s="3" t="n"/>
    </row>
    <row r="26">
      <c r="A26" s="9" t="inlineStr">
        <is>
          <t>Skills</t>
        </is>
      </c>
      <c r="B26" s="9" t="inlineStr">
        <is>
          <t>Level</t>
        </is>
      </c>
      <c r="C26" s="9" t="inlineStr">
        <is>
          <t>Bonus</t>
        </is>
      </c>
      <c r="D26" s="9" t="inlineStr">
        <is>
          <t>Corresponding Attribute</t>
        </is>
      </c>
      <c r="E26" s="7" t="inlineStr">
        <is>
          <t>Notes</t>
        </is>
      </c>
      <c r="F26" s="2" t="n"/>
      <c r="G26" s="2" t="n"/>
      <c r="H26" s="3" t="n"/>
    </row>
    <row r="27">
      <c r="A27" s="6" t="inlineStr">
        <is>
          <t>Technique Reading</t>
        </is>
      </c>
      <c r="B27" s="7" t="inlineStr">
        <is>
          <t>0</t>
        </is>
      </c>
      <c r="C27" s="4">
        <f>C10+B27</f>
        <v/>
      </c>
      <c r="D27" s="4" t="inlineStr">
        <is>
          <t>C10</t>
        </is>
      </c>
    </row>
    <row r="28">
      <c r="A28" s="6" t="inlineStr">
        <is>
          <t>Jianghu Lore</t>
        </is>
      </c>
      <c r="B28" s="7" t="inlineStr">
        <is>
          <t>0</t>
        </is>
      </c>
      <c r="C28" s="4">
        <f>C10+B28</f>
        <v/>
      </c>
      <c r="D28" s="4" t="inlineStr">
        <is>
          <t>C10</t>
        </is>
      </c>
    </row>
    <row r="29">
      <c r="A29" s="6" t="inlineStr">
        <is>
          <t>Lightfoot</t>
        </is>
      </c>
      <c r="B29" s="7" t="inlineStr">
        <is>
          <t>0</t>
        </is>
      </c>
      <c r="C29" s="4">
        <f>C10+B29</f>
        <v/>
      </c>
      <c r="D29" s="4" t="inlineStr">
        <is>
          <t>C10</t>
        </is>
      </c>
    </row>
    <row r="30">
      <c r="A30" s="6" t="inlineStr">
        <is>
          <t>Oratory</t>
        </is>
      </c>
      <c r="B30" s="7" t="inlineStr">
        <is>
          <t>0</t>
        </is>
      </c>
      <c r="C30" s="4">
        <f>C10+B30</f>
        <v/>
      </c>
      <c r="D30" s="4" t="inlineStr">
        <is>
          <t>C10</t>
        </is>
      </c>
    </row>
    <row r="31">
      <c r="A31" s="6" t="inlineStr">
        <is>
          <t>Climbing</t>
        </is>
      </c>
      <c r="B31" s="7" t="inlineStr">
        <is>
          <t>0</t>
        </is>
      </c>
      <c r="C31" s="4">
        <f>C10+B31</f>
        <v/>
      </c>
      <c r="D31" s="4" t="inlineStr">
        <is>
          <t>C10</t>
        </is>
      </c>
    </row>
    <row r="32">
      <c r="A32" s="6" t="inlineStr">
        <is>
          <t>Stealth</t>
        </is>
      </c>
      <c r="B32" s="7" t="inlineStr">
        <is>
          <t>0</t>
        </is>
      </c>
      <c r="C32" s="4">
        <f>C10+B32</f>
        <v/>
      </c>
      <c r="D32" s="4" t="inlineStr">
        <is>
          <t>C10</t>
        </is>
      </c>
    </row>
    <row r="33">
      <c r="A33" s="6" t="inlineStr">
        <is>
          <t>Tracking</t>
        </is>
      </c>
      <c r="B33" s="7" t="inlineStr">
        <is>
          <t>3</t>
        </is>
      </c>
      <c r="C33" s="4">
        <f>C10+B33</f>
        <v/>
      </c>
      <c r="D33" s="4" t="inlineStr">
        <is>
          <t>C10</t>
        </is>
      </c>
    </row>
    <row r="34">
      <c r="A34" s="6" t="inlineStr">
        <is>
          <t>Read Intent</t>
        </is>
      </c>
      <c r="B34" s="7" t="inlineStr">
        <is>
          <t>0</t>
        </is>
      </c>
      <c r="C34" s="4">
        <f>C10+B34</f>
        <v/>
      </c>
      <c r="D34" s="4" t="inlineStr">
        <is>
          <t>C10</t>
        </is>
      </c>
    </row>
    <row r="35">
      <c r="A35" s="6" t="inlineStr">
        <is>
          <t>Disguise</t>
        </is>
      </c>
      <c r="B35" s="7" t="inlineStr">
        <is>
          <t>0</t>
        </is>
      </c>
      <c r="C35" s="4">
        <f>C10+B35</f>
        <v/>
      </c>
      <c r="D35" s="4" t="inlineStr">
        <is>
          <t>C10</t>
        </is>
      </c>
    </row>
    <row r="36">
      <c r="A36" s="6" t="inlineStr">
        <is>
          <t>Lockpicking</t>
        </is>
      </c>
      <c r="B36" s="7" t="inlineStr">
        <is>
          <t>0</t>
        </is>
      </c>
      <c r="C36" s="4">
        <f>C10+B36</f>
        <v/>
      </c>
      <c r="D36" s="4" t="inlineStr">
        <is>
          <t>C10</t>
        </is>
      </c>
    </row>
    <row r="37">
      <c r="A37" s="6" t="inlineStr">
        <is>
          <t>Trapcraft</t>
        </is>
      </c>
      <c r="B37" s="7" t="inlineStr">
        <is>
          <t>0</t>
        </is>
      </c>
      <c r="C37" s="4">
        <f>C10+B37</f>
        <v/>
      </c>
      <c r="D37" s="4" t="inlineStr">
        <is>
          <t>C10</t>
        </is>
      </c>
    </row>
    <row r="38">
      <c r="A38" s="6" t="inlineStr">
        <is>
          <t>Medicine</t>
        </is>
      </c>
      <c r="B38" s="7" t="inlineStr">
        <is>
          <t>0</t>
        </is>
      </c>
      <c r="C38" s="4">
        <f>C10+B38</f>
        <v/>
      </c>
      <c r="D38" s="4" t="inlineStr">
        <is>
          <t>C10</t>
        </is>
      </c>
    </row>
    <row r="39">
      <c r="A39" s="6" t="inlineStr">
        <is>
          <t>Alchemy</t>
        </is>
      </c>
      <c r="B39" s="7" t="inlineStr">
        <is>
          <t>0</t>
        </is>
      </c>
      <c r="C39" s="4">
        <f>C10+B39</f>
        <v/>
      </c>
      <c r="D39" s="4" t="inlineStr">
        <is>
          <t>C10</t>
        </is>
      </c>
    </row>
    <row r="40">
      <c r="A40" s="6" t="inlineStr">
        <is>
          <t>Poisoncraft</t>
        </is>
      </c>
      <c r="B40" s="7" t="inlineStr">
        <is>
          <t>0</t>
        </is>
      </c>
      <c r="C40" s="4">
        <f>C10+B40</f>
        <v/>
      </c>
      <c r="D40" s="4" t="inlineStr">
        <is>
          <t>C10</t>
        </is>
      </c>
    </row>
    <row r="41">
      <c r="A41" s="6" t="inlineStr">
        <is>
          <t>Hidden Weapon</t>
        </is>
      </c>
      <c r="B41" s="7" t="inlineStr">
        <is>
          <t>0</t>
        </is>
      </c>
      <c r="C41" s="4">
        <f>C10+B41</f>
        <v/>
      </c>
      <c r="D41" s="4" t="inlineStr">
        <is>
          <t>C10</t>
        </is>
      </c>
    </row>
    <row r="42">
      <c r="A42" s="4" t="inlineStr">
        <is>
          <t>Lightfoot Level</t>
        </is>
      </c>
      <c r="B42" s="7" t="inlineStr">
        <is>
          <t>0</t>
        </is>
      </c>
      <c r="C42" s="4">
        <f>C10+B42</f>
        <v/>
      </c>
      <c r="D42" s="4" t="inlineStr">
        <is>
          <t>C10</t>
        </is>
      </c>
    </row>
    <row r="43">
      <c r="A43" s="4" t="inlineStr">
        <is>
          <t>Armor Value</t>
        </is>
      </c>
      <c r="B43" s="7" t="inlineStr">
        <is>
          <t>0</t>
        </is>
      </c>
      <c r="C43" s="4">
        <f>C10+B43</f>
        <v/>
      </c>
      <c r="D43" s="4" t="inlineStr">
        <is>
          <t>C10</t>
        </is>
      </c>
    </row>
    <row r="44">
      <c r="A44" s="6" t="inlineStr">
        <is>
          <t>Saber Art</t>
        </is>
      </c>
      <c r="B44" s="7" t="inlineStr">
        <is>
          <t>5</t>
        </is>
      </c>
      <c r="C44" s="4">
        <f>C10+B44</f>
        <v/>
      </c>
      <c r="D44" s="4" t="inlineStr">
        <is>
          <t>C10</t>
        </is>
      </c>
    </row>
    <row r="45">
      <c r="A45" s="6" t="inlineStr">
        <is>
          <t>Sword Art</t>
        </is>
      </c>
      <c r="B45" s="7" t="inlineStr">
        <is>
          <t>0</t>
        </is>
      </c>
      <c r="C45" s="4">
        <f>C10+B45</f>
        <v/>
      </c>
      <c r="D45" s="4" t="inlineStr">
        <is>
          <t>C10</t>
        </is>
      </c>
    </row>
    <row r="46"/>
    <row r="47"/>
    <row r="48"/>
    <row r="49">
      <c r="A49" s="5" t="inlineStr">
        <is>
          <t>— Martial Arts —</t>
        </is>
      </c>
      <c r="B49" s="2" t="n"/>
      <c r="C49" s="2" t="n"/>
      <c r="D49" s="2" t="n"/>
      <c r="E49" s="2" t="n"/>
      <c r="F49" s="2" t="n"/>
      <c r="G49" s="2" t="n"/>
      <c r="H49" s="3" t="n"/>
    </row>
    <row r="50">
      <c r="A50" s="9" t="inlineStr">
        <is>
          <t>Martial Art Name</t>
        </is>
      </c>
      <c r="B50" s="9" t="inlineStr">
        <is>
          <t>Type</t>
        </is>
      </c>
      <c r="C50" s="9" t="inlineStr">
        <is>
          <t>Tier · Proficiency</t>
        </is>
      </c>
      <c r="D50" s="9" t="inlineStr">
        <is>
          <t>Force Type</t>
        </is>
      </c>
      <c r="E50" s="9" t="inlineStr">
        <is>
          <t>Moves</t>
        </is>
      </c>
      <c r="F50" s="9" t="inlineStr">
        <is>
          <t>Qi</t>
        </is>
      </c>
      <c r="G50" s="9" t="inlineStr">
        <is>
          <t>Hit</t>
        </is>
      </c>
      <c r="H50" s="9" t="inlineStr">
        <is>
          <t>Damage / Effect</t>
        </is>
      </c>
    </row>
    <row r="51">
      <c r="A51" s="7" t="inlineStr">
        <is>
          <t>Soul-Chasing Saber</t>
        </is>
      </c>
      <c r="B51" s="7" t="inlineStr">
        <is>
          <t>External Art · Saber</t>
        </is>
      </c>
      <c r="C51" s="7" t="inlineStr">
        <is>
          <t>Advanced</t>
        </is>
      </c>
      <c r="D51" s="7" t="inlineStr">
        <is>
          <t>Swift</t>
        </is>
      </c>
      <c r="E51" s="7" t="inlineStr">
        <is>
          <t>Soul-Chasing</t>
        </is>
      </c>
      <c r="F51" s="7" t="inlineStr">
        <is>
          <t>3</t>
        </is>
      </c>
      <c r="G51" s="7" t="inlineStr">
        <is>
          <t>+4</t>
        </is>
      </c>
      <c r="H51" s="7" t="inlineStr">
        <is>
          <t>2d8+STR (+4)</t>
        </is>
      </c>
    </row>
    <row r="52">
      <c r="A52" s="7" t="inlineStr">
        <is>
          <t>Blood Shadow Step</t>
        </is>
      </c>
      <c r="B52" s="7" t="inlineStr">
        <is>
          <t>Lightfoot</t>
        </is>
      </c>
      <c r="C52" s="7" t="inlineStr">
        <is>
          <t>Advanced</t>
        </is>
      </c>
      <c r="D52" s="7" t="inlineStr">
        <is>
          <t>Swift</t>
        </is>
      </c>
      <c r="E52" s="7" t="inlineStr">
        <is>
          <t>—</t>
        </is>
      </c>
      <c r="F52" s="7" t="inlineStr">
        <is>
          <t>3</t>
        </is>
      </c>
      <c r="G52" s="7" t="inlineStr">
        <is>
          <t>—</t>
        </is>
      </c>
      <c r="H52" s="7" t="inlineStr">
        <is>
          <t>—</t>
        </is>
      </c>
      <c r="I52" s="7" t="inlineStr">
        <is>
          <t>Mobility +2</t>
        </is>
      </c>
    </row>
    <row r="53">
      <c r="A53" s="7" t="inlineStr">
        <is>
          <t>Setting-Sun Slash</t>
        </is>
      </c>
      <c r="B53" s="7" t="inlineStr">
        <is>
          <t>External Art · Saber</t>
        </is>
      </c>
      <c r="C53" s="7" t="inlineStr">
        <is>
          <t>Superior</t>
        </is>
      </c>
      <c r="D53" s="7" t="inlineStr">
        <is>
          <t>Firm</t>
        </is>
      </c>
      <c r="E53" s="7" t="inlineStr">
        <is>
          <t>Setting Sun</t>
        </is>
      </c>
      <c r="F53" s="7" t="inlineStr">
        <is>
          <t>6</t>
        </is>
      </c>
      <c r="G53" s="7" t="inlineStr">
        <is>
          <t>+5</t>
        </is>
      </c>
      <c r="H53" s="7" t="inlineStr">
        <is>
          <t>4d6+STR (+4)</t>
        </is>
      </c>
    </row>
    <row r="54">
      <c r="A54" s="7" t="inlineStr">
        <is>
          <t>Heavenly Demon Liberation</t>
        </is>
      </c>
      <c r="B54" s="7" t="inlineStr">
        <is>
          <t>Inner Cultivation</t>
        </is>
      </c>
      <c r="C54" s="7" t="inlineStr">
        <is>
          <t>Forbidden Art</t>
        </is>
      </c>
      <c r="D54" s="7" t="inlineStr">
        <is>
          <t>—</t>
        </is>
      </c>
      <c r="E54" s="7" t="inlineStr">
        <is>
          <t>—</t>
        </is>
      </c>
      <c r="F54" s="7" t="inlineStr">
        <is>
          <t>Health Points (HP) 50%</t>
        </is>
      </c>
      <c r="G54" s="7" t="inlineStr">
        <is>
          <t>—</t>
        </is>
      </c>
      <c r="H54" s="7" t="inlineStr">
        <is>
          <t>Attribute surge self-damages each round</t>
        </is>
      </c>
    </row>
    <row r="55">
      <c r="A55" s="7" t="n"/>
      <c r="B55" s="7" t="n"/>
      <c r="C55" s="7" t="n"/>
      <c r="D55" s="7" t="n"/>
      <c r="E55" s="7" t="n"/>
      <c r="F55" s="7" t="n"/>
      <c r="G55" s="7" t="n"/>
      <c r="H55" s="7" t="n"/>
    </row>
    <row r="56">
      <c r="A56" s="7" t="n"/>
      <c r="B56" s="7" t="n"/>
      <c r="C56" s="7" t="n"/>
      <c r="D56" s="7" t="n"/>
      <c r="E56" s="7" t="n"/>
      <c r="F56" s="7" t="n"/>
      <c r="G56" s="7" t="n"/>
      <c r="H56" s="7" t="n"/>
    </row>
    <row r="57">
      <c r="A57" s="7" t="n"/>
      <c r="B57" s="7" t="n"/>
      <c r="C57" s="7" t="n"/>
      <c r="D57" s="7" t="n"/>
      <c r="E57" s="7" t="n"/>
      <c r="F57" s="7" t="n"/>
      <c r="G57" s="7" t="n"/>
      <c r="H57" s="7" t="n"/>
    </row>
    <row r="58">
      <c r="A58" s="7" t="n"/>
      <c r="B58" s="7" t="n"/>
      <c r="C58" s="7" t="n"/>
      <c r="D58" s="7" t="n"/>
      <c r="E58" s="7" t="n"/>
      <c r="F58" s="7" t="n"/>
      <c r="G58" s="7" t="n"/>
      <c r="H58" s="7" t="n"/>
    </row>
    <row r="59"/>
    <row r="60"/>
    <row r="61">
      <c r="A61" s="5" t="inlineStr">
        <is>
          <t>— Equipment —</t>
        </is>
      </c>
      <c r="B61" s="2" t="n"/>
      <c r="C61" s="2" t="n"/>
      <c r="D61" s="2" t="n"/>
      <c r="E61" s="2" t="n"/>
      <c r="F61" s="2" t="n"/>
      <c r="G61" s="2" t="n"/>
      <c r="H61" s="3" t="n"/>
    </row>
    <row r="62">
      <c r="A62" s="9" t="inlineStr">
        <is>
          <t>Weapon</t>
        </is>
      </c>
      <c r="B62" s="9" t="inlineStr">
        <is>
          <t>Damage</t>
        </is>
      </c>
      <c r="C62" s="9" t="inlineStr">
        <is>
          <t>Hit Modifier</t>
        </is>
      </c>
      <c r="D62" s="9" t="inlineStr">
        <is>
          <t>Armor</t>
        </is>
      </c>
      <c r="E62" s="9" t="inlineStr">
        <is>
          <t>External Injury Reduction</t>
        </is>
      </c>
      <c r="F62" s="9" t="inlineStr">
        <is>
          <t>Item</t>
        </is>
      </c>
    </row>
    <row r="63">
      <c r="A63" s="7" t="n"/>
      <c r="B63" s="3" t="n"/>
      <c r="D63" s="7" t="n"/>
      <c r="E63" s="2" t="n"/>
      <c r="F63" s="3" t="n"/>
    </row>
    <row r="64"/>
    <row r="65"/>
    <row r="66"/>
    <row r="67"/>
    <row r="68"/>
    <row r="69">
      <c r="A69" s="6" t="inlineStr">
        <is>
          <t>Heroism</t>
        </is>
      </c>
      <c r="B69" s="7" t="inlineStr">
        <is>
          <t>0</t>
        </is>
      </c>
      <c r="D69" s="6" t="inlineStr">
        <is>
          <t>Infamy</t>
        </is>
      </c>
      <c r="E69" s="7" t="inlineStr">
        <is>
          <t>30</t>
        </is>
      </c>
    </row>
    <row r="70"/>
    <row r="71">
      <c r="A71" t="inlineStr">
        <is>
          <t>Can apprentice (Difficulty Class (DC) 14): Soul-Chasing Saber + Heavenly Demon Liberation (forbidden art).</t>
        </is>
      </c>
    </row>
    <row r="72">
      <c r="A72" t="inlineStr">
        <is>
          <t>Apprenticeship Gift: Blood-Fang Twin Sabers (replica) + Trial Ground Pass</t>
        </is>
      </c>
    </row>
  </sheetData>
  <mergeCells count="29">
    <mergeCell ref="D13:F13"/>
    <mergeCell ref="D11:F11"/>
    <mergeCell ref="E26:H26"/>
    <mergeCell ref="B23:D23"/>
    <mergeCell ref="E23:F23"/>
    <mergeCell ref="A49:H49"/>
    <mergeCell ref="A1:H1"/>
    <mergeCell ref="A61:H61"/>
    <mergeCell ref="A16:B16"/>
    <mergeCell ref="B19:D19"/>
    <mergeCell ref="E20:F20"/>
    <mergeCell ref="A25:B25"/>
    <mergeCell ref="E19:F19"/>
    <mergeCell ref="D12:F12"/>
    <mergeCell ref="D15:F15"/>
    <mergeCell ref="B6:D6"/>
    <mergeCell ref="B20:D20"/>
    <mergeCell ref="A18:H18"/>
    <mergeCell ref="D14:F14"/>
    <mergeCell ref="A2:H2"/>
    <mergeCell ref="A8:H8"/>
    <mergeCell ref="D63:F63"/>
    <mergeCell ref="D10:F10"/>
    <mergeCell ref="A4:H4"/>
    <mergeCell ref="B22:D22"/>
    <mergeCell ref="A63:B63"/>
    <mergeCell ref="E22:F22"/>
    <mergeCell ref="B21:D21"/>
    <mergeCell ref="E21:F2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2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</cols>
  <sheetData>
    <row r="1">
      <c r="A1" s="1" t="inlineStr">
        <is>
          <t>Yonghe Martial Codex</t>
        </is>
      </c>
      <c r="B1" s="2" t="n"/>
      <c r="C1" s="2" t="n"/>
      <c r="D1" s="2" t="n"/>
      <c r="E1" s="2" t="n"/>
      <c r="F1" s="2" t="n"/>
      <c r="G1" s="2" t="n"/>
      <c r="H1" s="3" t="n"/>
    </row>
    <row r="2">
      <c r="A2" s="4" t="inlineStr">
        <is>
          <t>Character Card · Tabletop Rules Studio</t>
        </is>
      </c>
      <c r="B2" s="2" t="n"/>
      <c r="C2" s="2" t="n"/>
      <c r="D2" s="2" t="n"/>
      <c r="E2" s="2" t="n"/>
      <c r="F2" s="2" t="n"/>
      <c r="G2" s="2" t="n"/>
      <c r="H2" s="3" t="n"/>
    </row>
    <row r="3"/>
    <row r="4">
      <c r="A4" s="5" t="inlineStr">
        <is>
          <t>— Basic Info —</t>
        </is>
      </c>
      <c r="B4" s="2" t="n"/>
      <c r="C4" s="2" t="n"/>
      <c r="D4" s="2" t="n"/>
      <c r="E4" s="2" t="n"/>
      <c r="F4" s="2" t="n"/>
      <c r="G4" s="2" t="n"/>
      <c r="H4" s="3" t="n"/>
    </row>
    <row r="5">
      <c r="A5" s="6" t="inlineStr">
        <is>
          <t>Character Name</t>
        </is>
      </c>
      <c r="B5" s="7" t="inlineStr">
        <is>
          <t>Mo Ran</t>
        </is>
      </c>
      <c r="C5" s="6" t="inlineStr">
        <is>
          <t>Player</t>
        </is>
      </c>
      <c r="D5" s="7" t="n"/>
      <c r="E5" s="6" t="inlineStr">
        <is>
          <t>Sect</t>
        </is>
      </c>
      <c r="F5" s="7" t="inlineStr">
        <is>
          <t>Yaowang Valley</t>
        </is>
      </c>
    </row>
    <row r="6">
      <c r="A6" s="6" t="inlineStr">
        <is>
          <t>Concept</t>
        </is>
      </c>
      <c r="B6" s="8" t="inlineStr">
        <is>
          <t>Hall Master of Yaowang Valley's Netherworld Hall, a poisoncraft prodigy with a world-weary air and the cold charm of toxins.</t>
        </is>
      </c>
      <c r="C6" s="2" t="n"/>
      <c r="D6" s="3" t="n"/>
      <c r="E6" s="6" t="inlineStr">
        <is>
          <t>Realm</t>
        </is>
      </c>
      <c r="F6" s="7" t="inlineStr">
        <is>
          <t>Complete Mastery</t>
        </is>
      </c>
      <c r="G6" s="6" t="inlineStr">
        <is>
          <t>Inner Cultivation Coefficient</t>
        </is>
      </c>
      <c r="H6" s="7" t="inlineStr">
        <is>
          <t>2</t>
        </is>
      </c>
    </row>
    <row r="7"/>
    <row r="8">
      <c r="A8" s="5" t="inlineStr">
        <is>
          <t>— Six Attributes —</t>
        </is>
      </c>
      <c r="B8" s="2" t="n"/>
      <c r="C8" s="2" t="n"/>
      <c r="D8" s="2" t="n"/>
      <c r="E8" s="2" t="n"/>
      <c r="F8" s="2" t="n"/>
      <c r="G8" s="2" t="n"/>
      <c r="H8" s="3" t="n"/>
    </row>
    <row r="9">
      <c r="A9" s="9" t="inlineStr">
        <is>
          <t>Attribute</t>
        </is>
      </c>
      <c r="B9" s="9" t="inlineStr">
        <is>
          <t>Base Value</t>
        </is>
      </c>
      <c r="C9" s="9" t="inlineStr">
        <is>
          <t>Modifier</t>
        </is>
      </c>
      <c r="D9" s="9" t="inlineStr">
        <is>
          <t>Description</t>
        </is>
      </c>
    </row>
    <row r="10">
      <c r="A10" s="6" t="inlineStr">
        <is>
          <t>Strength (STR)</t>
        </is>
      </c>
      <c r="B10" s="7" t="inlineStr">
        <is>
          <t>4</t>
        </is>
      </c>
      <c r="C10" s="10">
        <f>B10-4</f>
        <v/>
      </c>
      <c r="D10" s="4" t="inlineStr">
        <is>
          <t>Muscle power, explosive force</t>
        </is>
      </c>
      <c r="E10" s="2" t="n"/>
      <c r="F10" s="3" t="n"/>
    </row>
    <row r="11">
      <c r="A11" s="6" t="inlineStr">
        <is>
          <t>Agility (AGI)</t>
        </is>
      </c>
      <c r="B11" s="7" t="inlineStr">
        <is>
          <t>6</t>
        </is>
      </c>
      <c r="C11" s="10">
        <f>B11-4</f>
        <v/>
      </c>
      <c r="D11" s="4" t="inlineStr">
        <is>
          <t>Speed, flexibility, lightfoot</t>
        </is>
      </c>
      <c r="E11" s="2" t="n"/>
      <c r="F11" s="3" t="n"/>
    </row>
    <row r="12">
      <c r="A12" s="6" t="inlineStr">
        <is>
          <t>Constitution (CON)</t>
        </is>
      </c>
      <c r="B12" s="7" t="inlineStr">
        <is>
          <t>5</t>
        </is>
      </c>
      <c r="C12" s="10">
        <f>B12-4</f>
        <v/>
      </c>
      <c r="D12" s="4" t="inlineStr">
        <is>
          <t>Meridian capacity, physique, life resilience</t>
        </is>
      </c>
      <c r="E12" s="2" t="n"/>
      <c r="F12" s="3" t="n"/>
    </row>
    <row r="13">
      <c r="A13" s="6" t="inlineStr">
        <is>
          <t>Comprehension (CMP)</t>
        </is>
      </c>
      <c r="B13" s="7" t="inlineStr">
        <is>
          <t>8</t>
        </is>
      </c>
      <c r="C13" s="10">
        <f>B13-4</f>
        <v/>
      </c>
      <c r="D13" s="4" t="inlineStr">
        <is>
          <t>Martial comprehension, learning efficiency</t>
        </is>
      </c>
      <c r="E13" s="2" t="n"/>
      <c r="F13" s="3" t="n"/>
    </row>
    <row r="14">
      <c r="A14" s="6" t="inlineStr">
        <is>
          <t>Willpower (WIL)</t>
        </is>
      </c>
      <c r="B14" s="7" t="inlineStr">
        <is>
          <t>6</t>
        </is>
      </c>
      <c r="C14" s="10">
        <f>B14-4</f>
        <v/>
      </c>
      <c r="D14" s="4" t="inlineStr">
        <is>
          <t>Willpower, mental stability</t>
        </is>
      </c>
      <c r="E14" s="2" t="n"/>
      <c r="F14" s="3" t="n"/>
    </row>
    <row r="15">
      <c r="A15" s="6" t="inlineStr">
        <is>
          <t>Charisma (CHA)</t>
        </is>
      </c>
      <c r="B15" s="7" t="inlineStr">
        <is>
          <t>4</t>
        </is>
      </c>
      <c r="C15" s="10">
        <f>B15-4</f>
        <v/>
      </c>
      <c r="D15" s="4" t="inlineStr">
        <is>
          <t>Personal charm, interpersonal influence</t>
        </is>
      </c>
      <c r="E15" s="2" t="n"/>
      <c r="F15" s="3" t="n"/>
    </row>
    <row r="16">
      <c r="A16" s="6" t="inlineStr">
        <is>
          <t>Attribute Total</t>
        </is>
      </c>
      <c r="B16" s="3" t="n"/>
    </row>
    <row r="17"/>
    <row r="18">
      <c r="A18" s="5" t="inlineStr">
        <is>
          <t>— Derived Values —</t>
        </is>
      </c>
      <c r="B18" s="2" t="n"/>
      <c r="C18" s="2" t="n"/>
      <c r="D18" s="2" t="n"/>
      <c r="E18" s="2" t="n"/>
      <c r="F18" s="2" t="n"/>
      <c r="G18" s="2" t="n"/>
      <c r="H18" s="3" t="n"/>
    </row>
    <row r="19">
      <c r="A19" s="6" t="inlineStr">
        <is>
          <t>Health Points (HP)</t>
        </is>
      </c>
      <c r="B19" s="4" t="inlineStr">
        <is>
          <t>Constitution×5 + Realm Bonus</t>
        </is>
      </c>
      <c r="C19" s="2" t="n"/>
      <c r="D19" s="3" t="n"/>
      <c r="E19" s="11">
        <f>B12*5+IF(F6="Crossing the Threshold",5,IF(F6="Complete Mastery",10,IF(F6="Perfecting the Craft",15,IF(F6="Peak of Perfection",20,IF(F6="Return to Simplicity",25,0)))))</f>
        <v/>
      </c>
      <c r="F19" s="3" t="n"/>
    </row>
    <row r="20">
      <c r="A20" s="6" t="inlineStr">
        <is>
          <t>Qi</t>
        </is>
      </c>
      <c r="B20" s="4" t="inlineStr">
        <is>
          <t>Constitution × Inner-Cultivation Coefficient + Realm Bonus</t>
        </is>
      </c>
      <c r="C20" s="2" t="n"/>
      <c r="D20" s="3" t="n"/>
      <c r="E20" s="11">
        <f>B12*VALUE(LEFT(H6,1))+IF(F6="Crossing the Threshold",3,IF(F6="Complete Mastery",6,IF(F6="Perfecting the Craft",10,IF(F6="Peak of Perfection",15,IF(F6="Return to Simplicity",20,0)))))</f>
        <v/>
      </c>
      <c r="F20" s="3" t="n"/>
    </row>
    <row r="21">
      <c r="A21" s="6" t="inlineStr">
        <is>
          <t>Initiative</t>
        </is>
      </c>
      <c r="B21" s="4" t="inlineStr">
        <is>
          <t>Agility + Willpower</t>
        </is>
      </c>
      <c r="C21" s="2" t="n"/>
      <c r="D21" s="3" t="n"/>
      <c r="E21" s="11">
        <f>B11+B14</f>
        <v/>
      </c>
      <c r="F21" s="3" t="n"/>
    </row>
    <row r="22">
      <c r="A22" s="6" t="inlineStr">
        <is>
          <t>Evasion</t>
        </is>
      </c>
      <c r="B22" s="4" t="inlineStr">
        <is>
          <t>Agility Modifier + Lightfoot Level</t>
        </is>
      </c>
      <c r="C22" s="2" t="n"/>
      <c r="D22" s="3" t="n"/>
      <c r="E22" s="11">
        <f>C11+B42</f>
        <v/>
      </c>
      <c r="F22" s="3" t="n"/>
    </row>
    <row r="23">
      <c r="A23" s="6" t="inlineStr">
        <is>
          <t>Defense</t>
        </is>
      </c>
      <c r="B23" s="4" t="inlineStr">
        <is>
          <t>Constitution Modifier + Armor Value</t>
        </is>
      </c>
      <c r="C23" s="2" t="n"/>
      <c r="D23" s="3" t="n"/>
      <c r="E23" s="11">
        <f>C12+B43</f>
        <v/>
      </c>
      <c r="F23" s="3" t="n"/>
    </row>
    <row r="24"/>
    <row r="25">
      <c r="A25" s="5" t="inlineStr">
        <is>
          <t>— Skills —</t>
        </is>
      </c>
      <c r="B25" s="3" t="n"/>
    </row>
    <row r="26">
      <c r="A26" s="9" t="inlineStr">
        <is>
          <t>Skills</t>
        </is>
      </c>
      <c r="B26" s="9" t="inlineStr">
        <is>
          <t>Level</t>
        </is>
      </c>
      <c r="C26" s="9" t="inlineStr">
        <is>
          <t>Bonus</t>
        </is>
      </c>
      <c r="D26" s="9" t="inlineStr">
        <is>
          <t>Corresponding Attribute</t>
        </is>
      </c>
      <c r="E26" s="7" t="inlineStr">
        <is>
          <t>Notes</t>
        </is>
      </c>
      <c r="F26" s="2" t="n"/>
      <c r="G26" s="2" t="n"/>
      <c r="H26" s="3" t="n"/>
    </row>
    <row r="27">
      <c r="A27" s="6" t="inlineStr">
        <is>
          <t>Technique Reading</t>
        </is>
      </c>
      <c r="B27" s="7" t="inlineStr">
        <is>
          <t>0</t>
        </is>
      </c>
      <c r="C27" s="4">
        <f>C10+B27</f>
        <v/>
      </c>
      <c r="D27" s="4" t="inlineStr">
        <is>
          <t>C10</t>
        </is>
      </c>
    </row>
    <row r="28">
      <c r="A28" s="6" t="inlineStr">
        <is>
          <t>Jianghu Lore</t>
        </is>
      </c>
      <c r="B28" s="7" t="inlineStr">
        <is>
          <t>0</t>
        </is>
      </c>
      <c r="C28" s="4">
        <f>C10+B28</f>
        <v/>
      </c>
      <c r="D28" s="4" t="inlineStr">
        <is>
          <t>C10</t>
        </is>
      </c>
    </row>
    <row r="29">
      <c r="A29" s="6" t="inlineStr">
        <is>
          <t>Lightfoot</t>
        </is>
      </c>
      <c r="B29" s="7" t="inlineStr">
        <is>
          <t>0</t>
        </is>
      </c>
      <c r="C29" s="4">
        <f>C10+B29</f>
        <v/>
      </c>
      <c r="D29" s="4" t="inlineStr">
        <is>
          <t>C10</t>
        </is>
      </c>
    </row>
    <row r="30">
      <c r="A30" s="6" t="inlineStr">
        <is>
          <t>Oratory</t>
        </is>
      </c>
      <c r="B30" s="7" t="inlineStr">
        <is>
          <t>0</t>
        </is>
      </c>
      <c r="C30" s="4">
        <f>C10+B30</f>
        <v/>
      </c>
      <c r="D30" s="4" t="inlineStr">
        <is>
          <t>C10</t>
        </is>
      </c>
    </row>
    <row r="31">
      <c r="A31" s="6" t="inlineStr">
        <is>
          <t>Climbing</t>
        </is>
      </c>
      <c r="B31" s="7" t="inlineStr">
        <is>
          <t>0</t>
        </is>
      </c>
      <c r="C31" s="4">
        <f>C10+B31</f>
        <v/>
      </c>
      <c r="D31" s="4" t="inlineStr">
        <is>
          <t>C10</t>
        </is>
      </c>
    </row>
    <row r="32">
      <c r="A32" s="6" t="inlineStr">
        <is>
          <t>Stealth</t>
        </is>
      </c>
      <c r="B32" s="7" t="inlineStr">
        <is>
          <t>3</t>
        </is>
      </c>
      <c r="C32" s="4">
        <f>C10+B32</f>
        <v/>
      </c>
      <c r="D32" s="4" t="inlineStr">
        <is>
          <t>C10</t>
        </is>
      </c>
    </row>
    <row r="33">
      <c r="A33" s="6" t="inlineStr">
        <is>
          <t>Tracking</t>
        </is>
      </c>
      <c r="B33" s="7" t="inlineStr">
        <is>
          <t>0</t>
        </is>
      </c>
      <c r="C33" s="4">
        <f>C10+B33</f>
        <v/>
      </c>
      <c r="D33" s="4" t="inlineStr">
        <is>
          <t>C10</t>
        </is>
      </c>
    </row>
    <row r="34">
      <c r="A34" s="6" t="inlineStr">
        <is>
          <t>Read Intent</t>
        </is>
      </c>
      <c r="B34" s="7" t="inlineStr">
        <is>
          <t>0</t>
        </is>
      </c>
      <c r="C34" s="4">
        <f>C10+B34</f>
        <v/>
      </c>
      <c r="D34" s="4" t="inlineStr">
        <is>
          <t>C10</t>
        </is>
      </c>
    </row>
    <row r="35">
      <c r="A35" s="6" t="inlineStr">
        <is>
          <t>Disguise</t>
        </is>
      </c>
      <c r="B35" s="7" t="inlineStr">
        <is>
          <t>0</t>
        </is>
      </c>
      <c r="C35" s="4">
        <f>C10+B35</f>
        <v/>
      </c>
      <c r="D35" s="4" t="inlineStr">
        <is>
          <t>C10</t>
        </is>
      </c>
    </row>
    <row r="36">
      <c r="A36" s="6" t="inlineStr">
        <is>
          <t>Lockpicking</t>
        </is>
      </c>
      <c r="B36" s="7" t="inlineStr">
        <is>
          <t>0</t>
        </is>
      </c>
      <c r="C36" s="4">
        <f>C10+B36</f>
        <v/>
      </c>
      <c r="D36" s="4" t="inlineStr">
        <is>
          <t>C10</t>
        </is>
      </c>
    </row>
    <row r="37">
      <c r="A37" s="6" t="inlineStr">
        <is>
          <t>Trapcraft</t>
        </is>
      </c>
      <c r="B37" s="7" t="inlineStr">
        <is>
          <t>0</t>
        </is>
      </c>
      <c r="C37" s="4">
        <f>C10+B37</f>
        <v/>
      </c>
      <c r="D37" s="4" t="inlineStr">
        <is>
          <t>C10</t>
        </is>
      </c>
    </row>
    <row r="38">
      <c r="A38" s="6" t="inlineStr">
        <is>
          <t>Medicine</t>
        </is>
      </c>
      <c r="B38" s="7" t="inlineStr">
        <is>
          <t>4</t>
        </is>
      </c>
      <c r="C38" s="4">
        <f>C10+B38</f>
        <v/>
      </c>
      <c r="D38" s="4" t="inlineStr">
        <is>
          <t>C10</t>
        </is>
      </c>
    </row>
    <row r="39">
      <c r="A39" s="6" t="inlineStr">
        <is>
          <t>Alchemy</t>
        </is>
      </c>
      <c r="B39" s="7" t="inlineStr">
        <is>
          <t>3</t>
        </is>
      </c>
      <c r="C39" s="4">
        <f>C10+B39</f>
        <v/>
      </c>
      <c r="D39" s="4" t="inlineStr">
        <is>
          <t>C10</t>
        </is>
      </c>
    </row>
    <row r="40">
      <c r="A40" s="6" t="inlineStr">
        <is>
          <t>Poisoncraft</t>
        </is>
      </c>
      <c r="B40" s="7" t="inlineStr">
        <is>
          <t>5</t>
        </is>
      </c>
      <c r="C40" s="4">
        <f>C10+B40</f>
        <v/>
      </c>
      <c r="D40" s="4" t="inlineStr">
        <is>
          <t>C10</t>
        </is>
      </c>
    </row>
    <row r="41">
      <c r="A41" s="6" t="inlineStr">
        <is>
          <t>Hidden Weapon</t>
        </is>
      </c>
      <c r="B41" s="7" t="inlineStr">
        <is>
          <t>0</t>
        </is>
      </c>
      <c r="C41" s="4">
        <f>C10+B41</f>
        <v/>
      </c>
      <c r="D41" s="4" t="inlineStr">
        <is>
          <t>C10</t>
        </is>
      </c>
    </row>
    <row r="42">
      <c r="A42" s="4" t="inlineStr">
        <is>
          <t>Lightfoot Level</t>
        </is>
      </c>
      <c r="B42" s="7" t="inlineStr">
        <is>
          <t>0</t>
        </is>
      </c>
      <c r="C42" s="4">
        <f>C10+B42</f>
        <v/>
      </c>
      <c r="D42" s="4" t="inlineStr">
        <is>
          <t>C10</t>
        </is>
      </c>
    </row>
    <row r="43">
      <c r="A43" s="4" t="inlineStr">
        <is>
          <t>Armor Value</t>
        </is>
      </c>
      <c r="B43" s="7" t="inlineStr">
        <is>
          <t>0</t>
        </is>
      </c>
      <c r="C43" s="4">
        <f>C10+B43</f>
        <v/>
      </c>
      <c r="D43" s="4" t="inlineStr">
        <is>
          <t>C10</t>
        </is>
      </c>
    </row>
    <row r="44">
      <c r="A44" s="6" t="inlineStr">
        <is>
          <t>Saber Art</t>
        </is>
      </c>
      <c r="B44" s="7" t="inlineStr">
        <is>
          <t>0</t>
        </is>
      </c>
      <c r="C44" s="4">
        <f>C10+B44</f>
        <v/>
      </c>
      <c r="D44" s="4" t="inlineStr">
        <is>
          <t>C10</t>
        </is>
      </c>
    </row>
    <row r="45">
      <c r="A45" s="6" t="inlineStr">
        <is>
          <t>Sword Art</t>
        </is>
      </c>
      <c r="B45" s="7" t="inlineStr">
        <is>
          <t>0</t>
        </is>
      </c>
      <c r="C45" s="4">
        <f>C10+B45</f>
        <v/>
      </c>
      <c r="D45" s="4" t="inlineStr">
        <is>
          <t>C10</t>
        </is>
      </c>
    </row>
    <row r="46"/>
    <row r="47"/>
    <row r="48"/>
    <row r="49">
      <c r="A49" s="5" t="inlineStr">
        <is>
          <t>— Martial Arts —</t>
        </is>
      </c>
      <c r="B49" s="2" t="n"/>
      <c r="C49" s="2" t="n"/>
      <c r="D49" s="2" t="n"/>
      <c r="E49" s="2" t="n"/>
      <c r="F49" s="2" t="n"/>
      <c r="G49" s="2" t="n"/>
      <c r="H49" s="3" t="n"/>
    </row>
    <row r="50">
      <c r="A50" s="9" t="inlineStr">
        <is>
          <t>Martial Art Name</t>
        </is>
      </c>
      <c r="B50" s="9" t="inlineStr">
        <is>
          <t>Type</t>
        </is>
      </c>
      <c r="C50" s="9" t="inlineStr">
        <is>
          <t>Tier · Proficiency</t>
        </is>
      </c>
      <c r="D50" s="9" t="inlineStr">
        <is>
          <t>Force Type</t>
        </is>
      </c>
      <c r="E50" s="9" t="inlineStr">
        <is>
          <t>Moves</t>
        </is>
      </c>
      <c r="F50" s="9" t="inlineStr">
        <is>
          <t>Qi</t>
        </is>
      </c>
      <c r="G50" s="9" t="inlineStr">
        <is>
          <t>Hit</t>
        </is>
      </c>
      <c r="H50" s="9" t="inlineStr">
        <is>
          <t>Damage / Effect</t>
        </is>
      </c>
    </row>
    <row r="51">
      <c r="A51" s="7" t="inlineStr">
        <is>
          <t>Rotting-Bone Palm</t>
        </is>
      </c>
      <c r="B51" s="7" t="inlineStr">
        <is>
          <t>External Art · Poisoncraft</t>
        </is>
      </c>
      <c r="C51" s="7" t="inlineStr">
        <is>
          <t>Advanced</t>
        </is>
      </c>
      <c r="D51" s="7" t="inlineStr">
        <is>
          <t>Gentle</t>
        </is>
      </c>
      <c r="E51" s="7" t="inlineStr">
        <is>
          <t>Bone-Eroding</t>
        </is>
      </c>
      <c r="F51" s="7" t="inlineStr">
        <is>
          <t>3</t>
        </is>
      </c>
      <c r="G51" s="7" t="inlineStr">
        <is>
          <t>+3</t>
        </is>
      </c>
      <c r="H51" s="7" t="inlineStr">
        <is>
          <t>2d6+Poison (1d4 / round)</t>
        </is>
      </c>
    </row>
    <row r="52">
      <c r="A52" s="7" t="inlineStr">
        <is>
          <t>Five Poisons Manual</t>
        </is>
      </c>
      <c r="B52" s="7" t="inlineStr">
        <is>
          <t>Special · Poisoncraft</t>
        </is>
      </c>
      <c r="C52" s="7" t="inlineStr">
        <is>
          <t>Advanced</t>
        </is>
      </c>
      <c r="D52" s="7" t="inlineStr">
        <is>
          <t>—</t>
        </is>
      </c>
      <c r="E52" s="7" t="inlineStr">
        <is>
          <t>—</t>
        </is>
      </c>
      <c r="F52" s="7" t="inlineStr">
        <is>
          <t>2-4</t>
        </is>
      </c>
      <c r="G52" s="7" t="inlineStr">
        <is>
          <t>—</t>
        </is>
      </c>
      <c r="H52" s="7" t="inlineStr">
        <is>
          <t>Stack Poison layers</t>
        </is>
      </c>
    </row>
    <row r="53">
      <c r="A53" s="7" t="n"/>
      <c r="B53" s="7" t="n"/>
      <c r="C53" s="7" t="n"/>
      <c r="D53" s="7" t="n"/>
      <c r="E53" s="7" t="n"/>
      <c r="F53" s="7" t="n"/>
      <c r="G53" s="7" t="n"/>
      <c r="H53" s="7" t="n"/>
    </row>
    <row r="54">
      <c r="A54" s="7" t="n"/>
      <c r="B54" s="7" t="n"/>
      <c r="C54" s="7" t="n"/>
      <c r="D54" s="7" t="n"/>
      <c r="E54" s="7" t="n"/>
      <c r="F54" s="7" t="n"/>
      <c r="G54" s="7" t="n"/>
      <c r="H54" s="7" t="n"/>
    </row>
    <row r="55">
      <c r="A55" s="7" t="n"/>
      <c r="B55" s="7" t="n"/>
      <c r="C55" s="7" t="n"/>
      <c r="D55" s="7" t="n"/>
      <c r="E55" s="7" t="n"/>
      <c r="F55" s="7" t="n"/>
      <c r="G55" s="7" t="n"/>
      <c r="H55" s="7" t="n"/>
    </row>
    <row r="56">
      <c r="A56" s="7" t="n"/>
      <c r="B56" s="7" t="n"/>
      <c r="C56" s="7" t="n"/>
      <c r="D56" s="7" t="n"/>
      <c r="E56" s="7" t="n"/>
      <c r="F56" s="7" t="n"/>
      <c r="G56" s="7" t="n"/>
      <c r="H56" s="7" t="n"/>
    </row>
    <row r="57">
      <c r="A57" s="7" t="n"/>
      <c r="B57" s="7" t="n"/>
      <c r="C57" s="7" t="n"/>
      <c r="D57" s="7" t="n"/>
      <c r="E57" s="7" t="n"/>
      <c r="F57" s="7" t="n"/>
      <c r="G57" s="7" t="n"/>
      <c r="H57" s="7" t="n"/>
    </row>
    <row r="58">
      <c r="A58" s="7" t="n"/>
      <c r="B58" s="7" t="n"/>
      <c r="C58" s="7" t="n"/>
      <c r="D58" s="7" t="n"/>
      <c r="E58" s="7" t="n"/>
      <c r="F58" s="7" t="n"/>
      <c r="G58" s="7" t="n"/>
      <c r="H58" s="7" t="n"/>
    </row>
    <row r="59"/>
    <row r="60"/>
    <row r="61">
      <c r="A61" s="5" t="inlineStr">
        <is>
          <t>— Equipment —</t>
        </is>
      </c>
      <c r="B61" s="2" t="n"/>
      <c r="C61" s="2" t="n"/>
      <c r="D61" s="2" t="n"/>
      <c r="E61" s="2" t="n"/>
      <c r="F61" s="2" t="n"/>
      <c r="G61" s="2" t="n"/>
      <c r="H61" s="3" t="n"/>
    </row>
    <row r="62">
      <c r="A62" s="9" t="inlineStr">
        <is>
          <t>Weapon</t>
        </is>
      </c>
      <c r="B62" s="9" t="inlineStr">
        <is>
          <t>Damage</t>
        </is>
      </c>
      <c r="C62" s="9" t="inlineStr">
        <is>
          <t>Hit Modifier</t>
        </is>
      </c>
      <c r="D62" s="9" t="inlineStr">
        <is>
          <t>Armor</t>
        </is>
      </c>
      <c r="E62" s="9" t="inlineStr">
        <is>
          <t>External Injury Reduction</t>
        </is>
      </c>
      <c r="F62" s="9" t="inlineStr">
        <is>
          <t>Item</t>
        </is>
      </c>
    </row>
    <row r="63">
      <c r="A63" s="7" t="n"/>
      <c r="B63" s="3" t="n"/>
      <c r="D63" s="7" t="n"/>
      <c r="E63" s="2" t="n"/>
      <c r="F63" s="3" t="n"/>
    </row>
    <row r="64"/>
    <row r="65"/>
    <row r="66"/>
    <row r="67"/>
    <row r="68"/>
    <row r="69">
      <c r="A69" s="6" t="inlineStr">
        <is>
          <t>Heroism</t>
        </is>
      </c>
      <c r="B69" s="7" t="inlineStr">
        <is>
          <t>0</t>
        </is>
      </c>
      <c r="D69" s="6" t="inlineStr">
        <is>
          <t>Infamy</t>
        </is>
      </c>
      <c r="E69" s="7" t="inlineStr">
        <is>
          <t>15</t>
        </is>
      </c>
    </row>
    <row r="70"/>
    <row r="71">
      <c r="A71" t="inlineStr">
        <is>
          <t>Can apprentice (Difficulty Class (DC) 14): Rotting-Bone Palm + Five Poisons Manual + Poisoncraft.</t>
        </is>
      </c>
    </row>
    <row r="72">
      <c r="A72" t="inlineStr">
        <is>
          <t>Apprenticeship Gift: Poison-Needle Pouch (×20) + Graduation: Poisoncraft Lab Key</t>
        </is>
      </c>
    </row>
  </sheetData>
  <mergeCells count="29">
    <mergeCell ref="D13:F13"/>
    <mergeCell ref="D11:F11"/>
    <mergeCell ref="E26:H26"/>
    <mergeCell ref="B23:D23"/>
    <mergeCell ref="E23:F23"/>
    <mergeCell ref="A49:H49"/>
    <mergeCell ref="A1:H1"/>
    <mergeCell ref="A61:H61"/>
    <mergeCell ref="A16:B16"/>
    <mergeCell ref="B19:D19"/>
    <mergeCell ref="E20:F20"/>
    <mergeCell ref="A25:B25"/>
    <mergeCell ref="E19:F19"/>
    <mergeCell ref="D12:F12"/>
    <mergeCell ref="D15:F15"/>
    <mergeCell ref="B6:D6"/>
    <mergeCell ref="B20:D20"/>
    <mergeCell ref="A18:H18"/>
    <mergeCell ref="D14:F14"/>
    <mergeCell ref="A2:H2"/>
    <mergeCell ref="A8:H8"/>
    <mergeCell ref="D63:F63"/>
    <mergeCell ref="D10:F10"/>
    <mergeCell ref="A4:H4"/>
    <mergeCell ref="B22:D22"/>
    <mergeCell ref="A63:B63"/>
    <mergeCell ref="E22:F22"/>
    <mergeCell ref="B21:D21"/>
    <mergeCell ref="E21:F2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2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</cols>
  <sheetData>
    <row r="1">
      <c r="A1" s="1" t="inlineStr">
        <is>
          <t>Yonghe Martial Codex</t>
        </is>
      </c>
      <c r="B1" s="2" t="n"/>
      <c r="C1" s="2" t="n"/>
      <c r="D1" s="2" t="n"/>
      <c r="E1" s="2" t="n"/>
      <c r="F1" s="2" t="n"/>
      <c r="G1" s="2" t="n"/>
      <c r="H1" s="3" t="n"/>
    </row>
    <row r="2">
      <c r="A2" s="4" t="inlineStr">
        <is>
          <t>Character Card · Tabletop Rules Studio</t>
        </is>
      </c>
      <c r="B2" s="2" t="n"/>
      <c r="C2" s="2" t="n"/>
      <c r="D2" s="2" t="n"/>
      <c r="E2" s="2" t="n"/>
      <c r="F2" s="2" t="n"/>
      <c r="G2" s="2" t="n"/>
      <c r="H2" s="3" t="n"/>
    </row>
    <row r="3"/>
    <row r="4">
      <c r="A4" s="5" t="inlineStr">
        <is>
          <t>— Basic Info —</t>
        </is>
      </c>
      <c r="B4" s="2" t="n"/>
      <c r="C4" s="2" t="n"/>
      <c r="D4" s="2" t="n"/>
      <c r="E4" s="2" t="n"/>
      <c r="F4" s="2" t="n"/>
      <c r="G4" s="2" t="n"/>
      <c r="H4" s="3" t="n"/>
    </row>
    <row r="5">
      <c r="A5" s="6" t="inlineStr">
        <is>
          <t>Character Name</t>
        </is>
      </c>
      <c r="B5" s="7" t="inlineStr">
        <is>
          <t>Ye Xiuluo</t>
        </is>
      </c>
      <c r="C5" s="6" t="inlineStr">
        <is>
          <t>Player</t>
        </is>
      </c>
      <c r="D5" s="7" t="n"/>
      <c r="E5" s="6" t="inlineStr">
        <is>
          <t>Sect</t>
        </is>
      </c>
      <c r="F5" s="7" t="inlineStr">
        <is>
          <t>Blood Moon Cult</t>
        </is>
      </c>
    </row>
    <row r="6">
      <c r="A6" s="6" t="inlineStr">
        <is>
          <t>Concept</t>
        </is>
      </c>
      <c r="B6" s="8" t="inlineStr">
        <is>
          <t>Cult Leader of the Blood Moon Cult, of mysterious origin, wearing an Asura mask, the most cunning of demon lords.</t>
        </is>
      </c>
      <c r="C6" s="2" t="n"/>
      <c r="D6" s="3" t="n"/>
      <c r="E6" s="6" t="inlineStr">
        <is>
          <t>Realm</t>
        </is>
      </c>
      <c r="F6" s="7" t="inlineStr">
        <is>
          <t>Peak of Perfection</t>
        </is>
      </c>
      <c r="G6" s="6" t="inlineStr">
        <is>
          <t>Inner Cultivation Coefficient</t>
        </is>
      </c>
      <c r="H6" s="7" t="inlineStr">
        <is>
          <t>4</t>
        </is>
      </c>
    </row>
    <row r="7"/>
    <row r="8">
      <c r="A8" s="5" t="inlineStr">
        <is>
          <t>— Six Attributes —</t>
        </is>
      </c>
      <c r="B8" s="2" t="n"/>
      <c r="C8" s="2" t="n"/>
      <c r="D8" s="2" t="n"/>
      <c r="E8" s="2" t="n"/>
      <c r="F8" s="2" t="n"/>
      <c r="G8" s="2" t="n"/>
      <c r="H8" s="3" t="n"/>
    </row>
    <row r="9">
      <c r="A9" s="9" t="inlineStr">
        <is>
          <t>Attribute</t>
        </is>
      </c>
      <c r="B9" s="9" t="inlineStr">
        <is>
          <t>Base Value</t>
        </is>
      </c>
      <c r="C9" s="9" t="inlineStr">
        <is>
          <t>Modifier</t>
        </is>
      </c>
      <c r="D9" s="9" t="inlineStr">
        <is>
          <t>Description</t>
        </is>
      </c>
    </row>
    <row r="10">
      <c r="A10" s="6" t="inlineStr">
        <is>
          <t>Strength (STR)</t>
        </is>
      </c>
      <c r="B10" s="7" t="inlineStr">
        <is>
          <t>7</t>
        </is>
      </c>
      <c r="C10" s="10">
        <f>B10-4</f>
        <v/>
      </c>
      <c r="D10" s="4" t="inlineStr">
        <is>
          <t>Muscle power, explosive force</t>
        </is>
      </c>
      <c r="E10" s="2" t="n"/>
      <c r="F10" s="3" t="n"/>
    </row>
    <row r="11">
      <c r="A11" s="6" t="inlineStr">
        <is>
          <t>Agility (AGI)</t>
        </is>
      </c>
      <c r="B11" s="7" t="inlineStr">
        <is>
          <t>8</t>
        </is>
      </c>
      <c r="C11" s="10">
        <f>B11-4</f>
        <v/>
      </c>
      <c r="D11" s="4" t="inlineStr">
        <is>
          <t>Speed, flexibility, lightfoot</t>
        </is>
      </c>
      <c r="E11" s="2" t="n"/>
      <c r="F11" s="3" t="n"/>
    </row>
    <row r="12">
      <c r="A12" s="6" t="inlineStr">
        <is>
          <t>Constitution (CON)</t>
        </is>
      </c>
      <c r="B12" s="7" t="inlineStr">
        <is>
          <t>7</t>
        </is>
      </c>
      <c r="C12" s="10">
        <f>B12-4</f>
        <v/>
      </c>
      <c r="D12" s="4" t="inlineStr">
        <is>
          <t>Meridian capacity, physique, life resilience</t>
        </is>
      </c>
      <c r="E12" s="2" t="n"/>
      <c r="F12" s="3" t="n"/>
    </row>
    <row r="13">
      <c r="A13" s="6" t="inlineStr">
        <is>
          <t>Comprehension (CMP)</t>
        </is>
      </c>
      <c r="B13" s="7" t="inlineStr">
        <is>
          <t>8</t>
        </is>
      </c>
      <c r="C13" s="10">
        <f>B13-4</f>
        <v/>
      </c>
      <c r="D13" s="4" t="inlineStr">
        <is>
          <t>Martial comprehension, learning efficiency</t>
        </is>
      </c>
      <c r="E13" s="2" t="n"/>
      <c r="F13" s="3" t="n"/>
    </row>
    <row r="14">
      <c r="A14" s="6" t="inlineStr">
        <is>
          <t>Willpower (WIL)</t>
        </is>
      </c>
      <c r="B14" s="7" t="inlineStr">
        <is>
          <t>8</t>
        </is>
      </c>
      <c r="C14" s="10">
        <f>B14-4</f>
        <v/>
      </c>
      <c r="D14" s="4" t="inlineStr">
        <is>
          <t>Willpower, mental stability</t>
        </is>
      </c>
      <c r="E14" s="2" t="n"/>
      <c r="F14" s="3" t="n"/>
    </row>
    <row r="15">
      <c r="A15" s="6" t="inlineStr">
        <is>
          <t>Charisma (CHA)</t>
        </is>
      </c>
      <c r="B15" s="7" t="inlineStr">
        <is>
          <t>6</t>
        </is>
      </c>
      <c r="C15" s="10">
        <f>B15-4</f>
        <v/>
      </c>
      <c r="D15" s="4" t="inlineStr">
        <is>
          <t>Personal charm, interpersonal influence</t>
        </is>
      </c>
      <c r="E15" s="2" t="n"/>
      <c r="F15" s="3" t="n"/>
    </row>
    <row r="16">
      <c r="A16" s="6" t="inlineStr">
        <is>
          <t>Attribute Total</t>
        </is>
      </c>
      <c r="B16" s="3" t="n"/>
    </row>
    <row r="17"/>
    <row r="18">
      <c r="A18" s="5" t="inlineStr">
        <is>
          <t>— Derived Values —</t>
        </is>
      </c>
      <c r="B18" s="2" t="n"/>
      <c r="C18" s="2" t="n"/>
      <c r="D18" s="2" t="n"/>
      <c r="E18" s="2" t="n"/>
      <c r="F18" s="2" t="n"/>
      <c r="G18" s="2" t="n"/>
      <c r="H18" s="3" t="n"/>
    </row>
    <row r="19">
      <c r="A19" s="6" t="inlineStr">
        <is>
          <t>Health Points (HP)</t>
        </is>
      </c>
      <c r="B19" s="4" t="inlineStr">
        <is>
          <t>Constitution×5 + Realm Bonus</t>
        </is>
      </c>
      <c r="C19" s="2" t="n"/>
      <c r="D19" s="3" t="n"/>
      <c r="E19" s="11">
        <f>B12*5+IF(F6="Crossing the Threshold",5,IF(F6="Complete Mastery",10,IF(F6="Perfecting the Craft",15,IF(F6="Peak of Perfection",20,IF(F6="Return to Simplicity",25,0)))))</f>
        <v/>
      </c>
      <c r="F19" s="3" t="n"/>
    </row>
    <row r="20">
      <c r="A20" s="6" t="inlineStr">
        <is>
          <t>Qi</t>
        </is>
      </c>
      <c r="B20" s="4" t="inlineStr">
        <is>
          <t>Constitution × Inner-Cultivation Coefficient + Realm Bonus</t>
        </is>
      </c>
      <c r="C20" s="2" t="n"/>
      <c r="D20" s="3" t="n"/>
      <c r="E20" s="11">
        <f>B12*VALUE(LEFT(H6,1))+IF(F6="Crossing the Threshold",3,IF(F6="Complete Mastery",6,IF(F6="Perfecting the Craft",10,IF(F6="Peak of Perfection",15,IF(F6="Return to Simplicity",20,0)))))</f>
        <v/>
      </c>
      <c r="F20" s="3" t="n"/>
    </row>
    <row r="21">
      <c r="A21" s="6" t="inlineStr">
        <is>
          <t>Initiative</t>
        </is>
      </c>
      <c r="B21" s="4" t="inlineStr">
        <is>
          <t>Agility + Willpower</t>
        </is>
      </c>
      <c r="C21" s="2" t="n"/>
      <c r="D21" s="3" t="n"/>
      <c r="E21" s="11">
        <f>B11+B14</f>
        <v/>
      </c>
      <c r="F21" s="3" t="n"/>
    </row>
    <row r="22">
      <c r="A22" s="6" t="inlineStr">
        <is>
          <t>Evasion</t>
        </is>
      </c>
      <c r="B22" s="4" t="inlineStr">
        <is>
          <t>Agility Modifier + Lightfoot Level</t>
        </is>
      </c>
      <c r="C22" s="2" t="n"/>
      <c r="D22" s="3" t="n"/>
      <c r="E22" s="11">
        <f>C11+B42</f>
        <v/>
      </c>
      <c r="F22" s="3" t="n"/>
    </row>
    <row r="23">
      <c r="A23" s="6" t="inlineStr">
        <is>
          <t>Defense</t>
        </is>
      </c>
      <c r="B23" s="4" t="inlineStr">
        <is>
          <t>Constitution Modifier + Armor Value</t>
        </is>
      </c>
      <c r="C23" s="2" t="n"/>
      <c r="D23" s="3" t="n"/>
      <c r="E23" s="11">
        <f>C12+B43</f>
        <v/>
      </c>
      <c r="F23" s="3" t="n"/>
    </row>
    <row r="24"/>
    <row r="25">
      <c r="A25" s="5" t="inlineStr">
        <is>
          <t>— Skills —</t>
        </is>
      </c>
      <c r="B25" s="3" t="n"/>
    </row>
    <row r="26">
      <c r="A26" s="9" t="inlineStr">
        <is>
          <t>Skills</t>
        </is>
      </c>
      <c r="B26" s="9" t="inlineStr">
        <is>
          <t>Level</t>
        </is>
      </c>
      <c r="C26" s="9" t="inlineStr">
        <is>
          <t>Bonus</t>
        </is>
      </c>
      <c r="D26" s="9" t="inlineStr">
        <is>
          <t>Corresponding Attribute</t>
        </is>
      </c>
      <c r="E26" s="7" t="inlineStr">
        <is>
          <t>Notes</t>
        </is>
      </c>
      <c r="F26" s="2" t="n"/>
      <c r="G26" s="2" t="n"/>
      <c r="H26" s="3" t="n"/>
    </row>
    <row r="27">
      <c r="A27" s="6" t="inlineStr">
        <is>
          <t>Technique Reading</t>
        </is>
      </c>
      <c r="B27" s="7" t="inlineStr">
        <is>
          <t>5</t>
        </is>
      </c>
      <c r="C27" s="4">
        <f>C10+B27</f>
        <v/>
      </c>
      <c r="D27" s="4" t="inlineStr">
        <is>
          <t>C10</t>
        </is>
      </c>
    </row>
    <row r="28">
      <c r="A28" s="6" t="inlineStr">
        <is>
          <t>Jianghu Lore</t>
        </is>
      </c>
      <c r="B28" s="7" t="inlineStr">
        <is>
          <t>5</t>
        </is>
      </c>
      <c r="C28" s="4">
        <f>C10+B28</f>
        <v/>
      </c>
      <c r="D28" s="4" t="inlineStr">
        <is>
          <t>C10</t>
        </is>
      </c>
    </row>
    <row r="29">
      <c r="A29" s="6" t="inlineStr">
        <is>
          <t>Lightfoot</t>
        </is>
      </c>
      <c r="B29" s="7" t="inlineStr">
        <is>
          <t>0</t>
        </is>
      </c>
      <c r="C29" s="4">
        <f>C10+B29</f>
        <v/>
      </c>
      <c r="D29" s="4" t="inlineStr">
        <is>
          <t>C10</t>
        </is>
      </c>
    </row>
    <row r="30">
      <c r="A30" s="6" t="inlineStr">
        <is>
          <t>Oratory</t>
        </is>
      </c>
      <c r="B30" s="7" t="inlineStr">
        <is>
          <t>0</t>
        </is>
      </c>
      <c r="C30" s="4">
        <f>C10+B30</f>
        <v/>
      </c>
      <c r="D30" s="4" t="inlineStr">
        <is>
          <t>C10</t>
        </is>
      </c>
    </row>
    <row r="31">
      <c r="A31" s="6" t="inlineStr">
        <is>
          <t>Climbing</t>
        </is>
      </c>
      <c r="B31" s="7" t="inlineStr">
        <is>
          <t>0</t>
        </is>
      </c>
      <c r="C31" s="4">
        <f>C10+B31</f>
        <v/>
      </c>
      <c r="D31" s="4" t="inlineStr">
        <is>
          <t>C10</t>
        </is>
      </c>
    </row>
    <row r="32">
      <c r="A32" s="6" t="inlineStr">
        <is>
          <t>Stealth</t>
        </is>
      </c>
      <c r="B32" s="7" t="inlineStr">
        <is>
          <t>4</t>
        </is>
      </c>
      <c r="C32" s="4">
        <f>C10+B32</f>
        <v/>
      </c>
      <c r="D32" s="4" t="inlineStr">
        <is>
          <t>C10</t>
        </is>
      </c>
    </row>
    <row r="33">
      <c r="A33" s="6" t="inlineStr">
        <is>
          <t>Tracking</t>
        </is>
      </c>
      <c r="B33" s="7" t="inlineStr">
        <is>
          <t>0</t>
        </is>
      </c>
      <c r="C33" s="4">
        <f>C10+B33</f>
        <v/>
      </c>
      <c r="D33" s="4" t="inlineStr">
        <is>
          <t>C10</t>
        </is>
      </c>
    </row>
    <row r="34">
      <c r="A34" s="6" t="inlineStr">
        <is>
          <t>Read Intent</t>
        </is>
      </c>
      <c r="B34" s="7" t="inlineStr">
        <is>
          <t>0</t>
        </is>
      </c>
      <c r="C34" s="4">
        <f>C10+B34</f>
        <v/>
      </c>
      <c r="D34" s="4" t="inlineStr">
        <is>
          <t>C10</t>
        </is>
      </c>
    </row>
    <row r="35">
      <c r="A35" s="6" t="inlineStr">
        <is>
          <t>Disguise</t>
        </is>
      </c>
      <c r="B35" s="7" t="inlineStr">
        <is>
          <t>0</t>
        </is>
      </c>
      <c r="C35" s="4">
        <f>C10+B35</f>
        <v/>
      </c>
      <c r="D35" s="4" t="inlineStr">
        <is>
          <t>C10</t>
        </is>
      </c>
    </row>
    <row r="36">
      <c r="A36" s="6" t="inlineStr">
        <is>
          <t>Lockpicking</t>
        </is>
      </c>
      <c r="B36" s="7" t="inlineStr">
        <is>
          <t>0</t>
        </is>
      </c>
      <c r="C36" s="4">
        <f>C10+B36</f>
        <v/>
      </c>
      <c r="D36" s="4" t="inlineStr">
        <is>
          <t>C10</t>
        </is>
      </c>
    </row>
    <row r="37">
      <c r="A37" s="6" t="inlineStr">
        <is>
          <t>Trapcraft</t>
        </is>
      </c>
      <c r="B37" s="7" t="inlineStr">
        <is>
          <t>0</t>
        </is>
      </c>
      <c r="C37" s="4">
        <f>C10+B37</f>
        <v/>
      </c>
      <c r="D37" s="4" t="inlineStr">
        <is>
          <t>C10</t>
        </is>
      </c>
    </row>
    <row r="38">
      <c r="A38" s="6" t="inlineStr">
        <is>
          <t>Medicine</t>
        </is>
      </c>
      <c r="B38" s="7" t="inlineStr">
        <is>
          <t>0</t>
        </is>
      </c>
      <c r="C38" s="4">
        <f>C10+B38</f>
        <v/>
      </c>
      <c r="D38" s="4" t="inlineStr">
        <is>
          <t>C10</t>
        </is>
      </c>
    </row>
    <row r="39">
      <c r="A39" s="6" t="inlineStr">
        <is>
          <t>Alchemy</t>
        </is>
      </c>
      <c r="B39" s="7" t="inlineStr">
        <is>
          <t>0</t>
        </is>
      </c>
      <c r="C39" s="4">
        <f>C10+B39</f>
        <v/>
      </c>
      <c r="D39" s="4" t="inlineStr">
        <is>
          <t>C10</t>
        </is>
      </c>
    </row>
    <row r="40">
      <c r="A40" s="6" t="inlineStr">
        <is>
          <t>Poisoncraft</t>
        </is>
      </c>
      <c r="B40" s="7" t="inlineStr">
        <is>
          <t>0</t>
        </is>
      </c>
      <c r="C40" s="4">
        <f>C10+B40</f>
        <v/>
      </c>
      <c r="D40" s="4" t="inlineStr">
        <is>
          <t>C10</t>
        </is>
      </c>
    </row>
    <row r="41">
      <c r="A41" s="6" t="inlineStr">
        <is>
          <t>Hidden Weapon</t>
        </is>
      </c>
      <c r="B41" s="7" t="inlineStr">
        <is>
          <t>0</t>
        </is>
      </c>
      <c r="C41" s="4">
        <f>C10+B41</f>
        <v/>
      </c>
      <c r="D41" s="4" t="inlineStr">
        <is>
          <t>C10</t>
        </is>
      </c>
    </row>
    <row r="42">
      <c r="A42" s="4" t="inlineStr">
        <is>
          <t>Lightfoot Level</t>
        </is>
      </c>
      <c r="B42" s="7" t="inlineStr">
        <is>
          <t>0</t>
        </is>
      </c>
      <c r="C42" s="4">
        <f>C10+B42</f>
        <v/>
      </c>
      <c r="D42" s="4" t="inlineStr">
        <is>
          <t>C10</t>
        </is>
      </c>
    </row>
    <row r="43">
      <c r="A43" s="4" t="inlineStr">
        <is>
          <t>Armor Value</t>
        </is>
      </c>
      <c r="B43" s="7" t="inlineStr">
        <is>
          <t>0</t>
        </is>
      </c>
      <c r="C43" s="4">
        <f>C10+B43</f>
        <v/>
      </c>
      <c r="D43" s="4" t="inlineStr">
        <is>
          <t>C10</t>
        </is>
      </c>
    </row>
    <row r="44">
      <c r="A44" s="6" t="inlineStr">
        <is>
          <t>Saber Art</t>
        </is>
      </c>
      <c r="B44" s="7" t="inlineStr">
        <is>
          <t>0</t>
        </is>
      </c>
      <c r="C44" s="4">
        <f>C10+B44</f>
        <v/>
      </c>
      <c r="D44" s="4" t="inlineStr">
        <is>
          <t>C10</t>
        </is>
      </c>
    </row>
    <row r="45">
      <c r="A45" s="6" t="inlineStr">
        <is>
          <t>Sword Art</t>
        </is>
      </c>
      <c r="B45" s="7" t="inlineStr">
        <is>
          <t>5</t>
        </is>
      </c>
      <c r="C45" s="4">
        <f>C10+B45</f>
        <v/>
      </c>
      <c r="D45" s="4" t="inlineStr">
        <is>
          <t>C10</t>
        </is>
      </c>
    </row>
    <row r="46"/>
    <row r="47"/>
    <row r="48"/>
    <row r="49">
      <c r="A49" s="5" t="inlineStr">
        <is>
          <t>— Martial Arts —</t>
        </is>
      </c>
      <c r="B49" s="2" t="n"/>
      <c r="C49" s="2" t="n"/>
      <c r="D49" s="2" t="n"/>
      <c r="E49" s="2" t="n"/>
      <c r="F49" s="2" t="n"/>
      <c r="G49" s="2" t="n"/>
      <c r="H49" s="3" t="n"/>
    </row>
    <row r="50">
      <c r="A50" s="9" t="inlineStr">
        <is>
          <t>Martial Art Name</t>
        </is>
      </c>
      <c r="B50" s="9" t="inlineStr">
        <is>
          <t>Type</t>
        </is>
      </c>
      <c r="C50" s="9" t="inlineStr">
        <is>
          <t>Tier · Proficiency</t>
        </is>
      </c>
      <c r="D50" s="9" t="inlineStr">
        <is>
          <t>Force Type</t>
        </is>
      </c>
      <c r="E50" s="9" t="inlineStr">
        <is>
          <t>Moves</t>
        </is>
      </c>
      <c r="F50" s="9" t="inlineStr">
        <is>
          <t>Qi</t>
        </is>
      </c>
      <c r="G50" s="9" t="inlineStr">
        <is>
          <t>Hit</t>
        </is>
      </c>
      <c r="H50" s="9" t="inlineStr">
        <is>
          <t>Damage / Effect</t>
        </is>
      </c>
    </row>
    <row r="51">
      <c r="A51" s="7" t="inlineStr">
        <is>
          <t>Blood Moon Demon Art</t>
        </is>
      </c>
      <c r="B51" s="7" t="inlineStr">
        <is>
          <t>Inner Cultivation</t>
        </is>
      </c>
      <c r="C51" s="7" t="inlineStr">
        <is>
          <t>Peerless</t>
        </is>
      </c>
      <c r="D51" s="7" t="inlineStr">
        <is>
          <t>—</t>
        </is>
      </c>
      <c r="E51" s="7" t="inlineStr">
        <is>
          <t>—</t>
        </is>
      </c>
      <c r="F51" s="7" t="inlineStr">
        <is>
          <t>—</t>
        </is>
      </c>
      <c r="G51" s="7" t="inlineStr">
        <is>
          <t>—</t>
        </is>
      </c>
      <c r="H51" s="7" t="inlineStr">
        <is>
          <t>Inner Cultivation Coefficient 5</t>
        </is>
      </c>
    </row>
    <row r="52">
      <c r="A52" s="7" t="inlineStr">
        <is>
          <t>Asura Sword · Destruction</t>
        </is>
      </c>
      <c r="B52" s="7" t="inlineStr">
        <is>
          <t>External Art · Sword</t>
        </is>
      </c>
      <c r="C52" s="7" t="inlineStr">
        <is>
          <t>Superior</t>
        </is>
      </c>
      <c r="D52" s="7" t="inlineStr">
        <is>
          <t>Firm</t>
        </is>
      </c>
      <c r="E52" s="7" t="inlineStr">
        <is>
          <t>Destruction</t>
        </is>
      </c>
      <c r="F52" s="7" t="inlineStr">
        <is>
          <t>8</t>
        </is>
      </c>
      <c r="G52" s="7" t="inlineStr">
        <is>
          <t>+7</t>
        </is>
      </c>
      <c r="H52" s="7" t="inlineStr">
        <is>
          <t>4d8+STR (+3)</t>
        </is>
      </c>
    </row>
    <row r="53">
      <c r="A53" s="7" t="inlineStr">
        <is>
          <t>Blood Shadow Step · Illusion</t>
        </is>
      </c>
      <c r="B53" s="7" t="inlineStr">
        <is>
          <t>Lightfoot</t>
        </is>
      </c>
      <c r="C53" s="7" t="inlineStr">
        <is>
          <t>Superior</t>
        </is>
      </c>
      <c r="D53" s="7" t="inlineStr">
        <is>
          <t>Swift</t>
        </is>
      </c>
      <c r="E53" s="7" t="inlineStr">
        <is>
          <t>—</t>
        </is>
      </c>
      <c r="F53" s="7" t="inlineStr">
        <is>
          <t>4</t>
        </is>
      </c>
      <c r="G53" s="7" t="inlineStr">
        <is>
          <t>—</t>
        </is>
      </c>
      <c r="H53" s="7" t="inlineStr">
        <is>
          <t>—</t>
        </is>
      </c>
      <c r="I53" s="7" t="inlineStr">
        <is>
          <t>Initiative +4</t>
        </is>
      </c>
    </row>
    <row r="54">
      <c r="A54" s="7" t="n"/>
      <c r="B54" s="7" t="n"/>
      <c r="C54" s="7" t="n"/>
      <c r="D54" s="7" t="n"/>
      <c r="E54" s="7" t="n"/>
      <c r="F54" s="7" t="n"/>
      <c r="G54" s="7" t="n"/>
      <c r="H54" s="7" t="n"/>
    </row>
    <row r="55">
      <c r="A55" s="7" t="n"/>
      <c r="B55" s="7" t="n"/>
      <c r="C55" s="7" t="n"/>
      <c r="D55" s="7" t="n"/>
      <c r="E55" s="7" t="n"/>
      <c r="F55" s="7" t="n"/>
      <c r="G55" s="7" t="n"/>
      <c r="H55" s="7" t="n"/>
    </row>
    <row r="56">
      <c r="A56" s="7" t="n"/>
      <c r="B56" s="7" t="n"/>
      <c r="C56" s="7" t="n"/>
      <c r="D56" s="7" t="n"/>
      <c r="E56" s="7" t="n"/>
      <c r="F56" s="7" t="n"/>
      <c r="G56" s="7" t="n"/>
      <c r="H56" s="7" t="n"/>
    </row>
    <row r="57">
      <c r="A57" s="7" t="n"/>
      <c r="B57" s="7" t="n"/>
      <c r="C57" s="7" t="n"/>
      <c r="D57" s="7" t="n"/>
      <c r="E57" s="7" t="n"/>
      <c r="F57" s="7" t="n"/>
      <c r="G57" s="7" t="n"/>
      <c r="H57" s="7" t="n"/>
    </row>
    <row r="58">
      <c r="A58" s="7" t="n"/>
      <c r="B58" s="7" t="n"/>
      <c r="C58" s="7" t="n"/>
      <c r="D58" s="7" t="n"/>
      <c r="E58" s="7" t="n"/>
      <c r="F58" s="7" t="n"/>
      <c r="G58" s="7" t="n"/>
      <c r="H58" s="7" t="n"/>
    </row>
    <row r="59"/>
    <row r="60"/>
    <row r="61">
      <c r="A61" s="5" t="inlineStr">
        <is>
          <t>— Equipment —</t>
        </is>
      </c>
      <c r="B61" s="2" t="n"/>
      <c r="C61" s="2" t="n"/>
      <c r="D61" s="2" t="n"/>
      <c r="E61" s="2" t="n"/>
      <c r="F61" s="2" t="n"/>
      <c r="G61" s="2" t="n"/>
      <c r="H61" s="3" t="n"/>
    </row>
    <row r="62">
      <c r="A62" s="9" t="inlineStr">
        <is>
          <t>Weapon</t>
        </is>
      </c>
      <c r="B62" s="9" t="inlineStr">
        <is>
          <t>Damage</t>
        </is>
      </c>
      <c r="C62" s="9" t="inlineStr">
        <is>
          <t>Hit Modifier</t>
        </is>
      </c>
      <c r="D62" s="9" t="inlineStr">
        <is>
          <t>Armor</t>
        </is>
      </c>
      <c r="E62" s="9" t="inlineStr">
        <is>
          <t>External Injury Reduction</t>
        </is>
      </c>
      <c r="F62" s="9" t="inlineStr">
        <is>
          <t>Item</t>
        </is>
      </c>
    </row>
    <row r="63">
      <c r="A63" s="7" t="n"/>
      <c r="B63" s="3" t="n"/>
      <c r="D63" s="7" t="n"/>
      <c r="E63" s="2" t="n"/>
      <c r="F63" s="3" t="n"/>
    </row>
    <row r="64"/>
    <row r="65"/>
    <row r="66"/>
    <row r="67"/>
    <row r="68"/>
    <row r="69">
      <c r="A69" s="6" t="inlineStr">
        <is>
          <t>Heroism</t>
        </is>
      </c>
      <c r="B69" s="7" t="inlineStr">
        <is>
          <t>-30</t>
        </is>
      </c>
      <c r="D69" s="6" t="inlineStr">
        <is>
          <t>Infamy</t>
        </is>
      </c>
      <c r="E69" s="7" t="inlineStr">
        <is>
          <t>50</t>
        </is>
      </c>
    </row>
    <row r="70"/>
    <row r="71">
      <c r="A71" t="inlineStr">
        <is>
          <t>Can apprentice (Difficulty Class (DC) 16): Asura Sword + Blood Moon Demon Art (supreme art).</t>
        </is>
      </c>
    </row>
    <row r="72">
      <c r="A72" t="inlineStr">
        <is>
          <t>Apprenticeship Gift: Asura Mask + Blood Moon Cult Protection Token + Dark-Red Cloak (after first kill)</t>
        </is>
      </c>
    </row>
  </sheetData>
  <mergeCells count="29">
    <mergeCell ref="D13:F13"/>
    <mergeCell ref="D11:F11"/>
    <mergeCell ref="E26:H26"/>
    <mergeCell ref="B23:D23"/>
    <mergeCell ref="E23:F23"/>
    <mergeCell ref="A49:H49"/>
    <mergeCell ref="A1:H1"/>
    <mergeCell ref="A61:H61"/>
    <mergeCell ref="A16:B16"/>
    <mergeCell ref="B19:D19"/>
    <mergeCell ref="E20:F20"/>
    <mergeCell ref="A25:B25"/>
    <mergeCell ref="E19:F19"/>
    <mergeCell ref="D12:F12"/>
    <mergeCell ref="D15:F15"/>
    <mergeCell ref="B6:D6"/>
    <mergeCell ref="B20:D20"/>
    <mergeCell ref="A18:H18"/>
    <mergeCell ref="D14:F14"/>
    <mergeCell ref="A2:H2"/>
    <mergeCell ref="A8:H8"/>
    <mergeCell ref="D63:F63"/>
    <mergeCell ref="D10:F10"/>
    <mergeCell ref="A4:H4"/>
    <mergeCell ref="B22:D22"/>
    <mergeCell ref="A63:B63"/>
    <mergeCell ref="E22:F22"/>
    <mergeCell ref="B21:D21"/>
    <mergeCell ref="E21:F2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2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</cols>
  <sheetData>
    <row r="1">
      <c r="A1" s="1" t="inlineStr">
        <is>
          <t>Yonghe Martial Codex</t>
        </is>
      </c>
      <c r="B1" s="2" t="n"/>
      <c r="C1" s="2" t="n"/>
      <c r="D1" s="2" t="n"/>
      <c r="E1" s="2" t="n"/>
      <c r="F1" s="2" t="n"/>
      <c r="G1" s="2" t="n"/>
      <c r="H1" s="3" t="n"/>
    </row>
    <row r="2">
      <c r="A2" s="4" t="inlineStr">
        <is>
          <t>Character Card · Tabletop Rules Studio</t>
        </is>
      </c>
      <c r="B2" s="2" t="n"/>
      <c r="C2" s="2" t="n"/>
      <c r="D2" s="2" t="n"/>
      <c r="E2" s="2" t="n"/>
      <c r="F2" s="2" t="n"/>
      <c r="G2" s="2" t="n"/>
      <c r="H2" s="3" t="n"/>
    </row>
    <row r="3"/>
    <row r="4">
      <c r="A4" s="5" t="inlineStr">
        <is>
          <t>— Basic Info —</t>
        </is>
      </c>
      <c r="B4" s="2" t="n"/>
      <c r="C4" s="2" t="n"/>
      <c r="D4" s="2" t="n"/>
      <c r="E4" s="2" t="n"/>
      <c r="F4" s="2" t="n"/>
      <c r="G4" s="2" t="n"/>
      <c r="H4" s="3" t="n"/>
    </row>
    <row r="5">
      <c r="A5" s="6" t="inlineStr">
        <is>
          <t>Character Name</t>
        </is>
      </c>
      <c r="B5" s="7" t="inlineStr">
        <is>
          <t>Meng Po</t>
        </is>
      </c>
      <c r="C5" s="6" t="inlineStr">
        <is>
          <t>Player</t>
        </is>
      </c>
      <c r="D5" s="7" t="n"/>
      <c r="E5" s="6" t="inlineStr">
        <is>
          <t>Sect</t>
        </is>
      </c>
      <c r="F5" s="7" t="inlineStr">
        <is>
          <t>Wangchuan Tower</t>
        </is>
      </c>
    </row>
    <row r="6">
      <c r="A6" s="6" t="inlineStr">
        <is>
          <t>Concept</t>
        </is>
      </c>
      <c r="B6" s="8" t="inlineStr">
        <is>
          <t>Tower Lord of Wangchuan Tower, wears a white-porcelain mask; assassination art can threaten the Fifth Realm.</t>
        </is>
      </c>
      <c r="C6" s="2" t="n"/>
      <c r="D6" s="3" t="n"/>
      <c r="E6" s="6" t="inlineStr">
        <is>
          <t>Realm</t>
        </is>
      </c>
      <c r="F6" s="7" t="inlineStr">
        <is>
          <t>Perfecting the Craft</t>
        </is>
      </c>
      <c r="G6" s="6" t="inlineStr">
        <is>
          <t>Inner Cultivation Coefficient</t>
        </is>
      </c>
      <c r="H6" s="7" t="inlineStr">
        <is>
          <t>3</t>
        </is>
      </c>
    </row>
    <row r="7"/>
    <row r="8">
      <c r="A8" s="5" t="inlineStr">
        <is>
          <t>— Six Attributes —</t>
        </is>
      </c>
      <c r="B8" s="2" t="n"/>
      <c r="C8" s="2" t="n"/>
      <c r="D8" s="2" t="n"/>
      <c r="E8" s="2" t="n"/>
      <c r="F8" s="2" t="n"/>
      <c r="G8" s="2" t="n"/>
      <c r="H8" s="3" t="n"/>
    </row>
    <row r="9">
      <c r="A9" s="9" t="inlineStr">
        <is>
          <t>Attribute</t>
        </is>
      </c>
      <c r="B9" s="9" t="inlineStr">
        <is>
          <t>Base Value</t>
        </is>
      </c>
      <c r="C9" s="9" t="inlineStr">
        <is>
          <t>Modifier</t>
        </is>
      </c>
      <c r="D9" s="9" t="inlineStr">
        <is>
          <t>Description</t>
        </is>
      </c>
    </row>
    <row r="10">
      <c r="A10" s="6" t="inlineStr">
        <is>
          <t>Strength (STR)</t>
        </is>
      </c>
      <c r="B10" s="7" t="inlineStr">
        <is>
          <t>5</t>
        </is>
      </c>
      <c r="C10" s="10">
        <f>B10-4</f>
        <v/>
      </c>
      <c r="D10" s="4" t="inlineStr">
        <is>
          <t>Muscle power, explosive force</t>
        </is>
      </c>
      <c r="E10" s="2" t="n"/>
      <c r="F10" s="3" t="n"/>
    </row>
    <row r="11">
      <c r="A11" s="6" t="inlineStr">
        <is>
          <t>Agility (AGI)</t>
        </is>
      </c>
      <c r="B11" s="7" t="inlineStr">
        <is>
          <t>9</t>
        </is>
      </c>
      <c r="C11" s="10">
        <f>B11-4</f>
        <v/>
      </c>
      <c r="D11" s="4" t="inlineStr">
        <is>
          <t>Speed, flexibility, lightfoot</t>
        </is>
      </c>
      <c r="E11" s="2" t="n"/>
      <c r="F11" s="3" t="n"/>
    </row>
    <row r="12">
      <c r="A12" s="6" t="inlineStr">
        <is>
          <t>Constitution (CON)</t>
        </is>
      </c>
      <c r="B12" s="7" t="inlineStr">
        <is>
          <t>5</t>
        </is>
      </c>
      <c r="C12" s="10">
        <f>B12-4</f>
        <v/>
      </c>
      <c r="D12" s="4" t="inlineStr">
        <is>
          <t>Meridian capacity, physique, life resilience</t>
        </is>
      </c>
      <c r="E12" s="2" t="n"/>
      <c r="F12" s="3" t="n"/>
    </row>
    <row r="13">
      <c r="A13" s="6" t="inlineStr">
        <is>
          <t>Comprehension (CMP)</t>
        </is>
      </c>
      <c r="B13" s="7" t="inlineStr">
        <is>
          <t>7</t>
        </is>
      </c>
      <c r="C13" s="10">
        <f>B13-4</f>
        <v/>
      </c>
      <c r="D13" s="4" t="inlineStr">
        <is>
          <t>Martial comprehension, learning efficiency</t>
        </is>
      </c>
      <c r="E13" s="2" t="n"/>
      <c r="F13" s="3" t="n"/>
    </row>
    <row r="14">
      <c r="A14" s="6" t="inlineStr">
        <is>
          <t>Willpower (WIL)</t>
        </is>
      </c>
      <c r="B14" s="7" t="inlineStr">
        <is>
          <t>8</t>
        </is>
      </c>
      <c r="C14" s="10">
        <f>B14-4</f>
        <v/>
      </c>
      <c r="D14" s="4" t="inlineStr">
        <is>
          <t>Willpower, mental stability</t>
        </is>
      </c>
      <c r="E14" s="2" t="n"/>
      <c r="F14" s="3" t="n"/>
    </row>
    <row r="15">
      <c r="A15" s="6" t="inlineStr">
        <is>
          <t>Charisma (CHA)</t>
        </is>
      </c>
      <c r="B15" s="7" t="inlineStr">
        <is>
          <t>3</t>
        </is>
      </c>
      <c r="C15" s="10">
        <f>B15-4</f>
        <v/>
      </c>
      <c r="D15" s="4" t="inlineStr">
        <is>
          <t>Personal charm, interpersonal influence</t>
        </is>
      </c>
      <c r="E15" s="2" t="n"/>
      <c r="F15" s="3" t="n"/>
    </row>
    <row r="16">
      <c r="A16" s="6" t="inlineStr">
        <is>
          <t>Attribute Total</t>
        </is>
      </c>
      <c r="B16" s="3" t="n"/>
    </row>
    <row r="17"/>
    <row r="18">
      <c r="A18" s="5" t="inlineStr">
        <is>
          <t>— Derived Values —</t>
        </is>
      </c>
      <c r="B18" s="2" t="n"/>
      <c r="C18" s="2" t="n"/>
      <c r="D18" s="2" t="n"/>
      <c r="E18" s="2" t="n"/>
      <c r="F18" s="2" t="n"/>
      <c r="G18" s="2" t="n"/>
      <c r="H18" s="3" t="n"/>
    </row>
    <row r="19">
      <c r="A19" s="6" t="inlineStr">
        <is>
          <t>Health Points (HP)</t>
        </is>
      </c>
      <c r="B19" s="4" t="inlineStr">
        <is>
          <t>Constitution×5 + Realm Bonus</t>
        </is>
      </c>
      <c r="C19" s="2" t="n"/>
      <c r="D19" s="3" t="n"/>
      <c r="E19" s="11">
        <f>B12*5+IF(F6="Crossing the Threshold",5,IF(F6="Complete Mastery",10,IF(F6="Perfecting the Craft",15,IF(F6="Peak of Perfection",20,IF(F6="Return to Simplicity",25,0)))))</f>
        <v/>
      </c>
      <c r="F19" s="3" t="n"/>
    </row>
    <row r="20">
      <c r="A20" s="6" t="inlineStr">
        <is>
          <t>Qi</t>
        </is>
      </c>
      <c r="B20" s="4" t="inlineStr">
        <is>
          <t>Constitution × Inner-Cultivation Coefficient + Realm Bonus</t>
        </is>
      </c>
      <c r="C20" s="2" t="n"/>
      <c r="D20" s="3" t="n"/>
      <c r="E20" s="11">
        <f>B12*VALUE(LEFT(H6,1))+IF(F6="Crossing the Threshold",3,IF(F6="Complete Mastery",6,IF(F6="Perfecting the Craft",10,IF(F6="Peak of Perfection",15,IF(F6="Return to Simplicity",20,0)))))</f>
        <v/>
      </c>
      <c r="F20" s="3" t="n"/>
    </row>
    <row r="21">
      <c r="A21" s="6" t="inlineStr">
        <is>
          <t>Initiative</t>
        </is>
      </c>
      <c r="B21" s="4" t="inlineStr">
        <is>
          <t>Agility + Willpower</t>
        </is>
      </c>
      <c r="C21" s="2" t="n"/>
      <c r="D21" s="3" t="n"/>
      <c r="E21" s="11">
        <f>B11+B14</f>
        <v/>
      </c>
      <c r="F21" s="3" t="n"/>
    </row>
    <row r="22">
      <c r="A22" s="6" t="inlineStr">
        <is>
          <t>Evasion</t>
        </is>
      </c>
      <c r="B22" s="4" t="inlineStr">
        <is>
          <t>Agility Modifier + Lightfoot Level</t>
        </is>
      </c>
      <c r="C22" s="2" t="n"/>
      <c r="D22" s="3" t="n"/>
      <c r="E22" s="11">
        <f>C11+B42</f>
        <v/>
      </c>
      <c r="F22" s="3" t="n"/>
    </row>
    <row r="23">
      <c r="A23" s="6" t="inlineStr">
        <is>
          <t>Defense</t>
        </is>
      </c>
      <c r="B23" s="4" t="inlineStr">
        <is>
          <t>Constitution Modifier + Armor Value</t>
        </is>
      </c>
      <c r="C23" s="2" t="n"/>
      <c r="D23" s="3" t="n"/>
      <c r="E23" s="11">
        <f>C12+B43</f>
        <v/>
      </c>
      <c r="F23" s="3" t="n"/>
    </row>
    <row r="24"/>
    <row r="25">
      <c r="A25" s="5" t="inlineStr">
        <is>
          <t>— Skills —</t>
        </is>
      </c>
      <c r="B25" s="3" t="n"/>
    </row>
    <row r="26">
      <c r="A26" s="9" t="inlineStr">
        <is>
          <t>Skills</t>
        </is>
      </c>
      <c r="B26" s="9" t="inlineStr">
        <is>
          <t>Level</t>
        </is>
      </c>
      <c r="C26" s="9" t="inlineStr">
        <is>
          <t>Bonus</t>
        </is>
      </c>
      <c r="D26" s="9" t="inlineStr">
        <is>
          <t>Corresponding Attribute</t>
        </is>
      </c>
      <c r="E26" s="7" t="inlineStr">
        <is>
          <t>Notes</t>
        </is>
      </c>
      <c r="F26" s="2" t="n"/>
      <c r="G26" s="2" t="n"/>
      <c r="H26" s="3" t="n"/>
    </row>
    <row r="27">
      <c r="A27" s="6" t="inlineStr">
        <is>
          <t>Technique Reading</t>
        </is>
      </c>
      <c r="B27" s="7" t="inlineStr">
        <is>
          <t>0</t>
        </is>
      </c>
      <c r="C27" s="4">
        <f>C10+B27</f>
        <v/>
      </c>
      <c r="D27" s="4" t="inlineStr">
        <is>
          <t>C10</t>
        </is>
      </c>
    </row>
    <row r="28">
      <c r="A28" s="6" t="inlineStr">
        <is>
          <t>Jianghu Lore</t>
        </is>
      </c>
      <c r="B28" s="7" t="inlineStr">
        <is>
          <t>0</t>
        </is>
      </c>
      <c r="C28" s="4">
        <f>C10+B28</f>
        <v/>
      </c>
      <c r="D28" s="4" t="inlineStr">
        <is>
          <t>C10</t>
        </is>
      </c>
    </row>
    <row r="29">
      <c r="A29" s="6" t="inlineStr">
        <is>
          <t>Lightfoot</t>
        </is>
      </c>
      <c r="B29" s="7" t="inlineStr">
        <is>
          <t>5</t>
        </is>
      </c>
      <c r="C29" s="4">
        <f>C10+B29</f>
        <v/>
      </c>
      <c r="D29" s="4" t="inlineStr">
        <is>
          <t>C10</t>
        </is>
      </c>
    </row>
    <row r="30">
      <c r="A30" s="6" t="inlineStr">
        <is>
          <t>Oratory</t>
        </is>
      </c>
      <c r="B30" s="7" t="inlineStr">
        <is>
          <t>0</t>
        </is>
      </c>
      <c r="C30" s="4">
        <f>C10+B30</f>
        <v/>
      </c>
      <c r="D30" s="4" t="inlineStr">
        <is>
          <t>C10</t>
        </is>
      </c>
    </row>
    <row r="31">
      <c r="A31" s="6" t="inlineStr">
        <is>
          <t>Climbing</t>
        </is>
      </c>
      <c r="B31" s="7" t="inlineStr">
        <is>
          <t>0</t>
        </is>
      </c>
      <c r="C31" s="4">
        <f>C10+B31</f>
        <v/>
      </c>
      <c r="D31" s="4" t="inlineStr">
        <is>
          <t>C10</t>
        </is>
      </c>
    </row>
    <row r="32">
      <c r="A32" s="6" t="inlineStr">
        <is>
          <t>Stealth</t>
        </is>
      </c>
      <c r="B32" s="7" t="inlineStr">
        <is>
          <t>7</t>
        </is>
      </c>
      <c r="C32" s="4">
        <f>C10+B32</f>
        <v/>
      </c>
      <c r="D32" s="4" t="inlineStr">
        <is>
          <t>C10</t>
        </is>
      </c>
    </row>
    <row r="33">
      <c r="A33" s="6" t="inlineStr">
        <is>
          <t>Tracking</t>
        </is>
      </c>
      <c r="B33" s="7" t="inlineStr">
        <is>
          <t>4</t>
        </is>
      </c>
      <c r="C33" s="4">
        <f>C10+B33</f>
        <v/>
      </c>
      <c r="D33" s="4" t="inlineStr">
        <is>
          <t>C10</t>
        </is>
      </c>
    </row>
    <row r="34">
      <c r="A34" s="6" t="inlineStr">
        <is>
          <t>Read Intent</t>
        </is>
      </c>
      <c r="B34" s="7" t="inlineStr">
        <is>
          <t>0</t>
        </is>
      </c>
      <c r="C34" s="4">
        <f>C10+B34</f>
        <v/>
      </c>
      <c r="D34" s="4" t="inlineStr">
        <is>
          <t>C10</t>
        </is>
      </c>
    </row>
    <row r="35">
      <c r="A35" s="6" t="inlineStr">
        <is>
          <t>Disguise</t>
        </is>
      </c>
      <c r="B35" s="7" t="inlineStr">
        <is>
          <t>4</t>
        </is>
      </c>
      <c r="C35" s="4">
        <f>C10+B35</f>
        <v/>
      </c>
      <c r="D35" s="4" t="inlineStr">
        <is>
          <t>C10</t>
        </is>
      </c>
    </row>
    <row r="36">
      <c r="A36" s="6" t="inlineStr">
        <is>
          <t>Lockpicking</t>
        </is>
      </c>
      <c r="B36" s="7" t="inlineStr">
        <is>
          <t>4</t>
        </is>
      </c>
      <c r="C36" s="4">
        <f>C10+B36</f>
        <v/>
      </c>
      <c r="D36" s="4" t="inlineStr">
        <is>
          <t>C10</t>
        </is>
      </c>
    </row>
    <row r="37">
      <c r="A37" s="6" t="inlineStr">
        <is>
          <t>Trapcraft</t>
        </is>
      </c>
      <c r="B37" s="7" t="inlineStr">
        <is>
          <t>0</t>
        </is>
      </c>
      <c r="C37" s="4">
        <f>C10+B37</f>
        <v/>
      </c>
      <c r="D37" s="4" t="inlineStr">
        <is>
          <t>C10</t>
        </is>
      </c>
    </row>
    <row r="38">
      <c r="A38" s="6" t="inlineStr">
        <is>
          <t>Medicine</t>
        </is>
      </c>
      <c r="B38" s="7" t="inlineStr">
        <is>
          <t>0</t>
        </is>
      </c>
      <c r="C38" s="4">
        <f>C10+B38</f>
        <v/>
      </c>
      <c r="D38" s="4" t="inlineStr">
        <is>
          <t>C10</t>
        </is>
      </c>
    </row>
    <row r="39">
      <c r="A39" s="6" t="inlineStr">
        <is>
          <t>Alchemy</t>
        </is>
      </c>
      <c r="B39" s="7" t="inlineStr">
        <is>
          <t>0</t>
        </is>
      </c>
      <c r="C39" s="4">
        <f>C10+B39</f>
        <v/>
      </c>
      <c r="D39" s="4" t="inlineStr">
        <is>
          <t>C10</t>
        </is>
      </c>
    </row>
    <row r="40">
      <c r="A40" s="6" t="inlineStr">
        <is>
          <t>Poisoncraft</t>
        </is>
      </c>
      <c r="B40" s="7" t="inlineStr">
        <is>
          <t>0</t>
        </is>
      </c>
      <c r="C40" s="4">
        <f>C10+B40</f>
        <v/>
      </c>
      <c r="D40" s="4" t="inlineStr">
        <is>
          <t>C10</t>
        </is>
      </c>
    </row>
    <row r="41">
      <c r="A41" s="6" t="inlineStr">
        <is>
          <t>Hidden Weapon</t>
        </is>
      </c>
      <c r="B41" s="7" t="inlineStr">
        <is>
          <t>0</t>
        </is>
      </c>
      <c r="C41" s="4">
        <f>C10+B41</f>
        <v/>
      </c>
      <c r="D41" s="4" t="inlineStr">
        <is>
          <t>C10</t>
        </is>
      </c>
    </row>
    <row r="42">
      <c r="A42" s="4" t="inlineStr">
        <is>
          <t>Lightfoot Level</t>
        </is>
      </c>
      <c r="B42" s="7" t="inlineStr">
        <is>
          <t>5</t>
        </is>
      </c>
      <c r="C42" s="4">
        <f>C10+B42</f>
        <v/>
      </c>
      <c r="D42" s="4" t="inlineStr">
        <is>
          <t>C10</t>
        </is>
      </c>
    </row>
    <row r="43">
      <c r="A43" s="4" t="inlineStr">
        <is>
          <t>Armor Value</t>
        </is>
      </c>
      <c r="B43" s="7" t="inlineStr">
        <is>
          <t>0</t>
        </is>
      </c>
      <c r="C43" s="4">
        <f>C10+B43</f>
        <v/>
      </c>
      <c r="D43" s="4" t="inlineStr">
        <is>
          <t>C10</t>
        </is>
      </c>
    </row>
    <row r="44">
      <c r="A44" s="6" t="inlineStr">
        <is>
          <t>Saber Art</t>
        </is>
      </c>
      <c r="B44" s="7" t="inlineStr">
        <is>
          <t>0</t>
        </is>
      </c>
      <c r="C44" s="4">
        <f>C10+B44</f>
        <v/>
      </c>
      <c r="D44" s="4" t="inlineStr">
        <is>
          <t>C10</t>
        </is>
      </c>
    </row>
    <row r="45">
      <c r="A45" s="6" t="inlineStr">
        <is>
          <t>Sword Art</t>
        </is>
      </c>
      <c r="B45" s="7" t="inlineStr">
        <is>
          <t>0</t>
        </is>
      </c>
      <c r="C45" s="4">
        <f>C10+B45</f>
        <v/>
      </c>
      <c r="D45" s="4" t="inlineStr">
        <is>
          <t>C10</t>
        </is>
      </c>
    </row>
    <row r="46"/>
    <row r="47"/>
    <row r="48"/>
    <row r="49">
      <c r="A49" s="5" t="inlineStr">
        <is>
          <t>— Martial Arts —</t>
        </is>
      </c>
      <c r="B49" s="2" t="n"/>
      <c r="C49" s="2" t="n"/>
      <c r="D49" s="2" t="n"/>
      <c r="E49" s="2" t="n"/>
      <c r="F49" s="2" t="n"/>
      <c r="G49" s="2" t="n"/>
      <c r="H49" s="3" t="n"/>
    </row>
    <row r="50">
      <c r="A50" s="9" t="inlineStr">
        <is>
          <t>Martial Art Name</t>
        </is>
      </c>
      <c r="B50" s="9" t="inlineStr">
        <is>
          <t>Type</t>
        </is>
      </c>
      <c r="C50" s="9" t="inlineStr">
        <is>
          <t>Tier · Proficiency</t>
        </is>
      </c>
      <c r="D50" s="9" t="inlineStr">
        <is>
          <t>Force Type</t>
        </is>
      </c>
      <c r="E50" s="9" t="inlineStr">
        <is>
          <t>Moves</t>
        </is>
      </c>
      <c r="F50" s="9" t="inlineStr">
        <is>
          <t>Qi</t>
        </is>
      </c>
      <c r="G50" s="9" t="inlineStr">
        <is>
          <t>Hit</t>
        </is>
      </c>
      <c r="H50" s="9" t="inlineStr">
        <is>
          <t>Damage / Effect</t>
        </is>
      </c>
    </row>
    <row r="51">
      <c r="A51" s="7" t="inlineStr">
        <is>
          <t>Thirteen Life-Taking Forms</t>
        </is>
      </c>
      <c r="B51" s="7" t="inlineStr">
        <is>
          <t>External Art · Short Weapon</t>
        </is>
      </c>
      <c r="C51" s="7" t="inlineStr">
        <is>
          <t>Superior</t>
        </is>
      </c>
      <c r="D51" s="7" t="inlineStr">
        <is>
          <t>Swift</t>
        </is>
      </c>
      <c r="E51" s="7" t="inlineStr">
        <is>
          <t>Life-Taking</t>
        </is>
      </c>
      <c r="F51" s="7" t="inlineStr">
        <is>
          <t>5</t>
        </is>
      </c>
      <c r="G51" s="7" t="inlineStr">
        <is>
          <t>+6</t>
        </is>
      </c>
      <c r="H51" s="7" t="inlineStr">
        <is>
          <t>3d6+AGI (+5); Stealth doubled</t>
        </is>
      </c>
    </row>
    <row r="52">
      <c r="A52" s="7" t="inlineStr">
        <is>
          <t>Shadowless Art</t>
        </is>
      </c>
      <c r="B52" s="7" t="inlineStr">
        <is>
          <t>Lightfoot</t>
        </is>
      </c>
      <c r="C52" s="7" t="inlineStr">
        <is>
          <t>Superior</t>
        </is>
      </c>
      <c r="D52" s="7" t="inlineStr">
        <is>
          <t>Swift</t>
        </is>
      </c>
      <c r="E52" s="7" t="inlineStr">
        <is>
          <t>—</t>
        </is>
      </c>
      <c r="F52" s="7" t="inlineStr">
        <is>
          <t>4</t>
        </is>
      </c>
      <c r="G52" s="7" t="inlineStr">
        <is>
          <t>—</t>
        </is>
      </c>
      <c r="H52" s="7" t="inlineStr">
        <is>
          <t>—</t>
        </is>
      </c>
      <c r="I52" s="7" t="inlineStr">
        <is>
          <t>Assassination Mark</t>
        </is>
      </c>
    </row>
    <row r="53">
      <c r="A53" s="7" t="inlineStr">
        <is>
          <t>Yellow-Spring Step</t>
        </is>
      </c>
      <c r="B53" s="7" t="inlineStr">
        <is>
          <t>Lightfoot</t>
        </is>
      </c>
      <c r="C53" s="7" t="inlineStr">
        <is>
          <t>Advanced</t>
        </is>
      </c>
      <c r="D53" s="7" t="inlineStr">
        <is>
          <t>Swift</t>
        </is>
      </c>
      <c r="E53" s="7" t="inlineStr">
        <is>
          <t>—</t>
        </is>
      </c>
      <c r="F53" s="7" t="inlineStr">
        <is>
          <t>3</t>
        </is>
      </c>
      <c r="G53" s="7" t="inlineStr">
        <is>
          <t>—</t>
        </is>
      </c>
      <c r="H53" s="7" t="inlineStr">
        <is>
          <t>—</t>
        </is>
      </c>
      <c r="I53" s="7" t="inlineStr">
        <is>
          <t>Disengaging does not trigger opportunity attacks</t>
        </is>
      </c>
    </row>
    <row r="54">
      <c r="A54" s="7" t="n"/>
      <c r="B54" s="7" t="n"/>
      <c r="C54" s="7" t="n"/>
      <c r="D54" s="7" t="n"/>
      <c r="E54" s="7" t="n"/>
      <c r="F54" s="7" t="n"/>
      <c r="G54" s="7" t="n"/>
      <c r="H54" s="7" t="n"/>
    </row>
    <row r="55">
      <c r="A55" s="7" t="n"/>
      <c r="B55" s="7" t="n"/>
      <c r="C55" s="7" t="n"/>
      <c r="D55" s="7" t="n"/>
      <c r="E55" s="7" t="n"/>
      <c r="F55" s="7" t="n"/>
      <c r="G55" s="7" t="n"/>
      <c r="H55" s="7" t="n"/>
    </row>
    <row r="56">
      <c r="A56" s="7" t="n"/>
      <c r="B56" s="7" t="n"/>
      <c r="C56" s="7" t="n"/>
      <c r="D56" s="7" t="n"/>
      <c r="E56" s="7" t="n"/>
      <c r="F56" s="7" t="n"/>
      <c r="G56" s="7" t="n"/>
      <c r="H56" s="7" t="n"/>
    </row>
    <row r="57">
      <c r="A57" s="7" t="n"/>
      <c r="B57" s="7" t="n"/>
      <c r="C57" s="7" t="n"/>
      <c r="D57" s="7" t="n"/>
      <c r="E57" s="7" t="n"/>
      <c r="F57" s="7" t="n"/>
      <c r="G57" s="7" t="n"/>
      <c r="H57" s="7" t="n"/>
    </row>
    <row r="58">
      <c r="A58" s="7" t="n"/>
      <c r="B58" s="7" t="n"/>
      <c r="C58" s="7" t="n"/>
      <c r="D58" s="7" t="n"/>
      <c r="E58" s="7" t="n"/>
      <c r="F58" s="7" t="n"/>
      <c r="G58" s="7" t="n"/>
      <c r="H58" s="7" t="n"/>
    </row>
    <row r="59"/>
    <row r="60"/>
    <row r="61">
      <c r="A61" s="5" t="inlineStr">
        <is>
          <t>— Equipment —</t>
        </is>
      </c>
      <c r="B61" s="2" t="n"/>
      <c r="C61" s="2" t="n"/>
      <c r="D61" s="2" t="n"/>
      <c r="E61" s="2" t="n"/>
      <c r="F61" s="2" t="n"/>
      <c r="G61" s="2" t="n"/>
      <c r="H61" s="3" t="n"/>
    </row>
    <row r="62">
      <c r="A62" s="9" t="inlineStr">
        <is>
          <t>Weapon</t>
        </is>
      </c>
      <c r="B62" s="9" t="inlineStr">
        <is>
          <t>Damage</t>
        </is>
      </c>
      <c r="C62" s="9" t="inlineStr">
        <is>
          <t>Hit Modifier</t>
        </is>
      </c>
      <c r="D62" s="9" t="inlineStr">
        <is>
          <t>Armor</t>
        </is>
      </c>
      <c r="E62" s="9" t="inlineStr">
        <is>
          <t>External Injury Reduction</t>
        </is>
      </c>
      <c r="F62" s="9" t="inlineStr">
        <is>
          <t>Item</t>
        </is>
      </c>
    </row>
    <row r="63">
      <c r="A63" s="7" t="n"/>
      <c r="B63" s="3" t="n"/>
      <c r="D63" s="7" t="n"/>
      <c r="E63" s="2" t="n"/>
      <c r="F63" s="3" t="n"/>
    </row>
    <row r="64"/>
    <row r="65"/>
    <row r="66"/>
    <row r="67"/>
    <row r="68"/>
    <row r="69">
      <c r="A69" s="6" t="inlineStr">
        <is>
          <t>Heroism</t>
        </is>
      </c>
      <c r="B69" s="7" t="inlineStr">
        <is>
          <t>-10</t>
        </is>
      </c>
      <c r="D69" s="6" t="inlineStr">
        <is>
          <t>Infamy</t>
        </is>
      </c>
      <c r="E69" s="7" t="inlineStr">
        <is>
          <t>40</t>
        </is>
      </c>
    </row>
    <row r="70"/>
    <row r="71">
      <c r="A71" t="inlineStr">
        <is>
          <t>Can apprentice (Difficulty Class (DC) 18): Thirteen Life-Taking Forms + Shadowless Art + Disguise.</t>
        </is>
      </c>
    </row>
    <row r="72">
      <c r="A72" t="inlineStr">
        <is>
          <t>Apprenticeship Gift: Shadowless Short Blade + Graduation Gift: Free Assassination Order + Disguise Mask (Favor ≥10)</t>
        </is>
      </c>
    </row>
  </sheetData>
  <mergeCells count="29">
    <mergeCell ref="D13:F13"/>
    <mergeCell ref="D11:F11"/>
    <mergeCell ref="E26:H26"/>
    <mergeCell ref="B23:D23"/>
    <mergeCell ref="E23:F23"/>
    <mergeCell ref="A49:H49"/>
    <mergeCell ref="A1:H1"/>
    <mergeCell ref="A61:H61"/>
    <mergeCell ref="A16:B16"/>
    <mergeCell ref="B19:D19"/>
    <mergeCell ref="E20:F20"/>
    <mergeCell ref="A25:B25"/>
    <mergeCell ref="E19:F19"/>
    <mergeCell ref="D12:F12"/>
    <mergeCell ref="D15:F15"/>
    <mergeCell ref="B6:D6"/>
    <mergeCell ref="B20:D20"/>
    <mergeCell ref="A18:H18"/>
    <mergeCell ref="D14:F14"/>
    <mergeCell ref="A2:H2"/>
    <mergeCell ref="A8:H8"/>
    <mergeCell ref="D63:F63"/>
    <mergeCell ref="D10:F10"/>
    <mergeCell ref="A4:H4"/>
    <mergeCell ref="B22:D22"/>
    <mergeCell ref="A63:B63"/>
    <mergeCell ref="E22:F22"/>
    <mergeCell ref="B21:D21"/>
    <mergeCell ref="E21:F2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2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</cols>
  <sheetData>
    <row r="1">
      <c r="A1" s="1" t="inlineStr">
        <is>
          <t>Yonghe Martial Codex</t>
        </is>
      </c>
      <c r="B1" s="2" t="n"/>
      <c r="C1" s="2" t="n"/>
      <c r="D1" s="2" t="n"/>
      <c r="E1" s="2" t="n"/>
      <c r="F1" s="2" t="n"/>
      <c r="G1" s="2" t="n"/>
      <c r="H1" s="3" t="n"/>
    </row>
    <row r="2">
      <c r="A2" s="4" t="inlineStr">
        <is>
          <t>Character Card · Tabletop Rules Studio</t>
        </is>
      </c>
      <c r="B2" s="2" t="n"/>
      <c r="C2" s="2" t="n"/>
      <c r="D2" s="2" t="n"/>
      <c r="E2" s="2" t="n"/>
      <c r="F2" s="2" t="n"/>
      <c r="G2" s="2" t="n"/>
      <c r="H2" s="3" t="n"/>
    </row>
    <row r="3"/>
    <row r="4">
      <c r="A4" s="5" t="inlineStr">
        <is>
          <t>— Basic Info —</t>
        </is>
      </c>
      <c r="B4" s="2" t="n"/>
      <c r="C4" s="2" t="n"/>
      <c r="D4" s="2" t="n"/>
      <c r="E4" s="2" t="n"/>
      <c r="F4" s="2" t="n"/>
      <c r="G4" s="2" t="n"/>
      <c r="H4" s="3" t="n"/>
    </row>
    <row r="5">
      <c r="A5" s="6" t="inlineStr">
        <is>
          <t>Character Name</t>
        </is>
      </c>
      <c r="B5" s="7" t="inlineStr">
        <is>
          <t>Huijue</t>
        </is>
      </c>
      <c r="C5" s="6" t="inlineStr">
        <is>
          <t>Player</t>
        </is>
      </c>
      <c r="D5" s="7" t="n"/>
      <c r="E5" s="6" t="inlineStr">
        <is>
          <t>Sect</t>
        </is>
      </c>
      <c r="F5" s="7" t="inlineStr">
        <is>
          <t>Wanfo Temple</t>
        </is>
      </c>
    </row>
    <row r="6">
      <c r="A6" s="6" t="inlineStr">
        <is>
          <t>Concept</t>
        </is>
      </c>
      <c r="B6" s="8" t="inlineStr">
        <is>
          <t>Abbot of Wanfo Temple, peak of the Fifth Realm, an enlightened monk, yet one perplexed within the state of no-self.</t>
        </is>
      </c>
      <c r="C6" s="2" t="n"/>
      <c r="D6" s="3" t="n"/>
      <c r="E6" s="6" t="inlineStr">
        <is>
          <t>Realm</t>
        </is>
      </c>
      <c r="F6" s="7" t="inlineStr">
        <is>
          <t>Peak of Perfection</t>
        </is>
      </c>
      <c r="G6" s="6" t="inlineStr">
        <is>
          <t>Inner Cultivation Coefficient</t>
        </is>
      </c>
      <c r="H6" s="7" t="inlineStr">
        <is>
          <t>4</t>
        </is>
      </c>
    </row>
    <row r="7"/>
    <row r="8">
      <c r="A8" s="5" t="inlineStr">
        <is>
          <t>— Six Attributes —</t>
        </is>
      </c>
      <c r="B8" s="2" t="n"/>
      <c r="C8" s="2" t="n"/>
      <c r="D8" s="2" t="n"/>
      <c r="E8" s="2" t="n"/>
      <c r="F8" s="2" t="n"/>
      <c r="G8" s="2" t="n"/>
      <c r="H8" s="3" t="n"/>
    </row>
    <row r="9">
      <c r="A9" s="9" t="inlineStr">
        <is>
          <t>Attribute</t>
        </is>
      </c>
      <c r="B9" s="9" t="inlineStr">
        <is>
          <t>Base Value</t>
        </is>
      </c>
      <c r="C9" s="9" t="inlineStr">
        <is>
          <t>Modifier</t>
        </is>
      </c>
      <c r="D9" s="9" t="inlineStr">
        <is>
          <t>Description</t>
        </is>
      </c>
    </row>
    <row r="10">
      <c r="A10" s="6" t="inlineStr">
        <is>
          <t>Strength (STR)</t>
        </is>
      </c>
      <c r="B10" s="7" t="inlineStr">
        <is>
          <t>6</t>
        </is>
      </c>
      <c r="C10" s="10">
        <f>B10-4</f>
        <v/>
      </c>
      <c r="D10" s="4" t="inlineStr">
        <is>
          <t>Muscle power, explosive force</t>
        </is>
      </c>
      <c r="E10" s="2" t="n"/>
      <c r="F10" s="3" t="n"/>
    </row>
    <row r="11">
      <c r="A11" s="6" t="inlineStr">
        <is>
          <t>Agility (AGI)</t>
        </is>
      </c>
      <c r="B11" s="7" t="inlineStr">
        <is>
          <t>5</t>
        </is>
      </c>
      <c r="C11" s="10">
        <f>B11-4</f>
        <v/>
      </c>
      <c r="D11" s="4" t="inlineStr">
        <is>
          <t>Speed, flexibility, lightfoot</t>
        </is>
      </c>
      <c r="E11" s="2" t="n"/>
      <c r="F11" s="3" t="n"/>
    </row>
    <row r="12">
      <c r="A12" s="6" t="inlineStr">
        <is>
          <t>Constitution (CON)</t>
        </is>
      </c>
      <c r="B12" s="7" t="inlineStr">
        <is>
          <t>9</t>
        </is>
      </c>
      <c r="C12" s="10">
        <f>B12-4</f>
        <v/>
      </c>
      <c r="D12" s="4" t="inlineStr">
        <is>
          <t>Meridian capacity, physique, life resilience</t>
        </is>
      </c>
      <c r="E12" s="2" t="n"/>
      <c r="F12" s="3" t="n"/>
    </row>
    <row r="13">
      <c r="A13" s="6" t="inlineStr">
        <is>
          <t>Comprehension (CMP)</t>
        </is>
      </c>
      <c r="B13" s="7" t="inlineStr">
        <is>
          <t>9</t>
        </is>
      </c>
      <c r="C13" s="10">
        <f>B13-4</f>
        <v/>
      </c>
      <c r="D13" s="4" t="inlineStr">
        <is>
          <t>Martial comprehension, learning efficiency</t>
        </is>
      </c>
      <c r="E13" s="2" t="n"/>
      <c r="F13" s="3" t="n"/>
    </row>
    <row r="14">
      <c r="A14" s="6" t="inlineStr">
        <is>
          <t>Willpower (WIL)</t>
        </is>
      </c>
      <c r="B14" s="7" t="inlineStr">
        <is>
          <t>9</t>
        </is>
      </c>
      <c r="C14" s="10">
        <f>B14-4</f>
        <v/>
      </c>
      <c r="D14" s="4" t="inlineStr">
        <is>
          <t>Willpower, mental stability</t>
        </is>
      </c>
      <c r="E14" s="2" t="n"/>
      <c r="F14" s="3" t="n"/>
    </row>
    <row r="15">
      <c r="A15" s="6" t="inlineStr">
        <is>
          <t>Charisma (CHA)</t>
        </is>
      </c>
      <c r="B15" s="7" t="inlineStr">
        <is>
          <t>7</t>
        </is>
      </c>
      <c r="C15" s="10">
        <f>B15-4</f>
        <v/>
      </c>
      <c r="D15" s="4" t="inlineStr">
        <is>
          <t>Personal charm, interpersonal influence</t>
        </is>
      </c>
      <c r="E15" s="2" t="n"/>
      <c r="F15" s="3" t="n"/>
    </row>
    <row r="16">
      <c r="A16" s="6" t="inlineStr">
        <is>
          <t>Attribute Total</t>
        </is>
      </c>
      <c r="B16" s="3" t="n"/>
    </row>
    <row r="17"/>
    <row r="18">
      <c r="A18" s="5" t="inlineStr">
        <is>
          <t>— Derived Values —</t>
        </is>
      </c>
      <c r="B18" s="2" t="n"/>
      <c r="C18" s="2" t="n"/>
      <c r="D18" s="2" t="n"/>
      <c r="E18" s="2" t="n"/>
      <c r="F18" s="2" t="n"/>
      <c r="G18" s="2" t="n"/>
      <c r="H18" s="3" t="n"/>
    </row>
    <row r="19">
      <c r="A19" s="6" t="inlineStr">
        <is>
          <t>Health Points (HP)</t>
        </is>
      </c>
      <c r="B19" s="4" t="inlineStr">
        <is>
          <t>Constitution×5 + Realm Bonus</t>
        </is>
      </c>
      <c r="C19" s="2" t="n"/>
      <c r="D19" s="3" t="n"/>
      <c r="E19" s="11">
        <f>B12*5+IF(F6="Crossing the Threshold",5,IF(F6="Complete Mastery",10,IF(F6="Perfecting the Craft",15,IF(F6="Peak of Perfection",20,IF(F6="Return to Simplicity",25,0)))))</f>
        <v/>
      </c>
      <c r="F19" s="3" t="n"/>
    </row>
    <row r="20">
      <c r="A20" s="6" t="inlineStr">
        <is>
          <t>Qi</t>
        </is>
      </c>
      <c r="B20" s="4" t="inlineStr">
        <is>
          <t>Constitution × Inner-Cultivation Coefficient + Realm Bonus</t>
        </is>
      </c>
      <c r="C20" s="2" t="n"/>
      <c r="D20" s="3" t="n"/>
      <c r="E20" s="11">
        <f>B12*VALUE(LEFT(H6,1))+IF(F6="Crossing the Threshold",3,IF(F6="Complete Mastery",6,IF(F6="Perfecting the Craft",10,IF(F6="Peak of Perfection",15,IF(F6="Return to Simplicity",20,0)))))</f>
        <v/>
      </c>
      <c r="F20" s="3" t="n"/>
    </row>
    <row r="21">
      <c r="A21" s="6" t="inlineStr">
        <is>
          <t>Initiative</t>
        </is>
      </c>
      <c r="B21" s="4" t="inlineStr">
        <is>
          <t>Agility + Willpower</t>
        </is>
      </c>
      <c r="C21" s="2" t="n"/>
      <c r="D21" s="3" t="n"/>
      <c r="E21" s="11">
        <f>B11+B14</f>
        <v/>
      </c>
      <c r="F21" s="3" t="n"/>
    </row>
    <row r="22">
      <c r="A22" s="6" t="inlineStr">
        <is>
          <t>Evasion</t>
        </is>
      </c>
      <c r="B22" s="4" t="inlineStr">
        <is>
          <t>Agility Modifier + Lightfoot Level</t>
        </is>
      </c>
      <c r="C22" s="2" t="n"/>
      <c r="D22" s="3" t="n"/>
      <c r="E22" s="11">
        <f>C11+B42</f>
        <v/>
      </c>
      <c r="F22" s="3" t="n"/>
    </row>
    <row r="23">
      <c r="A23" s="6" t="inlineStr">
        <is>
          <t>Defense</t>
        </is>
      </c>
      <c r="B23" s="4" t="inlineStr">
        <is>
          <t>Constitution Modifier + Armor Value</t>
        </is>
      </c>
      <c r="C23" s="2" t="n"/>
      <c r="D23" s="3" t="n"/>
      <c r="E23" s="11">
        <f>C12+B43</f>
        <v/>
      </c>
      <c r="F23" s="3" t="n"/>
    </row>
    <row r="24"/>
    <row r="25">
      <c r="A25" s="5" t="inlineStr">
        <is>
          <t>— Skills —</t>
        </is>
      </c>
      <c r="B25" s="3" t="n"/>
    </row>
    <row r="26">
      <c r="A26" s="9" t="inlineStr">
        <is>
          <t>Skills</t>
        </is>
      </c>
      <c r="B26" s="9" t="inlineStr">
        <is>
          <t>Level</t>
        </is>
      </c>
      <c r="C26" s="9" t="inlineStr">
        <is>
          <t>Bonus</t>
        </is>
      </c>
      <c r="D26" s="9" t="inlineStr">
        <is>
          <t>Corresponding Attribute</t>
        </is>
      </c>
      <c r="E26" s="7" t="inlineStr">
        <is>
          <t>Notes</t>
        </is>
      </c>
      <c r="F26" s="2" t="n"/>
      <c r="G26" s="2" t="n"/>
      <c r="H26" s="3" t="n"/>
    </row>
    <row r="27">
      <c r="A27" s="6" t="inlineStr">
        <is>
          <t>Technique Reading</t>
        </is>
      </c>
      <c r="B27" s="7" t="inlineStr">
        <is>
          <t>6</t>
        </is>
      </c>
      <c r="C27" s="4">
        <f>C10+B27</f>
        <v/>
      </c>
      <c r="D27" s="4" t="inlineStr">
        <is>
          <t>C10</t>
        </is>
      </c>
    </row>
    <row r="28">
      <c r="A28" s="6" t="inlineStr">
        <is>
          <t>Jianghu Lore</t>
        </is>
      </c>
      <c r="B28" s="7" t="inlineStr">
        <is>
          <t>6</t>
        </is>
      </c>
      <c r="C28" s="4">
        <f>C10+B28</f>
        <v/>
      </c>
      <c r="D28" s="4" t="inlineStr">
        <is>
          <t>C10</t>
        </is>
      </c>
    </row>
    <row r="29">
      <c r="A29" s="6" t="inlineStr">
        <is>
          <t>Lightfoot</t>
        </is>
      </c>
      <c r="B29" s="7" t="inlineStr">
        <is>
          <t>0</t>
        </is>
      </c>
      <c r="C29" s="4">
        <f>C10+B29</f>
        <v/>
      </c>
      <c r="D29" s="4" t="inlineStr">
        <is>
          <t>C10</t>
        </is>
      </c>
    </row>
    <row r="30">
      <c r="A30" s="6" t="inlineStr">
        <is>
          <t>Oratory</t>
        </is>
      </c>
      <c r="B30" s="7" t="inlineStr">
        <is>
          <t>0</t>
        </is>
      </c>
      <c r="C30" s="4">
        <f>C10+B30</f>
        <v/>
      </c>
      <c r="D30" s="4" t="inlineStr">
        <is>
          <t>C10</t>
        </is>
      </c>
    </row>
    <row r="31">
      <c r="A31" s="6" t="inlineStr">
        <is>
          <t>Climbing</t>
        </is>
      </c>
      <c r="B31" s="7" t="inlineStr">
        <is>
          <t>0</t>
        </is>
      </c>
      <c r="C31" s="4">
        <f>C10+B31</f>
        <v/>
      </c>
      <c r="D31" s="4" t="inlineStr">
        <is>
          <t>C10</t>
        </is>
      </c>
    </row>
    <row r="32">
      <c r="A32" s="6" t="inlineStr">
        <is>
          <t>Stealth</t>
        </is>
      </c>
      <c r="B32" s="7" t="inlineStr">
        <is>
          <t>0</t>
        </is>
      </c>
      <c r="C32" s="4">
        <f>C10+B32</f>
        <v/>
      </c>
      <c r="D32" s="4" t="inlineStr">
        <is>
          <t>C10</t>
        </is>
      </c>
    </row>
    <row r="33">
      <c r="A33" s="6" t="inlineStr">
        <is>
          <t>Tracking</t>
        </is>
      </c>
      <c r="B33" s="7" t="inlineStr">
        <is>
          <t>0</t>
        </is>
      </c>
      <c r="C33" s="4">
        <f>C10+B33</f>
        <v/>
      </c>
      <c r="D33" s="4" t="inlineStr">
        <is>
          <t>C10</t>
        </is>
      </c>
    </row>
    <row r="34">
      <c r="A34" s="6" t="inlineStr">
        <is>
          <t>Read Intent</t>
        </is>
      </c>
      <c r="B34" s="7" t="inlineStr">
        <is>
          <t>5</t>
        </is>
      </c>
      <c r="C34" s="4">
        <f>C10+B34</f>
        <v/>
      </c>
      <c r="D34" s="4" t="inlineStr">
        <is>
          <t>C10</t>
        </is>
      </c>
    </row>
    <row r="35">
      <c r="A35" s="6" t="inlineStr">
        <is>
          <t>Disguise</t>
        </is>
      </c>
      <c r="B35" s="7" t="inlineStr">
        <is>
          <t>0</t>
        </is>
      </c>
      <c r="C35" s="4">
        <f>C10+B35</f>
        <v/>
      </c>
      <c r="D35" s="4" t="inlineStr">
        <is>
          <t>C10</t>
        </is>
      </c>
    </row>
    <row r="36">
      <c r="A36" s="6" t="inlineStr">
        <is>
          <t>Lockpicking</t>
        </is>
      </c>
      <c r="B36" s="7" t="inlineStr">
        <is>
          <t>0</t>
        </is>
      </c>
      <c r="C36" s="4">
        <f>C10+B36</f>
        <v/>
      </c>
      <c r="D36" s="4" t="inlineStr">
        <is>
          <t>C10</t>
        </is>
      </c>
    </row>
    <row r="37">
      <c r="A37" s="6" t="inlineStr">
        <is>
          <t>Trapcraft</t>
        </is>
      </c>
      <c r="B37" s="7" t="inlineStr">
        <is>
          <t>0</t>
        </is>
      </c>
      <c r="C37" s="4">
        <f>C10+B37</f>
        <v/>
      </c>
      <c r="D37" s="4" t="inlineStr">
        <is>
          <t>C10</t>
        </is>
      </c>
    </row>
    <row r="38">
      <c r="A38" s="6" t="inlineStr">
        <is>
          <t>Medicine</t>
        </is>
      </c>
      <c r="B38" s="7" t="inlineStr">
        <is>
          <t>4</t>
        </is>
      </c>
      <c r="C38" s="4">
        <f>C10+B38</f>
        <v/>
      </c>
      <c r="D38" s="4" t="inlineStr">
        <is>
          <t>C10</t>
        </is>
      </c>
    </row>
    <row r="39">
      <c r="A39" s="6" t="inlineStr">
        <is>
          <t>Alchemy</t>
        </is>
      </c>
      <c r="B39" s="7" t="inlineStr">
        <is>
          <t>3</t>
        </is>
      </c>
      <c r="C39" s="4">
        <f>C10+B39</f>
        <v/>
      </c>
      <c r="D39" s="4" t="inlineStr">
        <is>
          <t>C10</t>
        </is>
      </c>
    </row>
    <row r="40">
      <c r="A40" s="6" t="inlineStr">
        <is>
          <t>Poisoncraft</t>
        </is>
      </c>
      <c r="B40" s="7" t="inlineStr">
        <is>
          <t>0</t>
        </is>
      </c>
      <c r="C40" s="4">
        <f>C10+B40</f>
        <v/>
      </c>
      <c r="D40" s="4" t="inlineStr">
        <is>
          <t>C10</t>
        </is>
      </c>
    </row>
    <row r="41">
      <c r="A41" s="6" t="inlineStr">
        <is>
          <t>Hidden Weapon</t>
        </is>
      </c>
      <c r="B41" s="7" t="inlineStr">
        <is>
          <t>0</t>
        </is>
      </c>
      <c r="C41" s="4">
        <f>C10+B41</f>
        <v/>
      </c>
      <c r="D41" s="4" t="inlineStr">
        <is>
          <t>C10</t>
        </is>
      </c>
    </row>
    <row r="42">
      <c r="A42" s="4" t="inlineStr">
        <is>
          <t>Lightfoot Level</t>
        </is>
      </c>
      <c r="B42" s="7" t="inlineStr">
        <is>
          <t>0</t>
        </is>
      </c>
      <c r="C42" s="4">
        <f>C10+B42</f>
        <v/>
      </c>
      <c r="D42" s="4" t="inlineStr">
        <is>
          <t>C10</t>
        </is>
      </c>
    </row>
    <row r="43">
      <c r="A43" s="4" t="inlineStr">
        <is>
          <t>Armor Value</t>
        </is>
      </c>
      <c r="B43" s="7" t="inlineStr">
        <is>
          <t>0</t>
        </is>
      </c>
      <c r="C43" s="4">
        <f>C10+B43</f>
        <v/>
      </c>
      <c r="D43" s="4" t="inlineStr">
        <is>
          <t>C10</t>
        </is>
      </c>
    </row>
    <row r="44">
      <c r="A44" s="6" t="inlineStr">
        <is>
          <t>Saber Art</t>
        </is>
      </c>
      <c r="B44" s="7" t="inlineStr">
        <is>
          <t>0</t>
        </is>
      </c>
      <c r="C44" s="4">
        <f>C10+B44</f>
        <v/>
      </c>
      <c r="D44" s="4" t="inlineStr">
        <is>
          <t>C10</t>
        </is>
      </c>
    </row>
    <row r="45">
      <c r="A45" s="6" t="inlineStr">
        <is>
          <t>Sword Art</t>
        </is>
      </c>
      <c r="B45" s="7" t="inlineStr">
        <is>
          <t>0</t>
        </is>
      </c>
      <c r="C45" s="4">
        <f>C10+B45</f>
        <v/>
      </c>
      <c r="D45" s="4" t="inlineStr">
        <is>
          <t>C10</t>
        </is>
      </c>
    </row>
    <row r="46"/>
    <row r="47"/>
    <row r="48"/>
    <row r="49">
      <c r="A49" s="5" t="inlineStr">
        <is>
          <t>— Martial Arts —</t>
        </is>
      </c>
      <c r="B49" s="2" t="n"/>
      <c r="C49" s="2" t="n"/>
      <c r="D49" s="2" t="n"/>
      <c r="E49" s="2" t="n"/>
      <c r="F49" s="2" t="n"/>
      <c r="G49" s="2" t="n"/>
      <c r="H49" s="3" t="n"/>
    </row>
    <row r="50">
      <c r="A50" s="9" t="inlineStr">
        <is>
          <t>Martial Art Name</t>
        </is>
      </c>
      <c r="B50" s="9" t="inlineStr">
        <is>
          <t>Type</t>
        </is>
      </c>
      <c r="C50" s="9" t="inlineStr">
        <is>
          <t>Tier · Proficiency</t>
        </is>
      </c>
      <c r="D50" s="9" t="inlineStr">
        <is>
          <t>Force Type</t>
        </is>
      </c>
      <c r="E50" s="9" t="inlineStr">
        <is>
          <t>Moves</t>
        </is>
      </c>
      <c r="F50" s="9" t="inlineStr">
        <is>
          <t>Qi</t>
        </is>
      </c>
      <c r="G50" s="9" t="inlineStr">
        <is>
          <t>Hit</t>
        </is>
      </c>
      <c r="H50" s="9" t="inlineStr">
        <is>
          <t>Damage / Effect</t>
        </is>
      </c>
    </row>
    <row r="51">
      <c r="A51" s="7" t="inlineStr">
        <is>
          <t>Tendon-Changing Manual</t>
        </is>
      </c>
      <c r="B51" s="7" t="inlineStr">
        <is>
          <t>Inner Cultivation</t>
        </is>
      </c>
      <c r="C51" s="7" t="inlineStr">
        <is>
          <t>Peerless</t>
        </is>
      </c>
      <c r="D51" s="7" t="inlineStr">
        <is>
          <t>—</t>
        </is>
      </c>
      <c r="E51" s="7" t="inlineStr">
        <is>
          <t>—</t>
        </is>
      </c>
      <c r="F51" s="7" t="inlineStr">
        <is>
          <t>—</t>
        </is>
      </c>
      <c r="G51" s="7" t="inlineStr">
        <is>
          <t>—</t>
        </is>
      </c>
      <c r="H51" s="7" t="inlineStr">
        <is>
          <t>Inner Cultivation Coefficient 5; all attributes +1</t>
        </is>
      </c>
    </row>
    <row r="52">
      <c r="A52" s="7" t="inlineStr">
        <is>
          <t>Tathagata Divine Palm</t>
        </is>
      </c>
      <c r="B52" s="7" t="inlineStr">
        <is>
          <t>External Art · Fist &amp; Palm</t>
        </is>
      </c>
      <c r="C52" s="7" t="inlineStr">
        <is>
          <t>Supreme Art</t>
        </is>
      </c>
      <c r="D52" s="7" t="inlineStr">
        <is>
          <t>Firm</t>
        </is>
      </c>
      <c r="E52" s="7" t="inlineStr">
        <is>
          <t>Tathagata</t>
        </is>
      </c>
      <c r="F52" s="7" t="inlineStr">
        <is>
          <t>8</t>
        </is>
      </c>
      <c r="G52" s="7" t="inlineStr">
        <is>
          <t>+7</t>
        </is>
      </c>
      <c r="H52" s="7" t="inlineStr">
        <is>
          <t>5d6+STR (+2)</t>
        </is>
      </c>
    </row>
    <row r="53">
      <c r="A53" s="7" t="inlineStr">
        <is>
          <t>Indestructible Diamond Body</t>
        </is>
      </c>
      <c r="B53" s="7" t="inlineStr">
        <is>
          <t>Special · Hard Art</t>
        </is>
      </c>
      <c r="C53" s="7" t="inlineStr">
        <is>
          <t>Superior</t>
        </is>
      </c>
      <c r="D53" s="7" t="inlineStr">
        <is>
          <t>—</t>
        </is>
      </c>
      <c r="E53" s="7" t="inlineStr">
        <is>
          <t>—</t>
        </is>
      </c>
      <c r="F53" s="7" t="inlineStr">
        <is>
          <t>—</t>
        </is>
      </c>
      <c r="G53" s="7" t="inlineStr">
        <is>
          <t>—</t>
        </is>
      </c>
      <c r="H53" s="7" t="inlineStr">
        <is>
          <t>Damage Reduction +5</t>
        </is>
      </c>
    </row>
    <row r="54">
      <c r="A54" s="7" t="n"/>
      <c r="B54" s="7" t="n"/>
      <c r="C54" s="7" t="n"/>
      <c r="D54" s="7" t="n"/>
      <c r="E54" s="7" t="n"/>
      <c r="F54" s="7" t="n"/>
      <c r="G54" s="7" t="n"/>
      <c r="H54" s="7" t="n"/>
    </row>
    <row r="55">
      <c r="A55" s="7" t="n"/>
      <c r="B55" s="7" t="n"/>
      <c r="C55" s="7" t="n"/>
      <c r="D55" s="7" t="n"/>
      <c r="E55" s="7" t="n"/>
      <c r="F55" s="7" t="n"/>
      <c r="G55" s="7" t="n"/>
      <c r="H55" s="7" t="n"/>
    </row>
    <row r="56">
      <c r="A56" s="7" t="n"/>
      <c r="B56" s="7" t="n"/>
      <c r="C56" s="7" t="n"/>
      <c r="D56" s="7" t="n"/>
      <c r="E56" s="7" t="n"/>
      <c r="F56" s="7" t="n"/>
      <c r="G56" s="7" t="n"/>
      <c r="H56" s="7" t="n"/>
    </row>
    <row r="57">
      <c r="A57" s="7" t="n"/>
      <c r="B57" s="7" t="n"/>
      <c r="C57" s="7" t="n"/>
      <c r="D57" s="7" t="n"/>
      <c r="E57" s="7" t="n"/>
      <c r="F57" s="7" t="n"/>
      <c r="G57" s="7" t="n"/>
      <c r="H57" s="7" t="n"/>
    </row>
    <row r="58">
      <c r="A58" s="7" t="n"/>
      <c r="B58" s="7" t="n"/>
      <c r="C58" s="7" t="n"/>
      <c r="D58" s="7" t="n"/>
      <c r="E58" s="7" t="n"/>
      <c r="F58" s="7" t="n"/>
      <c r="G58" s="7" t="n"/>
      <c r="H58" s="7" t="n"/>
    </row>
    <row r="59"/>
    <row r="60"/>
    <row r="61">
      <c r="A61" s="5" t="inlineStr">
        <is>
          <t>— Equipment —</t>
        </is>
      </c>
      <c r="B61" s="2" t="n"/>
      <c r="C61" s="2" t="n"/>
      <c r="D61" s="2" t="n"/>
      <c r="E61" s="2" t="n"/>
      <c r="F61" s="2" t="n"/>
      <c r="G61" s="2" t="n"/>
      <c r="H61" s="3" t="n"/>
    </row>
    <row r="62">
      <c r="A62" s="9" t="inlineStr">
        <is>
          <t>Weapon</t>
        </is>
      </c>
      <c r="B62" s="9" t="inlineStr">
        <is>
          <t>Damage</t>
        </is>
      </c>
      <c r="C62" s="9" t="inlineStr">
        <is>
          <t>Hit Modifier</t>
        </is>
      </c>
      <c r="D62" s="9" t="inlineStr">
        <is>
          <t>Armor</t>
        </is>
      </c>
      <c r="E62" s="9" t="inlineStr">
        <is>
          <t>External Injury Reduction</t>
        </is>
      </c>
      <c r="F62" s="9" t="inlineStr">
        <is>
          <t>Item</t>
        </is>
      </c>
    </row>
    <row r="63">
      <c r="A63" s="7" t="n"/>
      <c r="B63" s="3" t="n"/>
      <c r="D63" s="7" t="n"/>
      <c r="E63" s="2" t="n"/>
      <c r="F63" s="3" t="n"/>
    </row>
    <row r="64"/>
    <row r="65"/>
    <row r="66"/>
    <row r="67"/>
    <row r="68"/>
    <row r="69">
      <c r="A69" s="6" t="inlineStr">
        <is>
          <t>Heroism</t>
        </is>
      </c>
      <c r="B69" s="7" t="inlineStr">
        <is>
          <t>60</t>
        </is>
      </c>
      <c r="D69" s="6" t="inlineStr">
        <is>
          <t>Infamy</t>
        </is>
      </c>
      <c r="E69" s="7" t="inlineStr">
        <is>
          <t>0</t>
        </is>
      </c>
    </row>
    <row r="70"/>
    <row r="71">
      <c r="A71" t="inlineStr">
        <is>
          <t>Can apprentice (Difficulty Class (DC) 18): Tathagata Divine Palm + Tendon-Changing Manual (supreme art).</t>
        </is>
      </c>
    </row>
    <row r="72">
      <c r="A72" t="inlineStr">
        <is>
          <t>Apprenticeship Gift: Bodhi Beads (Qi-Deviation Defense +2) + Graduation Gift: Hand-Copied Diamond Sutra (Long Rest +5 Health Points (HP))</t>
        </is>
      </c>
    </row>
  </sheetData>
  <mergeCells count="29">
    <mergeCell ref="D13:F13"/>
    <mergeCell ref="D11:F11"/>
    <mergeCell ref="E26:H26"/>
    <mergeCell ref="B23:D23"/>
    <mergeCell ref="E23:F23"/>
    <mergeCell ref="A49:H49"/>
    <mergeCell ref="A1:H1"/>
    <mergeCell ref="A61:H61"/>
    <mergeCell ref="A16:B16"/>
    <mergeCell ref="B19:D19"/>
    <mergeCell ref="E20:F20"/>
    <mergeCell ref="A25:B25"/>
    <mergeCell ref="E19:F19"/>
    <mergeCell ref="D12:F12"/>
    <mergeCell ref="D15:F15"/>
    <mergeCell ref="B6:D6"/>
    <mergeCell ref="B20:D20"/>
    <mergeCell ref="A18:H18"/>
    <mergeCell ref="D14:F14"/>
    <mergeCell ref="A2:H2"/>
    <mergeCell ref="A8:H8"/>
    <mergeCell ref="D63:F63"/>
    <mergeCell ref="D10:F10"/>
    <mergeCell ref="A4:H4"/>
    <mergeCell ref="B22:D22"/>
    <mergeCell ref="A63:B63"/>
    <mergeCell ref="E22:F22"/>
    <mergeCell ref="B21:D21"/>
    <mergeCell ref="E21:F2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>
      <c r="A1" s="12" t="inlineStr">
        <is>
          <t>Yonghe Martial Codex</t>
        </is>
      </c>
      <c r="B1" s="2" t="n"/>
      <c r="C1" s="2" t="n"/>
      <c r="D1" s="2" t="n"/>
      <c r="E1" s="2" t="n"/>
      <c r="F1" s="2" t="n"/>
      <c r="G1" s="2" t="n"/>
      <c r="H1" s="3" t="n"/>
    </row>
    <row r="2">
      <c r="A2" s="4" t="inlineStr">
        <is>
          <t>Court NPC · Tabletop Rules Studio</t>
        </is>
      </c>
      <c r="B2" s="2" t="n"/>
      <c r="C2" s="2" t="n"/>
      <c r="D2" s="2" t="n"/>
      <c r="E2" s="2" t="n"/>
      <c r="F2" s="2" t="n"/>
      <c r="G2" s="2" t="n"/>
      <c r="H2" s="3" t="n"/>
    </row>
    <row r="3"/>
    <row r="4">
      <c r="A4" s="13" t="inlineStr">
        <is>
          <t>— Basic Info —</t>
        </is>
      </c>
      <c r="B4" s="2" t="n"/>
      <c r="C4" s="2" t="n"/>
      <c r="D4" s="2" t="n"/>
      <c r="E4" s="2" t="n"/>
      <c r="F4" s="2" t="n"/>
      <c r="G4" s="2" t="n"/>
      <c r="H4" s="3" t="n"/>
    </row>
    <row r="5">
      <c r="A5" s="6" t="inlineStr">
        <is>
          <t>Character Name</t>
        </is>
      </c>
      <c r="B5" s="6" t="inlineStr">
        <is>
          <t>Cao Shaoqin</t>
        </is>
      </c>
      <c r="C5" s="3" t="n"/>
      <c r="D5" s="6" t="inlineStr">
        <is>
          <t>Faction</t>
        </is>
      </c>
      <c r="E5" s="7" t="inlineStr">
        <is>
          <t>Western Depot</t>
        </is>
      </c>
      <c r="F5" s="6" t="inlineStr">
        <is>
          <t>Realm</t>
        </is>
      </c>
      <c r="G5" s="7" t="inlineStr">
        <is>
          <t>Peak of Perfection</t>
        </is>
      </c>
      <c r="H5" s="4" t="inlineStr">
        <is>
          <t>5 (Peerless)</t>
        </is>
      </c>
    </row>
    <row r="6">
      <c r="A6" s="6" t="inlineStr">
        <is>
          <t>Concept</t>
        </is>
      </c>
      <c r="B6" s="14" t="inlineStr">
        <is>
          <t>The Seal-Holding Eunuch of the Western Depot. Practices the fragment of the Star-Absorbing Great Method and the Mysterious Yin Finger; controller of the court's dark side.</t>
        </is>
      </c>
      <c r="C6" s="2" t="n"/>
      <c r="D6" s="2" t="n"/>
      <c r="E6" s="2" t="n"/>
      <c r="F6" s="2" t="n"/>
      <c r="G6" s="2" t="n"/>
      <c r="H6" s="3" t="n"/>
    </row>
    <row r="7"/>
    <row r="8">
      <c r="A8" s="13" t="inlineStr">
        <is>
          <t>— Six Attributes —</t>
        </is>
      </c>
      <c r="B8" s="2" t="n"/>
      <c r="C8" s="2" t="n"/>
      <c r="D8" s="2" t="n"/>
      <c r="E8" s="2" t="n"/>
      <c r="F8" s="2" t="n"/>
      <c r="G8" s="2" t="n"/>
      <c r="H8" s="3" t="n"/>
    </row>
    <row r="9">
      <c r="A9" s="9" t="inlineStr">
        <is>
          <t>Attribute</t>
        </is>
      </c>
      <c r="B9" s="9" t="inlineStr">
        <is>
          <t>Base Value</t>
        </is>
      </c>
      <c r="C9" s="9" t="inlineStr">
        <is>
          <t>Modifier</t>
        </is>
      </c>
      <c r="D9" s="9" t="inlineStr">
        <is>
          <t>Description</t>
        </is>
      </c>
    </row>
    <row r="10">
      <c r="A10" s="6" t="inlineStr">
        <is>
          <t>Strength (STR)</t>
        </is>
      </c>
      <c r="B10" s="7" t="inlineStr">
        <is>
          <t>5</t>
        </is>
      </c>
      <c r="C10" s="10">
        <f>B10-4</f>
        <v/>
      </c>
      <c r="D10" s="4" t="n"/>
      <c r="E10" s="2" t="n"/>
      <c r="F10" s="3" t="n"/>
    </row>
    <row r="11">
      <c r="A11" s="6" t="inlineStr">
        <is>
          <t>Agility (AGI)</t>
        </is>
      </c>
      <c r="B11" s="7" t="inlineStr">
        <is>
          <t>8</t>
        </is>
      </c>
      <c r="C11" s="10">
        <f>B11-4</f>
        <v/>
      </c>
      <c r="D11" s="4" t="n"/>
      <c r="E11" s="2" t="n"/>
      <c r="F11" s="3" t="n"/>
    </row>
    <row r="12">
      <c r="A12" s="6" t="inlineStr">
        <is>
          <t>Constitution (CON)</t>
        </is>
      </c>
      <c r="B12" s="7" t="inlineStr">
        <is>
          <t>7</t>
        </is>
      </c>
      <c r="C12" s="10">
        <f>B12-4</f>
        <v/>
      </c>
      <c r="D12" s="4" t="n"/>
      <c r="E12" s="2" t="n"/>
      <c r="F12" s="3" t="n"/>
    </row>
    <row r="13">
      <c r="A13" s="6" t="inlineStr">
        <is>
          <t>Comprehension (CMP)</t>
        </is>
      </c>
      <c r="B13" s="7" t="inlineStr">
        <is>
          <t>10</t>
        </is>
      </c>
      <c r="C13" s="10">
        <f>B13-4</f>
        <v/>
      </c>
      <c r="D13" s="4" t="n"/>
      <c r="E13" s="2" t="n"/>
      <c r="F13" s="3" t="n"/>
    </row>
    <row r="14">
      <c r="A14" s="6" t="inlineStr">
        <is>
          <t>Willpower (WIL)</t>
        </is>
      </c>
      <c r="B14" s="7" t="inlineStr">
        <is>
          <t>9</t>
        </is>
      </c>
      <c r="C14" s="10">
        <f>B14-4</f>
        <v/>
      </c>
      <c r="D14" s="4" t="n"/>
      <c r="E14" s="2" t="n"/>
      <c r="F14" s="3" t="n"/>
    </row>
    <row r="15">
      <c r="A15" s="6" t="inlineStr">
        <is>
          <t>Charisma (CHA)</t>
        </is>
      </c>
      <c r="B15" s="7" t="inlineStr">
        <is>
          <t>6</t>
        </is>
      </c>
      <c r="C15" s="10">
        <f>B15-4</f>
        <v/>
      </c>
      <c r="D15" s="4" t="n"/>
      <c r="E15" s="2" t="n"/>
      <c r="F15" s="3" t="n"/>
    </row>
    <row r="16"/>
    <row r="17">
      <c r="A17" s="13" t="inlineStr">
        <is>
          <t>— Derived Values —</t>
        </is>
      </c>
      <c r="B17" s="2" t="n"/>
      <c r="C17" s="2" t="n"/>
      <c r="D17" s="2" t="n"/>
      <c r="E17" s="2" t="n"/>
      <c r="F17" s="2" t="n"/>
      <c r="G17" s="2" t="n"/>
      <c r="H17" s="3" t="n"/>
    </row>
    <row r="18">
      <c r="A18" s="6" t="inlineStr">
        <is>
          <t>Health Points (HP)</t>
        </is>
      </c>
      <c r="B18" s="4" t="inlineStr">
        <is>
          <t>Constitution×5 + Realm</t>
        </is>
      </c>
      <c r="C18" s="2" t="n"/>
      <c r="D18" s="3" t="n"/>
      <c r="E18" s="11">
        <f>B12*5+IF(F5="Crossing the Threshold",5,IF(F5="Complete Mastery",10,IF(F5="Perfecting the Craft",15,IF(F5="Peak of Perfection",20,IF(F5="Return to Simplicity",25,0)))))</f>
        <v/>
      </c>
      <c r="F18" s="3" t="n"/>
    </row>
    <row r="19">
      <c r="A19" s="6" t="inlineStr">
        <is>
          <t>Qi</t>
        </is>
      </c>
      <c r="B19" s="4" t="inlineStr">
        <is>
          <t>Constitution × Inner-Cultivation Coefficient + Realm</t>
        </is>
      </c>
      <c r="C19" s="2" t="n"/>
      <c r="D19" s="3" t="n"/>
      <c r="E19" s="11">
        <f>B12*VALUE(LEFT(H5,1))+IF(F5="Crossing the Threshold",3,IF(F5="Complete Mastery",6,IF(F5="Perfecting the Craft",10,IF(F5="Peak of Perfection",15,IF(F5="Return to Simplicity",20,0)))))</f>
        <v/>
      </c>
      <c r="F19" s="3" t="n"/>
    </row>
    <row r="20">
      <c r="A20" s="6" t="inlineStr">
        <is>
          <t>Initiative</t>
        </is>
      </c>
      <c r="B20" s="4" t="inlineStr">
        <is>
          <t>Agility + Willpower</t>
        </is>
      </c>
      <c r="C20" s="2" t="n"/>
      <c r="D20" s="3" t="n"/>
      <c r="E20" s="11">
        <f>B11+B14</f>
        <v/>
      </c>
      <c r="F20" s="3" t="n"/>
    </row>
    <row r="21">
      <c r="A21" s="6" t="inlineStr">
        <is>
          <t>Evasion</t>
        </is>
      </c>
      <c r="B21" s="4" t="inlineStr">
        <is>
          <t>Agility Modifier</t>
        </is>
      </c>
      <c r="C21" s="2" t="n"/>
      <c r="D21" s="3" t="n"/>
      <c r="E21" s="11">
        <f>C11</f>
        <v/>
      </c>
      <c r="F21" s="3" t="n"/>
    </row>
    <row r="22">
      <c r="A22" s="6" t="inlineStr">
        <is>
          <t>Defense</t>
        </is>
      </c>
      <c r="B22" s="4" t="inlineStr">
        <is>
          <t>Constitution Modifier</t>
        </is>
      </c>
      <c r="C22" s="2" t="n"/>
      <c r="D22" s="3" t="n"/>
      <c r="E22" s="11">
        <f>C12</f>
        <v/>
      </c>
      <c r="F22" s="3" t="n"/>
    </row>
    <row r="23"/>
    <row r="24">
      <c r="A24" s="13" t="inlineStr">
        <is>
          <t>— Skills —</t>
        </is>
      </c>
      <c r="B24" s="3" t="n"/>
    </row>
    <row r="25">
      <c r="A25" s="6" t="inlineStr">
        <is>
          <t>Technique Reading</t>
        </is>
      </c>
      <c r="B25" s="7" t="inlineStr">
        <is>
          <t>6</t>
        </is>
      </c>
    </row>
    <row r="26">
      <c r="A26" s="6" t="inlineStr">
        <is>
          <t>Jianghu Lore</t>
        </is>
      </c>
      <c r="B26" s="7" t="inlineStr">
        <is>
          <t>0</t>
        </is>
      </c>
    </row>
    <row r="27">
      <c r="A27" s="6" t="inlineStr">
        <is>
          <t>Lightfoot</t>
        </is>
      </c>
      <c r="B27" s="7" t="inlineStr">
        <is>
          <t>0</t>
        </is>
      </c>
    </row>
    <row r="28">
      <c r="A28" s="6" t="inlineStr">
        <is>
          <t>Oratory</t>
        </is>
      </c>
      <c r="B28" s="7" t="inlineStr">
        <is>
          <t>0</t>
        </is>
      </c>
    </row>
    <row r="29">
      <c r="A29" s="6" t="inlineStr">
        <is>
          <t>Climbing</t>
        </is>
      </c>
      <c r="B29" s="7" t="inlineStr">
        <is>
          <t>0</t>
        </is>
      </c>
    </row>
    <row r="30">
      <c r="A30" s="6" t="inlineStr">
        <is>
          <t>Stealth</t>
        </is>
      </c>
      <c r="B30" s="7" t="inlineStr">
        <is>
          <t>4</t>
        </is>
      </c>
    </row>
    <row r="31">
      <c r="A31" s="6" t="inlineStr">
        <is>
          <t>Tracking</t>
        </is>
      </c>
      <c r="B31" s="7" t="inlineStr">
        <is>
          <t>0</t>
        </is>
      </c>
    </row>
    <row r="32">
      <c r="A32" s="6" t="inlineStr">
        <is>
          <t>Read Intent</t>
        </is>
      </c>
      <c r="B32" s="7" t="inlineStr">
        <is>
          <t>6</t>
        </is>
      </c>
    </row>
    <row r="33">
      <c r="A33" s="6" t="inlineStr">
        <is>
          <t>Disguise</t>
        </is>
      </c>
      <c r="B33" s="7" t="inlineStr">
        <is>
          <t>3</t>
        </is>
      </c>
    </row>
    <row r="34">
      <c r="A34" s="6" t="inlineStr">
        <is>
          <t>Lockpicking</t>
        </is>
      </c>
      <c r="B34" s="7" t="inlineStr">
        <is>
          <t>0</t>
        </is>
      </c>
    </row>
    <row r="35">
      <c r="A35" s="6" t="inlineStr">
        <is>
          <t>Trapcraft</t>
        </is>
      </c>
      <c r="B35" s="7" t="inlineStr">
        <is>
          <t>0</t>
        </is>
      </c>
    </row>
    <row r="36">
      <c r="A36" s="6" t="inlineStr">
        <is>
          <t>Medicine</t>
        </is>
      </c>
      <c r="B36" s="7" t="inlineStr">
        <is>
          <t>0</t>
        </is>
      </c>
    </row>
    <row r="37">
      <c r="A37" s="6" t="inlineStr">
        <is>
          <t>Alchemy</t>
        </is>
      </c>
      <c r="B37" s="7" t="inlineStr">
        <is>
          <t>0</t>
        </is>
      </c>
    </row>
    <row r="38">
      <c r="A38" s="6" t="inlineStr">
        <is>
          <t>Poisoncraft</t>
        </is>
      </c>
      <c r="B38" s="7" t="inlineStr">
        <is>
          <t>0</t>
        </is>
      </c>
    </row>
    <row r="39">
      <c r="A39" s="6" t="inlineStr">
        <is>
          <t>Hidden Weapon</t>
        </is>
      </c>
      <c r="B39" s="7" t="inlineStr">
        <is>
          <t>0</t>
        </is>
      </c>
    </row>
    <row r="40">
      <c r="A40" s="6" t="inlineStr">
        <is>
          <t>Staff Art</t>
        </is>
      </c>
      <c r="B40" s="7" t="inlineStr">
        <is>
          <t>0</t>
        </is>
      </c>
    </row>
    <row r="41">
      <c r="A41" s="6" t="inlineStr">
        <is>
          <t>Fist &amp; Palm</t>
        </is>
      </c>
      <c r="B41" s="7" t="inlineStr">
        <is>
          <t>0</t>
        </is>
      </c>
    </row>
    <row r="42">
      <c r="A42" s="6" t="inlineStr">
        <is>
          <t>Saber Art</t>
        </is>
      </c>
      <c r="B42" s="7" t="inlineStr">
        <is>
          <t>0</t>
        </is>
      </c>
    </row>
    <row r="43">
      <c r="A43" s="6" t="inlineStr">
        <is>
          <t>Sword Art</t>
        </is>
      </c>
      <c r="B43" s="7" t="inlineStr">
        <is>
          <t>0</t>
        </is>
      </c>
    </row>
    <row r="44"/>
    <row r="45">
      <c r="A45" s="13" t="inlineStr">
        <is>
          <t>— Martial Arts —</t>
        </is>
      </c>
      <c r="B45" s="2" t="n"/>
      <c r="C45" s="2" t="n"/>
      <c r="D45" s="2" t="n"/>
      <c r="E45" s="2" t="n"/>
      <c r="F45" s="2" t="n"/>
      <c r="G45" s="2" t="n"/>
      <c r="H45" s="3" t="n"/>
    </row>
    <row r="46">
      <c r="A46" s="9" t="inlineStr">
        <is>
          <t>Martial Art Name</t>
        </is>
      </c>
      <c r="B46" s="9" t="inlineStr">
        <is>
          <t>Type</t>
        </is>
      </c>
      <c r="C46" s="9" t="inlineStr">
        <is>
          <t>Tier</t>
        </is>
      </c>
      <c r="D46" s="9" t="inlineStr">
        <is>
          <t>Force Type</t>
        </is>
      </c>
      <c r="E46" s="9" t="inlineStr">
        <is>
          <t>Moves</t>
        </is>
      </c>
      <c r="F46" s="9" t="inlineStr">
        <is>
          <t>Qi</t>
        </is>
      </c>
      <c r="G46" s="9" t="inlineStr">
        <is>
          <t>Hit</t>
        </is>
      </c>
      <c r="H46" s="9" t="inlineStr">
        <is>
          <t>Damage / Effect</t>
        </is>
      </c>
    </row>
    <row r="47">
      <c r="A47" s="7" t="inlineStr">
        <is>
          <t>Star-Absorbing Great Method · Fragment</t>
        </is>
      </c>
      <c r="B47" s="7" t="inlineStr">
        <is>
          <t>Peerless Inner Art</t>
        </is>
      </c>
      <c r="C47" s="7" t="inlineStr">
        <is>
          <t>--</t>
        </is>
      </c>
      <c r="D47" s="7" t="inlineStr">
        <is>
          <t>--</t>
        </is>
      </c>
      <c r="E47" s="7" t="inlineStr">
        <is>
          <t>Star-Absorbing</t>
        </is>
      </c>
      <c r="F47" s="7" t="inlineStr">
        <is>
          <t>--</t>
        </is>
      </c>
      <c r="G47" s="7" t="inlineStr">
        <is>
          <t>--</t>
        </is>
      </c>
      <c r="H47" s="7" t="inlineStr">
        <is>
          <t>Absorb 1d4 Qi on hit</t>
        </is>
      </c>
    </row>
    <row r="48">
      <c r="A48" s="7" t="inlineStr">
        <is>
          <t>Mysterious Yin Finger</t>
        </is>
      </c>
      <c r="B48" s="7" t="inlineStr">
        <is>
          <t>Superior · Long-range</t>
        </is>
      </c>
      <c r="C48" s="7" t="inlineStr">
        <is>
          <t>--</t>
        </is>
      </c>
      <c r="D48" s="7" t="inlineStr">
        <is>
          <t>Long-range</t>
        </is>
      </c>
      <c r="E48" s="7" t="inlineStr">
        <is>
          <t>Mysterious Yin</t>
        </is>
      </c>
      <c r="F48" s="7" t="inlineStr">
        <is>
          <t>4</t>
        </is>
      </c>
      <c r="G48" s="7" t="inlineStr">
        <is>
          <t>+6</t>
        </is>
      </c>
      <c r="H48" s="7" t="inlineStr">
        <is>
          <t>3d6+CMP; Sealed Meridian 1 round</t>
        </is>
      </c>
    </row>
    <row r="49">
      <c r="A49" s="7" t="inlineStr">
        <is>
          <t>Illusory Yin Step</t>
        </is>
      </c>
      <c r="B49" s="7" t="inlineStr">
        <is>
          <t>Superior Lightfoot</t>
        </is>
      </c>
      <c r="C49" s="7" t="inlineStr">
        <is>
          <t>--</t>
        </is>
      </c>
      <c r="D49" s="7" t="inlineStr">
        <is>
          <t>Swift</t>
        </is>
      </c>
      <c r="E49" s="7" t="inlineStr">
        <is>
          <t>--</t>
        </is>
      </c>
      <c r="F49" s="7" t="inlineStr">
        <is>
          <t>4</t>
        </is>
      </c>
      <c r="G49" s="7" t="inlineStr">
        <is>
          <t>--</t>
        </is>
      </c>
      <c r="H49" s="7" t="inlineStr">
        <is>
          <t>Evasion +4</t>
        </is>
      </c>
    </row>
    <row r="50"/>
    <row r="51"/>
    <row r="52"/>
    <row r="53"/>
    <row r="54"/>
    <row r="55"/>
    <row r="56">
      <c r="A56" s="13" t="inlineStr">
        <is>
          <t>— Equipment —</t>
        </is>
      </c>
      <c r="B56" s="2" t="n"/>
      <c r="C56" s="2" t="n"/>
      <c r="D56" s="2" t="n"/>
      <c r="E56" s="2" t="n"/>
      <c r="F56" s="2" t="n"/>
      <c r="G56" s="2" t="n"/>
      <c r="H56" s="3" t="n"/>
    </row>
    <row r="57">
      <c r="A57" s="9" t="inlineStr">
        <is>
          <t>Weapon</t>
        </is>
      </c>
      <c r="B57" s="9" t="inlineStr">
        <is>
          <t>Armor</t>
        </is>
      </c>
      <c r="C57" s="9" t="inlineStr">
        <is>
          <t>Special</t>
        </is>
      </c>
    </row>
    <row r="58">
      <c r="A58" s="8" t="inlineStr">
        <is>
          <t>Mysterious Yin Finger (Unarmed)</t>
        </is>
      </c>
      <c r="B58" s="8" t="inlineStr">
        <is>
          <t>Python Robe</t>
        </is>
      </c>
      <c r="C58" s="14" t="inlineStr">
        <is>
          <t>Ultimate NPC. Defense (DC) 20. Weakness: low Strength, medium Health Points (HP). Health Points (HP) 55, Qi 55</t>
        </is>
      </c>
      <c r="D58" s="2" t="n"/>
      <c r="E58" s="2" t="n"/>
      <c r="F58" s="3" t="n"/>
    </row>
    <row r="59"/>
    <row r="60"/>
    <row r="61">
      <c r="A61" s="6" t="inlineStr">
        <is>
          <t>Heroism</t>
        </is>
      </c>
      <c r="B61" s="7" t="inlineStr">
        <is>
          <t>-20</t>
        </is>
      </c>
      <c r="D61" s="6" t="inlineStr">
        <is>
          <t>Infamy</t>
        </is>
      </c>
      <c r="E61" s="7" t="inlineStr">
        <is>
          <t>55</t>
        </is>
      </c>
    </row>
    <row r="62"/>
    <row r="63">
      <c r="A63" t="inlineStr">
        <is>
          <t>Can apprentice (Difficulty Class (DC) 20 ⚠): Mysterious Yin Finger + Star-Absorbing Great Method (hidden backdoor guaranteed).</t>
        </is>
      </c>
    </row>
    <row r="64">
      <c r="A64" t="inlineStr">
        <is>
          <t>Apprenticeship Gift: Western Depot Waist Tablet + Mysterious Yin Finger (backdoor version) ⚠ + Secret File (after first kill)</t>
        </is>
      </c>
    </row>
  </sheetData>
  <mergeCells count="27">
    <mergeCell ref="A24:B24"/>
    <mergeCell ref="D13:F13"/>
    <mergeCell ref="D11:F11"/>
    <mergeCell ref="B6:H6"/>
    <mergeCell ref="A45:H45"/>
    <mergeCell ref="A1:H1"/>
    <mergeCell ref="B19:D19"/>
    <mergeCell ref="E20:F20"/>
    <mergeCell ref="E19:F19"/>
    <mergeCell ref="D12:F12"/>
    <mergeCell ref="C58:F58"/>
    <mergeCell ref="D15:F15"/>
    <mergeCell ref="B20:D20"/>
    <mergeCell ref="A56:H56"/>
    <mergeCell ref="D14:F14"/>
    <mergeCell ref="A2:H2"/>
    <mergeCell ref="A8:H8"/>
    <mergeCell ref="D10:F10"/>
    <mergeCell ref="A17:H17"/>
    <mergeCell ref="A4:H4"/>
    <mergeCell ref="B5:C5"/>
    <mergeCell ref="B22:D22"/>
    <mergeCell ref="B18:D18"/>
    <mergeCell ref="E22:F22"/>
    <mergeCell ref="B21:D21"/>
    <mergeCell ref="E18:F18"/>
    <mergeCell ref="E21:F2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>
      <c r="A1" s="12" t="inlineStr">
        <is>
          <t>Yonghe Martial Codex</t>
        </is>
      </c>
      <c r="B1" s="2" t="n"/>
      <c r="C1" s="2" t="n"/>
      <c r="D1" s="2" t="n"/>
      <c r="E1" s="2" t="n"/>
      <c r="F1" s="2" t="n"/>
      <c r="G1" s="2" t="n"/>
      <c r="H1" s="3" t="n"/>
    </row>
    <row r="2">
      <c r="A2" s="4" t="inlineStr">
        <is>
          <t>Court NPC · Tabletop Rules Studio</t>
        </is>
      </c>
      <c r="B2" s="2" t="n"/>
      <c r="C2" s="2" t="n"/>
      <c r="D2" s="2" t="n"/>
      <c r="E2" s="2" t="n"/>
      <c r="F2" s="2" t="n"/>
      <c r="G2" s="2" t="n"/>
      <c r="H2" s="3" t="n"/>
    </row>
    <row r="3"/>
    <row r="4">
      <c r="A4" s="13" t="inlineStr">
        <is>
          <t>— Basic Info —</t>
        </is>
      </c>
      <c r="B4" s="2" t="n"/>
      <c r="C4" s="2" t="n"/>
      <c r="D4" s="2" t="n"/>
      <c r="E4" s="2" t="n"/>
      <c r="F4" s="2" t="n"/>
      <c r="G4" s="2" t="n"/>
      <c r="H4" s="3" t="n"/>
    </row>
    <row r="5">
      <c r="A5" s="6" t="inlineStr">
        <is>
          <t>Character Name</t>
        </is>
      </c>
      <c r="B5" s="6" t="inlineStr">
        <is>
          <t>Zhuque</t>
        </is>
      </c>
      <c r="C5" s="3" t="n"/>
      <c r="D5" s="6" t="inlineStr">
        <is>
          <t>Faction</t>
        </is>
      </c>
      <c r="E5" s="7" t="inlineStr">
        <is>
          <t>Western Depot</t>
        </is>
      </c>
      <c r="F5" s="6" t="inlineStr">
        <is>
          <t>Realm</t>
        </is>
      </c>
      <c r="G5" s="7" t="inlineStr">
        <is>
          <t>Perfecting the Craft</t>
        </is>
      </c>
      <c r="H5" s="4" t="inlineStr">
        <is>
          <t>3 (Authentic)</t>
        </is>
      </c>
    </row>
    <row r="6">
      <c r="A6" s="6" t="inlineStr">
        <is>
          <t>Concept</t>
        </is>
      </c>
      <c r="B6" s="14" t="inlineStr">
        <is>
          <t>First of the Western Depot's four great spies, specializing in undercover infiltration. True face known to none.</t>
        </is>
      </c>
      <c r="C6" s="2" t="n"/>
      <c r="D6" s="2" t="n"/>
      <c r="E6" s="2" t="n"/>
      <c r="F6" s="2" t="n"/>
      <c r="G6" s="2" t="n"/>
      <c r="H6" s="3" t="n"/>
    </row>
    <row r="7"/>
    <row r="8">
      <c r="A8" s="13" t="inlineStr">
        <is>
          <t>— Six Attributes —</t>
        </is>
      </c>
      <c r="B8" s="2" t="n"/>
      <c r="C8" s="2" t="n"/>
      <c r="D8" s="2" t="n"/>
      <c r="E8" s="2" t="n"/>
      <c r="F8" s="2" t="n"/>
      <c r="G8" s="2" t="n"/>
      <c r="H8" s="3" t="n"/>
    </row>
    <row r="9">
      <c r="A9" s="9" t="inlineStr">
        <is>
          <t>Attribute</t>
        </is>
      </c>
      <c r="B9" s="9" t="inlineStr">
        <is>
          <t>Base Value</t>
        </is>
      </c>
      <c r="C9" s="9" t="inlineStr">
        <is>
          <t>Modifier</t>
        </is>
      </c>
      <c r="D9" s="9" t="inlineStr">
        <is>
          <t>Description</t>
        </is>
      </c>
    </row>
    <row r="10">
      <c r="A10" s="6" t="inlineStr">
        <is>
          <t>Strength (STR)</t>
        </is>
      </c>
      <c r="B10" s="7" t="inlineStr">
        <is>
          <t>4</t>
        </is>
      </c>
      <c r="C10" s="10">
        <f>B10-4</f>
        <v/>
      </c>
      <c r="D10" s="4" t="n"/>
      <c r="E10" s="2" t="n"/>
      <c r="F10" s="3" t="n"/>
    </row>
    <row r="11">
      <c r="A11" s="6" t="inlineStr">
        <is>
          <t>Agility (AGI)</t>
        </is>
      </c>
      <c r="B11" s="7" t="inlineStr">
        <is>
          <t>9</t>
        </is>
      </c>
      <c r="C11" s="10">
        <f>B11-4</f>
        <v/>
      </c>
      <c r="D11" s="4" t="n"/>
      <c r="E11" s="2" t="n"/>
      <c r="F11" s="3" t="n"/>
    </row>
    <row r="12">
      <c r="A12" s="6" t="inlineStr">
        <is>
          <t>Constitution (CON)</t>
        </is>
      </c>
      <c r="B12" s="7" t="inlineStr">
        <is>
          <t>5</t>
        </is>
      </c>
      <c r="C12" s="10">
        <f>B12-4</f>
        <v/>
      </c>
      <c r="D12" s="4" t="n"/>
      <c r="E12" s="2" t="n"/>
      <c r="F12" s="3" t="n"/>
    </row>
    <row r="13">
      <c r="A13" s="6" t="inlineStr">
        <is>
          <t>Comprehension (CMP)</t>
        </is>
      </c>
      <c r="B13" s="7" t="inlineStr">
        <is>
          <t>7</t>
        </is>
      </c>
      <c r="C13" s="10">
        <f>B13-4</f>
        <v/>
      </c>
      <c r="D13" s="4" t="n"/>
      <c r="E13" s="2" t="n"/>
      <c r="F13" s="3" t="n"/>
    </row>
    <row r="14">
      <c r="A14" s="6" t="inlineStr">
        <is>
          <t>Willpower (WIL)</t>
        </is>
      </c>
      <c r="B14" s="7" t="inlineStr">
        <is>
          <t>6</t>
        </is>
      </c>
      <c r="C14" s="10">
        <f>B14-4</f>
        <v/>
      </c>
      <c r="D14" s="4" t="n"/>
      <c r="E14" s="2" t="n"/>
      <c r="F14" s="3" t="n"/>
    </row>
    <row r="15">
      <c r="A15" s="6" t="inlineStr">
        <is>
          <t>Charisma (CHA)</t>
        </is>
      </c>
      <c r="B15" s="7" t="inlineStr">
        <is>
          <t>5</t>
        </is>
      </c>
      <c r="C15" s="10">
        <f>B15-4</f>
        <v/>
      </c>
      <c r="D15" s="4" t="n"/>
      <c r="E15" s="2" t="n"/>
      <c r="F15" s="3" t="n"/>
    </row>
    <row r="16"/>
    <row r="17">
      <c r="A17" s="13" t="inlineStr">
        <is>
          <t>— Derived Values —</t>
        </is>
      </c>
      <c r="B17" s="2" t="n"/>
      <c r="C17" s="2" t="n"/>
      <c r="D17" s="2" t="n"/>
      <c r="E17" s="2" t="n"/>
      <c r="F17" s="2" t="n"/>
      <c r="G17" s="2" t="n"/>
      <c r="H17" s="3" t="n"/>
    </row>
    <row r="18">
      <c r="A18" s="6" t="inlineStr">
        <is>
          <t>Health Points (HP)</t>
        </is>
      </c>
      <c r="B18" s="4" t="inlineStr">
        <is>
          <t>Constitution×5 + Realm</t>
        </is>
      </c>
      <c r="C18" s="2" t="n"/>
      <c r="D18" s="3" t="n"/>
      <c r="E18" s="11">
        <f>B12*5+IF(F5="Crossing the Threshold",5,IF(F5="Complete Mastery",10,IF(F5="Perfecting the Craft",15,IF(F5="Peak of Perfection",20,IF(F5="Return to Simplicity",25,0)))))</f>
        <v/>
      </c>
      <c r="F18" s="3" t="n"/>
    </row>
    <row r="19">
      <c r="A19" s="6" t="inlineStr">
        <is>
          <t>Qi</t>
        </is>
      </c>
      <c r="B19" s="4" t="inlineStr">
        <is>
          <t>Constitution × Inner-Cultivation Coefficient + Realm</t>
        </is>
      </c>
      <c r="C19" s="2" t="n"/>
      <c r="D19" s="3" t="n"/>
      <c r="E19" s="11">
        <f>B12*VALUE(LEFT(H5,1))+IF(F5="Crossing the Threshold",3,IF(F5="Complete Mastery",6,IF(F5="Perfecting the Craft",10,IF(F5="Peak of Perfection",15,IF(F5="Return to Simplicity",20,0)))))</f>
        <v/>
      </c>
      <c r="F19" s="3" t="n"/>
    </row>
    <row r="20">
      <c r="A20" s="6" t="inlineStr">
        <is>
          <t>Initiative</t>
        </is>
      </c>
      <c r="B20" s="4" t="inlineStr">
        <is>
          <t>Agility + Willpower</t>
        </is>
      </c>
      <c r="C20" s="2" t="n"/>
      <c r="D20" s="3" t="n"/>
      <c r="E20" s="11">
        <f>B11+B14</f>
        <v/>
      </c>
      <c r="F20" s="3" t="n"/>
    </row>
    <row r="21">
      <c r="A21" s="6" t="inlineStr">
        <is>
          <t>Evasion</t>
        </is>
      </c>
      <c r="B21" s="4" t="inlineStr">
        <is>
          <t>Agility Modifier</t>
        </is>
      </c>
      <c r="C21" s="2" t="n"/>
      <c r="D21" s="3" t="n"/>
      <c r="E21" s="11">
        <f>C11</f>
        <v/>
      </c>
      <c r="F21" s="3" t="n"/>
    </row>
    <row r="22">
      <c r="A22" s="6" t="inlineStr">
        <is>
          <t>Defense</t>
        </is>
      </c>
      <c r="B22" s="4" t="inlineStr">
        <is>
          <t>Constitution Modifier</t>
        </is>
      </c>
      <c r="C22" s="2" t="n"/>
      <c r="D22" s="3" t="n"/>
      <c r="E22" s="11">
        <f>C12</f>
        <v/>
      </c>
      <c r="F22" s="3" t="n"/>
    </row>
    <row r="23"/>
    <row r="24">
      <c r="A24" s="13" t="inlineStr">
        <is>
          <t>— Skills —</t>
        </is>
      </c>
      <c r="B24" s="3" t="n"/>
    </row>
    <row r="25">
      <c r="A25" s="6" t="inlineStr">
        <is>
          <t>Technique Reading</t>
        </is>
      </c>
      <c r="B25" s="7" t="inlineStr">
        <is>
          <t>0</t>
        </is>
      </c>
    </row>
    <row r="26">
      <c r="A26" s="6" t="inlineStr">
        <is>
          <t>Jianghu Lore</t>
        </is>
      </c>
      <c r="B26" s="7" t="inlineStr">
        <is>
          <t>0</t>
        </is>
      </c>
    </row>
    <row r="27">
      <c r="A27" s="6" t="inlineStr">
        <is>
          <t>Lightfoot</t>
        </is>
      </c>
      <c r="B27" s="7" t="inlineStr">
        <is>
          <t>4</t>
        </is>
      </c>
    </row>
    <row r="28">
      <c r="A28" s="6" t="inlineStr">
        <is>
          <t>Oratory</t>
        </is>
      </c>
      <c r="B28" s="7" t="inlineStr">
        <is>
          <t>0</t>
        </is>
      </c>
    </row>
    <row r="29">
      <c r="A29" s="6" t="inlineStr">
        <is>
          <t>Climbing</t>
        </is>
      </c>
      <c r="B29" s="7" t="inlineStr">
        <is>
          <t>0</t>
        </is>
      </c>
    </row>
    <row r="30">
      <c r="A30" s="6" t="inlineStr">
        <is>
          <t>Stealth</t>
        </is>
      </c>
      <c r="B30" s="7" t="inlineStr">
        <is>
          <t>6</t>
        </is>
      </c>
    </row>
    <row r="31">
      <c r="A31" s="6" t="inlineStr">
        <is>
          <t>Tracking</t>
        </is>
      </c>
      <c r="B31" s="7" t="inlineStr">
        <is>
          <t>0</t>
        </is>
      </c>
    </row>
    <row r="32">
      <c r="A32" s="6" t="inlineStr">
        <is>
          <t>Read Intent</t>
        </is>
      </c>
      <c r="B32" s="7" t="inlineStr">
        <is>
          <t>4</t>
        </is>
      </c>
    </row>
    <row r="33">
      <c r="A33" s="6" t="inlineStr">
        <is>
          <t>Disguise</t>
        </is>
      </c>
      <c r="B33" s="7" t="inlineStr">
        <is>
          <t>5</t>
        </is>
      </c>
    </row>
    <row r="34">
      <c r="A34" s="6" t="inlineStr">
        <is>
          <t>Lockpicking</t>
        </is>
      </c>
      <c r="B34" s="7" t="inlineStr">
        <is>
          <t>4</t>
        </is>
      </c>
    </row>
    <row r="35">
      <c r="A35" s="6" t="inlineStr">
        <is>
          <t>Trapcraft</t>
        </is>
      </c>
      <c r="B35" s="7" t="inlineStr">
        <is>
          <t>0</t>
        </is>
      </c>
    </row>
    <row r="36">
      <c r="A36" s="6" t="inlineStr">
        <is>
          <t>Medicine</t>
        </is>
      </c>
      <c r="B36" s="7" t="inlineStr">
        <is>
          <t>0</t>
        </is>
      </c>
    </row>
    <row r="37">
      <c r="A37" s="6" t="inlineStr">
        <is>
          <t>Alchemy</t>
        </is>
      </c>
      <c r="B37" s="7" t="inlineStr">
        <is>
          <t>0</t>
        </is>
      </c>
    </row>
    <row r="38">
      <c r="A38" s="6" t="inlineStr">
        <is>
          <t>Poisoncraft</t>
        </is>
      </c>
      <c r="B38" s="7" t="inlineStr">
        <is>
          <t>0</t>
        </is>
      </c>
    </row>
    <row r="39">
      <c r="A39" s="6" t="inlineStr">
        <is>
          <t>Hidden Weapon</t>
        </is>
      </c>
      <c r="B39" s="7" t="inlineStr">
        <is>
          <t>0</t>
        </is>
      </c>
    </row>
    <row r="40">
      <c r="A40" s="6" t="inlineStr">
        <is>
          <t>Staff Art</t>
        </is>
      </c>
      <c r="B40" s="7" t="inlineStr">
        <is>
          <t>0</t>
        </is>
      </c>
    </row>
    <row r="41">
      <c r="A41" s="6" t="inlineStr">
        <is>
          <t>Fist &amp; Palm</t>
        </is>
      </c>
      <c r="B41" s="7" t="inlineStr">
        <is>
          <t>0</t>
        </is>
      </c>
    </row>
    <row r="42">
      <c r="A42" s="6" t="inlineStr">
        <is>
          <t>Saber Art</t>
        </is>
      </c>
      <c r="B42" s="7" t="inlineStr">
        <is>
          <t>0</t>
        </is>
      </c>
    </row>
    <row r="43">
      <c r="A43" s="6" t="inlineStr">
        <is>
          <t>Sword Art</t>
        </is>
      </c>
      <c r="B43" s="7" t="inlineStr">
        <is>
          <t>0</t>
        </is>
      </c>
    </row>
    <row r="44"/>
    <row r="45">
      <c r="A45" s="13" t="inlineStr">
        <is>
          <t>— Martial Arts —</t>
        </is>
      </c>
      <c r="B45" s="2" t="n"/>
      <c r="C45" s="2" t="n"/>
      <c r="D45" s="2" t="n"/>
      <c r="E45" s="2" t="n"/>
      <c r="F45" s="2" t="n"/>
      <c r="G45" s="2" t="n"/>
      <c r="H45" s="3" t="n"/>
    </row>
    <row r="46">
      <c r="A46" s="9" t="inlineStr">
        <is>
          <t>Martial Art Name</t>
        </is>
      </c>
      <c r="B46" s="9" t="inlineStr">
        <is>
          <t>Type</t>
        </is>
      </c>
      <c r="C46" s="9" t="inlineStr">
        <is>
          <t>Tier</t>
        </is>
      </c>
      <c r="D46" s="9" t="inlineStr">
        <is>
          <t>Force Type</t>
        </is>
      </c>
      <c r="E46" s="9" t="inlineStr">
        <is>
          <t>Moves</t>
        </is>
      </c>
      <c r="F46" s="9" t="inlineStr">
        <is>
          <t>Qi</t>
        </is>
      </c>
      <c r="G46" s="9" t="inlineStr">
        <is>
          <t>Hit</t>
        </is>
      </c>
      <c r="H46" s="9" t="inlineStr">
        <is>
          <t>Damage / Effect</t>
        </is>
      </c>
    </row>
    <row r="47">
      <c r="A47" s="7" t="inlineStr">
        <is>
          <t>Yellow-Spring Step</t>
        </is>
      </c>
      <c r="B47" s="7" t="inlineStr">
        <is>
          <t>Advanced Lightfoot</t>
        </is>
      </c>
      <c r="C47" s="7" t="inlineStr">
        <is>
          <t>--</t>
        </is>
      </c>
      <c r="D47" s="7" t="inlineStr">
        <is>
          <t>Swift</t>
        </is>
      </c>
      <c r="E47" s="7" t="inlineStr">
        <is>
          <t>--</t>
        </is>
      </c>
      <c r="F47" s="7" t="inlineStr">
        <is>
          <t>3</t>
        </is>
      </c>
      <c r="G47" s="7" t="inlineStr">
        <is>
          <t>--</t>
        </is>
      </c>
      <c r="H47" s="7" t="inlineStr">
        <is>
          <t>Disengaging does not trigger opportunity attacks</t>
        </is>
      </c>
    </row>
    <row r="48">
      <c r="A48" s="7" t="inlineStr">
        <is>
          <t>Shadowless Short Blade</t>
        </is>
      </c>
      <c r="B48" s="7" t="inlineStr">
        <is>
          <t>Assassination Art</t>
        </is>
      </c>
      <c r="C48" s="7" t="inlineStr">
        <is>
          <t>Advanced</t>
        </is>
      </c>
      <c r="D48" s="7" t="inlineStr">
        <is>
          <t>Swift</t>
        </is>
      </c>
      <c r="E48" s="7" t="inlineStr">
        <is>
          <t>Assassination</t>
        </is>
      </c>
      <c r="F48" s="7" t="inlineStr">
        <is>
          <t>2</t>
        </is>
      </c>
      <c r="G48" s="7" t="inlineStr">
        <is>
          <t>+5</t>
        </is>
      </c>
      <c r="H48" s="7" t="inlineStr">
        <is>
          <t>Stealth doubled 2d6+AGI</t>
        </is>
      </c>
    </row>
    <row r="49">
      <c r="A49" s="7" t="inlineStr">
        <is>
          <t>Disguise Art</t>
        </is>
      </c>
      <c r="B49" s="7" t="inlineStr">
        <is>
          <t>Special</t>
        </is>
      </c>
      <c r="C49" s="7" t="inlineStr">
        <is>
          <t>--</t>
        </is>
      </c>
      <c r="D49" s="7" t="inlineStr">
        <is>
          <t>--</t>
        </is>
      </c>
      <c r="E49" s="7" t="inlineStr">
        <is>
          <t>--</t>
        </is>
      </c>
      <c r="F49" s="7" t="inlineStr">
        <is>
          <t>--</t>
        </is>
      </c>
      <c r="G49" s="7" t="inlineStr">
        <is>
          <t>--</t>
        </is>
      </c>
      <c r="H49" s="7" t="inlineStr">
        <is>
          <t>Disguise as any same-sized person</t>
        </is>
      </c>
    </row>
    <row r="50"/>
    <row r="51"/>
    <row r="52"/>
    <row r="53"/>
    <row r="54"/>
    <row r="55"/>
    <row r="56">
      <c r="A56" s="13" t="inlineStr">
        <is>
          <t>— Equipment —</t>
        </is>
      </c>
      <c r="B56" s="2" t="n"/>
      <c r="C56" s="2" t="n"/>
      <c r="D56" s="2" t="n"/>
      <c r="E56" s="2" t="n"/>
      <c r="F56" s="2" t="n"/>
      <c r="G56" s="2" t="n"/>
      <c r="H56" s="3" t="n"/>
    </row>
    <row r="57">
      <c r="A57" s="9" t="inlineStr">
        <is>
          <t>Weapon</t>
        </is>
      </c>
      <c r="B57" s="9" t="inlineStr">
        <is>
          <t>Armor</t>
        </is>
      </c>
      <c r="C57" s="9" t="inlineStr">
        <is>
          <t>Special</t>
        </is>
      </c>
    </row>
    <row r="58">
      <c r="A58" s="8" t="inlineStr">
        <is>
          <t>Shadowless Short Blade (1d6+AGI)</t>
        </is>
      </c>
      <c r="B58" s="8" t="inlineStr">
        <is>
          <t>Black Action Outfit</t>
        </is>
      </c>
      <c r="C58" s="14" t="inlineStr">
        <is>
          <t>Infiltration-Type NPC. Health Points (HP) 40, Qi 22. Infamy recorded under the Western Depot.</t>
        </is>
      </c>
      <c r="D58" s="2" t="n"/>
      <c r="E58" s="2" t="n"/>
      <c r="F58" s="3" t="n"/>
    </row>
    <row r="59"/>
    <row r="60"/>
    <row r="61">
      <c r="A61" s="6" t="inlineStr">
        <is>
          <t>Heroism</t>
        </is>
      </c>
      <c r="B61" s="7" t="inlineStr">
        <is>
          <t>0</t>
        </is>
      </c>
      <c r="D61" s="6" t="inlineStr">
        <is>
          <t>Infamy</t>
        </is>
      </c>
      <c r="E61" s="7" t="inlineStr">
        <is>
          <t>25</t>
        </is>
      </c>
    </row>
    <row r="62"/>
    <row r="63">
      <c r="A63" t="inlineStr">
        <is>
          <t>Can apprentice (Difficulty Class (DC) 16): Stealth + Disguise. Observe in secret.</t>
        </is>
      </c>
    </row>
  </sheetData>
  <mergeCells count="27">
    <mergeCell ref="A24:B24"/>
    <mergeCell ref="D13:F13"/>
    <mergeCell ref="D11:F11"/>
    <mergeCell ref="B6:H6"/>
    <mergeCell ref="A45:H45"/>
    <mergeCell ref="A1:H1"/>
    <mergeCell ref="B19:D19"/>
    <mergeCell ref="E20:F20"/>
    <mergeCell ref="E19:F19"/>
    <mergeCell ref="D12:F12"/>
    <mergeCell ref="C58:F58"/>
    <mergeCell ref="D15:F15"/>
    <mergeCell ref="B20:D20"/>
    <mergeCell ref="A56:H56"/>
    <mergeCell ref="D14:F14"/>
    <mergeCell ref="A2:H2"/>
    <mergeCell ref="A8:H8"/>
    <mergeCell ref="D10:F10"/>
    <mergeCell ref="A17:H17"/>
    <mergeCell ref="A4:H4"/>
    <mergeCell ref="B5:C5"/>
    <mergeCell ref="B22:D22"/>
    <mergeCell ref="B18:D18"/>
    <mergeCell ref="E22:F22"/>
    <mergeCell ref="B21:D21"/>
    <mergeCell ref="E18:F18"/>
    <mergeCell ref="E21:F2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</cols>
  <sheetData>
    <row r="1">
      <c r="A1" s="1" t="inlineStr">
        <is>
          <t>Yonghe Martial Codex</t>
        </is>
      </c>
      <c r="B1" s="2" t="n"/>
      <c r="C1" s="2" t="n"/>
      <c r="D1" s="2" t="n"/>
      <c r="E1" s="2" t="n"/>
      <c r="F1" s="2" t="n"/>
      <c r="G1" s="2" t="n"/>
      <c r="H1" s="3" t="n"/>
    </row>
    <row r="2">
      <c r="A2" s="4" t="inlineStr">
        <is>
          <t>Character Card · Tabletop Rules Studio</t>
        </is>
      </c>
      <c r="B2" s="2" t="n"/>
      <c r="C2" s="2" t="n"/>
      <c r="D2" s="2" t="n"/>
      <c r="E2" s="2" t="n"/>
      <c r="F2" s="2" t="n"/>
      <c r="G2" s="2" t="n"/>
      <c r="H2" s="3" t="n"/>
    </row>
    <row r="3"/>
    <row r="4">
      <c r="A4" s="5" t="inlineStr">
        <is>
          <t>— Basic Info —</t>
        </is>
      </c>
      <c r="B4" s="2" t="n"/>
      <c r="C4" s="2" t="n"/>
      <c r="D4" s="2" t="n"/>
      <c r="E4" s="2" t="n"/>
      <c r="F4" s="2" t="n"/>
      <c r="G4" s="2" t="n"/>
      <c r="H4" s="3" t="n"/>
    </row>
    <row r="5">
      <c r="A5" s="6" t="inlineStr">
        <is>
          <t>Character Name</t>
        </is>
      </c>
      <c r="B5" s="7" t="inlineStr">
        <is>
          <t>Liu Shengyan</t>
        </is>
      </c>
      <c r="C5" s="6" t="inlineStr">
        <is>
          <t>Player</t>
        </is>
      </c>
      <c r="D5" s="7" t="n"/>
      <c r="E5" s="6" t="inlineStr">
        <is>
          <t>Sect</t>
        </is>
      </c>
      <c r="F5" s="7" t="inlineStr">
        <is>
          <t>Yaowang Valley</t>
        </is>
      </c>
    </row>
    <row r="6">
      <c r="A6" s="6" t="inlineStr">
        <is>
          <t>Concept</t>
        </is>
      </c>
      <c r="B6" s="8" t="inlineStr">
        <is>
          <t>Chief of Yaowang Valley's Benevolence Hall, a nineteen-year-old female healer who walks the jianghu with a medicine box, treating without charge.</t>
        </is>
      </c>
      <c r="C6" s="2" t="n"/>
      <c r="D6" s="3" t="n"/>
      <c r="E6" s="6" t="inlineStr">
        <is>
          <t>Realm</t>
        </is>
      </c>
      <c r="F6" s="7" t="inlineStr">
        <is>
          <t>Crossing the Threshold</t>
        </is>
      </c>
      <c r="G6" s="6" t="inlineStr">
        <is>
          <t>Inner Cultivation Coefficient</t>
        </is>
      </c>
      <c r="H6" s="7" t="inlineStr">
        <is>
          <t>2</t>
        </is>
      </c>
    </row>
    <row r="7"/>
    <row r="8">
      <c r="A8" s="5" t="inlineStr">
        <is>
          <t>— Six Attributes —</t>
        </is>
      </c>
      <c r="B8" s="2" t="n"/>
      <c r="C8" s="2" t="n"/>
      <c r="D8" s="2" t="n"/>
      <c r="E8" s="2" t="n"/>
      <c r="F8" s="2" t="n"/>
      <c r="G8" s="2" t="n"/>
      <c r="H8" s="3" t="n"/>
    </row>
    <row r="9">
      <c r="A9" s="9" t="inlineStr">
        <is>
          <t>Attribute</t>
        </is>
      </c>
      <c r="B9" s="9" t="inlineStr">
        <is>
          <t>Base Value</t>
        </is>
      </c>
      <c r="C9" s="9" t="inlineStr">
        <is>
          <t>Modifier</t>
        </is>
      </c>
      <c r="D9" s="9" t="inlineStr">
        <is>
          <t>Description</t>
        </is>
      </c>
    </row>
    <row r="10">
      <c r="A10" s="6" t="inlineStr">
        <is>
          <t>Strength (STR)</t>
        </is>
      </c>
      <c r="B10" s="7" t="inlineStr">
        <is>
          <t>2</t>
        </is>
      </c>
      <c r="C10" s="10">
        <f>B10-4</f>
        <v/>
      </c>
      <c r="D10" s="4" t="inlineStr">
        <is>
          <t>Muscle power, explosive force</t>
        </is>
      </c>
      <c r="E10" s="2" t="n"/>
      <c r="F10" s="3" t="n"/>
    </row>
    <row r="11">
      <c r="A11" s="6" t="inlineStr">
        <is>
          <t>Agility (AGI)</t>
        </is>
      </c>
      <c r="B11" s="7" t="inlineStr">
        <is>
          <t>4</t>
        </is>
      </c>
      <c r="C11" s="10">
        <f>B11-4</f>
        <v/>
      </c>
      <c r="D11" s="4" t="inlineStr">
        <is>
          <t>Speed, flexibility, lightfoot</t>
        </is>
      </c>
      <c r="E11" s="2" t="n"/>
      <c r="F11" s="3" t="n"/>
    </row>
    <row r="12">
      <c r="A12" s="6" t="inlineStr">
        <is>
          <t>Constitution (CON)</t>
        </is>
      </c>
      <c r="B12" s="7" t="inlineStr">
        <is>
          <t>5</t>
        </is>
      </c>
      <c r="C12" s="10">
        <f>B12-4</f>
        <v/>
      </c>
      <c r="D12" s="4" t="inlineStr">
        <is>
          <t>Meridian capacity, physique, life resilience</t>
        </is>
      </c>
      <c r="E12" s="2" t="n"/>
      <c r="F12" s="3" t="n"/>
    </row>
    <row r="13">
      <c r="A13" s="6" t="inlineStr">
        <is>
          <t>Comprehension (CMP)</t>
        </is>
      </c>
      <c r="B13" s="7" t="inlineStr">
        <is>
          <t>6</t>
        </is>
      </c>
      <c r="C13" s="10">
        <f>B13-4</f>
        <v/>
      </c>
      <c r="D13" s="4" t="inlineStr">
        <is>
          <t>Martial comprehension, learning efficiency</t>
        </is>
      </c>
      <c r="E13" s="2" t="n"/>
      <c r="F13" s="3" t="n"/>
    </row>
    <row r="14">
      <c r="A14" s="6" t="inlineStr">
        <is>
          <t>Willpower (WIL)</t>
        </is>
      </c>
      <c r="B14" s="7" t="inlineStr">
        <is>
          <t>5</t>
        </is>
      </c>
      <c r="C14" s="10">
        <f>B14-4</f>
        <v/>
      </c>
      <c r="D14" s="4" t="inlineStr">
        <is>
          <t>Willpower, mental stability</t>
        </is>
      </c>
      <c r="E14" s="2" t="n"/>
      <c r="F14" s="3" t="n"/>
    </row>
    <row r="15">
      <c r="A15" s="6" t="inlineStr">
        <is>
          <t>Charisma (CHA)</t>
        </is>
      </c>
      <c r="B15" s="7" t="inlineStr">
        <is>
          <t>7</t>
        </is>
      </c>
      <c r="C15" s="10">
        <f>B15-4</f>
        <v/>
      </c>
      <c r="D15" s="4" t="inlineStr">
        <is>
          <t>Personal charm, interpersonal influence</t>
        </is>
      </c>
      <c r="E15" s="2" t="n"/>
      <c r="F15" s="3" t="n"/>
    </row>
    <row r="16">
      <c r="A16" s="6" t="inlineStr">
        <is>
          <t>Attribute Total</t>
        </is>
      </c>
      <c r="B16" s="3" t="n"/>
    </row>
    <row r="17"/>
    <row r="18">
      <c r="A18" s="5" t="inlineStr">
        <is>
          <t>— Derived Values —</t>
        </is>
      </c>
      <c r="B18" s="2" t="n"/>
      <c r="C18" s="2" t="n"/>
      <c r="D18" s="2" t="n"/>
      <c r="E18" s="2" t="n"/>
      <c r="F18" s="2" t="n"/>
      <c r="G18" s="2" t="n"/>
      <c r="H18" s="3" t="n"/>
    </row>
    <row r="19">
      <c r="A19" s="6" t="inlineStr">
        <is>
          <t>Health Points (HP)</t>
        </is>
      </c>
      <c r="B19" s="4" t="inlineStr">
        <is>
          <t>Constitution×5 + Realm Bonus</t>
        </is>
      </c>
      <c r="C19" s="2" t="n"/>
      <c r="D19" s="3" t="n"/>
      <c r="E19" s="11">
        <f>B12*5+IF(F6="Crossing the Threshold",5,IF(F6="Complete Mastery",10,IF(F6="Perfecting the Craft",15,IF(F6="Peak of Perfection",20,IF(F6="Return to Simplicity",25,0)))))</f>
        <v/>
      </c>
      <c r="F19" s="3" t="n"/>
    </row>
    <row r="20">
      <c r="A20" s="6" t="inlineStr">
        <is>
          <t>Qi</t>
        </is>
      </c>
      <c r="B20" s="4" t="inlineStr">
        <is>
          <t>Constitution × Inner-Cultivation Coefficient + Realm Bonus</t>
        </is>
      </c>
      <c r="C20" s="2" t="n"/>
      <c r="D20" s="3" t="n"/>
      <c r="E20" s="11">
        <f>B12*VALUE(LEFT(H6,1))+IF(F6="Crossing the Threshold",3,IF(F6="Complete Mastery",6,IF(F6="Perfecting the Craft",10,IF(F6="Peak of Perfection",15,IF(F6="Return to Simplicity",20,0)))))</f>
        <v/>
      </c>
      <c r="F20" s="3" t="n"/>
    </row>
    <row r="21">
      <c r="A21" s="6" t="inlineStr">
        <is>
          <t>Initiative</t>
        </is>
      </c>
      <c r="B21" s="4" t="inlineStr">
        <is>
          <t>Agility + Willpower</t>
        </is>
      </c>
      <c r="C21" s="2" t="n"/>
      <c r="D21" s="3" t="n"/>
      <c r="E21" s="11">
        <f>B11+B14</f>
        <v/>
      </c>
      <c r="F21" s="3" t="n"/>
    </row>
    <row r="22">
      <c r="A22" s="6" t="inlineStr">
        <is>
          <t>Evasion</t>
        </is>
      </c>
      <c r="B22" s="4" t="inlineStr">
        <is>
          <t>Agility Modifier + Lightfoot Level</t>
        </is>
      </c>
      <c r="C22" s="2" t="n"/>
      <c r="D22" s="3" t="n"/>
      <c r="E22" s="11">
        <f>C11+B42</f>
        <v/>
      </c>
      <c r="F22" s="3" t="n"/>
    </row>
    <row r="23">
      <c r="A23" s="6" t="inlineStr">
        <is>
          <t>Defense</t>
        </is>
      </c>
      <c r="B23" s="4" t="inlineStr">
        <is>
          <t>Constitution Modifier + Armor Value</t>
        </is>
      </c>
      <c r="C23" s="2" t="n"/>
      <c r="D23" s="3" t="n"/>
      <c r="E23" s="11">
        <f>C12+B43</f>
        <v/>
      </c>
      <c r="F23" s="3" t="n"/>
    </row>
    <row r="24"/>
    <row r="25">
      <c r="A25" s="5" t="inlineStr">
        <is>
          <t>— Skills —</t>
        </is>
      </c>
      <c r="B25" s="3" t="n"/>
    </row>
    <row r="26">
      <c r="A26" s="9" t="inlineStr">
        <is>
          <t>Skills</t>
        </is>
      </c>
      <c r="B26" s="9" t="inlineStr">
        <is>
          <t>Level</t>
        </is>
      </c>
      <c r="C26" s="9" t="inlineStr">
        <is>
          <t>Bonus</t>
        </is>
      </c>
      <c r="D26" s="9" t="inlineStr">
        <is>
          <t>Corresponding Attribute</t>
        </is>
      </c>
      <c r="E26" s="7" t="inlineStr">
        <is>
          <t>Notes</t>
        </is>
      </c>
      <c r="F26" s="2" t="n"/>
      <c r="G26" s="2" t="n"/>
      <c r="H26" s="3" t="n"/>
    </row>
    <row r="27">
      <c r="A27" s="6" t="inlineStr">
        <is>
          <t>Technique Reading</t>
        </is>
      </c>
      <c r="B27" s="7" t="inlineStr">
        <is>
          <t>3</t>
        </is>
      </c>
      <c r="C27" s="4">
        <f>C10+B27</f>
        <v/>
      </c>
      <c r="D27" s="4" t="inlineStr">
        <is>
          <t>C10</t>
        </is>
      </c>
    </row>
    <row r="28">
      <c r="A28" s="6" t="inlineStr">
        <is>
          <t>Jianghu Lore</t>
        </is>
      </c>
      <c r="B28" s="7" t="inlineStr">
        <is>
          <t>3</t>
        </is>
      </c>
      <c r="C28" s="4">
        <f>C10+B28</f>
        <v/>
      </c>
      <c r="D28" s="4" t="inlineStr">
        <is>
          <t>C10</t>
        </is>
      </c>
    </row>
    <row r="29">
      <c r="A29" s="6" t="inlineStr">
        <is>
          <t>Lightfoot</t>
        </is>
      </c>
      <c r="B29" s="7" t="inlineStr">
        <is>
          <t>0</t>
        </is>
      </c>
      <c r="C29" s="4">
        <f>C10+B29</f>
        <v/>
      </c>
      <c r="D29" s="4" t="inlineStr">
        <is>
          <t>C10</t>
        </is>
      </c>
    </row>
    <row r="30">
      <c r="A30" s="6" t="inlineStr">
        <is>
          <t>Oratory</t>
        </is>
      </c>
      <c r="B30" s="7" t="inlineStr">
        <is>
          <t>0</t>
        </is>
      </c>
      <c r="C30" s="4">
        <f>C10+B30</f>
        <v/>
      </c>
      <c r="D30" s="4" t="inlineStr">
        <is>
          <t>C10</t>
        </is>
      </c>
    </row>
    <row r="31">
      <c r="A31" s="6" t="inlineStr">
        <is>
          <t>Climbing</t>
        </is>
      </c>
      <c r="B31" s="7" t="inlineStr">
        <is>
          <t>0</t>
        </is>
      </c>
      <c r="C31" s="4">
        <f>C10+B31</f>
        <v/>
      </c>
      <c r="D31" s="4" t="inlineStr">
        <is>
          <t>C10</t>
        </is>
      </c>
    </row>
    <row r="32">
      <c r="A32" s="6" t="inlineStr">
        <is>
          <t>Stealth</t>
        </is>
      </c>
      <c r="B32" s="7" t="inlineStr">
        <is>
          <t>0</t>
        </is>
      </c>
      <c r="C32" s="4">
        <f>C10+B32</f>
        <v/>
      </c>
      <c r="D32" s="4" t="inlineStr">
        <is>
          <t>C10</t>
        </is>
      </c>
    </row>
    <row r="33">
      <c r="A33" s="6" t="inlineStr">
        <is>
          <t>Tracking</t>
        </is>
      </c>
      <c r="B33" s="7" t="inlineStr">
        <is>
          <t>0</t>
        </is>
      </c>
      <c r="C33" s="4">
        <f>C10+B33</f>
        <v/>
      </c>
      <c r="D33" s="4" t="inlineStr">
        <is>
          <t>C10</t>
        </is>
      </c>
    </row>
    <row r="34">
      <c r="A34" s="6" t="inlineStr">
        <is>
          <t>Read Intent</t>
        </is>
      </c>
      <c r="B34" s="7" t="inlineStr">
        <is>
          <t>3</t>
        </is>
      </c>
      <c r="C34" s="4">
        <f>C10+B34</f>
        <v/>
      </c>
      <c r="D34" s="4" t="inlineStr">
        <is>
          <t>C10</t>
        </is>
      </c>
    </row>
    <row r="35">
      <c r="A35" s="6" t="inlineStr">
        <is>
          <t>Disguise</t>
        </is>
      </c>
      <c r="B35" s="7" t="inlineStr">
        <is>
          <t>0</t>
        </is>
      </c>
      <c r="C35" s="4">
        <f>C10+B35</f>
        <v/>
      </c>
      <c r="D35" s="4" t="inlineStr">
        <is>
          <t>C10</t>
        </is>
      </c>
    </row>
    <row r="36">
      <c r="A36" s="6" t="inlineStr">
        <is>
          <t>Lockpicking</t>
        </is>
      </c>
      <c r="B36" s="7" t="inlineStr">
        <is>
          <t>0</t>
        </is>
      </c>
      <c r="C36" s="4">
        <f>C10+B36</f>
        <v/>
      </c>
      <c r="D36" s="4" t="inlineStr">
        <is>
          <t>C10</t>
        </is>
      </c>
    </row>
    <row r="37">
      <c r="A37" s="6" t="inlineStr">
        <is>
          <t>Trapcraft</t>
        </is>
      </c>
      <c r="B37" s="7" t="inlineStr">
        <is>
          <t>0</t>
        </is>
      </c>
      <c r="C37" s="4">
        <f>C10+B37</f>
        <v/>
      </c>
      <c r="D37" s="4" t="inlineStr">
        <is>
          <t>C10</t>
        </is>
      </c>
    </row>
    <row r="38">
      <c r="A38" s="6" t="inlineStr">
        <is>
          <t>Medicine</t>
        </is>
      </c>
      <c r="B38" s="7" t="inlineStr">
        <is>
          <t>5</t>
        </is>
      </c>
      <c r="C38" s="4">
        <f>C10+B38</f>
        <v/>
      </c>
      <c r="D38" s="4" t="inlineStr">
        <is>
          <t>C10</t>
        </is>
      </c>
    </row>
    <row r="39">
      <c r="A39" s="6" t="inlineStr">
        <is>
          <t>Alchemy</t>
        </is>
      </c>
      <c r="B39" s="7" t="inlineStr">
        <is>
          <t>4</t>
        </is>
      </c>
      <c r="C39" s="4">
        <f>C10+B39</f>
        <v/>
      </c>
      <c r="D39" s="4" t="inlineStr">
        <is>
          <t>C10</t>
        </is>
      </c>
    </row>
    <row r="40">
      <c r="A40" s="6" t="inlineStr">
        <is>
          <t>Poisoncraft</t>
        </is>
      </c>
      <c r="B40" s="7" t="inlineStr">
        <is>
          <t>0</t>
        </is>
      </c>
      <c r="C40" s="4">
        <f>C10+B40</f>
        <v/>
      </c>
      <c r="D40" s="4" t="inlineStr">
        <is>
          <t>C10</t>
        </is>
      </c>
    </row>
    <row r="41">
      <c r="A41" s="6" t="inlineStr">
        <is>
          <t>Hidden Weapon</t>
        </is>
      </c>
      <c r="B41" s="7" t="inlineStr">
        <is>
          <t>0</t>
        </is>
      </c>
      <c r="C41" s="4">
        <f>C10+B41</f>
        <v/>
      </c>
      <c r="D41" s="4" t="inlineStr">
        <is>
          <t>C10</t>
        </is>
      </c>
    </row>
    <row r="42">
      <c r="A42" s="4" t="inlineStr">
        <is>
          <t>Lightfoot Level</t>
        </is>
      </c>
      <c r="B42" s="7" t="inlineStr">
        <is>
          <t>0</t>
        </is>
      </c>
      <c r="C42" s="4">
        <f>C10+B42</f>
        <v/>
      </c>
      <c r="D42" s="4" t="inlineStr">
        <is>
          <t>C10</t>
        </is>
      </c>
    </row>
    <row r="43">
      <c r="A43" s="4" t="inlineStr">
        <is>
          <t>Armor Value</t>
        </is>
      </c>
      <c r="B43" s="7" t="inlineStr">
        <is>
          <t>0</t>
        </is>
      </c>
      <c r="C43" s="4">
        <f>C10+B43</f>
        <v/>
      </c>
      <c r="D43" s="4" t="inlineStr">
        <is>
          <t>C10</t>
        </is>
      </c>
    </row>
    <row r="44">
      <c r="A44" s="6" t="inlineStr">
        <is>
          <t>Saber Art</t>
        </is>
      </c>
      <c r="B44" s="7" t="inlineStr">
        <is>
          <t>0</t>
        </is>
      </c>
      <c r="C44" s="4">
        <f>C10+B44</f>
        <v/>
      </c>
      <c r="D44" s="4" t="inlineStr">
        <is>
          <t>C10</t>
        </is>
      </c>
    </row>
    <row r="45">
      <c r="A45" s="6" t="inlineStr">
        <is>
          <t>Sword Art</t>
        </is>
      </c>
      <c r="B45" s="7" t="inlineStr">
        <is>
          <t>0</t>
        </is>
      </c>
      <c r="C45" s="4">
        <f>C10+B45</f>
        <v/>
      </c>
      <c r="D45" s="4" t="inlineStr">
        <is>
          <t>C10</t>
        </is>
      </c>
    </row>
    <row r="46"/>
    <row r="47"/>
    <row r="48"/>
    <row r="49">
      <c r="A49" s="5" t="inlineStr">
        <is>
          <t>— Martial Arts —</t>
        </is>
      </c>
      <c r="B49" s="2" t="n"/>
      <c r="C49" s="2" t="n"/>
      <c r="D49" s="2" t="n"/>
      <c r="E49" s="2" t="n"/>
      <c r="F49" s="2" t="n"/>
      <c r="G49" s="2" t="n"/>
      <c r="H49" s="3" t="n"/>
    </row>
    <row r="50">
      <c r="A50" s="9" t="inlineStr">
        <is>
          <t>Martial Art Name</t>
        </is>
      </c>
      <c r="B50" s="9" t="inlineStr">
        <is>
          <t>Type</t>
        </is>
      </c>
      <c r="C50" s="9" t="inlineStr">
        <is>
          <t>Tier · Proficiency</t>
        </is>
      </c>
      <c r="D50" s="9" t="inlineStr">
        <is>
          <t>Force Type</t>
        </is>
      </c>
      <c r="E50" s="9" t="inlineStr">
        <is>
          <t>Moves</t>
        </is>
      </c>
      <c r="F50" s="9" t="inlineStr">
        <is>
          <t>Qi</t>
        </is>
      </c>
      <c r="G50" s="9" t="inlineStr">
        <is>
          <t>Hit</t>
        </is>
      </c>
      <c r="H50" s="9" t="inlineStr">
        <is>
          <t>Damage / Effect</t>
        </is>
      </c>
    </row>
    <row r="51">
      <c r="A51" s="7" t="inlineStr">
        <is>
          <t>Medicine King Needle Art</t>
        </is>
      </c>
      <c r="B51" s="7" t="inlineStr">
        <is>
          <t>Special · Medicine</t>
        </is>
      </c>
      <c r="C51" s="7" t="inlineStr">
        <is>
          <t>Initiate</t>
        </is>
      </c>
      <c r="D51" s="7" t="inlineStr">
        <is>
          <t>—</t>
        </is>
      </c>
      <c r="E51" s="7" t="inlineStr">
        <is>
          <t>Gold-Needle Hemostasis</t>
        </is>
      </c>
      <c r="F51" s="7" t="inlineStr">
        <is>
          <t>2</t>
        </is>
      </c>
      <c r="G51" s="7" t="inlineStr">
        <is>
          <t>+3</t>
        </is>
      </c>
      <c r="H51" s="7" t="inlineStr">
        <is>
          <t>Heal 2d8</t>
        </is>
      </c>
    </row>
    <row r="52">
      <c r="A52" s="7" t="inlineStr">
        <is>
          <t>Hundred-Herb Mental Manual</t>
        </is>
      </c>
      <c r="B52" s="7" t="inlineStr">
        <is>
          <t>Inner Cultivation</t>
        </is>
      </c>
      <c r="C52" s="7" t="inlineStr">
        <is>
          <t>Initiate</t>
        </is>
      </c>
      <c r="D52" s="7" t="inlineStr">
        <is>
          <t>—</t>
        </is>
      </c>
      <c r="E52" s="7" t="inlineStr">
        <is>
          <t>—</t>
        </is>
      </c>
      <c r="F52" s="7" t="inlineStr">
        <is>
          <t>—</t>
        </is>
      </c>
      <c r="G52" s="7" t="inlineStr">
        <is>
          <t>—</t>
        </is>
      </c>
      <c r="H52" s="7" t="inlineStr">
        <is>
          <t>Inner Cultivation Coefficient 2</t>
        </is>
      </c>
    </row>
    <row r="53">
      <c r="A53" s="7" t="n"/>
      <c r="B53" s="7" t="n"/>
      <c r="C53" s="7" t="n"/>
      <c r="D53" s="7" t="n"/>
      <c r="E53" s="7" t="n"/>
      <c r="F53" s="7" t="n"/>
      <c r="G53" s="7" t="n"/>
      <c r="H53" s="7" t="n"/>
    </row>
    <row r="54">
      <c r="A54" s="7" t="n"/>
      <c r="B54" s="7" t="n"/>
      <c r="C54" s="7" t="n"/>
      <c r="D54" s="7" t="n"/>
      <c r="E54" s="7" t="n"/>
      <c r="F54" s="7" t="n"/>
      <c r="G54" s="7" t="n"/>
      <c r="H54" s="7" t="n"/>
    </row>
    <row r="55">
      <c r="A55" s="7" t="n"/>
      <c r="B55" s="7" t="n"/>
      <c r="C55" s="7" t="n"/>
      <c r="D55" s="7" t="n"/>
      <c r="E55" s="7" t="n"/>
      <c r="F55" s="7" t="n"/>
      <c r="G55" s="7" t="n"/>
      <c r="H55" s="7" t="n"/>
    </row>
    <row r="56">
      <c r="A56" s="7" t="n"/>
      <c r="B56" s="7" t="n"/>
      <c r="C56" s="7" t="n"/>
      <c r="D56" s="7" t="n"/>
      <c r="E56" s="7" t="n"/>
      <c r="F56" s="7" t="n"/>
      <c r="G56" s="7" t="n"/>
      <c r="H56" s="7" t="n"/>
    </row>
    <row r="57">
      <c r="A57" s="7" t="n"/>
      <c r="B57" s="7" t="n"/>
      <c r="C57" s="7" t="n"/>
      <c r="D57" s="7" t="n"/>
      <c r="E57" s="7" t="n"/>
      <c r="F57" s="7" t="n"/>
      <c r="G57" s="7" t="n"/>
      <c r="H57" s="7" t="n"/>
    </row>
    <row r="58">
      <c r="A58" s="7" t="n"/>
      <c r="B58" s="7" t="n"/>
      <c r="C58" s="7" t="n"/>
      <c r="D58" s="7" t="n"/>
      <c r="E58" s="7" t="n"/>
      <c r="F58" s="7" t="n"/>
      <c r="G58" s="7" t="n"/>
      <c r="H58" s="7" t="n"/>
    </row>
    <row r="59"/>
    <row r="60"/>
    <row r="61">
      <c r="A61" s="5" t="inlineStr">
        <is>
          <t>— Equipment —</t>
        </is>
      </c>
      <c r="B61" s="2" t="n"/>
      <c r="C61" s="2" t="n"/>
      <c r="D61" s="2" t="n"/>
      <c r="E61" s="2" t="n"/>
      <c r="F61" s="2" t="n"/>
      <c r="G61" s="2" t="n"/>
      <c r="H61" s="3" t="n"/>
    </row>
    <row r="62">
      <c r="A62" s="9" t="inlineStr">
        <is>
          <t>Weapon</t>
        </is>
      </c>
      <c r="B62" s="9" t="inlineStr">
        <is>
          <t>Damage</t>
        </is>
      </c>
      <c r="C62" s="9" t="inlineStr">
        <is>
          <t>Hit Modifier</t>
        </is>
      </c>
      <c r="D62" s="9" t="inlineStr">
        <is>
          <t>Armor</t>
        </is>
      </c>
      <c r="E62" s="9" t="inlineStr">
        <is>
          <t>External Injury Reduction</t>
        </is>
      </c>
      <c r="F62" s="9" t="inlineStr">
        <is>
          <t>Item</t>
        </is>
      </c>
    </row>
    <row r="63">
      <c r="A63" s="7" t="n"/>
      <c r="B63" s="3" t="n"/>
      <c r="D63" s="7" t="n"/>
      <c r="E63" s="2" t="n"/>
      <c r="F63" s="3" t="n"/>
    </row>
    <row r="64"/>
    <row r="65"/>
    <row r="66"/>
    <row r="67"/>
    <row r="68"/>
    <row r="69">
      <c r="A69" s="6" t="inlineStr">
        <is>
          <t>Heroism</t>
        </is>
      </c>
      <c r="B69" s="7" t="inlineStr">
        <is>
          <t>30</t>
        </is>
      </c>
      <c r="D69" s="6" t="inlineStr">
        <is>
          <t>Infamy</t>
        </is>
      </c>
      <c r="E69" s="7" t="inlineStr">
        <is>
          <t>0</t>
        </is>
      </c>
    </row>
    <row r="70"/>
    <row r="71">
      <c r="A71" t="inlineStr">
        <is>
          <t>Can apprentice (Difficulty Class (DC) 10): Novice Medicine. Non-martial path.</t>
        </is>
      </c>
    </row>
  </sheetData>
  <mergeCells count="29">
    <mergeCell ref="D13:F13"/>
    <mergeCell ref="D11:F11"/>
    <mergeCell ref="E26:H26"/>
    <mergeCell ref="B23:D23"/>
    <mergeCell ref="E23:F23"/>
    <mergeCell ref="A49:H49"/>
    <mergeCell ref="A1:H1"/>
    <mergeCell ref="A61:H61"/>
    <mergeCell ref="A16:B16"/>
    <mergeCell ref="B19:D19"/>
    <mergeCell ref="E20:F20"/>
    <mergeCell ref="A25:B25"/>
    <mergeCell ref="E19:F19"/>
    <mergeCell ref="D12:F12"/>
    <mergeCell ref="D15:F15"/>
    <mergeCell ref="B6:D6"/>
    <mergeCell ref="B20:D20"/>
    <mergeCell ref="A18:H18"/>
    <mergeCell ref="D14:F14"/>
    <mergeCell ref="A2:H2"/>
    <mergeCell ref="A8:H8"/>
    <mergeCell ref="D63:F63"/>
    <mergeCell ref="D10:F10"/>
    <mergeCell ref="A4:H4"/>
    <mergeCell ref="B22:D22"/>
    <mergeCell ref="A63:B63"/>
    <mergeCell ref="E22:F22"/>
    <mergeCell ref="B21:D21"/>
    <mergeCell ref="E21:F2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72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</cols>
  <sheetData>
    <row r="1">
      <c r="A1" s="1" t="inlineStr">
        <is>
          <t>Yonghe Martial Codex</t>
        </is>
      </c>
      <c r="B1" s="2" t="n"/>
      <c r="C1" s="2" t="n"/>
      <c r="D1" s="2" t="n"/>
      <c r="E1" s="2" t="n"/>
      <c r="F1" s="2" t="n"/>
      <c r="G1" s="2" t="n"/>
      <c r="H1" s="3" t="n"/>
    </row>
    <row r="2">
      <c r="A2" s="4" t="inlineStr">
        <is>
          <t>Character Card · Tabletop Rules Studio</t>
        </is>
      </c>
      <c r="B2" s="2" t="n"/>
      <c r="C2" s="2" t="n"/>
      <c r="D2" s="2" t="n"/>
      <c r="E2" s="2" t="n"/>
      <c r="F2" s="2" t="n"/>
      <c r="G2" s="2" t="n"/>
      <c r="H2" s="3" t="n"/>
    </row>
    <row r="3"/>
    <row r="4">
      <c r="A4" s="5" t="inlineStr">
        <is>
          <t>— Basic Info —</t>
        </is>
      </c>
      <c r="B4" s="2" t="n"/>
      <c r="C4" s="2" t="n"/>
      <c r="D4" s="2" t="n"/>
      <c r="E4" s="2" t="n"/>
      <c r="F4" s="2" t="n"/>
      <c r="G4" s="2" t="n"/>
      <c r="H4" s="3" t="n"/>
    </row>
    <row r="5">
      <c r="A5" s="6" t="inlineStr">
        <is>
          <t>Character Name</t>
        </is>
      </c>
      <c r="B5" s="7" t="inlineStr">
        <is>
          <t>Duan Tianya</t>
        </is>
      </c>
      <c r="C5" s="6" t="inlineStr">
        <is>
          <t>Player</t>
        </is>
      </c>
      <c r="D5" s="7" t="n"/>
      <c r="E5" s="6" t="inlineStr">
        <is>
          <t>Sect</t>
        </is>
      </c>
      <c r="F5" s="7" t="inlineStr">
        <is>
          <t>Tianjian Alliance</t>
        </is>
      </c>
    </row>
    <row r="6">
      <c r="A6" s="6" t="inlineStr">
        <is>
          <t>Concept</t>
        </is>
      </c>
      <c r="B6" s="8" t="inlineStr">
        <is>
          <t>Tianjian Alliance Lieyang Sword Master, about thirty-five, with fierce and overbearing sword art; a young hawkish leader.</t>
        </is>
      </c>
      <c r="C6" s="2" t="n"/>
      <c r="D6" s="3" t="n"/>
      <c r="E6" s="6" t="inlineStr">
        <is>
          <t>Realm</t>
        </is>
      </c>
      <c r="F6" s="7" t="inlineStr">
        <is>
          <t>Complete Mastery</t>
        </is>
      </c>
      <c r="G6" s="6" t="inlineStr">
        <is>
          <t>Inner Cultivation Coefficient</t>
        </is>
      </c>
      <c r="H6" s="7" t="inlineStr">
        <is>
          <t>3</t>
        </is>
      </c>
    </row>
    <row r="7"/>
    <row r="8">
      <c r="A8" s="5" t="inlineStr">
        <is>
          <t>— Six Attributes —</t>
        </is>
      </c>
      <c r="B8" s="2" t="n"/>
      <c r="C8" s="2" t="n"/>
      <c r="D8" s="2" t="n"/>
      <c r="E8" s="2" t="n"/>
      <c r="F8" s="2" t="n"/>
      <c r="G8" s="2" t="n"/>
      <c r="H8" s="3" t="n"/>
    </row>
    <row r="9">
      <c r="A9" s="9" t="inlineStr">
        <is>
          <t>Attribute</t>
        </is>
      </c>
      <c r="B9" s="9" t="inlineStr">
        <is>
          <t>Base Value</t>
        </is>
      </c>
      <c r="C9" s="9" t="inlineStr">
        <is>
          <t>Modifier</t>
        </is>
      </c>
      <c r="D9" s="9" t="inlineStr">
        <is>
          <t>Description</t>
        </is>
      </c>
    </row>
    <row r="10">
      <c r="A10" s="6" t="inlineStr">
        <is>
          <t>Strength (STR)</t>
        </is>
      </c>
      <c r="B10" s="7" t="inlineStr">
        <is>
          <t>7</t>
        </is>
      </c>
      <c r="C10" s="10">
        <f>B10-4</f>
        <v/>
      </c>
      <c r="D10" s="4" t="inlineStr">
        <is>
          <t>Muscle power, explosive force</t>
        </is>
      </c>
      <c r="E10" s="2" t="n"/>
      <c r="F10" s="3" t="n"/>
    </row>
    <row r="11">
      <c r="A11" s="6" t="inlineStr">
        <is>
          <t>Agility (AGI)</t>
        </is>
      </c>
      <c r="B11" s="7" t="inlineStr">
        <is>
          <t>6</t>
        </is>
      </c>
      <c r="C11" s="10">
        <f>B11-4</f>
        <v/>
      </c>
      <c r="D11" s="4" t="inlineStr">
        <is>
          <t>Speed, flexibility, lightfoot</t>
        </is>
      </c>
      <c r="E11" s="2" t="n"/>
      <c r="F11" s="3" t="n"/>
    </row>
    <row r="12">
      <c r="A12" s="6" t="inlineStr">
        <is>
          <t>Constitution (CON)</t>
        </is>
      </c>
      <c r="B12" s="7" t="inlineStr">
        <is>
          <t>6</t>
        </is>
      </c>
      <c r="C12" s="10">
        <f>B12-4</f>
        <v/>
      </c>
      <c r="D12" s="4" t="inlineStr">
        <is>
          <t>Meridian capacity, physique, life resilience</t>
        </is>
      </c>
      <c r="E12" s="2" t="n"/>
      <c r="F12" s="3" t="n"/>
    </row>
    <row r="13">
      <c r="A13" s="6" t="inlineStr">
        <is>
          <t>Comprehension (CMP)</t>
        </is>
      </c>
      <c r="B13" s="7" t="inlineStr">
        <is>
          <t>5</t>
        </is>
      </c>
      <c r="C13" s="10">
        <f>B13-4</f>
        <v/>
      </c>
      <c r="D13" s="4" t="inlineStr">
        <is>
          <t>Martial comprehension, learning efficiency</t>
        </is>
      </c>
      <c r="E13" s="2" t="n"/>
      <c r="F13" s="3" t="n"/>
    </row>
    <row r="14">
      <c r="A14" s="6" t="inlineStr">
        <is>
          <t>Willpower (WIL)</t>
        </is>
      </c>
      <c r="B14" s="7" t="inlineStr">
        <is>
          <t>5</t>
        </is>
      </c>
      <c r="C14" s="10">
        <f>B14-4</f>
        <v/>
      </c>
      <c r="D14" s="4" t="inlineStr">
        <is>
          <t>Willpower, mental stability</t>
        </is>
      </c>
      <c r="E14" s="2" t="n"/>
      <c r="F14" s="3" t="n"/>
    </row>
    <row r="15">
      <c r="A15" s="6" t="inlineStr">
        <is>
          <t>Charisma (CHA)</t>
        </is>
      </c>
      <c r="B15" s="7" t="inlineStr">
        <is>
          <t>5</t>
        </is>
      </c>
      <c r="C15" s="10">
        <f>B15-4</f>
        <v/>
      </c>
      <c r="D15" s="4" t="inlineStr">
        <is>
          <t>Personal charm, interpersonal influence</t>
        </is>
      </c>
      <c r="E15" s="2" t="n"/>
      <c r="F15" s="3" t="n"/>
    </row>
    <row r="16">
      <c r="A16" s="6" t="inlineStr">
        <is>
          <t>Attribute Total</t>
        </is>
      </c>
      <c r="B16" s="3" t="n"/>
    </row>
    <row r="17"/>
    <row r="18">
      <c r="A18" s="5" t="inlineStr">
        <is>
          <t>— Derived Values —</t>
        </is>
      </c>
      <c r="B18" s="2" t="n"/>
      <c r="C18" s="2" t="n"/>
      <c r="D18" s="2" t="n"/>
      <c r="E18" s="2" t="n"/>
      <c r="F18" s="2" t="n"/>
      <c r="G18" s="2" t="n"/>
      <c r="H18" s="3" t="n"/>
    </row>
    <row r="19">
      <c r="A19" s="6" t="inlineStr">
        <is>
          <t>Health Points (HP)</t>
        </is>
      </c>
      <c r="B19" s="4" t="inlineStr">
        <is>
          <t>Constitution×5 + Realm Bonus</t>
        </is>
      </c>
      <c r="C19" s="2" t="n"/>
      <c r="D19" s="3" t="n"/>
      <c r="E19" s="11">
        <f>B12*5+IF(F6="Crossing the Threshold",5,IF(F6="Complete Mastery",10,IF(F6="Perfecting the Craft",15,IF(F6="Peak of Perfection",20,IF(F6="Return to Simplicity",25,0)))))</f>
        <v/>
      </c>
      <c r="F19" s="3" t="n"/>
    </row>
    <row r="20">
      <c r="A20" s="6" t="inlineStr">
        <is>
          <t>Qi</t>
        </is>
      </c>
      <c r="B20" s="4" t="inlineStr">
        <is>
          <t>Constitution × Inner-Cultivation Coefficient + Realm Bonus</t>
        </is>
      </c>
      <c r="C20" s="2" t="n"/>
      <c r="D20" s="3" t="n"/>
      <c r="E20" s="11">
        <f>B12*VALUE(LEFT(H6,1))+IF(F6="Crossing the Threshold",3,IF(F6="Complete Mastery",6,IF(F6="Perfecting the Craft",10,IF(F6="Peak of Perfection",15,IF(F6="Return to Simplicity",20,0)))))</f>
        <v/>
      </c>
      <c r="F20" s="3" t="n"/>
    </row>
    <row r="21">
      <c r="A21" s="6" t="inlineStr">
        <is>
          <t>Initiative</t>
        </is>
      </c>
      <c r="B21" s="4" t="inlineStr">
        <is>
          <t>Agility + Willpower</t>
        </is>
      </c>
      <c r="C21" s="2" t="n"/>
      <c r="D21" s="3" t="n"/>
      <c r="E21" s="11">
        <f>B11+B14</f>
        <v/>
      </c>
      <c r="F21" s="3" t="n"/>
    </row>
    <row r="22">
      <c r="A22" s="6" t="inlineStr">
        <is>
          <t>Evasion</t>
        </is>
      </c>
      <c r="B22" s="4" t="inlineStr">
        <is>
          <t>Agility Modifier + Lightfoot Level</t>
        </is>
      </c>
      <c r="C22" s="2" t="n"/>
      <c r="D22" s="3" t="n"/>
      <c r="E22" s="11">
        <f>C11+B42</f>
        <v/>
      </c>
      <c r="F22" s="3" t="n"/>
    </row>
    <row r="23">
      <c r="A23" s="6" t="inlineStr">
        <is>
          <t>Defense</t>
        </is>
      </c>
      <c r="B23" s="4" t="inlineStr">
        <is>
          <t>Constitution Modifier + Armor Value</t>
        </is>
      </c>
      <c r="C23" s="2" t="n"/>
      <c r="D23" s="3" t="n"/>
      <c r="E23" s="11">
        <f>C12+B43</f>
        <v/>
      </c>
      <c r="F23" s="3" t="n"/>
    </row>
    <row r="24"/>
    <row r="25">
      <c r="A25" s="5" t="inlineStr">
        <is>
          <t>— Skills —</t>
        </is>
      </c>
      <c r="B25" s="3" t="n"/>
    </row>
    <row r="26">
      <c r="A26" s="9" t="inlineStr">
        <is>
          <t>Skills</t>
        </is>
      </c>
      <c r="B26" s="9" t="inlineStr">
        <is>
          <t>Level</t>
        </is>
      </c>
      <c r="C26" s="9" t="inlineStr">
        <is>
          <t>Bonus</t>
        </is>
      </c>
      <c r="D26" s="9" t="inlineStr">
        <is>
          <t>Corresponding Attribute</t>
        </is>
      </c>
      <c r="E26" s="7" t="inlineStr">
        <is>
          <t>Notes</t>
        </is>
      </c>
      <c r="F26" s="2" t="n"/>
      <c r="G26" s="2" t="n"/>
      <c r="H26" s="3" t="n"/>
    </row>
    <row r="27">
      <c r="A27" s="6" t="inlineStr">
        <is>
          <t>Technique Reading</t>
        </is>
      </c>
      <c r="B27" s="7" t="inlineStr">
        <is>
          <t>4</t>
        </is>
      </c>
      <c r="C27" s="4">
        <f>C10+B27</f>
        <v/>
      </c>
      <c r="D27" s="4" t="inlineStr">
        <is>
          <t>C10</t>
        </is>
      </c>
    </row>
    <row r="28">
      <c r="A28" s="6" t="inlineStr">
        <is>
          <t>Jianghu Lore</t>
        </is>
      </c>
      <c r="B28" s="7" t="inlineStr">
        <is>
          <t>3</t>
        </is>
      </c>
      <c r="C28" s="4">
        <f>C10+B28</f>
        <v/>
      </c>
      <c r="D28" s="4" t="inlineStr">
        <is>
          <t>C10</t>
        </is>
      </c>
    </row>
    <row r="29">
      <c r="A29" s="6" t="inlineStr">
        <is>
          <t>Lightfoot</t>
        </is>
      </c>
      <c r="B29" s="7" t="inlineStr">
        <is>
          <t>0</t>
        </is>
      </c>
      <c r="C29" s="4">
        <f>C10+B29</f>
        <v/>
      </c>
      <c r="D29" s="4" t="inlineStr">
        <is>
          <t>C10</t>
        </is>
      </c>
    </row>
    <row r="30">
      <c r="A30" s="6" t="inlineStr">
        <is>
          <t>Oratory</t>
        </is>
      </c>
      <c r="B30" s="7" t="inlineStr">
        <is>
          <t>0</t>
        </is>
      </c>
      <c r="C30" s="4">
        <f>C10+B30</f>
        <v/>
      </c>
      <c r="D30" s="4" t="inlineStr">
        <is>
          <t>C10</t>
        </is>
      </c>
    </row>
    <row r="31">
      <c r="A31" s="6" t="inlineStr">
        <is>
          <t>Climbing</t>
        </is>
      </c>
      <c r="B31" s="7" t="inlineStr">
        <is>
          <t>0</t>
        </is>
      </c>
      <c r="C31" s="4">
        <f>C10+B31</f>
        <v/>
      </c>
      <c r="D31" s="4" t="inlineStr">
        <is>
          <t>C10</t>
        </is>
      </c>
    </row>
    <row r="32">
      <c r="A32" s="6" t="inlineStr">
        <is>
          <t>Stealth</t>
        </is>
      </c>
      <c r="B32" s="7" t="inlineStr">
        <is>
          <t>0</t>
        </is>
      </c>
      <c r="C32" s="4">
        <f>C10+B32</f>
        <v/>
      </c>
      <c r="D32" s="4" t="inlineStr">
        <is>
          <t>C10</t>
        </is>
      </c>
    </row>
    <row r="33">
      <c r="A33" s="6" t="inlineStr">
        <is>
          <t>Tracking</t>
        </is>
      </c>
      <c r="B33" s="7" t="inlineStr">
        <is>
          <t>0</t>
        </is>
      </c>
      <c r="C33" s="4">
        <f>C10+B33</f>
        <v/>
      </c>
      <c r="D33" s="4" t="inlineStr">
        <is>
          <t>C10</t>
        </is>
      </c>
    </row>
    <row r="34">
      <c r="A34" s="6" t="inlineStr">
        <is>
          <t>Read Intent</t>
        </is>
      </c>
      <c r="B34" s="7" t="inlineStr">
        <is>
          <t>0</t>
        </is>
      </c>
      <c r="C34" s="4">
        <f>C10+B34</f>
        <v/>
      </c>
      <c r="D34" s="4" t="inlineStr">
        <is>
          <t>C10</t>
        </is>
      </c>
    </row>
    <row r="35">
      <c r="A35" s="6" t="inlineStr">
        <is>
          <t>Disguise</t>
        </is>
      </c>
      <c r="B35" s="7" t="inlineStr">
        <is>
          <t>0</t>
        </is>
      </c>
      <c r="C35" s="4">
        <f>C10+B35</f>
        <v/>
      </c>
      <c r="D35" s="4" t="inlineStr">
        <is>
          <t>C10</t>
        </is>
      </c>
    </row>
    <row r="36">
      <c r="A36" s="6" t="inlineStr">
        <is>
          <t>Lockpicking</t>
        </is>
      </c>
      <c r="B36" s="7" t="inlineStr">
        <is>
          <t>0</t>
        </is>
      </c>
      <c r="C36" s="4">
        <f>C10+B36</f>
        <v/>
      </c>
      <c r="D36" s="4" t="inlineStr">
        <is>
          <t>C10</t>
        </is>
      </c>
    </row>
    <row r="37">
      <c r="A37" s="6" t="inlineStr">
        <is>
          <t>Trapcraft</t>
        </is>
      </c>
      <c r="B37" s="7" t="inlineStr">
        <is>
          <t>0</t>
        </is>
      </c>
      <c r="C37" s="4">
        <f>C10+B37</f>
        <v/>
      </c>
      <c r="D37" s="4" t="inlineStr">
        <is>
          <t>C10</t>
        </is>
      </c>
    </row>
    <row r="38">
      <c r="A38" s="6" t="inlineStr">
        <is>
          <t>Medicine</t>
        </is>
      </c>
      <c r="B38" s="7" t="inlineStr">
        <is>
          <t>0</t>
        </is>
      </c>
      <c r="C38" s="4">
        <f>C10+B38</f>
        <v/>
      </c>
      <c r="D38" s="4" t="inlineStr">
        <is>
          <t>C10</t>
        </is>
      </c>
    </row>
    <row r="39">
      <c r="A39" s="6" t="inlineStr">
        <is>
          <t>Alchemy</t>
        </is>
      </c>
      <c r="B39" s="7" t="inlineStr">
        <is>
          <t>0</t>
        </is>
      </c>
      <c r="C39" s="4">
        <f>C10+B39</f>
        <v/>
      </c>
      <c r="D39" s="4" t="inlineStr">
        <is>
          <t>C10</t>
        </is>
      </c>
    </row>
    <row r="40">
      <c r="A40" s="6" t="inlineStr">
        <is>
          <t>Poisoncraft</t>
        </is>
      </c>
      <c r="B40" s="7" t="inlineStr">
        <is>
          <t>0</t>
        </is>
      </c>
      <c r="C40" s="4">
        <f>C10+B40</f>
        <v/>
      </c>
      <c r="D40" s="4" t="inlineStr">
        <is>
          <t>C10</t>
        </is>
      </c>
    </row>
    <row r="41">
      <c r="A41" s="6" t="inlineStr">
        <is>
          <t>Hidden Weapon</t>
        </is>
      </c>
      <c r="B41" s="7" t="inlineStr">
        <is>
          <t>0</t>
        </is>
      </c>
      <c r="C41" s="4">
        <f>C10+B41</f>
        <v/>
      </c>
      <c r="D41" s="4" t="inlineStr">
        <is>
          <t>C10</t>
        </is>
      </c>
    </row>
    <row r="42">
      <c r="A42" s="4" t="inlineStr">
        <is>
          <t>Lightfoot Level</t>
        </is>
      </c>
      <c r="B42" s="7" t="inlineStr">
        <is>
          <t>0</t>
        </is>
      </c>
      <c r="C42" s="4">
        <f>C10+B42</f>
        <v/>
      </c>
      <c r="D42" s="4" t="inlineStr">
        <is>
          <t>C10</t>
        </is>
      </c>
    </row>
    <row r="43">
      <c r="A43" s="4" t="inlineStr">
        <is>
          <t>Armor Value</t>
        </is>
      </c>
      <c r="B43" s="7" t="inlineStr">
        <is>
          <t>0</t>
        </is>
      </c>
      <c r="C43" s="4">
        <f>C10+B43</f>
        <v/>
      </c>
      <c r="D43" s="4" t="inlineStr">
        <is>
          <t>C10</t>
        </is>
      </c>
    </row>
    <row r="44">
      <c r="A44" s="6" t="inlineStr">
        <is>
          <t>Saber Art</t>
        </is>
      </c>
      <c r="B44" s="7" t="inlineStr">
        <is>
          <t>0</t>
        </is>
      </c>
      <c r="C44" s="4">
        <f>C10+B44</f>
        <v/>
      </c>
      <c r="D44" s="4" t="inlineStr">
        <is>
          <t>C10</t>
        </is>
      </c>
    </row>
    <row r="45">
      <c r="A45" s="6" t="inlineStr">
        <is>
          <t>Sword Art</t>
        </is>
      </c>
      <c r="B45" s="7" t="inlineStr">
        <is>
          <t>4</t>
        </is>
      </c>
      <c r="C45" s="4">
        <f>C10+B45</f>
        <v/>
      </c>
      <c r="D45" s="4" t="inlineStr">
        <is>
          <t>C10</t>
        </is>
      </c>
    </row>
    <row r="46"/>
    <row r="47"/>
    <row r="48"/>
    <row r="49">
      <c r="A49" s="5" t="inlineStr">
        <is>
          <t>— Martial Arts —</t>
        </is>
      </c>
      <c r="B49" s="2" t="n"/>
      <c r="C49" s="2" t="n"/>
      <c r="D49" s="2" t="n"/>
      <c r="E49" s="2" t="n"/>
      <c r="F49" s="2" t="n"/>
      <c r="G49" s="2" t="n"/>
      <c r="H49" s="3" t="n"/>
    </row>
    <row r="50">
      <c r="A50" s="9" t="inlineStr">
        <is>
          <t>Martial Art Name</t>
        </is>
      </c>
      <c r="B50" s="9" t="inlineStr">
        <is>
          <t>Type</t>
        </is>
      </c>
      <c r="C50" s="9" t="inlineStr">
        <is>
          <t>Tier · Proficiency</t>
        </is>
      </c>
      <c r="D50" s="9" t="inlineStr">
        <is>
          <t>Force Type</t>
        </is>
      </c>
      <c r="E50" s="9" t="inlineStr">
        <is>
          <t>Moves</t>
        </is>
      </c>
      <c r="F50" s="9" t="inlineStr">
        <is>
          <t>Qi</t>
        </is>
      </c>
      <c r="G50" s="9" t="inlineStr">
        <is>
          <t>Hit</t>
        </is>
      </c>
      <c r="H50" s="9" t="inlineStr">
        <is>
          <t>Damage / Effect</t>
        </is>
      </c>
    </row>
    <row r="51">
      <c r="A51" s="7" t="inlineStr">
        <is>
          <t>Lieyang Sword Art</t>
        </is>
      </c>
      <c r="B51" s="7" t="inlineStr">
        <is>
          <t>External Art · Sword</t>
        </is>
      </c>
      <c r="C51" s="7" t="inlineStr">
        <is>
          <t>Advanced</t>
        </is>
      </c>
      <c r="D51" s="7" t="inlineStr">
        <is>
          <t>Firm</t>
        </is>
      </c>
      <c r="E51" s="7" t="inlineStr">
        <is>
          <t>Scorching Sun Burns the Sky</t>
        </is>
      </c>
      <c r="F51" s="7" t="inlineStr">
        <is>
          <t>4</t>
        </is>
      </c>
      <c r="G51" s="7" t="inlineStr">
        <is>
          <t>+4</t>
        </is>
      </c>
      <c r="H51" s="7" t="inlineStr">
        <is>
          <t>3d6+STR (+3)</t>
        </is>
      </c>
    </row>
    <row r="52">
      <c r="A52" s="7" t="inlineStr">
        <is>
          <t>Lieyang Mental Manual</t>
        </is>
      </c>
      <c r="B52" s="7" t="inlineStr">
        <is>
          <t>Inner Cultivation</t>
        </is>
      </c>
      <c r="C52" s="7" t="inlineStr">
        <is>
          <t>Authentic</t>
        </is>
      </c>
      <c r="D52" s="7" t="inlineStr">
        <is>
          <t>—</t>
        </is>
      </c>
      <c r="E52" s="7" t="inlineStr">
        <is>
          <t>—</t>
        </is>
      </c>
      <c r="F52" s="7" t="inlineStr">
        <is>
          <t>—</t>
        </is>
      </c>
      <c r="G52" s="7" t="inlineStr">
        <is>
          <t>—</t>
        </is>
      </c>
      <c r="H52" s="7" t="inlineStr">
        <is>
          <t>Inner Cultivation Coefficient 3</t>
        </is>
      </c>
    </row>
    <row r="53">
      <c r="A53" s="7" t="n"/>
      <c r="B53" s="7" t="n"/>
      <c r="C53" s="7" t="n"/>
      <c r="D53" s="7" t="n"/>
      <c r="E53" s="7" t="n"/>
      <c r="F53" s="7" t="n"/>
      <c r="G53" s="7" t="n"/>
      <c r="H53" s="7" t="n"/>
    </row>
    <row r="54">
      <c r="A54" s="7" t="n"/>
      <c r="B54" s="7" t="n"/>
      <c r="C54" s="7" t="n"/>
      <c r="D54" s="7" t="n"/>
      <c r="E54" s="7" t="n"/>
      <c r="F54" s="7" t="n"/>
      <c r="G54" s="7" t="n"/>
      <c r="H54" s="7" t="n"/>
    </row>
    <row r="55">
      <c r="A55" s="7" t="n"/>
      <c r="B55" s="7" t="n"/>
      <c r="C55" s="7" t="n"/>
      <c r="D55" s="7" t="n"/>
      <c r="E55" s="7" t="n"/>
      <c r="F55" s="7" t="n"/>
      <c r="G55" s="7" t="n"/>
      <c r="H55" s="7" t="n"/>
    </row>
    <row r="56">
      <c r="A56" s="7" t="n"/>
      <c r="B56" s="7" t="n"/>
      <c r="C56" s="7" t="n"/>
      <c r="D56" s="7" t="n"/>
      <c r="E56" s="7" t="n"/>
      <c r="F56" s="7" t="n"/>
      <c r="G56" s="7" t="n"/>
      <c r="H56" s="7" t="n"/>
    </row>
    <row r="57">
      <c r="A57" s="7" t="n"/>
      <c r="B57" s="7" t="n"/>
      <c r="C57" s="7" t="n"/>
      <c r="D57" s="7" t="n"/>
      <c r="E57" s="7" t="n"/>
      <c r="F57" s="7" t="n"/>
      <c r="G57" s="7" t="n"/>
      <c r="H57" s="7" t="n"/>
    </row>
    <row r="58">
      <c r="A58" s="7" t="n"/>
      <c r="B58" s="7" t="n"/>
      <c r="C58" s="7" t="n"/>
      <c r="D58" s="7" t="n"/>
      <c r="E58" s="7" t="n"/>
      <c r="F58" s="7" t="n"/>
      <c r="G58" s="7" t="n"/>
      <c r="H58" s="7" t="n"/>
    </row>
    <row r="59"/>
    <row r="60"/>
    <row r="61">
      <c r="A61" s="5" t="inlineStr">
        <is>
          <t>— Equipment —</t>
        </is>
      </c>
      <c r="B61" s="2" t="n"/>
      <c r="C61" s="2" t="n"/>
      <c r="D61" s="2" t="n"/>
      <c r="E61" s="2" t="n"/>
      <c r="F61" s="2" t="n"/>
      <c r="G61" s="2" t="n"/>
      <c r="H61" s="3" t="n"/>
    </row>
    <row r="62">
      <c r="A62" s="9" t="inlineStr">
        <is>
          <t>Weapon</t>
        </is>
      </c>
      <c r="B62" s="9" t="inlineStr">
        <is>
          <t>Damage</t>
        </is>
      </c>
      <c r="C62" s="9" t="inlineStr">
        <is>
          <t>Hit Modifier</t>
        </is>
      </c>
      <c r="D62" s="9" t="inlineStr">
        <is>
          <t>Armor</t>
        </is>
      </c>
      <c r="E62" s="9" t="inlineStr">
        <is>
          <t>External Injury Reduction</t>
        </is>
      </c>
      <c r="F62" s="9" t="inlineStr">
        <is>
          <t>Item</t>
        </is>
      </c>
    </row>
    <row r="63">
      <c r="A63" s="7" t="n"/>
      <c r="B63" s="3" t="n"/>
      <c r="D63" s="7" t="n"/>
      <c r="E63" s="2" t="n"/>
      <c r="F63" s="3" t="n"/>
    </row>
    <row r="64"/>
    <row r="65"/>
    <row r="66"/>
    <row r="67"/>
    <row r="68"/>
    <row r="69">
      <c r="A69" s="6" t="inlineStr">
        <is>
          <t>Heroism</t>
        </is>
      </c>
      <c r="B69" s="7" t="inlineStr">
        <is>
          <t>20</t>
        </is>
      </c>
      <c r="D69" s="6" t="inlineStr">
        <is>
          <t>Infamy</t>
        </is>
      </c>
      <c r="E69" s="7" t="inlineStr">
        <is>
          <t>5</t>
        </is>
      </c>
    </row>
    <row r="70"/>
    <row r="71">
      <c r="A71" t="inlineStr">
        <is>
          <t>Can apprentice (Difficulty Class (DC) 12): Lieyang Sword Art + Lieyang Mental Manual.</t>
        </is>
      </c>
    </row>
    <row r="72">
      <c r="A72" t="inlineStr">
        <is>
          <t>Gift: Lieyang Sword (replica) (proficiency to Minor Accomplishment + Favor ≥10)</t>
        </is>
      </c>
    </row>
  </sheetData>
  <mergeCells count="29">
    <mergeCell ref="D13:F13"/>
    <mergeCell ref="D11:F11"/>
    <mergeCell ref="E26:H26"/>
    <mergeCell ref="B23:D23"/>
    <mergeCell ref="E23:F23"/>
    <mergeCell ref="A49:H49"/>
    <mergeCell ref="A1:H1"/>
    <mergeCell ref="A61:H61"/>
    <mergeCell ref="A16:B16"/>
    <mergeCell ref="B19:D19"/>
    <mergeCell ref="E20:F20"/>
    <mergeCell ref="A25:B25"/>
    <mergeCell ref="E19:F19"/>
    <mergeCell ref="D12:F12"/>
    <mergeCell ref="D15:F15"/>
    <mergeCell ref="B6:D6"/>
    <mergeCell ref="B20:D20"/>
    <mergeCell ref="A18:H18"/>
    <mergeCell ref="D14:F14"/>
    <mergeCell ref="A2:H2"/>
    <mergeCell ref="A8:H8"/>
    <mergeCell ref="D63:F63"/>
    <mergeCell ref="D10:F10"/>
    <mergeCell ref="A4:H4"/>
    <mergeCell ref="B22:D22"/>
    <mergeCell ref="A63:B63"/>
    <mergeCell ref="E22:F22"/>
    <mergeCell ref="B21:D21"/>
    <mergeCell ref="E21:F2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72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</cols>
  <sheetData>
    <row r="1">
      <c r="A1" s="1" t="inlineStr">
        <is>
          <t>Yonghe Martial Codex</t>
        </is>
      </c>
      <c r="B1" s="2" t="n"/>
      <c r="C1" s="2" t="n"/>
      <c r="D1" s="2" t="n"/>
      <c r="E1" s="2" t="n"/>
      <c r="F1" s="2" t="n"/>
      <c r="G1" s="2" t="n"/>
      <c r="H1" s="3" t="n"/>
    </row>
    <row r="2">
      <c r="A2" s="4" t="inlineStr">
        <is>
          <t>Character Card · Tabletop Rules Studio</t>
        </is>
      </c>
      <c r="B2" s="2" t="n"/>
      <c r="C2" s="2" t="n"/>
      <c r="D2" s="2" t="n"/>
      <c r="E2" s="2" t="n"/>
      <c r="F2" s="2" t="n"/>
      <c r="G2" s="2" t="n"/>
      <c r="H2" s="3" t="n"/>
    </row>
    <row r="3"/>
    <row r="4">
      <c r="A4" s="5" t="inlineStr">
        <is>
          <t>— Basic Info —</t>
        </is>
      </c>
      <c r="B4" s="2" t="n"/>
      <c r="C4" s="2" t="n"/>
      <c r="D4" s="2" t="n"/>
      <c r="E4" s="2" t="n"/>
      <c r="F4" s="2" t="n"/>
      <c r="G4" s="2" t="n"/>
      <c r="H4" s="3" t="n"/>
    </row>
    <row r="5">
      <c r="A5" s="6" t="inlineStr">
        <is>
          <t>Character Name</t>
        </is>
      </c>
      <c r="B5" s="7" t="inlineStr">
        <is>
          <t>Shen Wanjin</t>
        </is>
      </c>
      <c r="C5" s="6" t="inlineStr">
        <is>
          <t>Player</t>
        </is>
      </c>
      <c r="D5" s="7" t="n"/>
      <c r="E5" s="6" t="inlineStr">
        <is>
          <t>Sect</t>
        </is>
      </c>
      <c r="F5" s="7" t="inlineStr">
        <is>
          <t>Sihai Alliance</t>
        </is>
      </c>
    </row>
    <row r="6">
      <c r="A6" s="6" t="inlineStr">
        <is>
          <t>Concept</t>
        </is>
      </c>
      <c r="B6" s="8" t="inlineStr">
        <is>
          <t>Chief Manager of the Sihai Alliance, the richest in the jianghu; weak in martial arts but money works miracles.</t>
        </is>
      </c>
      <c r="C6" s="2" t="n"/>
      <c r="D6" s="3" t="n"/>
      <c r="E6" s="6" t="inlineStr">
        <is>
          <t>Realm</t>
        </is>
      </c>
      <c r="F6" s="7" t="inlineStr">
        <is>
          <t>Crossing the Threshold</t>
        </is>
      </c>
      <c r="G6" s="6" t="inlineStr">
        <is>
          <t>Inner Cultivation Coefficient</t>
        </is>
      </c>
      <c r="H6" s="7" t="inlineStr">
        <is>
          <t>1</t>
        </is>
      </c>
    </row>
    <row r="7"/>
    <row r="8">
      <c r="A8" s="5" t="inlineStr">
        <is>
          <t>— Six Attributes —</t>
        </is>
      </c>
      <c r="B8" s="2" t="n"/>
      <c r="C8" s="2" t="n"/>
      <c r="D8" s="2" t="n"/>
      <c r="E8" s="2" t="n"/>
      <c r="F8" s="2" t="n"/>
      <c r="G8" s="2" t="n"/>
      <c r="H8" s="3" t="n"/>
    </row>
    <row r="9">
      <c r="A9" s="9" t="inlineStr">
        <is>
          <t>Attribute</t>
        </is>
      </c>
      <c r="B9" s="9" t="inlineStr">
        <is>
          <t>Base Value</t>
        </is>
      </c>
      <c r="C9" s="9" t="inlineStr">
        <is>
          <t>Modifier</t>
        </is>
      </c>
      <c r="D9" s="9" t="inlineStr">
        <is>
          <t>Description</t>
        </is>
      </c>
    </row>
    <row r="10">
      <c r="A10" s="6" t="inlineStr">
        <is>
          <t>Strength (STR)</t>
        </is>
      </c>
      <c r="B10" s="7" t="inlineStr">
        <is>
          <t>3</t>
        </is>
      </c>
      <c r="C10" s="10">
        <f>B10-4</f>
        <v/>
      </c>
      <c r="D10" s="4" t="inlineStr">
        <is>
          <t>Muscle power, explosive force</t>
        </is>
      </c>
      <c r="E10" s="2" t="n"/>
      <c r="F10" s="3" t="n"/>
    </row>
    <row r="11">
      <c r="A11" s="6" t="inlineStr">
        <is>
          <t>Agility (AGI)</t>
        </is>
      </c>
      <c r="B11" s="7" t="inlineStr">
        <is>
          <t>3</t>
        </is>
      </c>
      <c r="C11" s="10">
        <f>B11-4</f>
        <v/>
      </c>
      <c r="D11" s="4" t="inlineStr">
        <is>
          <t>Speed, flexibility, lightfoot</t>
        </is>
      </c>
      <c r="E11" s="2" t="n"/>
      <c r="F11" s="3" t="n"/>
    </row>
    <row r="12">
      <c r="A12" s="6" t="inlineStr">
        <is>
          <t>Constitution (CON)</t>
        </is>
      </c>
      <c r="B12" s="7" t="inlineStr">
        <is>
          <t>4</t>
        </is>
      </c>
      <c r="C12" s="10">
        <f>B12-4</f>
        <v/>
      </c>
      <c r="D12" s="4" t="inlineStr">
        <is>
          <t>Meridian capacity, physique, life resilience</t>
        </is>
      </c>
      <c r="E12" s="2" t="n"/>
      <c r="F12" s="3" t="n"/>
    </row>
    <row r="13">
      <c r="A13" s="6" t="inlineStr">
        <is>
          <t>Comprehension (CMP)</t>
        </is>
      </c>
      <c r="B13" s="7" t="inlineStr">
        <is>
          <t>6</t>
        </is>
      </c>
      <c r="C13" s="10">
        <f>B13-4</f>
        <v/>
      </c>
      <c r="D13" s="4" t="inlineStr">
        <is>
          <t>Martial comprehension, learning efficiency</t>
        </is>
      </c>
      <c r="E13" s="2" t="n"/>
      <c r="F13" s="3" t="n"/>
    </row>
    <row r="14">
      <c r="A14" s="6" t="inlineStr">
        <is>
          <t>Willpower (WIL)</t>
        </is>
      </c>
      <c r="B14" s="7" t="inlineStr">
        <is>
          <t>5</t>
        </is>
      </c>
      <c r="C14" s="10">
        <f>B14-4</f>
        <v/>
      </c>
      <c r="D14" s="4" t="inlineStr">
        <is>
          <t>Willpower, mental stability</t>
        </is>
      </c>
      <c r="E14" s="2" t="n"/>
      <c r="F14" s="3" t="n"/>
    </row>
    <row r="15">
      <c r="A15" s="6" t="inlineStr">
        <is>
          <t>Charisma (CHA)</t>
        </is>
      </c>
      <c r="B15" s="7" t="inlineStr">
        <is>
          <t>8</t>
        </is>
      </c>
      <c r="C15" s="10">
        <f>B15-4</f>
        <v/>
      </c>
      <c r="D15" s="4" t="inlineStr">
        <is>
          <t>Personal charm, interpersonal influence</t>
        </is>
      </c>
      <c r="E15" s="2" t="n"/>
      <c r="F15" s="3" t="n"/>
    </row>
    <row r="16">
      <c r="A16" s="6" t="inlineStr">
        <is>
          <t>Attribute Total</t>
        </is>
      </c>
      <c r="B16" s="3" t="n"/>
    </row>
    <row r="17"/>
    <row r="18">
      <c r="A18" s="5" t="inlineStr">
        <is>
          <t>— Derived Values —</t>
        </is>
      </c>
      <c r="B18" s="2" t="n"/>
      <c r="C18" s="2" t="n"/>
      <c r="D18" s="2" t="n"/>
      <c r="E18" s="2" t="n"/>
      <c r="F18" s="2" t="n"/>
      <c r="G18" s="2" t="n"/>
      <c r="H18" s="3" t="n"/>
    </row>
    <row r="19">
      <c r="A19" s="6" t="inlineStr">
        <is>
          <t>Health Points (HP)</t>
        </is>
      </c>
      <c r="B19" s="4" t="inlineStr">
        <is>
          <t>Constitution×5 + Realm Bonus</t>
        </is>
      </c>
      <c r="C19" s="2" t="n"/>
      <c r="D19" s="3" t="n"/>
      <c r="E19" s="11">
        <f>B12*5+IF(F6="Crossing the Threshold",5,IF(F6="Complete Mastery",10,IF(F6="Perfecting the Craft",15,IF(F6="Peak of Perfection",20,IF(F6="Return to Simplicity",25,0)))))</f>
        <v/>
      </c>
      <c r="F19" s="3" t="n"/>
    </row>
    <row r="20">
      <c r="A20" s="6" t="inlineStr">
        <is>
          <t>Qi</t>
        </is>
      </c>
      <c r="B20" s="4" t="inlineStr">
        <is>
          <t>Constitution × Inner-Cultivation Coefficient + Realm Bonus</t>
        </is>
      </c>
      <c r="C20" s="2" t="n"/>
      <c r="D20" s="3" t="n"/>
      <c r="E20" s="11">
        <f>B12*VALUE(LEFT(H6,1))+IF(F6="Crossing the Threshold",3,IF(F6="Complete Mastery",6,IF(F6="Perfecting the Craft",10,IF(F6="Peak of Perfection",15,IF(F6="Return to Simplicity",20,0)))))</f>
        <v/>
      </c>
      <c r="F20" s="3" t="n"/>
    </row>
    <row r="21">
      <c r="A21" s="6" t="inlineStr">
        <is>
          <t>Initiative</t>
        </is>
      </c>
      <c r="B21" s="4" t="inlineStr">
        <is>
          <t>Agility + Willpower</t>
        </is>
      </c>
      <c r="C21" s="2" t="n"/>
      <c r="D21" s="3" t="n"/>
      <c r="E21" s="11">
        <f>B11+B14</f>
        <v/>
      </c>
      <c r="F21" s="3" t="n"/>
    </row>
    <row r="22">
      <c r="A22" s="6" t="inlineStr">
        <is>
          <t>Evasion</t>
        </is>
      </c>
      <c r="B22" s="4" t="inlineStr">
        <is>
          <t>Agility Modifier + Lightfoot Level</t>
        </is>
      </c>
      <c r="C22" s="2" t="n"/>
      <c r="D22" s="3" t="n"/>
      <c r="E22" s="11">
        <f>C11+B42</f>
        <v/>
      </c>
      <c r="F22" s="3" t="n"/>
    </row>
    <row r="23">
      <c r="A23" s="6" t="inlineStr">
        <is>
          <t>Defense</t>
        </is>
      </c>
      <c r="B23" s="4" t="inlineStr">
        <is>
          <t>Constitution Modifier + Armor Value</t>
        </is>
      </c>
      <c r="C23" s="2" t="n"/>
      <c r="D23" s="3" t="n"/>
      <c r="E23" s="11">
        <f>C12+B43</f>
        <v/>
      </c>
      <c r="F23" s="3" t="n"/>
    </row>
    <row r="24"/>
    <row r="25">
      <c r="A25" s="5" t="inlineStr">
        <is>
          <t>— Skills —</t>
        </is>
      </c>
      <c r="B25" s="3" t="n"/>
    </row>
    <row r="26">
      <c r="A26" s="9" t="inlineStr">
        <is>
          <t>Skills</t>
        </is>
      </c>
      <c r="B26" s="9" t="inlineStr">
        <is>
          <t>Level</t>
        </is>
      </c>
      <c r="C26" s="9" t="inlineStr">
        <is>
          <t>Bonus</t>
        </is>
      </c>
      <c r="D26" s="9" t="inlineStr">
        <is>
          <t>Corresponding Attribute</t>
        </is>
      </c>
      <c r="E26" s="7" t="inlineStr">
        <is>
          <t>Notes</t>
        </is>
      </c>
      <c r="F26" s="2" t="n"/>
      <c r="G26" s="2" t="n"/>
      <c r="H26" s="3" t="n"/>
    </row>
    <row r="27">
      <c r="A27" s="6" t="inlineStr">
        <is>
          <t>Technique Reading</t>
        </is>
      </c>
      <c r="B27" s="7" t="inlineStr">
        <is>
          <t>0</t>
        </is>
      </c>
      <c r="C27" s="4">
        <f>C10+B27</f>
        <v/>
      </c>
      <c r="D27" s="4" t="inlineStr">
        <is>
          <t>C10</t>
        </is>
      </c>
    </row>
    <row r="28">
      <c r="A28" s="6" t="inlineStr">
        <is>
          <t>Jianghu Lore</t>
        </is>
      </c>
      <c r="B28" s="7" t="inlineStr">
        <is>
          <t>5</t>
        </is>
      </c>
      <c r="C28" s="4">
        <f>C10+B28</f>
        <v/>
      </c>
      <c r="D28" s="4" t="inlineStr">
        <is>
          <t>C10</t>
        </is>
      </c>
    </row>
    <row r="29">
      <c r="A29" s="6" t="inlineStr">
        <is>
          <t>Lightfoot</t>
        </is>
      </c>
      <c r="B29" s="7" t="inlineStr">
        <is>
          <t>0</t>
        </is>
      </c>
      <c r="C29" s="4">
        <f>C10+B29</f>
        <v/>
      </c>
      <c r="D29" s="4" t="inlineStr">
        <is>
          <t>C10</t>
        </is>
      </c>
    </row>
    <row r="30">
      <c r="A30" s="6" t="inlineStr">
        <is>
          <t>Oratory</t>
        </is>
      </c>
      <c r="B30" s="7" t="inlineStr">
        <is>
          <t>6</t>
        </is>
      </c>
      <c r="C30" s="4">
        <f>C10+B30</f>
        <v/>
      </c>
      <c r="D30" s="4" t="inlineStr">
        <is>
          <t>C10</t>
        </is>
      </c>
    </row>
    <row r="31">
      <c r="A31" s="6" t="inlineStr">
        <is>
          <t>Climbing</t>
        </is>
      </c>
      <c r="B31" s="7" t="inlineStr">
        <is>
          <t>0</t>
        </is>
      </c>
      <c r="C31" s="4">
        <f>C10+B31</f>
        <v/>
      </c>
      <c r="D31" s="4" t="inlineStr">
        <is>
          <t>C10</t>
        </is>
      </c>
    </row>
    <row r="32">
      <c r="A32" s="6" t="inlineStr">
        <is>
          <t>Stealth</t>
        </is>
      </c>
      <c r="B32" s="7" t="inlineStr">
        <is>
          <t>0</t>
        </is>
      </c>
      <c r="C32" s="4">
        <f>C10+B32</f>
        <v/>
      </c>
      <c r="D32" s="4" t="inlineStr">
        <is>
          <t>C10</t>
        </is>
      </c>
    </row>
    <row r="33">
      <c r="A33" s="6" t="inlineStr">
        <is>
          <t>Tracking</t>
        </is>
      </c>
      <c r="B33" s="7" t="inlineStr">
        <is>
          <t>0</t>
        </is>
      </c>
      <c r="C33" s="4">
        <f>C10+B33</f>
        <v/>
      </c>
      <c r="D33" s="4" t="inlineStr">
        <is>
          <t>C10</t>
        </is>
      </c>
    </row>
    <row r="34">
      <c r="A34" s="6" t="inlineStr">
        <is>
          <t>Read Intent</t>
        </is>
      </c>
      <c r="B34" s="7" t="inlineStr">
        <is>
          <t>5</t>
        </is>
      </c>
      <c r="C34" s="4">
        <f>C10+B34</f>
        <v/>
      </c>
      <c r="D34" s="4" t="inlineStr">
        <is>
          <t>C10</t>
        </is>
      </c>
    </row>
    <row r="35">
      <c r="A35" s="6" t="inlineStr">
        <is>
          <t>Disguise</t>
        </is>
      </c>
      <c r="B35" s="7" t="inlineStr">
        <is>
          <t>0</t>
        </is>
      </c>
      <c r="C35" s="4">
        <f>C10+B35</f>
        <v/>
      </c>
      <c r="D35" s="4" t="inlineStr">
        <is>
          <t>C10</t>
        </is>
      </c>
    </row>
    <row r="36">
      <c r="A36" s="6" t="inlineStr">
        <is>
          <t>Lockpicking</t>
        </is>
      </c>
      <c r="B36" s="7" t="inlineStr">
        <is>
          <t>0</t>
        </is>
      </c>
      <c r="C36" s="4">
        <f>C10+B36</f>
        <v/>
      </c>
      <c r="D36" s="4" t="inlineStr">
        <is>
          <t>C10</t>
        </is>
      </c>
    </row>
    <row r="37">
      <c r="A37" s="6" t="inlineStr">
        <is>
          <t>Trapcraft</t>
        </is>
      </c>
      <c r="B37" s="7" t="inlineStr">
        <is>
          <t>0</t>
        </is>
      </c>
      <c r="C37" s="4">
        <f>C10+B37</f>
        <v/>
      </c>
      <c r="D37" s="4" t="inlineStr">
        <is>
          <t>C10</t>
        </is>
      </c>
    </row>
    <row r="38">
      <c r="A38" s="6" t="inlineStr">
        <is>
          <t>Medicine</t>
        </is>
      </c>
      <c r="B38" s="7" t="inlineStr">
        <is>
          <t>0</t>
        </is>
      </c>
      <c r="C38" s="4">
        <f>C10+B38</f>
        <v/>
      </c>
      <c r="D38" s="4" t="inlineStr">
        <is>
          <t>C10</t>
        </is>
      </c>
    </row>
    <row r="39">
      <c r="A39" s="6" t="inlineStr">
        <is>
          <t>Alchemy</t>
        </is>
      </c>
      <c r="B39" s="7" t="inlineStr">
        <is>
          <t>3</t>
        </is>
      </c>
      <c r="C39" s="4">
        <f>C10+B39</f>
        <v/>
      </c>
      <c r="D39" s="4" t="inlineStr">
        <is>
          <t>C10</t>
        </is>
      </c>
    </row>
    <row r="40">
      <c r="A40" s="6" t="inlineStr">
        <is>
          <t>Poisoncraft</t>
        </is>
      </c>
      <c r="B40" s="7" t="inlineStr">
        <is>
          <t>0</t>
        </is>
      </c>
      <c r="C40" s="4">
        <f>C10+B40</f>
        <v/>
      </c>
      <c r="D40" s="4" t="inlineStr">
        <is>
          <t>C10</t>
        </is>
      </c>
    </row>
    <row r="41">
      <c r="A41" s="6" t="inlineStr">
        <is>
          <t>Hidden Weapon</t>
        </is>
      </c>
      <c r="B41" s="7" t="inlineStr">
        <is>
          <t>0</t>
        </is>
      </c>
      <c r="C41" s="4">
        <f>C10+B41</f>
        <v/>
      </c>
      <c r="D41" s="4" t="inlineStr">
        <is>
          <t>C10</t>
        </is>
      </c>
    </row>
    <row r="42">
      <c r="A42" s="4" t="inlineStr">
        <is>
          <t>Lightfoot Level</t>
        </is>
      </c>
      <c r="B42" s="7" t="inlineStr">
        <is>
          <t>0</t>
        </is>
      </c>
      <c r="C42" s="4">
        <f>C10+B42</f>
        <v/>
      </c>
      <c r="D42" s="4" t="inlineStr">
        <is>
          <t>C10</t>
        </is>
      </c>
    </row>
    <row r="43">
      <c r="A43" s="4" t="inlineStr">
        <is>
          <t>Armor Value</t>
        </is>
      </c>
      <c r="B43" s="7" t="inlineStr">
        <is>
          <t>0</t>
        </is>
      </c>
      <c r="C43" s="4">
        <f>C10+B43</f>
        <v/>
      </c>
      <c r="D43" s="4" t="inlineStr">
        <is>
          <t>C10</t>
        </is>
      </c>
    </row>
    <row r="44">
      <c r="A44" s="6" t="inlineStr">
        <is>
          <t>Saber Art</t>
        </is>
      </c>
      <c r="B44" s="7" t="inlineStr">
        <is>
          <t>0</t>
        </is>
      </c>
      <c r="C44" s="4">
        <f>C10+B44</f>
        <v/>
      </c>
      <c r="D44" s="4" t="inlineStr">
        <is>
          <t>C10</t>
        </is>
      </c>
    </row>
    <row r="45">
      <c r="A45" s="6" t="inlineStr">
        <is>
          <t>Sword Art</t>
        </is>
      </c>
      <c r="B45" s="7" t="inlineStr">
        <is>
          <t>0</t>
        </is>
      </c>
      <c r="C45" s="4">
        <f>C10+B45</f>
        <v/>
      </c>
      <c r="D45" s="4" t="inlineStr">
        <is>
          <t>C10</t>
        </is>
      </c>
    </row>
    <row r="46"/>
    <row r="47"/>
    <row r="48"/>
    <row r="49">
      <c r="A49" s="5" t="inlineStr">
        <is>
          <t>— Martial Arts —</t>
        </is>
      </c>
      <c r="B49" s="2" t="n"/>
      <c r="C49" s="2" t="n"/>
      <c r="D49" s="2" t="n"/>
      <c r="E49" s="2" t="n"/>
      <c r="F49" s="2" t="n"/>
      <c r="G49" s="2" t="n"/>
      <c r="H49" s="3" t="n"/>
    </row>
    <row r="50">
      <c r="A50" s="9" t="inlineStr">
        <is>
          <t>Martial Art Name</t>
        </is>
      </c>
      <c r="B50" s="9" t="inlineStr">
        <is>
          <t>Type</t>
        </is>
      </c>
      <c r="C50" s="9" t="inlineStr">
        <is>
          <t>Tier · Proficiency</t>
        </is>
      </c>
      <c r="D50" s="9" t="inlineStr">
        <is>
          <t>Force Type</t>
        </is>
      </c>
      <c r="E50" s="9" t="inlineStr">
        <is>
          <t>Moves</t>
        </is>
      </c>
      <c r="F50" s="9" t="inlineStr">
        <is>
          <t>Qi</t>
        </is>
      </c>
      <c r="G50" s="9" t="inlineStr">
        <is>
          <t>Hit</t>
        </is>
      </c>
      <c r="H50" s="9" t="inlineStr">
        <is>
          <t>Damage / Effect</t>
        </is>
      </c>
    </row>
    <row r="51">
      <c r="A51" s="7" t="inlineStr">
        <is>
          <t>Golden-Saber Invitation</t>
        </is>
      </c>
      <c r="B51" s="7" t="inlineStr">
        <is>
          <t>Special</t>
        </is>
      </c>
      <c r="C51" s="7" t="inlineStr">
        <is>
          <t>—</t>
        </is>
      </c>
      <c r="D51" s="7" t="inlineStr">
        <is>
          <t>—</t>
        </is>
      </c>
      <c r="E51" s="7" t="inlineStr">
        <is>
          <t>—</t>
        </is>
      </c>
      <c r="F51" s="7" t="inlineStr">
        <is>
          <t>—</t>
        </is>
      </c>
      <c r="G51" s="7" t="inlineStr">
        <is>
          <t>—</t>
        </is>
      </c>
      <c r="H51" s="7" t="inlineStr">
        <is>
          <t>Summon Golden-Saber Guard</t>
        </is>
      </c>
    </row>
    <row r="52">
      <c r="A52" s="7" t="n"/>
      <c r="B52" s="7" t="n"/>
      <c r="C52" s="7" t="n"/>
      <c r="D52" s="7" t="n"/>
      <c r="E52" s="7" t="n"/>
      <c r="F52" s="7" t="n"/>
      <c r="G52" s="7" t="n"/>
      <c r="H52" s="7" t="n"/>
    </row>
    <row r="53">
      <c r="A53" s="7" t="n"/>
      <c r="B53" s="7" t="n"/>
      <c r="C53" s="7" t="n"/>
      <c r="D53" s="7" t="n"/>
      <c r="E53" s="7" t="n"/>
      <c r="F53" s="7" t="n"/>
      <c r="G53" s="7" t="n"/>
      <c r="H53" s="7" t="n"/>
    </row>
    <row r="54">
      <c r="A54" s="7" t="n"/>
      <c r="B54" s="7" t="n"/>
      <c r="C54" s="7" t="n"/>
      <c r="D54" s="7" t="n"/>
      <c r="E54" s="7" t="n"/>
      <c r="F54" s="7" t="n"/>
      <c r="G54" s="7" t="n"/>
      <c r="H54" s="7" t="n"/>
    </row>
    <row r="55">
      <c r="A55" s="7" t="n"/>
      <c r="B55" s="7" t="n"/>
      <c r="C55" s="7" t="n"/>
      <c r="D55" s="7" t="n"/>
      <c r="E55" s="7" t="n"/>
      <c r="F55" s="7" t="n"/>
      <c r="G55" s="7" t="n"/>
      <c r="H55" s="7" t="n"/>
    </row>
    <row r="56">
      <c r="A56" s="7" t="n"/>
      <c r="B56" s="7" t="n"/>
      <c r="C56" s="7" t="n"/>
      <c r="D56" s="7" t="n"/>
      <c r="E56" s="7" t="n"/>
      <c r="F56" s="7" t="n"/>
      <c r="G56" s="7" t="n"/>
      <c r="H56" s="7" t="n"/>
    </row>
    <row r="57">
      <c r="A57" s="7" t="n"/>
      <c r="B57" s="7" t="n"/>
      <c r="C57" s="7" t="n"/>
      <c r="D57" s="7" t="n"/>
      <c r="E57" s="7" t="n"/>
      <c r="F57" s="7" t="n"/>
      <c r="G57" s="7" t="n"/>
      <c r="H57" s="7" t="n"/>
    </row>
    <row r="58">
      <c r="A58" s="7" t="n"/>
      <c r="B58" s="7" t="n"/>
      <c r="C58" s="7" t="n"/>
      <c r="D58" s="7" t="n"/>
      <c r="E58" s="7" t="n"/>
      <c r="F58" s="7" t="n"/>
      <c r="G58" s="7" t="n"/>
      <c r="H58" s="7" t="n"/>
    </row>
    <row r="59"/>
    <row r="60"/>
    <row r="61">
      <c r="A61" s="5" t="inlineStr">
        <is>
          <t>— Equipment —</t>
        </is>
      </c>
      <c r="B61" s="2" t="n"/>
      <c r="C61" s="2" t="n"/>
      <c r="D61" s="2" t="n"/>
      <c r="E61" s="2" t="n"/>
      <c r="F61" s="2" t="n"/>
      <c r="G61" s="2" t="n"/>
      <c r="H61" s="3" t="n"/>
    </row>
    <row r="62">
      <c r="A62" s="9" t="inlineStr">
        <is>
          <t>Weapon</t>
        </is>
      </c>
      <c r="B62" s="9" t="inlineStr">
        <is>
          <t>Damage</t>
        </is>
      </c>
      <c r="C62" s="9" t="inlineStr">
        <is>
          <t>Hit Modifier</t>
        </is>
      </c>
      <c r="D62" s="9" t="inlineStr">
        <is>
          <t>Armor</t>
        </is>
      </c>
      <c r="E62" s="9" t="inlineStr">
        <is>
          <t>External Injury Reduction</t>
        </is>
      </c>
      <c r="F62" s="9" t="inlineStr">
        <is>
          <t>Item</t>
        </is>
      </c>
    </row>
    <row r="63">
      <c r="A63" s="7" t="n"/>
      <c r="B63" s="3" t="n"/>
      <c r="D63" s="7" t="n"/>
      <c r="E63" s="2" t="n"/>
      <c r="F63" s="3" t="n"/>
    </row>
    <row r="64"/>
    <row r="65"/>
    <row r="66"/>
    <row r="67"/>
    <row r="68"/>
    <row r="69">
      <c r="A69" s="6" t="inlineStr">
        <is>
          <t>Heroism</t>
        </is>
      </c>
      <c r="B69" s="7" t="inlineStr">
        <is>
          <t>15</t>
        </is>
      </c>
      <c r="D69" s="6" t="inlineStr">
        <is>
          <t>Infamy</t>
        </is>
      </c>
      <c r="E69" s="7" t="inlineStr">
        <is>
          <t>5</t>
        </is>
      </c>
    </row>
    <row r="70"/>
    <row r="71">
      <c r="A71" t="inlineStr">
        <is>
          <t>Can apprentice (Difficulty Class (DC) 10): Oratory / Jianghu Lore. Gifts 50 taels.</t>
        </is>
      </c>
    </row>
    <row r="72">
      <c r="A72" t="inlineStr">
        <is>
          <t>Apprenticeship Gift: Startup Fund 50 taels (installments allowed) + Sihai Alliance VIP Card (20% off)</t>
        </is>
      </c>
    </row>
  </sheetData>
  <mergeCells count="29">
    <mergeCell ref="D13:F13"/>
    <mergeCell ref="D11:F11"/>
    <mergeCell ref="E26:H26"/>
    <mergeCell ref="B23:D23"/>
    <mergeCell ref="E23:F23"/>
    <mergeCell ref="A49:H49"/>
    <mergeCell ref="A1:H1"/>
    <mergeCell ref="A61:H61"/>
    <mergeCell ref="A16:B16"/>
    <mergeCell ref="B19:D19"/>
    <mergeCell ref="E20:F20"/>
    <mergeCell ref="A25:B25"/>
    <mergeCell ref="E19:F19"/>
    <mergeCell ref="D12:F12"/>
    <mergeCell ref="D15:F15"/>
    <mergeCell ref="B6:D6"/>
    <mergeCell ref="B20:D20"/>
    <mergeCell ref="A18:H18"/>
    <mergeCell ref="D14:F14"/>
    <mergeCell ref="A2:H2"/>
    <mergeCell ref="A8:H8"/>
    <mergeCell ref="D63:F63"/>
    <mergeCell ref="D10:F10"/>
    <mergeCell ref="A4:H4"/>
    <mergeCell ref="B22:D22"/>
    <mergeCell ref="A63:B63"/>
    <mergeCell ref="E22:F22"/>
    <mergeCell ref="B21:D21"/>
    <mergeCell ref="E21:F2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>
      <c r="A1" s="12" t="inlineStr">
        <is>
          <t>Yonghe Martial Codex</t>
        </is>
      </c>
      <c r="B1" s="2" t="n"/>
      <c r="C1" s="2" t="n"/>
      <c r="D1" s="2" t="n"/>
      <c r="E1" s="2" t="n"/>
      <c r="F1" s="2" t="n"/>
      <c r="G1" s="2" t="n"/>
      <c r="H1" s="3" t="n"/>
    </row>
    <row r="2">
      <c r="A2" s="4" t="inlineStr">
        <is>
          <t>Court NPC · Tabletop Rules Studio</t>
        </is>
      </c>
      <c r="B2" s="2" t="n"/>
      <c r="C2" s="2" t="n"/>
      <c r="D2" s="2" t="n"/>
      <c r="E2" s="2" t="n"/>
      <c r="F2" s="2" t="n"/>
      <c r="G2" s="2" t="n"/>
      <c r="H2" s="3" t="n"/>
    </row>
    <row r="3"/>
    <row r="4">
      <c r="A4" s="13" t="inlineStr">
        <is>
          <t>— Basic Info —</t>
        </is>
      </c>
      <c r="B4" s="2" t="n"/>
      <c r="C4" s="2" t="n"/>
      <c r="D4" s="2" t="n"/>
      <c r="E4" s="2" t="n"/>
      <c r="F4" s="2" t="n"/>
      <c r="G4" s="2" t="n"/>
      <c r="H4" s="3" t="n"/>
    </row>
    <row r="5">
      <c r="A5" s="6" t="inlineStr">
        <is>
          <t>Character Name</t>
        </is>
      </c>
      <c r="B5" s="6" t="inlineStr">
        <is>
          <t>Baihe</t>
        </is>
      </c>
      <c r="C5" s="3" t="n"/>
      <c r="D5" s="6" t="inlineStr">
        <is>
          <t>Faction</t>
        </is>
      </c>
      <c r="E5" s="7" t="inlineStr">
        <is>
          <t>Court · Ministry of Rites</t>
        </is>
      </c>
      <c r="F5" s="6" t="inlineStr">
        <is>
          <t>Realm</t>
        </is>
      </c>
      <c r="G5" s="7" t="inlineStr">
        <is>
          <t>Complete Mastery</t>
        </is>
      </c>
      <c r="H5" s="4" t="inlineStr">
        <is>
          <t>0 (No Inner Art)</t>
        </is>
      </c>
    </row>
    <row r="6">
      <c r="A6" s="6" t="inlineStr">
        <is>
          <t>Concept</t>
        </is>
      </c>
      <c r="B6" s="14" t="inlineStr">
        <is>
          <t>Court Imperial Commissioner, chief examiner of the martial exam. No martial arts, but rhetoric and scheming can suppress most jianghu folk.</t>
        </is>
      </c>
      <c r="C6" s="2" t="n"/>
      <c r="D6" s="2" t="n"/>
      <c r="E6" s="2" t="n"/>
      <c r="F6" s="2" t="n"/>
      <c r="G6" s="2" t="n"/>
      <c r="H6" s="3" t="n"/>
    </row>
    <row r="7"/>
    <row r="8">
      <c r="A8" s="13" t="inlineStr">
        <is>
          <t>— Six Attributes —</t>
        </is>
      </c>
      <c r="B8" s="2" t="n"/>
      <c r="C8" s="2" t="n"/>
      <c r="D8" s="2" t="n"/>
      <c r="E8" s="2" t="n"/>
      <c r="F8" s="2" t="n"/>
      <c r="G8" s="2" t="n"/>
      <c r="H8" s="3" t="n"/>
    </row>
    <row r="9">
      <c r="A9" s="9" t="inlineStr">
        <is>
          <t>Attribute</t>
        </is>
      </c>
      <c r="B9" s="9" t="inlineStr">
        <is>
          <t>Base Value</t>
        </is>
      </c>
      <c r="C9" s="9" t="inlineStr">
        <is>
          <t>Modifier</t>
        </is>
      </c>
      <c r="D9" s="9" t="inlineStr">
        <is>
          <t>Description</t>
        </is>
      </c>
    </row>
    <row r="10">
      <c r="A10" s="6" t="inlineStr">
        <is>
          <t>Strength (STR)</t>
        </is>
      </c>
      <c r="B10" s="7" t="inlineStr">
        <is>
          <t>2</t>
        </is>
      </c>
      <c r="C10" s="10">
        <f>B10-4</f>
        <v/>
      </c>
      <c r="D10" s="4" t="n"/>
      <c r="E10" s="2" t="n"/>
      <c r="F10" s="3" t="n"/>
    </row>
    <row r="11">
      <c r="A11" s="6" t="inlineStr">
        <is>
          <t>Agility (AGI)</t>
        </is>
      </c>
      <c r="B11" s="7" t="inlineStr">
        <is>
          <t>3</t>
        </is>
      </c>
      <c r="C11" s="10">
        <f>B11-4</f>
        <v/>
      </c>
      <c r="D11" s="4" t="n"/>
      <c r="E11" s="2" t="n"/>
      <c r="F11" s="3" t="n"/>
    </row>
    <row r="12">
      <c r="A12" s="6" t="inlineStr">
        <is>
          <t>Constitution (CON)</t>
        </is>
      </c>
      <c r="B12" s="7" t="inlineStr">
        <is>
          <t>3</t>
        </is>
      </c>
      <c r="C12" s="10">
        <f>B12-4</f>
        <v/>
      </c>
      <c r="D12" s="4" t="n"/>
      <c r="E12" s="2" t="n"/>
      <c r="F12" s="3" t="n"/>
    </row>
    <row r="13">
      <c r="A13" s="6" t="inlineStr">
        <is>
          <t>Comprehension (CMP)</t>
        </is>
      </c>
      <c r="B13" s="7" t="inlineStr">
        <is>
          <t>8</t>
        </is>
      </c>
      <c r="C13" s="10">
        <f>B13-4</f>
        <v/>
      </c>
      <c r="D13" s="4" t="n"/>
      <c r="E13" s="2" t="n"/>
      <c r="F13" s="3" t="n"/>
    </row>
    <row r="14">
      <c r="A14" s="6" t="inlineStr">
        <is>
          <t>Willpower (WIL)</t>
        </is>
      </c>
      <c r="B14" s="7" t="inlineStr">
        <is>
          <t>8</t>
        </is>
      </c>
      <c r="C14" s="10">
        <f>B14-4</f>
        <v/>
      </c>
      <c r="D14" s="4" t="n"/>
      <c r="E14" s="2" t="n"/>
      <c r="F14" s="3" t="n"/>
    </row>
    <row r="15">
      <c r="A15" s="6" t="inlineStr">
        <is>
          <t>Charisma (CHA)</t>
        </is>
      </c>
      <c r="B15" s="7" t="inlineStr">
        <is>
          <t>8</t>
        </is>
      </c>
      <c r="C15" s="10">
        <f>B15-4</f>
        <v/>
      </c>
      <c r="D15" s="4" t="n"/>
      <c r="E15" s="2" t="n"/>
      <c r="F15" s="3" t="n"/>
    </row>
    <row r="16"/>
    <row r="17">
      <c r="A17" s="13" t="inlineStr">
        <is>
          <t>— Derived Values —</t>
        </is>
      </c>
      <c r="B17" s="2" t="n"/>
      <c r="C17" s="2" t="n"/>
      <c r="D17" s="2" t="n"/>
      <c r="E17" s="2" t="n"/>
      <c r="F17" s="2" t="n"/>
      <c r="G17" s="2" t="n"/>
      <c r="H17" s="3" t="n"/>
    </row>
    <row r="18">
      <c r="A18" s="6" t="inlineStr">
        <is>
          <t>Health Points (HP)</t>
        </is>
      </c>
      <c r="B18" s="4" t="inlineStr">
        <is>
          <t>Constitution×5 + Realm</t>
        </is>
      </c>
      <c r="C18" s="2" t="n"/>
      <c r="D18" s="3" t="n"/>
      <c r="E18" s="11">
        <f>B12*5+IF(F5="Crossing the Threshold",5,IF(F5="Complete Mastery",10,IF(F5="Perfecting the Craft",15,IF(F5="Peak of Perfection",20,IF(F5="Return to Simplicity",25,0)))))</f>
        <v/>
      </c>
      <c r="F18" s="3" t="n"/>
    </row>
    <row r="19">
      <c r="A19" s="6" t="inlineStr">
        <is>
          <t>Qi</t>
        </is>
      </c>
      <c r="B19" s="4" t="inlineStr">
        <is>
          <t>Constitution × Inner-Cultivation Coefficient + Realm</t>
        </is>
      </c>
      <c r="C19" s="2" t="n"/>
      <c r="D19" s="3" t="n"/>
      <c r="E19" s="11">
        <f>B12*VALUE(LEFT(H5,1))+IF(F5="Crossing the Threshold",3,IF(F5="Complete Mastery",6,IF(F5="Perfecting the Craft",10,IF(F5="Peak of Perfection",15,IF(F5="Return to Simplicity",20,0)))))</f>
        <v/>
      </c>
      <c r="F19" s="3" t="n"/>
    </row>
    <row r="20">
      <c r="A20" s="6" t="inlineStr">
        <is>
          <t>Initiative</t>
        </is>
      </c>
      <c r="B20" s="4" t="inlineStr">
        <is>
          <t>Agility + Willpower</t>
        </is>
      </c>
      <c r="C20" s="2" t="n"/>
      <c r="D20" s="3" t="n"/>
      <c r="E20" s="11">
        <f>B11+B14</f>
        <v/>
      </c>
      <c r="F20" s="3" t="n"/>
    </row>
    <row r="21">
      <c r="A21" s="6" t="inlineStr">
        <is>
          <t>Evasion</t>
        </is>
      </c>
      <c r="B21" s="4" t="inlineStr">
        <is>
          <t>Agility Modifier</t>
        </is>
      </c>
      <c r="C21" s="2" t="n"/>
      <c r="D21" s="3" t="n"/>
      <c r="E21" s="11">
        <f>C11</f>
        <v/>
      </c>
      <c r="F21" s="3" t="n"/>
    </row>
    <row r="22">
      <c r="A22" s="6" t="inlineStr">
        <is>
          <t>Defense</t>
        </is>
      </c>
      <c r="B22" s="4" t="inlineStr">
        <is>
          <t>Constitution Modifier</t>
        </is>
      </c>
      <c r="C22" s="2" t="n"/>
      <c r="D22" s="3" t="n"/>
      <c r="E22" s="11">
        <f>C12</f>
        <v/>
      </c>
      <c r="F22" s="3" t="n"/>
    </row>
    <row r="23"/>
    <row r="24">
      <c r="A24" s="13" t="inlineStr">
        <is>
          <t>— Skills —</t>
        </is>
      </c>
      <c r="B24" s="3" t="n"/>
    </row>
    <row r="25">
      <c r="A25" s="6" t="inlineStr">
        <is>
          <t>Technique Reading</t>
        </is>
      </c>
      <c r="B25" s="7" t="inlineStr">
        <is>
          <t>0</t>
        </is>
      </c>
    </row>
    <row r="26">
      <c r="A26" s="6" t="inlineStr">
        <is>
          <t>Jianghu Lore</t>
        </is>
      </c>
      <c r="B26" s="7" t="inlineStr">
        <is>
          <t>3</t>
        </is>
      </c>
    </row>
    <row r="27">
      <c r="A27" s="6" t="inlineStr">
        <is>
          <t>Lightfoot</t>
        </is>
      </c>
      <c r="B27" s="7" t="inlineStr">
        <is>
          <t>0</t>
        </is>
      </c>
    </row>
    <row r="28">
      <c r="A28" s="6" t="inlineStr">
        <is>
          <t>Oratory</t>
        </is>
      </c>
      <c r="B28" s="7" t="inlineStr">
        <is>
          <t>5</t>
        </is>
      </c>
    </row>
    <row r="29">
      <c r="A29" s="6" t="inlineStr">
        <is>
          <t>Climbing</t>
        </is>
      </c>
      <c r="B29" s="7" t="inlineStr">
        <is>
          <t>0</t>
        </is>
      </c>
    </row>
    <row r="30">
      <c r="A30" s="6" t="inlineStr">
        <is>
          <t>Stealth</t>
        </is>
      </c>
      <c r="B30" s="7" t="inlineStr">
        <is>
          <t>0</t>
        </is>
      </c>
    </row>
    <row r="31">
      <c r="A31" s="6" t="inlineStr">
        <is>
          <t>Tracking</t>
        </is>
      </c>
      <c r="B31" s="7" t="inlineStr">
        <is>
          <t>0</t>
        </is>
      </c>
    </row>
    <row r="32">
      <c r="A32" s="6" t="inlineStr">
        <is>
          <t>Read Intent</t>
        </is>
      </c>
      <c r="B32" s="7" t="inlineStr">
        <is>
          <t>5</t>
        </is>
      </c>
    </row>
    <row r="33">
      <c r="A33" s="6" t="inlineStr">
        <is>
          <t>Disguise</t>
        </is>
      </c>
      <c r="B33" s="7" t="inlineStr">
        <is>
          <t>0</t>
        </is>
      </c>
    </row>
    <row r="34">
      <c r="A34" s="6" t="inlineStr">
        <is>
          <t>Lockpicking</t>
        </is>
      </c>
      <c r="B34" s="7" t="inlineStr">
        <is>
          <t>0</t>
        </is>
      </c>
    </row>
    <row r="35">
      <c r="A35" s="6" t="inlineStr">
        <is>
          <t>Trapcraft</t>
        </is>
      </c>
      <c r="B35" s="7" t="inlineStr">
        <is>
          <t>0</t>
        </is>
      </c>
    </row>
    <row r="36">
      <c r="A36" s="6" t="inlineStr">
        <is>
          <t>Medicine</t>
        </is>
      </c>
      <c r="B36" s="7" t="inlineStr">
        <is>
          <t>0</t>
        </is>
      </c>
    </row>
    <row r="37">
      <c r="A37" s="6" t="inlineStr">
        <is>
          <t>Alchemy</t>
        </is>
      </c>
      <c r="B37" s="7" t="inlineStr">
        <is>
          <t>0</t>
        </is>
      </c>
    </row>
    <row r="38">
      <c r="A38" s="6" t="inlineStr">
        <is>
          <t>Poisoncraft</t>
        </is>
      </c>
      <c r="B38" s="7" t="inlineStr">
        <is>
          <t>0</t>
        </is>
      </c>
    </row>
    <row r="39">
      <c r="A39" s="6" t="inlineStr">
        <is>
          <t>Hidden Weapon</t>
        </is>
      </c>
      <c r="B39" s="7" t="inlineStr">
        <is>
          <t>0</t>
        </is>
      </c>
    </row>
    <row r="40">
      <c r="A40" s="6" t="inlineStr">
        <is>
          <t>Staff Art</t>
        </is>
      </c>
      <c r="B40" s="7" t="inlineStr">
        <is>
          <t>0</t>
        </is>
      </c>
    </row>
    <row r="41">
      <c r="A41" s="6" t="inlineStr">
        <is>
          <t>Fist &amp; Palm</t>
        </is>
      </c>
      <c r="B41" s="7" t="inlineStr">
        <is>
          <t>0</t>
        </is>
      </c>
    </row>
    <row r="42">
      <c r="A42" s="6" t="inlineStr">
        <is>
          <t>Saber Art</t>
        </is>
      </c>
      <c r="B42" s="7" t="inlineStr">
        <is>
          <t>0</t>
        </is>
      </c>
    </row>
    <row r="43">
      <c r="A43" s="6" t="inlineStr">
        <is>
          <t>Sword Art</t>
        </is>
      </c>
      <c r="B43" s="7" t="inlineStr">
        <is>
          <t>0</t>
        </is>
      </c>
    </row>
    <row r="44"/>
    <row r="45">
      <c r="A45" s="13" t="inlineStr">
        <is>
          <t>— Martial Arts —</t>
        </is>
      </c>
      <c r="B45" s="2" t="n"/>
      <c r="C45" s="2" t="n"/>
      <c r="D45" s="2" t="n"/>
      <c r="E45" s="2" t="n"/>
      <c r="F45" s="2" t="n"/>
      <c r="G45" s="2" t="n"/>
      <c r="H45" s="3" t="n"/>
    </row>
    <row r="46">
      <c r="A46" s="9" t="inlineStr">
        <is>
          <t>Martial Art Name</t>
        </is>
      </c>
      <c r="B46" s="9" t="inlineStr">
        <is>
          <t>Type</t>
        </is>
      </c>
      <c r="C46" s="9" t="inlineStr">
        <is>
          <t>Tier</t>
        </is>
      </c>
      <c r="D46" s="9" t="inlineStr">
        <is>
          <t>Force Type</t>
        </is>
      </c>
      <c r="E46" s="9" t="inlineStr">
        <is>
          <t>Moves</t>
        </is>
      </c>
      <c r="F46" s="9" t="inlineStr">
        <is>
          <t>Qi</t>
        </is>
      </c>
      <c r="G46" s="9" t="inlineStr">
        <is>
          <t>Hit</t>
        </is>
      </c>
      <c r="H46" s="9" t="inlineStr">
        <is>
          <t>Damage / Effect</t>
        </is>
      </c>
    </row>
    <row r="47">
      <c r="A47" s="7" t="inlineStr">
        <is>
          <t>Handle as Appropriate</t>
        </is>
      </c>
      <c r="B47" s="7" t="inlineStr">
        <is>
          <t>Special</t>
        </is>
      </c>
      <c r="C47" s="7" t="inlineStr">
        <is>
          <t>--</t>
        </is>
      </c>
      <c r="D47" s="7" t="inlineStr">
        <is>
          <t>--</t>
        </is>
      </c>
      <c r="E47" s="7" t="inlineStr">
        <is>
          <t>--</t>
        </is>
      </c>
      <c r="F47" s="7" t="inlineStr">
        <is>
          <t>--</t>
        </is>
      </c>
      <c r="G47" s="7" t="inlineStr">
        <is>
          <t>--</t>
        </is>
      </c>
      <c r="H47" s="7" t="inlineStr">
        <is>
          <t>Charisma Contest affects NPC attitude</t>
        </is>
      </c>
    </row>
    <row r="48"/>
    <row r="49"/>
    <row r="50"/>
    <row r="51"/>
    <row r="52"/>
    <row r="53"/>
    <row r="54"/>
    <row r="55"/>
    <row r="56">
      <c r="A56" s="13" t="inlineStr">
        <is>
          <t>— Equipment —</t>
        </is>
      </c>
      <c r="B56" s="2" t="n"/>
      <c r="C56" s="2" t="n"/>
      <c r="D56" s="2" t="n"/>
      <c r="E56" s="2" t="n"/>
      <c r="F56" s="2" t="n"/>
      <c r="G56" s="2" t="n"/>
      <c r="H56" s="3" t="n"/>
    </row>
    <row r="57">
      <c r="A57" s="9" t="inlineStr">
        <is>
          <t>Weapon</t>
        </is>
      </c>
      <c r="B57" s="9" t="inlineStr">
        <is>
          <t>Armor</t>
        </is>
      </c>
      <c r="C57" s="9" t="inlineStr">
        <is>
          <t>Special</t>
        </is>
      </c>
    </row>
    <row r="58">
      <c r="A58" s="8" t="inlineStr">
        <is>
          <t>None</t>
        </is>
      </c>
      <c r="B58" s="8" t="inlineStr">
        <is>
          <t>Civil Official Robe</t>
        </is>
      </c>
      <c r="C58" s="14" t="inlineStr">
        <is>
          <t>Civil-Official-Type NPC. No martial arts. Fights with rhetoric / scheming / institution. Health Points (HP) 15</t>
        </is>
      </c>
      <c r="D58" s="2" t="n"/>
      <c r="E58" s="2" t="n"/>
      <c r="F58" s="3" t="n"/>
    </row>
    <row r="59"/>
    <row r="60"/>
    <row r="61">
      <c r="A61" s="6" t="inlineStr">
        <is>
          <t>Heroism</t>
        </is>
      </c>
      <c r="B61" s="7" t="inlineStr">
        <is>
          <t>10</t>
        </is>
      </c>
      <c r="D61" s="6" t="inlineStr">
        <is>
          <t>Infamy</t>
        </is>
      </c>
      <c r="E61" s="7" t="inlineStr">
        <is>
          <t>5</t>
        </is>
      </c>
    </row>
  </sheetData>
  <mergeCells count="27">
    <mergeCell ref="A24:B24"/>
    <mergeCell ref="D13:F13"/>
    <mergeCell ref="D11:F11"/>
    <mergeCell ref="B6:H6"/>
    <mergeCell ref="A45:H45"/>
    <mergeCell ref="A1:H1"/>
    <mergeCell ref="B19:D19"/>
    <mergeCell ref="E20:F20"/>
    <mergeCell ref="E19:F19"/>
    <mergeCell ref="D12:F12"/>
    <mergeCell ref="C58:F58"/>
    <mergeCell ref="D15:F15"/>
    <mergeCell ref="B20:D20"/>
    <mergeCell ref="A56:H56"/>
    <mergeCell ref="D14:F14"/>
    <mergeCell ref="A2:H2"/>
    <mergeCell ref="A8:H8"/>
    <mergeCell ref="D10:F10"/>
    <mergeCell ref="A17:H17"/>
    <mergeCell ref="A4:H4"/>
    <mergeCell ref="B5:C5"/>
    <mergeCell ref="B22:D22"/>
    <mergeCell ref="B18:D18"/>
    <mergeCell ref="E22:F22"/>
    <mergeCell ref="B21:D21"/>
    <mergeCell ref="E18:F18"/>
    <mergeCell ref="E21:F2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</cols>
  <sheetData>
    <row r="1">
      <c r="A1" s="1" t="inlineStr">
        <is>
          <t>Yonghe Martial Codex</t>
        </is>
      </c>
      <c r="B1" s="2" t="n"/>
      <c r="C1" s="2" t="n"/>
      <c r="D1" s="2" t="n"/>
      <c r="E1" s="2" t="n"/>
      <c r="F1" s="2" t="n"/>
      <c r="G1" s="2" t="n"/>
      <c r="H1" s="3" t="n"/>
    </row>
    <row r="2">
      <c r="A2" s="4" t="inlineStr">
        <is>
          <t>Character Card · Tabletop Rules Studio</t>
        </is>
      </c>
      <c r="B2" s="2" t="n"/>
      <c r="C2" s="2" t="n"/>
      <c r="D2" s="2" t="n"/>
      <c r="E2" s="2" t="n"/>
      <c r="F2" s="2" t="n"/>
      <c r="G2" s="2" t="n"/>
      <c r="H2" s="3" t="n"/>
    </row>
    <row r="3"/>
    <row r="4">
      <c r="A4" s="5" t="inlineStr">
        <is>
          <t>— Basic Info —</t>
        </is>
      </c>
      <c r="B4" s="2" t="n"/>
      <c r="C4" s="2" t="n"/>
      <c r="D4" s="2" t="n"/>
      <c r="E4" s="2" t="n"/>
      <c r="F4" s="2" t="n"/>
      <c r="G4" s="2" t="n"/>
      <c r="H4" s="3" t="n"/>
    </row>
    <row r="5">
      <c r="A5" s="6" t="inlineStr">
        <is>
          <t>Character Name</t>
        </is>
      </c>
      <c r="B5" s="7" t="inlineStr">
        <is>
          <t>Ziyang</t>
        </is>
      </c>
      <c r="C5" s="6" t="inlineStr">
        <is>
          <t>Player</t>
        </is>
      </c>
      <c r="D5" s="7" t="n"/>
      <c r="E5" s="6" t="inlineStr">
        <is>
          <t>Sect</t>
        </is>
      </c>
      <c r="F5" s="7" t="inlineStr">
        <is>
          <t>Taixu Palace</t>
        </is>
      </c>
    </row>
    <row r="6">
      <c r="A6" s="6" t="inlineStr">
        <is>
          <t>Concept</t>
        </is>
      </c>
      <c r="B6" s="8" t="inlineStr">
        <is>
          <t>Chief of Taixu Palace's Sword Pavilion, a cold Taoist who only speaks with the sword; most fearsome when the sword stays sheathed.</t>
        </is>
      </c>
      <c r="C6" s="2" t="n"/>
      <c r="D6" s="3" t="n"/>
      <c r="E6" s="6" t="inlineStr">
        <is>
          <t>Realm</t>
        </is>
      </c>
      <c r="F6" s="7" t="inlineStr">
        <is>
          <t>Perfecting the Craft</t>
        </is>
      </c>
      <c r="G6" s="6" t="inlineStr">
        <is>
          <t>Inner Cultivation Coefficient</t>
        </is>
      </c>
      <c r="H6" s="7" t="inlineStr">
        <is>
          <t>3</t>
        </is>
      </c>
    </row>
    <row r="7"/>
    <row r="8">
      <c r="A8" s="5" t="inlineStr">
        <is>
          <t>— Six Attributes —</t>
        </is>
      </c>
      <c r="B8" s="2" t="n"/>
      <c r="C8" s="2" t="n"/>
      <c r="D8" s="2" t="n"/>
      <c r="E8" s="2" t="n"/>
      <c r="F8" s="2" t="n"/>
      <c r="G8" s="2" t="n"/>
      <c r="H8" s="3" t="n"/>
    </row>
    <row r="9">
      <c r="A9" s="9" t="inlineStr">
        <is>
          <t>Attribute</t>
        </is>
      </c>
      <c r="B9" s="9" t="inlineStr">
        <is>
          <t>Base Value</t>
        </is>
      </c>
      <c r="C9" s="9" t="inlineStr">
        <is>
          <t>Modifier</t>
        </is>
      </c>
      <c r="D9" s="9" t="inlineStr">
        <is>
          <t>Description</t>
        </is>
      </c>
    </row>
    <row r="10">
      <c r="A10" s="6" t="inlineStr">
        <is>
          <t>Strength (STR)</t>
        </is>
      </c>
      <c r="B10" s="7" t="inlineStr">
        <is>
          <t>6</t>
        </is>
      </c>
      <c r="C10" s="10">
        <f>B10-4</f>
        <v/>
      </c>
      <c r="D10" s="4" t="inlineStr">
        <is>
          <t>Muscle power, explosive force</t>
        </is>
      </c>
      <c r="E10" s="2" t="n"/>
      <c r="F10" s="3" t="n"/>
    </row>
    <row r="11">
      <c r="A11" s="6" t="inlineStr">
        <is>
          <t>Agility (AGI)</t>
        </is>
      </c>
      <c r="B11" s="7" t="inlineStr">
        <is>
          <t>8</t>
        </is>
      </c>
      <c r="C11" s="10">
        <f>B11-4</f>
        <v/>
      </c>
      <c r="D11" s="4" t="inlineStr">
        <is>
          <t>Speed, flexibility, lightfoot</t>
        </is>
      </c>
      <c r="E11" s="2" t="n"/>
      <c r="F11" s="3" t="n"/>
    </row>
    <row r="12">
      <c r="A12" s="6" t="inlineStr">
        <is>
          <t>Constitution (CON)</t>
        </is>
      </c>
      <c r="B12" s="7" t="inlineStr">
        <is>
          <t>6</t>
        </is>
      </c>
      <c r="C12" s="10">
        <f>B12-4</f>
        <v/>
      </c>
      <c r="D12" s="4" t="inlineStr">
        <is>
          <t>Meridian capacity, physique, life resilience</t>
        </is>
      </c>
      <c r="E12" s="2" t="n"/>
      <c r="F12" s="3" t="n"/>
    </row>
    <row r="13">
      <c r="A13" s="6" t="inlineStr">
        <is>
          <t>Comprehension (CMP)</t>
        </is>
      </c>
      <c r="B13" s="7" t="inlineStr">
        <is>
          <t>7</t>
        </is>
      </c>
      <c r="C13" s="10">
        <f>B13-4</f>
        <v/>
      </c>
      <c r="D13" s="4" t="inlineStr">
        <is>
          <t>Martial comprehension, learning efficiency</t>
        </is>
      </c>
      <c r="E13" s="2" t="n"/>
      <c r="F13" s="3" t="n"/>
    </row>
    <row r="14">
      <c r="A14" s="6" t="inlineStr">
        <is>
          <t>Willpower (WIL)</t>
        </is>
      </c>
      <c r="B14" s="7" t="inlineStr">
        <is>
          <t>8</t>
        </is>
      </c>
      <c r="C14" s="10">
        <f>B14-4</f>
        <v/>
      </c>
      <c r="D14" s="4" t="inlineStr">
        <is>
          <t>Willpower, mental stability</t>
        </is>
      </c>
      <c r="E14" s="2" t="n"/>
      <c r="F14" s="3" t="n"/>
    </row>
    <row r="15">
      <c r="A15" s="6" t="inlineStr">
        <is>
          <t>Charisma (CHA)</t>
        </is>
      </c>
      <c r="B15" s="7" t="inlineStr">
        <is>
          <t>4</t>
        </is>
      </c>
      <c r="C15" s="10">
        <f>B15-4</f>
        <v/>
      </c>
      <c r="D15" s="4" t="inlineStr">
        <is>
          <t>Personal charm, interpersonal influence</t>
        </is>
      </c>
      <c r="E15" s="2" t="n"/>
      <c r="F15" s="3" t="n"/>
    </row>
    <row r="16">
      <c r="A16" s="6" t="inlineStr">
        <is>
          <t>Attribute Total</t>
        </is>
      </c>
      <c r="B16" s="3" t="n"/>
    </row>
    <row r="17"/>
    <row r="18">
      <c r="A18" s="5" t="inlineStr">
        <is>
          <t>— Derived Values —</t>
        </is>
      </c>
      <c r="B18" s="2" t="n"/>
      <c r="C18" s="2" t="n"/>
      <c r="D18" s="2" t="n"/>
      <c r="E18" s="2" t="n"/>
      <c r="F18" s="2" t="n"/>
      <c r="G18" s="2" t="n"/>
      <c r="H18" s="3" t="n"/>
    </row>
    <row r="19">
      <c r="A19" s="6" t="inlineStr">
        <is>
          <t>Health Points (HP)</t>
        </is>
      </c>
      <c r="B19" s="4" t="inlineStr">
        <is>
          <t>Constitution×5 + Realm Bonus</t>
        </is>
      </c>
      <c r="C19" s="2" t="n"/>
      <c r="D19" s="3" t="n"/>
      <c r="E19" s="11">
        <f>B12*5+IF(F6="Crossing the Threshold",5,IF(F6="Complete Mastery",10,IF(F6="Perfecting the Craft",15,IF(F6="Peak of Perfection",20,IF(F6="Return to Simplicity",25,0)))))</f>
        <v/>
      </c>
      <c r="F19" s="3" t="n"/>
    </row>
    <row r="20">
      <c r="A20" s="6" t="inlineStr">
        <is>
          <t>Qi</t>
        </is>
      </c>
      <c r="B20" s="4" t="inlineStr">
        <is>
          <t>Constitution × Inner-Cultivation Coefficient + Realm Bonus</t>
        </is>
      </c>
      <c r="C20" s="2" t="n"/>
      <c r="D20" s="3" t="n"/>
      <c r="E20" s="11">
        <f>B12*VALUE(LEFT(H6,1))+IF(F6="Crossing the Threshold",3,IF(F6="Complete Mastery",6,IF(F6="Perfecting the Craft",10,IF(F6="Peak of Perfection",15,IF(F6="Return to Simplicity",20,0)))))</f>
        <v/>
      </c>
      <c r="F20" s="3" t="n"/>
    </row>
    <row r="21">
      <c r="A21" s="6" t="inlineStr">
        <is>
          <t>Initiative</t>
        </is>
      </c>
      <c r="B21" s="4" t="inlineStr">
        <is>
          <t>Agility + Willpower</t>
        </is>
      </c>
      <c r="C21" s="2" t="n"/>
      <c r="D21" s="3" t="n"/>
      <c r="E21" s="11">
        <f>B11+B14</f>
        <v/>
      </c>
      <c r="F21" s="3" t="n"/>
    </row>
    <row r="22">
      <c r="A22" s="6" t="inlineStr">
        <is>
          <t>Evasion</t>
        </is>
      </c>
      <c r="B22" s="4" t="inlineStr">
        <is>
          <t>Agility Modifier + Lightfoot Level</t>
        </is>
      </c>
      <c r="C22" s="2" t="n"/>
      <c r="D22" s="3" t="n"/>
      <c r="E22" s="11">
        <f>C11+B42</f>
        <v/>
      </c>
      <c r="F22" s="3" t="n"/>
    </row>
    <row r="23">
      <c r="A23" s="6" t="inlineStr">
        <is>
          <t>Defense</t>
        </is>
      </c>
      <c r="B23" s="4" t="inlineStr">
        <is>
          <t>Constitution Modifier + Armor Value</t>
        </is>
      </c>
      <c r="C23" s="2" t="n"/>
      <c r="D23" s="3" t="n"/>
      <c r="E23" s="11">
        <f>C12+B43</f>
        <v/>
      </c>
      <c r="F23" s="3" t="n"/>
    </row>
    <row r="24"/>
    <row r="25">
      <c r="A25" s="5" t="inlineStr">
        <is>
          <t>— Skills —</t>
        </is>
      </c>
      <c r="B25" s="3" t="n"/>
    </row>
    <row r="26">
      <c r="A26" s="9" t="inlineStr">
        <is>
          <t>Skills</t>
        </is>
      </c>
      <c r="B26" s="9" t="inlineStr">
        <is>
          <t>Level</t>
        </is>
      </c>
      <c r="C26" s="9" t="inlineStr">
        <is>
          <t>Bonus</t>
        </is>
      </c>
      <c r="D26" s="9" t="inlineStr">
        <is>
          <t>Corresponding Attribute</t>
        </is>
      </c>
      <c r="E26" s="7" t="inlineStr">
        <is>
          <t>Notes</t>
        </is>
      </c>
      <c r="F26" s="2" t="n"/>
      <c r="G26" s="2" t="n"/>
      <c r="H26" s="3" t="n"/>
    </row>
    <row r="27">
      <c r="A27" s="6" t="inlineStr">
        <is>
          <t>Technique Reading</t>
        </is>
      </c>
      <c r="B27" s="7" t="inlineStr">
        <is>
          <t>5</t>
        </is>
      </c>
      <c r="C27" s="4">
        <f>C10+B27</f>
        <v/>
      </c>
      <c r="D27" s="4" t="inlineStr">
        <is>
          <t>C10</t>
        </is>
      </c>
    </row>
    <row r="28">
      <c r="A28" s="6" t="inlineStr">
        <is>
          <t>Jianghu Lore</t>
        </is>
      </c>
      <c r="B28" s="7" t="inlineStr">
        <is>
          <t>0</t>
        </is>
      </c>
      <c r="C28" s="4">
        <f>C10+B28</f>
        <v/>
      </c>
      <c r="D28" s="4" t="inlineStr">
        <is>
          <t>C10</t>
        </is>
      </c>
    </row>
    <row r="29">
      <c r="A29" s="6" t="inlineStr">
        <is>
          <t>Lightfoot</t>
        </is>
      </c>
      <c r="B29" s="7" t="inlineStr">
        <is>
          <t>3</t>
        </is>
      </c>
      <c r="C29" s="4">
        <f>C10+B29</f>
        <v/>
      </c>
      <c r="D29" s="4" t="inlineStr">
        <is>
          <t>C10</t>
        </is>
      </c>
    </row>
    <row r="30">
      <c r="A30" s="6" t="inlineStr">
        <is>
          <t>Oratory</t>
        </is>
      </c>
      <c r="B30" s="7" t="inlineStr">
        <is>
          <t>0</t>
        </is>
      </c>
      <c r="C30" s="4">
        <f>C10+B30</f>
        <v/>
      </c>
      <c r="D30" s="4" t="inlineStr">
        <is>
          <t>C10</t>
        </is>
      </c>
    </row>
    <row r="31">
      <c r="A31" s="6" t="inlineStr">
        <is>
          <t>Climbing</t>
        </is>
      </c>
      <c r="B31" s="7" t="inlineStr">
        <is>
          <t>0</t>
        </is>
      </c>
      <c r="C31" s="4">
        <f>C10+B31</f>
        <v/>
      </c>
      <c r="D31" s="4" t="inlineStr">
        <is>
          <t>C10</t>
        </is>
      </c>
    </row>
    <row r="32">
      <c r="A32" s="6" t="inlineStr">
        <is>
          <t>Stealth</t>
        </is>
      </c>
      <c r="B32" s="7" t="inlineStr">
        <is>
          <t>0</t>
        </is>
      </c>
      <c r="C32" s="4">
        <f>C10+B32</f>
        <v/>
      </c>
      <c r="D32" s="4" t="inlineStr">
        <is>
          <t>C10</t>
        </is>
      </c>
    </row>
    <row r="33">
      <c r="A33" s="6" t="inlineStr">
        <is>
          <t>Tracking</t>
        </is>
      </c>
      <c r="B33" s="7" t="inlineStr">
        <is>
          <t>0</t>
        </is>
      </c>
      <c r="C33" s="4">
        <f>C10+B33</f>
        <v/>
      </c>
      <c r="D33" s="4" t="inlineStr">
        <is>
          <t>C10</t>
        </is>
      </c>
    </row>
    <row r="34">
      <c r="A34" s="6" t="inlineStr">
        <is>
          <t>Read Intent</t>
        </is>
      </c>
      <c r="B34" s="7" t="inlineStr">
        <is>
          <t>3</t>
        </is>
      </c>
      <c r="C34" s="4">
        <f>C10+B34</f>
        <v/>
      </c>
      <c r="D34" s="4" t="inlineStr">
        <is>
          <t>C10</t>
        </is>
      </c>
    </row>
    <row r="35">
      <c r="A35" s="6" t="inlineStr">
        <is>
          <t>Disguise</t>
        </is>
      </c>
      <c r="B35" s="7" t="inlineStr">
        <is>
          <t>0</t>
        </is>
      </c>
      <c r="C35" s="4">
        <f>C10+B35</f>
        <v/>
      </c>
      <c r="D35" s="4" t="inlineStr">
        <is>
          <t>C10</t>
        </is>
      </c>
    </row>
    <row r="36">
      <c r="A36" s="6" t="inlineStr">
        <is>
          <t>Lockpicking</t>
        </is>
      </c>
      <c r="B36" s="7" t="inlineStr">
        <is>
          <t>0</t>
        </is>
      </c>
      <c r="C36" s="4">
        <f>C10+B36</f>
        <v/>
      </c>
      <c r="D36" s="4" t="inlineStr">
        <is>
          <t>C10</t>
        </is>
      </c>
    </row>
    <row r="37">
      <c r="A37" s="6" t="inlineStr">
        <is>
          <t>Trapcraft</t>
        </is>
      </c>
      <c r="B37" s="7" t="inlineStr">
        <is>
          <t>0</t>
        </is>
      </c>
      <c r="C37" s="4">
        <f>C10+B37</f>
        <v/>
      </c>
      <c r="D37" s="4" t="inlineStr">
        <is>
          <t>C10</t>
        </is>
      </c>
    </row>
    <row r="38">
      <c r="A38" s="6" t="inlineStr">
        <is>
          <t>Medicine</t>
        </is>
      </c>
      <c r="B38" s="7" t="inlineStr">
        <is>
          <t>0</t>
        </is>
      </c>
      <c r="C38" s="4">
        <f>C10+B38</f>
        <v/>
      </c>
      <c r="D38" s="4" t="inlineStr">
        <is>
          <t>C10</t>
        </is>
      </c>
    </row>
    <row r="39">
      <c r="A39" s="6" t="inlineStr">
        <is>
          <t>Alchemy</t>
        </is>
      </c>
      <c r="B39" s="7" t="inlineStr">
        <is>
          <t>3</t>
        </is>
      </c>
      <c r="C39" s="4">
        <f>C10+B39</f>
        <v/>
      </c>
      <c r="D39" s="4" t="inlineStr">
        <is>
          <t>C10</t>
        </is>
      </c>
    </row>
    <row r="40">
      <c r="A40" s="6" t="inlineStr">
        <is>
          <t>Poisoncraft</t>
        </is>
      </c>
      <c r="B40" s="7" t="inlineStr">
        <is>
          <t>0</t>
        </is>
      </c>
      <c r="C40" s="4">
        <f>C10+B40</f>
        <v/>
      </c>
      <c r="D40" s="4" t="inlineStr">
        <is>
          <t>C10</t>
        </is>
      </c>
    </row>
    <row r="41">
      <c r="A41" s="6" t="inlineStr">
        <is>
          <t>Hidden Weapon</t>
        </is>
      </c>
      <c r="B41" s="7" t="inlineStr">
        <is>
          <t>0</t>
        </is>
      </c>
      <c r="C41" s="4">
        <f>C10+B41</f>
        <v/>
      </c>
      <c r="D41" s="4" t="inlineStr">
        <is>
          <t>C10</t>
        </is>
      </c>
    </row>
    <row r="42">
      <c r="A42" s="4" t="inlineStr">
        <is>
          <t>Lightfoot Level</t>
        </is>
      </c>
      <c r="B42" s="7" t="inlineStr">
        <is>
          <t>3</t>
        </is>
      </c>
      <c r="C42" s="4">
        <f>C10+B42</f>
        <v/>
      </c>
      <c r="D42" s="4" t="inlineStr">
        <is>
          <t>C10</t>
        </is>
      </c>
    </row>
    <row r="43">
      <c r="A43" s="4" t="inlineStr">
        <is>
          <t>Armor Value</t>
        </is>
      </c>
      <c r="B43" s="7" t="inlineStr">
        <is>
          <t>0</t>
        </is>
      </c>
      <c r="C43" s="4">
        <f>C10+B43</f>
        <v/>
      </c>
      <c r="D43" s="4" t="inlineStr">
        <is>
          <t>C10</t>
        </is>
      </c>
    </row>
    <row r="44">
      <c r="A44" s="6" t="inlineStr">
        <is>
          <t>Saber Art</t>
        </is>
      </c>
      <c r="B44" s="7" t="inlineStr">
        <is>
          <t>0</t>
        </is>
      </c>
      <c r="C44" s="4">
        <f>C10+B44</f>
        <v/>
      </c>
      <c r="D44" s="4" t="inlineStr">
        <is>
          <t>C10</t>
        </is>
      </c>
    </row>
    <row r="45">
      <c r="A45" s="6" t="inlineStr">
        <is>
          <t>Sword Art</t>
        </is>
      </c>
      <c r="B45" s="7" t="inlineStr">
        <is>
          <t>5</t>
        </is>
      </c>
      <c r="C45" s="4">
        <f>C10+B45</f>
        <v/>
      </c>
      <c r="D45" s="4" t="inlineStr">
        <is>
          <t>C10</t>
        </is>
      </c>
    </row>
    <row r="46"/>
    <row r="47"/>
    <row r="48"/>
    <row r="49">
      <c r="A49" s="5" t="inlineStr">
        <is>
          <t>— Martial Arts —</t>
        </is>
      </c>
      <c r="B49" s="2" t="n"/>
      <c r="C49" s="2" t="n"/>
      <c r="D49" s="2" t="n"/>
      <c r="E49" s="2" t="n"/>
      <c r="F49" s="2" t="n"/>
      <c r="G49" s="2" t="n"/>
      <c r="H49" s="3" t="n"/>
    </row>
    <row r="50">
      <c r="A50" s="9" t="inlineStr">
        <is>
          <t>Martial Art Name</t>
        </is>
      </c>
      <c r="B50" s="9" t="inlineStr">
        <is>
          <t>Type</t>
        </is>
      </c>
      <c r="C50" s="9" t="inlineStr">
        <is>
          <t>Tier · Proficiency</t>
        </is>
      </c>
      <c r="D50" s="9" t="inlineStr">
        <is>
          <t>Force Type</t>
        </is>
      </c>
      <c r="E50" s="9" t="inlineStr">
        <is>
          <t>Moves</t>
        </is>
      </c>
      <c r="F50" s="9" t="inlineStr">
        <is>
          <t>Qi</t>
        </is>
      </c>
      <c r="G50" s="9" t="inlineStr">
        <is>
          <t>Hit</t>
        </is>
      </c>
      <c r="H50" s="9" t="inlineStr">
        <is>
          <t>Damage / Effect</t>
        </is>
      </c>
    </row>
    <row r="51">
      <c r="A51" s="7" t="inlineStr">
        <is>
          <t>Two Forms Sword Art</t>
        </is>
      </c>
      <c r="B51" s="7" t="inlineStr">
        <is>
          <t>External Art · Sword</t>
        </is>
      </c>
      <c r="C51" s="7" t="inlineStr">
        <is>
          <t>Superior</t>
        </is>
      </c>
      <c r="D51" s="7" t="inlineStr">
        <is>
          <t>Gentle</t>
        </is>
      </c>
      <c r="E51" s="7" t="inlineStr">
        <is>
          <t>Taiji</t>
        </is>
      </c>
      <c r="F51" s="7" t="inlineStr">
        <is>
          <t>5</t>
        </is>
      </c>
      <c r="G51" s="7" t="inlineStr">
        <is>
          <t>+5</t>
        </is>
      </c>
      <c r="H51" s="7" t="inlineStr">
        <is>
          <t>3d6+STR (+2)</t>
        </is>
      </c>
    </row>
    <row r="52">
      <c r="A52" s="7" t="inlineStr">
        <is>
          <t>Pre-Heaven Art</t>
        </is>
      </c>
      <c r="B52" s="7" t="inlineStr">
        <is>
          <t>Inner Cultivation</t>
        </is>
      </c>
      <c r="C52" s="7" t="inlineStr">
        <is>
          <t>Superior</t>
        </is>
      </c>
      <c r="D52" s="7" t="inlineStr">
        <is>
          <t>—</t>
        </is>
      </c>
      <c r="E52" s="7" t="inlineStr">
        <is>
          <t>—</t>
        </is>
      </c>
      <c r="F52" s="7" t="inlineStr">
        <is>
          <t>—</t>
        </is>
      </c>
      <c r="G52" s="7" t="inlineStr">
        <is>
          <t>—</t>
        </is>
      </c>
      <c r="H52" s="7" t="inlineStr">
        <is>
          <t>Inner Cultivation Coefficient 4</t>
        </is>
      </c>
    </row>
    <row r="53">
      <c r="A53" s="7" t="n"/>
      <c r="B53" s="7" t="n"/>
      <c r="C53" s="7" t="n"/>
      <c r="D53" s="7" t="n"/>
      <c r="E53" s="7" t="n"/>
      <c r="F53" s="7" t="n"/>
      <c r="G53" s="7" t="n"/>
      <c r="H53" s="7" t="n"/>
    </row>
    <row r="54">
      <c r="A54" s="7" t="n"/>
      <c r="B54" s="7" t="n"/>
      <c r="C54" s="7" t="n"/>
      <c r="D54" s="7" t="n"/>
      <c r="E54" s="7" t="n"/>
      <c r="F54" s="7" t="n"/>
      <c r="G54" s="7" t="n"/>
      <c r="H54" s="7" t="n"/>
    </row>
    <row r="55">
      <c r="A55" s="7" t="n"/>
      <c r="B55" s="7" t="n"/>
      <c r="C55" s="7" t="n"/>
      <c r="D55" s="7" t="n"/>
      <c r="E55" s="7" t="n"/>
      <c r="F55" s="7" t="n"/>
      <c r="G55" s="7" t="n"/>
      <c r="H55" s="7" t="n"/>
    </row>
    <row r="56">
      <c r="A56" s="7" t="n"/>
      <c r="B56" s="7" t="n"/>
      <c r="C56" s="7" t="n"/>
      <c r="D56" s="7" t="n"/>
      <c r="E56" s="7" t="n"/>
      <c r="F56" s="7" t="n"/>
      <c r="G56" s="7" t="n"/>
      <c r="H56" s="7" t="n"/>
    </row>
    <row r="57">
      <c r="A57" s="7" t="n"/>
      <c r="B57" s="7" t="n"/>
      <c r="C57" s="7" t="n"/>
      <c r="D57" s="7" t="n"/>
      <c r="E57" s="7" t="n"/>
      <c r="F57" s="7" t="n"/>
      <c r="G57" s="7" t="n"/>
      <c r="H57" s="7" t="n"/>
    </row>
    <row r="58">
      <c r="A58" s="7" t="n"/>
      <c r="B58" s="7" t="n"/>
      <c r="C58" s="7" t="n"/>
      <c r="D58" s="7" t="n"/>
      <c r="E58" s="7" t="n"/>
      <c r="F58" s="7" t="n"/>
      <c r="G58" s="7" t="n"/>
      <c r="H58" s="7" t="n"/>
    </row>
    <row r="59"/>
    <row r="60"/>
    <row r="61">
      <c r="A61" s="5" t="inlineStr">
        <is>
          <t>— Equipment —</t>
        </is>
      </c>
      <c r="B61" s="2" t="n"/>
      <c r="C61" s="2" t="n"/>
      <c r="D61" s="2" t="n"/>
      <c r="E61" s="2" t="n"/>
      <c r="F61" s="2" t="n"/>
      <c r="G61" s="2" t="n"/>
      <c r="H61" s="3" t="n"/>
    </row>
    <row r="62">
      <c r="A62" s="9" t="inlineStr">
        <is>
          <t>Weapon</t>
        </is>
      </c>
      <c r="B62" s="9" t="inlineStr">
        <is>
          <t>Damage</t>
        </is>
      </c>
      <c r="C62" s="9" t="inlineStr">
        <is>
          <t>Hit Modifier</t>
        </is>
      </c>
      <c r="D62" s="9" t="inlineStr">
        <is>
          <t>Armor</t>
        </is>
      </c>
      <c r="E62" s="9" t="inlineStr">
        <is>
          <t>External Injury Reduction</t>
        </is>
      </c>
      <c r="F62" s="9" t="inlineStr">
        <is>
          <t>Item</t>
        </is>
      </c>
    </row>
    <row r="63">
      <c r="A63" s="7" t="n"/>
      <c r="B63" s="3" t="n"/>
      <c r="D63" s="7" t="n"/>
      <c r="E63" s="2" t="n"/>
      <c r="F63" s="3" t="n"/>
    </row>
    <row r="64"/>
    <row r="65"/>
    <row r="66"/>
    <row r="67"/>
    <row r="68"/>
    <row r="69">
      <c r="A69" s="6" t="inlineStr">
        <is>
          <t>Heroism</t>
        </is>
      </c>
      <c r="B69" s="7" t="inlineStr">
        <is>
          <t>25</t>
        </is>
      </c>
      <c r="D69" s="6" t="inlineStr">
        <is>
          <t>Infamy</t>
        </is>
      </c>
      <c r="E69" s="7" t="inlineStr">
        <is>
          <t>0</t>
        </is>
      </c>
    </row>
    <row r="70"/>
    <row r="71">
      <c r="A71" t="inlineStr">
        <is>
          <t>Can apprentice (Difficulty Class (DC) 14): Two Forms Sword Art + Pre-Heaven Art. Monthly guidance.</t>
        </is>
      </c>
    </row>
  </sheetData>
  <mergeCells count="29">
    <mergeCell ref="D13:F13"/>
    <mergeCell ref="D11:F11"/>
    <mergeCell ref="E26:H26"/>
    <mergeCell ref="B23:D23"/>
    <mergeCell ref="E23:F23"/>
    <mergeCell ref="A49:H49"/>
    <mergeCell ref="A1:H1"/>
    <mergeCell ref="A61:H61"/>
    <mergeCell ref="A16:B16"/>
    <mergeCell ref="B19:D19"/>
    <mergeCell ref="E20:F20"/>
    <mergeCell ref="A25:B25"/>
    <mergeCell ref="E19:F19"/>
    <mergeCell ref="D12:F12"/>
    <mergeCell ref="D15:F15"/>
    <mergeCell ref="B6:D6"/>
    <mergeCell ref="B20:D20"/>
    <mergeCell ref="A18:H18"/>
    <mergeCell ref="D14:F14"/>
    <mergeCell ref="A2:H2"/>
    <mergeCell ref="A8:H8"/>
    <mergeCell ref="D63:F63"/>
    <mergeCell ref="D10:F10"/>
    <mergeCell ref="A4:H4"/>
    <mergeCell ref="B22:D22"/>
    <mergeCell ref="A63:B63"/>
    <mergeCell ref="E22:F22"/>
    <mergeCell ref="B21:D21"/>
    <mergeCell ref="E21:F2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72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</cols>
  <sheetData>
    <row r="1">
      <c r="A1" s="1" t="inlineStr">
        <is>
          <t>Yonghe Martial Codex</t>
        </is>
      </c>
      <c r="B1" s="2" t="n"/>
      <c r="C1" s="2" t="n"/>
      <c r="D1" s="2" t="n"/>
      <c r="E1" s="2" t="n"/>
      <c r="F1" s="2" t="n"/>
      <c r="G1" s="2" t="n"/>
      <c r="H1" s="3" t="n"/>
    </row>
    <row r="2">
      <c r="A2" s="4" t="inlineStr">
        <is>
          <t>Character Card · Tabletop Rules Studio</t>
        </is>
      </c>
      <c r="B2" s="2" t="n"/>
      <c r="C2" s="2" t="n"/>
      <c r="D2" s="2" t="n"/>
      <c r="E2" s="2" t="n"/>
      <c r="F2" s="2" t="n"/>
      <c r="G2" s="2" t="n"/>
      <c r="H2" s="3" t="n"/>
    </row>
    <row r="3"/>
    <row r="4">
      <c r="A4" s="5" t="inlineStr">
        <is>
          <t>— Basic Info —</t>
        </is>
      </c>
      <c r="B4" s="2" t="n"/>
      <c r="C4" s="2" t="n"/>
      <c r="D4" s="2" t="n"/>
      <c r="E4" s="2" t="n"/>
      <c r="F4" s="2" t="n"/>
      <c r="G4" s="2" t="n"/>
      <c r="H4" s="3" t="n"/>
    </row>
    <row r="5">
      <c r="A5" s="6" t="inlineStr">
        <is>
          <t>Character Name</t>
        </is>
      </c>
      <c r="B5" s="7" t="inlineStr">
        <is>
          <t>Su Qingnang</t>
        </is>
      </c>
      <c r="C5" s="6" t="inlineStr">
        <is>
          <t>Player</t>
        </is>
      </c>
      <c r="D5" s="7" t="n"/>
      <c r="E5" s="6" t="inlineStr">
        <is>
          <t>Sect</t>
        </is>
      </c>
      <c r="F5" s="7" t="inlineStr">
        <is>
          <t>Yaowang Valley</t>
        </is>
      </c>
    </row>
    <row r="6">
      <c r="A6" s="6" t="inlineStr">
        <is>
          <t>Concept</t>
        </is>
      </c>
      <c r="B6" s="8" t="inlineStr">
        <is>
          <t>Valley Lord of Yaowang Valley, past fifty yet looking thirty, the world's foremost divine physician, who asks only about the ailment, never the allegiance.</t>
        </is>
      </c>
      <c r="C6" s="2" t="n"/>
      <c r="D6" s="3" t="n"/>
      <c r="E6" s="6" t="inlineStr">
        <is>
          <t>Realm</t>
        </is>
      </c>
      <c r="F6" s="7" t="inlineStr">
        <is>
          <t>Perfecting the Craft</t>
        </is>
      </c>
      <c r="G6" s="6" t="inlineStr">
        <is>
          <t>Inner Cultivation Coefficient</t>
        </is>
      </c>
      <c r="H6" s="7" t="inlineStr">
        <is>
          <t>3</t>
        </is>
      </c>
    </row>
    <row r="7"/>
    <row r="8">
      <c r="A8" s="5" t="inlineStr">
        <is>
          <t>— Six Attributes —</t>
        </is>
      </c>
      <c r="B8" s="2" t="n"/>
      <c r="C8" s="2" t="n"/>
      <c r="D8" s="2" t="n"/>
      <c r="E8" s="2" t="n"/>
      <c r="F8" s="2" t="n"/>
      <c r="G8" s="2" t="n"/>
      <c r="H8" s="3" t="n"/>
    </row>
    <row r="9">
      <c r="A9" s="9" t="inlineStr">
        <is>
          <t>Attribute</t>
        </is>
      </c>
      <c r="B9" s="9" t="inlineStr">
        <is>
          <t>Base Value</t>
        </is>
      </c>
      <c r="C9" s="9" t="inlineStr">
        <is>
          <t>Modifier</t>
        </is>
      </c>
      <c r="D9" s="9" t="inlineStr">
        <is>
          <t>Description</t>
        </is>
      </c>
    </row>
    <row r="10">
      <c r="A10" s="6" t="inlineStr">
        <is>
          <t>Strength (STR)</t>
        </is>
      </c>
      <c r="B10" s="7" t="inlineStr">
        <is>
          <t>3</t>
        </is>
      </c>
      <c r="C10" s="10">
        <f>B10-4</f>
        <v/>
      </c>
      <c r="D10" s="4" t="inlineStr">
        <is>
          <t>Muscle power, explosive force</t>
        </is>
      </c>
      <c r="E10" s="2" t="n"/>
      <c r="F10" s="3" t="n"/>
    </row>
    <row r="11">
      <c r="A11" s="6" t="inlineStr">
        <is>
          <t>Agility (AGI)</t>
        </is>
      </c>
      <c r="B11" s="7" t="inlineStr">
        <is>
          <t>5</t>
        </is>
      </c>
      <c r="C11" s="10">
        <f>B11-4</f>
        <v/>
      </c>
      <c r="D11" s="4" t="inlineStr">
        <is>
          <t>Speed, flexibility, lightfoot</t>
        </is>
      </c>
      <c r="E11" s="2" t="n"/>
      <c r="F11" s="3" t="n"/>
    </row>
    <row r="12">
      <c r="A12" s="6" t="inlineStr">
        <is>
          <t>Constitution (CON)</t>
        </is>
      </c>
      <c r="B12" s="7" t="inlineStr">
        <is>
          <t>6</t>
        </is>
      </c>
      <c r="C12" s="10">
        <f>B12-4</f>
        <v/>
      </c>
      <c r="D12" s="4" t="inlineStr">
        <is>
          <t>Meridian capacity, physique, life resilience</t>
        </is>
      </c>
      <c r="E12" s="2" t="n"/>
      <c r="F12" s="3" t="n"/>
    </row>
    <row r="13">
      <c r="A13" s="6" t="inlineStr">
        <is>
          <t>Comprehension (CMP)</t>
        </is>
      </c>
      <c r="B13" s="7" t="inlineStr">
        <is>
          <t>9</t>
        </is>
      </c>
      <c r="C13" s="10">
        <f>B13-4</f>
        <v/>
      </c>
      <c r="D13" s="4" t="inlineStr">
        <is>
          <t>Martial comprehension, learning efficiency</t>
        </is>
      </c>
      <c r="E13" s="2" t="n"/>
      <c r="F13" s="3" t="n"/>
    </row>
    <row r="14">
      <c r="A14" s="6" t="inlineStr">
        <is>
          <t>Willpower (WIL)</t>
        </is>
      </c>
      <c r="B14" s="7" t="inlineStr">
        <is>
          <t>7</t>
        </is>
      </c>
      <c r="C14" s="10">
        <f>B14-4</f>
        <v/>
      </c>
      <c r="D14" s="4" t="inlineStr">
        <is>
          <t>Willpower, mental stability</t>
        </is>
      </c>
      <c r="E14" s="2" t="n"/>
      <c r="F14" s="3" t="n"/>
    </row>
    <row r="15">
      <c r="A15" s="6" t="inlineStr">
        <is>
          <t>Charisma (CHA)</t>
        </is>
      </c>
      <c r="B15" s="7" t="inlineStr">
        <is>
          <t>8</t>
        </is>
      </c>
      <c r="C15" s="10">
        <f>B15-4</f>
        <v/>
      </c>
      <c r="D15" s="4" t="inlineStr">
        <is>
          <t>Personal charm, interpersonal influence</t>
        </is>
      </c>
      <c r="E15" s="2" t="n"/>
      <c r="F15" s="3" t="n"/>
    </row>
    <row r="16">
      <c r="A16" s="6" t="inlineStr">
        <is>
          <t>Attribute Total</t>
        </is>
      </c>
      <c r="B16" s="3" t="n"/>
    </row>
    <row r="17"/>
    <row r="18">
      <c r="A18" s="5" t="inlineStr">
        <is>
          <t>— Derived Values —</t>
        </is>
      </c>
      <c r="B18" s="2" t="n"/>
      <c r="C18" s="2" t="n"/>
      <c r="D18" s="2" t="n"/>
      <c r="E18" s="2" t="n"/>
      <c r="F18" s="2" t="n"/>
      <c r="G18" s="2" t="n"/>
      <c r="H18" s="3" t="n"/>
    </row>
    <row r="19">
      <c r="A19" s="6" t="inlineStr">
        <is>
          <t>Health Points (HP)</t>
        </is>
      </c>
      <c r="B19" s="4" t="inlineStr">
        <is>
          <t>Constitution×5 + Realm Bonus</t>
        </is>
      </c>
      <c r="C19" s="2" t="n"/>
      <c r="D19" s="3" t="n"/>
      <c r="E19" s="11">
        <f>B12*5+IF(F6="Crossing the Threshold",5,IF(F6="Complete Mastery",10,IF(F6="Perfecting the Craft",15,IF(F6="Peak of Perfection",20,IF(F6="Return to Simplicity",25,0)))))</f>
        <v/>
      </c>
      <c r="F19" s="3" t="n"/>
    </row>
    <row r="20">
      <c r="A20" s="6" t="inlineStr">
        <is>
          <t>Qi</t>
        </is>
      </c>
      <c r="B20" s="4" t="inlineStr">
        <is>
          <t>Constitution × Inner-Cultivation Coefficient + Realm Bonus</t>
        </is>
      </c>
      <c r="C20" s="2" t="n"/>
      <c r="D20" s="3" t="n"/>
      <c r="E20" s="11">
        <f>B12*VALUE(LEFT(H6,1))+IF(F6="Crossing the Threshold",3,IF(F6="Complete Mastery",6,IF(F6="Perfecting the Craft",10,IF(F6="Peak of Perfection",15,IF(F6="Return to Simplicity",20,0)))))</f>
        <v/>
      </c>
      <c r="F20" s="3" t="n"/>
    </row>
    <row r="21">
      <c r="A21" s="6" t="inlineStr">
        <is>
          <t>Initiative</t>
        </is>
      </c>
      <c r="B21" s="4" t="inlineStr">
        <is>
          <t>Agility + Willpower</t>
        </is>
      </c>
      <c r="C21" s="2" t="n"/>
      <c r="D21" s="3" t="n"/>
      <c r="E21" s="11">
        <f>B11+B14</f>
        <v/>
      </c>
      <c r="F21" s="3" t="n"/>
    </row>
    <row r="22">
      <c r="A22" s="6" t="inlineStr">
        <is>
          <t>Evasion</t>
        </is>
      </c>
      <c r="B22" s="4" t="inlineStr">
        <is>
          <t>Agility Modifier + Lightfoot Level</t>
        </is>
      </c>
      <c r="C22" s="2" t="n"/>
      <c r="D22" s="3" t="n"/>
      <c r="E22" s="11">
        <f>C11+B42</f>
        <v/>
      </c>
      <c r="F22" s="3" t="n"/>
    </row>
    <row r="23">
      <c r="A23" s="6" t="inlineStr">
        <is>
          <t>Defense</t>
        </is>
      </c>
      <c r="B23" s="4" t="inlineStr">
        <is>
          <t>Constitution Modifier + Armor Value</t>
        </is>
      </c>
      <c r="C23" s="2" t="n"/>
      <c r="D23" s="3" t="n"/>
      <c r="E23" s="11">
        <f>C12+B43</f>
        <v/>
      </c>
      <c r="F23" s="3" t="n"/>
    </row>
    <row r="24"/>
    <row r="25">
      <c r="A25" s="5" t="inlineStr">
        <is>
          <t>— Skills —</t>
        </is>
      </c>
      <c r="B25" s="3" t="n"/>
    </row>
    <row r="26">
      <c r="A26" s="9" t="inlineStr">
        <is>
          <t>Skills</t>
        </is>
      </c>
      <c r="B26" s="9" t="inlineStr">
        <is>
          <t>Level</t>
        </is>
      </c>
      <c r="C26" s="9" t="inlineStr">
        <is>
          <t>Bonus</t>
        </is>
      </c>
      <c r="D26" s="9" t="inlineStr">
        <is>
          <t>Corresponding Attribute</t>
        </is>
      </c>
      <c r="E26" s="7" t="inlineStr">
        <is>
          <t>Notes</t>
        </is>
      </c>
      <c r="F26" s="2" t="n"/>
      <c r="G26" s="2" t="n"/>
      <c r="H26" s="3" t="n"/>
    </row>
    <row r="27">
      <c r="A27" s="6" t="inlineStr">
        <is>
          <t>Technique Reading</t>
        </is>
      </c>
      <c r="B27" s="7" t="inlineStr">
        <is>
          <t>5</t>
        </is>
      </c>
      <c r="C27" s="4">
        <f>C10+B27</f>
        <v/>
      </c>
      <c r="D27" s="4" t="inlineStr">
        <is>
          <t>C10</t>
        </is>
      </c>
    </row>
    <row r="28">
      <c r="A28" s="6" t="inlineStr">
        <is>
          <t>Jianghu Lore</t>
        </is>
      </c>
      <c r="B28" s="7" t="inlineStr">
        <is>
          <t>0</t>
        </is>
      </c>
      <c r="C28" s="4">
        <f>C10+B28</f>
        <v/>
      </c>
      <c r="D28" s="4" t="inlineStr">
        <is>
          <t>C10</t>
        </is>
      </c>
    </row>
    <row r="29">
      <c r="A29" s="6" t="inlineStr">
        <is>
          <t>Lightfoot</t>
        </is>
      </c>
      <c r="B29" s="7" t="inlineStr">
        <is>
          <t>0</t>
        </is>
      </c>
      <c r="C29" s="4">
        <f>C10+B29</f>
        <v/>
      </c>
      <c r="D29" s="4" t="inlineStr">
        <is>
          <t>C10</t>
        </is>
      </c>
    </row>
    <row r="30">
      <c r="A30" s="6" t="inlineStr">
        <is>
          <t>Oratory</t>
        </is>
      </c>
      <c r="B30" s="7" t="inlineStr">
        <is>
          <t>0</t>
        </is>
      </c>
      <c r="C30" s="4">
        <f>C10+B30</f>
        <v/>
      </c>
      <c r="D30" s="4" t="inlineStr">
        <is>
          <t>C10</t>
        </is>
      </c>
    </row>
    <row r="31">
      <c r="A31" s="6" t="inlineStr">
        <is>
          <t>Climbing</t>
        </is>
      </c>
      <c r="B31" s="7" t="inlineStr">
        <is>
          <t>0</t>
        </is>
      </c>
      <c r="C31" s="4">
        <f>C10+B31</f>
        <v/>
      </c>
      <c r="D31" s="4" t="inlineStr">
        <is>
          <t>C10</t>
        </is>
      </c>
    </row>
    <row r="32">
      <c r="A32" s="6" t="inlineStr">
        <is>
          <t>Stealth</t>
        </is>
      </c>
      <c r="B32" s="7" t="inlineStr">
        <is>
          <t>0</t>
        </is>
      </c>
      <c r="C32" s="4">
        <f>C10+B32</f>
        <v/>
      </c>
      <c r="D32" s="4" t="inlineStr">
        <is>
          <t>C10</t>
        </is>
      </c>
    </row>
    <row r="33">
      <c r="A33" s="6" t="inlineStr">
        <is>
          <t>Tracking</t>
        </is>
      </c>
      <c r="B33" s="7" t="inlineStr">
        <is>
          <t>0</t>
        </is>
      </c>
      <c r="C33" s="4">
        <f>C10+B33</f>
        <v/>
      </c>
      <c r="D33" s="4" t="inlineStr">
        <is>
          <t>C10</t>
        </is>
      </c>
    </row>
    <row r="34">
      <c r="A34" s="6" t="inlineStr">
        <is>
          <t>Read Intent</t>
        </is>
      </c>
      <c r="B34" s="7" t="inlineStr">
        <is>
          <t>5</t>
        </is>
      </c>
      <c r="C34" s="4">
        <f>C10+B34</f>
        <v/>
      </c>
      <c r="D34" s="4" t="inlineStr">
        <is>
          <t>C10</t>
        </is>
      </c>
    </row>
    <row r="35">
      <c r="A35" s="6" t="inlineStr">
        <is>
          <t>Disguise</t>
        </is>
      </c>
      <c r="B35" s="7" t="inlineStr">
        <is>
          <t>0</t>
        </is>
      </c>
      <c r="C35" s="4">
        <f>C10+B35</f>
        <v/>
      </c>
      <c r="D35" s="4" t="inlineStr">
        <is>
          <t>C10</t>
        </is>
      </c>
    </row>
    <row r="36">
      <c r="A36" s="6" t="inlineStr">
        <is>
          <t>Lockpicking</t>
        </is>
      </c>
      <c r="B36" s="7" t="inlineStr">
        <is>
          <t>0</t>
        </is>
      </c>
      <c r="C36" s="4">
        <f>C10+B36</f>
        <v/>
      </c>
      <c r="D36" s="4" t="inlineStr">
        <is>
          <t>C10</t>
        </is>
      </c>
    </row>
    <row r="37">
      <c r="A37" s="6" t="inlineStr">
        <is>
          <t>Trapcraft</t>
        </is>
      </c>
      <c r="B37" s="7" t="inlineStr">
        <is>
          <t>0</t>
        </is>
      </c>
      <c r="C37" s="4">
        <f>C10+B37</f>
        <v/>
      </c>
      <c r="D37" s="4" t="inlineStr">
        <is>
          <t>C10</t>
        </is>
      </c>
    </row>
    <row r="38">
      <c r="A38" s="6" t="inlineStr">
        <is>
          <t>Medicine</t>
        </is>
      </c>
      <c r="B38" s="7" t="inlineStr">
        <is>
          <t>7</t>
        </is>
      </c>
      <c r="C38" s="4">
        <f>C10+B38</f>
        <v/>
      </c>
      <c r="D38" s="4" t="inlineStr">
        <is>
          <t>C10</t>
        </is>
      </c>
    </row>
    <row r="39">
      <c r="A39" s="6" t="inlineStr">
        <is>
          <t>Alchemy</t>
        </is>
      </c>
      <c r="B39" s="7" t="inlineStr">
        <is>
          <t>6</t>
        </is>
      </c>
      <c r="C39" s="4">
        <f>C10+B39</f>
        <v/>
      </c>
      <c r="D39" s="4" t="inlineStr">
        <is>
          <t>C10</t>
        </is>
      </c>
    </row>
    <row r="40">
      <c r="A40" s="6" t="inlineStr">
        <is>
          <t>Poisoncraft</t>
        </is>
      </c>
      <c r="B40" s="7" t="inlineStr">
        <is>
          <t>5</t>
        </is>
      </c>
      <c r="C40" s="4">
        <f>C10+B40</f>
        <v/>
      </c>
      <c r="D40" s="4" t="inlineStr">
        <is>
          <t>C10</t>
        </is>
      </c>
    </row>
    <row r="41">
      <c r="A41" s="6" t="inlineStr">
        <is>
          <t>Hidden Weapon</t>
        </is>
      </c>
      <c r="B41" s="7" t="inlineStr">
        <is>
          <t>0</t>
        </is>
      </c>
      <c r="C41" s="4">
        <f>C10+B41</f>
        <v/>
      </c>
      <c r="D41" s="4" t="inlineStr">
        <is>
          <t>C10</t>
        </is>
      </c>
    </row>
    <row r="42">
      <c r="A42" s="4" t="inlineStr">
        <is>
          <t>Lightfoot Level</t>
        </is>
      </c>
      <c r="B42" s="7" t="inlineStr">
        <is>
          <t>0</t>
        </is>
      </c>
      <c r="C42" s="4">
        <f>C10+B42</f>
        <v/>
      </c>
      <c r="D42" s="4" t="inlineStr">
        <is>
          <t>C10</t>
        </is>
      </c>
    </row>
    <row r="43">
      <c r="A43" s="4" t="inlineStr">
        <is>
          <t>Armor Value</t>
        </is>
      </c>
      <c r="B43" s="7" t="inlineStr">
        <is>
          <t>0</t>
        </is>
      </c>
      <c r="C43" s="4">
        <f>C10+B43</f>
        <v/>
      </c>
      <c r="D43" s="4" t="inlineStr">
        <is>
          <t>C10</t>
        </is>
      </c>
    </row>
    <row r="44">
      <c r="A44" s="6" t="inlineStr">
        <is>
          <t>Saber Art</t>
        </is>
      </c>
      <c r="B44" s="7" t="inlineStr">
        <is>
          <t>0</t>
        </is>
      </c>
      <c r="C44" s="4">
        <f>C10+B44</f>
        <v/>
      </c>
      <c r="D44" s="4" t="inlineStr">
        <is>
          <t>C10</t>
        </is>
      </c>
    </row>
    <row r="45">
      <c r="A45" s="6" t="inlineStr">
        <is>
          <t>Sword Art</t>
        </is>
      </c>
      <c r="B45" s="7" t="inlineStr">
        <is>
          <t>0</t>
        </is>
      </c>
      <c r="C45" s="4">
        <f>C10+B45</f>
        <v/>
      </c>
      <c r="D45" s="4" t="inlineStr">
        <is>
          <t>C10</t>
        </is>
      </c>
    </row>
    <row r="46"/>
    <row r="47"/>
    <row r="48"/>
    <row r="49">
      <c r="A49" s="5" t="inlineStr">
        <is>
          <t>— Martial Arts —</t>
        </is>
      </c>
      <c r="B49" s="2" t="n"/>
      <c r="C49" s="2" t="n"/>
      <c r="D49" s="2" t="n"/>
      <c r="E49" s="2" t="n"/>
      <c r="F49" s="2" t="n"/>
      <c r="G49" s="2" t="n"/>
      <c r="H49" s="3" t="n"/>
    </row>
    <row r="50">
      <c r="A50" s="9" t="inlineStr">
        <is>
          <t>Martial Art Name</t>
        </is>
      </c>
      <c r="B50" s="9" t="inlineStr">
        <is>
          <t>Type</t>
        </is>
      </c>
      <c r="C50" s="9" t="inlineStr">
        <is>
          <t>Tier · Proficiency</t>
        </is>
      </c>
      <c r="D50" s="9" t="inlineStr">
        <is>
          <t>Force Type</t>
        </is>
      </c>
      <c r="E50" s="9" t="inlineStr">
        <is>
          <t>Moves</t>
        </is>
      </c>
      <c r="F50" s="9" t="inlineStr">
        <is>
          <t>Qi</t>
        </is>
      </c>
      <c r="G50" s="9" t="inlineStr">
        <is>
          <t>Hit</t>
        </is>
      </c>
      <c r="H50" s="9" t="inlineStr">
        <is>
          <t>Damage / Effect</t>
        </is>
      </c>
    </row>
    <row r="51">
      <c r="A51" s="7" t="inlineStr">
        <is>
          <t>Medicine King Divine Needle</t>
        </is>
      </c>
      <c r="B51" s="7" t="inlineStr">
        <is>
          <t>Special · Medicine</t>
        </is>
      </c>
      <c r="C51" s="7" t="inlineStr">
        <is>
          <t>Superior</t>
        </is>
      </c>
      <c r="D51" s="7" t="inlineStr">
        <is>
          <t>—</t>
        </is>
      </c>
      <c r="E51" s="7" t="inlineStr">
        <is>
          <t>Nine Needles to Cross Acupoints</t>
        </is>
      </c>
      <c r="F51" s="7" t="inlineStr">
        <is>
          <t>4</t>
        </is>
      </c>
      <c r="G51" s="7" t="inlineStr">
        <is>
          <t>+5</t>
        </is>
      </c>
      <c r="H51" s="7" t="inlineStr">
        <is>
          <t>Heal 4d8</t>
        </is>
      </c>
    </row>
    <row r="52">
      <c r="A52" s="7" t="inlineStr">
        <is>
          <t>Hundred-Herb Mental Manual</t>
        </is>
      </c>
      <c r="B52" s="7" t="inlineStr">
        <is>
          <t>Inner Cultivation</t>
        </is>
      </c>
      <c r="C52" s="7" t="inlineStr">
        <is>
          <t>Authentic</t>
        </is>
      </c>
      <c r="D52" s="7" t="inlineStr">
        <is>
          <t>—</t>
        </is>
      </c>
      <c r="E52" s="7" t="inlineStr">
        <is>
          <t>—</t>
        </is>
      </c>
      <c r="F52" s="7" t="inlineStr">
        <is>
          <t>—</t>
        </is>
      </c>
      <c r="G52" s="7" t="inlineStr">
        <is>
          <t>—</t>
        </is>
      </c>
      <c r="H52" s="7" t="inlineStr">
        <is>
          <t>Inner Cultivation Coefficient 3</t>
        </is>
      </c>
    </row>
    <row r="53">
      <c r="A53" s="7" t="n"/>
      <c r="B53" s="7" t="n"/>
      <c r="C53" s="7" t="n"/>
      <c r="D53" s="7" t="n"/>
      <c r="E53" s="7" t="n"/>
      <c r="F53" s="7" t="n"/>
      <c r="G53" s="7" t="n"/>
      <c r="H53" s="7" t="n"/>
    </row>
    <row r="54">
      <c r="A54" s="7" t="n"/>
      <c r="B54" s="7" t="n"/>
      <c r="C54" s="7" t="n"/>
      <c r="D54" s="7" t="n"/>
      <c r="E54" s="7" t="n"/>
      <c r="F54" s="7" t="n"/>
      <c r="G54" s="7" t="n"/>
      <c r="H54" s="7" t="n"/>
    </row>
    <row r="55">
      <c r="A55" s="7" t="n"/>
      <c r="B55" s="7" t="n"/>
      <c r="C55" s="7" t="n"/>
      <c r="D55" s="7" t="n"/>
      <c r="E55" s="7" t="n"/>
      <c r="F55" s="7" t="n"/>
      <c r="G55" s="7" t="n"/>
      <c r="H55" s="7" t="n"/>
    </row>
    <row r="56">
      <c r="A56" s="7" t="n"/>
      <c r="B56" s="7" t="n"/>
      <c r="C56" s="7" t="n"/>
      <c r="D56" s="7" t="n"/>
      <c r="E56" s="7" t="n"/>
      <c r="F56" s="7" t="n"/>
      <c r="G56" s="7" t="n"/>
      <c r="H56" s="7" t="n"/>
    </row>
    <row r="57">
      <c r="A57" s="7" t="n"/>
      <c r="B57" s="7" t="n"/>
      <c r="C57" s="7" t="n"/>
      <c r="D57" s="7" t="n"/>
      <c r="E57" s="7" t="n"/>
      <c r="F57" s="7" t="n"/>
      <c r="G57" s="7" t="n"/>
      <c r="H57" s="7" t="n"/>
    </row>
    <row r="58">
      <c r="A58" s="7" t="n"/>
      <c r="B58" s="7" t="n"/>
      <c r="C58" s="7" t="n"/>
      <c r="D58" s="7" t="n"/>
      <c r="E58" s="7" t="n"/>
      <c r="F58" s="7" t="n"/>
      <c r="G58" s="7" t="n"/>
      <c r="H58" s="7" t="n"/>
    </row>
    <row r="59"/>
    <row r="60"/>
    <row r="61">
      <c r="A61" s="5" t="inlineStr">
        <is>
          <t>— Equipment —</t>
        </is>
      </c>
      <c r="B61" s="2" t="n"/>
      <c r="C61" s="2" t="n"/>
      <c r="D61" s="2" t="n"/>
      <c r="E61" s="2" t="n"/>
      <c r="F61" s="2" t="n"/>
      <c r="G61" s="2" t="n"/>
      <c r="H61" s="3" t="n"/>
    </row>
    <row r="62">
      <c r="A62" s="9" t="inlineStr">
        <is>
          <t>Weapon</t>
        </is>
      </c>
      <c r="B62" s="9" t="inlineStr">
        <is>
          <t>Damage</t>
        </is>
      </c>
      <c r="C62" s="9" t="inlineStr">
        <is>
          <t>Hit Modifier</t>
        </is>
      </c>
      <c r="D62" s="9" t="inlineStr">
        <is>
          <t>Armor</t>
        </is>
      </c>
      <c r="E62" s="9" t="inlineStr">
        <is>
          <t>External Injury Reduction</t>
        </is>
      </c>
      <c r="F62" s="9" t="inlineStr">
        <is>
          <t>Item</t>
        </is>
      </c>
    </row>
    <row r="63">
      <c r="A63" s="7" t="n"/>
      <c r="B63" s="3" t="n"/>
      <c r="D63" s="7" t="n"/>
      <c r="E63" s="2" t="n"/>
      <c r="F63" s="3" t="n"/>
    </row>
    <row r="64"/>
    <row r="65"/>
    <row r="66"/>
    <row r="67"/>
    <row r="68"/>
    <row r="69">
      <c r="A69" s="6" t="inlineStr">
        <is>
          <t>Heroism</t>
        </is>
      </c>
      <c r="B69" s="7" t="inlineStr">
        <is>
          <t>40</t>
        </is>
      </c>
      <c r="D69" s="6" t="inlineStr">
        <is>
          <t>Infamy</t>
        </is>
      </c>
      <c r="E69" s="7" t="inlineStr">
        <is>
          <t>0</t>
        </is>
      </c>
    </row>
    <row r="70"/>
    <row r="71">
      <c r="A71" t="inlineStr">
        <is>
          <t>Can apprentice (Difficulty Class (DC) 14): Medicine King Divine Needle + Hundred-Herb Mental Manual + Medicine.</t>
        </is>
      </c>
    </row>
    <row r="72">
      <c r="A72" t="inlineStr">
        <is>
          <t>Apprenticeship Gift: Medicine Box (Jin Chuang Medicine ×5 + Minor Restoration Pill ×2) + Graduation Gift: Su-Brand Signboard (20-tael credit)</t>
        </is>
      </c>
    </row>
  </sheetData>
  <mergeCells count="29">
    <mergeCell ref="D13:F13"/>
    <mergeCell ref="D11:F11"/>
    <mergeCell ref="E26:H26"/>
    <mergeCell ref="B23:D23"/>
    <mergeCell ref="E23:F23"/>
    <mergeCell ref="A49:H49"/>
    <mergeCell ref="A1:H1"/>
    <mergeCell ref="A61:H61"/>
    <mergeCell ref="A16:B16"/>
    <mergeCell ref="B19:D19"/>
    <mergeCell ref="E20:F20"/>
    <mergeCell ref="A25:B25"/>
    <mergeCell ref="E19:F19"/>
    <mergeCell ref="D12:F12"/>
    <mergeCell ref="D15:F15"/>
    <mergeCell ref="B6:D6"/>
    <mergeCell ref="B20:D20"/>
    <mergeCell ref="A18:H18"/>
    <mergeCell ref="D14:F14"/>
    <mergeCell ref="A2:H2"/>
    <mergeCell ref="A8:H8"/>
    <mergeCell ref="D63:F63"/>
    <mergeCell ref="D10:F10"/>
    <mergeCell ref="A4:H4"/>
    <mergeCell ref="B22:D22"/>
    <mergeCell ref="A63:B63"/>
    <mergeCell ref="E22:F22"/>
    <mergeCell ref="B21:D21"/>
    <mergeCell ref="E21:F2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>
      <c r="A1" s="12" t="inlineStr">
        <is>
          <t>Yonghe Martial Codex</t>
        </is>
      </c>
      <c r="B1" s="2" t="n"/>
      <c r="C1" s="2" t="n"/>
      <c r="D1" s="2" t="n"/>
      <c r="E1" s="2" t="n"/>
      <c r="F1" s="2" t="n"/>
      <c r="G1" s="2" t="n"/>
      <c r="H1" s="3" t="n"/>
    </row>
    <row r="2">
      <c r="A2" s="4" t="inlineStr">
        <is>
          <t>Court NPC · Tabletop Rules Studio</t>
        </is>
      </c>
      <c r="B2" s="2" t="n"/>
      <c r="C2" s="2" t="n"/>
      <c r="D2" s="2" t="n"/>
      <c r="E2" s="2" t="n"/>
      <c r="F2" s="2" t="n"/>
      <c r="G2" s="2" t="n"/>
      <c r="H2" s="3" t="n"/>
    </row>
    <row r="3"/>
    <row r="4">
      <c r="A4" s="13" t="inlineStr">
        <is>
          <t>— Basic Info —</t>
        </is>
      </c>
      <c r="B4" s="2" t="n"/>
      <c r="C4" s="2" t="n"/>
      <c r="D4" s="2" t="n"/>
      <c r="E4" s="2" t="n"/>
      <c r="F4" s="2" t="n"/>
      <c r="G4" s="2" t="n"/>
      <c r="H4" s="3" t="n"/>
    </row>
    <row r="5">
      <c r="A5" s="6" t="inlineStr">
        <is>
          <t>Character Name</t>
        </is>
      </c>
      <c r="B5" s="6" t="inlineStr">
        <is>
          <t>Zhao Wuji</t>
        </is>
      </c>
      <c r="C5" s="3" t="n"/>
      <c r="D5" s="6" t="inlineStr">
        <is>
          <t>Faction</t>
        </is>
      </c>
      <c r="E5" s="7" t="inlineStr">
        <is>
          <t>Six Doors</t>
        </is>
      </c>
      <c r="F5" s="6" t="inlineStr">
        <is>
          <t>Realm</t>
        </is>
      </c>
      <c r="G5" s="7" t="inlineStr">
        <is>
          <t>First Glimpse</t>
        </is>
      </c>
      <c r="H5" s="4" t="inlineStr">
        <is>
          <t>1 (No Inner Art)</t>
        </is>
      </c>
    </row>
    <row r="6">
      <c r="A6" s="6" t="inlineStr">
        <is>
          <t>Concept</t>
        </is>
      </c>
      <c r="B6" s="14" t="inlineStr">
        <is>
          <t>Six Doors apprentice constable. Three years in without true instruction — represents the court's most grassroots force.</t>
        </is>
      </c>
      <c r="C6" s="2" t="n"/>
      <c r="D6" s="2" t="n"/>
      <c r="E6" s="2" t="n"/>
      <c r="F6" s="2" t="n"/>
      <c r="G6" s="2" t="n"/>
      <c r="H6" s="3" t="n"/>
    </row>
    <row r="7"/>
    <row r="8">
      <c r="A8" s="13" t="inlineStr">
        <is>
          <t>— Six Attributes —</t>
        </is>
      </c>
      <c r="B8" s="2" t="n"/>
      <c r="C8" s="2" t="n"/>
      <c r="D8" s="2" t="n"/>
      <c r="E8" s="2" t="n"/>
      <c r="F8" s="2" t="n"/>
      <c r="G8" s="2" t="n"/>
      <c r="H8" s="3" t="n"/>
    </row>
    <row r="9">
      <c r="A9" s="9" t="inlineStr">
        <is>
          <t>Attribute</t>
        </is>
      </c>
      <c r="B9" s="9" t="inlineStr">
        <is>
          <t>Base Value</t>
        </is>
      </c>
      <c r="C9" s="9" t="inlineStr">
        <is>
          <t>Modifier</t>
        </is>
      </c>
      <c r="D9" s="9" t="inlineStr">
        <is>
          <t>Description</t>
        </is>
      </c>
    </row>
    <row r="10">
      <c r="A10" s="6" t="inlineStr">
        <is>
          <t>Strength (STR)</t>
        </is>
      </c>
      <c r="B10" s="7" t="inlineStr">
        <is>
          <t>5</t>
        </is>
      </c>
      <c r="C10" s="10">
        <f>B10-4</f>
        <v/>
      </c>
      <c r="D10" s="4" t="n"/>
      <c r="E10" s="2" t="n"/>
      <c r="F10" s="3" t="n"/>
    </row>
    <row r="11">
      <c r="A11" s="6" t="inlineStr">
        <is>
          <t>Agility (AGI)</t>
        </is>
      </c>
      <c r="B11" s="7" t="inlineStr">
        <is>
          <t>4</t>
        </is>
      </c>
      <c r="C11" s="10">
        <f>B11-4</f>
        <v/>
      </c>
      <c r="D11" s="4" t="n"/>
      <c r="E11" s="2" t="n"/>
      <c r="F11" s="3" t="n"/>
    </row>
    <row r="12">
      <c r="A12" s="6" t="inlineStr">
        <is>
          <t>Constitution (CON)</t>
        </is>
      </c>
      <c r="B12" s="7" t="inlineStr">
        <is>
          <t>4</t>
        </is>
      </c>
      <c r="C12" s="10">
        <f>B12-4</f>
        <v/>
      </c>
      <c r="D12" s="4" t="n"/>
      <c r="E12" s="2" t="n"/>
      <c r="F12" s="3" t="n"/>
    </row>
    <row r="13">
      <c r="A13" s="6" t="inlineStr">
        <is>
          <t>Comprehension (CMP)</t>
        </is>
      </c>
      <c r="B13" s="7" t="inlineStr">
        <is>
          <t>3</t>
        </is>
      </c>
      <c r="C13" s="10">
        <f>B13-4</f>
        <v/>
      </c>
      <c r="D13" s="4" t="n"/>
      <c r="E13" s="2" t="n"/>
      <c r="F13" s="3" t="n"/>
    </row>
    <row r="14">
      <c r="A14" s="6" t="inlineStr">
        <is>
          <t>Willpower (WIL)</t>
        </is>
      </c>
      <c r="B14" s="7" t="inlineStr">
        <is>
          <t>3</t>
        </is>
      </c>
      <c r="C14" s="10">
        <f>B14-4</f>
        <v/>
      </c>
      <c r="D14" s="4" t="n"/>
      <c r="E14" s="2" t="n"/>
      <c r="F14" s="3" t="n"/>
    </row>
    <row r="15">
      <c r="A15" s="6" t="inlineStr">
        <is>
          <t>Charisma (CHA)</t>
        </is>
      </c>
      <c r="B15" s="7" t="inlineStr">
        <is>
          <t>4</t>
        </is>
      </c>
      <c r="C15" s="10">
        <f>B15-4</f>
        <v/>
      </c>
      <c r="D15" s="4" t="n"/>
      <c r="E15" s="2" t="n"/>
      <c r="F15" s="3" t="n"/>
    </row>
    <row r="16"/>
    <row r="17">
      <c r="A17" s="13" t="inlineStr">
        <is>
          <t>— Derived Values —</t>
        </is>
      </c>
      <c r="B17" s="2" t="n"/>
      <c r="C17" s="2" t="n"/>
      <c r="D17" s="2" t="n"/>
      <c r="E17" s="2" t="n"/>
      <c r="F17" s="2" t="n"/>
      <c r="G17" s="2" t="n"/>
      <c r="H17" s="3" t="n"/>
    </row>
    <row r="18">
      <c r="A18" s="6" t="inlineStr">
        <is>
          <t>Health Points (HP)</t>
        </is>
      </c>
      <c r="B18" s="4" t="inlineStr">
        <is>
          <t>Constitution×5 + Realm</t>
        </is>
      </c>
      <c r="C18" s="2" t="n"/>
      <c r="D18" s="3" t="n"/>
      <c r="E18" s="11">
        <f>B12*5+IF(F5="Crossing the Threshold",5,IF(F5="Complete Mastery",10,IF(F5="Perfecting the Craft",15,IF(F5="Peak of Perfection",20,IF(F5="Return to Simplicity",25,0)))))</f>
        <v/>
      </c>
      <c r="F18" s="3" t="n"/>
    </row>
    <row r="19">
      <c r="A19" s="6" t="inlineStr">
        <is>
          <t>Qi</t>
        </is>
      </c>
      <c r="B19" s="4" t="inlineStr">
        <is>
          <t>Constitution × Inner-Cultivation Coefficient + Realm</t>
        </is>
      </c>
      <c r="C19" s="2" t="n"/>
      <c r="D19" s="3" t="n"/>
      <c r="E19" s="11">
        <f>B12*VALUE(LEFT(H5,1))+IF(F5="Crossing the Threshold",3,IF(F5="Complete Mastery",6,IF(F5="Perfecting the Craft",10,IF(F5="Peak of Perfection",15,IF(F5="Return to Simplicity",20,0)))))</f>
        <v/>
      </c>
      <c r="F19" s="3" t="n"/>
    </row>
    <row r="20">
      <c r="A20" s="6" t="inlineStr">
        <is>
          <t>Initiative</t>
        </is>
      </c>
      <c r="B20" s="4" t="inlineStr">
        <is>
          <t>Agility + Willpower</t>
        </is>
      </c>
      <c r="C20" s="2" t="n"/>
      <c r="D20" s="3" t="n"/>
      <c r="E20" s="11">
        <f>B11+B14</f>
        <v/>
      </c>
      <c r="F20" s="3" t="n"/>
    </row>
    <row r="21">
      <c r="A21" s="6" t="inlineStr">
        <is>
          <t>Evasion</t>
        </is>
      </c>
      <c r="B21" s="4" t="inlineStr">
        <is>
          <t>Agility Modifier</t>
        </is>
      </c>
      <c r="C21" s="2" t="n"/>
      <c r="D21" s="3" t="n"/>
      <c r="E21" s="11">
        <f>C11</f>
        <v/>
      </c>
      <c r="F21" s="3" t="n"/>
    </row>
    <row r="22">
      <c r="A22" s="6" t="inlineStr">
        <is>
          <t>Defense</t>
        </is>
      </c>
      <c r="B22" s="4" t="inlineStr">
        <is>
          <t>Constitution Modifier</t>
        </is>
      </c>
      <c r="C22" s="2" t="n"/>
      <c r="D22" s="3" t="n"/>
      <c r="E22" s="11">
        <f>C12</f>
        <v/>
      </c>
      <c r="F22" s="3" t="n"/>
    </row>
    <row r="23"/>
    <row r="24">
      <c r="A24" s="13" t="inlineStr">
        <is>
          <t>— Skills —</t>
        </is>
      </c>
      <c r="B24" s="3" t="n"/>
    </row>
    <row r="25">
      <c r="A25" s="6" t="inlineStr">
        <is>
          <t>Technique Reading</t>
        </is>
      </c>
      <c r="B25" s="7" t="inlineStr">
        <is>
          <t>0</t>
        </is>
      </c>
    </row>
    <row r="26">
      <c r="A26" s="6" t="inlineStr">
        <is>
          <t>Jianghu Lore</t>
        </is>
      </c>
      <c r="B26" s="7" t="inlineStr">
        <is>
          <t>0</t>
        </is>
      </c>
    </row>
    <row r="27">
      <c r="A27" s="6" t="inlineStr">
        <is>
          <t>Lightfoot</t>
        </is>
      </c>
      <c r="B27" s="7" t="inlineStr">
        <is>
          <t>0</t>
        </is>
      </c>
    </row>
    <row r="28">
      <c r="A28" s="6" t="inlineStr">
        <is>
          <t>Oratory</t>
        </is>
      </c>
      <c r="B28" s="7" t="inlineStr">
        <is>
          <t>0</t>
        </is>
      </c>
    </row>
    <row r="29">
      <c r="A29" s="6" t="inlineStr">
        <is>
          <t>Climbing</t>
        </is>
      </c>
      <c r="B29" s="7" t="inlineStr">
        <is>
          <t>0</t>
        </is>
      </c>
    </row>
    <row r="30">
      <c r="A30" s="6" t="inlineStr">
        <is>
          <t>Stealth</t>
        </is>
      </c>
      <c r="B30" s="7" t="inlineStr">
        <is>
          <t>0</t>
        </is>
      </c>
    </row>
    <row r="31">
      <c r="A31" s="6" t="inlineStr">
        <is>
          <t>Tracking</t>
        </is>
      </c>
      <c r="B31" s="7" t="inlineStr">
        <is>
          <t>2</t>
        </is>
      </c>
    </row>
    <row r="32">
      <c r="A32" s="6" t="inlineStr">
        <is>
          <t>Read Intent</t>
        </is>
      </c>
      <c r="B32" s="7" t="inlineStr">
        <is>
          <t>1</t>
        </is>
      </c>
    </row>
    <row r="33">
      <c r="A33" s="6" t="inlineStr">
        <is>
          <t>Disguise</t>
        </is>
      </c>
      <c r="B33" s="7" t="inlineStr">
        <is>
          <t>0</t>
        </is>
      </c>
    </row>
    <row r="34">
      <c r="A34" s="6" t="inlineStr">
        <is>
          <t>Lockpicking</t>
        </is>
      </c>
      <c r="B34" s="7" t="inlineStr">
        <is>
          <t>0</t>
        </is>
      </c>
    </row>
    <row r="35">
      <c r="A35" s="6" t="inlineStr">
        <is>
          <t>Trapcraft</t>
        </is>
      </c>
      <c r="B35" s="7" t="inlineStr">
        <is>
          <t>0</t>
        </is>
      </c>
    </row>
    <row r="36">
      <c r="A36" s="6" t="inlineStr">
        <is>
          <t>Medicine</t>
        </is>
      </c>
      <c r="B36" s="7" t="inlineStr">
        <is>
          <t>0</t>
        </is>
      </c>
    </row>
    <row r="37">
      <c r="A37" s="6" t="inlineStr">
        <is>
          <t>Alchemy</t>
        </is>
      </c>
      <c r="B37" s="7" t="inlineStr">
        <is>
          <t>0</t>
        </is>
      </c>
    </row>
    <row r="38">
      <c r="A38" s="6" t="inlineStr">
        <is>
          <t>Poisoncraft</t>
        </is>
      </c>
      <c r="B38" s="7" t="inlineStr">
        <is>
          <t>0</t>
        </is>
      </c>
    </row>
    <row r="39">
      <c r="A39" s="6" t="inlineStr">
        <is>
          <t>Hidden Weapon</t>
        </is>
      </c>
      <c r="B39" s="7" t="inlineStr">
        <is>
          <t>0</t>
        </is>
      </c>
    </row>
    <row r="40">
      <c r="A40" s="6" t="inlineStr">
        <is>
          <t>Staff Art</t>
        </is>
      </c>
      <c r="B40" s="7" t="inlineStr">
        <is>
          <t>0</t>
        </is>
      </c>
    </row>
    <row r="41">
      <c r="A41" s="6" t="inlineStr">
        <is>
          <t>Fist &amp; Palm</t>
        </is>
      </c>
      <c r="B41" s="7" t="inlineStr">
        <is>
          <t>0</t>
        </is>
      </c>
    </row>
    <row r="42">
      <c r="A42" s="6" t="inlineStr">
        <is>
          <t>Saber Art</t>
        </is>
      </c>
      <c r="B42" s="7" t="inlineStr">
        <is>
          <t>1</t>
        </is>
      </c>
    </row>
    <row r="43">
      <c r="A43" s="6" t="inlineStr">
        <is>
          <t>Sword Art</t>
        </is>
      </c>
      <c r="B43" s="7" t="inlineStr">
        <is>
          <t>0</t>
        </is>
      </c>
    </row>
    <row r="44"/>
    <row r="45">
      <c r="A45" s="13" t="inlineStr">
        <is>
          <t>— Martial Arts —</t>
        </is>
      </c>
      <c r="B45" s="2" t="n"/>
      <c r="C45" s="2" t="n"/>
      <c r="D45" s="2" t="n"/>
      <c r="E45" s="2" t="n"/>
      <c r="F45" s="2" t="n"/>
      <c r="G45" s="2" t="n"/>
      <c r="H45" s="3" t="n"/>
    </row>
    <row r="46">
      <c r="A46" s="9" t="inlineStr">
        <is>
          <t>Martial Art Name</t>
        </is>
      </c>
      <c r="B46" s="9" t="inlineStr">
        <is>
          <t>Type</t>
        </is>
      </c>
      <c r="C46" s="9" t="inlineStr">
        <is>
          <t>Tier</t>
        </is>
      </c>
      <c r="D46" s="9" t="inlineStr">
        <is>
          <t>Force Type</t>
        </is>
      </c>
      <c r="E46" s="9" t="inlineStr">
        <is>
          <t>Moves</t>
        </is>
      </c>
      <c r="F46" s="9" t="inlineStr">
        <is>
          <t>Qi</t>
        </is>
      </c>
      <c r="G46" s="9" t="inlineStr">
        <is>
          <t>Hit</t>
        </is>
      </c>
      <c r="H46" s="9" t="inlineStr">
        <is>
          <t>Damage / Effect</t>
        </is>
      </c>
    </row>
    <row r="47">
      <c r="A47" s="7" t="inlineStr">
        <is>
          <t>Six-Door Swift Saber · Quick-Arrest Cut</t>
        </is>
      </c>
      <c r="B47" s="7" t="inlineStr">
        <is>
          <t>External Art · Saber</t>
        </is>
      </c>
      <c r="C47" s="7" t="inlineStr">
        <is>
          <t>Initiate</t>
        </is>
      </c>
      <c r="D47" s="7" t="inlineStr">
        <is>
          <t>Swift</t>
        </is>
      </c>
      <c r="E47" s="7" t="inlineStr">
        <is>
          <t>Arrest</t>
        </is>
      </c>
      <c r="F47" s="7" t="inlineStr">
        <is>
          <t>1</t>
        </is>
      </c>
      <c r="G47" s="7" t="inlineStr">
        <is>
          <t>+2</t>
        </is>
      </c>
      <c r="H47" s="7" t="inlineStr">
        <is>
          <t>1d8+STR; +1 vs already-injured</t>
        </is>
      </c>
    </row>
    <row r="48"/>
    <row r="49"/>
    <row r="50"/>
    <row r="51"/>
    <row r="52"/>
    <row r="53"/>
    <row r="54"/>
    <row r="55"/>
    <row r="56">
      <c r="A56" s="13" t="inlineStr">
        <is>
          <t>— Equipment —</t>
        </is>
      </c>
      <c r="B56" s="2" t="n"/>
      <c r="C56" s="2" t="n"/>
      <c r="D56" s="2" t="n"/>
      <c r="E56" s="2" t="n"/>
      <c r="F56" s="2" t="n"/>
      <c r="G56" s="2" t="n"/>
      <c r="H56" s="3" t="n"/>
    </row>
    <row r="57">
      <c r="A57" s="9" t="inlineStr">
        <is>
          <t>Weapon</t>
        </is>
      </c>
      <c r="B57" s="9" t="inlineStr">
        <is>
          <t>Armor</t>
        </is>
      </c>
      <c r="C57" s="9" t="inlineStr">
        <is>
          <t>Special</t>
        </is>
      </c>
    </row>
    <row r="58">
      <c r="A58" s="8" t="inlineStr">
        <is>
          <t>Standard Official Saber (1d8+1)</t>
        </is>
      </c>
      <c r="B58" s="8" t="inlineStr">
        <is>
          <t>Old Official Robe</t>
        </is>
      </c>
      <c r="C58" s="14" t="inlineStr">
        <is>
          <t>First Realm peak. Health Points (HP) 20, Qi 4</t>
        </is>
      </c>
      <c r="D58" s="2" t="n"/>
      <c r="E58" s="2" t="n"/>
      <c r="F58" s="3" t="n"/>
    </row>
    <row r="59"/>
    <row r="60"/>
    <row r="61">
      <c r="A61" s="6" t="inlineStr">
        <is>
          <t>Heroism</t>
        </is>
      </c>
      <c r="B61" s="7" t="inlineStr">
        <is>
          <t>5</t>
        </is>
      </c>
      <c r="D61" s="6" t="inlineStr">
        <is>
          <t>Infamy</t>
        </is>
      </c>
      <c r="E61" s="7" t="inlineStr">
        <is>
          <t>0</t>
        </is>
      </c>
    </row>
  </sheetData>
  <mergeCells count="27">
    <mergeCell ref="A24:B24"/>
    <mergeCell ref="D13:F13"/>
    <mergeCell ref="D11:F11"/>
    <mergeCell ref="B6:H6"/>
    <mergeCell ref="A45:H45"/>
    <mergeCell ref="A1:H1"/>
    <mergeCell ref="B19:D19"/>
    <mergeCell ref="E20:F20"/>
    <mergeCell ref="E19:F19"/>
    <mergeCell ref="D12:F12"/>
    <mergeCell ref="C58:F58"/>
    <mergeCell ref="D15:F15"/>
    <mergeCell ref="B20:D20"/>
    <mergeCell ref="A56:H56"/>
    <mergeCell ref="D14:F14"/>
    <mergeCell ref="A2:H2"/>
    <mergeCell ref="A8:H8"/>
    <mergeCell ref="D10:F10"/>
    <mergeCell ref="A17:H17"/>
    <mergeCell ref="A4:H4"/>
    <mergeCell ref="B5:C5"/>
    <mergeCell ref="B22:D22"/>
    <mergeCell ref="B18:D18"/>
    <mergeCell ref="E22:F22"/>
    <mergeCell ref="B21:D21"/>
    <mergeCell ref="E18:F18"/>
    <mergeCell ref="E21:F2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72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</cols>
  <sheetData>
    <row r="1">
      <c r="A1" s="1" t="inlineStr">
        <is>
          <t>Yonghe Martial Codex</t>
        </is>
      </c>
      <c r="B1" s="2" t="n"/>
      <c r="C1" s="2" t="n"/>
      <c r="D1" s="2" t="n"/>
      <c r="E1" s="2" t="n"/>
      <c r="F1" s="2" t="n"/>
      <c r="G1" s="2" t="n"/>
      <c r="H1" s="3" t="n"/>
    </row>
    <row r="2">
      <c r="A2" s="4" t="inlineStr">
        <is>
          <t>Character Card · Tabletop Rules Studio</t>
        </is>
      </c>
      <c r="B2" s="2" t="n"/>
      <c r="C2" s="2" t="n"/>
      <c r="D2" s="2" t="n"/>
      <c r="E2" s="2" t="n"/>
      <c r="F2" s="2" t="n"/>
      <c r="G2" s="2" t="n"/>
      <c r="H2" s="3" t="n"/>
    </row>
    <row r="3"/>
    <row r="4">
      <c r="A4" s="5" t="inlineStr">
        <is>
          <t>— Basic Info —</t>
        </is>
      </c>
      <c r="B4" s="2" t="n"/>
      <c r="C4" s="2" t="n"/>
      <c r="D4" s="2" t="n"/>
      <c r="E4" s="2" t="n"/>
      <c r="F4" s="2" t="n"/>
      <c r="G4" s="2" t="n"/>
      <c r="H4" s="3" t="n"/>
    </row>
    <row r="5">
      <c r="A5" s="6" t="inlineStr">
        <is>
          <t>Character Name</t>
        </is>
      </c>
      <c r="B5" s="7" t="inlineStr">
        <is>
          <t>Lu Chenyuan</t>
        </is>
      </c>
      <c r="C5" s="6" t="inlineStr">
        <is>
          <t>Player</t>
        </is>
      </c>
      <c r="D5" s="7" t="n"/>
      <c r="E5" s="6" t="inlineStr">
        <is>
          <t>Sect</t>
        </is>
      </c>
      <c r="F5" s="7" t="inlineStr">
        <is>
          <t>Tianjian Alliance</t>
        </is>
      </c>
    </row>
    <row r="6">
      <c r="A6" s="6" t="inlineStr">
        <is>
          <t>Concept</t>
        </is>
      </c>
      <c r="B6" s="8" t="inlineStr">
        <is>
          <t>Tianjian Alliance Alliance Leader, a sword grandmaster past sixty. Thirty years ago, with one man and one sword, pacified the Thirteen Western Bandits.</t>
        </is>
      </c>
      <c r="C6" s="2" t="n"/>
      <c r="D6" s="3" t="n"/>
      <c r="E6" s="6" t="inlineStr">
        <is>
          <t>Realm</t>
        </is>
      </c>
      <c r="F6" s="7" t="inlineStr">
        <is>
          <t>Peak of Perfection</t>
        </is>
      </c>
      <c r="G6" s="6" t="inlineStr">
        <is>
          <t>Inner Cultivation Coefficient</t>
        </is>
      </c>
      <c r="H6" s="7" t="inlineStr">
        <is>
          <t>4</t>
        </is>
      </c>
    </row>
    <row r="7"/>
    <row r="8">
      <c r="A8" s="5" t="inlineStr">
        <is>
          <t>— Six Attributes —</t>
        </is>
      </c>
      <c r="B8" s="2" t="n"/>
      <c r="C8" s="2" t="n"/>
      <c r="D8" s="2" t="n"/>
      <c r="E8" s="2" t="n"/>
      <c r="F8" s="2" t="n"/>
      <c r="G8" s="2" t="n"/>
      <c r="H8" s="3" t="n"/>
    </row>
    <row r="9">
      <c r="A9" s="9" t="inlineStr">
        <is>
          <t>Attribute</t>
        </is>
      </c>
      <c r="B9" s="9" t="inlineStr">
        <is>
          <t>Base Value</t>
        </is>
      </c>
      <c r="C9" s="9" t="inlineStr">
        <is>
          <t>Modifier</t>
        </is>
      </c>
      <c r="D9" s="9" t="inlineStr">
        <is>
          <t>Description</t>
        </is>
      </c>
    </row>
    <row r="10">
      <c r="A10" s="6" t="inlineStr">
        <is>
          <t>Strength (STR)</t>
        </is>
      </c>
      <c r="B10" s="7" t="inlineStr">
        <is>
          <t>9</t>
        </is>
      </c>
      <c r="C10" s="10">
        <f>B10-4</f>
        <v/>
      </c>
      <c r="D10" s="4" t="inlineStr">
        <is>
          <t>Muscle power, explosive force</t>
        </is>
      </c>
      <c r="E10" s="2" t="n"/>
      <c r="F10" s="3" t="n"/>
    </row>
    <row r="11">
      <c r="A11" s="6" t="inlineStr">
        <is>
          <t>Agility (AGI)</t>
        </is>
      </c>
      <c r="B11" s="7" t="inlineStr">
        <is>
          <t>7</t>
        </is>
      </c>
      <c r="C11" s="10">
        <f>B11-4</f>
        <v/>
      </c>
      <c r="D11" s="4" t="inlineStr">
        <is>
          <t>Speed, flexibility, lightfoot</t>
        </is>
      </c>
      <c r="E11" s="2" t="n"/>
      <c r="F11" s="3" t="n"/>
    </row>
    <row r="12">
      <c r="A12" s="6" t="inlineStr">
        <is>
          <t>Constitution (CON)</t>
        </is>
      </c>
      <c r="B12" s="7" t="inlineStr">
        <is>
          <t>8</t>
        </is>
      </c>
      <c r="C12" s="10">
        <f>B12-4</f>
        <v/>
      </c>
      <c r="D12" s="4" t="inlineStr">
        <is>
          <t>Meridian capacity, physique, life resilience</t>
        </is>
      </c>
      <c r="E12" s="2" t="n"/>
      <c r="F12" s="3" t="n"/>
    </row>
    <row r="13">
      <c r="A13" s="6" t="inlineStr">
        <is>
          <t>Comprehension (CMP)</t>
        </is>
      </c>
      <c r="B13" s="7" t="inlineStr">
        <is>
          <t>7</t>
        </is>
      </c>
      <c r="C13" s="10">
        <f>B13-4</f>
        <v/>
      </c>
      <c r="D13" s="4" t="inlineStr">
        <is>
          <t>Martial comprehension, learning efficiency</t>
        </is>
      </c>
      <c r="E13" s="2" t="n"/>
      <c r="F13" s="3" t="n"/>
    </row>
    <row r="14">
      <c r="A14" s="6" t="inlineStr">
        <is>
          <t>Willpower (WIL)</t>
        </is>
      </c>
      <c r="B14" s="7" t="inlineStr">
        <is>
          <t>8</t>
        </is>
      </c>
      <c r="C14" s="10">
        <f>B14-4</f>
        <v/>
      </c>
      <c r="D14" s="4" t="inlineStr">
        <is>
          <t>Willpower, mental stability</t>
        </is>
      </c>
      <c r="E14" s="2" t="n"/>
      <c r="F14" s="3" t="n"/>
    </row>
    <row r="15">
      <c r="A15" s="6" t="inlineStr">
        <is>
          <t>Charisma (CHA)</t>
        </is>
      </c>
      <c r="B15" s="7" t="inlineStr">
        <is>
          <t>7</t>
        </is>
      </c>
      <c r="C15" s="10">
        <f>B15-4</f>
        <v/>
      </c>
      <c r="D15" s="4" t="inlineStr">
        <is>
          <t>Personal charm, interpersonal influence</t>
        </is>
      </c>
      <c r="E15" s="2" t="n"/>
      <c r="F15" s="3" t="n"/>
    </row>
    <row r="16">
      <c r="A16" s="6" t="inlineStr">
        <is>
          <t>Attribute Total</t>
        </is>
      </c>
      <c r="B16" s="3" t="n"/>
    </row>
    <row r="17"/>
    <row r="18">
      <c r="A18" s="5" t="inlineStr">
        <is>
          <t>— Derived Values —</t>
        </is>
      </c>
      <c r="B18" s="2" t="n"/>
      <c r="C18" s="2" t="n"/>
      <c r="D18" s="2" t="n"/>
      <c r="E18" s="2" t="n"/>
      <c r="F18" s="2" t="n"/>
      <c r="G18" s="2" t="n"/>
      <c r="H18" s="3" t="n"/>
    </row>
    <row r="19">
      <c r="A19" s="6" t="inlineStr">
        <is>
          <t>Health Points (HP)</t>
        </is>
      </c>
      <c r="B19" s="4" t="inlineStr">
        <is>
          <t>Constitution×5 + Realm Bonus</t>
        </is>
      </c>
      <c r="C19" s="2" t="n"/>
      <c r="D19" s="3" t="n"/>
      <c r="E19" s="11">
        <f>B12*5+IF(F6="Crossing the Threshold",5,IF(F6="Complete Mastery",10,IF(F6="Perfecting the Craft",15,IF(F6="Peak of Perfection",20,IF(F6="Return to Simplicity",25,0)))))</f>
        <v/>
      </c>
      <c r="F19" s="3" t="n"/>
    </row>
    <row r="20">
      <c r="A20" s="6" t="inlineStr">
        <is>
          <t>Qi</t>
        </is>
      </c>
      <c r="B20" s="4" t="inlineStr">
        <is>
          <t>Constitution × Inner-Cultivation Coefficient + Realm Bonus</t>
        </is>
      </c>
      <c r="C20" s="2" t="n"/>
      <c r="D20" s="3" t="n"/>
      <c r="E20" s="11">
        <f>B12*VALUE(LEFT(H6,1))+IF(F6="Crossing the Threshold",3,IF(F6="Complete Mastery",6,IF(F6="Perfecting the Craft",10,IF(F6="Peak of Perfection",15,IF(F6="Return to Simplicity",20,0)))))</f>
        <v/>
      </c>
      <c r="F20" s="3" t="n"/>
    </row>
    <row r="21">
      <c r="A21" s="6" t="inlineStr">
        <is>
          <t>Initiative</t>
        </is>
      </c>
      <c r="B21" s="4" t="inlineStr">
        <is>
          <t>Agility + Willpower</t>
        </is>
      </c>
      <c r="C21" s="2" t="n"/>
      <c r="D21" s="3" t="n"/>
      <c r="E21" s="11">
        <f>B11+B14</f>
        <v/>
      </c>
      <c r="F21" s="3" t="n"/>
    </row>
    <row r="22">
      <c r="A22" s="6" t="inlineStr">
        <is>
          <t>Evasion</t>
        </is>
      </c>
      <c r="B22" s="4" t="inlineStr">
        <is>
          <t>Agility Modifier + Lightfoot Level</t>
        </is>
      </c>
      <c r="C22" s="2" t="n"/>
      <c r="D22" s="3" t="n"/>
      <c r="E22" s="11">
        <f>C11+B42</f>
        <v/>
      </c>
      <c r="F22" s="3" t="n"/>
    </row>
    <row r="23">
      <c r="A23" s="6" t="inlineStr">
        <is>
          <t>Defense</t>
        </is>
      </c>
      <c r="B23" s="4" t="inlineStr">
        <is>
          <t>Constitution Modifier + Armor Value</t>
        </is>
      </c>
      <c r="C23" s="2" t="n"/>
      <c r="D23" s="3" t="n"/>
      <c r="E23" s="11">
        <f>C12+B43</f>
        <v/>
      </c>
      <c r="F23" s="3" t="n"/>
    </row>
    <row r="24"/>
    <row r="25">
      <c r="A25" s="5" t="inlineStr">
        <is>
          <t>— Skills —</t>
        </is>
      </c>
      <c r="B25" s="3" t="n"/>
    </row>
    <row r="26">
      <c r="A26" s="9" t="inlineStr">
        <is>
          <t>Skills</t>
        </is>
      </c>
      <c r="B26" s="9" t="inlineStr">
        <is>
          <t>Level</t>
        </is>
      </c>
      <c r="C26" s="9" t="inlineStr">
        <is>
          <t>Bonus</t>
        </is>
      </c>
      <c r="D26" s="9" t="inlineStr">
        <is>
          <t>Corresponding Attribute</t>
        </is>
      </c>
      <c r="E26" s="7" t="inlineStr">
        <is>
          <t>Notes</t>
        </is>
      </c>
      <c r="F26" s="2" t="n"/>
      <c r="G26" s="2" t="n"/>
      <c r="H26" s="3" t="n"/>
    </row>
    <row r="27">
      <c r="A27" s="6" t="inlineStr">
        <is>
          <t>Technique Reading</t>
        </is>
      </c>
      <c r="B27" s="7" t="inlineStr">
        <is>
          <t>6</t>
        </is>
      </c>
      <c r="C27" s="4">
        <f>C10+B27</f>
        <v/>
      </c>
      <c r="D27" s="4" t="inlineStr">
        <is>
          <t>C10</t>
        </is>
      </c>
    </row>
    <row r="28">
      <c r="A28" s="6" t="inlineStr">
        <is>
          <t>Jianghu Lore</t>
        </is>
      </c>
      <c r="B28" s="7" t="inlineStr">
        <is>
          <t>5</t>
        </is>
      </c>
      <c r="C28" s="4">
        <f>C10+B28</f>
        <v/>
      </c>
      <c r="D28" s="4" t="inlineStr">
        <is>
          <t>C10</t>
        </is>
      </c>
    </row>
    <row r="29">
      <c r="A29" s="6" t="inlineStr">
        <is>
          <t>Lightfoot</t>
        </is>
      </c>
      <c r="B29" s="7" t="inlineStr">
        <is>
          <t>0</t>
        </is>
      </c>
      <c r="C29" s="4">
        <f>C10+B29</f>
        <v/>
      </c>
      <c r="D29" s="4" t="inlineStr">
        <is>
          <t>C10</t>
        </is>
      </c>
    </row>
    <row r="30">
      <c r="A30" s="6" t="inlineStr">
        <is>
          <t>Oratory</t>
        </is>
      </c>
      <c r="B30" s="7" t="inlineStr">
        <is>
          <t>0</t>
        </is>
      </c>
      <c r="C30" s="4">
        <f>C10+B30</f>
        <v/>
      </c>
      <c r="D30" s="4" t="inlineStr">
        <is>
          <t>C10</t>
        </is>
      </c>
    </row>
    <row r="31">
      <c r="A31" s="6" t="inlineStr">
        <is>
          <t>Climbing</t>
        </is>
      </c>
      <c r="B31" s="7" t="inlineStr">
        <is>
          <t>0</t>
        </is>
      </c>
      <c r="C31" s="4">
        <f>C10+B31</f>
        <v/>
      </c>
      <c r="D31" s="4" t="inlineStr">
        <is>
          <t>C10</t>
        </is>
      </c>
    </row>
    <row r="32">
      <c r="A32" s="6" t="inlineStr">
        <is>
          <t>Stealth</t>
        </is>
      </c>
      <c r="B32" s="7" t="inlineStr">
        <is>
          <t>0</t>
        </is>
      </c>
      <c r="C32" s="4">
        <f>C10+B32</f>
        <v/>
      </c>
      <c r="D32" s="4" t="inlineStr">
        <is>
          <t>C10</t>
        </is>
      </c>
    </row>
    <row r="33">
      <c r="A33" s="6" t="inlineStr">
        <is>
          <t>Tracking</t>
        </is>
      </c>
      <c r="B33" s="7" t="inlineStr">
        <is>
          <t>0</t>
        </is>
      </c>
      <c r="C33" s="4">
        <f>C10+B33</f>
        <v/>
      </c>
      <c r="D33" s="4" t="inlineStr">
        <is>
          <t>C10</t>
        </is>
      </c>
    </row>
    <row r="34">
      <c r="A34" s="6" t="inlineStr">
        <is>
          <t>Read Intent</t>
        </is>
      </c>
      <c r="B34" s="7" t="inlineStr">
        <is>
          <t>5</t>
        </is>
      </c>
      <c r="C34" s="4">
        <f>C10+B34</f>
        <v/>
      </c>
      <c r="D34" s="4" t="inlineStr">
        <is>
          <t>C10</t>
        </is>
      </c>
    </row>
    <row r="35">
      <c r="A35" s="6" t="inlineStr">
        <is>
          <t>Disguise</t>
        </is>
      </c>
      <c r="B35" s="7" t="inlineStr">
        <is>
          <t>0</t>
        </is>
      </c>
      <c r="C35" s="4">
        <f>C10+B35</f>
        <v/>
      </c>
      <c r="D35" s="4" t="inlineStr">
        <is>
          <t>C10</t>
        </is>
      </c>
    </row>
    <row r="36">
      <c r="A36" s="6" t="inlineStr">
        <is>
          <t>Lockpicking</t>
        </is>
      </c>
      <c r="B36" s="7" t="inlineStr">
        <is>
          <t>0</t>
        </is>
      </c>
      <c r="C36" s="4">
        <f>C10+B36</f>
        <v/>
      </c>
      <c r="D36" s="4" t="inlineStr">
        <is>
          <t>C10</t>
        </is>
      </c>
    </row>
    <row r="37">
      <c r="A37" s="6" t="inlineStr">
        <is>
          <t>Trapcraft</t>
        </is>
      </c>
      <c r="B37" s="7" t="inlineStr">
        <is>
          <t>0</t>
        </is>
      </c>
      <c r="C37" s="4">
        <f>C10+B37</f>
        <v/>
      </c>
      <c r="D37" s="4" t="inlineStr">
        <is>
          <t>C10</t>
        </is>
      </c>
    </row>
    <row r="38">
      <c r="A38" s="6" t="inlineStr">
        <is>
          <t>Medicine</t>
        </is>
      </c>
      <c r="B38" s="7" t="inlineStr">
        <is>
          <t>0</t>
        </is>
      </c>
      <c r="C38" s="4">
        <f>C10+B38</f>
        <v/>
      </c>
      <c r="D38" s="4" t="inlineStr">
        <is>
          <t>C10</t>
        </is>
      </c>
    </row>
    <row r="39">
      <c r="A39" s="6" t="inlineStr">
        <is>
          <t>Alchemy</t>
        </is>
      </c>
      <c r="B39" s="7" t="inlineStr">
        <is>
          <t>0</t>
        </is>
      </c>
      <c r="C39" s="4">
        <f>C10+B39</f>
        <v/>
      </c>
      <c r="D39" s="4" t="inlineStr">
        <is>
          <t>C10</t>
        </is>
      </c>
    </row>
    <row r="40">
      <c r="A40" s="6" t="inlineStr">
        <is>
          <t>Poisoncraft</t>
        </is>
      </c>
      <c r="B40" s="7" t="inlineStr">
        <is>
          <t>0</t>
        </is>
      </c>
      <c r="C40" s="4">
        <f>C10+B40</f>
        <v/>
      </c>
      <c r="D40" s="4" t="inlineStr">
        <is>
          <t>C10</t>
        </is>
      </c>
    </row>
    <row r="41">
      <c r="A41" s="6" t="inlineStr">
        <is>
          <t>Hidden Weapon</t>
        </is>
      </c>
      <c r="B41" s="7" t="inlineStr">
        <is>
          <t>0</t>
        </is>
      </c>
      <c r="C41" s="4">
        <f>C10+B41</f>
        <v/>
      </c>
      <c r="D41" s="4" t="inlineStr">
        <is>
          <t>C10</t>
        </is>
      </c>
    </row>
    <row r="42">
      <c r="A42" s="4" t="inlineStr">
        <is>
          <t>Lightfoot Level</t>
        </is>
      </c>
      <c r="B42" s="7" t="inlineStr">
        <is>
          <t>0</t>
        </is>
      </c>
      <c r="C42" s="4">
        <f>C10+B42</f>
        <v/>
      </c>
      <c r="D42" s="4" t="inlineStr">
        <is>
          <t>C10</t>
        </is>
      </c>
    </row>
    <row r="43">
      <c r="A43" s="4" t="inlineStr">
        <is>
          <t>Armor Value</t>
        </is>
      </c>
      <c r="B43" s="7" t="inlineStr">
        <is>
          <t>0</t>
        </is>
      </c>
      <c r="C43" s="4">
        <f>C10+B43</f>
        <v/>
      </c>
      <c r="D43" s="4" t="inlineStr">
        <is>
          <t>C10</t>
        </is>
      </c>
    </row>
    <row r="44">
      <c r="A44" s="6" t="inlineStr">
        <is>
          <t>Saber Art</t>
        </is>
      </c>
      <c r="B44" s="7" t="inlineStr">
        <is>
          <t>0</t>
        </is>
      </c>
      <c r="C44" s="4">
        <f>C10+B44</f>
        <v/>
      </c>
      <c r="D44" s="4" t="inlineStr">
        <is>
          <t>C10</t>
        </is>
      </c>
    </row>
    <row r="45">
      <c r="A45" s="6" t="inlineStr">
        <is>
          <t>Sword Art</t>
        </is>
      </c>
      <c r="B45" s="7" t="inlineStr">
        <is>
          <t>6</t>
        </is>
      </c>
      <c r="C45" s="4">
        <f>C10+B45</f>
        <v/>
      </c>
      <c r="D45" s="4" t="inlineStr">
        <is>
          <t>C10</t>
        </is>
      </c>
    </row>
    <row r="46"/>
    <row r="47"/>
    <row r="48"/>
    <row r="49">
      <c r="A49" s="5" t="inlineStr">
        <is>
          <t>— Martial Arts —</t>
        </is>
      </c>
      <c r="B49" s="2" t="n"/>
      <c r="C49" s="2" t="n"/>
      <c r="D49" s="2" t="n"/>
      <c r="E49" s="2" t="n"/>
      <c r="F49" s="2" t="n"/>
      <c r="G49" s="2" t="n"/>
      <c r="H49" s="3" t="n"/>
    </row>
    <row r="50">
      <c r="A50" s="9" t="inlineStr">
        <is>
          <t>Martial Art Name</t>
        </is>
      </c>
      <c r="B50" s="9" t="inlineStr">
        <is>
          <t>Type</t>
        </is>
      </c>
      <c r="C50" s="9" t="inlineStr">
        <is>
          <t>Tier · Proficiency</t>
        </is>
      </c>
      <c r="D50" s="9" t="inlineStr">
        <is>
          <t>Force Type</t>
        </is>
      </c>
      <c r="E50" s="9" t="inlineStr">
        <is>
          <t>Moves</t>
        </is>
      </c>
      <c r="F50" s="9" t="inlineStr">
        <is>
          <t>Qi</t>
        </is>
      </c>
      <c r="G50" s="9" t="inlineStr">
        <is>
          <t>Hit</t>
        </is>
      </c>
      <c r="H50" s="9" t="inlineStr">
        <is>
          <t>Damage / Effect</t>
        </is>
      </c>
    </row>
    <row r="51">
      <c r="A51" s="7" t="inlineStr">
        <is>
          <t>Dugu Nine Swords · Breaking the Sword</t>
        </is>
      </c>
      <c r="B51" s="7" t="inlineStr">
        <is>
          <t>External Art · Sword</t>
        </is>
      </c>
      <c r="C51" s="7" t="inlineStr">
        <is>
          <t>Superior</t>
        </is>
      </c>
      <c r="D51" s="7" t="inlineStr">
        <is>
          <t>Subtle</t>
        </is>
      </c>
      <c r="E51" s="7" t="inlineStr">
        <is>
          <t>Breaking the Sword</t>
        </is>
      </c>
      <c r="F51" s="7" t="inlineStr">
        <is>
          <t>6</t>
        </is>
      </c>
      <c r="G51" s="7" t="inlineStr">
        <is>
          <t>+6</t>
        </is>
      </c>
      <c r="H51" s="7" t="inlineStr">
        <is>
          <t>3d8+5; break-move</t>
        </is>
      </c>
    </row>
    <row r="52">
      <c r="A52" s="7" t="inlineStr">
        <is>
          <t>Heavenly Sword Art · Ten Thousand Swords Return to Origin</t>
        </is>
      </c>
      <c r="B52" s="7" t="inlineStr">
        <is>
          <t>External Art · Sword</t>
        </is>
      </c>
      <c r="C52" s="7" t="inlineStr">
        <is>
          <t>Supreme Art</t>
        </is>
      </c>
      <c r="D52" s="7" t="inlineStr">
        <is>
          <t>Firm</t>
        </is>
      </c>
      <c r="E52" s="7" t="inlineStr">
        <is>
          <t>Ten Thousand Swords Return to Origin</t>
        </is>
      </c>
      <c r="F52" s="7" t="inlineStr">
        <is>
          <t>10</t>
        </is>
      </c>
      <c r="G52" s="7" t="inlineStr">
        <is>
          <t>+8</t>
        </is>
      </c>
      <c r="H52" s="7" t="inlineStr">
        <is>
          <t>5d6+10; area attack</t>
        </is>
      </c>
    </row>
    <row r="53">
      <c r="A53" s="7" t="inlineStr">
        <is>
          <t>Cold Plum Sword Art · Frosty Sword Qi</t>
        </is>
      </c>
      <c r="B53" s="7" t="inlineStr">
        <is>
          <t>External Art · Sword</t>
        </is>
      </c>
      <c r="C53" s="7" t="inlineStr">
        <is>
          <t>Advanced</t>
        </is>
      </c>
      <c r="D53" s="7" t="inlineStr">
        <is>
          <t>Long-range</t>
        </is>
      </c>
      <c r="E53" s="7" t="inlineStr">
        <is>
          <t>Frosty Sword Qi</t>
        </is>
      </c>
      <c r="F53" s="7" t="inlineStr">
        <is>
          <t>4</t>
        </is>
      </c>
      <c r="G53" s="7" t="inlineStr">
        <is>
          <t>+4</t>
        </is>
      </c>
      <c r="H53" s="7" t="inlineStr">
        <is>
          <t>2d6+5; three-step band</t>
        </is>
      </c>
    </row>
    <row r="54">
      <c r="A54" s="7" t="inlineStr">
        <is>
          <t>Heavenly Sword Mental Manual</t>
        </is>
      </c>
      <c r="B54" s="7" t="inlineStr">
        <is>
          <t>Inner Cultivation</t>
        </is>
      </c>
      <c r="C54" s="7" t="inlineStr">
        <is>
          <t>Superior</t>
        </is>
      </c>
      <c r="D54" s="7" t="inlineStr">
        <is>
          <t>—</t>
        </is>
      </c>
      <c r="E54" s="7" t="inlineStr">
        <is>
          <t>—</t>
        </is>
      </c>
      <c r="F54" s="7" t="inlineStr">
        <is>
          <t>—</t>
        </is>
      </c>
      <c r="G54" s="7" t="inlineStr">
        <is>
          <t>—</t>
        </is>
      </c>
      <c r="H54" s="7" t="inlineStr">
        <is>
          <t>Inner Cultivation Coefficient 4</t>
        </is>
      </c>
    </row>
    <row r="55">
      <c r="A55" s="7" t="n"/>
      <c r="B55" s="7" t="n"/>
      <c r="C55" s="7" t="n"/>
      <c r="D55" s="7" t="n"/>
      <c r="E55" s="7" t="n"/>
      <c r="F55" s="7" t="n"/>
      <c r="G55" s="7" t="n"/>
      <c r="H55" s="7" t="n"/>
    </row>
    <row r="56">
      <c r="A56" s="7" t="n"/>
      <c r="B56" s="7" t="n"/>
      <c r="C56" s="7" t="n"/>
      <c r="D56" s="7" t="n"/>
      <c r="E56" s="7" t="n"/>
      <c r="F56" s="7" t="n"/>
      <c r="G56" s="7" t="n"/>
      <c r="H56" s="7" t="n"/>
    </row>
    <row r="57">
      <c r="A57" s="7" t="n"/>
      <c r="B57" s="7" t="n"/>
      <c r="C57" s="7" t="n"/>
      <c r="D57" s="7" t="n"/>
      <c r="E57" s="7" t="n"/>
      <c r="F57" s="7" t="n"/>
      <c r="G57" s="7" t="n"/>
      <c r="H57" s="7" t="n"/>
    </row>
    <row r="58">
      <c r="A58" s="7" t="n"/>
      <c r="B58" s="7" t="n"/>
      <c r="C58" s="7" t="n"/>
      <c r="D58" s="7" t="n"/>
      <c r="E58" s="7" t="n"/>
      <c r="F58" s="7" t="n"/>
      <c r="G58" s="7" t="n"/>
      <c r="H58" s="7" t="n"/>
    </row>
    <row r="59"/>
    <row r="60"/>
    <row r="61">
      <c r="A61" s="5" t="inlineStr">
        <is>
          <t>— Equipment —</t>
        </is>
      </c>
      <c r="B61" s="2" t="n"/>
      <c r="C61" s="2" t="n"/>
      <c r="D61" s="2" t="n"/>
      <c r="E61" s="2" t="n"/>
      <c r="F61" s="2" t="n"/>
      <c r="G61" s="2" t="n"/>
      <c r="H61" s="3" t="n"/>
    </row>
    <row r="62">
      <c r="A62" s="9" t="inlineStr">
        <is>
          <t>Weapon</t>
        </is>
      </c>
      <c r="B62" s="9" t="inlineStr">
        <is>
          <t>Damage</t>
        </is>
      </c>
      <c r="C62" s="9" t="inlineStr">
        <is>
          <t>Hit Modifier</t>
        </is>
      </c>
      <c r="D62" s="9" t="inlineStr">
        <is>
          <t>Armor</t>
        </is>
      </c>
      <c r="E62" s="9" t="inlineStr">
        <is>
          <t>External Injury Reduction</t>
        </is>
      </c>
      <c r="F62" s="9" t="inlineStr">
        <is>
          <t>Item</t>
        </is>
      </c>
    </row>
    <row r="63">
      <c r="A63" s="7" t="n"/>
      <c r="B63" s="3" t="n"/>
      <c r="D63" s="7" t="n"/>
      <c r="E63" s="2" t="n"/>
      <c r="F63" s="3" t="n"/>
    </row>
    <row r="64"/>
    <row r="65"/>
    <row r="66"/>
    <row r="67"/>
    <row r="68"/>
    <row r="69">
      <c r="A69" s="6" t="inlineStr">
        <is>
          <t>Heroism</t>
        </is>
      </c>
      <c r="B69" s="7" t="inlineStr">
        <is>
          <t>50</t>
        </is>
      </c>
      <c r="D69" s="6" t="inlineStr">
        <is>
          <t>Infamy</t>
        </is>
      </c>
      <c r="E69" s="7" t="inlineStr">
        <is>
          <t>0</t>
        </is>
      </c>
    </row>
    <row r="70"/>
    <row r="71">
      <c r="A71" t="inlineStr">
        <is>
          <t>Can apprentice (Difficulty Class (DC) 18): Heavenly Sword Art + Cold Plum Sword Art. Requires Sword-Intent trial.</t>
        </is>
      </c>
    </row>
    <row r="72">
      <c r="A72" t="inlineStr">
        <is>
          <t>Apprenticeship Gift: Sword Manual Copy (borrow) + Graduation Gift: Chengying Sword (replica) + Recommendation Letter (Heroism ≥40)</t>
        </is>
      </c>
    </row>
  </sheetData>
  <mergeCells count="29">
    <mergeCell ref="D13:F13"/>
    <mergeCell ref="D11:F11"/>
    <mergeCell ref="E26:H26"/>
    <mergeCell ref="B23:D23"/>
    <mergeCell ref="E23:F23"/>
    <mergeCell ref="A49:H49"/>
    <mergeCell ref="A1:H1"/>
    <mergeCell ref="A61:H61"/>
    <mergeCell ref="A16:B16"/>
    <mergeCell ref="B19:D19"/>
    <mergeCell ref="E20:F20"/>
    <mergeCell ref="A25:B25"/>
    <mergeCell ref="E19:F19"/>
    <mergeCell ref="D12:F12"/>
    <mergeCell ref="D15:F15"/>
    <mergeCell ref="B6:D6"/>
    <mergeCell ref="B20:D20"/>
    <mergeCell ref="A18:H18"/>
    <mergeCell ref="D14:F14"/>
    <mergeCell ref="A2:H2"/>
    <mergeCell ref="A8:H8"/>
    <mergeCell ref="D63:F63"/>
    <mergeCell ref="D10:F10"/>
    <mergeCell ref="A4:H4"/>
    <mergeCell ref="B22:D22"/>
    <mergeCell ref="A63:B63"/>
    <mergeCell ref="E22:F22"/>
    <mergeCell ref="B21:D21"/>
    <mergeCell ref="E21:F2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>
      <c r="A1" s="12" t="inlineStr">
        <is>
          <t>Yonghe Martial Codex</t>
        </is>
      </c>
      <c r="B1" s="2" t="n"/>
      <c r="C1" s="2" t="n"/>
      <c r="D1" s="2" t="n"/>
      <c r="E1" s="2" t="n"/>
      <c r="F1" s="2" t="n"/>
      <c r="G1" s="2" t="n"/>
      <c r="H1" s="3" t="n"/>
    </row>
    <row r="2">
      <c r="A2" s="4" t="inlineStr">
        <is>
          <t>Court NPC · Tabletop Rules Studio</t>
        </is>
      </c>
      <c r="B2" s="2" t="n"/>
      <c r="C2" s="2" t="n"/>
      <c r="D2" s="2" t="n"/>
      <c r="E2" s="2" t="n"/>
      <c r="F2" s="2" t="n"/>
      <c r="G2" s="2" t="n"/>
      <c r="H2" s="3" t="n"/>
    </row>
    <row r="3"/>
    <row r="4">
      <c r="A4" s="13" t="inlineStr">
        <is>
          <t>— Basic Info —</t>
        </is>
      </c>
      <c r="B4" s="2" t="n"/>
      <c r="C4" s="2" t="n"/>
      <c r="D4" s="2" t="n"/>
      <c r="E4" s="2" t="n"/>
      <c r="F4" s="2" t="n"/>
      <c r="G4" s="2" t="n"/>
      <c r="H4" s="3" t="n"/>
    </row>
    <row r="5">
      <c r="A5" s="6" t="inlineStr">
        <is>
          <t>Character Name</t>
        </is>
      </c>
      <c r="B5" s="6" t="inlineStr">
        <is>
          <t>Han Tieyi</t>
        </is>
      </c>
      <c r="C5" s="3" t="n"/>
      <c r="D5" s="6" t="inlineStr">
        <is>
          <t>Faction</t>
        </is>
      </c>
      <c r="E5" s="7" t="inlineStr">
        <is>
          <t>Imperial Guard</t>
        </is>
      </c>
      <c r="F5" s="6" t="inlineStr">
        <is>
          <t>Realm</t>
        </is>
      </c>
      <c r="G5" s="7" t="inlineStr">
        <is>
          <t>Perfecting the Craft</t>
        </is>
      </c>
      <c r="H5" s="4" t="inlineStr">
        <is>
          <t>3 (Authentic)</t>
        </is>
      </c>
    </row>
    <row r="6">
      <c r="A6" s="6" t="inlineStr">
        <is>
          <t>Concept</t>
        </is>
      </c>
      <c r="B6" s="14" t="inlineStr">
        <is>
          <t>Imperial Guard Deputy Commander, sole heir of the Imperial Guard Spear Art. Once held the Chengtian Gate alone in the capital defense battle.</t>
        </is>
      </c>
      <c r="C6" s="2" t="n"/>
      <c r="D6" s="2" t="n"/>
      <c r="E6" s="2" t="n"/>
      <c r="F6" s="2" t="n"/>
      <c r="G6" s="2" t="n"/>
      <c r="H6" s="3" t="n"/>
    </row>
    <row r="7"/>
    <row r="8">
      <c r="A8" s="13" t="inlineStr">
        <is>
          <t>— Six Attributes —</t>
        </is>
      </c>
      <c r="B8" s="2" t="n"/>
      <c r="C8" s="2" t="n"/>
      <c r="D8" s="2" t="n"/>
      <c r="E8" s="2" t="n"/>
      <c r="F8" s="2" t="n"/>
      <c r="G8" s="2" t="n"/>
      <c r="H8" s="3" t="n"/>
    </row>
    <row r="9">
      <c r="A9" s="9" t="inlineStr">
        <is>
          <t>Attribute</t>
        </is>
      </c>
      <c r="B9" s="9" t="inlineStr">
        <is>
          <t>Base Value</t>
        </is>
      </c>
      <c r="C9" s="9" t="inlineStr">
        <is>
          <t>Modifier</t>
        </is>
      </c>
      <c r="D9" s="9" t="inlineStr">
        <is>
          <t>Description</t>
        </is>
      </c>
    </row>
    <row r="10">
      <c r="A10" s="6" t="inlineStr">
        <is>
          <t>Strength (STR)</t>
        </is>
      </c>
      <c r="B10" s="7" t="inlineStr">
        <is>
          <t>9</t>
        </is>
      </c>
      <c r="C10" s="10">
        <f>B10-4</f>
        <v/>
      </c>
      <c r="D10" s="4" t="n"/>
      <c r="E10" s="2" t="n"/>
      <c r="F10" s="3" t="n"/>
    </row>
    <row r="11">
      <c r="A11" s="6" t="inlineStr">
        <is>
          <t>Agility (AGI)</t>
        </is>
      </c>
      <c r="B11" s="7" t="inlineStr">
        <is>
          <t>4</t>
        </is>
      </c>
      <c r="C11" s="10">
        <f>B11-4</f>
        <v/>
      </c>
      <c r="D11" s="4" t="n"/>
      <c r="E11" s="2" t="n"/>
      <c r="F11" s="3" t="n"/>
    </row>
    <row r="12">
      <c r="A12" s="6" t="inlineStr">
        <is>
          <t>Constitution (CON)</t>
        </is>
      </c>
      <c r="B12" s="7" t="inlineStr">
        <is>
          <t>8</t>
        </is>
      </c>
      <c r="C12" s="10">
        <f>B12-4</f>
        <v/>
      </c>
      <c r="D12" s="4" t="n"/>
      <c r="E12" s="2" t="n"/>
      <c r="F12" s="3" t="n"/>
    </row>
    <row r="13">
      <c r="A13" s="6" t="inlineStr">
        <is>
          <t>Comprehension (CMP)</t>
        </is>
      </c>
      <c r="B13" s="7" t="inlineStr">
        <is>
          <t>4</t>
        </is>
      </c>
      <c r="C13" s="10">
        <f>B13-4</f>
        <v/>
      </c>
      <c r="D13" s="4" t="n"/>
      <c r="E13" s="2" t="n"/>
      <c r="F13" s="3" t="n"/>
    </row>
    <row r="14">
      <c r="A14" s="6" t="inlineStr">
        <is>
          <t>Willpower (WIL)</t>
        </is>
      </c>
      <c r="B14" s="7" t="inlineStr">
        <is>
          <t>7</t>
        </is>
      </c>
      <c r="C14" s="10">
        <f>B14-4</f>
        <v/>
      </c>
      <c r="D14" s="4" t="n"/>
      <c r="E14" s="2" t="n"/>
      <c r="F14" s="3" t="n"/>
    </row>
    <row r="15">
      <c r="A15" s="6" t="inlineStr">
        <is>
          <t>Charisma (CHA)</t>
        </is>
      </c>
      <c r="B15" s="7" t="inlineStr">
        <is>
          <t>3</t>
        </is>
      </c>
      <c r="C15" s="10">
        <f>B15-4</f>
        <v/>
      </c>
      <c r="D15" s="4" t="n"/>
      <c r="E15" s="2" t="n"/>
      <c r="F15" s="3" t="n"/>
    </row>
    <row r="16"/>
    <row r="17">
      <c r="A17" s="13" t="inlineStr">
        <is>
          <t>— Derived Values —</t>
        </is>
      </c>
      <c r="B17" s="2" t="n"/>
      <c r="C17" s="2" t="n"/>
      <c r="D17" s="2" t="n"/>
      <c r="E17" s="2" t="n"/>
      <c r="F17" s="2" t="n"/>
      <c r="G17" s="2" t="n"/>
      <c r="H17" s="3" t="n"/>
    </row>
    <row r="18">
      <c r="A18" s="6" t="inlineStr">
        <is>
          <t>Health Points (HP)</t>
        </is>
      </c>
      <c r="B18" s="4" t="inlineStr">
        <is>
          <t>Constitution×5 + Realm</t>
        </is>
      </c>
      <c r="C18" s="2" t="n"/>
      <c r="D18" s="3" t="n"/>
      <c r="E18" s="11">
        <f>B12*5+IF(F5="Crossing the Threshold",5,IF(F5="Complete Mastery",10,IF(F5="Perfecting the Craft",15,IF(F5="Peak of Perfection",20,IF(F5="Return to Simplicity",25,0)))))</f>
        <v/>
      </c>
      <c r="F18" s="3" t="n"/>
    </row>
    <row r="19">
      <c r="A19" s="6" t="inlineStr">
        <is>
          <t>Qi</t>
        </is>
      </c>
      <c r="B19" s="4" t="inlineStr">
        <is>
          <t>Constitution × Inner-Cultivation Coefficient + Realm</t>
        </is>
      </c>
      <c r="C19" s="2" t="n"/>
      <c r="D19" s="3" t="n"/>
      <c r="E19" s="11">
        <f>B12*VALUE(LEFT(H5,1))+IF(F5="Crossing the Threshold",3,IF(F5="Complete Mastery",6,IF(F5="Perfecting the Craft",10,IF(F5="Peak of Perfection",15,IF(F5="Return to Simplicity",20,0)))))</f>
        <v/>
      </c>
      <c r="F19" s="3" t="n"/>
    </row>
    <row r="20">
      <c r="A20" s="6" t="inlineStr">
        <is>
          <t>Initiative</t>
        </is>
      </c>
      <c r="B20" s="4" t="inlineStr">
        <is>
          <t>Agility + Willpower</t>
        </is>
      </c>
      <c r="C20" s="2" t="n"/>
      <c r="D20" s="3" t="n"/>
      <c r="E20" s="11">
        <f>B11+B14</f>
        <v/>
      </c>
      <c r="F20" s="3" t="n"/>
    </row>
    <row r="21">
      <c r="A21" s="6" t="inlineStr">
        <is>
          <t>Evasion</t>
        </is>
      </c>
      <c r="B21" s="4" t="inlineStr">
        <is>
          <t>Agility Modifier</t>
        </is>
      </c>
      <c r="C21" s="2" t="n"/>
      <c r="D21" s="3" t="n"/>
      <c r="E21" s="11">
        <f>C11</f>
        <v/>
      </c>
      <c r="F21" s="3" t="n"/>
    </row>
    <row r="22">
      <c r="A22" s="6" t="inlineStr">
        <is>
          <t>Defense</t>
        </is>
      </c>
      <c r="B22" s="4" t="inlineStr">
        <is>
          <t>Constitution Modifier</t>
        </is>
      </c>
      <c r="C22" s="2" t="n"/>
      <c r="D22" s="3" t="n"/>
      <c r="E22" s="11">
        <f>C12</f>
        <v/>
      </c>
      <c r="F22" s="3" t="n"/>
    </row>
    <row r="23"/>
    <row r="24">
      <c r="A24" s="13" t="inlineStr">
        <is>
          <t>— Skills —</t>
        </is>
      </c>
      <c r="B24" s="3" t="n"/>
    </row>
    <row r="25">
      <c r="A25" s="6" t="inlineStr">
        <is>
          <t>Technique Reading</t>
        </is>
      </c>
      <c r="B25" s="7" t="inlineStr">
        <is>
          <t>0</t>
        </is>
      </c>
    </row>
    <row r="26">
      <c r="A26" s="6" t="inlineStr">
        <is>
          <t>Jianghu Lore</t>
        </is>
      </c>
      <c r="B26" s="7" t="inlineStr">
        <is>
          <t>0</t>
        </is>
      </c>
    </row>
    <row r="27">
      <c r="A27" s="6" t="inlineStr">
        <is>
          <t>Lightfoot</t>
        </is>
      </c>
      <c r="B27" s="7" t="inlineStr">
        <is>
          <t>0</t>
        </is>
      </c>
    </row>
    <row r="28">
      <c r="A28" s="6" t="inlineStr">
        <is>
          <t>Oratory</t>
        </is>
      </c>
      <c r="B28" s="7" t="inlineStr">
        <is>
          <t>0</t>
        </is>
      </c>
    </row>
    <row r="29">
      <c r="A29" s="6" t="inlineStr">
        <is>
          <t>Climbing</t>
        </is>
      </c>
      <c r="B29" s="7" t="inlineStr">
        <is>
          <t>0</t>
        </is>
      </c>
    </row>
    <row r="30">
      <c r="A30" s="6" t="inlineStr">
        <is>
          <t>Stealth</t>
        </is>
      </c>
      <c r="B30" s="7" t="inlineStr">
        <is>
          <t>0</t>
        </is>
      </c>
    </row>
    <row r="31">
      <c r="A31" s="6" t="inlineStr">
        <is>
          <t>Tracking</t>
        </is>
      </c>
      <c r="B31" s="7" t="inlineStr">
        <is>
          <t>2</t>
        </is>
      </c>
    </row>
    <row r="32">
      <c r="A32" s="6" t="inlineStr">
        <is>
          <t>Read Intent</t>
        </is>
      </c>
      <c r="B32" s="7" t="inlineStr">
        <is>
          <t>0</t>
        </is>
      </c>
    </row>
    <row r="33">
      <c r="A33" s="6" t="inlineStr">
        <is>
          <t>Disguise</t>
        </is>
      </c>
      <c r="B33" s="7" t="inlineStr">
        <is>
          <t>0</t>
        </is>
      </c>
    </row>
    <row r="34">
      <c r="A34" s="6" t="inlineStr">
        <is>
          <t>Lockpicking</t>
        </is>
      </c>
      <c r="B34" s="7" t="inlineStr">
        <is>
          <t>0</t>
        </is>
      </c>
    </row>
    <row r="35">
      <c r="A35" s="6" t="inlineStr">
        <is>
          <t>Trapcraft</t>
        </is>
      </c>
      <c r="B35" s="7" t="inlineStr">
        <is>
          <t>0</t>
        </is>
      </c>
    </row>
    <row r="36">
      <c r="A36" s="6" t="inlineStr">
        <is>
          <t>Medicine</t>
        </is>
      </c>
      <c r="B36" s="7" t="inlineStr">
        <is>
          <t>0</t>
        </is>
      </c>
    </row>
    <row r="37">
      <c r="A37" s="6" t="inlineStr">
        <is>
          <t>Alchemy</t>
        </is>
      </c>
      <c r="B37" s="7" t="inlineStr">
        <is>
          <t>0</t>
        </is>
      </c>
    </row>
    <row r="38">
      <c r="A38" s="6" t="inlineStr">
        <is>
          <t>Poisoncraft</t>
        </is>
      </c>
      <c r="B38" s="7" t="inlineStr">
        <is>
          <t>0</t>
        </is>
      </c>
    </row>
    <row r="39">
      <c r="A39" s="6" t="inlineStr">
        <is>
          <t>Hidden Weapon</t>
        </is>
      </c>
      <c r="B39" s="7" t="inlineStr">
        <is>
          <t>0</t>
        </is>
      </c>
    </row>
    <row r="40">
      <c r="A40" s="6" t="inlineStr">
        <is>
          <t>Staff Art</t>
        </is>
      </c>
      <c r="B40" s="7" t="inlineStr">
        <is>
          <t>5</t>
        </is>
      </c>
    </row>
    <row r="41">
      <c r="A41" s="6" t="inlineStr">
        <is>
          <t>Fist &amp; Palm</t>
        </is>
      </c>
      <c r="B41" s="7" t="inlineStr">
        <is>
          <t>0</t>
        </is>
      </c>
    </row>
    <row r="42">
      <c r="A42" s="6" t="inlineStr">
        <is>
          <t>Saber Art</t>
        </is>
      </c>
      <c r="B42" s="7" t="inlineStr">
        <is>
          <t>0</t>
        </is>
      </c>
    </row>
    <row r="43">
      <c r="A43" s="6" t="inlineStr">
        <is>
          <t>Sword Art</t>
        </is>
      </c>
      <c r="B43" s="7" t="inlineStr">
        <is>
          <t>0</t>
        </is>
      </c>
    </row>
    <row r="44"/>
    <row r="45">
      <c r="A45" s="13" t="inlineStr">
        <is>
          <t>— Martial Arts —</t>
        </is>
      </c>
      <c r="B45" s="2" t="n"/>
      <c r="C45" s="2" t="n"/>
      <c r="D45" s="2" t="n"/>
      <c r="E45" s="2" t="n"/>
      <c r="F45" s="2" t="n"/>
      <c r="G45" s="2" t="n"/>
      <c r="H45" s="3" t="n"/>
    </row>
    <row r="46">
      <c r="A46" s="9" t="inlineStr">
        <is>
          <t>Martial Art Name</t>
        </is>
      </c>
      <c r="B46" s="9" t="inlineStr">
        <is>
          <t>Type</t>
        </is>
      </c>
      <c r="C46" s="9" t="inlineStr">
        <is>
          <t>Tier</t>
        </is>
      </c>
      <c r="D46" s="9" t="inlineStr">
        <is>
          <t>Force Type</t>
        </is>
      </c>
      <c r="E46" s="9" t="inlineStr">
        <is>
          <t>Moves</t>
        </is>
      </c>
      <c r="F46" s="9" t="inlineStr">
        <is>
          <t>Qi</t>
        </is>
      </c>
      <c r="G46" s="9" t="inlineStr">
        <is>
          <t>Hit</t>
        </is>
      </c>
      <c r="H46" s="9" t="inlineStr">
        <is>
          <t>Damage / Effect</t>
        </is>
      </c>
    </row>
    <row r="47">
      <c r="A47" s="7" t="inlineStr">
        <is>
          <t>Imperial Guard Spear Art · Spear Like a Roaming Dragon</t>
        </is>
      </c>
      <c r="B47" s="7" t="inlineStr">
        <is>
          <t>External Art · Staff</t>
        </is>
      </c>
      <c r="C47" s="7" t="inlineStr">
        <is>
          <t>Proficiency</t>
        </is>
      </c>
      <c r="D47" s="7" t="inlineStr">
        <is>
          <t>Firm</t>
        </is>
      </c>
      <c r="E47" s="7" t="inlineStr">
        <is>
          <t>Roaming Dragon</t>
        </is>
      </c>
      <c r="F47" s="7" t="inlineStr">
        <is>
          <t>4</t>
        </is>
      </c>
      <c r="G47" s="7" t="inlineStr">
        <is>
          <t>+4</t>
        </is>
      </c>
      <c r="H47" s="7" t="inlineStr">
        <is>
          <t>3d8+STR; Initiative +1d8</t>
        </is>
      </c>
    </row>
    <row r="48">
      <c r="A48" s="7" t="inlineStr">
        <is>
          <t>Imperial Guard Spear Art · Sweep Across the Army</t>
        </is>
      </c>
      <c r="B48" s="7" t="inlineStr">
        <is>
          <t>External Art · Staff</t>
        </is>
      </c>
      <c r="C48" s="7" t="inlineStr">
        <is>
          <t>Advanced</t>
        </is>
      </c>
      <c r="D48" s="7" t="inlineStr">
        <is>
          <t>Firm</t>
        </is>
      </c>
      <c r="E48" s="7" t="inlineStr">
        <is>
          <t>Sweep</t>
        </is>
      </c>
      <c r="F48" s="7" t="inlineStr">
        <is>
          <t>2</t>
        </is>
      </c>
      <c r="G48" s="7" t="inlineStr">
        <is>
          <t>+1</t>
        </is>
      </c>
      <c r="H48" s="7" t="inlineStr">
        <is>
          <t>2d6+STR; adjacent dual targets</t>
        </is>
      </c>
    </row>
    <row r="49">
      <c r="A49" s="7" t="inlineStr">
        <is>
          <t>Official Authority Intimidation</t>
        </is>
      </c>
      <c r="B49" s="7" t="inlineStr">
        <is>
          <t>Special</t>
        </is>
      </c>
      <c r="C49" s="7" t="inlineStr">
        <is>
          <t>--</t>
        </is>
      </c>
      <c r="D49" s="7" t="inlineStr">
        <is>
          <t>--</t>
        </is>
      </c>
      <c r="E49" s="7" t="inlineStr">
        <is>
          <t>--</t>
        </is>
      </c>
      <c r="F49" s="7" t="inlineStr">
        <is>
          <t>2</t>
        </is>
      </c>
      <c r="G49" s="7" t="inlineStr">
        <is>
          <t>--</t>
        </is>
      </c>
      <c r="H49" s="7" t="inlineStr">
        <is>
          <t>Willpower Contest</t>
        </is>
      </c>
    </row>
    <row r="50"/>
    <row r="51"/>
    <row r="52"/>
    <row r="53"/>
    <row r="54"/>
    <row r="55"/>
    <row r="56">
      <c r="A56" s="13" t="inlineStr">
        <is>
          <t>— Equipment —</t>
        </is>
      </c>
      <c r="B56" s="2" t="n"/>
      <c r="C56" s="2" t="n"/>
      <c r="D56" s="2" t="n"/>
      <c r="E56" s="2" t="n"/>
      <c r="F56" s="2" t="n"/>
      <c r="G56" s="2" t="n"/>
      <c r="H56" s="3" t="n"/>
    </row>
    <row r="57">
      <c r="A57" s="9" t="inlineStr">
        <is>
          <t>Weapon</t>
        </is>
      </c>
      <c r="B57" s="9" t="inlineStr">
        <is>
          <t>Armor</t>
        </is>
      </c>
      <c r="C57" s="9" t="inlineStr">
        <is>
          <t>Special</t>
        </is>
      </c>
    </row>
    <row r="58">
      <c r="A58" s="8" t="inlineStr">
        <is>
          <t>Imperial Guard Long Spear (1d10)</t>
        </is>
      </c>
      <c r="B58" s="8" t="inlineStr">
        <is>
          <t>Imperial Guard Light Armor (Reduction 2)</t>
        </is>
      </c>
      <c r="C58" s="14" t="inlineStr">
        <is>
          <t>Fourth Realm. The court's ultimate force. Health Points (HP) 55, Qi 34</t>
        </is>
      </c>
      <c r="D58" s="2" t="n"/>
      <c r="E58" s="2" t="n"/>
      <c r="F58" s="3" t="n"/>
    </row>
    <row r="59"/>
    <row r="60"/>
    <row r="61">
      <c r="A61" s="6" t="inlineStr">
        <is>
          <t>Heroism</t>
        </is>
      </c>
      <c r="B61" s="7" t="inlineStr">
        <is>
          <t>35</t>
        </is>
      </c>
      <c r="D61" s="6" t="inlineStr">
        <is>
          <t>Infamy</t>
        </is>
      </c>
      <c r="E61" s="7" t="inlineStr">
        <is>
          <t>0</t>
        </is>
      </c>
    </row>
    <row r="62"/>
    <row r="63">
      <c r="A63" t="inlineStr">
        <is>
          <t>Can apprentice (Difficulty Class (DC) 14): Imperial Guard Spear Art.</t>
        </is>
      </c>
    </row>
  </sheetData>
  <mergeCells count="27">
    <mergeCell ref="A24:B24"/>
    <mergeCell ref="D13:F13"/>
    <mergeCell ref="D11:F11"/>
    <mergeCell ref="B6:H6"/>
    <mergeCell ref="A45:H45"/>
    <mergeCell ref="A1:H1"/>
    <mergeCell ref="B19:D19"/>
    <mergeCell ref="E20:F20"/>
    <mergeCell ref="E19:F19"/>
    <mergeCell ref="D12:F12"/>
    <mergeCell ref="C58:F58"/>
    <mergeCell ref="D15:F15"/>
    <mergeCell ref="B20:D20"/>
    <mergeCell ref="A56:H56"/>
    <mergeCell ref="D14:F14"/>
    <mergeCell ref="A2:H2"/>
    <mergeCell ref="A8:H8"/>
    <mergeCell ref="D10:F10"/>
    <mergeCell ref="A17:H17"/>
    <mergeCell ref="A4:H4"/>
    <mergeCell ref="B5:C5"/>
    <mergeCell ref="B22:D22"/>
    <mergeCell ref="B18:D18"/>
    <mergeCell ref="E22:F22"/>
    <mergeCell ref="B21:D21"/>
    <mergeCell ref="E18:F18"/>
    <mergeCell ref="E21:F2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</cols>
  <sheetData>
    <row r="1" ht="30" customHeight="1">
      <c r="A1" s="15" t="inlineStr">
        <is>
          <t>Yonghe Martial Codex</t>
        </is>
      </c>
      <c r="B1" s="2" t="n"/>
      <c r="C1" s="2" t="n"/>
      <c r="D1" s="2" t="n"/>
      <c r="E1" s="2" t="n"/>
      <c r="F1" s="2" t="n"/>
      <c r="G1" s="2" t="n"/>
      <c r="H1" s="3" t="n"/>
    </row>
    <row r="2">
      <c r="A2" s="4" t="inlineStr">
        <is>
          <t>NPC Companion Card · Solo-Play Only</t>
        </is>
      </c>
      <c r="B2" s="2" t="n"/>
      <c r="C2" s="2" t="n"/>
      <c r="D2" s="2" t="n"/>
      <c r="E2" s="2" t="n"/>
      <c r="F2" s="2" t="n"/>
      <c r="G2" s="2" t="n"/>
      <c r="H2" s="3" t="n"/>
    </row>
    <row r="3"/>
    <row r="4">
      <c r="A4" s="13" t="inlineStr">
        <is>
          <t>-- Basic Info --</t>
        </is>
      </c>
      <c r="B4" s="2" t="n"/>
      <c r="C4" s="2" t="n"/>
      <c r="D4" s="2" t="n"/>
      <c r="E4" s="2" t="n"/>
      <c r="F4" s="2" t="n"/>
      <c r="G4" s="2" t="n"/>
      <c r="H4" s="3" t="n"/>
    </row>
    <row r="5">
      <c r="A5" s="6" t="inlineStr">
        <is>
          <t>Name</t>
        </is>
      </c>
      <c r="B5" s="6" t="inlineStr">
        <is>
          <t>Liu Shengyan (Companion)</t>
        </is>
      </c>
      <c r="C5" s="3" t="n"/>
      <c r="D5" s="6" t="inlineStr">
        <is>
          <t>Sect</t>
        </is>
      </c>
      <c r="E5" s="7" t="inlineStr">
        <is>
          <t>Yaowang Valley</t>
        </is>
      </c>
      <c r="F5" s="6" t="inlineStr">
        <is>
          <t>Realm</t>
        </is>
      </c>
      <c r="G5" s="7" t="inlineStr">
        <is>
          <t>Second Realm · Crossing the Threshold</t>
        </is>
      </c>
      <c r="H5" s="3" t="n"/>
    </row>
    <row r="6">
      <c r="A6" s="6" t="inlineStr">
        <is>
          <t>Concept</t>
        </is>
      </c>
      <c r="B6" s="14" t="inlineStr">
        <is>
          <t>A young female healer of Yaowang Valley's Benevolence Hall. Treats without charge; soft-hearted but steady-handed. Roams the jianghu seeking her missing master.</t>
        </is>
      </c>
      <c r="C6" s="2" t="n"/>
      <c r="D6" s="2" t="n"/>
      <c r="E6" s="2" t="n"/>
      <c r="F6" s="2" t="n"/>
      <c r="G6" s="2" t="n"/>
      <c r="H6" s="3" t="n"/>
    </row>
    <row r="7"/>
    <row r="8">
      <c r="A8" s="6" t="inlineStr">
        <is>
          <t>STR</t>
        </is>
      </c>
      <c r="B8" s="7" t="n">
        <v>2</v>
      </c>
      <c r="C8" s="6" t="inlineStr">
        <is>
          <t>AGI</t>
        </is>
      </c>
      <c r="D8" s="7" t="n">
        <v>4</v>
      </c>
      <c r="E8" s="6" t="inlineStr">
        <is>
          <t>CON</t>
        </is>
      </c>
      <c r="F8" s="7" t="n">
        <v>5</v>
      </c>
      <c r="G8" s="6" t="inlineStr">
        <is>
          <t>CMP</t>
        </is>
      </c>
      <c r="H8" s="7" t="n">
        <v>6</v>
      </c>
      <c r="I8" s="6" t="inlineStr">
        <is>
          <t>Steady</t>
        </is>
      </c>
      <c r="J8" s="7" t="n">
        <v>5</v>
      </c>
      <c r="K8" s="6" t="inlineStr">
        <is>
          <t>CHA</t>
        </is>
      </c>
      <c r="L8" s="7" t="n">
        <v>7</v>
      </c>
    </row>
    <row r="9">
      <c r="A9" s="9" t="inlineStr">
        <is>
          <t>HP</t>
        </is>
      </c>
      <c r="B9" s="9" t="inlineStr">
        <is>
          <t>Initiative</t>
        </is>
      </c>
      <c r="C9" s="9" t="inlineStr">
        <is>
          <t>Defense DC</t>
        </is>
      </c>
    </row>
    <row r="10">
      <c r="A10" s="16" t="n">
        <v>20</v>
      </c>
      <c r="B10" s="16" t="n">
        <v>9</v>
      </c>
      <c r="C10" s="16" t="inlineStr">
        <is>
          <t>DC12</t>
        </is>
      </c>
    </row>
    <row r="11"/>
    <row r="12">
      <c r="A12" s="13" t="inlineStr">
        <is>
          <t>-- Skills (Simplified) --</t>
        </is>
      </c>
      <c r="B12" s="2" t="n"/>
      <c r="C12" s="2" t="n"/>
      <c r="D12" s="2" t="n"/>
      <c r="E12" s="2" t="n"/>
      <c r="F12" s="2" t="n"/>
      <c r="G12" s="2" t="n"/>
      <c r="H12" s="3" t="n"/>
    </row>
    <row r="13">
      <c r="A13" s="6" t="inlineStr">
        <is>
          <t>Medicine</t>
        </is>
      </c>
      <c r="B13" s="7" t="n">
        <v>3</v>
      </c>
    </row>
    <row r="14">
      <c r="A14" s="6" t="inlineStr">
        <is>
          <t>Read Intent</t>
        </is>
      </c>
      <c r="B14" s="7" t="n">
        <v>2</v>
      </c>
    </row>
    <row r="15">
      <c r="A15" s="6" t="inlineStr">
        <is>
          <t>Technique Reading</t>
        </is>
      </c>
      <c r="B15" s="7" t="n">
        <v>2</v>
      </c>
    </row>
    <row r="16">
      <c r="A16" s="6" t="inlineStr">
        <is>
          <t>Alchemy</t>
        </is>
      </c>
      <c r="B16" s="7" t="n">
        <v>2</v>
      </c>
    </row>
    <row r="17"/>
    <row r="18">
      <c r="A18" s="13" t="inlineStr">
        <is>
          <t>-- Moves &amp; Abilities --</t>
        </is>
      </c>
      <c r="B18" s="2" t="n"/>
      <c r="C18" s="2" t="n"/>
      <c r="D18" s="2" t="n"/>
      <c r="E18" s="2" t="n"/>
      <c r="F18" s="2" t="n"/>
      <c r="G18" s="2" t="n"/>
      <c r="H18" s="3" t="n"/>
    </row>
    <row r="19">
      <c r="A19" s="9" t="inlineStr">
        <is>
          <t>Name</t>
        </is>
      </c>
      <c r="B19" s="9" t="inlineStr">
        <is>
          <t>Type</t>
        </is>
      </c>
      <c r="C19" s="9" t="inlineStr">
        <is>
          <t>Tier</t>
        </is>
      </c>
      <c r="D19" s="9" t="inlineStr">
        <is>
          <t>Force Type</t>
        </is>
      </c>
      <c r="E19" s="9" t="inlineStr">
        <is>
          <t>Moves</t>
        </is>
      </c>
      <c r="F19" s="9" t="inlineStr">
        <is>
          <t>Uses</t>
        </is>
      </c>
      <c r="G19" s="9" t="inlineStr">
        <is>
          <t>Hit</t>
        </is>
      </c>
      <c r="H19" s="9" t="inlineStr">
        <is>
          <t>Damage / Effect</t>
        </is>
      </c>
    </row>
    <row r="20">
      <c r="A20" s="7" t="inlineStr">
        <is>
          <t>Medicine King Needle Art</t>
        </is>
      </c>
      <c r="B20" s="7" t="inlineStr">
        <is>
          <t>Special · Medicine</t>
        </is>
      </c>
      <c r="C20" s="7" t="inlineStr">
        <is>
          <t>--</t>
        </is>
      </c>
      <c r="D20" s="7" t="inlineStr">
        <is>
          <t>--</t>
        </is>
      </c>
      <c r="E20" s="7" t="inlineStr">
        <is>
          <t>Gold-Needle Hemostasis</t>
        </is>
      </c>
      <c r="F20" s="7" t="inlineStr">
        <is>
          <t>2 / encounter</t>
        </is>
      </c>
      <c r="G20" s="7" t="inlineStr">
        <is>
          <t>+3</t>
        </is>
      </c>
      <c r="H20" s="7" t="inlineStr">
        <is>
          <t>Heal 2d8 HP</t>
        </is>
      </c>
    </row>
    <row r="21">
      <c r="A21" s="7" t="inlineStr">
        <is>
          <t>Passive · Healer's Heart</t>
        </is>
      </c>
      <c r="B21" s="7" t="inlineStr">
        <is>
          <t>When PC is adjacent to Liu Shengyan, Dying check DC −2</t>
        </is>
      </c>
      <c r="C21" s="7" t="inlineStr">
        <is>
          <t>--</t>
        </is>
      </c>
      <c r="D21" s="7" t="inlineStr">
        <is>
          <t>--</t>
        </is>
      </c>
      <c r="E21" s="7" t="inlineStr">
        <is>
          <t>--</t>
        </is>
      </c>
      <c r="F21" s="7" t="inlineStr">
        <is>
          <t>--</t>
        </is>
      </c>
      <c r="G21" s="7" t="inlineStr">
        <is>
          <t>--</t>
        </is>
      </c>
      <c r="H21" s="7" t="inlineStr">
        <is>
          <t>--</t>
        </is>
      </c>
    </row>
    <row r="22"/>
    <row r="23"/>
    <row r="24">
      <c r="A24" s="13" t="inlineStr">
        <is>
          <t>-- Possessions --</t>
        </is>
      </c>
      <c r="B24" s="2" t="n"/>
      <c r="C24" s="2" t="n"/>
      <c r="D24" s="2" t="n"/>
      <c r="E24" s="2" t="n"/>
      <c r="F24" s="2" t="n"/>
      <c r="G24" s="2" t="n"/>
      <c r="H24" s="3" t="n"/>
    </row>
    <row r="25">
      <c r="A25" s="14" t="inlineStr">
        <is>
          <t>Jin Chuang Medicine ×3 (usable on PC outside combat)</t>
        </is>
      </c>
      <c r="B25" s="2" t="n"/>
      <c r="C25" s="2" t="n"/>
      <c r="D25" s="2" t="n"/>
      <c r="E25" s="2" t="n"/>
      <c r="F25" s="3" t="n"/>
    </row>
    <row r="26"/>
    <row r="27">
      <c r="A27" s="14" t="inlineStr">
        <is>
          <t>Companion rules see 20_Solo-Rules.md §4. Does not consume Qi — move uses are limited by count instead.</t>
        </is>
      </c>
      <c r="B27" s="2" t="n"/>
      <c r="C27" s="2" t="n"/>
      <c r="D27" s="2" t="n"/>
      <c r="E27" s="2" t="n"/>
      <c r="F27" s="2" t="n"/>
      <c r="G27" s="2" t="n"/>
      <c r="H27" s="3" t="n"/>
    </row>
  </sheetData>
  <mergeCells count="11">
    <mergeCell ref="A12:H12"/>
    <mergeCell ref="A4:H4"/>
    <mergeCell ref="A18:H18"/>
    <mergeCell ref="B5:C5"/>
    <mergeCell ref="A2:H2"/>
    <mergeCell ref="A24:H24"/>
    <mergeCell ref="G5:H5"/>
    <mergeCell ref="B6:H6"/>
    <mergeCell ref="A1:H1"/>
    <mergeCell ref="A27:H27"/>
    <mergeCell ref="A25:F25"/>
  </mergeCells>
  <pageMargins left="0.75" right="0.75" top="1" bottom="1" header="0.5" footer="0.5"/>
  <pageSetup orientation="portrait" paperSize="9" fitToWidth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</cols>
  <sheetData>
    <row r="1" ht="30" customHeight="1">
      <c r="A1" s="15" t="inlineStr">
        <is>
          <t>Yonghe Martial Codex</t>
        </is>
      </c>
      <c r="B1" s="2" t="n"/>
      <c r="C1" s="2" t="n"/>
      <c r="D1" s="2" t="n"/>
      <c r="E1" s="2" t="n"/>
      <c r="F1" s="2" t="n"/>
      <c r="G1" s="2" t="n"/>
      <c r="H1" s="3" t="n"/>
    </row>
    <row r="2">
      <c r="A2" s="4" t="inlineStr">
        <is>
          <t>NPC Companion Card · Solo-Play Only</t>
        </is>
      </c>
      <c r="B2" s="2" t="n"/>
      <c r="C2" s="2" t="n"/>
      <c r="D2" s="2" t="n"/>
      <c r="E2" s="2" t="n"/>
      <c r="F2" s="2" t="n"/>
      <c r="G2" s="2" t="n"/>
      <c r="H2" s="3" t="n"/>
    </row>
    <row r="3"/>
    <row r="4">
      <c r="A4" s="13" t="inlineStr">
        <is>
          <t>-- Basic Info --</t>
        </is>
      </c>
      <c r="B4" s="2" t="n"/>
      <c r="C4" s="2" t="n"/>
      <c r="D4" s="2" t="n"/>
      <c r="E4" s="2" t="n"/>
      <c r="F4" s="2" t="n"/>
      <c r="G4" s="2" t="n"/>
      <c r="H4" s="3" t="n"/>
    </row>
    <row r="5">
      <c r="A5" s="6" t="inlineStr">
        <is>
          <t>Name</t>
        </is>
      </c>
      <c r="B5" s="6" t="inlineStr">
        <is>
          <t>Duan Tianya (Companion)</t>
        </is>
      </c>
      <c r="C5" s="3" t="n"/>
      <c r="D5" s="6" t="inlineStr">
        <is>
          <t>Sect</t>
        </is>
      </c>
      <c r="E5" s="7" t="inlineStr">
        <is>
          <t>Tianjian Alliance</t>
        </is>
      </c>
      <c r="F5" s="6" t="inlineStr">
        <is>
          <t>Realm</t>
        </is>
      </c>
      <c r="G5" s="7" t="inlineStr">
        <is>
          <t>Third Realm · Complete Mastery</t>
        </is>
      </c>
      <c r="H5" s="3" t="n"/>
    </row>
    <row r="6">
      <c r="A6" s="6" t="inlineStr">
        <is>
          <t>Concept</t>
        </is>
      </c>
      <c r="B6" s="14" t="inlineStr">
        <is>
          <t>Tianjian Alliance Lieyang Sword Master · Simplified. Young and promising yet caught in the dilemma of 'the cost of righteousness.' Chose to go alone in the succession struggle.</t>
        </is>
      </c>
      <c r="C6" s="2" t="n"/>
      <c r="D6" s="2" t="n"/>
      <c r="E6" s="2" t="n"/>
      <c r="F6" s="2" t="n"/>
      <c r="G6" s="2" t="n"/>
      <c r="H6" s="3" t="n"/>
    </row>
    <row r="7"/>
    <row r="8">
      <c r="A8" s="6" t="inlineStr">
        <is>
          <t>STR</t>
        </is>
      </c>
      <c r="B8" s="7" t="n">
        <v>7</v>
      </c>
      <c r="C8" s="6" t="inlineStr">
        <is>
          <t>AGI</t>
        </is>
      </c>
      <c r="D8" s="7" t="n">
        <v>6</v>
      </c>
      <c r="E8" s="6" t="inlineStr">
        <is>
          <t>CON</t>
        </is>
      </c>
      <c r="F8" s="7" t="n">
        <v>5</v>
      </c>
      <c r="G8" s="6" t="inlineStr">
        <is>
          <t>CMP</t>
        </is>
      </c>
      <c r="H8" s="7" t="n">
        <v>5</v>
      </c>
      <c r="I8" s="6" t="inlineStr">
        <is>
          <t>Steady</t>
        </is>
      </c>
      <c r="J8" s="7" t="n">
        <v>5</v>
      </c>
      <c r="K8" s="6" t="inlineStr">
        <is>
          <t>CHA</t>
        </is>
      </c>
      <c r="L8" s="7" t="n">
        <v>5</v>
      </c>
    </row>
    <row r="9">
      <c r="A9" s="9" t="inlineStr">
        <is>
          <t>HP</t>
        </is>
      </c>
      <c r="B9" s="9" t="inlineStr">
        <is>
          <t>Initiative</t>
        </is>
      </c>
      <c r="C9" s="9" t="inlineStr">
        <is>
          <t>Defense DC</t>
        </is>
      </c>
    </row>
    <row r="10">
      <c r="A10" s="16" t="n">
        <v>30</v>
      </c>
      <c r="B10" s="16" t="n">
        <v>11</v>
      </c>
      <c r="C10" s="16" t="inlineStr">
        <is>
          <t>DC14</t>
        </is>
      </c>
    </row>
    <row r="11"/>
    <row r="12">
      <c r="A12" s="13" t="inlineStr">
        <is>
          <t>-- Skills (Simplified) --</t>
        </is>
      </c>
      <c r="B12" s="2" t="n"/>
      <c r="C12" s="2" t="n"/>
      <c r="D12" s="2" t="n"/>
      <c r="E12" s="2" t="n"/>
      <c r="F12" s="2" t="n"/>
      <c r="G12" s="2" t="n"/>
      <c r="H12" s="3" t="n"/>
    </row>
    <row r="13">
      <c r="A13" s="6" t="inlineStr">
        <is>
          <t>Sword Art</t>
        </is>
      </c>
      <c r="B13" s="7" t="n">
        <v>4</v>
      </c>
    </row>
    <row r="14">
      <c r="A14" s="6" t="inlineStr">
        <is>
          <t>Technique Reading</t>
        </is>
      </c>
      <c r="B14" s="7" t="n">
        <v>3</v>
      </c>
    </row>
    <row r="15">
      <c r="A15" s="6" t="inlineStr">
        <is>
          <t>Intimidate</t>
        </is>
      </c>
      <c r="B15" s="7" t="n">
        <v>2</v>
      </c>
    </row>
    <row r="16">
      <c r="A16" s="6" t="inlineStr">
        <is>
          <t>Jianghu Lore</t>
        </is>
      </c>
      <c r="B16" s="7" t="n">
        <v>2</v>
      </c>
    </row>
    <row r="17"/>
    <row r="18">
      <c r="A18" s="13" t="inlineStr">
        <is>
          <t>-- Moves &amp; Abilities --</t>
        </is>
      </c>
      <c r="B18" s="2" t="n"/>
      <c r="C18" s="2" t="n"/>
      <c r="D18" s="2" t="n"/>
      <c r="E18" s="2" t="n"/>
      <c r="F18" s="2" t="n"/>
      <c r="G18" s="2" t="n"/>
      <c r="H18" s="3" t="n"/>
    </row>
    <row r="19">
      <c r="A19" s="9" t="inlineStr">
        <is>
          <t>Name</t>
        </is>
      </c>
      <c r="B19" s="9" t="inlineStr">
        <is>
          <t>Type</t>
        </is>
      </c>
      <c r="C19" s="9" t="inlineStr">
        <is>
          <t>Tier</t>
        </is>
      </c>
      <c r="D19" s="9" t="inlineStr">
        <is>
          <t>Force Type</t>
        </is>
      </c>
      <c r="E19" s="9" t="inlineStr">
        <is>
          <t>Moves</t>
        </is>
      </c>
      <c r="F19" s="9" t="inlineStr">
        <is>
          <t>Uses</t>
        </is>
      </c>
      <c r="G19" s="9" t="inlineStr">
        <is>
          <t>Hit</t>
        </is>
      </c>
      <c r="H19" s="9" t="inlineStr">
        <is>
          <t>Damage / Effect</t>
        </is>
      </c>
    </row>
    <row r="20">
      <c r="A20" s="7" t="inlineStr">
        <is>
          <t>Lieyang Sword Art · Scorching Sun Burns the Sky</t>
        </is>
      </c>
      <c r="B20" s="7" t="inlineStr">
        <is>
          <t>External Art · Sword</t>
        </is>
      </c>
      <c r="C20" s="7" t="inlineStr">
        <is>
          <t>Advanced</t>
        </is>
      </c>
      <c r="D20" s="7" t="inlineStr">
        <is>
          <t>Firm</t>
        </is>
      </c>
      <c r="E20" s="7" t="inlineStr">
        <is>
          <t>Scorching Sun</t>
        </is>
      </c>
      <c r="F20" s="7" t="inlineStr">
        <is>
          <t>3 / encounter</t>
        </is>
      </c>
      <c r="G20" s="7" t="inlineStr">
        <is>
          <t>+5</t>
        </is>
      </c>
      <c r="H20" s="7" t="inlineStr">
        <is>
          <t>3d6+STR (+3)</t>
        </is>
      </c>
    </row>
    <row r="21">
      <c r="A21" s="7" t="inlineStr">
        <is>
          <t>Passive · Sword Intent</t>
        </is>
      </c>
      <c r="B21" s="7" t="inlineStr">
        <is>
          <t>Auto-read move once on the first round of each battle (Comprehension DC 12)</t>
        </is>
      </c>
      <c r="C21" s="7" t="inlineStr">
        <is>
          <t>--</t>
        </is>
      </c>
      <c r="D21" s="7" t="inlineStr">
        <is>
          <t>--</t>
        </is>
      </c>
      <c r="E21" s="7" t="inlineStr">
        <is>
          <t>--</t>
        </is>
      </c>
      <c r="F21" s="7" t="inlineStr">
        <is>
          <t>--</t>
        </is>
      </c>
      <c r="G21" s="7" t="inlineStr">
        <is>
          <t>--</t>
        </is>
      </c>
      <c r="H21" s="7" t="inlineStr">
        <is>
          <t>--</t>
        </is>
      </c>
    </row>
    <row r="22"/>
    <row r="23"/>
    <row r="24">
      <c r="A24" s="13" t="inlineStr">
        <is>
          <t>-- Possessions --</t>
        </is>
      </c>
      <c r="B24" s="2" t="n"/>
      <c r="C24" s="2" t="n"/>
      <c r="D24" s="2" t="n"/>
      <c r="E24" s="2" t="n"/>
      <c r="F24" s="2" t="n"/>
      <c r="G24" s="2" t="n"/>
      <c r="H24" s="3" t="n"/>
    </row>
    <row r="25">
      <c r="A25" s="14" t="inlineStr">
        <is>
          <t>Lieyang Sword (replica · 1d8+1)</t>
        </is>
      </c>
      <c r="B25" s="2" t="n"/>
      <c r="C25" s="2" t="n"/>
      <c r="D25" s="2" t="n"/>
      <c r="E25" s="2" t="n"/>
      <c r="F25" s="3" t="n"/>
    </row>
    <row r="26"/>
    <row r="27">
      <c r="A27" s="14" t="inlineStr">
        <is>
          <t>Companion rules see 20_Solo-Rules.md §4. Martial arts do not consume Qi — uses per count instead.</t>
        </is>
      </c>
      <c r="B27" s="2" t="n"/>
      <c r="C27" s="2" t="n"/>
      <c r="D27" s="2" t="n"/>
      <c r="E27" s="2" t="n"/>
      <c r="F27" s="2" t="n"/>
      <c r="G27" s="2" t="n"/>
      <c r="H27" s="3" t="n"/>
    </row>
  </sheetData>
  <mergeCells count="11">
    <mergeCell ref="A12:H12"/>
    <mergeCell ref="A4:H4"/>
    <mergeCell ref="A18:H18"/>
    <mergeCell ref="B5:C5"/>
    <mergeCell ref="A2:H2"/>
    <mergeCell ref="A24:H24"/>
    <mergeCell ref="G5:H5"/>
    <mergeCell ref="B6:H6"/>
    <mergeCell ref="A1:H1"/>
    <mergeCell ref="A27:H27"/>
    <mergeCell ref="A25:F25"/>
  </mergeCells>
  <pageMargins left="0.75" right="0.75" top="1" bottom="1" header="0.5" footer="0.5"/>
  <pageSetup orientation="portrait" paperSize="9" fitToWidth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</cols>
  <sheetData>
    <row r="1" ht="30" customHeight="1">
      <c r="A1" s="15" t="inlineStr">
        <is>
          <t>Yonghe Martial Codex</t>
        </is>
      </c>
      <c r="B1" s="2" t="n"/>
      <c r="C1" s="2" t="n"/>
      <c r="D1" s="2" t="n"/>
      <c r="E1" s="2" t="n"/>
      <c r="F1" s="2" t="n"/>
      <c r="G1" s="2" t="n"/>
      <c r="H1" s="3" t="n"/>
    </row>
    <row r="2">
      <c r="A2" s="4" t="inlineStr">
        <is>
          <t>NPC Companion Card · Solo-Play Only</t>
        </is>
      </c>
      <c r="B2" s="2" t="n"/>
      <c r="C2" s="2" t="n"/>
      <c r="D2" s="2" t="n"/>
      <c r="E2" s="2" t="n"/>
      <c r="F2" s="2" t="n"/>
      <c r="G2" s="2" t="n"/>
      <c r="H2" s="3" t="n"/>
    </row>
    <row r="3"/>
    <row r="4">
      <c r="A4" s="13" t="inlineStr">
        <is>
          <t>-- Basic Info --</t>
        </is>
      </c>
      <c r="B4" s="2" t="n"/>
      <c r="C4" s="2" t="n"/>
      <c r="D4" s="2" t="n"/>
      <c r="E4" s="2" t="n"/>
      <c r="F4" s="2" t="n"/>
      <c r="G4" s="2" t="n"/>
      <c r="H4" s="3" t="n"/>
    </row>
    <row r="5">
      <c r="A5" s="6" t="inlineStr">
        <is>
          <t>Name</t>
        </is>
      </c>
      <c r="B5" s="6" t="inlineStr">
        <is>
          <t>Han Tieyi (Companion)</t>
        </is>
      </c>
      <c r="C5" s="3" t="n"/>
      <c r="D5" s="6" t="inlineStr">
        <is>
          <t>Sect</t>
        </is>
      </c>
      <c r="E5" s="7" t="inlineStr">
        <is>
          <t>Imperial Guard</t>
        </is>
      </c>
      <c r="F5" s="6" t="inlineStr">
        <is>
          <t>Realm</t>
        </is>
      </c>
      <c r="G5" s="7" t="inlineStr">
        <is>
          <t>Fourth Realm · Perfecting the Craft</t>
        </is>
      </c>
      <c r="H5" s="3" t="n"/>
    </row>
    <row r="6">
      <c r="A6" s="6" t="inlineStr">
        <is>
          <t>Concept</t>
        </is>
      </c>
      <c r="B6" s="14" t="inlineStr">
        <is>
          <t>Imperial Guard Deputy Commander · Simplified. An upright soldier built like an iron tower. Suppressed in the bureaucracy for ten years — would rather break than bend.</t>
        </is>
      </c>
      <c r="C6" s="2" t="n"/>
      <c r="D6" s="2" t="n"/>
      <c r="E6" s="2" t="n"/>
      <c r="F6" s="2" t="n"/>
      <c r="G6" s="2" t="n"/>
      <c r="H6" s="3" t="n"/>
    </row>
    <row r="7"/>
    <row r="8">
      <c r="A8" s="6" t="inlineStr">
        <is>
          <t>STR</t>
        </is>
      </c>
      <c r="B8" s="7" t="n">
        <v>9</v>
      </c>
      <c r="C8" s="6" t="inlineStr">
        <is>
          <t>AGI</t>
        </is>
      </c>
      <c r="D8" s="7" t="n">
        <v>4</v>
      </c>
      <c r="E8" s="6" t="inlineStr">
        <is>
          <t>CON</t>
        </is>
      </c>
      <c r="F8" s="7" t="n">
        <v>7</v>
      </c>
      <c r="G8" s="6" t="inlineStr">
        <is>
          <t>CMP</t>
        </is>
      </c>
      <c r="H8" s="7" t="n">
        <v>4</v>
      </c>
      <c r="I8" s="6" t="inlineStr">
        <is>
          <t>Steady</t>
        </is>
      </c>
      <c r="J8" s="7" t="n">
        <v>7</v>
      </c>
      <c r="K8" s="6" t="inlineStr">
        <is>
          <t>CHA</t>
        </is>
      </c>
      <c r="L8" s="7" t="n">
        <v>3</v>
      </c>
    </row>
    <row r="9">
      <c r="A9" s="9" t="inlineStr">
        <is>
          <t>HP</t>
        </is>
      </c>
      <c r="B9" s="9" t="inlineStr">
        <is>
          <t>Initiative</t>
        </is>
      </c>
      <c r="C9" s="9" t="inlineStr">
        <is>
          <t>Defense DC</t>
        </is>
      </c>
    </row>
    <row r="10">
      <c r="A10" s="16" t="n">
        <v>45</v>
      </c>
      <c r="B10" s="16" t="n">
        <v>11</v>
      </c>
      <c r="C10" s="16" t="inlineStr">
        <is>
          <t>DC17</t>
        </is>
      </c>
    </row>
    <row r="11"/>
    <row r="12">
      <c r="A12" s="13" t="inlineStr">
        <is>
          <t>-- Skills (Simplified) --</t>
        </is>
      </c>
      <c r="B12" s="2" t="n"/>
      <c r="C12" s="2" t="n"/>
      <c r="D12" s="2" t="n"/>
      <c r="E12" s="2" t="n"/>
      <c r="F12" s="2" t="n"/>
      <c r="G12" s="2" t="n"/>
      <c r="H12" s="3" t="n"/>
    </row>
    <row r="13">
      <c r="A13" s="6" t="inlineStr">
        <is>
          <t>Spear Art</t>
        </is>
      </c>
      <c r="B13" s="7" t="n">
        <v>4</v>
      </c>
    </row>
    <row r="14">
      <c r="A14" s="6" t="inlineStr">
        <is>
          <t>Intimidate</t>
        </is>
      </c>
      <c r="B14" s="7" t="n">
        <v>3</v>
      </c>
    </row>
    <row r="15">
      <c r="A15" s="6" t="inlineStr">
        <is>
          <t>Tracking</t>
        </is>
      </c>
      <c r="B15" s="7" t="n">
        <v>2</v>
      </c>
    </row>
    <row r="16">
      <c r="A16" s="6" t="inlineStr">
        <is>
          <t>Staff Art</t>
        </is>
      </c>
      <c r="B16" s="7" t="n">
        <v>4</v>
      </c>
    </row>
    <row r="17"/>
    <row r="18">
      <c r="A18" s="13" t="inlineStr">
        <is>
          <t>-- Moves &amp; Abilities --</t>
        </is>
      </c>
      <c r="B18" s="2" t="n"/>
      <c r="C18" s="2" t="n"/>
      <c r="D18" s="2" t="n"/>
      <c r="E18" s="2" t="n"/>
      <c r="F18" s="2" t="n"/>
      <c r="G18" s="2" t="n"/>
      <c r="H18" s="3" t="n"/>
    </row>
    <row r="19">
      <c r="A19" s="9" t="inlineStr">
        <is>
          <t>Name</t>
        </is>
      </c>
      <c r="B19" s="9" t="inlineStr">
        <is>
          <t>Type</t>
        </is>
      </c>
      <c r="C19" s="9" t="inlineStr">
        <is>
          <t>Tier</t>
        </is>
      </c>
      <c r="D19" s="9" t="inlineStr">
        <is>
          <t>Force Type</t>
        </is>
      </c>
      <c r="E19" s="9" t="inlineStr">
        <is>
          <t>Moves</t>
        </is>
      </c>
      <c r="F19" s="9" t="inlineStr">
        <is>
          <t>Uses</t>
        </is>
      </c>
      <c r="G19" s="9" t="inlineStr">
        <is>
          <t>Hit</t>
        </is>
      </c>
      <c r="H19" s="9" t="inlineStr">
        <is>
          <t>Damage / Effect</t>
        </is>
      </c>
    </row>
    <row r="20">
      <c r="A20" s="7" t="inlineStr">
        <is>
          <t>Imperial Guard Spear Art · Spear Like a Roaming Dragon</t>
        </is>
      </c>
      <c r="B20" s="7" t="inlineStr">
        <is>
          <t>External Art · Staff</t>
        </is>
      </c>
      <c r="C20" s="7" t="inlineStr">
        <is>
          <t>Proficiency</t>
        </is>
      </c>
      <c r="D20" s="7" t="inlineStr">
        <is>
          <t>Firm</t>
        </is>
      </c>
      <c r="E20" s="7" t="inlineStr">
        <is>
          <t>Roaming Dragon</t>
        </is>
      </c>
      <c r="F20" s="7" t="inlineStr">
        <is>
          <t>4 / encounter</t>
        </is>
      </c>
      <c r="G20" s="7" t="inlineStr">
        <is>
          <t>+5</t>
        </is>
      </c>
      <c r="H20" s="7" t="inlineStr">
        <is>
          <t>3d8+STR (+5)</t>
        </is>
      </c>
    </row>
    <row r="21">
      <c r="A21" s="7" t="inlineStr">
        <is>
          <t>Ranged Cover (Passive)</t>
        </is>
      </c>
      <c r="B21" s="7" t="inlineStr">
        <is>
          <t>Once per day — deal 2d6 damage to a single target designated by the PC</t>
        </is>
      </c>
      <c r="C21" s="7" t="inlineStr">
        <is>
          <t>--</t>
        </is>
      </c>
      <c r="D21" s="7" t="inlineStr">
        <is>
          <t>--</t>
        </is>
      </c>
      <c r="E21" s="7" t="inlineStr">
        <is>
          <t>--</t>
        </is>
      </c>
      <c r="F21" s="7" t="inlineStr">
        <is>
          <t>--</t>
        </is>
      </c>
      <c r="G21" s="7" t="inlineStr">
        <is>
          <t>--</t>
        </is>
      </c>
      <c r="H21" s="7" t="inlineStr">
        <is>
          <t>--</t>
        </is>
      </c>
    </row>
    <row r="22"/>
    <row r="23"/>
    <row r="24">
      <c r="A24" s="13" t="inlineStr">
        <is>
          <t>-- Possessions --</t>
        </is>
      </c>
      <c r="B24" s="2" t="n"/>
      <c r="C24" s="2" t="n"/>
      <c r="D24" s="2" t="n"/>
      <c r="E24" s="2" t="n"/>
      <c r="F24" s="2" t="n"/>
      <c r="G24" s="2" t="n"/>
      <c r="H24" s="3" t="n"/>
    </row>
    <row r="25">
      <c r="A25" s="14" t="inlineStr">
        <is>
          <t>Imperial Guard Long Spear (1d10) + Imperial Guard Light Armor (Reduction 2)</t>
        </is>
      </c>
      <c r="B25" s="2" t="n"/>
      <c r="C25" s="2" t="n"/>
      <c r="D25" s="2" t="n"/>
      <c r="E25" s="2" t="n"/>
      <c r="F25" s="3" t="n"/>
    </row>
    <row r="26"/>
    <row r="27">
      <c r="A27" s="14" t="inlineStr">
        <is>
          <t>Companion rules see 20_Solo-Rules.md §4. Does not consume Qi — uses per-use count instead.</t>
        </is>
      </c>
      <c r="B27" s="2" t="n"/>
      <c r="C27" s="2" t="n"/>
      <c r="D27" s="2" t="n"/>
      <c r="E27" s="2" t="n"/>
      <c r="F27" s="2" t="n"/>
      <c r="G27" s="2" t="n"/>
      <c r="H27" s="3" t="n"/>
    </row>
  </sheetData>
  <mergeCells count="11">
    <mergeCell ref="A12:H12"/>
    <mergeCell ref="A4:H4"/>
    <mergeCell ref="A18:H18"/>
    <mergeCell ref="B5:C5"/>
    <mergeCell ref="A2:H2"/>
    <mergeCell ref="A24:H24"/>
    <mergeCell ref="G5:H5"/>
    <mergeCell ref="B6:H6"/>
    <mergeCell ref="A1:H1"/>
    <mergeCell ref="A27:H27"/>
    <mergeCell ref="A25:F25"/>
  </mergeCells>
  <pageMargins left="0.75" right="0.75" top="1" bottom="1" header="0.5" footer="0.5"/>
  <pageSetup orientation="portrait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2026-06-21T18:24:56Z</dcterms:created>
  <dcterms:modified xsi:type="dcterms:W3CDTF">2026-08-10T08:39:45Z</dcterms:modified>
</cp:coreProperties>
</file>