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ngong Hui" sheetId="1" state="visible" r:id="rId1"/>
    <sheet name="Chu Huaisha" sheetId="2" state="visible" r:id="rId2"/>
    <sheet name="Jin Ridi" sheetId="3" state="visible" r:id="rId3"/>
    <sheet name="Tie Jingxin" sheetId="4" state="visible" r:id="rId4"/>
    <sheet name="Han Ba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icrosoft YaHei"/>
      <b val="1"/>
      <color rgb="001a1a2e"/>
      <sz val="20"/>
    </font>
    <font>
      <name val="Microsoft YaHei"/>
      <color rgb="00666666"/>
      <sz val="9"/>
    </font>
    <font>
      <name val="Microsoft YaHei"/>
      <b val="1"/>
      <color rgb="002c3e50"/>
      <sz val="13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i val="1"/>
      <sz val="10"/>
    </font>
    <font>
      <name val="Microsoft YaHei"/>
      <b val="1"/>
      <color rgb="001a1a2e"/>
      <sz val="14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>
      <c r="A1" s="1" t="inlineStr">
        <is>
          <t>Yonghe Martial Codex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Scripted Enemy Card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-- Basic Info --</t>
        </is>
      </c>
      <c r="B4" s="2" t="n"/>
      <c r="C4" s="2" t="n"/>
      <c r="D4" s="2" t="n"/>
      <c r="E4" s="2" t="n"/>
      <c r="F4" s="2" t="n"/>
      <c r="G4" s="2" t="n"/>
      <c r="H4" s="3" t="n"/>
    </row>
    <row r="5">
      <c r="A5" s="6" t="inlineStr">
        <is>
          <t>Character Name</t>
        </is>
      </c>
      <c r="B5" s="7" t="inlineStr">
        <is>
          <t>Nangong Hui</t>
        </is>
      </c>
      <c r="C5" s="6" t="inlineStr">
        <is>
          <t>Sect</t>
        </is>
      </c>
      <c r="D5" s="7" t="inlineStr">
        <is>
          <t>Yaowang Valley (Defected)</t>
        </is>
      </c>
      <c r="E5" s="6" t="inlineStr">
        <is>
          <t>Realm</t>
        </is>
      </c>
      <c r="F5" s="7" t="inlineStr">
        <is>
          <t>Perfecting the Craft</t>
        </is>
      </c>
      <c r="G5" s="6" t="inlineStr">
        <is>
          <t>Inner Cultivation Coefficient</t>
        </is>
      </c>
      <c r="H5" s="7" t="inlineStr">
        <is>
          <t>3 (Authentic)</t>
        </is>
      </c>
    </row>
    <row r="6">
      <c r="A6" s="6" t="inlineStr">
        <is>
          <t>Concept</t>
        </is>
      </c>
      <c r="B6" s="8" t="inlineStr">
        <is>
          <t>Former Deputy Hall Master of Yaowang Valley's Netherworld Hall; defected to the Blood Moon Cult. Family held hostage.</t>
        </is>
      </c>
      <c r="C6" s="2" t="n"/>
      <c r="D6" s="2" t="n"/>
      <c r="E6" s="2" t="n"/>
      <c r="F6" s="2" t="n"/>
      <c r="G6" s="2" t="n"/>
      <c r="H6" s="3" t="n"/>
    </row>
    <row r="7"/>
    <row r="8">
      <c r="A8" s="5" t="inlineStr">
        <is>
          <t>-- Six Attributes --</t>
        </is>
      </c>
      <c r="B8" s="2" t="n"/>
      <c r="C8" s="2" t="n"/>
      <c r="D8" s="2" t="n"/>
      <c r="E8" s="2" t="n"/>
      <c r="F8" s="2" t="n"/>
      <c r="G8" s="2" t="n"/>
      <c r="H8" s="3" t="n"/>
    </row>
    <row r="9">
      <c r="A9" s="9" t="inlineStr">
        <is>
          <t>Attribute</t>
        </is>
      </c>
      <c r="B9" s="9" t="inlineStr">
        <is>
          <t>Base Value</t>
        </is>
      </c>
      <c r="C9" s="9" t="inlineStr">
        <is>
          <t>Modifier</t>
        </is>
      </c>
      <c r="D9" s="9" t="inlineStr">
        <is>
          <t>Description</t>
        </is>
      </c>
    </row>
    <row r="10">
      <c r="A10" s="6" t="inlineStr">
        <is>
          <t>Strength (STR)</t>
        </is>
      </c>
      <c r="B10" s="7" t="inlineStr">
        <is>
          <t>4</t>
        </is>
      </c>
      <c r="C10" s="10">
        <f>B10-4</f>
        <v/>
      </c>
      <c r="D10" s="4" t="n"/>
      <c r="E10" s="2" t="n"/>
      <c r="F10" s="3" t="n"/>
    </row>
    <row r="11">
      <c r="A11" s="6" t="inlineStr">
        <is>
          <t>Agility (AGI)</t>
        </is>
      </c>
      <c r="B11" s="7" t="inlineStr">
        <is>
          <t>6</t>
        </is>
      </c>
      <c r="C11" s="10">
        <f>B11-4</f>
        <v/>
      </c>
      <c r="D11" s="4" t="n"/>
      <c r="E11" s="2" t="n"/>
      <c r="F11" s="3" t="n"/>
    </row>
    <row r="12">
      <c r="A12" s="6" t="inlineStr">
        <is>
          <t>Constitution (CON)</t>
        </is>
      </c>
      <c r="B12" s="7" t="inlineStr">
        <is>
          <t>6</t>
        </is>
      </c>
      <c r="C12" s="10">
        <f>B12-4</f>
        <v/>
      </c>
      <c r="D12" s="4" t="n"/>
      <c r="E12" s="2" t="n"/>
      <c r="F12" s="3" t="n"/>
    </row>
    <row r="13">
      <c r="A13" s="6" t="inlineStr">
        <is>
          <t>Comprehension (CMP)</t>
        </is>
      </c>
      <c r="B13" s="7" t="inlineStr">
        <is>
          <t>7</t>
        </is>
      </c>
      <c r="C13" s="10">
        <f>B13-4</f>
        <v/>
      </c>
      <c r="D13" s="4" t="n"/>
      <c r="E13" s="2" t="n"/>
      <c r="F13" s="3" t="n"/>
    </row>
    <row r="14">
      <c r="A14" s="6" t="inlineStr">
        <is>
          <t>Willpower (WIL)</t>
        </is>
      </c>
      <c r="B14" s="7" t="inlineStr">
        <is>
          <t>5</t>
        </is>
      </c>
      <c r="C14" s="10">
        <f>B14-4</f>
        <v/>
      </c>
      <c r="D14" s="4" t="n"/>
      <c r="E14" s="2" t="n"/>
      <c r="F14" s="3" t="n"/>
    </row>
    <row r="15">
      <c r="A15" s="6" t="inlineStr">
        <is>
          <t>Charisma (CHA)</t>
        </is>
      </c>
      <c r="B15" s="7" t="inlineStr">
        <is>
          <t>3</t>
        </is>
      </c>
      <c r="C15" s="10">
        <f>B15-4</f>
        <v/>
      </c>
      <c r="D15" s="4" t="n"/>
      <c r="E15" s="2" t="n"/>
      <c r="F15" s="3" t="n"/>
    </row>
    <row r="16"/>
    <row r="17">
      <c r="A17" s="5" t="inlineStr">
        <is>
          <t>-- Derived Values --</t>
        </is>
      </c>
      <c r="B17" s="2" t="n"/>
      <c r="C17" s="2" t="n"/>
      <c r="D17" s="2" t="n"/>
      <c r="E17" s="2" t="n"/>
      <c r="F17" s="2" t="n"/>
      <c r="G17" s="2" t="n"/>
      <c r="H17" s="3" t="n"/>
    </row>
    <row r="18">
      <c r="A18" s="6" t="inlineStr">
        <is>
          <t>Health Points (HP)</t>
        </is>
      </c>
      <c r="B18" s="4" t="inlineStr">
        <is>
          <t>Constitution×5 + Realm</t>
        </is>
      </c>
      <c r="C18" s="2" t="n"/>
      <c r="D18" s="3" t="n"/>
      <c r="E18" s="11">
        <f>B12*5+IF(F6="Crossing the Threshold",5,IF(F6="Complete Mastery",10,IF(F6="Perfecting the Craft",15,IF(F6="Peak of Perfection",20,IF(F6="Return to Simplicity",25,0)))))</f>
        <v/>
      </c>
      <c r="F18" s="3" t="n"/>
    </row>
    <row r="19">
      <c r="A19" s="6" t="inlineStr">
        <is>
          <t>Qi</t>
        </is>
      </c>
      <c r="B19" s="4" t="inlineStr">
        <is>
          <t>Constitution × Inner-Cultivation Coefficient + Realm</t>
        </is>
      </c>
      <c r="C19" s="2" t="n"/>
      <c r="D19" s="3" t="n"/>
      <c r="E19" s="11">
        <f>B12*VALUE(LEFT(H5,1))+IF(F6="Crossing the Threshold",3,IF(F6="Complete Mastery",6,IF(F6="Perfecting the Craft",10,IF(F6="Peak of Perfection",15,IF(F6="Return to Simplicity",20,0)))))</f>
        <v/>
      </c>
      <c r="F19" s="3" t="n"/>
    </row>
    <row r="20">
      <c r="A20" s="6" t="inlineStr">
        <is>
          <t>Initiative</t>
        </is>
      </c>
      <c r="B20" s="4" t="inlineStr">
        <is>
          <t>Agility + Willpower</t>
        </is>
      </c>
      <c r="C20" s="2" t="n"/>
      <c r="D20" s="3" t="n"/>
      <c r="E20" s="11">
        <f>B11+B14</f>
        <v/>
      </c>
      <c r="F20" s="3" t="n"/>
    </row>
    <row r="21">
      <c r="A21" s="6" t="inlineStr">
        <is>
          <t>Evasion</t>
        </is>
      </c>
      <c r="B21" s="4" t="inlineStr">
        <is>
          <t>Agility Modifier</t>
        </is>
      </c>
      <c r="C21" s="2" t="n"/>
      <c r="D21" s="3" t="n"/>
      <c r="E21" s="11">
        <f>C11</f>
        <v/>
      </c>
      <c r="F21" s="3" t="n"/>
    </row>
    <row r="22">
      <c r="A22" s="6" t="inlineStr">
        <is>
          <t>Defense</t>
        </is>
      </c>
      <c r="B22" s="4" t="inlineStr">
        <is>
          <t>Constitution Modifier</t>
        </is>
      </c>
      <c r="C22" s="2" t="n"/>
      <c r="D22" s="3" t="n"/>
      <c r="E22" s="11">
        <f>C12</f>
        <v/>
      </c>
      <c r="F22" s="3" t="n"/>
    </row>
    <row r="23"/>
    <row r="24">
      <c r="A24" s="5" t="inlineStr">
        <is>
          <t>-- Skills --</t>
        </is>
      </c>
      <c r="B24" s="3" t="n"/>
    </row>
    <row r="25">
      <c r="A25" s="6" t="inlineStr">
        <is>
          <t>Technique Reading</t>
        </is>
      </c>
      <c r="B25" s="7" t="inlineStr">
        <is>
          <t>0</t>
        </is>
      </c>
    </row>
    <row r="26">
      <c r="A26" s="6" t="inlineStr">
        <is>
          <t>Jianghu Lore</t>
        </is>
      </c>
      <c r="B26" s="7" t="inlineStr">
        <is>
          <t>0</t>
        </is>
      </c>
    </row>
    <row r="27">
      <c r="A27" s="6" t="inlineStr">
        <is>
          <t>Lightfoot</t>
        </is>
      </c>
      <c r="B27" s="7" t="inlineStr">
        <is>
          <t>0</t>
        </is>
      </c>
    </row>
    <row r="28">
      <c r="A28" s="6" t="inlineStr">
        <is>
          <t>Oratory</t>
        </is>
      </c>
      <c r="B28" s="7" t="inlineStr">
        <is>
          <t>0</t>
        </is>
      </c>
    </row>
    <row r="29">
      <c r="A29" s="6" t="inlineStr">
        <is>
          <t>Climbing</t>
        </is>
      </c>
      <c r="B29" s="7" t="inlineStr">
        <is>
          <t>0</t>
        </is>
      </c>
    </row>
    <row r="30">
      <c r="A30" s="6" t="inlineStr">
        <is>
          <t>Stealth</t>
        </is>
      </c>
      <c r="B30" s="7" t="inlineStr">
        <is>
          <t>3</t>
        </is>
      </c>
    </row>
    <row r="31">
      <c r="A31" s="6" t="inlineStr">
        <is>
          <t>Tracking</t>
        </is>
      </c>
      <c r="B31" s="7" t="inlineStr">
        <is>
          <t>0</t>
        </is>
      </c>
    </row>
    <row r="32">
      <c r="A32" s="6" t="inlineStr">
        <is>
          <t>Read Intent</t>
        </is>
      </c>
      <c r="B32" s="7" t="inlineStr">
        <is>
          <t>0</t>
        </is>
      </c>
    </row>
    <row r="33">
      <c r="A33" s="6" t="inlineStr">
        <is>
          <t>Disguise</t>
        </is>
      </c>
      <c r="B33" s="7" t="inlineStr">
        <is>
          <t>0</t>
        </is>
      </c>
    </row>
    <row r="34">
      <c r="A34" s="6" t="inlineStr">
        <is>
          <t>Lockpicking</t>
        </is>
      </c>
      <c r="B34" s="7" t="inlineStr">
        <is>
          <t>0</t>
        </is>
      </c>
    </row>
    <row r="35">
      <c r="A35" s="6" t="inlineStr">
        <is>
          <t>Trapcraft</t>
        </is>
      </c>
      <c r="B35" s="7" t="inlineStr">
        <is>
          <t>0</t>
        </is>
      </c>
    </row>
    <row r="36">
      <c r="A36" s="6" t="inlineStr">
        <is>
          <t>Medicine</t>
        </is>
      </c>
      <c r="B36" s="7" t="inlineStr">
        <is>
          <t>4</t>
        </is>
      </c>
    </row>
    <row r="37">
      <c r="A37" s="6" t="inlineStr">
        <is>
          <t>Alchemy</t>
        </is>
      </c>
      <c r="B37" s="7" t="inlineStr">
        <is>
          <t>4</t>
        </is>
      </c>
    </row>
    <row r="38">
      <c r="A38" s="6" t="inlineStr">
        <is>
          <t>Poisoncraft</t>
        </is>
      </c>
      <c r="B38" s="7" t="inlineStr">
        <is>
          <t>5</t>
        </is>
      </c>
    </row>
    <row r="39">
      <c r="A39" s="6" t="inlineStr">
        <is>
          <t>Hidden Weapon</t>
        </is>
      </c>
      <c r="B39" s="7" t="inlineStr">
        <is>
          <t>0</t>
        </is>
      </c>
    </row>
    <row r="40">
      <c r="A40" s="6" t="inlineStr">
        <is>
          <t>Staff Art</t>
        </is>
      </c>
      <c r="B40" s="7" t="inlineStr">
        <is>
          <t>0</t>
        </is>
      </c>
    </row>
    <row r="41">
      <c r="A41" s="6" t="inlineStr">
        <is>
          <t>Fist &amp; Palm</t>
        </is>
      </c>
      <c r="B41" s="7" t="inlineStr">
        <is>
          <t>0</t>
        </is>
      </c>
    </row>
    <row r="42">
      <c r="A42" s="6" t="inlineStr">
        <is>
          <t>Saber Art</t>
        </is>
      </c>
      <c r="B42" s="7" t="inlineStr">
        <is>
          <t>0</t>
        </is>
      </c>
    </row>
    <row r="43">
      <c r="A43" s="6" t="inlineStr">
        <is>
          <t>Sword Art</t>
        </is>
      </c>
      <c r="B43" s="7" t="inlineStr">
        <is>
          <t>0</t>
        </is>
      </c>
    </row>
    <row r="44"/>
    <row r="45">
      <c r="A45" s="5" t="inlineStr">
        <is>
          <t>-- Martial Arts --</t>
        </is>
      </c>
      <c r="B45" s="2" t="n"/>
      <c r="C45" s="2" t="n"/>
      <c r="D45" s="2" t="n"/>
      <c r="E45" s="2" t="n"/>
      <c r="F45" s="2" t="n"/>
      <c r="G45" s="2" t="n"/>
      <c r="H45" s="3" t="n"/>
    </row>
    <row r="46">
      <c r="A46" s="9" t="inlineStr">
        <is>
          <t>Martial Art Name</t>
        </is>
      </c>
      <c r="B46" s="9" t="inlineStr">
        <is>
          <t>Type</t>
        </is>
      </c>
      <c r="C46" s="9" t="inlineStr">
        <is>
          <t>Tier</t>
        </is>
      </c>
      <c r="D46" s="9" t="inlineStr">
        <is>
          <t>Force Type</t>
        </is>
      </c>
      <c r="E46" s="9" t="inlineStr">
        <is>
          <t>Moves</t>
        </is>
      </c>
      <c r="F46" s="9" t="inlineStr">
        <is>
          <t>Qi</t>
        </is>
      </c>
      <c r="G46" s="9" t="inlineStr">
        <is>
          <t>Hit</t>
        </is>
      </c>
      <c r="H46" s="9" t="inlineStr">
        <is>
          <t>Damage / Effect</t>
        </is>
      </c>
    </row>
    <row r="47">
      <c r="A47" s="7" t="inlineStr">
        <is>
          <t>Rotting-Bone Palm</t>
        </is>
      </c>
      <c r="B47" s="7" t="inlineStr">
        <is>
          <t>External Art · Poisoncraft</t>
        </is>
      </c>
      <c r="C47" s="7" t="inlineStr">
        <is>
          <t>Superior</t>
        </is>
      </c>
      <c r="D47" s="7" t="inlineStr">
        <is>
          <t>Gentle</t>
        </is>
      </c>
      <c r="E47" s="7" t="inlineStr">
        <is>
          <t>Bone-Eroding</t>
        </is>
      </c>
      <c r="F47" s="7" t="inlineStr">
        <is>
          <t>4</t>
        </is>
      </c>
      <c r="G47" s="7" t="inlineStr">
        <is>
          <t>+6</t>
        </is>
      </c>
      <c r="H47" s="7" t="inlineStr">
        <is>
          <t>3d6+3 + Poison 2d4 / round</t>
        </is>
      </c>
    </row>
    <row r="48">
      <c r="A48" s="7" t="inlineStr">
        <is>
          <t>Spring-Return Art</t>
        </is>
      </c>
      <c r="B48" s="7" t="inlineStr">
        <is>
          <t>Special · Medicine</t>
        </is>
      </c>
      <c r="C48" s="7" t="inlineStr">
        <is>
          <t>Advanced</t>
        </is>
      </c>
      <c r="D48" s="7" t="inlineStr">
        <is>
          <t>--</t>
        </is>
      </c>
      <c r="E48" s="7" t="inlineStr">
        <is>
          <t>--</t>
        </is>
      </c>
      <c r="F48" s="7" t="inlineStr">
        <is>
          <t>3</t>
        </is>
      </c>
      <c r="G48" s="7" t="inlineStr">
        <is>
          <t>--</t>
        </is>
      </c>
      <c r="H48" s="7" t="inlineStr">
        <is>
          <t>Self-recover 3d6 Health Points (HP)</t>
        </is>
      </c>
    </row>
    <row r="49">
      <c r="A49" s="7" t="inlineStr">
        <is>
          <t>Poison Mist (Dying)</t>
        </is>
      </c>
      <c r="B49" s="7" t="inlineStr">
        <is>
          <t>Special</t>
        </is>
      </c>
      <c r="C49" s="7" t="inlineStr">
        <is>
          <t>--</t>
        </is>
      </c>
      <c r="D49" s="7" t="inlineStr">
        <is>
          <t>--</t>
        </is>
      </c>
      <c r="E49" s="7" t="inlineStr">
        <is>
          <t>--</t>
        </is>
      </c>
      <c r="F49" s="7" t="inlineStr">
        <is>
          <t>--</t>
        </is>
      </c>
      <c r="G49" s="7" t="inlineStr">
        <is>
          <t>--</t>
        </is>
      </c>
      <c r="H49" s="7" t="inlineStr">
        <is>
          <t>Area Poison 2d4 / round</t>
        </is>
      </c>
    </row>
    <row r="50"/>
    <row r="51"/>
    <row r="52"/>
    <row r="53"/>
    <row r="54"/>
    <row r="55"/>
    <row r="56">
      <c r="A56" s="5" t="inlineStr">
        <is>
          <t>-- Equipment --</t>
        </is>
      </c>
      <c r="B56" s="2" t="n"/>
      <c r="C56" s="2" t="n"/>
      <c r="D56" s="2" t="n"/>
      <c r="E56" s="2" t="n"/>
      <c r="F56" s="2" t="n"/>
      <c r="G56" s="2" t="n"/>
      <c r="H56" s="3" t="n"/>
    </row>
    <row r="57">
      <c r="A57" s="9" t="inlineStr">
        <is>
          <t>Weapon</t>
        </is>
      </c>
      <c r="B57" s="9" t="inlineStr">
        <is>
          <t>Armor</t>
        </is>
      </c>
      <c r="C57" s="9" t="inlineStr">
        <is>
          <t>Special</t>
        </is>
      </c>
    </row>
    <row r="58">
      <c r="A58" s="8" t="inlineStr">
        <is>
          <t>Poison Palm</t>
        </is>
      </c>
      <c r="B58" s="8" t="inlineStr">
        <is>
          <t>Dark Green Long Robe</t>
        </is>
      </c>
      <c r="C58" s="12" t="inlineStr">
        <is>
          <t>Boss Mechanic: auto-recover 1d6 Health Points (HP) each round (breakable by fire); release poison mist at Dying. Health Points (HP) 45, Qi 30</t>
        </is>
      </c>
      <c r="D58" s="2" t="n"/>
      <c r="E58" s="2" t="n"/>
      <c r="F58" s="3" t="n"/>
    </row>
    <row r="59"/>
    <row r="60"/>
    <row r="61">
      <c r="A61" s="6" t="inlineStr">
        <is>
          <t>Heroism</t>
        </is>
      </c>
      <c r="B61" s="7" t="inlineStr">
        <is>
          <t>-20</t>
        </is>
      </c>
      <c r="D61" s="6" t="inlineStr">
        <is>
          <t>Infamy</t>
        </is>
      </c>
      <c r="E61" s="7" t="inlineStr">
        <is>
          <t>30</t>
        </is>
      </c>
    </row>
  </sheetData>
  <mergeCells count="26">
    <mergeCell ref="A24:B24"/>
    <mergeCell ref="D13:F13"/>
    <mergeCell ref="D11:F11"/>
    <mergeCell ref="B6:H6"/>
    <mergeCell ref="A45:H45"/>
    <mergeCell ref="A1:H1"/>
    <mergeCell ref="B19:D19"/>
    <mergeCell ref="E20:F20"/>
    <mergeCell ref="E19:F19"/>
    <mergeCell ref="D12:F12"/>
    <mergeCell ref="C58:F58"/>
    <mergeCell ref="D15:F15"/>
    <mergeCell ref="B20:D20"/>
    <mergeCell ref="A56:H56"/>
    <mergeCell ref="D14:F14"/>
    <mergeCell ref="A2:H2"/>
    <mergeCell ref="A8:H8"/>
    <mergeCell ref="D10:F10"/>
    <mergeCell ref="A17:H17"/>
    <mergeCell ref="A4:H4"/>
    <mergeCell ref="B22:D22"/>
    <mergeCell ref="B18:D18"/>
    <mergeCell ref="E22:F22"/>
    <mergeCell ref="B21:D21"/>
    <mergeCell ref="E18:F18"/>
    <mergeCell ref="E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>
      <c r="A1" s="1" t="inlineStr">
        <is>
          <t>Yonghe Martial Codex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Scripted Enemy Card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-- Basic Info --</t>
        </is>
      </c>
      <c r="B4" s="2" t="n"/>
      <c r="C4" s="2" t="n"/>
      <c r="D4" s="2" t="n"/>
      <c r="E4" s="2" t="n"/>
      <c r="F4" s="2" t="n"/>
      <c r="G4" s="2" t="n"/>
      <c r="H4" s="3" t="n"/>
    </row>
    <row r="5">
      <c r="A5" s="6" t="inlineStr">
        <is>
          <t>Character Name</t>
        </is>
      </c>
      <c r="B5" s="7" t="inlineStr">
        <is>
          <t>Chu Huaisha</t>
        </is>
      </c>
      <c r="C5" s="6" t="inlineStr">
        <is>
          <t>Sect</t>
        </is>
      </c>
      <c r="D5" s="7" t="inlineStr">
        <is>
          <t>Independent</t>
        </is>
      </c>
      <c r="E5" s="6" t="inlineStr">
        <is>
          <t>Realm</t>
        </is>
      </c>
      <c r="F5" s="7" t="inlineStr">
        <is>
          <t>Complete Mastery</t>
        </is>
      </c>
      <c r="G5" s="6" t="inlineStr">
        <is>
          <t>Inner Cultivation Coefficient</t>
        </is>
      </c>
      <c r="H5" s="7" t="inlineStr">
        <is>
          <t>2 (Initiate)</t>
        </is>
      </c>
    </row>
    <row r="6">
      <c r="A6" s="6" t="inlineStr">
        <is>
          <t>Concept</t>
        </is>
      </c>
      <c r="B6" s="8" t="inlineStr">
        <is>
          <t>A jianghu independent who is an 'ordinary person' willing to do anything to save his sister. No sect, roams the jianghu relying on trapcraft and lightfoot.</t>
        </is>
      </c>
      <c r="C6" s="2" t="n"/>
      <c r="D6" s="2" t="n"/>
      <c r="E6" s="2" t="n"/>
      <c r="F6" s="2" t="n"/>
      <c r="G6" s="2" t="n"/>
      <c r="H6" s="3" t="n"/>
    </row>
    <row r="7"/>
    <row r="8">
      <c r="A8" s="5" t="inlineStr">
        <is>
          <t>-- Six Attributes --</t>
        </is>
      </c>
      <c r="B8" s="2" t="n"/>
      <c r="C8" s="2" t="n"/>
      <c r="D8" s="2" t="n"/>
      <c r="E8" s="2" t="n"/>
      <c r="F8" s="2" t="n"/>
      <c r="G8" s="2" t="n"/>
      <c r="H8" s="3" t="n"/>
    </row>
    <row r="9">
      <c r="A9" s="9" t="inlineStr">
        <is>
          <t>Attribute</t>
        </is>
      </c>
      <c r="B9" s="9" t="inlineStr">
        <is>
          <t>Base Value</t>
        </is>
      </c>
      <c r="C9" s="9" t="inlineStr">
        <is>
          <t>Modifier</t>
        </is>
      </c>
      <c r="D9" s="9" t="inlineStr">
        <is>
          <t>Description</t>
        </is>
      </c>
    </row>
    <row r="10">
      <c r="A10" s="6" t="inlineStr">
        <is>
          <t>Strength (STR)</t>
        </is>
      </c>
      <c r="B10" s="7" t="inlineStr">
        <is>
          <t>3</t>
        </is>
      </c>
      <c r="C10" s="10">
        <f>B10-4</f>
        <v/>
      </c>
      <c r="D10" s="4" t="n"/>
      <c r="E10" s="2" t="n"/>
      <c r="F10" s="3" t="n"/>
    </row>
    <row r="11">
      <c r="A11" s="6" t="inlineStr">
        <is>
          <t>Agility (AGI)</t>
        </is>
      </c>
      <c r="B11" s="7" t="inlineStr">
        <is>
          <t>7</t>
        </is>
      </c>
      <c r="C11" s="10">
        <f>B11-4</f>
        <v/>
      </c>
      <c r="D11" s="4" t="n"/>
      <c r="E11" s="2" t="n"/>
      <c r="F11" s="3" t="n"/>
    </row>
    <row r="12">
      <c r="A12" s="6" t="inlineStr">
        <is>
          <t>Constitution (CON)</t>
        </is>
      </c>
      <c r="B12" s="7" t="inlineStr">
        <is>
          <t>4</t>
        </is>
      </c>
      <c r="C12" s="10">
        <f>B12-4</f>
        <v/>
      </c>
      <c r="D12" s="4" t="n"/>
      <c r="E12" s="2" t="n"/>
      <c r="F12" s="3" t="n"/>
    </row>
    <row r="13">
      <c r="A13" s="6" t="inlineStr">
        <is>
          <t>Comprehension (CMP)</t>
        </is>
      </c>
      <c r="B13" s="7" t="inlineStr">
        <is>
          <t>6</t>
        </is>
      </c>
      <c r="C13" s="10">
        <f>B13-4</f>
        <v/>
      </c>
      <c r="D13" s="4" t="n"/>
      <c r="E13" s="2" t="n"/>
      <c r="F13" s="3" t="n"/>
    </row>
    <row r="14">
      <c r="A14" s="6" t="inlineStr">
        <is>
          <t>Willpower (WIL)</t>
        </is>
      </c>
      <c r="B14" s="7" t="inlineStr">
        <is>
          <t>5</t>
        </is>
      </c>
      <c r="C14" s="10">
        <f>B14-4</f>
        <v/>
      </c>
      <c r="D14" s="4" t="n"/>
      <c r="E14" s="2" t="n"/>
      <c r="F14" s="3" t="n"/>
    </row>
    <row r="15">
      <c r="A15" s="6" t="inlineStr">
        <is>
          <t>Charisma (CHA)</t>
        </is>
      </c>
      <c r="B15" s="7" t="inlineStr">
        <is>
          <t>4</t>
        </is>
      </c>
      <c r="C15" s="10">
        <f>B15-4</f>
        <v/>
      </c>
      <c r="D15" s="4" t="n"/>
      <c r="E15" s="2" t="n"/>
      <c r="F15" s="3" t="n"/>
    </row>
    <row r="16"/>
    <row r="17">
      <c r="A17" s="5" t="inlineStr">
        <is>
          <t>-- Derived Values --</t>
        </is>
      </c>
      <c r="B17" s="2" t="n"/>
      <c r="C17" s="2" t="n"/>
      <c r="D17" s="2" t="n"/>
      <c r="E17" s="2" t="n"/>
      <c r="F17" s="2" t="n"/>
      <c r="G17" s="2" t="n"/>
      <c r="H17" s="3" t="n"/>
    </row>
    <row r="18">
      <c r="A18" s="6" t="inlineStr">
        <is>
          <t>Health Points (HP)</t>
        </is>
      </c>
      <c r="B18" s="4" t="inlineStr">
        <is>
          <t>Constitution×5 + Realm</t>
        </is>
      </c>
      <c r="C18" s="2" t="n"/>
      <c r="D18" s="3" t="n"/>
      <c r="E18" s="11">
        <f>B12*5+IF(F6="Crossing the Threshold",5,IF(F6="Complete Mastery",10,IF(F6="Perfecting the Craft",15,IF(F6="Peak of Perfection",20,IF(F6="Return to Simplicity",25,0)))))</f>
        <v/>
      </c>
      <c r="F18" s="3" t="n"/>
    </row>
    <row r="19">
      <c r="A19" s="6" t="inlineStr">
        <is>
          <t>Qi</t>
        </is>
      </c>
      <c r="B19" s="4" t="inlineStr">
        <is>
          <t>Constitution × Inner-Cultivation Coefficient + Realm</t>
        </is>
      </c>
      <c r="C19" s="2" t="n"/>
      <c r="D19" s="3" t="n"/>
      <c r="E19" s="11">
        <f>B12*VALUE(LEFT(H5,1))+IF(F6="Crossing the Threshold",3,IF(F6="Complete Mastery",6,IF(F6="Perfecting the Craft",10,IF(F6="Peak of Perfection",15,IF(F6="Return to Simplicity",20,0)))))</f>
        <v/>
      </c>
      <c r="F19" s="3" t="n"/>
    </row>
    <row r="20">
      <c r="A20" s="6" t="inlineStr">
        <is>
          <t>Initiative</t>
        </is>
      </c>
      <c r="B20" s="4" t="inlineStr">
        <is>
          <t>Agility + Willpower</t>
        </is>
      </c>
      <c r="C20" s="2" t="n"/>
      <c r="D20" s="3" t="n"/>
      <c r="E20" s="11">
        <f>B11+B14</f>
        <v/>
      </c>
      <c r="F20" s="3" t="n"/>
    </row>
    <row r="21">
      <c r="A21" s="6" t="inlineStr">
        <is>
          <t>Evasion</t>
        </is>
      </c>
      <c r="B21" s="4" t="inlineStr">
        <is>
          <t>Agility Modifier</t>
        </is>
      </c>
      <c r="C21" s="2" t="n"/>
      <c r="D21" s="3" t="n"/>
      <c r="E21" s="11">
        <f>C11</f>
        <v/>
      </c>
      <c r="F21" s="3" t="n"/>
    </row>
    <row r="22">
      <c r="A22" s="6" t="inlineStr">
        <is>
          <t>Defense</t>
        </is>
      </c>
      <c r="B22" s="4" t="inlineStr">
        <is>
          <t>Constitution Modifier</t>
        </is>
      </c>
      <c r="C22" s="2" t="n"/>
      <c r="D22" s="3" t="n"/>
      <c r="E22" s="11">
        <f>C12</f>
        <v/>
      </c>
      <c r="F22" s="3" t="n"/>
    </row>
    <row r="23"/>
    <row r="24">
      <c r="A24" s="5" t="inlineStr">
        <is>
          <t>-- Skills --</t>
        </is>
      </c>
      <c r="B24" s="3" t="n"/>
    </row>
    <row r="25">
      <c r="A25" s="6" t="inlineStr">
        <is>
          <t>Technique Reading</t>
        </is>
      </c>
      <c r="B25" s="7" t="inlineStr">
        <is>
          <t>3</t>
        </is>
      </c>
    </row>
    <row r="26">
      <c r="A26" s="6" t="inlineStr">
        <is>
          <t>Jianghu Lore</t>
        </is>
      </c>
      <c r="B26" s="7" t="inlineStr">
        <is>
          <t>0</t>
        </is>
      </c>
    </row>
    <row r="27">
      <c r="A27" s="6" t="inlineStr">
        <is>
          <t>Lightfoot</t>
        </is>
      </c>
      <c r="B27" s="7" t="inlineStr">
        <is>
          <t>5</t>
        </is>
      </c>
    </row>
    <row r="28">
      <c r="A28" s="6" t="inlineStr">
        <is>
          <t>Oratory</t>
        </is>
      </c>
      <c r="B28" s="7" t="inlineStr">
        <is>
          <t>0</t>
        </is>
      </c>
    </row>
    <row r="29">
      <c r="A29" s="6" t="inlineStr">
        <is>
          <t>Climbing</t>
        </is>
      </c>
      <c r="B29" s="7" t="inlineStr">
        <is>
          <t>0</t>
        </is>
      </c>
    </row>
    <row r="30">
      <c r="A30" s="6" t="inlineStr">
        <is>
          <t>Stealth</t>
        </is>
      </c>
      <c r="B30" s="7" t="inlineStr">
        <is>
          <t>3</t>
        </is>
      </c>
    </row>
    <row r="31">
      <c r="A31" s="6" t="inlineStr">
        <is>
          <t>Tracking</t>
        </is>
      </c>
      <c r="B31" s="7" t="inlineStr">
        <is>
          <t>0</t>
        </is>
      </c>
    </row>
    <row r="32">
      <c r="A32" s="6" t="inlineStr">
        <is>
          <t>Read Intent</t>
        </is>
      </c>
      <c r="B32" s="7" t="inlineStr">
        <is>
          <t>0</t>
        </is>
      </c>
    </row>
    <row r="33">
      <c r="A33" s="6" t="inlineStr">
        <is>
          <t>Disguise</t>
        </is>
      </c>
      <c r="B33" s="7" t="inlineStr">
        <is>
          <t>0</t>
        </is>
      </c>
    </row>
    <row r="34">
      <c r="A34" s="6" t="inlineStr">
        <is>
          <t>Lockpicking</t>
        </is>
      </c>
      <c r="B34" s="7" t="inlineStr">
        <is>
          <t>3</t>
        </is>
      </c>
    </row>
    <row r="35">
      <c r="A35" s="6" t="inlineStr">
        <is>
          <t>Trapcraft</t>
        </is>
      </c>
      <c r="B35" s="7" t="inlineStr">
        <is>
          <t>4</t>
        </is>
      </c>
    </row>
    <row r="36">
      <c r="A36" s="6" t="inlineStr">
        <is>
          <t>Medicine</t>
        </is>
      </c>
      <c r="B36" s="7" t="inlineStr">
        <is>
          <t>0</t>
        </is>
      </c>
    </row>
    <row r="37">
      <c r="A37" s="6" t="inlineStr">
        <is>
          <t>Alchemy</t>
        </is>
      </c>
      <c r="B37" s="7" t="inlineStr">
        <is>
          <t>0</t>
        </is>
      </c>
    </row>
    <row r="38">
      <c r="A38" s="6" t="inlineStr">
        <is>
          <t>Poisoncraft</t>
        </is>
      </c>
      <c r="B38" s="7" t="inlineStr">
        <is>
          <t>0</t>
        </is>
      </c>
    </row>
    <row r="39">
      <c r="A39" s="6" t="inlineStr">
        <is>
          <t>Hidden Weapon</t>
        </is>
      </c>
      <c r="B39" s="7" t="inlineStr">
        <is>
          <t>0</t>
        </is>
      </c>
    </row>
    <row r="40">
      <c r="A40" s="6" t="inlineStr">
        <is>
          <t>Staff Art</t>
        </is>
      </c>
      <c r="B40" s="7" t="inlineStr">
        <is>
          <t>0</t>
        </is>
      </c>
    </row>
    <row r="41">
      <c r="A41" s="6" t="inlineStr">
        <is>
          <t>Fist &amp; Palm</t>
        </is>
      </c>
      <c r="B41" s="7" t="inlineStr">
        <is>
          <t>0</t>
        </is>
      </c>
    </row>
    <row r="42">
      <c r="A42" s="6" t="inlineStr">
        <is>
          <t>Saber Art</t>
        </is>
      </c>
      <c r="B42" s="7" t="inlineStr">
        <is>
          <t>0</t>
        </is>
      </c>
    </row>
    <row r="43">
      <c r="A43" s="6" t="inlineStr">
        <is>
          <t>Sword Art</t>
        </is>
      </c>
      <c r="B43" s="7" t="inlineStr">
        <is>
          <t>0</t>
        </is>
      </c>
    </row>
    <row r="44"/>
    <row r="45">
      <c r="A45" s="5" t="inlineStr">
        <is>
          <t>-- Martial Arts --</t>
        </is>
      </c>
      <c r="B45" s="2" t="n"/>
      <c r="C45" s="2" t="n"/>
      <c r="D45" s="2" t="n"/>
      <c r="E45" s="2" t="n"/>
      <c r="F45" s="2" t="n"/>
      <c r="G45" s="2" t="n"/>
      <c r="H45" s="3" t="n"/>
    </row>
    <row r="46">
      <c r="A46" s="9" t="inlineStr">
        <is>
          <t>Martial Art Name</t>
        </is>
      </c>
      <c r="B46" s="9" t="inlineStr">
        <is>
          <t>Type</t>
        </is>
      </c>
      <c r="C46" s="9" t="inlineStr">
        <is>
          <t>Tier</t>
        </is>
      </c>
      <c r="D46" s="9" t="inlineStr">
        <is>
          <t>Force Type</t>
        </is>
      </c>
      <c r="E46" s="9" t="inlineStr">
        <is>
          <t>Moves</t>
        </is>
      </c>
      <c r="F46" s="9" t="inlineStr">
        <is>
          <t>Qi</t>
        </is>
      </c>
      <c r="G46" s="9" t="inlineStr">
        <is>
          <t>Hit</t>
        </is>
      </c>
      <c r="H46" s="9" t="inlineStr">
        <is>
          <t>Damage / Effect</t>
        </is>
      </c>
    </row>
    <row r="47">
      <c r="A47" s="7" t="inlineStr">
        <is>
          <t>Wind-Chasing Palm</t>
        </is>
      </c>
      <c r="B47" s="7" t="inlineStr">
        <is>
          <t>External Art · Fist &amp; Palm</t>
        </is>
      </c>
      <c r="C47" s="7" t="inlineStr">
        <is>
          <t>Advanced</t>
        </is>
      </c>
      <c r="D47" s="7" t="inlineStr">
        <is>
          <t>Swift</t>
        </is>
      </c>
      <c r="E47" s="7" t="inlineStr">
        <is>
          <t>Wind-Chasing</t>
        </is>
      </c>
      <c r="F47" s="7" t="inlineStr">
        <is>
          <t>2</t>
        </is>
      </c>
      <c r="G47" s="7" t="inlineStr">
        <is>
          <t>+4</t>
        </is>
      </c>
      <c r="H47" s="7" t="inlineStr">
        <is>
          <t>2d6+3</t>
        </is>
      </c>
    </row>
    <row r="48">
      <c r="A48" s="7" t="inlineStr">
        <is>
          <t>Mechanism Trap</t>
        </is>
      </c>
      <c r="B48" s="7" t="inlineStr">
        <is>
          <t>Special</t>
        </is>
      </c>
      <c r="C48" s="7" t="inlineStr">
        <is>
          <t>Advanced</t>
        </is>
      </c>
      <c r="D48" s="7" t="inlineStr">
        <is>
          <t>--</t>
        </is>
      </c>
      <c r="E48" s="7" t="inlineStr">
        <is>
          <t>--</t>
        </is>
      </c>
      <c r="F48" s="7" t="inlineStr">
        <is>
          <t>3</t>
        </is>
      </c>
      <c r="G48" s="7" t="inlineStr">
        <is>
          <t>--</t>
        </is>
      </c>
      <c r="H48" s="7" t="inlineStr">
        <is>
          <t>Smoke Bomb / Poison Smoke / Rope Net (5 pre-laid)</t>
        </is>
      </c>
    </row>
    <row r="49"/>
    <row r="50"/>
    <row r="51"/>
    <row r="52"/>
    <row r="53"/>
    <row r="54"/>
    <row r="55"/>
    <row r="56">
      <c r="A56" s="5" t="inlineStr">
        <is>
          <t>-- Equipment --</t>
        </is>
      </c>
      <c r="B56" s="2" t="n"/>
      <c r="C56" s="2" t="n"/>
      <c r="D56" s="2" t="n"/>
      <c r="E56" s="2" t="n"/>
      <c r="F56" s="2" t="n"/>
      <c r="G56" s="2" t="n"/>
      <c r="H56" s="3" t="n"/>
    </row>
    <row r="57">
      <c r="A57" s="9" t="inlineStr">
        <is>
          <t>Weapon</t>
        </is>
      </c>
      <c r="B57" s="9" t="inlineStr">
        <is>
          <t>Armor</t>
        </is>
      </c>
      <c r="C57" s="9" t="inlineStr">
        <is>
          <t>Special</t>
        </is>
      </c>
    </row>
    <row r="58">
      <c r="A58" s="8" t="inlineStr">
        <is>
          <t>Twin Fists</t>
        </is>
      </c>
      <c r="B58" s="8" t="inlineStr">
        <is>
          <t>Gray Travel Outfit</t>
        </is>
      </c>
      <c r="C58" s="12" t="inlineStr">
        <is>
          <t>Non-Boss fight — wants only to escape, not kill. Health Points (HP) 28, Qi 20</t>
        </is>
      </c>
      <c r="D58" s="2" t="n"/>
      <c r="E58" s="2" t="n"/>
      <c r="F58" s="3" t="n"/>
    </row>
    <row r="59"/>
    <row r="60"/>
    <row r="61">
      <c r="A61" s="6" t="inlineStr">
        <is>
          <t>Heroism</t>
        </is>
      </c>
      <c r="B61" s="7" t="inlineStr">
        <is>
          <t>5</t>
        </is>
      </c>
      <c r="D61" s="6" t="inlineStr">
        <is>
          <t>Infamy</t>
        </is>
      </c>
      <c r="E61" s="7" t="inlineStr">
        <is>
          <t>0</t>
        </is>
      </c>
    </row>
    <row r="62"/>
    <row r="63">
      <c r="A63" t="inlineStr">
        <is>
          <t>Can apprentice (Difficulty Class (DC) 14): Wind-Chasing Palm + Trapcraft.</t>
        </is>
      </c>
    </row>
  </sheetData>
  <mergeCells count="26">
    <mergeCell ref="A24:B24"/>
    <mergeCell ref="D13:F13"/>
    <mergeCell ref="D11:F11"/>
    <mergeCell ref="B6:H6"/>
    <mergeCell ref="A45:H45"/>
    <mergeCell ref="A1:H1"/>
    <mergeCell ref="B19:D19"/>
    <mergeCell ref="E20:F20"/>
    <mergeCell ref="E19:F19"/>
    <mergeCell ref="D12:F12"/>
    <mergeCell ref="C58:F58"/>
    <mergeCell ref="D15:F15"/>
    <mergeCell ref="B20:D20"/>
    <mergeCell ref="A56:H56"/>
    <mergeCell ref="D14:F14"/>
    <mergeCell ref="A2:H2"/>
    <mergeCell ref="A8:H8"/>
    <mergeCell ref="D10:F10"/>
    <mergeCell ref="A17:H17"/>
    <mergeCell ref="A4:H4"/>
    <mergeCell ref="B22:D22"/>
    <mergeCell ref="B18:D18"/>
    <mergeCell ref="E22:F22"/>
    <mergeCell ref="B21:D21"/>
    <mergeCell ref="E18:F18"/>
    <mergeCell ref="E21:F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>
      <c r="A1" s="1" t="inlineStr">
        <is>
          <t>Yonghe Martial Codex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Scripted Enemy Card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-- Basic Info --</t>
        </is>
      </c>
      <c r="B4" s="2" t="n"/>
      <c r="C4" s="2" t="n"/>
      <c r="D4" s="2" t="n"/>
      <c r="E4" s="2" t="n"/>
      <c r="F4" s="2" t="n"/>
      <c r="G4" s="2" t="n"/>
      <c r="H4" s="3" t="n"/>
    </row>
    <row r="5">
      <c r="A5" s="6" t="inlineStr">
        <is>
          <t>Character Name</t>
        </is>
      </c>
      <c r="B5" s="7" t="inlineStr">
        <is>
          <t>Jin Ridi</t>
        </is>
      </c>
      <c r="C5" s="6" t="inlineStr">
        <is>
          <t>Sect</t>
        </is>
      </c>
      <c r="D5" s="7" t="inlineStr">
        <is>
          <t>Barbarian</t>
        </is>
      </c>
      <c r="E5" s="6" t="inlineStr">
        <is>
          <t>Realm</t>
        </is>
      </c>
      <c r="F5" s="7" t="inlineStr">
        <is>
          <t>Return to Simplicity</t>
        </is>
      </c>
      <c r="G5" s="6" t="inlineStr">
        <is>
          <t>Inner Cultivation Coefficient</t>
        </is>
      </c>
      <c r="H5" s="7" t="inlineStr">
        <is>
          <t>1 (No Inner Art)</t>
        </is>
      </c>
    </row>
    <row r="6">
      <c r="A6" s="6" t="inlineStr">
        <is>
          <t>Concept</t>
        </is>
      </c>
      <c r="B6" s="8" t="inlineStr">
        <is>
          <t>The supreme commander of the barbarians, bearing the 'Beast-King Blood' of the same source as Wanxiang Grotto's martial vein. Forced south by successive droughts on the grasslands.</t>
        </is>
      </c>
      <c r="C6" s="2" t="n"/>
      <c r="D6" s="2" t="n"/>
      <c r="E6" s="2" t="n"/>
      <c r="F6" s="2" t="n"/>
      <c r="G6" s="2" t="n"/>
      <c r="H6" s="3" t="n"/>
    </row>
    <row r="7"/>
    <row r="8">
      <c r="A8" s="5" t="inlineStr">
        <is>
          <t>-- Six Attributes --</t>
        </is>
      </c>
      <c r="B8" s="2" t="n"/>
      <c r="C8" s="2" t="n"/>
      <c r="D8" s="2" t="n"/>
      <c r="E8" s="2" t="n"/>
      <c r="F8" s="2" t="n"/>
      <c r="G8" s="2" t="n"/>
      <c r="H8" s="3" t="n"/>
    </row>
    <row r="9">
      <c r="A9" s="9" t="inlineStr">
        <is>
          <t>Attribute</t>
        </is>
      </c>
      <c r="B9" s="9" t="inlineStr">
        <is>
          <t>Base Value</t>
        </is>
      </c>
      <c r="C9" s="9" t="inlineStr">
        <is>
          <t>Modifier</t>
        </is>
      </c>
      <c r="D9" s="9" t="inlineStr">
        <is>
          <t>Description</t>
        </is>
      </c>
    </row>
    <row r="10">
      <c r="A10" s="6" t="inlineStr">
        <is>
          <t>Strength (STR)</t>
        </is>
      </c>
      <c r="B10" s="7" t="inlineStr">
        <is>
          <t>11</t>
        </is>
      </c>
      <c r="C10" s="10">
        <f>B10-4</f>
        <v/>
      </c>
      <c r="D10" s="4" t="n"/>
      <c r="E10" s="2" t="n"/>
      <c r="F10" s="3" t="n"/>
    </row>
    <row r="11">
      <c r="A11" s="6" t="inlineStr">
        <is>
          <t>Agility (AGI)</t>
        </is>
      </c>
      <c r="B11" s="7" t="inlineStr">
        <is>
          <t>7</t>
        </is>
      </c>
      <c r="C11" s="10">
        <f>B11-4</f>
        <v/>
      </c>
      <c r="D11" s="4" t="n"/>
      <c r="E11" s="2" t="n"/>
      <c r="F11" s="3" t="n"/>
    </row>
    <row r="12">
      <c r="A12" s="6" t="inlineStr">
        <is>
          <t>Constitution (CON)</t>
        </is>
      </c>
      <c r="B12" s="7" t="inlineStr">
        <is>
          <t>10</t>
        </is>
      </c>
      <c r="C12" s="10">
        <f>B12-4</f>
        <v/>
      </c>
      <c r="D12" s="4" t="n"/>
      <c r="E12" s="2" t="n"/>
      <c r="F12" s="3" t="n"/>
    </row>
    <row r="13">
      <c r="A13" s="6" t="inlineStr">
        <is>
          <t>Comprehension (CMP)</t>
        </is>
      </c>
      <c r="B13" s="7" t="inlineStr">
        <is>
          <t>4</t>
        </is>
      </c>
      <c r="C13" s="10">
        <f>B13-4</f>
        <v/>
      </c>
      <c r="D13" s="4" t="n"/>
      <c r="E13" s="2" t="n"/>
      <c r="F13" s="3" t="n"/>
    </row>
    <row r="14">
      <c r="A14" s="6" t="inlineStr">
        <is>
          <t>Willpower (WIL)</t>
        </is>
      </c>
      <c r="B14" s="7" t="inlineStr">
        <is>
          <t>8</t>
        </is>
      </c>
      <c r="C14" s="10">
        <f>B14-4</f>
        <v/>
      </c>
      <c r="D14" s="4" t="n"/>
      <c r="E14" s="2" t="n"/>
      <c r="F14" s="3" t="n"/>
    </row>
    <row r="15">
      <c r="A15" s="6" t="inlineStr">
        <is>
          <t>Charisma (CHA)</t>
        </is>
      </c>
      <c r="B15" s="7" t="inlineStr">
        <is>
          <t>5</t>
        </is>
      </c>
      <c r="C15" s="10">
        <f>B15-4</f>
        <v/>
      </c>
      <c r="D15" s="4" t="n"/>
      <c r="E15" s="2" t="n"/>
      <c r="F15" s="3" t="n"/>
    </row>
    <row r="16"/>
    <row r="17">
      <c r="A17" s="5" t="inlineStr">
        <is>
          <t>-- Derived Values --</t>
        </is>
      </c>
      <c r="B17" s="2" t="n"/>
      <c r="C17" s="2" t="n"/>
      <c r="D17" s="2" t="n"/>
      <c r="E17" s="2" t="n"/>
      <c r="F17" s="2" t="n"/>
      <c r="G17" s="2" t="n"/>
      <c r="H17" s="3" t="n"/>
    </row>
    <row r="18">
      <c r="A18" s="6" t="inlineStr">
        <is>
          <t>Health Points (HP)</t>
        </is>
      </c>
      <c r="B18" s="4" t="inlineStr">
        <is>
          <t>Constitution×5 + Realm</t>
        </is>
      </c>
      <c r="C18" s="2" t="n"/>
      <c r="D18" s="3" t="n"/>
      <c r="E18" s="11">
        <f>B12*5+IF(F6="Crossing the Threshold",5,IF(F6="Complete Mastery",10,IF(F6="Perfecting the Craft",15,IF(F6="Peak of Perfection",20,IF(F6="Return to Simplicity",25,0)))))</f>
        <v/>
      </c>
      <c r="F18" s="3" t="n"/>
    </row>
    <row r="19">
      <c r="A19" s="6" t="inlineStr">
        <is>
          <t>Qi</t>
        </is>
      </c>
      <c r="B19" s="4" t="inlineStr">
        <is>
          <t>Constitution × Inner-Cultivation Coefficient + Realm</t>
        </is>
      </c>
      <c r="C19" s="2" t="n"/>
      <c r="D19" s="3" t="n"/>
      <c r="E19" s="11">
        <f>B12*VALUE(LEFT(H5,1))+IF(F6="Crossing the Threshold",3,IF(F6="Complete Mastery",6,IF(F6="Perfecting the Craft",10,IF(F6="Peak of Perfection",15,IF(F6="Return to Simplicity",20,0)))))</f>
        <v/>
      </c>
      <c r="F19" s="3" t="n"/>
    </row>
    <row r="20">
      <c r="A20" s="6" t="inlineStr">
        <is>
          <t>Initiative</t>
        </is>
      </c>
      <c r="B20" s="4" t="inlineStr">
        <is>
          <t>Agility + Willpower</t>
        </is>
      </c>
      <c r="C20" s="2" t="n"/>
      <c r="D20" s="3" t="n"/>
      <c r="E20" s="11">
        <f>B11+B14</f>
        <v/>
      </c>
      <c r="F20" s="3" t="n"/>
    </row>
    <row r="21">
      <c r="A21" s="6" t="inlineStr">
        <is>
          <t>Evasion</t>
        </is>
      </c>
      <c r="B21" s="4" t="inlineStr">
        <is>
          <t>Agility Modifier</t>
        </is>
      </c>
      <c r="C21" s="2" t="n"/>
      <c r="D21" s="3" t="n"/>
      <c r="E21" s="11">
        <f>C11</f>
        <v/>
      </c>
      <c r="F21" s="3" t="n"/>
    </row>
    <row r="22">
      <c r="A22" s="6" t="inlineStr">
        <is>
          <t>Defense</t>
        </is>
      </c>
      <c r="B22" s="4" t="inlineStr">
        <is>
          <t>Constitution Modifier</t>
        </is>
      </c>
      <c r="C22" s="2" t="n"/>
      <c r="D22" s="3" t="n"/>
      <c r="E22" s="11">
        <f>C12</f>
        <v/>
      </c>
      <c r="F22" s="3" t="n"/>
    </row>
    <row r="23"/>
    <row r="24">
      <c r="A24" s="5" t="inlineStr">
        <is>
          <t>-- Skills --</t>
        </is>
      </c>
      <c r="B24" s="3" t="n"/>
    </row>
    <row r="25">
      <c r="A25" s="6" t="inlineStr">
        <is>
          <t>Technique Reading</t>
        </is>
      </c>
      <c r="B25" s="7" t="inlineStr">
        <is>
          <t>0</t>
        </is>
      </c>
    </row>
    <row r="26">
      <c r="A26" s="6" t="inlineStr">
        <is>
          <t>Jianghu Lore</t>
        </is>
      </c>
      <c r="B26" s="7" t="inlineStr">
        <is>
          <t>0</t>
        </is>
      </c>
    </row>
    <row r="27">
      <c r="A27" s="6" t="inlineStr">
        <is>
          <t>Lightfoot</t>
        </is>
      </c>
      <c r="B27" s="7" t="inlineStr">
        <is>
          <t>0</t>
        </is>
      </c>
    </row>
    <row r="28">
      <c r="A28" s="6" t="inlineStr">
        <is>
          <t>Oratory</t>
        </is>
      </c>
      <c r="B28" s="7" t="inlineStr">
        <is>
          <t>0</t>
        </is>
      </c>
    </row>
    <row r="29">
      <c r="A29" s="6" t="inlineStr">
        <is>
          <t>Climbing</t>
        </is>
      </c>
      <c r="B29" s="7" t="inlineStr">
        <is>
          <t>0</t>
        </is>
      </c>
    </row>
    <row r="30">
      <c r="A30" s="6" t="inlineStr">
        <is>
          <t>Stealth</t>
        </is>
      </c>
      <c r="B30" s="7" t="inlineStr">
        <is>
          <t>0</t>
        </is>
      </c>
    </row>
    <row r="31">
      <c r="A31" s="6" t="inlineStr">
        <is>
          <t>Tracking</t>
        </is>
      </c>
      <c r="B31" s="7" t="inlineStr">
        <is>
          <t>4</t>
        </is>
      </c>
    </row>
    <row r="32">
      <c r="A32" s="6" t="inlineStr">
        <is>
          <t>Read Intent</t>
        </is>
      </c>
      <c r="B32" s="7" t="inlineStr">
        <is>
          <t>0</t>
        </is>
      </c>
    </row>
    <row r="33">
      <c r="A33" s="6" t="inlineStr">
        <is>
          <t>Disguise</t>
        </is>
      </c>
      <c r="B33" s="7" t="inlineStr">
        <is>
          <t>0</t>
        </is>
      </c>
    </row>
    <row r="34">
      <c r="A34" s="6" t="inlineStr">
        <is>
          <t>Lockpicking</t>
        </is>
      </c>
      <c r="B34" s="7" t="inlineStr">
        <is>
          <t>0</t>
        </is>
      </c>
    </row>
    <row r="35">
      <c r="A35" s="6" t="inlineStr">
        <is>
          <t>Trapcraft</t>
        </is>
      </c>
      <c r="B35" s="7" t="inlineStr">
        <is>
          <t>0</t>
        </is>
      </c>
    </row>
    <row r="36">
      <c r="A36" s="6" t="inlineStr">
        <is>
          <t>Medicine</t>
        </is>
      </c>
      <c r="B36" s="7" t="inlineStr">
        <is>
          <t>0</t>
        </is>
      </c>
    </row>
    <row r="37">
      <c r="A37" s="6" t="inlineStr">
        <is>
          <t>Alchemy</t>
        </is>
      </c>
      <c r="B37" s="7" t="inlineStr">
        <is>
          <t>0</t>
        </is>
      </c>
    </row>
    <row r="38">
      <c r="A38" s="6" t="inlineStr">
        <is>
          <t>Poisoncraft</t>
        </is>
      </c>
      <c r="B38" s="7" t="inlineStr">
        <is>
          <t>0</t>
        </is>
      </c>
    </row>
    <row r="39">
      <c r="A39" s="6" t="inlineStr">
        <is>
          <t>Hidden Weapon</t>
        </is>
      </c>
      <c r="B39" s="7" t="inlineStr">
        <is>
          <t>0</t>
        </is>
      </c>
    </row>
    <row r="40">
      <c r="A40" s="6" t="inlineStr">
        <is>
          <t>Staff Art</t>
        </is>
      </c>
      <c r="B40" s="7" t="inlineStr">
        <is>
          <t>5</t>
        </is>
      </c>
    </row>
    <row r="41">
      <c r="A41" s="6" t="inlineStr">
        <is>
          <t>Fist &amp; Palm</t>
        </is>
      </c>
      <c r="B41" s="7" t="inlineStr">
        <is>
          <t>0</t>
        </is>
      </c>
    </row>
    <row r="42">
      <c r="A42" s="6" t="inlineStr">
        <is>
          <t>Saber Art</t>
        </is>
      </c>
      <c r="B42" s="7" t="inlineStr">
        <is>
          <t>0</t>
        </is>
      </c>
    </row>
    <row r="43">
      <c r="A43" s="6" t="inlineStr">
        <is>
          <t>Sword Art</t>
        </is>
      </c>
      <c r="B43" s="7" t="inlineStr">
        <is>
          <t>0</t>
        </is>
      </c>
    </row>
    <row r="44"/>
    <row r="45">
      <c r="A45" s="5" t="inlineStr">
        <is>
          <t>-- Martial Arts --</t>
        </is>
      </c>
      <c r="B45" s="2" t="n"/>
      <c r="C45" s="2" t="n"/>
      <c r="D45" s="2" t="n"/>
      <c r="E45" s="2" t="n"/>
      <c r="F45" s="2" t="n"/>
      <c r="G45" s="2" t="n"/>
      <c r="H45" s="3" t="n"/>
    </row>
    <row r="46">
      <c r="A46" s="9" t="inlineStr">
        <is>
          <t>Martial Art Name</t>
        </is>
      </c>
      <c r="B46" s="9" t="inlineStr">
        <is>
          <t>Type</t>
        </is>
      </c>
      <c r="C46" s="9" t="inlineStr">
        <is>
          <t>Tier</t>
        </is>
      </c>
      <c r="D46" s="9" t="inlineStr">
        <is>
          <t>Force Type</t>
        </is>
      </c>
      <c r="E46" s="9" t="inlineStr">
        <is>
          <t>Moves</t>
        </is>
      </c>
      <c r="F46" s="9" t="inlineStr">
        <is>
          <t>Qi</t>
        </is>
      </c>
      <c r="G46" s="9" t="inlineStr">
        <is>
          <t>Hit</t>
        </is>
      </c>
      <c r="H46" s="9" t="inlineStr">
        <is>
          <t>Damage / Effect</t>
        </is>
      </c>
    </row>
    <row r="47">
      <c r="A47" s="7" t="inlineStr">
        <is>
          <t>Mountain-Shatter Slash</t>
        </is>
      </c>
      <c r="B47" s="7" t="inlineStr">
        <is>
          <t>External Art · Bludgeon</t>
        </is>
      </c>
      <c r="C47" s="7" t="inlineStr">
        <is>
          <t>Supreme Art</t>
        </is>
      </c>
      <c r="D47" s="7" t="inlineStr">
        <is>
          <t>Firm</t>
        </is>
      </c>
      <c r="E47" s="7" t="inlineStr">
        <is>
          <t>Mountain-Shatter</t>
        </is>
      </c>
      <c r="F47" s="7" t="inlineStr">
        <is>
          <t>--</t>
        </is>
      </c>
      <c r="G47" s="7" t="inlineStr">
        <is>
          <t>+8</t>
        </is>
      </c>
      <c r="H47" s="7" t="inlineStr">
        <is>
          <t>4d10+STR×2; knock back 3 steps</t>
        </is>
      </c>
    </row>
    <row r="48">
      <c r="A48" s="7" t="inlineStr">
        <is>
          <t>Earth Roar</t>
        </is>
      </c>
      <c r="B48" s="7" t="inlineStr">
        <is>
          <t>Area Attack</t>
        </is>
      </c>
      <c r="C48" s="7" t="inlineStr">
        <is>
          <t>Supreme Art</t>
        </is>
      </c>
      <c r="D48" s="7" t="inlineStr">
        <is>
          <t>Firm</t>
        </is>
      </c>
      <c r="E48" s="7" t="inlineStr">
        <is>
          <t>--</t>
        </is>
      </c>
      <c r="F48" s="7" t="inlineStr">
        <is>
          <t>--</t>
        </is>
      </c>
      <c r="G48" s="7" t="inlineStr">
        <is>
          <t>Difficulty Class (DC) 18</t>
        </is>
      </c>
      <c r="H48" s="7" t="inlineStr">
        <is>
          <t>3d8+3; radius 3 steps</t>
        </is>
      </c>
    </row>
    <row r="49">
      <c r="A49" s="7" t="inlineStr">
        <is>
          <t>Wolf Pack Summon</t>
        </is>
      </c>
      <c r="B49" s="7" t="inlineStr">
        <is>
          <t>Special</t>
        </is>
      </c>
      <c r="C49" s="7" t="inlineStr">
        <is>
          <t>--</t>
        </is>
      </c>
      <c r="D49" s="7" t="inlineStr">
        <is>
          <t>--</t>
        </is>
      </c>
      <c r="E49" s="7" t="inlineStr">
        <is>
          <t>--</t>
        </is>
      </c>
      <c r="F49" s="7" t="inlineStr">
        <is>
          <t>--</t>
        </is>
      </c>
      <c r="G49" s="7" t="inlineStr">
        <is>
          <t>--</t>
        </is>
      </c>
      <c r="H49" s="7" t="inlineStr">
        <is>
          <t>Summon 3 ghost wolves (Health Points (HP) 20)</t>
        </is>
      </c>
    </row>
    <row r="50">
      <c r="A50" s="7" t="inlineStr">
        <is>
          <t>Beast-King Blood</t>
        </is>
      </c>
      <c r="B50" s="7" t="inlineStr">
        <is>
          <t>Passive</t>
        </is>
      </c>
      <c r="C50" s="7" t="inlineStr">
        <is>
          <t>--</t>
        </is>
      </c>
      <c r="D50" s="7" t="inlineStr">
        <is>
          <t>--</t>
        </is>
      </c>
      <c r="E50" s="7" t="inlineStr">
        <is>
          <t>--</t>
        </is>
      </c>
      <c r="F50" s="7" t="inlineStr">
        <is>
          <t>--</t>
        </is>
      </c>
      <c r="G50" s="7" t="inlineStr">
        <is>
          <t>--</t>
        </is>
      </c>
      <c r="H50" s="7" t="inlineStr">
        <is>
          <t>Gain Blood Fury per 1 Health Point (HP) lost; 5 points = hit +1 (max +5)</t>
        </is>
      </c>
    </row>
    <row r="51"/>
    <row r="52"/>
    <row r="53"/>
    <row r="54"/>
    <row r="55"/>
    <row r="56">
      <c r="A56" s="5" t="inlineStr">
        <is>
          <t>-- Equipment --</t>
        </is>
      </c>
      <c r="B56" s="2" t="n"/>
      <c r="C56" s="2" t="n"/>
      <c r="D56" s="2" t="n"/>
      <c r="E56" s="2" t="n"/>
      <c r="F56" s="2" t="n"/>
      <c r="G56" s="2" t="n"/>
      <c r="H56" s="3" t="n"/>
    </row>
    <row r="57">
      <c r="A57" s="9" t="inlineStr">
        <is>
          <t>Weapon</t>
        </is>
      </c>
      <c r="B57" s="9" t="inlineStr">
        <is>
          <t>Armor</t>
        </is>
      </c>
      <c r="C57" s="9" t="inlineStr">
        <is>
          <t>Special</t>
        </is>
      </c>
    </row>
    <row r="58">
      <c r="A58" s="8" t="inlineStr">
        <is>
          <t>Giant War Hammer (4d10)</t>
        </is>
      </c>
      <c r="B58" s="8" t="inlineStr">
        <is>
          <t>Beast-Bone Battle Armor</t>
        </is>
      </c>
      <c r="C58" s="12" t="inlineStr">
        <is>
          <t>Final Boss · Sixth Realm. Weakness: internal injury deals 1.5× to it. Peaceful route possible (Charisma Difficulty Class (DC) 22). Health Points (HP) 100</t>
        </is>
      </c>
      <c r="D58" s="2" t="n"/>
      <c r="E58" s="2" t="n"/>
      <c r="F58" s="3" t="n"/>
    </row>
    <row r="59"/>
    <row r="60"/>
    <row r="61">
      <c r="A61" s="6" t="inlineStr">
        <is>
          <t>Heroism</t>
        </is>
      </c>
      <c r="B61" s="7" t="inlineStr">
        <is>
          <t>-40</t>
        </is>
      </c>
      <c r="D61" s="6" t="inlineStr">
        <is>
          <t>Infamy</t>
        </is>
      </c>
      <c r="E61" s="7" t="inlineStr">
        <is>
          <t>60</t>
        </is>
      </c>
    </row>
  </sheetData>
  <mergeCells count="26">
    <mergeCell ref="A24:B24"/>
    <mergeCell ref="D13:F13"/>
    <mergeCell ref="D11:F11"/>
    <mergeCell ref="B6:H6"/>
    <mergeCell ref="A45:H45"/>
    <mergeCell ref="A1:H1"/>
    <mergeCell ref="B19:D19"/>
    <mergeCell ref="E20:F20"/>
    <mergeCell ref="E19:F19"/>
    <mergeCell ref="D12:F12"/>
    <mergeCell ref="C58:F58"/>
    <mergeCell ref="D15:F15"/>
    <mergeCell ref="B20:D20"/>
    <mergeCell ref="A56:H56"/>
    <mergeCell ref="D14:F14"/>
    <mergeCell ref="A2:H2"/>
    <mergeCell ref="A8:H8"/>
    <mergeCell ref="D10:F10"/>
    <mergeCell ref="A17:H17"/>
    <mergeCell ref="A4:H4"/>
    <mergeCell ref="B22:D22"/>
    <mergeCell ref="B18:D18"/>
    <mergeCell ref="E22:F22"/>
    <mergeCell ref="B21:D21"/>
    <mergeCell ref="E18:F18"/>
    <mergeCell ref="E21:F2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>
      <c r="A1" s="1" t="inlineStr">
        <is>
          <t>Yonghe Martial Codex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Scripted Enemy Card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-- Basic Info --</t>
        </is>
      </c>
      <c r="B4" s="2" t="n"/>
      <c r="C4" s="2" t="n"/>
      <c r="D4" s="2" t="n"/>
      <c r="E4" s="2" t="n"/>
      <c r="F4" s="2" t="n"/>
      <c r="G4" s="2" t="n"/>
      <c r="H4" s="3" t="n"/>
    </row>
    <row r="5">
      <c r="A5" s="6" t="inlineStr">
        <is>
          <t>Character Name</t>
        </is>
      </c>
      <c r="B5" s="7" t="inlineStr">
        <is>
          <t>Tie Jingxin</t>
        </is>
      </c>
      <c r="C5" s="6" t="inlineStr">
        <is>
          <t>Sect</t>
        </is>
      </c>
      <c r="D5" s="7" t="inlineStr">
        <is>
          <t>Six Doors</t>
        </is>
      </c>
      <c r="E5" s="6" t="inlineStr">
        <is>
          <t>Realm</t>
        </is>
      </c>
      <c r="F5" s="7" t="inlineStr">
        <is>
          <t>Perfecting the Craft</t>
        </is>
      </c>
      <c r="G5" s="6" t="inlineStr">
        <is>
          <t>Inner Cultivation Coefficient</t>
        </is>
      </c>
      <c r="H5" s="7" t="inlineStr">
        <is>
          <t>3 (Authentic)</t>
        </is>
      </c>
    </row>
    <row r="6">
      <c r="A6" s="6" t="inlineStr">
        <is>
          <t>Concept</t>
        </is>
      </c>
      <c r="B6" s="8" t="inlineStr">
        <is>
          <t>Chief of the Six Doors Luoyang Branch, the court's ultimate armed force in the jianghu. Iron-faced and incorruptible, his martial arts are rigid and righteous with no quarter given. Heaven Rank #8.</t>
        </is>
      </c>
      <c r="C6" s="2" t="n"/>
      <c r="D6" s="2" t="n"/>
      <c r="E6" s="2" t="n"/>
      <c r="F6" s="2" t="n"/>
      <c r="G6" s="2" t="n"/>
      <c r="H6" s="3" t="n"/>
    </row>
    <row r="7"/>
    <row r="8">
      <c r="A8" s="5" t="inlineStr">
        <is>
          <t>-- Six Attributes --</t>
        </is>
      </c>
      <c r="B8" s="2" t="n"/>
      <c r="C8" s="2" t="n"/>
      <c r="D8" s="2" t="n"/>
      <c r="E8" s="2" t="n"/>
      <c r="F8" s="2" t="n"/>
      <c r="G8" s="2" t="n"/>
      <c r="H8" s="3" t="n"/>
    </row>
    <row r="9">
      <c r="A9" s="9" t="inlineStr">
        <is>
          <t>Attribute</t>
        </is>
      </c>
      <c r="B9" s="9" t="inlineStr">
        <is>
          <t>Base Value</t>
        </is>
      </c>
      <c r="C9" s="9" t="inlineStr">
        <is>
          <t>Modifier</t>
        </is>
      </c>
      <c r="D9" s="9" t="inlineStr">
        <is>
          <t>Description</t>
        </is>
      </c>
    </row>
    <row r="10">
      <c r="A10" s="6" t="inlineStr">
        <is>
          <t>Strength (STR)</t>
        </is>
      </c>
      <c r="B10" s="7" t="inlineStr">
        <is>
          <t>8</t>
        </is>
      </c>
      <c r="C10" s="10">
        <f>B10-4</f>
        <v/>
      </c>
      <c r="D10" s="4" t="n"/>
      <c r="E10" s="2" t="n"/>
      <c r="F10" s="3" t="n"/>
    </row>
    <row r="11">
      <c r="A11" s="6" t="inlineStr">
        <is>
          <t>Agility (AGI)</t>
        </is>
      </c>
      <c r="B11" s="7" t="inlineStr">
        <is>
          <t>5</t>
        </is>
      </c>
      <c r="C11" s="10">
        <f>B11-4</f>
        <v/>
      </c>
      <c r="D11" s="4" t="n"/>
      <c r="E11" s="2" t="n"/>
      <c r="F11" s="3" t="n"/>
    </row>
    <row r="12">
      <c r="A12" s="6" t="inlineStr">
        <is>
          <t>Constitution (CON)</t>
        </is>
      </c>
      <c r="B12" s="7" t="inlineStr">
        <is>
          <t>7</t>
        </is>
      </c>
      <c r="C12" s="10">
        <f>B12-4</f>
        <v/>
      </c>
      <c r="D12" s="4" t="n"/>
      <c r="E12" s="2" t="n"/>
      <c r="F12" s="3" t="n"/>
    </row>
    <row r="13">
      <c r="A13" s="6" t="inlineStr">
        <is>
          <t>Comprehension (CMP)</t>
        </is>
      </c>
      <c r="B13" s="7" t="inlineStr">
        <is>
          <t>5</t>
        </is>
      </c>
      <c r="C13" s="10">
        <f>B13-4</f>
        <v/>
      </c>
      <c r="D13" s="4" t="n"/>
      <c r="E13" s="2" t="n"/>
      <c r="F13" s="3" t="n"/>
    </row>
    <row r="14">
      <c r="A14" s="6" t="inlineStr">
        <is>
          <t>Willpower (WIL)</t>
        </is>
      </c>
      <c r="B14" s="7" t="inlineStr">
        <is>
          <t>7</t>
        </is>
      </c>
      <c r="C14" s="10">
        <f>B14-4</f>
        <v/>
      </c>
      <c r="D14" s="4" t="n"/>
      <c r="E14" s="2" t="n"/>
      <c r="F14" s="3" t="n"/>
    </row>
    <row r="15">
      <c r="A15" s="6" t="inlineStr">
        <is>
          <t>Charisma (CHA)</t>
        </is>
      </c>
      <c r="B15" s="7" t="inlineStr">
        <is>
          <t>4</t>
        </is>
      </c>
      <c r="C15" s="10">
        <f>B15-4</f>
        <v/>
      </c>
      <c r="D15" s="4" t="n"/>
      <c r="E15" s="2" t="n"/>
      <c r="F15" s="3" t="n"/>
    </row>
    <row r="16"/>
    <row r="17">
      <c r="A17" s="5" t="inlineStr">
        <is>
          <t>-- Derived Values --</t>
        </is>
      </c>
      <c r="B17" s="2" t="n"/>
      <c r="C17" s="2" t="n"/>
      <c r="D17" s="2" t="n"/>
      <c r="E17" s="2" t="n"/>
      <c r="F17" s="2" t="n"/>
      <c r="G17" s="2" t="n"/>
      <c r="H17" s="3" t="n"/>
    </row>
    <row r="18">
      <c r="A18" s="6" t="inlineStr">
        <is>
          <t>Health Points (HP)</t>
        </is>
      </c>
      <c r="B18" s="4" t="inlineStr">
        <is>
          <t>Constitution×5 + Realm</t>
        </is>
      </c>
      <c r="C18" s="2" t="n"/>
      <c r="D18" s="3" t="n"/>
      <c r="E18" s="11">
        <f>B12*5+IF(F6="Crossing the Threshold",5,IF(F6="Complete Mastery",10,IF(F6="Perfecting the Craft",15,IF(F6="Peak of Perfection",20,IF(F6="Return to Simplicity",25,0)))))</f>
        <v/>
      </c>
      <c r="F18" s="3" t="n"/>
    </row>
    <row r="19">
      <c r="A19" s="6" t="inlineStr">
        <is>
          <t>Qi</t>
        </is>
      </c>
      <c r="B19" s="4" t="inlineStr">
        <is>
          <t>Constitution × Inner-Cultivation Coefficient + Realm</t>
        </is>
      </c>
      <c r="C19" s="2" t="n"/>
      <c r="D19" s="3" t="n"/>
      <c r="E19" s="11">
        <f>B12*VALUE(LEFT(H5,1))+IF(F6="Crossing the Threshold",3,IF(F6="Complete Mastery",6,IF(F6="Perfecting the Craft",10,IF(F6="Peak of Perfection",15,IF(F6="Return to Simplicity",20,0)))))</f>
        <v/>
      </c>
      <c r="F19" s="3" t="n"/>
    </row>
    <row r="20">
      <c r="A20" s="6" t="inlineStr">
        <is>
          <t>Initiative</t>
        </is>
      </c>
      <c r="B20" s="4" t="inlineStr">
        <is>
          <t>Agility + Willpower</t>
        </is>
      </c>
      <c r="C20" s="2" t="n"/>
      <c r="D20" s="3" t="n"/>
      <c r="E20" s="11">
        <f>B11+B14</f>
        <v/>
      </c>
      <c r="F20" s="3" t="n"/>
    </row>
    <row r="21">
      <c r="A21" s="6" t="inlineStr">
        <is>
          <t>Evasion</t>
        </is>
      </c>
      <c r="B21" s="4" t="inlineStr">
        <is>
          <t>Agility Modifier</t>
        </is>
      </c>
      <c r="C21" s="2" t="n"/>
      <c r="D21" s="3" t="n"/>
      <c r="E21" s="11">
        <f>C11</f>
        <v/>
      </c>
      <c r="F21" s="3" t="n"/>
    </row>
    <row r="22">
      <c r="A22" s="6" t="inlineStr">
        <is>
          <t>Defense</t>
        </is>
      </c>
      <c r="B22" s="4" t="inlineStr">
        <is>
          <t>Constitution Modifier</t>
        </is>
      </c>
      <c r="C22" s="2" t="n"/>
      <c r="D22" s="3" t="n"/>
      <c r="E22" s="11">
        <f>C12</f>
        <v/>
      </c>
      <c r="F22" s="3" t="n"/>
    </row>
    <row r="23"/>
    <row r="24">
      <c r="A24" s="5" t="inlineStr">
        <is>
          <t>-- Skills --</t>
        </is>
      </c>
      <c r="B24" s="3" t="n"/>
    </row>
    <row r="25">
      <c r="A25" s="6" t="inlineStr">
        <is>
          <t>Technique Reading</t>
        </is>
      </c>
      <c r="B25" s="7" t="inlineStr">
        <is>
          <t>4</t>
        </is>
      </c>
    </row>
    <row r="26">
      <c r="A26" s="6" t="inlineStr">
        <is>
          <t>Jianghu Lore</t>
        </is>
      </c>
      <c r="B26" s="7" t="inlineStr">
        <is>
          <t>3</t>
        </is>
      </c>
    </row>
    <row r="27">
      <c r="A27" s="6" t="inlineStr">
        <is>
          <t>Lightfoot</t>
        </is>
      </c>
      <c r="B27" s="7" t="inlineStr">
        <is>
          <t>0</t>
        </is>
      </c>
    </row>
    <row r="28">
      <c r="A28" s="6" t="inlineStr">
        <is>
          <t>Oratory</t>
        </is>
      </c>
      <c r="B28" s="7" t="inlineStr">
        <is>
          <t>0</t>
        </is>
      </c>
    </row>
    <row r="29">
      <c r="A29" s="6" t="inlineStr">
        <is>
          <t>Climbing</t>
        </is>
      </c>
      <c r="B29" s="7" t="inlineStr">
        <is>
          <t>0</t>
        </is>
      </c>
    </row>
    <row r="30">
      <c r="A30" s="6" t="inlineStr">
        <is>
          <t>Stealth</t>
        </is>
      </c>
      <c r="B30" s="7" t="inlineStr">
        <is>
          <t>0</t>
        </is>
      </c>
    </row>
    <row r="31">
      <c r="A31" s="6" t="inlineStr">
        <is>
          <t>Tracking</t>
        </is>
      </c>
      <c r="B31" s="7" t="inlineStr">
        <is>
          <t>3</t>
        </is>
      </c>
    </row>
    <row r="32">
      <c r="A32" s="6" t="inlineStr">
        <is>
          <t>Read Intent</t>
        </is>
      </c>
      <c r="B32" s="7" t="inlineStr">
        <is>
          <t>0</t>
        </is>
      </c>
    </row>
    <row r="33">
      <c r="A33" s="6" t="inlineStr">
        <is>
          <t>Disguise</t>
        </is>
      </c>
      <c r="B33" s="7" t="inlineStr">
        <is>
          <t>0</t>
        </is>
      </c>
    </row>
    <row r="34">
      <c r="A34" s="6" t="inlineStr">
        <is>
          <t>Lockpicking</t>
        </is>
      </c>
      <c r="B34" s="7" t="inlineStr">
        <is>
          <t>0</t>
        </is>
      </c>
    </row>
    <row r="35">
      <c r="A35" s="6" t="inlineStr">
        <is>
          <t>Trapcraft</t>
        </is>
      </c>
      <c r="B35" s="7" t="inlineStr">
        <is>
          <t>0</t>
        </is>
      </c>
    </row>
    <row r="36">
      <c r="A36" s="6" t="inlineStr">
        <is>
          <t>Medicine</t>
        </is>
      </c>
      <c r="B36" s="7" t="inlineStr">
        <is>
          <t>0</t>
        </is>
      </c>
    </row>
    <row r="37">
      <c r="A37" s="6" t="inlineStr">
        <is>
          <t>Alchemy</t>
        </is>
      </c>
      <c r="B37" s="7" t="inlineStr">
        <is>
          <t>0</t>
        </is>
      </c>
    </row>
    <row r="38">
      <c r="A38" s="6" t="inlineStr">
        <is>
          <t>Poisoncraft</t>
        </is>
      </c>
      <c r="B38" s="7" t="inlineStr">
        <is>
          <t>0</t>
        </is>
      </c>
    </row>
    <row r="39">
      <c r="A39" s="6" t="inlineStr">
        <is>
          <t>Hidden Weapon</t>
        </is>
      </c>
      <c r="B39" s="7" t="inlineStr">
        <is>
          <t>0</t>
        </is>
      </c>
    </row>
    <row r="40">
      <c r="A40" s="6" t="inlineStr">
        <is>
          <t>Staff Art</t>
        </is>
      </c>
      <c r="B40" s="7" t="inlineStr">
        <is>
          <t>0</t>
        </is>
      </c>
    </row>
    <row r="41">
      <c r="A41" s="6" t="inlineStr">
        <is>
          <t>Fist &amp; Palm</t>
        </is>
      </c>
      <c r="B41" s="7" t="inlineStr">
        <is>
          <t>0</t>
        </is>
      </c>
    </row>
    <row r="42">
      <c r="A42" s="6" t="inlineStr">
        <is>
          <t>Saber Art</t>
        </is>
      </c>
      <c r="B42" s="7" t="inlineStr">
        <is>
          <t>4</t>
        </is>
      </c>
    </row>
    <row r="43">
      <c r="A43" s="6" t="inlineStr">
        <is>
          <t>Sword Art</t>
        </is>
      </c>
      <c r="B43" s="7" t="inlineStr">
        <is>
          <t>0</t>
        </is>
      </c>
    </row>
    <row r="44"/>
    <row r="45">
      <c r="A45" s="5" t="inlineStr">
        <is>
          <t>-- Martial Arts --</t>
        </is>
      </c>
      <c r="B45" s="2" t="n"/>
      <c r="C45" s="2" t="n"/>
      <c r="D45" s="2" t="n"/>
      <c r="E45" s="2" t="n"/>
      <c r="F45" s="2" t="n"/>
      <c r="G45" s="2" t="n"/>
      <c r="H45" s="3" t="n"/>
    </row>
    <row r="46">
      <c r="A46" s="9" t="inlineStr">
        <is>
          <t>Martial Art Name</t>
        </is>
      </c>
      <c r="B46" s="9" t="inlineStr">
        <is>
          <t>Type</t>
        </is>
      </c>
      <c r="C46" s="9" t="inlineStr">
        <is>
          <t>Tier</t>
        </is>
      </c>
      <c r="D46" s="9" t="inlineStr">
        <is>
          <t>Force Type</t>
        </is>
      </c>
      <c r="E46" s="9" t="inlineStr">
        <is>
          <t>Moves</t>
        </is>
      </c>
      <c r="F46" s="9" t="inlineStr">
        <is>
          <t>Qi</t>
        </is>
      </c>
      <c r="G46" s="9" t="inlineStr">
        <is>
          <t>Hit</t>
        </is>
      </c>
      <c r="H46" s="9" t="inlineStr">
        <is>
          <t>Damage / Effect</t>
        </is>
      </c>
    </row>
    <row r="47">
      <c r="A47" s="7" t="inlineStr">
        <is>
          <t>Iron-Faced Saber Art</t>
        </is>
      </c>
      <c r="B47" s="7" t="inlineStr">
        <is>
          <t>External Art · Saber</t>
        </is>
      </c>
      <c r="C47" s="7" t="inlineStr">
        <is>
          <t>Advanced</t>
        </is>
      </c>
      <c r="D47" s="7" t="inlineStr">
        <is>
          <t>Firm</t>
        </is>
      </c>
      <c r="E47" s="7" t="inlineStr">
        <is>
          <t>Iron-Faced and Incorruptible</t>
        </is>
      </c>
      <c r="F47" s="7" t="inlineStr">
        <is>
          <t>3</t>
        </is>
      </c>
      <c r="G47" s="7" t="inlineStr">
        <is>
          <t>+5</t>
        </is>
      </c>
      <c r="H47" s="7" t="inlineStr">
        <is>
          <t>3d6+4</t>
        </is>
      </c>
    </row>
    <row r="48">
      <c r="A48" s="7" t="inlineStr">
        <is>
          <t>Six-Door Mental Method</t>
        </is>
      </c>
      <c r="B48" s="7" t="inlineStr">
        <is>
          <t>Inner Cultivation</t>
        </is>
      </c>
      <c r="C48" s="7" t="inlineStr">
        <is>
          <t>Authentic</t>
        </is>
      </c>
      <c r="D48" s="7" t="inlineStr">
        <is>
          <t>--</t>
        </is>
      </c>
      <c r="E48" s="7" t="inlineStr">
        <is>
          <t>--</t>
        </is>
      </c>
      <c r="F48" s="7" t="inlineStr">
        <is>
          <t>--</t>
        </is>
      </c>
      <c r="G48" s="7" t="inlineStr">
        <is>
          <t>--</t>
        </is>
      </c>
      <c r="H48" s="7" t="inlineStr">
        <is>
          <t>Inner Cultivation Coefficient 3</t>
        </is>
      </c>
    </row>
    <row r="49">
      <c r="A49" s="7" t="inlineStr">
        <is>
          <t>Official Authority Intimidation</t>
        </is>
      </c>
      <c r="B49" s="7" t="inlineStr">
        <is>
          <t>Special</t>
        </is>
      </c>
      <c r="C49" s="7" t="inlineStr">
        <is>
          <t>--</t>
        </is>
      </c>
      <c r="D49" s="7" t="inlineStr">
        <is>
          <t>--</t>
        </is>
      </c>
      <c r="E49" s="7" t="inlineStr">
        <is>
          <t>--</t>
        </is>
      </c>
      <c r="F49" s="7" t="inlineStr">
        <is>
          <t>2</t>
        </is>
      </c>
      <c r="G49" s="7" t="inlineStr">
        <is>
          <t>--</t>
        </is>
      </c>
      <c r="H49" s="7" t="inlineStr">
        <is>
          <t>Willpower Contest; on fail, hit −2</t>
        </is>
      </c>
    </row>
    <row r="50"/>
    <row r="51"/>
    <row r="52"/>
    <row r="53"/>
    <row r="54"/>
    <row r="55"/>
    <row r="56">
      <c r="A56" s="5" t="inlineStr">
        <is>
          <t>-- Equipment --</t>
        </is>
      </c>
      <c r="B56" s="2" t="n"/>
      <c r="C56" s="2" t="n"/>
      <c r="D56" s="2" t="n"/>
      <c r="E56" s="2" t="n"/>
      <c r="F56" s="2" t="n"/>
      <c r="G56" s="2" t="n"/>
      <c r="H56" s="3" t="n"/>
    </row>
    <row r="57">
      <c r="A57" s="9" t="inlineStr">
        <is>
          <t>Weapon</t>
        </is>
      </c>
      <c r="B57" s="9" t="inlineStr">
        <is>
          <t>Armor</t>
        </is>
      </c>
      <c r="C57" s="9" t="inlineStr">
        <is>
          <t>Special</t>
        </is>
      </c>
    </row>
    <row r="58">
      <c r="A58" s="8" t="inlineStr">
        <is>
          <t>Official Long Saber (1d8+2)</t>
        </is>
      </c>
      <c r="B58" s="8" t="inlineStr">
        <is>
          <t>Six Doors Official Robe</t>
        </is>
      </c>
      <c r="C58" s="12" t="inlineStr">
        <is>
          <t>Heaven Rank #8. Fourth-Realm data used for Script Chapter 2, Luoyang.</t>
        </is>
      </c>
      <c r="D58" s="2" t="n"/>
      <c r="E58" s="2" t="n"/>
      <c r="F58" s="3" t="n"/>
    </row>
    <row r="59"/>
    <row r="60"/>
    <row r="61">
      <c r="A61" s="6" t="inlineStr">
        <is>
          <t>Heroism</t>
        </is>
      </c>
      <c r="B61" s="7" t="inlineStr">
        <is>
          <t>30</t>
        </is>
      </c>
      <c r="D61" s="6" t="inlineStr">
        <is>
          <t>Infamy</t>
        </is>
      </c>
      <c r="E61" s="7" t="inlineStr">
        <is>
          <t>0</t>
        </is>
      </c>
    </row>
    <row r="62"/>
    <row r="63">
      <c r="A63" t="inlineStr">
        <is>
          <t>Can apprentice (Difficulty Class (DC) 14): Six-Door Swift Saber + Six-Door Mental Method.</t>
        </is>
      </c>
    </row>
    <row r="64">
      <c r="A64" t="inlineStr">
        <is>
          <t>Apprenticeship Gift: Six Doors Gold Token (temporary) + Graduation: Wanted-Order Revocation (Favor ≥15)</t>
        </is>
      </c>
    </row>
  </sheetData>
  <mergeCells count="26">
    <mergeCell ref="A24:B24"/>
    <mergeCell ref="D13:F13"/>
    <mergeCell ref="D11:F11"/>
    <mergeCell ref="B6:H6"/>
    <mergeCell ref="A45:H45"/>
    <mergeCell ref="A1:H1"/>
    <mergeCell ref="B19:D19"/>
    <mergeCell ref="E20:F20"/>
    <mergeCell ref="E19:F19"/>
    <mergeCell ref="D12:F12"/>
    <mergeCell ref="C58:F58"/>
    <mergeCell ref="D15:F15"/>
    <mergeCell ref="B20:D20"/>
    <mergeCell ref="A56:H56"/>
    <mergeCell ref="D14:F14"/>
    <mergeCell ref="A2:H2"/>
    <mergeCell ref="A8:H8"/>
    <mergeCell ref="D10:F10"/>
    <mergeCell ref="A17:H17"/>
    <mergeCell ref="A4:H4"/>
    <mergeCell ref="B22:D22"/>
    <mergeCell ref="B18:D18"/>
    <mergeCell ref="E22:F22"/>
    <mergeCell ref="B21:D21"/>
    <mergeCell ref="E18:F18"/>
    <mergeCell ref="E21:F2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>
      <c r="A1" s="1" t="inlineStr">
        <is>
          <t>Yonghe Martial Codex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Scripted Enemy Card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-- Basic Info --</t>
        </is>
      </c>
      <c r="B4" s="2" t="n"/>
      <c r="C4" s="2" t="n"/>
      <c r="D4" s="2" t="n"/>
      <c r="E4" s="2" t="n"/>
      <c r="F4" s="2" t="n"/>
      <c r="G4" s="2" t="n"/>
      <c r="H4" s="3" t="n"/>
    </row>
    <row r="5">
      <c r="A5" s="6" t="inlineStr">
        <is>
          <t>Character Name</t>
        </is>
      </c>
      <c r="B5" s="7" t="inlineStr">
        <is>
          <t>Han Bao</t>
        </is>
      </c>
      <c r="C5" s="6" t="inlineStr">
        <is>
          <t>Sect</t>
        </is>
      </c>
      <c r="D5" s="7" t="inlineStr">
        <is>
          <t>No Sect (Mountain Bandit)</t>
        </is>
      </c>
      <c r="E5" s="6" t="inlineStr">
        <is>
          <t>Realm</t>
        </is>
      </c>
      <c r="F5" s="7" t="inlineStr">
        <is>
          <t>First Glimpse</t>
        </is>
      </c>
      <c r="G5" s="6" t="inlineStr">
        <is>
          <t>Inner Cultivation Coefficient</t>
        </is>
      </c>
      <c r="H5" s="7" t="inlineStr">
        <is>
          <t>1 (No Inner Art)</t>
        </is>
      </c>
    </row>
    <row r="6">
      <c r="A6" s="6" t="inlineStr">
        <is>
          <t>Concept</t>
        </is>
      </c>
      <c r="B6" s="8" t="inlineStr">
        <is>
          <t>Chief of Black Wind Stronghold, the 'One-Eyed Dragon,' entrenched at Black Wind Stronghold plundering merchants. Practices fragments of the Demon Cult arts; showing early signs of Qi Deviation.</t>
        </is>
      </c>
      <c r="C6" s="2" t="n"/>
      <c r="D6" s="2" t="n"/>
      <c r="E6" s="2" t="n"/>
      <c r="F6" s="2" t="n"/>
      <c r="G6" s="2" t="n"/>
      <c r="H6" s="3" t="n"/>
    </row>
    <row r="7"/>
    <row r="8">
      <c r="A8" s="5" t="inlineStr">
        <is>
          <t>-- Six Attributes --</t>
        </is>
      </c>
      <c r="B8" s="2" t="n"/>
      <c r="C8" s="2" t="n"/>
      <c r="D8" s="2" t="n"/>
      <c r="E8" s="2" t="n"/>
      <c r="F8" s="2" t="n"/>
      <c r="G8" s="2" t="n"/>
      <c r="H8" s="3" t="n"/>
    </row>
    <row r="9">
      <c r="A9" s="9" t="inlineStr">
        <is>
          <t>Attribute</t>
        </is>
      </c>
      <c r="B9" s="9" t="inlineStr">
        <is>
          <t>Base Value</t>
        </is>
      </c>
      <c r="C9" s="9" t="inlineStr">
        <is>
          <t>Modifier</t>
        </is>
      </c>
      <c r="D9" s="9" t="inlineStr">
        <is>
          <t>Description</t>
        </is>
      </c>
    </row>
    <row r="10">
      <c r="A10" s="6" t="inlineStr">
        <is>
          <t>Strength (STR)</t>
        </is>
      </c>
      <c r="B10" s="7" t="inlineStr">
        <is>
          <t>5</t>
        </is>
      </c>
      <c r="C10" s="10">
        <f>B10-4</f>
        <v/>
      </c>
      <c r="D10" s="4" t="n"/>
      <c r="E10" s="2" t="n"/>
      <c r="F10" s="3" t="n"/>
    </row>
    <row r="11">
      <c r="A11" s="6" t="inlineStr">
        <is>
          <t>Agility (AGI)</t>
        </is>
      </c>
      <c r="B11" s="7" t="inlineStr">
        <is>
          <t>4</t>
        </is>
      </c>
      <c r="C11" s="10">
        <f>B11-4</f>
        <v/>
      </c>
      <c r="D11" s="4" t="n"/>
      <c r="E11" s="2" t="n"/>
      <c r="F11" s="3" t="n"/>
    </row>
    <row r="12">
      <c r="A12" s="6" t="inlineStr">
        <is>
          <t>Constitution (CON)</t>
        </is>
      </c>
      <c r="B12" s="7" t="inlineStr">
        <is>
          <t>4</t>
        </is>
      </c>
      <c r="C12" s="10">
        <f>B12-4</f>
        <v/>
      </c>
      <c r="D12" s="4" t="n"/>
      <c r="E12" s="2" t="n"/>
      <c r="F12" s="3" t="n"/>
    </row>
    <row r="13">
      <c r="A13" s="6" t="inlineStr">
        <is>
          <t>Comprehension (CMP)</t>
        </is>
      </c>
      <c r="B13" s="7" t="inlineStr">
        <is>
          <t>2</t>
        </is>
      </c>
      <c r="C13" s="10">
        <f>B13-4</f>
        <v/>
      </c>
      <c r="D13" s="4" t="n"/>
      <c r="E13" s="2" t="n"/>
      <c r="F13" s="3" t="n"/>
    </row>
    <row r="14">
      <c r="A14" s="6" t="inlineStr">
        <is>
          <t>Willpower (WIL)</t>
        </is>
      </c>
      <c r="B14" s="7" t="inlineStr">
        <is>
          <t>2</t>
        </is>
      </c>
      <c r="C14" s="10">
        <f>B14-4</f>
        <v/>
      </c>
      <c r="D14" s="4" t="n"/>
      <c r="E14" s="2" t="n"/>
      <c r="F14" s="3" t="n"/>
    </row>
    <row r="15">
      <c r="A15" s="6" t="inlineStr">
        <is>
          <t>Charisma (CHA)</t>
        </is>
      </c>
      <c r="B15" s="7" t="inlineStr">
        <is>
          <t>3</t>
        </is>
      </c>
      <c r="C15" s="10">
        <f>B15-4</f>
        <v/>
      </c>
      <c r="D15" s="4" t="n"/>
      <c r="E15" s="2" t="n"/>
      <c r="F15" s="3" t="n"/>
    </row>
    <row r="16"/>
    <row r="17">
      <c r="A17" s="5" t="inlineStr">
        <is>
          <t>-- Derived Values --</t>
        </is>
      </c>
      <c r="B17" s="2" t="n"/>
      <c r="C17" s="2" t="n"/>
      <c r="D17" s="2" t="n"/>
      <c r="E17" s="2" t="n"/>
      <c r="F17" s="2" t="n"/>
      <c r="G17" s="2" t="n"/>
      <c r="H17" s="3" t="n"/>
    </row>
    <row r="18">
      <c r="A18" s="6" t="inlineStr">
        <is>
          <t>Health Points (HP)</t>
        </is>
      </c>
      <c r="B18" s="4" t="inlineStr">
        <is>
          <t>Constitution×5 + Realm</t>
        </is>
      </c>
      <c r="C18" s="2" t="n"/>
      <c r="D18" s="3" t="n"/>
      <c r="E18" s="11">
        <f>B12*5+IF(F6="Crossing the Threshold",5,IF(F6="Complete Mastery",10,IF(F6="Perfecting the Craft",15,IF(F6="Peak of Perfection",20,IF(F6="Return to Simplicity",25,0)))))</f>
        <v/>
      </c>
      <c r="F18" s="3" t="n"/>
    </row>
    <row r="19">
      <c r="A19" s="6" t="inlineStr">
        <is>
          <t>Qi</t>
        </is>
      </c>
      <c r="B19" s="4" t="inlineStr">
        <is>
          <t>Constitution × Inner-Cultivation Coefficient + Realm</t>
        </is>
      </c>
      <c r="C19" s="2" t="n"/>
      <c r="D19" s="3" t="n"/>
      <c r="E19" s="11">
        <f>B12*VALUE(LEFT(H5,1))+IF(F6="Crossing the Threshold",3,IF(F6="Complete Mastery",6,IF(F6="Perfecting the Craft",10,IF(F6="Peak of Perfection",15,IF(F6="Return to Simplicity",20,0)))))</f>
        <v/>
      </c>
      <c r="F19" s="3" t="n"/>
    </row>
    <row r="20">
      <c r="A20" s="6" t="inlineStr">
        <is>
          <t>Initiative</t>
        </is>
      </c>
      <c r="B20" s="4" t="inlineStr">
        <is>
          <t>Agility + Willpower</t>
        </is>
      </c>
      <c r="C20" s="2" t="n"/>
      <c r="D20" s="3" t="n"/>
      <c r="E20" s="11">
        <f>B11+B14</f>
        <v/>
      </c>
      <c r="F20" s="3" t="n"/>
    </row>
    <row r="21">
      <c r="A21" s="6" t="inlineStr">
        <is>
          <t>Evasion</t>
        </is>
      </c>
      <c r="B21" s="4" t="inlineStr">
        <is>
          <t>Agility Modifier</t>
        </is>
      </c>
      <c r="C21" s="2" t="n"/>
      <c r="D21" s="3" t="n"/>
      <c r="E21" s="11">
        <f>C11</f>
        <v/>
      </c>
      <c r="F21" s="3" t="n"/>
    </row>
    <row r="22">
      <c r="A22" s="6" t="inlineStr">
        <is>
          <t>Defense</t>
        </is>
      </c>
      <c r="B22" s="4" t="inlineStr">
        <is>
          <t>Constitution Modifier</t>
        </is>
      </c>
      <c r="C22" s="2" t="n"/>
      <c r="D22" s="3" t="n"/>
      <c r="E22" s="11">
        <f>C12</f>
        <v/>
      </c>
      <c r="F22" s="3" t="n"/>
    </row>
    <row r="23"/>
    <row r="24">
      <c r="A24" s="5" t="inlineStr">
        <is>
          <t>-- Skills --</t>
        </is>
      </c>
      <c r="B24" s="3" t="n"/>
    </row>
    <row r="25">
      <c r="A25" s="6" t="inlineStr">
        <is>
          <t>Technique Reading</t>
        </is>
      </c>
      <c r="B25" s="7" t="inlineStr">
        <is>
          <t>0</t>
        </is>
      </c>
    </row>
    <row r="26">
      <c r="A26" s="6" t="inlineStr">
        <is>
          <t>Jianghu Lore</t>
        </is>
      </c>
      <c r="B26" s="7" t="inlineStr">
        <is>
          <t>0</t>
        </is>
      </c>
    </row>
    <row r="27">
      <c r="A27" s="6" t="inlineStr">
        <is>
          <t>Lightfoot</t>
        </is>
      </c>
      <c r="B27" s="7" t="inlineStr">
        <is>
          <t>0</t>
        </is>
      </c>
    </row>
    <row r="28">
      <c r="A28" s="6" t="inlineStr">
        <is>
          <t>Oratory</t>
        </is>
      </c>
      <c r="B28" s="7" t="inlineStr">
        <is>
          <t>0</t>
        </is>
      </c>
    </row>
    <row r="29">
      <c r="A29" s="6" t="inlineStr">
        <is>
          <t>Climbing</t>
        </is>
      </c>
      <c r="B29" s="7" t="inlineStr">
        <is>
          <t>0</t>
        </is>
      </c>
    </row>
    <row r="30">
      <c r="A30" s="6" t="inlineStr">
        <is>
          <t>Stealth</t>
        </is>
      </c>
      <c r="B30" s="7" t="inlineStr">
        <is>
          <t>0</t>
        </is>
      </c>
    </row>
    <row r="31">
      <c r="A31" s="6" t="inlineStr">
        <is>
          <t>Tracking</t>
        </is>
      </c>
      <c r="B31" s="7" t="inlineStr">
        <is>
          <t>0</t>
        </is>
      </c>
    </row>
    <row r="32">
      <c r="A32" s="6" t="inlineStr">
        <is>
          <t>Read Intent</t>
        </is>
      </c>
      <c r="B32" s="7" t="inlineStr">
        <is>
          <t>0</t>
        </is>
      </c>
    </row>
    <row r="33">
      <c r="A33" s="6" t="inlineStr">
        <is>
          <t>Disguise</t>
        </is>
      </c>
      <c r="B33" s="7" t="inlineStr">
        <is>
          <t>0</t>
        </is>
      </c>
    </row>
    <row r="34">
      <c r="A34" s="6" t="inlineStr">
        <is>
          <t>Lockpicking</t>
        </is>
      </c>
      <c r="B34" s="7" t="inlineStr">
        <is>
          <t>0</t>
        </is>
      </c>
    </row>
    <row r="35">
      <c r="A35" s="6" t="inlineStr">
        <is>
          <t>Trapcraft</t>
        </is>
      </c>
      <c r="B35" s="7" t="inlineStr">
        <is>
          <t>0</t>
        </is>
      </c>
    </row>
    <row r="36">
      <c r="A36" s="6" t="inlineStr">
        <is>
          <t>Medicine</t>
        </is>
      </c>
      <c r="B36" s="7" t="inlineStr">
        <is>
          <t>0</t>
        </is>
      </c>
    </row>
    <row r="37">
      <c r="A37" s="6" t="inlineStr">
        <is>
          <t>Alchemy</t>
        </is>
      </c>
      <c r="B37" s="7" t="inlineStr">
        <is>
          <t>0</t>
        </is>
      </c>
    </row>
    <row r="38">
      <c r="A38" s="6" t="inlineStr">
        <is>
          <t>Poisoncraft</t>
        </is>
      </c>
      <c r="B38" s="7" t="inlineStr">
        <is>
          <t>0</t>
        </is>
      </c>
    </row>
    <row r="39">
      <c r="A39" s="6" t="inlineStr">
        <is>
          <t>Hidden Weapon</t>
        </is>
      </c>
      <c r="B39" s="7" t="inlineStr">
        <is>
          <t>0</t>
        </is>
      </c>
    </row>
    <row r="40">
      <c r="A40" s="6" t="inlineStr">
        <is>
          <t>Staff Art</t>
        </is>
      </c>
      <c r="B40" s="7" t="inlineStr">
        <is>
          <t>0</t>
        </is>
      </c>
    </row>
    <row r="41">
      <c r="A41" s="6" t="inlineStr">
        <is>
          <t>Fist &amp; Palm</t>
        </is>
      </c>
      <c r="B41" s="7" t="inlineStr">
        <is>
          <t>0</t>
        </is>
      </c>
    </row>
    <row r="42">
      <c r="A42" s="6" t="inlineStr">
        <is>
          <t>Saber Art</t>
        </is>
      </c>
      <c r="B42" s="7" t="inlineStr">
        <is>
          <t>2</t>
        </is>
      </c>
    </row>
    <row r="43">
      <c r="A43" s="6" t="inlineStr">
        <is>
          <t>Sword Art</t>
        </is>
      </c>
      <c r="B43" s="7" t="inlineStr">
        <is>
          <t>0</t>
        </is>
      </c>
    </row>
    <row r="44"/>
    <row r="45">
      <c r="A45" s="5" t="inlineStr">
        <is>
          <t>-- Martial Arts --</t>
        </is>
      </c>
      <c r="B45" s="2" t="n"/>
      <c r="C45" s="2" t="n"/>
      <c r="D45" s="2" t="n"/>
      <c r="E45" s="2" t="n"/>
      <c r="F45" s="2" t="n"/>
      <c r="G45" s="2" t="n"/>
      <c r="H45" s="3" t="n"/>
    </row>
    <row r="46">
      <c r="A46" s="9" t="inlineStr">
        <is>
          <t>Martial Art Name</t>
        </is>
      </c>
      <c r="B46" s="9" t="inlineStr">
        <is>
          <t>Type</t>
        </is>
      </c>
      <c r="C46" s="9" t="inlineStr">
        <is>
          <t>Tier</t>
        </is>
      </c>
      <c r="D46" s="9" t="inlineStr">
        <is>
          <t>Force Type</t>
        </is>
      </c>
      <c r="E46" s="9" t="inlineStr">
        <is>
          <t>Moves</t>
        </is>
      </c>
      <c r="F46" s="9" t="inlineStr">
        <is>
          <t>Qi</t>
        </is>
      </c>
      <c r="G46" s="9" t="inlineStr">
        <is>
          <t>Hit</t>
        </is>
      </c>
      <c r="H46" s="9" t="inlineStr">
        <is>
          <t>Damage / Effect</t>
        </is>
      </c>
    </row>
    <row r="47">
      <c r="A47" s="7" t="inlineStr">
        <is>
          <t>Five Tigers Door-Cutting Saber · Wind-Splitting Form</t>
        </is>
      </c>
      <c r="B47" s="7" t="inlineStr">
        <is>
          <t>External Art · Saber</t>
        </is>
      </c>
      <c r="C47" s="7" t="inlineStr">
        <is>
          <t>Initiate</t>
        </is>
      </c>
      <c r="D47" s="7" t="inlineStr">
        <is>
          <t>Firm</t>
        </is>
      </c>
      <c r="E47" s="7" t="inlineStr">
        <is>
          <t>Wind-Splitting</t>
        </is>
      </c>
      <c r="F47" s="7" t="inlineStr">
        <is>
          <t>1</t>
        </is>
      </c>
      <c r="G47" s="7" t="inlineStr">
        <is>
          <t>+3</t>
        </is>
      </c>
      <c r="H47" s="7" t="inlineStr">
        <is>
          <t>2d6+1</t>
        </is>
      </c>
    </row>
    <row r="48">
      <c r="A48" s="7" t="inlineStr">
        <is>
          <t>Berserk</t>
        </is>
      </c>
      <c r="B48" s="7" t="inlineStr">
        <is>
          <t>Special</t>
        </is>
      </c>
      <c r="C48" s="7" t="inlineStr">
        <is>
          <t>--</t>
        </is>
      </c>
      <c r="D48" s="7" t="inlineStr">
        <is>
          <t>--</t>
        </is>
      </c>
      <c r="E48" s="7" t="inlineStr">
        <is>
          <t>--</t>
        </is>
      </c>
      <c r="F48" s="7" t="inlineStr">
        <is>
          <t>--</t>
        </is>
      </c>
      <c r="G48" s="7" t="inlineStr">
        <is>
          <t>--</t>
        </is>
      </c>
      <c r="H48" s="7" t="inlineStr">
        <is>
          <t>Hit +1 after being struck (stacks to +3); effect vanishes after injury &gt;20</t>
        </is>
      </c>
    </row>
    <row r="49"/>
    <row r="50"/>
    <row r="51"/>
    <row r="52"/>
    <row r="53"/>
    <row r="54"/>
    <row r="55"/>
    <row r="56">
      <c r="A56" s="5" t="inlineStr">
        <is>
          <t>-- Equipment --</t>
        </is>
      </c>
      <c r="B56" s="2" t="n"/>
      <c r="C56" s="2" t="n"/>
      <c r="D56" s="2" t="n"/>
      <c r="E56" s="2" t="n"/>
      <c r="F56" s="2" t="n"/>
      <c r="G56" s="2" t="n"/>
      <c r="H56" s="3" t="n"/>
    </row>
    <row r="57">
      <c r="A57" s="9" t="inlineStr">
        <is>
          <t>Weapon</t>
        </is>
      </c>
      <c r="B57" s="9" t="inlineStr">
        <is>
          <t>Armor</t>
        </is>
      </c>
      <c r="C57" s="9" t="inlineStr">
        <is>
          <t>Special</t>
        </is>
      </c>
    </row>
    <row r="58">
      <c r="A58" s="8" t="inlineStr">
        <is>
          <t>Great Chopper (2d6)</t>
        </is>
      </c>
      <c r="B58" s="8" t="inlineStr">
        <is>
          <t>Beast-Hide Armor</t>
        </is>
      </c>
      <c r="C58" s="12" t="inlineStr">
        <is>
          <t>Boss Mechanic: stacking Berserk + collapses from injury fear. Health Points (HP) 30, Qi 6</t>
        </is>
      </c>
      <c r="D58" s="2" t="n"/>
      <c r="E58" s="2" t="n"/>
      <c r="F58" s="3" t="n"/>
    </row>
    <row r="59"/>
    <row r="60"/>
    <row r="61">
      <c r="A61" s="6" t="inlineStr">
        <is>
          <t>Heroism</t>
        </is>
      </c>
      <c r="B61" s="7" t="inlineStr">
        <is>
          <t>-15</t>
        </is>
      </c>
      <c r="D61" s="6" t="inlineStr">
        <is>
          <t>Infamy</t>
        </is>
      </c>
      <c r="E61" s="7" t="inlineStr">
        <is>
          <t>25</t>
        </is>
      </c>
    </row>
  </sheetData>
  <mergeCells count="26">
    <mergeCell ref="A24:B24"/>
    <mergeCell ref="D13:F13"/>
    <mergeCell ref="D11:F11"/>
    <mergeCell ref="B6:H6"/>
    <mergeCell ref="A45:H45"/>
    <mergeCell ref="A1:H1"/>
    <mergeCell ref="B19:D19"/>
    <mergeCell ref="E20:F20"/>
    <mergeCell ref="E19:F19"/>
    <mergeCell ref="D12:F12"/>
    <mergeCell ref="C58:F58"/>
    <mergeCell ref="D15:F15"/>
    <mergeCell ref="B20:D20"/>
    <mergeCell ref="A56:H56"/>
    <mergeCell ref="D14:F14"/>
    <mergeCell ref="A2:H2"/>
    <mergeCell ref="A8:H8"/>
    <mergeCell ref="D10:F10"/>
    <mergeCell ref="A17:H17"/>
    <mergeCell ref="A4:H4"/>
    <mergeCell ref="B22:D22"/>
    <mergeCell ref="B18:D18"/>
    <mergeCell ref="E22:F22"/>
    <mergeCell ref="B21:D21"/>
    <mergeCell ref="E18:F18"/>
    <mergeCell ref="E21:F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2026-06-21T18:24:58Z</dcterms:created>
  <dcterms:modified xsi:type="dcterms:W3CDTF">2026-08-10T08:39:44Z</dcterms:modified>
</cp:coreProperties>
</file>