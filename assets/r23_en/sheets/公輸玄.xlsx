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 TRPG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Character Card · Tabletop Rules Studio</t>
        </is>
      </c>
      <c r="B2" s="11" t="n"/>
      <c r="C2" s="11" t="n"/>
      <c r="D2" s="11" t="n"/>
      <c r="E2" s="11" t="n"/>
      <c r="F2" s="11" t="n"/>
      <c r="G2" s="11" t="n"/>
      <c r="H2" s="10" t="n"/>
    </row>
    <row r="3"/>
    <row r="4">
      <c r="A4" s="3" t="inlineStr">
        <is>
          <t>— Basic Info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Character name</t>
        </is>
      </c>
      <c r="B5" s="5" t="inlineStr">
        <is>
          <t>Gongshu Xuan</t>
        </is>
      </c>
      <c r="C5" s="4" t="inlineStr">
        <is>
          <t>Player</t>
        </is>
      </c>
      <c r="D5" s="5" t="inlineStr"/>
      <c r="E5" s="4" t="inlineStr">
        <is>
          <t>Sect</t>
        </is>
      </c>
      <c r="F5" s="5" t="inlineStr">
        <is>
          <t>Qianji Pavilion</t>
        </is>
      </c>
    </row>
    <row r="6">
      <c r="A6" s="4" t="inlineStr">
        <is>
          <t>Concept</t>
        </is>
      </c>
      <c r="B6" s="6" t="inlineStr">
        <is>
          <t>Qianji Pavilion Pavilion Master， Arithmetic Genius， front combat power Second-Rate but agency Tactics super First-Rate。</t>
        </is>
      </c>
      <c r="C6" s="11" t="n"/>
      <c r="D6" s="10" t="n"/>
      <c r="E6" s="4" t="inlineStr">
        <is>
          <t>Realm</t>
        </is>
      </c>
      <c r="F6" s="5" t="inlineStr">
        <is>
          <t>Perfecting the Craft</t>
        </is>
      </c>
      <c r="G6" s="4" t="inlineStr">
        <is>
          <t>Inner Art Coefficient</t>
        </is>
      </c>
      <c r="H6" s="5" t="inlineStr">
        <is>
          <t>2</t>
        </is>
      </c>
    </row>
    <row r="7"/>
    <row r="8">
      <c r="A8" s="3" t="inlineStr">
        <is>
          <t>— Six Attributes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STR</t>
        </is>
      </c>
      <c r="B10" s="5" t="inlineStr">
        <is>
          <t>3</t>
        </is>
      </c>
      <c r="C10" s="8">
        <f>B10-4</f>
        <v/>
      </c>
      <c r="D10" s="2" t="inlineStr">
        <is>
          <t>muscles strength、 Explosive power</t>
        </is>
      </c>
      <c r="E10" s="11" t="n"/>
      <c r="F10" s="10" t="n"/>
    </row>
    <row r="11">
      <c r="A11" s="4" t="inlineStr">
        <is>
          <t>Agility DEX</t>
        </is>
      </c>
      <c r="B11" s="5" t="inlineStr">
        <is>
          <t>5</t>
        </is>
      </c>
      <c r="C11" s="8">
        <f>B11-4</f>
        <v/>
      </c>
      <c r="D11" s="2" t="inlineStr">
        <is>
          <t>speed、 Flexible、 Lightfoot</t>
        </is>
      </c>
      <c r="E11" s="11" t="n"/>
      <c r="F11" s="10" t="n"/>
    </row>
    <row r="12">
      <c r="A12" s="4" t="inlineStr">
        <is>
          <t>Constitution CON</t>
        </is>
      </c>
      <c r="B12" s="5" t="inlineStr">
        <is>
          <t>5</t>
        </is>
      </c>
      <c r="C12" s="8">
        <f>B12-4</f>
        <v/>
      </c>
      <c r="D12" s="2" t="inlineStr">
        <is>
          <t>meridians bear、 Physique、 life Resilience</t>
        </is>
      </c>
      <c r="E12" s="11" t="n"/>
      <c r="F12" s="10" t="n"/>
    </row>
    <row r="13">
      <c r="A13" s="4" t="inlineStr">
        <is>
          <t>Comprehension INT</t>
        </is>
      </c>
      <c r="B13" s="5" t="inlineStr">
        <is>
          <t>10</t>
        </is>
      </c>
      <c r="C13" s="8">
        <f>B13-4</f>
        <v/>
      </c>
      <c r="D13" s="2" t="inlineStr">
        <is>
          <t>martial arts / martial studies collar Comprehension、 learn efficiency</t>
        </is>
      </c>
      <c r="E13" s="11" t="n"/>
      <c r="F13" s="10" t="n"/>
    </row>
    <row r="14">
      <c r="A14" s="4" t="inlineStr">
        <is>
          <t>Willpower WIS</t>
        </is>
      </c>
      <c r="B14" s="5" t="inlineStr">
        <is>
          <t>7</t>
        </is>
      </c>
      <c r="C14" s="8">
        <f>B14-4</f>
        <v/>
      </c>
      <c r="D14" s="2" t="inlineStr">
        <is>
          <t>willpower、 state of mind stable</t>
        </is>
      </c>
      <c r="E14" s="11" t="n"/>
      <c r="F14" s="10" t="n"/>
    </row>
    <row r="15">
      <c r="A15" s="4" t="inlineStr">
        <is>
          <t>Charisma CHA</t>
        </is>
      </c>
      <c r="B15" s="5" t="inlineStr">
        <is>
          <t>4</t>
        </is>
      </c>
      <c r="C15" s="8">
        <f>B15-4</f>
        <v/>
      </c>
      <c r="D15" s="2" t="inlineStr">
        <is>
          <t>Charisma、 interpersonal influence</t>
        </is>
      </c>
      <c r="E15" s="11" t="n"/>
      <c r="F15" s="10" t="n"/>
    </row>
    <row r="16">
      <c r="A16" s="4" t="inlineStr">
        <is>
          <t>Total Attributes</t>
        </is>
      </c>
      <c r="B16" s="10" t="n"/>
    </row>
    <row r="17"/>
    <row r="18">
      <c r="A18" s="3" t="inlineStr">
        <is>
          <t>— Derived Values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HP（life value）</t>
        </is>
      </c>
      <c r="B19" s="2" t="inlineStr">
        <is>
          <t>Constitution×5+Realm Bonus</t>
        </is>
      </c>
      <c r="C19" s="11" t="n"/>
      <c r="D19" s="10" t="n"/>
      <c r="E19" s="9">
        <f>B12*5+IF(F6="Crossing the Threshold",5,IF(F6="Complete Mastery",10,IF(F6="Perfecting the Craft",15,IF(F6="Peak of Perfection",20,IF(F6="Return to Simplicity",25,0)))))</f>
        <v/>
      </c>
      <c r="F19" s="10" t="n"/>
    </row>
    <row r="20">
      <c r="A20" s="4" t="inlineStr">
        <is>
          <t>Qi</t>
        </is>
      </c>
      <c r="B20" s="2" t="inlineStr">
        <is>
          <t>Constitution×Inner Art Coefficient+Realm Bonus</t>
        </is>
      </c>
      <c r="C20" s="11" t="n"/>
      <c r="D20" s="10" t="n"/>
      <c r="E20" s="9">
        <f>B12*VALUE(LEFT(H8,1))+IF(F6="Crossing the Threshold",3,IF(F6="Complete Mastery",6,IF(F6="Perfecting the Craft",10,IF(F6="Peak of Perfection",15,IF(F6="Return to Simplicity",20,0)))))</f>
        <v/>
      </c>
      <c r="F20" s="10" t="n"/>
    </row>
    <row r="21">
      <c r="A21" s="4" t="inlineStr">
        <is>
          <t>Initiative</t>
        </is>
      </c>
      <c r="B21" s="2" t="inlineStr">
        <is>
          <t>Agility+Willpower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Evasion</t>
        </is>
      </c>
      <c r="B22" s="2" t="inlineStr">
        <is>
          <t>Agility adjust+Lightfoot Level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Defense</t>
        </is>
      </c>
      <c r="B23" s="2" t="inlineStr">
        <is>
          <t>Constitution adjust+Armor value</t>
        </is>
      </c>
      <c r="C23" s="11" t="n"/>
      <c r="D23" s="10" t="n"/>
      <c r="E23" s="9">
        <f>C12+B43</f>
        <v/>
      </c>
      <c r="F23" s="10" t="n"/>
    </row>
    <row r="24"/>
    <row r="25">
      <c r="A25" s="3" t="inlineStr">
        <is>
          <t>— Skills —</t>
        </is>
      </c>
      <c r="B25" s="10" t="n"/>
    </row>
    <row r="26">
      <c r="A26" s="7" t="inlineStr">
        <is>
          <t>Skills</t>
        </is>
      </c>
      <c r="B26" s="7" t="inlineStr">
        <is>
          <t>Level</t>
        </is>
      </c>
      <c r="C26" s="7" t="inlineStr">
        <is>
          <t>Bonus</t>
        </is>
      </c>
      <c r="D26" s="7" t="inlineStr">
        <is>
          <t>Attribute</t>
        </is>
      </c>
      <c r="E26" s="5" t="inlineStr">
        <is>
          <t>Note</t>
        </is>
      </c>
      <c r="F26" s="11" t="n"/>
      <c r="G26" s="11" t="n"/>
      <c r="H26" s="10" t="n"/>
    </row>
    <row r="27">
      <c r="A27" s="4" t="inlineStr">
        <is>
          <t>Technique Reading</t>
        </is>
      </c>
      <c r="B27" s="5" t="inlineStr">
        <is>
          <t>6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Jianghu Lore</t>
        </is>
      </c>
      <c r="B28" s="5" t="inlineStr">
        <is>
          <t>0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Lightfoot</t>
        </is>
      </c>
      <c r="B29" s="5" t="inlineStr">
        <is>
          <t>0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Oratory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Climbing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Stealth</t>
        </is>
      </c>
      <c r="B32" s="5" t="inlineStr">
        <is>
          <t>3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Tracking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Read Intent</t>
        </is>
      </c>
      <c r="B34" s="5" t="inlineStr">
        <is>
          <t>0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Disguise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Lockpicking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Trapcraft</t>
        </is>
      </c>
      <c r="B37" s="5" t="inlineStr">
        <is>
          <t>8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Medicine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Alchemy</t>
        </is>
      </c>
      <c r="B39" s="5" t="inlineStr">
        <is>
          <t>3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Poison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Hidden weapon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Lightfoot Level</t>
        </is>
      </c>
      <c r="B42" s="5" t="inlineStr">
        <is>
          <t>0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Armor value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Knife skills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swordsmanship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6"/>
    <row r="47"/>
    <row r="48"/>
    <row r="49">
      <c r="A49" s="3" t="inlineStr">
        <is>
          <t>— martial technique / kung fu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Technique Name</t>
        </is>
      </c>
      <c r="B50" s="7" t="inlineStr">
        <is>
          <t>Type</t>
        </is>
      </c>
      <c r="C50" s="7" t="inlineStr">
        <is>
          <t>Tier · Diligence</t>
        </is>
      </c>
      <c r="D50" s="7" t="inlineStr">
        <is>
          <t>Force</t>
        </is>
      </c>
      <c r="E50" s="7" t="inlineStr">
        <is>
          <t>Move</t>
        </is>
      </c>
      <c r="F50" s="7" t="inlineStr">
        <is>
          <t>Qi</t>
        </is>
      </c>
      <c r="G50" s="7" t="inlineStr">
        <is>
          <t>Accuracy</t>
        </is>
      </c>
      <c r="H50" s="7" t="inlineStr">
        <is>
          <t>Damage/Effect</t>
        </is>
      </c>
    </row>
    <row r="51">
      <c r="A51" s="5" t="inlineStr">
        <is>
          <t>Qianji tactic · deduction</t>
        </is>
      </c>
      <c r="B51" s="5" t="inlineStr">
        <is>
          <t>special</t>
        </is>
      </c>
      <c r="C51" s="5" t="inlineStr">
        <is>
          <t>superior</t>
        </is>
      </c>
      <c r="D51" s="5" t="inlineStr">
        <is>
          <t>—</t>
        </is>
      </c>
      <c r="E51" s="5" t="inlineStr">
        <is>
          <t>deduction</t>
        </is>
      </c>
      <c r="F51" s="5" t="inlineStr">
        <is>
          <t>4</t>
        </is>
      </c>
      <c r="G51" s="5" t="inlineStr">
        <is>
          <t>—</t>
        </is>
      </c>
      <c r="H51" s="5" t="inlineStr">
        <is>
          <t>—</t>
        </is>
      </c>
      <c r="I51" s="5" t="inlineStr">
        <is>
          <t>mark target</t>
        </is>
      </c>
    </row>
    <row r="52">
      <c r="A52" s="5" t="inlineStr">
        <is>
          <t>Heavy rain pear blossom needle</t>
        </is>
      </c>
      <c r="B52" s="5" t="inlineStr">
        <is>
          <t>Hidden weapon</t>
        </is>
      </c>
      <c r="C52" s="5" t="inlineStr">
        <is>
          <t>superior</t>
        </is>
      </c>
      <c r="D52" s="5" t="inlineStr">
        <is>
          <t>long-range</t>
        </is>
      </c>
      <c r="E52" s="5" t="inlineStr">
        <is>
          <t>Heavy rain</t>
        </is>
      </c>
      <c r="F52" s="5" t="inlineStr">
        <is>
          <t>6</t>
        </is>
      </c>
      <c r="G52" s="5" t="inlineStr">
        <is>
          <t>+6</t>
        </is>
      </c>
      <c r="H52" s="5" t="inlineStr">
        <is>
          <t>3d4+5 group body</t>
        </is>
      </c>
    </row>
    <row r="53">
      <c r="A53" s="5" t="inlineStr">
        <is>
          <t>Bronze Man Formation</t>
        </is>
      </c>
      <c r="B53" s="5" t="inlineStr">
        <is>
          <t>special · agency</t>
        </is>
      </c>
      <c r="C53" s="5" t="inlineStr">
        <is>
          <t>superior</t>
        </is>
      </c>
      <c r="D53" s="5" t="inlineStr">
        <is>
          <t>—</t>
        </is>
      </c>
      <c r="E53" s="5" t="inlineStr">
        <is>
          <t>—</t>
        </is>
      </c>
      <c r="F53" s="5" t="inlineStr">
        <is>
          <t>5</t>
        </is>
      </c>
      <c r="G53" s="5" t="inlineStr">
        <is>
          <t>—</t>
        </is>
      </c>
      <c r="H53" s="5" t="inlineStr">
        <is>
          <t>Summon Bronze Man Shield</t>
        </is>
      </c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/>
    <row r="60"/>
    <row r="61">
      <c r="A61" s="3" t="inlineStr">
        <is>
          <t>— Equipment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weapons</t>
        </is>
      </c>
      <c r="B62" s="7" t="inlineStr">
        <is>
          <t>Damage</t>
        </is>
      </c>
      <c r="C62" s="7" t="inlineStr">
        <is>
          <t>Accuracy Correction</t>
        </is>
      </c>
      <c r="D62" s="7" t="inlineStr">
        <is>
          <t>Armor</t>
        </is>
      </c>
      <c r="E62" s="7" t="inlineStr">
        <is>
          <t>External Injury exemption</t>
        </is>
      </c>
      <c r="F62" s="7" t="inlineStr">
        <is>
          <t>Props</t>
        </is>
      </c>
    </row>
    <row r="63">
      <c r="A63" s="5" t="inlineStr"/>
      <c r="B63" s="10" t="n"/>
      <c r="D63" s="5" t="inlineStr"/>
      <c r="E63" s="11" t="n"/>
      <c r="F63" s="10" t="n"/>
    </row>
    <row r="64"/>
    <row r="65"/>
    <row r="66"/>
    <row r="67"/>
    <row r="68"/>
    <row r="69">
      <c r="A69" s="4" t="inlineStr">
        <is>
          <t>Heroism</t>
        </is>
      </c>
      <c r="B69" s="5" t="inlineStr">
        <is>
          <t>10</t>
        </is>
      </c>
      <c r="D69" s="4" t="inlineStr">
        <is>
          <t>Infamy</t>
        </is>
      </c>
      <c r="E69" s="5" t="inlineStr">
        <is>
          <t>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2026-07-18T20:03:31Z</dcterms:created>
  <dcterms:modified xsi:type="dcterms:W3CDTF">2026-08-10T09:37:02Z</dcterms:modified>
</cp:coreProperties>
</file>