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gong Hui" sheetId="1" state="visible" r:id="rId1"/>
    <sheet name="Chu Huaisha" sheetId="2" state="visible" r:id="rId2"/>
    <sheet name="Jin Ridi" sheetId="3" state="visible" r:id="rId3"/>
    <sheet name="Tie Jingxin" sheetId="4" state="visible" r:id="rId4"/>
    <sheet name="Han Ba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Scenario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-- Basic Info --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Nangong Hui</t>
        </is>
      </c>
      <c r="C5" s="6" t="inlineStr">
        <is>
          <t>Sect</t>
        </is>
      </c>
      <c r="D5" s="7" t="inlineStr">
        <is>
          <t>Yaowang Valley (defected)</t>
        </is>
      </c>
      <c r="E5" s="6" t="inlineStr">
        <is>
          <t>Realm</t>
        </is>
      </c>
      <c r="F5" s="7" t="inlineStr">
        <is>
          <t>Perfecting the Craft</t>
        </is>
      </c>
      <c r="G5" s="6" t="inlineStr">
        <is>
          <t>Inner Art Coefficient</t>
        </is>
      </c>
      <c r="H5" s="7" t="inlineStr">
        <is>
          <t>3 (Orthodox)</t>
        </is>
      </c>
    </row>
    <row r="6">
      <c r="A6" s="6" t="inlineStr">
        <is>
          <t>Concept</t>
        </is>
      </c>
      <c r="B6" s="8" t="inlineStr">
        <is>
          <t>Former Deputy Hall Master of Yaowang Valley's Netherworld Hall; defected and joined the Blood Moon Cult. His family is held hostage.</t>
        </is>
      </c>
      <c r="C6" s="2" t="n"/>
      <c r="D6" s="2" t="n"/>
      <c r="E6" s="2" t="n"/>
      <c r="F6" s="2" t="n"/>
      <c r="G6" s="2" t="n"/>
      <c r="H6" s="3" t="n"/>
    </row>
    <row r="7"/>
    <row r="8">
      <c r="A8" s="5" t="inlineStr">
        <is>
          <t>-- Six Attributes --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4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Agility (AGI)</t>
        </is>
      </c>
      <c r="B11" s="7" t="inlineStr">
        <is>
          <t>6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Constitution (CON)</t>
        </is>
      </c>
      <c r="B12" s="7" t="inlineStr">
        <is>
          <t>6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Comprehension (CMP)</t>
        </is>
      </c>
      <c r="B13" s="7" t="inlineStr">
        <is>
          <t>7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Willpower (WIL)</t>
        </is>
      </c>
      <c r="B14" s="7" t="inlineStr">
        <is>
          <t>5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Charisma (CHA)</t>
        </is>
      </c>
      <c r="B15" s="7" t="inlineStr">
        <is>
          <t>3</t>
        </is>
      </c>
      <c r="C15" s="10">
        <f>B15-4</f>
        <v/>
      </c>
      <c r="D15" s="4" t="n"/>
      <c r="E15" s="2" t="n"/>
      <c r="F15" s="3" t="n"/>
    </row>
    <row r="16"/>
    <row r="17">
      <c r="A17" s="5" t="inlineStr">
        <is>
          <t>-- Derived Values --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Health Points (HP)</t>
        </is>
      </c>
      <c r="B18" s="4" t="inlineStr">
        <is>
          <t>CONx5+Realm</t>
        </is>
      </c>
      <c r="C18" s="2" t="n"/>
      <c r="D18" s="3" t="n"/>
      <c r="E18" s="11">
        <f>B12*5+IF(F6="Crossing the Threshold",5,IF(F6="Complete Mastery",10,IF(F6="Perfecting the Craft",15,IF(F6="Peak of Perfection",20,IF(F6="Return to Simplicity",25,0)))))</f>
        <v/>
      </c>
      <c r="F18" s="3" t="n"/>
    </row>
    <row r="19">
      <c r="A19" s="6" t="inlineStr">
        <is>
          <t>Qi (True Qi)</t>
        </is>
      </c>
      <c r="B19" s="4" t="inlineStr">
        <is>
          <t>CONxInner Art Coefficient+Realm</t>
        </is>
      </c>
      <c r="C19" s="2" t="n"/>
      <c r="D19" s="3" t="n"/>
      <c r="E19" s="11">
        <f>B12*VALUE(LEFT(H5,1))+IF(F6="Crossing the Threshold",3,IF(F6="Complete Mastery",6,IF(F6="Perfecting the Craft",10,IF(F6="Peak of Perfection",15,IF(F6="Return to Simplicity",20,0)))))</f>
        <v/>
      </c>
      <c r="F19" s="3" t="n"/>
    </row>
    <row r="20">
      <c r="A20" s="6" t="inlineStr">
        <is>
          <t>Initiative</t>
        </is>
      </c>
      <c r="B20" s="4" t="inlineStr">
        <is>
          <t>AGI+WIL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Evasion</t>
        </is>
      </c>
      <c r="B21" s="4" t="inlineStr">
        <is>
          <t>AGI Modifier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Defense</t>
        </is>
      </c>
      <c r="B22" s="4" t="inlineStr">
        <is>
          <t>CON Modifier</t>
        </is>
      </c>
      <c r="C22" s="2" t="n"/>
      <c r="D22" s="3" t="n"/>
      <c r="E22" s="11">
        <f>C12</f>
        <v/>
      </c>
      <c r="F22" s="3" t="n"/>
    </row>
    <row r="23"/>
    <row r="24">
      <c r="A24" s="5" t="inlineStr">
        <is>
          <t>-- Skills --</t>
        </is>
      </c>
      <c r="B24" s="3" t="n"/>
    </row>
    <row r="25">
      <c r="A25" s="6" t="inlineStr">
        <is>
          <t>Technique Reading</t>
        </is>
      </c>
      <c r="B25" s="7" t="inlineStr">
        <is>
          <t>0</t>
        </is>
      </c>
    </row>
    <row r="26">
      <c r="A26" s="6" t="inlineStr">
        <is>
          <t>Jianghu Lore</t>
        </is>
      </c>
      <c r="B26" s="7" t="inlineStr">
        <is>
          <t>0</t>
        </is>
      </c>
    </row>
    <row r="27">
      <c r="A27" s="6" t="inlineStr">
        <is>
          <t>Lightfoot</t>
        </is>
      </c>
      <c r="B27" s="7" t="inlineStr">
        <is>
          <t>0</t>
        </is>
      </c>
    </row>
    <row r="28">
      <c r="A28" s="6" t="inlineStr">
        <is>
          <t>Oratory</t>
        </is>
      </c>
      <c r="B28" s="7" t="inlineStr">
        <is>
          <t>0</t>
        </is>
      </c>
    </row>
    <row r="29">
      <c r="A29" s="6" t="inlineStr">
        <is>
          <t>Climbing</t>
        </is>
      </c>
      <c r="B29" s="7" t="inlineStr">
        <is>
          <t>0</t>
        </is>
      </c>
    </row>
    <row r="30">
      <c r="A30" s="6" t="inlineStr">
        <is>
          <t>Stealth</t>
        </is>
      </c>
      <c r="B30" s="7" t="inlineStr">
        <is>
          <t>3</t>
        </is>
      </c>
    </row>
    <row r="31">
      <c r="A31" s="6" t="inlineStr">
        <is>
          <t>Tracking</t>
        </is>
      </c>
      <c r="B31" s="7" t="inlineStr">
        <is>
          <t>0</t>
        </is>
      </c>
    </row>
    <row r="32">
      <c r="A32" s="6" t="inlineStr">
        <is>
          <t>Read Intent</t>
        </is>
      </c>
      <c r="B32" s="7" t="inlineStr">
        <is>
          <t>0</t>
        </is>
      </c>
    </row>
    <row r="33">
      <c r="A33" s="6" t="inlineStr">
        <is>
          <t>Disguise</t>
        </is>
      </c>
      <c r="B33" s="7" t="inlineStr">
        <is>
          <t>0</t>
        </is>
      </c>
    </row>
    <row r="34">
      <c r="A34" s="6" t="inlineStr">
        <is>
          <t>Lockpicking</t>
        </is>
      </c>
      <c r="B34" s="7" t="inlineStr">
        <is>
          <t>0</t>
        </is>
      </c>
    </row>
    <row r="35">
      <c r="A35" s="6" t="inlineStr">
        <is>
          <t>Trapcraft</t>
        </is>
      </c>
      <c r="B35" s="7" t="inlineStr">
        <is>
          <t>0</t>
        </is>
      </c>
    </row>
    <row r="36">
      <c r="A36" s="6" t="inlineStr">
        <is>
          <t>Medicine</t>
        </is>
      </c>
      <c r="B36" s="7" t="inlineStr">
        <is>
          <t>4</t>
        </is>
      </c>
    </row>
    <row r="37">
      <c r="A37" s="6" t="inlineStr">
        <is>
          <t>Alchemy</t>
        </is>
      </c>
      <c r="B37" s="7" t="inlineStr">
        <is>
          <t>4</t>
        </is>
      </c>
    </row>
    <row r="38">
      <c r="A38" s="6" t="inlineStr">
        <is>
          <t>Poison</t>
        </is>
      </c>
      <c r="B38" s="7" t="inlineStr">
        <is>
          <t>5</t>
        </is>
      </c>
    </row>
    <row r="39">
      <c r="A39" s="6" t="inlineStr">
        <is>
          <t>Hidden Weapon</t>
        </is>
      </c>
      <c r="B39" s="7" t="inlineStr">
        <is>
          <t>0</t>
        </is>
      </c>
    </row>
    <row r="40">
      <c r="A40" s="6" t="inlineStr">
        <is>
          <t>Staff</t>
        </is>
      </c>
      <c r="B40" s="7" t="inlineStr">
        <is>
          <t>0</t>
        </is>
      </c>
    </row>
    <row r="41">
      <c r="A41" s="6" t="inlineStr">
        <is>
          <t>Fist &amp; Palm</t>
        </is>
      </c>
      <c r="B41" s="7" t="inlineStr">
        <is>
          <t>0</t>
        </is>
      </c>
    </row>
    <row r="42">
      <c r="A42" s="6" t="inlineStr">
        <is>
          <t>Saber</t>
        </is>
      </c>
      <c r="B42" s="7" t="inlineStr">
        <is>
          <t>0</t>
        </is>
      </c>
    </row>
    <row r="43">
      <c r="A43" s="6" t="inlineStr">
        <is>
          <t>Sword</t>
        </is>
      </c>
      <c r="B43" s="7" t="inlineStr">
        <is>
          <t>0</t>
        </is>
      </c>
    </row>
    <row r="44"/>
    <row r="45">
      <c r="A45" s="5" t="inlineStr">
        <is>
          <t>-- Martial Arts --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Martial Art</t>
        </is>
      </c>
      <c r="B46" s="9" t="inlineStr">
        <is>
          <t>Type</t>
        </is>
      </c>
      <c r="C46" s="9" t="inlineStr">
        <is>
          <t>Tier</t>
        </is>
      </c>
      <c r="D46" s="9" t="inlineStr">
        <is>
          <t>Force</t>
        </is>
      </c>
      <c r="E46" s="9" t="inlineStr">
        <is>
          <t>Move</t>
        </is>
      </c>
      <c r="F46" s="9" t="inlineStr">
        <is>
          <t>Qi (True Qi)</t>
        </is>
      </c>
      <c r="G46" s="9" t="inlineStr">
        <is>
          <t>Hit</t>
        </is>
      </c>
      <c r="H46" s="9" t="inlineStr">
        <is>
          <t>Damage / Effect</t>
        </is>
      </c>
    </row>
    <row r="47">
      <c r="A47" s="7" t="inlineStr">
        <is>
          <t>Bone-Corrupting Palm</t>
        </is>
      </c>
      <c r="B47" s="7" t="inlineStr">
        <is>
          <t>External Art - Poison</t>
        </is>
      </c>
      <c r="C47" s="7" t="inlineStr">
        <is>
          <t>Superior</t>
        </is>
      </c>
      <c r="D47" s="7" t="inlineStr">
        <is>
          <t>Gentle</t>
        </is>
      </c>
      <c r="E47" s="7" t="inlineStr">
        <is>
          <t>Bone-Eroding</t>
        </is>
      </c>
      <c r="F47" s="7" t="inlineStr">
        <is>
          <t>4</t>
        </is>
      </c>
      <c r="G47" s="7" t="inlineStr">
        <is>
          <t>+6</t>
        </is>
      </c>
      <c r="H47" s="7" t="inlineStr">
        <is>
          <t>3d6+3 + Poisoned 2d4/turn</t>
        </is>
      </c>
    </row>
    <row r="48">
      <c r="A48" s="7" t="inlineStr">
        <is>
          <t>Returning-Spring Art</t>
        </is>
      </c>
      <c r="B48" s="7" t="inlineStr">
        <is>
          <t>Special - Medicine</t>
        </is>
      </c>
      <c r="C48" s="7" t="inlineStr">
        <is>
          <t>Advanced</t>
        </is>
      </c>
      <c r="D48" s="7" t="inlineStr">
        <is>
          <t>--</t>
        </is>
      </c>
      <c r="E48" s="7" t="inlineStr">
        <is>
          <t>--</t>
        </is>
      </c>
      <c r="F48" s="7" t="inlineStr">
        <is>
          <t>3</t>
        </is>
      </c>
      <c r="G48" s="7" t="inlineStr">
        <is>
          <t>--</t>
        </is>
      </c>
      <c r="H48" s="7" t="inlineStr">
        <is>
          <t>Self-recovers 3d6 Health Points (HP)</t>
        </is>
      </c>
    </row>
    <row r="49">
      <c r="A49" s="7" t="inlineStr">
        <is>
          <t>Poison Mist (Dying)</t>
        </is>
      </c>
      <c r="B49" s="7" t="inlineStr">
        <is>
          <t>Special</t>
        </is>
      </c>
      <c r="C49" s="7" t="inlineStr">
        <is>
          <t>--</t>
        </is>
      </c>
      <c r="D49" s="7" t="inlineStr">
        <is>
          <t>--</t>
        </is>
      </c>
      <c r="E49" s="7" t="inlineStr">
        <is>
          <t>--</t>
        </is>
      </c>
      <c r="F49" s="7" t="inlineStr">
        <is>
          <t>--</t>
        </is>
      </c>
      <c r="G49" s="7" t="inlineStr">
        <is>
          <t>--</t>
        </is>
      </c>
      <c r="H49" s="7" t="inlineStr">
        <is>
          <t>Area Poison 2d4/turn</t>
        </is>
      </c>
    </row>
    <row r="50"/>
    <row r="51"/>
    <row r="52"/>
    <row r="53"/>
    <row r="54"/>
    <row r="55"/>
    <row r="56">
      <c r="A56" s="5" t="inlineStr">
        <is>
          <t>-- Equipment --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Weapon</t>
        </is>
      </c>
      <c r="B57" s="9" t="inlineStr">
        <is>
          <t>Armor</t>
        </is>
      </c>
      <c r="C57" s="9" t="inlineStr">
        <is>
          <t>Special</t>
        </is>
      </c>
    </row>
    <row r="58">
      <c r="A58" s="8" t="inlineStr">
        <is>
          <t>Poison Palm</t>
        </is>
      </c>
      <c r="B58" s="8" t="inlineStr">
        <is>
          <t>Dark-Green Long Robe</t>
        </is>
      </c>
      <c r="C58" s="12" t="inlineStr">
        <is>
          <t>Boss Mechanic: each turn auto-recovers 1d6 Health Points (HP) (breakable by fire attack); releases Poison Mist when Dying. Health Points (HP) 45, Qi (True Qi) 30</t>
        </is>
      </c>
      <c r="D58" s="2" t="n"/>
      <c r="E58" s="2" t="n"/>
      <c r="F58" s="3" t="n"/>
    </row>
    <row r="59"/>
    <row r="60"/>
    <row r="61">
      <c r="A61" s="6" t="inlineStr">
        <is>
          <t>Heroism</t>
        </is>
      </c>
      <c r="B61" s="7" t="inlineStr">
        <is>
          <t>-20</t>
        </is>
      </c>
      <c r="D61" s="6" t="inlineStr">
        <is>
          <t>Infamy</t>
        </is>
      </c>
      <c r="E61" s="7" t="inlineStr">
        <is>
          <t>30</t>
        </is>
      </c>
    </row>
  </sheetData>
  <mergeCells count="26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Scenario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-- Basic Info --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Chu Huaisha</t>
        </is>
      </c>
      <c r="C5" s="6" t="inlineStr">
        <is>
          <t>Sect</t>
        </is>
      </c>
      <c r="D5" s="7" t="inlineStr">
        <is>
          <t>Independent</t>
        </is>
      </c>
      <c r="E5" s="6" t="inlineStr">
        <is>
          <t>Realm</t>
        </is>
      </c>
      <c r="F5" s="7" t="inlineStr">
        <is>
          <t>Complete Mastery</t>
        </is>
      </c>
      <c r="G5" s="6" t="inlineStr">
        <is>
          <t>Inner Art Coefficient</t>
        </is>
      </c>
      <c r="H5" s="7" t="inlineStr">
        <is>
          <t>2 (Initiate)</t>
        </is>
      </c>
    </row>
    <row r="6">
      <c r="A6" s="6" t="inlineStr">
        <is>
          <t>Concept</t>
        </is>
      </c>
      <c r="B6" s="8" t="inlineStr">
        <is>
          <t>A Jianghu independent - an 'ordinary person' who will do anything to save his sister. With no sect, he roams the Jianghu relying on Trapcraft and Lightfoot.</t>
        </is>
      </c>
      <c r="C6" s="2" t="n"/>
      <c r="D6" s="2" t="n"/>
      <c r="E6" s="2" t="n"/>
      <c r="F6" s="2" t="n"/>
      <c r="G6" s="2" t="n"/>
      <c r="H6" s="3" t="n"/>
    </row>
    <row r="7"/>
    <row r="8">
      <c r="A8" s="5" t="inlineStr">
        <is>
          <t>-- Six Attributes --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3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Agility (AGI)</t>
        </is>
      </c>
      <c r="B11" s="7" t="inlineStr">
        <is>
          <t>7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Constitution (CON)</t>
        </is>
      </c>
      <c r="B12" s="7" t="inlineStr">
        <is>
          <t>4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Comprehension (CMP)</t>
        </is>
      </c>
      <c r="B13" s="7" t="inlineStr">
        <is>
          <t>6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Willpower (WIL)</t>
        </is>
      </c>
      <c r="B14" s="7" t="inlineStr">
        <is>
          <t>5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Charisma (CHA)</t>
        </is>
      </c>
      <c r="B15" s="7" t="inlineStr">
        <is>
          <t>4</t>
        </is>
      </c>
      <c r="C15" s="10">
        <f>B15-4</f>
        <v/>
      </c>
      <c r="D15" s="4" t="n"/>
      <c r="E15" s="2" t="n"/>
      <c r="F15" s="3" t="n"/>
    </row>
    <row r="16"/>
    <row r="17">
      <c r="A17" s="5" t="inlineStr">
        <is>
          <t>-- Derived Values --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Health Points (HP)</t>
        </is>
      </c>
      <c r="B18" s="4" t="inlineStr">
        <is>
          <t>CONx5+Realm</t>
        </is>
      </c>
      <c r="C18" s="2" t="n"/>
      <c r="D18" s="3" t="n"/>
      <c r="E18" s="11">
        <f>B12*5+IF(F6="Crossing the Threshold",5,IF(F6="Complete Mastery",10,IF(F6="Perfecting the Craft",15,IF(F6="Peak of Perfection",20,IF(F6="Return to Simplicity",25,0)))))</f>
        <v/>
      </c>
      <c r="F18" s="3" t="n"/>
    </row>
    <row r="19">
      <c r="A19" s="6" t="inlineStr">
        <is>
          <t>Qi (True Qi)</t>
        </is>
      </c>
      <c r="B19" s="4" t="inlineStr">
        <is>
          <t>CONxInner Art Coefficient+Realm</t>
        </is>
      </c>
      <c r="C19" s="2" t="n"/>
      <c r="D19" s="3" t="n"/>
      <c r="E19" s="11">
        <f>B12*VALUE(LEFT(H5,1))+IF(F6="Crossing the Threshold",3,IF(F6="Complete Mastery",6,IF(F6="Perfecting the Craft",10,IF(F6="Peak of Perfection",15,IF(F6="Return to Simplicity",20,0)))))</f>
        <v/>
      </c>
      <c r="F19" s="3" t="n"/>
    </row>
    <row r="20">
      <c r="A20" s="6" t="inlineStr">
        <is>
          <t>Initiative</t>
        </is>
      </c>
      <c r="B20" s="4" t="inlineStr">
        <is>
          <t>AGI+WIL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Evasion</t>
        </is>
      </c>
      <c r="B21" s="4" t="inlineStr">
        <is>
          <t>AGI Modifier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Defense</t>
        </is>
      </c>
      <c r="B22" s="4" t="inlineStr">
        <is>
          <t>CON Modifier</t>
        </is>
      </c>
      <c r="C22" s="2" t="n"/>
      <c r="D22" s="3" t="n"/>
      <c r="E22" s="11">
        <f>C12</f>
        <v/>
      </c>
      <c r="F22" s="3" t="n"/>
    </row>
    <row r="23"/>
    <row r="24">
      <c r="A24" s="5" t="inlineStr">
        <is>
          <t>-- Skills --</t>
        </is>
      </c>
      <c r="B24" s="3" t="n"/>
    </row>
    <row r="25">
      <c r="A25" s="6" t="inlineStr">
        <is>
          <t>Technique Reading</t>
        </is>
      </c>
      <c r="B25" s="7" t="inlineStr">
        <is>
          <t>3</t>
        </is>
      </c>
    </row>
    <row r="26">
      <c r="A26" s="6" t="inlineStr">
        <is>
          <t>Jianghu Lore</t>
        </is>
      </c>
      <c r="B26" s="7" t="inlineStr">
        <is>
          <t>0</t>
        </is>
      </c>
    </row>
    <row r="27">
      <c r="A27" s="6" t="inlineStr">
        <is>
          <t>Lightfoot</t>
        </is>
      </c>
      <c r="B27" s="7" t="inlineStr">
        <is>
          <t>5</t>
        </is>
      </c>
    </row>
    <row r="28">
      <c r="A28" s="6" t="inlineStr">
        <is>
          <t>Oratory</t>
        </is>
      </c>
      <c r="B28" s="7" t="inlineStr">
        <is>
          <t>0</t>
        </is>
      </c>
    </row>
    <row r="29">
      <c r="A29" s="6" t="inlineStr">
        <is>
          <t>Climbing</t>
        </is>
      </c>
      <c r="B29" s="7" t="inlineStr">
        <is>
          <t>0</t>
        </is>
      </c>
    </row>
    <row r="30">
      <c r="A30" s="6" t="inlineStr">
        <is>
          <t>Stealth</t>
        </is>
      </c>
      <c r="B30" s="7" t="inlineStr">
        <is>
          <t>3</t>
        </is>
      </c>
    </row>
    <row r="31">
      <c r="A31" s="6" t="inlineStr">
        <is>
          <t>Tracking</t>
        </is>
      </c>
      <c r="B31" s="7" t="inlineStr">
        <is>
          <t>0</t>
        </is>
      </c>
    </row>
    <row r="32">
      <c r="A32" s="6" t="inlineStr">
        <is>
          <t>Read Intent</t>
        </is>
      </c>
      <c r="B32" s="7" t="inlineStr">
        <is>
          <t>0</t>
        </is>
      </c>
    </row>
    <row r="33">
      <c r="A33" s="6" t="inlineStr">
        <is>
          <t>Disguise</t>
        </is>
      </c>
      <c r="B33" s="7" t="inlineStr">
        <is>
          <t>0</t>
        </is>
      </c>
    </row>
    <row r="34">
      <c r="A34" s="6" t="inlineStr">
        <is>
          <t>Lockpicking</t>
        </is>
      </c>
      <c r="B34" s="7" t="inlineStr">
        <is>
          <t>3</t>
        </is>
      </c>
    </row>
    <row r="35">
      <c r="A35" s="6" t="inlineStr">
        <is>
          <t>Trapcraft</t>
        </is>
      </c>
      <c r="B35" s="7" t="inlineStr">
        <is>
          <t>4</t>
        </is>
      </c>
    </row>
    <row r="36">
      <c r="A36" s="6" t="inlineStr">
        <is>
          <t>Medicine</t>
        </is>
      </c>
      <c r="B36" s="7" t="inlineStr">
        <is>
          <t>0</t>
        </is>
      </c>
    </row>
    <row r="37">
      <c r="A37" s="6" t="inlineStr">
        <is>
          <t>Alchemy</t>
        </is>
      </c>
      <c r="B37" s="7" t="inlineStr">
        <is>
          <t>0</t>
        </is>
      </c>
    </row>
    <row r="38">
      <c r="A38" s="6" t="inlineStr">
        <is>
          <t>Poison</t>
        </is>
      </c>
      <c r="B38" s="7" t="inlineStr">
        <is>
          <t>0</t>
        </is>
      </c>
    </row>
    <row r="39">
      <c r="A39" s="6" t="inlineStr">
        <is>
          <t>Hidden Weapon</t>
        </is>
      </c>
      <c r="B39" s="7" t="inlineStr">
        <is>
          <t>0</t>
        </is>
      </c>
    </row>
    <row r="40">
      <c r="A40" s="6" t="inlineStr">
        <is>
          <t>Staff</t>
        </is>
      </c>
      <c r="B40" s="7" t="inlineStr">
        <is>
          <t>0</t>
        </is>
      </c>
    </row>
    <row r="41">
      <c r="A41" s="6" t="inlineStr">
        <is>
          <t>Fist &amp; Palm</t>
        </is>
      </c>
      <c r="B41" s="7" t="inlineStr">
        <is>
          <t>0</t>
        </is>
      </c>
    </row>
    <row r="42">
      <c r="A42" s="6" t="inlineStr">
        <is>
          <t>Saber</t>
        </is>
      </c>
      <c r="B42" s="7" t="inlineStr">
        <is>
          <t>0</t>
        </is>
      </c>
    </row>
    <row r="43">
      <c r="A43" s="6" t="inlineStr">
        <is>
          <t>Sword</t>
        </is>
      </c>
      <c r="B43" s="7" t="inlineStr">
        <is>
          <t>0</t>
        </is>
      </c>
    </row>
    <row r="44"/>
    <row r="45">
      <c r="A45" s="5" t="inlineStr">
        <is>
          <t>-- Martial Arts --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Martial Art</t>
        </is>
      </c>
      <c r="B46" s="9" t="inlineStr">
        <is>
          <t>Type</t>
        </is>
      </c>
      <c r="C46" s="9" t="inlineStr">
        <is>
          <t>Tier</t>
        </is>
      </c>
      <c r="D46" s="9" t="inlineStr">
        <is>
          <t>Force</t>
        </is>
      </c>
      <c r="E46" s="9" t="inlineStr">
        <is>
          <t>Move</t>
        </is>
      </c>
      <c r="F46" s="9" t="inlineStr">
        <is>
          <t>Qi (True Qi)</t>
        </is>
      </c>
      <c r="G46" s="9" t="inlineStr">
        <is>
          <t>Hit</t>
        </is>
      </c>
      <c r="H46" s="9" t="inlineStr">
        <is>
          <t>Damage / Effect</t>
        </is>
      </c>
    </row>
    <row r="47">
      <c r="A47" s="7" t="inlineStr">
        <is>
          <t>Wind-Chasing Palm</t>
        </is>
      </c>
      <c r="B47" s="7" t="inlineStr">
        <is>
          <t>External Art - Fist &amp; Palm</t>
        </is>
      </c>
      <c r="C47" s="7" t="inlineStr">
        <is>
          <t>Advanced</t>
        </is>
      </c>
      <c r="D47" s="7" t="inlineStr">
        <is>
          <t>Swift</t>
        </is>
      </c>
      <c r="E47" s="7" t="inlineStr">
        <is>
          <t>Wind-Chasing</t>
        </is>
      </c>
      <c r="F47" s="7" t="inlineStr">
        <is>
          <t>2</t>
        </is>
      </c>
      <c r="G47" s="7" t="inlineStr">
        <is>
          <t>+4</t>
        </is>
      </c>
      <c r="H47" s="7" t="inlineStr">
        <is>
          <t>2d6+3</t>
        </is>
      </c>
    </row>
    <row r="48">
      <c r="A48" s="7" t="inlineStr">
        <is>
          <t>Mechanism Trap</t>
        </is>
      </c>
      <c r="B48" s="7" t="inlineStr">
        <is>
          <t>Special</t>
        </is>
      </c>
      <c r="C48" s="7" t="inlineStr">
        <is>
          <t>Advanced</t>
        </is>
      </c>
      <c r="D48" s="7" t="inlineStr">
        <is>
          <t>--</t>
        </is>
      </c>
      <c r="E48" s="7" t="inlineStr">
        <is>
          <t>--</t>
        </is>
      </c>
      <c r="F48" s="7" t="inlineStr">
        <is>
          <t>3</t>
        </is>
      </c>
      <c r="G48" s="7" t="inlineStr">
        <is>
          <t>--</t>
        </is>
      </c>
      <c r="H48" s="7" t="inlineStr">
        <is>
          <t>Smoke Bomb / Poison Smoke / Rope Net (5 pre-laid)</t>
        </is>
      </c>
    </row>
    <row r="49"/>
    <row r="50"/>
    <row r="51"/>
    <row r="52"/>
    <row r="53"/>
    <row r="54"/>
    <row r="55"/>
    <row r="56">
      <c r="A56" s="5" t="inlineStr">
        <is>
          <t>-- Equipment --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Weapon</t>
        </is>
      </c>
      <c r="B57" s="9" t="inlineStr">
        <is>
          <t>Armor</t>
        </is>
      </c>
      <c r="C57" s="9" t="inlineStr">
        <is>
          <t>Special</t>
        </is>
      </c>
    </row>
    <row r="58">
      <c r="A58" s="8" t="inlineStr">
        <is>
          <t>Bare Fists</t>
        </is>
      </c>
      <c r="B58" s="8" t="inlineStr">
        <is>
          <t>Gray Travel Garb</t>
        </is>
      </c>
      <c r="C58" s="12" t="inlineStr">
        <is>
          <t>Non-Boss fight - wishes only to flee, not to kill. Health Points (HP) 28, Qi (True Qi) 20</t>
        </is>
      </c>
      <c r="D58" s="2" t="n"/>
      <c r="E58" s="2" t="n"/>
      <c r="F58" s="3" t="n"/>
    </row>
    <row r="59"/>
    <row r="60"/>
    <row r="61">
      <c r="A61" s="6" t="inlineStr">
        <is>
          <t>Heroism</t>
        </is>
      </c>
      <c r="B61" s="7" t="inlineStr">
        <is>
          <t>5</t>
        </is>
      </c>
      <c r="D61" s="6" t="inlineStr">
        <is>
          <t>Infamy</t>
        </is>
      </c>
      <c r="E61" s="7" t="inlineStr">
        <is>
          <t>0</t>
        </is>
      </c>
    </row>
    <row r="62"/>
    <row r="63">
      <c r="A63" t="inlineStr">
        <is>
          <t>Can learn from a master (Difficulty Class (DC) 14): Wind-Chasing Palm + Trapcraft.</t>
        </is>
      </c>
    </row>
  </sheetData>
  <mergeCells count="26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Scenario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-- Basic Info --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Jin Ridi</t>
        </is>
      </c>
      <c r="C5" s="6" t="inlineStr">
        <is>
          <t>Sect</t>
        </is>
      </c>
      <c r="D5" s="7" t="inlineStr">
        <is>
          <t>Barbarian</t>
        </is>
      </c>
      <c r="E5" s="6" t="inlineStr">
        <is>
          <t>Realm</t>
        </is>
      </c>
      <c r="F5" s="7" t="inlineStr">
        <is>
          <t>Return to Simplicity</t>
        </is>
      </c>
      <c r="G5" s="6" t="inlineStr">
        <is>
          <t>Inner Art Coefficient</t>
        </is>
      </c>
      <c r="H5" s="7" t="inlineStr">
        <is>
          <t>1 (No Inner Art)</t>
        </is>
      </c>
    </row>
    <row r="6">
      <c r="A6" s="6" t="inlineStr">
        <is>
          <t>Concept</t>
        </is>
      </c>
      <c r="B6" s="8" t="inlineStr">
        <is>
          <t>Supreme Commander of the Barbarians, bearing the 'Beast King's Blood' that shares its origin with Wanxiang Grotto's martial vein. Successive droughts on the steppe forced a southward invasion.</t>
        </is>
      </c>
      <c r="C6" s="2" t="n"/>
      <c r="D6" s="2" t="n"/>
      <c r="E6" s="2" t="n"/>
      <c r="F6" s="2" t="n"/>
      <c r="G6" s="2" t="n"/>
      <c r="H6" s="3" t="n"/>
    </row>
    <row r="7"/>
    <row r="8">
      <c r="A8" s="5" t="inlineStr">
        <is>
          <t>-- Six Attributes --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11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Agility (AGI)</t>
        </is>
      </c>
      <c r="B11" s="7" t="inlineStr">
        <is>
          <t>7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Constitution (CON)</t>
        </is>
      </c>
      <c r="B12" s="7" t="inlineStr">
        <is>
          <t>10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Comprehension (CMP)</t>
        </is>
      </c>
      <c r="B13" s="7" t="inlineStr">
        <is>
          <t>4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Willpower (WIL)</t>
        </is>
      </c>
      <c r="B14" s="7" t="inlineStr">
        <is>
          <t>8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Charisma (CHA)</t>
        </is>
      </c>
      <c r="B15" s="7" t="inlineStr">
        <is>
          <t>5</t>
        </is>
      </c>
      <c r="C15" s="10">
        <f>B15-4</f>
        <v/>
      </c>
      <c r="D15" s="4" t="n"/>
      <c r="E15" s="2" t="n"/>
      <c r="F15" s="3" t="n"/>
    </row>
    <row r="16"/>
    <row r="17">
      <c r="A17" s="5" t="inlineStr">
        <is>
          <t>-- Derived Values --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Health Points (HP)</t>
        </is>
      </c>
      <c r="B18" s="4" t="inlineStr">
        <is>
          <t>CONx5+Realm</t>
        </is>
      </c>
      <c r="C18" s="2" t="n"/>
      <c r="D18" s="3" t="n"/>
      <c r="E18" s="11">
        <f>B12*5+IF(F6="Crossing the Threshold",5,IF(F6="Complete Mastery",10,IF(F6="Perfecting the Craft",15,IF(F6="Peak of Perfection",20,IF(F6="Return to Simplicity",25,0)))))</f>
        <v/>
      </c>
      <c r="F18" s="3" t="n"/>
    </row>
    <row r="19">
      <c r="A19" s="6" t="inlineStr">
        <is>
          <t>Qi (True Qi)</t>
        </is>
      </c>
      <c r="B19" s="4" t="inlineStr">
        <is>
          <t>CONxInner Art Coefficient+Realm</t>
        </is>
      </c>
      <c r="C19" s="2" t="n"/>
      <c r="D19" s="3" t="n"/>
      <c r="E19" s="11">
        <f>B12*VALUE(LEFT(H5,1))+IF(F6="Crossing the Threshold",3,IF(F6="Complete Mastery",6,IF(F6="Perfecting the Craft",10,IF(F6="Peak of Perfection",15,IF(F6="Return to Simplicity",20,0)))))</f>
        <v/>
      </c>
      <c r="F19" s="3" t="n"/>
    </row>
    <row r="20">
      <c r="A20" s="6" t="inlineStr">
        <is>
          <t>Initiative</t>
        </is>
      </c>
      <c r="B20" s="4" t="inlineStr">
        <is>
          <t>AGI+WIL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Evasion</t>
        </is>
      </c>
      <c r="B21" s="4" t="inlineStr">
        <is>
          <t>AGI Modifier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Defense</t>
        </is>
      </c>
      <c r="B22" s="4" t="inlineStr">
        <is>
          <t>CON Modifier</t>
        </is>
      </c>
      <c r="C22" s="2" t="n"/>
      <c r="D22" s="3" t="n"/>
      <c r="E22" s="11">
        <f>C12</f>
        <v/>
      </c>
      <c r="F22" s="3" t="n"/>
    </row>
    <row r="23"/>
    <row r="24">
      <c r="A24" s="5" t="inlineStr">
        <is>
          <t>-- Skills --</t>
        </is>
      </c>
      <c r="B24" s="3" t="n"/>
    </row>
    <row r="25">
      <c r="A25" s="6" t="inlineStr">
        <is>
          <t>Technique Reading</t>
        </is>
      </c>
      <c r="B25" s="7" t="inlineStr">
        <is>
          <t>0</t>
        </is>
      </c>
    </row>
    <row r="26">
      <c r="A26" s="6" t="inlineStr">
        <is>
          <t>Jianghu Lore</t>
        </is>
      </c>
      <c r="B26" s="7" t="inlineStr">
        <is>
          <t>0</t>
        </is>
      </c>
    </row>
    <row r="27">
      <c r="A27" s="6" t="inlineStr">
        <is>
          <t>Lightfoot</t>
        </is>
      </c>
      <c r="B27" s="7" t="inlineStr">
        <is>
          <t>0</t>
        </is>
      </c>
    </row>
    <row r="28">
      <c r="A28" s="6" t="inlineStr">
        <is>
          <t>Oratory</t>
        </is>
      </c>
      <c r="B28" s="7" t="inlineStr">
        <is>
          <t>0</t>
        </is>
      </c>
    </row>
    <row r="29">
      <c r="A29" s="6" t="inlineStr">
        <is>
          <t>Climbing</t>
        </is>
      </c>
      <c r="B29" s="7" t="inlineStr">
        <is>
          <t>0</t>
        </is>
      </c>
    </row>
    <row r="30">
      <c r="A30" s="6" t="inlineStr">
        <is>
          <t>Stealth</t>
        </is>
      </c>
      <c r="B30" s="7" t="inlineStr">
        <is>
          <t>0</t>
        </is>
      </c>
    </row>
    <row r="31">
      <c r="A31" s="6" t="inlineStr">
        <is>
          <t>Tracking</t>
        </is>
      </c>
      <c r="B31" s="7" t="inlineStr">
        <is>
          <t>4</t>
        </is>
      </c>
    </row>
    <row r="32">
      <c r="A32" s="6" t="inlineStr">
        <is>
          <t>Read Intent</t>
        </is>
      </c>
      <c r="B32" s="7" t="inlineStr">
        <is>
          <t>0</t>
        </is>
      </c>
    </row>
    <row r="33">
      <c r="A33" s="6" t="inlineStr">
        <is>
          <t>Disguise</t>
        </is>
      </c>
      <c r="B33" s="7" t="inlineStr">
        <is>
          <t>0</t>
        </is>
      </c>
    </row>
    <row r="34">
      <c r="A34" s="6" t="inlineStr">
        <is>
          <t>Lockpicking</t>
        </is>
      </c>
      <c r="B34" s="7" t="inlineStr">
        <is>
          <t>0</t>
        </is>
      </c>
    </row>
    <row r="35">
      <c r="A35" s="6" t="inlineStr">
        <is>
          <t>Trapcraft</t>
        </is>
      </c>
      <c r="B35" s="7" t="inlineStr">
        <is>
          <t>0</t>
        </is>
      </c>
    </row>
    <row r="36">
      <c r="A36" s="6" t="inlineStr">
        <is>
          <t>Medicine</t>
        </is>
      </c>
      <c r="B36" s="7" t="inlineStr">
        <is>
          <t>0</t>
        </is>
      </c>
    </row>
    <row r="37">
      <c r="A37" s="6" t="inlineStr">
        <is>
          <t>Alchemy</t>
        </is>
      </c>
      <c r="B37" s="7" t="inlineStr">
        <is>
          <t>0</t>
        </is>
      </c>
    </row>
    <row r="38">
      <c r="A38" s="6" t="inlineStr">
        <is>
          <t>Poison</t>
        </is>
      </c>
      <c r="B38" s="7" t="inlineStr">
        <is>
          <t>0</t>
        </is>
      </c>
    </row>
    <row r="39">
      <c r="A39" s="6" t="inlineStr">
        <is>
          <t>Hidden Weapon</t>
        </is>
      </c>
      <c r="B39" s="7" t="inlineStr">
        <is>
          <t>0</t>
        </is>
      </c>
    </row>
    <row r="40">
      <c r="A40" s="6" t="inlineStr">
        <is>
          <t>Staff</t>
        </is>
      </c>
      <c r="B40" s="7" t="inlineStr">
        <is>
          <t>5</t>
        </is>
      </c>
    </row>
    <row r="41">
      <c r="A41" s="6" t="inlineStr">
        <is>
          <t>Fist &amp; Palm</t>
        </is>
      </c>
      <c r="B41" s="7" t="inlineStr">
        <is>
          <t>0</t>
        </is>
      </c>
    </row>
    <row r="42">
      <c r="A42" s="6" t="inlineStr">
        <is>
          <t>Saber</t>
        </is>
      </c>
      <c r="B42" s="7" t="inlineStr">
        <is>
          <t>0</t>
        </is>
      </c>
    </row>
    <row r="43">
      <c r="A43" s="6" t="inlineStr">
        <is>
          <t>Sword</t>
        </is>
      </c>
      <c r="B43" s="7" t="inlineStr">
        <is>
          <t>0</t>
        </is>
      </c>
    </row>
    <row r="44"/>
    <row r="45">
      <c r="A45" s="5" t="inlineStr">
        <is>
          <t>-- Martial Arts --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Martial Art</t>
        </is>
      </c>
      <c r="B46" s="9" t="inlineStr">
        <is>
          <t>Type</t>
        </is>
      </c>
      <c r="C46" s="9" t="inlineStr">
        <is>
          <t>Tier</t>
        </is>
      </c>
      <c r="D46" s="9" t="inlineStr">
        <is>
          <t>Force</t>
        </is>
      </c>
      <c r="E46" s="9" t="inlineStr">
        <is>
          <t>Move</t>
        </is>
      </c>
      <c r="F46" s="9" t="inlineStr">
        <is>
          <t>Qi (True Qi)</t>
        </is>
      </c>
      <c r="G46" s="9" t="inlineStr">
        <is>
          <t>Hit</t>
        </is>
      </c>
      <c r="H46" s="9" t="inlineStr">
        <is>
          <t>Damage / Effect</t>
        </is>
      </c>
    </row>
    <row r="47">
      <c r="A47" s="7" t="inlineStr">
        <is>
          <t>Mountain-Shattering Slash</t>
        </is>
      </c>
      <c r="B47" s="7" t="inlineStr">
        <is>
          <t>External Art - Blunt</t>
        </is>
      </c>
      <c r="C47" s="7" t="inlineStr">
        <is>
          <t>Supreme</t>
        </is>
      </c>
      <c r="D47" s="7" t="inlineStr">
        <is>
          <t>Firm</t>
        </is>
      </c>
      <c r="E47" s="7" t="inlineStr">
        <is>
          <t>Mountain-Shatter</t>
        </is>
      </c>
      <c r="F47" s="7" t="inlineStr">
        <is>
          <t>--</t>
        </is>
      </c>
      <c r="G47" s="7" t="inlineStr">
        <is>
          <t>+8</t>
        </is>
      </c>
      <c r="H47" s="7" t="inlineStr">
        <is>
          <t>4d10+STRx2 Knockback 3-step</t>
        </is>
      </c>
    </row>
    <row r="48">
      <c r="A48" s="7" t="inlineStr">
        <is>
          <t>Earth Roar</t>
        </is>
      </c>
      <c r="B48" s="7" t="inlineStr">
        <is>
          <t>Area Attack</t>
        </is>
      </c>
      <c r="C48" s="7" t="inlineStr">
        <is>
          <t>Supreme</t>
        </is>
      </c>
      <c r="D48" s="7" t="inlineStr">
        <is>
          <t>Firm</t>
        </is>
      </c>
      <c r="E48" s="7" t="inlineStr">
        <is>
          <t>--</t>
        </is>
      </c>
      <c r="F48" s="7" t="inlineStr">
        <is>
          <t>--</t>
        </is>
      </c>
      <c r="G48" s="7" t="inlineStr">
        <is>
          <t>Difficulty Class (DC) 18</t>
        </is>
      </c>
      <c r="H48" s="7" t="inlineStr">
        <is>
          <t>3d8+3 radius 3-step</t>
        </is>
      </c>
    </row>
    <row r="49">
      <c r="A49" s="7" t="inlineStr">
        <is>
          <t>Wolf Pack Summon</t>
        </is>
      </c>
      <c r="B49" s="7" t="inlineStr">
        <is>
          <t>Special</t>
        </is>
      </c>
      <c r="C49" s="7" t="inlineStr">
        <is>
          <t>--</t>
        </is>
      </c>
      <c r="D49" s="7" t="inlineStr">
        <is>
          <t>--</t>
        </is>
      </c>
      <c r="E49" s="7" t="inlineStr">
        <is>
          <t>--</t>
        </is>
      </c>
      <c r="F49" s="7" t="inlineStr">
        <is>
          <t>--</t>
        </is>
      </c>
      <c r="G49" s="7" t="inlineStr">
        <is>
          <t>--</t>
        </is>
      </c>
      <c r="H49" s="7" t="inlineStr">
        <is>
          <t>Summon 3 Ghost Wolves (Health Points (HP) 20)</t>
        </is>
      </c>
    </row>
    <row r="50">
      <c r="A50" s="7" t="inlineStr">
        <is>
          <t>Beast King's Blood</t>
        </is>
      </c>
      <c r="B50" s="7" t="inlineStr">
        <is>
          <t>Passive</t>
        </is>
      </c>
      <c r="C50" s="7" t="inlineStr">
        <is>
          <t>--</t>
        </is>
      </c>
      <c r="D50" s="7" t="inlineStr">
        <is>
          <t>--</t>
        </is>
      </c>
      <c r="E50" s="7" t="inlineStr">
        <is>
          <t>--</t>
        </is>
      </c>
      <c r="F50" s="7" t="inlineStr">
        <is>
          <t>--</t>
        </is>
      </c>
      <c r="G50" s="7" t="inlineStr">
        <is>
          <t>--</t>
        </is>
      </c>
      <c r="H50" s="7" t="inlineStr">
        <is>
          <t>Losing 1 Health Point (HP) grants Blood Fury; 5 points = Hit +1 (max +5)</t>
        </is>
      </c>
    </row>
    <row r="51"/>
    <row r="52"/>
    <row r="53"/>
    <row r="54"/>
    <row r="55"/>
    <row r="56">
      <c r="A56" s="5" t="inlineStr">
        <is>
          <t>-- Equipment --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Weapon</t>
        </is>
      </c>
      <c r="B57" s="9" t="inlineStr">
        <is>
          <t>Armor</t>
        </is>
      </c>
      <c r="C57" s="9" t="inlineStr">
        <is>
          <t>Special</t>
        </is>
      </c>
    </row>
    <row r="58">
      <c r="A58" s="8" t="inlineStr">
        <is>
          <t>Giant War Hammer (4d10)</t>
        </is>
      </c>
      <c r="B58" s="8" t="inlineStr">
        <is>
          <t>Beast-Bone War Armor</t>
        </is>
      </c>
      <c r="C58" s="12" t="inlineStr">
        <is>
          <t>Final Boss - Sixth Realm. Weakness: Internal Injury deals 1.5x to him. A peaceful route is possible (Charisma Difficulty Class (DC) 22). Health Points (HP) 100</t>
        </is>
      </c>
      <c r="D58" s="2" t="n"/>
      <c r="E58" s="2" t="n"/>
      <c r="F58" s="3" t="n"/>
    </row>
    <row r="59"/>
    <row r="60"/>
    <row r="61">
      <c r="A61" s="6" t="inlineStr">
        <is>
          <t>Heroism</t>
        </is>
      </c>
      <c r="B61" s="7" t="inlineStr">
        <is>
          <t>-40</t>
        </is>
      </c>
      <c r="D61" s="6" t="inlineStr">
        <is>
          <t>Infamy</t>
        </is>
      </c>
      <c r="E61" s="7" t="inlineStr">
        <is>
          <t>60</t>
        </is>
      </c>
    </row>
  </sheetData>
  <mergeCells count="26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Scenario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-- Basic Info --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Tie Jingxin</t>
        </is>
      </c>
      <c r="C5" s="6" t="inlineStr">
        <is>
          <t>Sect</t>
        </is>
      </c>
      <c r="D5" s="7" t="inlineStr">
        <is>
          <t>Six Doors</t>
        </is>
      </c>
      <c r="E5" s="6" t="inlineStr">
        <is>
          <t>Realm</t>
        </is>
      </c>
      <c r="F5" s="7" t="inlineStr">
        <is>
          <t>Perfecting the Craft</t>
        </is>
      </c>
      <c r="G5" s="6" t="inlineStr">
        <is>
          <t>Inner Art Coefficient</t>
        </is>
      </c>
      <c r="H5" s="7" t="inlineStr">
        <is>
          <t>3 (Orthodox)</t>
        </is>
      </c>
    </row>
    <row r="6">
      <c r="A6" s="6" t="inlineStr">
        <is>
          <t>Concept</t>
        </is>
      </c>
      <c r="B6" s="8" t="inlineStr">
        <is>
          <t>Hall Master of the Six Doors' Luoyang Branch, the court's ultimate armed force in the Jianghu. Iron-mask and incorruptible; his martial art is firm and righteous, leaving no quarter. Heaven Ranking #8.</t>
        </is>
      </c>
      <c r="C6" s="2" t="n"/>
      <c r="D6" s="2" t="n"/>
      <c r="E6" s="2" t="n"/>
      <c r="F6" s="2" t="n"/>
      <c r="G6" s="2" t="n"/>
      <c r="H6" s="3" t="n"/>
    </row>
    <row r="7"/>
    <row r="8">
      <c r="A8" s="5" t="inlineStr">
        <is>
          <t>-- Six Attributes --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8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Agility (AGI)</t>
        </is>
      </c>
      <c r="B11" s="7" t="inlineStr">
        <is>
          <t>5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Constitution (CON)</t>
        </is>
      </c>
      <c r="B12" s="7" t="inlineStr">
        <is>
          <t>7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Comprehension (CMP)</t>
        </is>
      </c>
      <c r="B13" s="7" t="inlineStr">
        <is>
          <t>5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Willpower (WIL)</t>
        </is>
      </c>
      <c r="B14" s="7" t="inlineStr">
        <is>
          <t>7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Charisma (CHA)</t>
        </is>
      </c>
      <c r="B15" s="7" t="inlineStr">
        <is>
          <t>4</t>
        </is>
      </c>
      <c r="C15" s="10">
        <f>B15-4</f>
        <v/>
      </c>
      <c r="D15" s="4" t="n"/>
      <c r="E15" s="2" t="n"/>
      <c r="F15" s="3" t="n"/>
    </row>
    <row r="16"/>
    <row r="17">
      <c r="A17" s="5" t="inlineStr">
        <is>
          <t>-- Derived Values --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Health Points (HP)</t>
        </is>
      </c>
      <c r="B18" s="4" t="inlineStr">
        <is>
          <t>CONx5+Realm</t>
        </is>
      </c>
      <c r="C18" s="2" t="n"/>
      <c r="D18" s="3" t="n"/>
      <c r="E18" s="11">
        <f>B12*5+IF(F6="Crossing the Threshold",5,IF(F6="Complete Mastery",10,IF(F6="Perfecting the Craft",15,IF(F6="Peak of Perfection",20,IF(F6="Return to Simplicity",25,0)))))</f>
        <v/>
      </c>
      <c r="F18" s="3" t="n"/>
    </row>
    <row r="19">
      <c r="A19" s="6" t="inlineStr">
        <is>
          <t>Qi (True Qi)</t>
        </is>
      </c>
      <c r="B19" s="4" t="inlineStr">
        <is>
          <t>CONxInner Art Coefficient+Realm</t>
        </is>
      </c>
      <c r="C19" s="2" t="n"/>
      <c r="D19" s="3" t="n"/>
      <c r="E19" s="11">
        <f>B12*VALUE(LEFT(H5,1))+IF(F6="Crossing the Threshold",3,IF(F6="Complete Mastery",6,IF(F6="Perfecting the Craft",10,IF(F6="Peak of Perfection",15,IF(F6="Return to Simplicity",20,0)))))</f>
        <v/>
      </c>
      <c r="F19" s="3" t="n"/>
    </row>
    <row r="20">
      <c r="A20" s="6" t="inlineStr">
        <is>
          <t>Initiative</t>
        </is>
      </c>
      <c r="B20" s="4" t="inlineStr">
        <is>
          <t>AGI+WIL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Evasion</t>
        </is>
      </c>
      <c r="B21" s="4" t="inlineStr">
        <is>
          <t>AGI Modifier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Defense</t>
        </is>
      </c>
      <c r="B22" s="4" t="inlineStr">
        <is>
          <t>CON Modifier</t>
        </is>
      </c>
      <c r="C22" s="2" t="n"/>
      <c r="D22" s="3" t="n"/>
      <c r="E22" s="11">
        <f>C12</f>
        <v/>
      </c>
      <c r="F22" s="3" t="n"/>
    </row>
    <row r="23"/>
    <row r="24">
      <c r="A24" s="5" t="inlineStr">
        <is>
          <t>-- Skills --</t>
        </is>
      </c>
      <c r="B24" s="3" t="n"/>
    </row>
    <row r="25">
      <c r="A25" s="6" t="inlineStr">
        <is>
          <t>Technique Reading</t>
        </is>
      </c>
      <c r="B25" s="7" t="inlineStr">
        <is>
          <t>4</t>
        </is>
      </c>
    </row>
    <row r="26">
      <c r="A26" s="6" t="inlineStr">
        <is>
          <t>Jianghu Lore</t>
        </is>
      </c>
      <c r="B26" s="7" t="inlineStr">
        <is>
          <t>3</t>
        </is>
      </c>
    </row>
    <row r="27">
      <c r="A27" s="6" t="inlineStr">
        <is>
          <t>Lightfoot</t>
        </is>
      </c>
      <c r="B27" s="7" t="inlineStr">
        <is>
          <t>0</t>
        </is>
      </c>
    </row>
    <row r="28">
      <c r="A28" s="6" t="inlineStr">
        <is>
          <t>Oratory</t>
        </is>
      </c>
      <c r="B28" s="7" t="inlineStr">
        <is>
          <t>0</t>
        </is>
      </c>
    </row>
    <row r="29">
      <c r="A29" s="6" t="inlineStr">
        <is>
          <t>Climbing</t>
        </is>
      </c>
      <c r="B29" s="7" t="inlineStr">
        <is>
          <t>0</t>
        </is>
      </c>
    </row>
    <row r="30">
      <c r="A30" s="6" t="inlineStr">
        <is>
          <t>Stealth</t>
        </is>
      </c>
      <c r="B30" s="7" t="inlineStr">
        <is>
          <t>0</t>
        </is>
      </c>
    </row>
    <row r="31">
      <c r="A31" s="6" t="inlineStr">
        <is>
          <t>Tracking</t>
        </is>
      </c>
      <c r="B31" s="7" t="inlineStr">
        <is>
          <t>3</t>
        </is>
      </c>
    </row>
    <row r="32">
      <c r="A32" s="6" t="inlineStr">
        <is>
          <t>Read Intent</t>
        </is>
      </c>
      <c r="B32" s="7" t="inlineStr">
        <is>
          <t>0</t>
        </is>
      </c>
    </row>
    <row r="33">
      <c r="A33" s="6" t="inlineStr">
        <is>
          <t>Disguise</t>
        </is>
      </c>
      <c r="B33" s="7" t="inlineStr">
        <is>
          <t>0</t>
        </is>
      </c>
    </row>
    <row r="34">
      <c r="A34" s="6" t="inlineStr">
        <is>
          <t>Lockpicking</t>
        </is>
      </c>
      <c r="B34" s="7" t="inlineStr">
        <is>
          <t>0</t>
        </is>
      </c>
    </row>
    <row r="35">
      <c r="A35" s="6" t="inlineStr">
        <is>
          <t>Trapcraft</t>
        </is>
      </c>
      <c r="B35" s="7" t="inlineStr">
        <is>
          <t>0</t>
        </is>
      </c>
    </row>
    <row r="36">
      <c r="A36" s="6" t="inlineStr">
        <is>
          <t>Medicine</t>
        </is>
      </c>
      <c r="B36" s="7" t="inlineStr">
        <is>
          <t>0</t>
        </is>
      </c>
    </row>
    <row r="37">
      <c r="A37" s="6" t="inlineStr">
        <is>
          <t>Alchemy</t>
        </is>
      </c>
      <c r="B37" s="7" t="inlineStr">
        <is>
          <t>0</t>
        </is>
      </c>
    </row>
    <row r="38">
      <c r="A38" s="6" t="inlineStr">
        <is>
          <t>Poison</t>
        </is>
      </c>
      <c r="B38" s="7" t="inlineStr">
        <is>
          <t>0</t>
        </is>
      </c>
    </row>
    <row r="39">
      <c r="A39" s="6" t="inlineStr">
        <is>
          <t>Hidden Weapon</t>
        </is>
      </c>
      <c r="B39" s="7" t="inlineStr">
        <is>
          <t>0</t>
        </is>
      </c>
    </row>
    <row r="40">
      <c r="A40" s="6" t="inlineStr">
        <is>
          <t>Staff</t>
        </is>
      </c>
      <c r="B40" s="7" t="inlineStr">
        <is>
          <t>0</t>
        </is>
      </c>
    </row>
    <row r="41">
      <c r="A41" s="6" t="inlineStr">
        <is>
          <t>Fist &amp; Palm</t>
        </is>
      </c>
      <c r="B41" s="7" t="inlineStr">
        <is>
          <t>0</t>
        </is>
      </c>
    </row>
    <row r="42">
      <c r="A42" s="6" t="inlineStr">
        <is>
          <t>Saber</t>
        </is>
      </c>
      <c r="B42" s="7" t="inlineStr">
        <is>
          <t>4</t>
        </is>
      </c>
    </row>
    <row r="43">
      <c r="A43" s="6" t="inlineStr">
        <is>
          <t>Sword</t>
        </is>
      </c>
      <c r="B43" s="7" t="inlineStr">
        <is>
          <t>0</t>
        </is>
      </c>
    </row>
    <row r="44"/>
    <row r="45">
      <c r="A45" s="5" t="inlineStr">
        <is>
          <t>-- Martial Arts --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Martial Art</t>
        </is>
      </c>
      <c r="B46" s="9" t="inlineStr">
        <is>
          <t>Type</t>
        </is>
      </c>
      <c r="C46" s="9" t="inlineStr">
        <is>
          <t>Tier</t>
        </is>
      </c>
      <c r="D46" s="9" t="inlineStr">
        <is>
          <t>Force</t>
        </is>
      </c>
      <c r="E46" s="9" t="inlineStr">
        <is>
          <t>Move</t>
        </is>
      </c>
      <c r="F46" s="9" t="inlineStr">
        <is>
          <t>Qi (True Qi)</t>
        </is>
      </c>
      <c r="G46" s="9" t="inlineStr">
        <is>
          <t>Hit</t>
        </is>
      </c>
      <c r="H46" s="9" t="inlineStr">
        <is>
          <t>Damage / Effect</t>
        </is>
      </c>
    </row>
    <row r="47">
      <c r="A47" s="7" t="inlineStr">
        <is>
          <t>Iron-Mask Saber Art</t>
        </is>
      </c>
      <c r="B47" s="7" t="inlineStr">
        <is>
          <t>External Art - Saber</t>
        </is>
      </c>
      <c r="C47" s="7" t="inlineStr">
        <is>
          <t>Advanced</t>
        </is>
      </c>
      <c r="D47" s="7" t="inlineStr">
        <is>
          <t>Firm</t>
        </is>
      </c>
      <c r="E47" s="7" t="inlineStr">
        <is>
          <t>Iron-Mask and Incorruptible</t>
        </is>
      </c>
      <c r="F47" s="7" t="inlineStr">
        <is>
          <t>3</t>
        </is>
      </c>
      <c r="G47" s="7" t="inlineStr">
        <is>
          <t>+5</t>
        </is>
      </c>
      <c r="H47" s="7" t="inlineStr">
        <is>
          <t>3d6+4</t>
        </is>
      </c>
    </row>
    <row r="48">
      <c r="A48" s="7" t="inlineStr">
        <is>
          <t>Six Doors Mental Method</t>
        </is>
      </c>
      <c r="B48" s="7" t="inlineStr">
        <is>
          <t>Inner Art</t>
        </is>
      </c>
      <c r="C48" s="7" t="inlineStr">
        <is>
          <t>Orthodox</t>
        </is>
      </c>
      <c r="D48" s="7" t="inlineStr">
        <is>
          <t>--</t>
        </is>
      </c>
      <c r="E48" s="7" t="inlineStr">
        <is>
          <t>--</t>
        </is>
      </c>
      <c r="F48" s="7" t="inlineStr">
        <is>
          <t>--</t>
        </is>
      </c>
      <c r="G48" s="7" t="inlineStr">
        <is>
          <t>--</t>
        </is>
      </c>
      <c r="H48" s="7" t="inlineStr">
        <is>
          <t>Inner Art Coefficient 3</t>
        </is>
      </c>
    </row>
    <row r="49">
      <c r="A49" s="7" t="inlineStr">
        <is>
          <t>Official Might Intimidation</t>
        </is>
      </c>
      <c r="B49" s="7" t="inlineStr">
        <is>
          <t>Special</t>
        </is>
      </c>
      <c r="C49" s="7" t="inlineStr">
        <is>
          <t>--</t>
        </is>
      </c>
      <c r="D49" s="7" t="inlineStr">
        <is>
          <t>--</t>
        </is>
      </c>
      <c r="E49" s="7" t="inlineStr">
        <is>
          <t>--</t>
        </is>
      </c>
      <c r="F49" s="7" t="inlineStr">
        <is>
          <t>2</t>
        </is>
      </c>
      <c r="G49" s="7" t="inlineStr">
        <is>
          <t>--</t>
        </is>
      </c>
      <c r="H49" s="7" t="inlineStr">
        <is>
          <t>If the Willpower contest is failed, Hit -2</t>
        </is>
      </c>
    </row>
    <row r="50"/>
    <row r="51"/>
    <row r="52"/>
    <row r="53"/>
    <row r="54"/>
    <row r="55"/>
    <row r="56">
      <c r="A56" s="5" t="inlineStr">
        <is>
          <t>-- Equipment --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Weapon</t>
        </is>
      </c>
      <c r="B57" s="9" t="inlineStr">
        <is>
          <t>Armor</t>
        </is>
      </c>
      <c r="C57" s="9" t="inlineStr">
        <is>
          <t>Special</t>
        </is>
      </c>
    </row>
    <row r="58">
      <c r="A58" s="8" t="inlineStr">
        <is>
          <t>Official-Pattern Long Saber (1d8+2)</t>
        </is>
      </c>
      <c r="B58" s="8" t="inlineStr">
        <is>
          <t>Six Doors Official Robe</t>
        </is>
      </c>
      <c r="C58" s="12" t="inlineStr">
        <is>
          <t>Heaven Ranking #8. Fourth Realm data used for Scenario Chapter Two in Luoyang.</t>
        </is>
      </c>
      <c r="D58" s="2" t="n"/>
      <c r="E58" s="2" t="n"/>
      <c r="F58" s="3" t="n"/>
    </row>
    <row r="59"/>
    <row r="60"/>
    <row r="61">
      <c r="A61" s="6" t="inlineStr">
        <is>
          <t>Heroism</t>
        </is>
      </c>
      <c r="B61" s="7" t="inlineStr">
        <is>
          <t>30</t>
        </is>
      </c>
      <c r="D61" s="6" t="inlineStr">
        <is>
          <t>Infamy</t>
        </is>
      </c>
      <c r="E61" s="7" t="inlineStr">
        <is>
          <t>0</t>
        </is>
      </c>
    </row>
    <row r="62"/>
    <row r="63">
      <c r="A63" t="inlineStr">
        <is>
          <t>Can learn from a master (Difficulty Class (DC) 14): Six-Door Swift Saber + Six Doors Mental Method.</t>
        </is>
      </c>
    </row>
    <row r="64">
      <c r="A64" t="inlineStr">
        <is>
          <t>Master-apprentice gift: Six Doors Gold Token (temporary) + graduation: Wanted-Order Revocation (Favor &gt;=15)</t>
        </is>
      </c>
    </row>
  </sheetData>
  <mergeCells count="26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Scenario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-- Basic Info --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Han Bao</t>
        </is>
      </c>
      <c r="C5" s="6" t="inlineStr">
        <is>
          <t>Sect</t>
        </is>
      </c>
      <c r="D5" s="7" t="inlineStr">
        <is>
          <t>No Sect (Mountain Bandit)</t>
        </is>
      </c>
      <c r="E5" s="6" t="inlineStr">
        <is>
          <t>Realm</t>
        </is>
      </c>
      <c r="F5" s="7" t="inlineStr">
        <is>
          <t>First Glimpse</t>
        </is>
      </c>
      <c r="G5" s="6" t="inlineStr">
        <is>
          <t>Inner Art Coefficient</t>
        </is>
      </c>
      <c r="H5" s="7" t="inlineStr">
        <is>
          <t>1 (No Inner Art)</t>
        </is>
      </c>
    </row>
    <row r="6">
      <c r="A6" s="6" t="inlineStr">
        <is>
          <t>Concept</t>
        </is>
      </c>
      <c r="B6" s="8" t="inlineStr">
        <is>
          <t>Chief of Black Wind Stronghold, the 'One-Eyed Dragon', entrenched at Black Wind Stronghold plundering merchant travelers. He practices remnant fragments of the Demon Cult's manuals - an early sign of Qi Deviation.</t>
        </is>
      </c>
      <c r="C6" s="2" t="n"/>
      <c r="D6" s="2" t="n"/>
      <c r="E6" s="2" t="n"/>
      <c r="F6" s="2" t="n"/>
      <c r="G6" s="2" t="n"/>
      <c r="H6" s="3" t="n"/>
    </row>
    <row r="7"/>
    <row r="8">
      <c r="A8" s="5" t="inlineStr">
        <is>
          <t>-- Six Attributes --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5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Agility (AGI)</t>
        </is>
      </c>
      <c r="B11" s="7" t="inlineStr">
        <is>
          <t>4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Constitution (CON)</t>
        </is>
      </c>
      <c r="B12" s="7" t="inlineStr">
        <is>
          <t>4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Comprehension (CMP)</t>
        </is>
      </c>
      <c r="B13" s="7" t="inlineStr">
        <is>
          <t>2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Willpower (WIL)</t>
        </is>
      </c>
      <c r="B14" s="7" t="inlineStr">
        <is>
          <t>2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Charisma (CHA)</t>
        </is>
      </c>
      <c r="B15" s="7" t="inlineStr">
        <is>
          <t>3</t>
        </is>
      </c>
      <c r="C15" s="10">
        <f>B15-4</f>
        <v/>
      </c>
      <c r="D15" s="4" t="n"/>
      <c r="E15" s="2" t="n"/>
      <c r="F15" s="3" t="n"/>
    </row>
    <row r="16"/>
    <row r="17">
      <c r="A17" s="5" t="inlineStr">
        <is>
          <t>-- Derived Values --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Health Points (HP)</t>
        </is>
      </c>
      <c r="B18" s="4" t="inlineStr">
        <is>
          <t>CONx5+Realm</t>
        </is>
      </c>
      <c r="C18" s="2" t="n"/>
      <c r="D18" s="3" t="n"/>
      <c r="E18" s="11">
        <f>B12*5+IF(F6="Crossing the Threshold",5,IF(F6="Complete Mastery",10,IF(F6="Perfecting the Craft",15,IF(F6="Peak of Perfection",20,IF(F6="Return to Simplicity",25,0)))))</f>
        <v/>
      </c>
      <c r="F18" s="3" t="n"/>
    </row>
    <row r="19">
      <c r="A19" s="6" t="inlineStr">
        <is>
          <t>Qi (True Qi)</t>
        </is>
      </c>
      <c r="B19" s="4" t="inlineStr">
        <is>
          <t>CONxInner Art Coefficient+Realm</t>
        </is>
      </c>
      <c r="C19" s="2" t="n"/>
      <c r="D19" s="3" t="n"/>
      <c r="E19" s="11">
        <f>B12*VALUE(LEFT(H5,1))+IF(F6="Crossing the Threshold",3,IF(F6="Complete Mastery",6,IF(F6="Perfecting the Craft",10,IF(F6="Peak of Perfection",15,IF(F6="Return to Simplicity",20,0)))))</f>
        <v/>
      </c>
      <c r="F19" s="3" t="n"/>
    </row>
    <row r="20">
      <c r="A20" s="6" t="inlineStr">
        <is>
          <t>Initiative</t>
        </is>
      </c>
      <c r="B20" s="4" t="inlineStr">
        <is>
          <t>AGI+WIL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Evasion</t>
        </is>
      </c>
      <c r="B21" s="4" t="inlineStr">
        <is>
          <t>AGI Modifier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Defense</t>
        </is>
      </c>
      <c r="B22" s="4" t="inlineStr">
        <is>
          <t>CON Modifier</t>
        </is>
      </c>
      <c r="C22" s="2" t="n"/>
      <c r="D22" s="3" t="n"/>
      <c r="E22" s="11">
        <f>C12</f>
        <v/>
      </c>
      <c r="F22" s="3" t="n"/>
    </row>
    <row r="23"/>
    <row r="24">
      <c r="A24" s="5" t="inlineStr">
        <is>
          <t>-- Skills --</t>
        </is>
      </c>
      <c r="B24" s="3" t="n"/>
    </row>
    <row r="25">
      <c r="A25" s="6" t="inlineStr">
        <is>
          <t>Technique Reading</t>
        </is>
      </c>
      <c r="B25" s="7" t="inlineStr">
        <is>
          <t>0</t>
        </is>
      </c>
    </row>
    <row r="26">
      <c r="A26" s="6" t="inlineStr">
        <is>
          <t>Jianghu Lore</t>
        </is>
      </c>
      <c r="B26" s="7" t="inlineStr">
        <is>
          <t>0</t>
        </is>
      </c>
    </row>
    <row r="27">
      <c r="A27" s="6" t="inlineStr">
        <is>
          <t>Lightfoot</t>
        </is>
      </c>
      <c r="B27" s="7" t="inlineStr">
        <is>
          <t>0</t>
        </is>
      </c>
    </row>
    <row r="28">
      <c r="A28" s="6" t="inlineStr">
        <is>
          <t>Oratory</t>
        </is>
      </c>
      <c r="B28" s="7" t="inlineStr">
        <is>
          <t>0</t>
        </is>
      </c>
    </row>
    <row r="29">
      <c r="A29" s="6" t="inlineStr">
        <is>
          <t>Climbing</t>
        </is>
      </c>
      <c r="B29" s="7" t="inlineStr">
        <is>
          <t>0</t>
        </is>
      </c>
    </row>
    <row r="30">
      <c r="A30" s="6" t="inlineStr">
        <is>
          <t>Stealth</t>
        </is>
      </c>
      <c r="B30" s="7" t="inlineStr">
        <is>
          <t>0</t>
        </is>
      </c>
    </row>
    <row r="31">
      <c r="A31" s="6" t="inlineStr">
        <is>
          <t>Tracking</t>
        </is>
      </c>
      <c r="B31" s="7" t="inlineStr">
        <is>
          <t>0</t>
        </is>
      </c>
    </row>
    <row r="32">
      <c r="A32" s="6" t="inlineStr">
        <is>
          <t>Read Intent</t>
        </is>
      </c>
      <c r="B32" s="7" t="inlineStr">
        <is>
          <t>0</t>
        </is>
      </c>
    </row>
    <row r="33">
      <c r="A33" s="6" t="inlineStr">
        <is>
          <t>Disguise</t>
        </is>
      </c>
      <c r="B33" s="7" t="inlineStr">
        <is>
          <t>0</t>
        </is>
      </c>
    </row>
    <row r="34">
      <c r="A34" s="6" t="inlineStr">
        <is>
          <t>Lockpicking</t>
        </is>
      </c>
      <c r="B34" s="7" t="inlineStr">
        <is>
          <t>0</t>
        </is>
      </c>
    </row>
    <row r="35">
      <c r="A35" s="6" t="inlineStr">
        <is>
          <t>Trapcraft</t>
        </is>
      </c>
      <c r="B35" s="7" t="inlineStr">
        <is>
          <t>0</t>
        </is>
      </c>
    </row>
    <row r="36">
      <c r="A36" s="6" t="inlineStr">
        <is>
          <t>Medicine</t>
        </is>
      </c>
      <c r="B36" s="7" t="inlineStr">
        <is>
          <t>0</t>
        </is>
      </c>
    </row>
    <row r="37">
      <c r="A37" s="6" t="inlineStr">
        <is>
          <t>Alchemy</t>
        </is>
      </c>
      <c r="B37" s="7" t="inlineStr">
        <is>
          <t>0</t>
        </is>
      </c>
    </row>
    <row r="38">
      <c r="A38" s="6" t="inlineStr">
        <is>
          <t>Poison</t>
        </is>
      </c>
      <c r="B38" s="7" t="inlineStr">
        <is>
          <t>0</t>
        </is>
      </c>
    </row>
    <row r="39">
      <c r="A39" s="6" t="inlineStr">
        <is>
          <t>Hidden Weapon</t>
        </is>
      </c>
      <c r="B39" s="7" t="inlineStr">
        <is>
          <t>0</t>
        </is>
      </c>
    </row>
    <row r="40">
      <c r="A40" s="6" t="inlineStr">
        <is>
          <t>Staff</t>
        </is>
      </c>
      <c r="B40" s="7" t="inlineStr">
        <is>
          <t>0</t>
        </is>
      </c>
    </row>
    <row r="41">
      <c r="A41" s="6" t="inlineStr">
        <is>
          <t>Fist &amp; Palm</t>
        </is>
      </c>
      <c r="B41" s="7" t="inlineStr">
        <is>
          <t>0</t>
        </is>
      </c>
    </row>
    <row r="42">
      <c r="A42" s="6" t="inlineStr">
        <is>
          <t>Saber</t>
        </is>
      </c>
      <c r="B42" s="7" t="inlineStr">
        <is>
          <t>2</t>
        </is>
      </c>
    </row>
    <row r="43">
      <c r="A43" s="6" t="inlineStr">
        <is>
          <t>Sword</t>
        </is>
      </c>
      <c r="B43" s="7" t="inlineStr">
        <is>
          <t>0</t>
        </is>
      </c>
    </row>
    <row r="44"/>
    <row r="45">
      <c r="A45" s="5" t="inlineStr">
        <is>
          <t>-- Martial Arts --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Martial Art</t>
        </is>
      </c>
      <c r="B46" s="9" t="inlineStr">
        <is>
          <t>Type</t>
        </is>
      </c>
      <c r="C46" s="9" t="inlineStr">
        <is>
          <t>Tier</t>
        </is>
      </c>
      <c r="D46" s="9" t="inlineStr">
        <is>
          <t>Force</t>
        </is>
      </c>
      <c r="E46" s="9" t="inlineStr">
        <is>
          <t>Move</t>
        </is>
      </c>
      <c r="F46" s="9" t="inlineStr">
        <is>
          <t>Qi (True Qi)</t>
        </is>
      </c>
      <c r="G46" s="9" t="inlineStr">
        <is>
          <t>Hit</t>
        </is>
      </c>
      <c r="H46" s="9" t="inlineStr">
        <is>
          <t>Damage / Effect</t>
        </is>
      </c>
    </row>
    <row r="47">
      <c r="A47" s="7" t="inlineStr">
        <is>
          <t>Five Tigers Door-Cutting Saber - Wind-Splitting Form</t>
        </is>
      </c>
      <c r="B47" s="7" t="inlineStr">
        <is>
          <t>External Art - Saber</t>
        </is>
      </c>
      <c r="C47" s="7" t="inlineStr">
        <is>
          <t>Initiate</t>
        </is>
      </c>
      <c r="D47" s="7" t="inlineStr">
        <is>
          <t>Firm</t>
        </is>
      </c>
      <c r="E47" s="7" t="inlineStr">
        <is>
          <t>Wind-Splitting</t>
        </is>
      </c>
      <c r="F47" s="7" t="inlineStr">
        <is>
          <t>1</t>
        </is>
      </c>
      <c r="G47" s="7" t="inlineStr">
        <is>
          <t>+3</t>
        </is>
      </c>
      <c r="H47" s="7" t="inlineStr">
        <is>
          <t>2d6+1</t>
        </is>
      </c>
    </row>
    <row r="48">
      <c r="A48" s="7" t="inlineStr">
        <is>
          <t>Berserk</t>
        </is>
      </c>
      <c r="B48" s="7" t="inlineStr">
        <is>
          <t>Special</t>
        </is>
      </c>
      <c r="C48" s="7" t="inlineStr">
        <is>
          <t>--</t>
        </is>
      </c>
      <c r="D48" s="7" t="inlineStr">
        <is>
          <t>--</t>
        </is>
      </c>
      <c r="E48" s="7" t="inlineStr">
        <is>
          <t>--</t>
        </is>
      </c>
      <c r="F48" s="7" t="inlineStr">
        <is>
          <t>--</t>
        </is>
      </c>
      <c r="G48" s="7" t="inlineStr">
        <is>
          <t>--</t>
        </is>
      </c>
      <c r="H48" s="7" t="inlineStr">
        <is>
          <t>After being hit, Hit +1 (stacks up to +3); effect vanishes once injury &gt;20</t>
        </is>
      </c>
    </row>
    <row r="49"/>
    <row r="50"/>
    <row r="51"/>
    <row r="52"/>
    <row r="53"/>
    <row r="54"/>
    <row r="55"/>
    <row r="56">
      <c r="A56" s="5" t="inlineStr">
        <is>
          <t>-- Equipment --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Weapon</t>
        </is>
      </c>
      <c r="B57" s="9" t="inlineStr">
        <is>
          <t>Armor</t>
        </is>
      </c>
      <c r="C57" s="9" t="inlineStr">
        <is>
          <t>Special</t>
        </is>
      </c>
    </row>
    <row r="58">
      <c r="A58" s="8" t="inlineStr">
        <is>
          <t>Great Cleaver (2d6)</t>
        </is>
      </c>
      <c r="B58" s="8" t="inlineStr">
        <is>
          <t>Beast-Hide Armor</t>
        </is>
      </c>
      <c r="C58" s="12" t="inlineStr">
        <is>
          <t>Boss Mechanic: Berserk stacks + fear collapses under injury. Health Points (HP) 30, Qi (True Qi) 6</t>
        </is>
      </c>
      <c r="D58" s="2" t="n"/>
      <c r="E58" s="2" t="n"/>
      <c r="F58" s="3" t="n"/>
    </row>
    <row r="59"/>
    <row r="60"/>
    <row r="61">
      <c r="A61" s="6" t="inlineStr">
        <is>
          <t>Heroism</t>
        </is>
      </c>
      <c r="B61" s="7" t="inlineStr">
        <is>
          <t>-15</t>
        </is>
      </c>
      <c r="D61" s="6" t="inlineStr">
        <is>
          <t>Infamy</t>
        </is>
      </c>
      <c r="E61" s="7" t="inlineStr">
        <is>
          <t>25</t>
        </is>
      </c>
    </row>
  </sheetData>
  <mergeCells count="26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2026-06-21T18:24:58Z</dcterms:created>
  <dcterms:modified xsi:type="dcterms:W3CDTF">2026-08-10T08:31:35Z</dcterms:modified>
</cp:coreProperties>
</file>