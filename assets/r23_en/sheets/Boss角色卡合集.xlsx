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angong Hui" sheetId="1" state="visible" r:id="rId1"/>
    <sheet name="Chu Huaisha" sheetId="2" state="visible" r:id="rId2"/>
    <sheet name="Jin Ridi" sheetId="3" state="visible" r:id="rId3"/>
    <sheet name="Tie Jingxin" sheetId="4" state="visible" r:id="rId4"/>
    <sheet name="Han Bao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Microsoft YaHei"/>
      <b val="1"/>
      <color rgb="001a1a2e"/>
      <sz val="20"/>
    </font>
    <font>
      <name val="Microsoft YaHei"/>
      <color rgb="00666666"/>
      <sz val="9"/>
    </font>
    <font>
      <name val="Microsoft YaHei"/>
      <b val="1"/>
      <color rgb="002c3e50"/>
      <sz val="13"/>
    </font>
    <font>
      <name val="Microsoft YaHei"/>
      <b val="1"/>
      <color rgb="0034495e"/>
      <sz val="10"/>
    </font>
    <font>
      <name val="Microsoft YaHei"/>
      <sz val="10"/>
    </font>
    <font>
      <name val="Microsoft YaHei"/>
      <b val="1"/>
      <color rgb="00FFFFFF"/>
      <sz val="9"/>
    </font>
    <font>
      <name val="Microsoft YaHei"/>
      <b val="1"/>
      <i val="1"/>
      <sz val="10"/>
    </font>
    <font>
      <name val="Microsoft YaHei"/>
      <b val="1"/>
      <color rgb="001a1a2e"/>
      <sz val="14"/>
    </font>
  </fonts>
  <fills count="2">
    <fill>
      <patternFill/>
    </fill>
    <fill>
      <patternFill patternType="gray125"/>
    </fill>
  </fills>
  <borders count="6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0" fillId="0" borderId="3" pivotButton="0" quotePrefix="0" xfId="0"/>
    <xf numFmtId="0" fontId="2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left" vertical="center" wrapText="1"/>
    </xf>
    <xf numFmtId="0" fontId="6" fillId="0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0" fontId="8" fillId="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1"/>
  <sheetViews>
    <sheetView workbookViewId="0">
      <selection activeCell="A1" sqref="A1"/>
    </sheetView>
  </sheetViews>
  <sheetFormatPr baseColWidth="8" defaultRowHeight="15"/>
  <cols>
    <col width="5" customWidth="1" min="1" max="1"/>
    <col width="16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2" customWidth="1" min="8" max="8"/>
  </cols>
  <sheetData>
    <row r="1">
      <c r="A1" s="1" t="inlineStr">
        <is>
          <t>Yonghe Martial Codex TRPG</t>
        </is>
      </c>
      <c r="B1" s="2" t="n"/>
      <c r="C1" s="2" t="n"/>
      <c r="D1" s="2" t="n"/>
      <c r="E1" s="2" t="n"/>
      <c r="F1" s="2" t="n"/>
      <c r="G1" s="2" t="n"/>
      <c r="H1" s="3" t="n"/>
    </row>
    <row r="2">
      <c r="A2" s="4" t="inlineStr">
        <is>
          <t>script Enemy card</t>
        </is>
      </c>
      <c r="B2" s="2" t="n"/>
      <c r="C2" s="2" t="n"/>
      <c r="D2" s="2" t="n"/>
      <c r="E2" s="2" t="n"/>
      <c r="F2" s="2" t="n"/>
      <c r="G2" s="2" t="n"/>
      <c r="H2" s="3" t="n"/>
    </row>
    <row r="3"/>
    <row r="4">
      <c r="A4" s="5" t="inlineStr">
        <is>
          <t>-- Basic Info --</t>
        </is>
      </c>
      <c r="B4" s="2" t="n"/>
      <c r="C4" s="2" t="n"/>
      <c r="D4" s="2" t="n"/>
      <c r="E4" s="2" t="n"/>
      <c r="F4" s="2" t="n"/>
      <c r="G4" s="2" t="n"/>
      <c r="H4" s="3" t="n"/>
    </row>
    <row r="5">
      <c r="A5" s="6" t="inlineStr">
        <is>
          <t>Character name</t>
        </is>
      </c>
      <c r="B5" s="7" t="inlineStr">
        <is>
          <t>Nangong Hui</t>
        </is>
      </c>
      <c r="C5" s="6" t="inlineStr">
        <is>
          <t>Sect</t>
        </is>
      </c>
      <c r="D5" s="7" t="inlineStr">
        <is>
          <t>Yaowang Valley(rebel)</t>
        </is>
      </c>
      <c r="E5" s="6" t="inlineStr">
        <is>
          <t>Realm</t>
        </is>
      </c>
      <c r="F5" s="7" t="inlineStr">
        <is>
          <t>Perfecting the Craft</t>
        </is>
      </c>
      <c r="G5" s="6" t="inlineStr">
        <is>
          <t>Inner Art Coefficient</t>
        </is>
      </c>
      <c r="H5" s="7" t="inlineStr">
        <is>
          <t>3(Authentic)</t>
        </is>
      </c>
    </row>
    <row r="6">
      <c r="A6" s="6" t="inlineStr">
        <is>
          <t>Concept</t>
        </is>
      </c>
      <c r="B6" s="8" t="inlineStr">
        <is>
          <t>Original Yaowang Valley Netherworld hall Deputy bureau chief， defect back take refuge Blood Moon Cult。 family Detained as hostage。</t>
        </is>
      </c>
      <c r="C6" s="2" t="n"/>
      <c r="D6" s="2" t="n"/>
      <c r="E6" s="2" t="n"/>
      <c r="F6" s="2" t="n"/>
      <c r="G6" s="2" t="n"/>
      <c r="H6" s="3" t="n"/>
    </row>
    <row r="7"/>
    <row r="8">
      <c r="A8" s="5" t="inlineStr">
        <is>
          <t>-- Six Attributes --</t>
        </is>
      </c>
      <c r="B8" s="2" t="n"/>
      <c r="C8" s="2" t="n"/>
      <c r="D8" s="2" t="n"/>
      <c r="E8" s="2" t="n"/>
      <c r="F8" s="2" t="n"/>
      <c r="G8" s="2" t="n"/>
      <c r="H8" s="3" t="n"/>
    </row>
    <row r="9">
      <c r="A9" s="9" t="inlineStr">
        <is>
          <t>Attribute</t>
        </is>
      </c>
      <c r="B9" s="9" t="inlineStr">
        <is>
          <t>Base Value</t>
        </is>
      </c>
      <c r="C9" s="9" t="inlineStr">
        <is>
          <t>Modifier</t>
        </is>
      </c>
      <c r="D9" s="9" t="inlineStr">
        <is>
          <t>Description</t>
        </is>
      </c>
    </row>
    <row r="10">
      <c r="A10" s="6" t="inlineStr">
        <is>
          <t>Strength（STR）</t>
        </is>
      </c>
      <c r="B10" s="7" t="inlineStr">
        <is>
          <t>4</t>
        </is>
      </c>
      <c r="C10" s="10">
        <f>B10-4</f>
        <v/>
      </c>
      <c r="D10" s="4" t="n"/>
      <c r="E10" s="2" t="n"/>
      <c r="F10" s="3" t="n"/>
    </row>
    <row r="11">
      <c r="A11" s="6" t="inlineStr">
        <is>
          <t>Agility（DEX）</t>
        </is>
      </c>
      <c r="B11" s="7" t="inlineStr">
        <is>
          <t>6</t>
        </is>
      </c>
      <c r="C11" s="10">
        <f>B11-4</f>
        <v/>
      </c>
      <c r="D11" s="4" t="n"/>
      <c r="E11" s="2" t="n"/>
      <c r="F11" s="3" t="n"/>
    </row>
    <row r="12">
      <c r="A12" s="6" t="inlineStr">
        <is>
          <t>Constitution（CON）</t>
        </is>
      </c>
      <c r="B12" s="7" t="inlineStr">
        <is>
          <t>6</t>
        </is>
      </c>
      <c r="C12" s="10">
        <f>B12-4</f>
        <v/>
      </c>
      <c r="D12" s="4" t="n"/>
      <c r="E12" s="2" t="n"/>
      <c r="F12" s="3" t="n"/>
    </row>
    <row r="13">
      <c r="A13" s="6" t="inlineStr">
        <is>
          <t>Comprehension（INT）</t>
        </is>
      </c>
      <c r="B13" s="7" t="inlineStr">
        <is>
          <t>7</t>
        </is>
      </c>
      <c r="C13" s="10">
        <f>B13-4</f>
        <v/>
      </c>
      <c r="D13" s="4" t="n"/>
      <c r="E13" s="2" t="n"/>
      <c r="F13" s="3" t="n"/>
    </row>
    <row r="14">
      <c r="A14" s="6" t="inlineStr">
        <is>
          <t>Willpower（WIS）</t>
        </is>
      </c>
      <c r="B14" s="7" t="inlineStr">
        <is>
          <t>5</t>
        </is>
      </c>
      <c r="C14" s="10">
        <f>B14-4</f>
        <v/>
      </c>
      <c r="D14" s="4" t="n"/>
      <c r="E14" s="2" t="n"/>
      <c r="F14" s="3" t="n"/>
    </row>
    <row r="15">
      <c r="A15" s="6" t="inlineStr">
        <is>
          <t>Charisma（CHA）</t>
        </is>
      </c>
      <c r="B15" s="7" t="inlineStr">
        <is>
          <t>3</t>
        </is>
      </c>
      <c r="C15" s="10">
        <f>B15-4</f>
        <v/>
      </c>
      <c r="D15" s="4" t="n"/>
      <c r="E15" s="2" t="n"/>
      <c r="F15" s="3" t="n"/>
    </row>
    <row r="16"/>
    <row r="17">
      <c r="A17" s="5" t="inlineStr">
        <is>
          <t>-- Derived Values --</t>
        </is>
      </c>
      <c r="B17" s="2" t="n"/>
      <c r="C17" s="2" t="n"/>
      <c r="D17" s="2" t="n"/>
      <c r="E17" s="2" t="n"/>
      <c r="F17" s="2" t="n"/>
      <c r="G17" s="2" t="n"/>
      <c r="H17" s="3" t="n"/>
    </row>
    <row r="18">
      <c r="A18" s="6" t="inlineStr">
        <is>
          <t>life value（HP）</t>
        </is>
      </c>
      <c r="B18" s="4" t="inlineStr">
        <is>
          <t>Constitution x5+Realm</t>
        </is>
      </c>
      <c r="C18" s="2" t="n"/>
      <c r="D18" s="3" t="n"/>
      <c r="E18" s="11">
        <f>B12*5+IF(F6="Crossing the Threshold",5,IF(F6="Complete Mastery",10,IF(F6="Perfecting the Craft",15,IF(F6="Peak of Perfection",20,IF(F6="Return to Simplicity",25,0)))))</f>
        <v/>
      </c>
      <c r="F18" s="3" t="n"/>
    </row>
    <row r="19">
      <c r="A19" s="6" t="inlineStr">
        <is>
          <t>Qi</t>
        </is>
      </c>
      <c r="B19" s="4" t="inlineStr">
        <is>
          <t>Constitution x Inner Art Coefficient+Realm</t>
        </is>
      </c>
      <c r="C19" s="2" t="n"/>
      <c r="D19" s="3" t="n"/>
      <c r="E19" s="11">
        <f>B12*VALUE(LEFT(H5,1))+IF(F6="Crossing the Threshold",3,IF(F6="Complete Mastery",6,IF(F6="Perfecting the Craft",10,IF(F6="Peak of Perfection",15,IF(F6="Return to Simplicity",20,0)))))</f>
        <v/>
      </c>
      <c r="F19" s="3" t="n"/>
    </row>
    <row r="20">
      <c r="A20" s="6" t="inlineStr">
        <is>
          <t>Initiative</t>
        </is>
      </c>
      <c r="B20" s="4" t="inlineStr">
        <is>
          <t>Agility+Willpower</t>
        </is>
      </c>
      <c r="C20" s="2" t="n"/>
      <c r="D20" s="3" t="n"/>
      <c r="E20" s="11">
        <f>B11+B14</f>
        <v/>
      </c>
      <c r="F20" s="3" t="n"/>
    </row>
    <row r="21">
      <c r="A21" s="6" t="inlineStr">
        <is>
          <t>Evasion</t>
        </is>
      </c>
      <c r="B21" s="4" t="inlineStr">
        <is>
          <t>Agility Modifier</t>
        </is>
      </c>
      <c r="C21" s="2" t="n"/>
      <c r="D21" s="3" t="n"/>
      <c r="E21" s="11">
        <f>C11</f>
        <v/>
      </c>
      <c r="F21" s="3" t="n"/>
    </row>
    <row r="22">
      <c r="A22" s="6" t="inlineStr">
        <is>
          <t>Defense</t>
        </is>
      </c>
      <c r="B22" s="4" t="inlineStr">
        <is>
          <t>Constitution Modifier</t>
        </is>
      </c>
      <c r="C22" s="2" t="n"/>
      <c r="D22" s="3" t="n"/>
      <c r="E22" s="11">
        <f>C12</f>
        <v/>
      </c>
      <c r="F22" s="3" t="n"/>
    </row>
    <row r="23"/>
    <row r="24">
      <c r="A24" s="5" t="inlineStr">
        <is>
          <t>-- Skills --</t>
        </is>
      </c>
      <c r="B24" s="3" t="n"/>
    </row>
    <row r="25">
      <c r="A25" s="6" t="inlineStr">
        <is>
          <t>Technique Reading</t>
        </is>
      </c>
      <c r="B25" s="7" t="inlineStr">
        <is>
          <t>0</t>
        </is>
      </c>
    </row>
    <row r="26">
      <c r="A26" s="6" t="inlineStr">
        <is>
          <t>Jianghu Lore</t>
        </is>
      </c>
      <c r="B26" s="7" t="inlineStr">
        <is>
          <t>0</t>
        </is>
      </c>
    </row>
    <row r="27">
      <c r="A27" s="6" t="inlineStr">
        <is>
          <t>Lightfoot</t>
        </is>
      </c>
      <c r="B27" s="7" t="inlineStr">
        <is>
          <t>0</t>
        </is>
      </c>
    </row>
    <row r="28">
      <c r="A28" s="6" t="inlineStr">
        <is>
          <t>Oratory</t>
        </is>
      </c>
      <c r="B28" s="7" t="inlineStr">
        <is>
          <t>0</t>
        </is>
      </c>
    </row>
    <row r="29">
      <c r="A29" s="6" t="inlineStr">
        <is>
          <t>Climbing</t>
        </is>
      </c>
      <c r="B29" s="7" t="inlineStr">
        <is>
          <t>0</t>
        </is>
      </c>
    </row>
    <row r="30">
      <c r="A30" s="6" t="inlineStr">
        <is>
          <t>Stealth</t>
        </is>
      </c>
      <c r="B30" s="7" t="inlineStr">
        <is>
          <t>3</t>
        </is>
      </c>
    </row>
    <row r="31">
      <c r="A31" s="6" t="inlineStr">
        <is>
          <t>Tracking</t>
        </is>
      </c>
      <c r="B31" s="7" t="inlineStr">
        <is>
          <t>0</t>
        </is>
      </c>
    </row>
    <row r="32">
      <c r="A32" s="6" t="inlineStr">
        <is>
          <t>Read Intent</t>
        </is>
      </c>
      <c r="B32" s="7" t="inlineStr">
        <is>
          <t>0</t>
        </is>
      </c>
    </row>
    <row r="33">
      <c r="A33" s="6" t="inlineStr">
        <is>
          <t>Disguise</t>
        </is>
      </c>
      <c r="B33" s="7" t="inlineStr">
        <is>
          <t>0</t>
        </is>
      </c>
    </row>
    <row r="34">
      <c r="A34" s="6" t="inlineStr">
        <is>
          <t>Lockpicking</t>
        </is>
      </c>
      <c r="B34" s="7" t="inlineStr">
        <is>
          <t>0</t>
        </is>
      </c>
    </row>
    <row r="35">
      <c r="A35" s="6" t="inlineStr">
        <is>
          <t>Trapcraft</t>
        </is>
      </c>
      <c r="B35" s="7" t="inlineStr">
        <is>
          <t>0</t>
        </is>
      </c>
    </row>
    <row r="36">
      <c r="A36" s="6" t="inlineStr">
        <is>
          <t>Medicine</t>
        </is>
      </c>
      <c r="B36" s="7" t="inlineStr">
        <is>
          <t>4</t>
        </is>
      </c>
    </row>
    <row r="37">
      <c r="A37" s="6" t="inlineStr">
        <is>
          <t>Alchemy</t>
        </is>
      </c>
      <c r="B37" s="7" t="inlineStr">
        <is>
          <t>4</t>
        </is>
      </c>
    </row>
    <row r="38">
      <c r="A38" s="6" t="inlineStr">
        <is>
          <t>Poison</t>
        </is>
      </c>
      <c r="B38" s="7" t="inlineStr">
        <is>
          <t>5</t>
        </is>
      </c>
    </row>
    <row r="39">
      <c r="A39" s="6" t="inlineStr">
        <is>
          <t>Hidden weapon</t>
        </is>
      </c>
      <c r="B39" s="7" t="inlineStr">
        <is>
          <t>0</t>
        </is>
      </c>
    </row>
    <row r="40">
      <c r="A40" s="6" t="inlineStr">
        <is>
          <t>stick method</t>
        </is>
      </c>
      <c r="B40" s="7" t="inlineStr">
        <is>
          <t>0</t>
        </is>
      </c>
    </row>
    <row r="41">
      <c r="A41" s="6" t="inlineStr">
        <is>
          <t>fist palm</t>
        </is>
      </c>
      <c r="B41" s="7" t="inlineStr">
        <is>
          <t>0</t>
        </is>
      </c>
    </row>
    <row r="42">
      <c r="A42" s="6" t="inlineStr">
        <is>
          <t>Knife skills</t>
        </is>
      </c>
      <c r="B42" s="7" t="inlineStr">
        <is>
          <t>0</t>
        </is>
      </c>
    </row>
    <row r="43">
      <c r="A43" s="6" t="inlineStr">
        <is>
          <t>swordsmanship</t>
        </is>
      </c>
      <c r="B43" s="7" t="inlineStr">
        <is>
          <t>0</t>
        </is>
      </c>
    </row>
    <row r="44"/>
    <row r="45">
      <c r="A45" s="5" t="inlineStr">
        <is>
          <t>-- martial technique / kung fu --</t>
        </is>
      </c>
      <c r="B45" s="2" t="n"/>
      <c r="C45" s="2" t="n"/>
      <c r="D45" s="2" t="n"/>
      <c r="E45" s="2" t="n"/>
      <c r="F45" s="2" t="n"/>
      <c r="G45" s="2" t="n"/>
      <c r="H45" s="3" t="n"/>
    </row>
    <row r="46">
      <c r="A46" s="9" t="inlineStr">
        <is>
          <t>Technique Name</t>
        </is>
      </c>
      <c r="B46" s="9" t="inlineStr">
        <is>
          <t>Type</t>
        </is>
      </c>
      <c r="C46" s="9" t="inlineStr">
        <is>
          <t>Tier</t>
        </is>
      </c>
      <c r="D46" s="9" t="inlineStr">
        <is>
          <t>Force</t>
        </is>
      </c>
      <c r="E46" s="9" t="inlineStr">
        <is>
          <t>Move</t>
        </is>
      </c>
      <c r="F46" s="9" t="inlineStr">
        <is>
          <t>Qi</t>
        </is>
      </c>
      <c r="G46" s="9" t="inlineStr">
        <is>
          <t>Accuracy</t>
        </is>
      </c>
      <c r="H46" s="9" t="inlineStr">
        <is>
          <t>Damage/Effect</t>
        </is>
      </c>
    </row>
    <row r="47">
      <c r="A47" s="7" t="inlineStr">
        <is>
          <t>Rotten Bone Palm</t>
        </is>
      </c>
      <c r="B47" s="7" t="inlineStr">
        <is>
          <t>External Art · Poison</t>
        </is>
      </c>
      <c r="C47" s="7" t="inlineStr">
        <is>
          <t>superior</t>
        </is>
      </c>
      <c r="D47" s="7" t="inlineStr">
        <is>
          <t>gentle</t>
        </is>
      </c>
      <c r="E47" s="7" t="inlineStr">
        <is>
          <t>eclipse bone</t>
        </is>
      </c>
      <c r="F47" s="7" t="inlineStr">
        <is>
          <t>4</t>
        </is>
      </c>
      <c r="G47" s="7" t="inlineStr">
        <is>
          <t>+6</t>
        </is>
      </c>
      <c r="H47" s="7" t="inlineStr">
        <is>
          <t>3d6+3+Poison2d4/round</t>
        </is>
      </c>
    </row>
    <row r="48">
      <c r="A48" s="7" t="inlineStr">
        <is>
          <t>rejuvenation tactic</t>
        </is>
      </c>
      <c r="B48" s="7" t="inlineStr">
        <is>
          <t>special · Medicine</t>
        </is>
      </c>
      <c r="C48" s="7" t="inlineStr">
        <is>
          <t>Advanced</t>
        </is>
      </c>
      <c r="D48" s="7" t="inlineStr">
        <is>
          <t>--</t>
        </is>
      </c>
      <c r="E48" s="7" t="inlineStr">
        <is>
          <t>--</t>
        </is>
      </c>
      <c r="F48" s="7" t="inlineStr">
        <is>
          <t>3</t>
        </is>
      </c>
      <c r="G48" s="7" t="inlineStr">
        <is>
          <t>--</t>
        </is>
      </c>
      <c r="H48" s="7" t="inlineStr">
        <is>
          <t>self-restoration complex3d6 life value（HP）</t>
        </is>
      </c>
    </row>
    <row r="49">
      <c r="A49" s="7" t="inlineStr">
        <is>
          <t>poisonous fog(Dying)</t>
        </is>
      </c>
      <c r="B49" s="7" t="inlineStr">
        <is>
          <t>special</t>
        </is>
      </c>
      <c r="C49" s="7" t="inlineStr">
        <is>
          <t>--</t>
        </is>
      </c>
      <c r="D49" s="7" t="inlineStr">
        <is>
          <t>--</t>
        </is>
      </c>
      <c r="E49" s="7" t="inlineStr">
        <is>
          <t>--</t>
        </is>
      </c>
      <c r="F49" s="7" t="inlineStr">
        <is>
          <t>--</t>
        </is>
      </c>
      <c r="G49" s="7" t="inlineStr">
        <is>
          <t>--</t>
        </is>
      </c>
      <c r="H49" s="7" t="inlineStr">
        <is>
          <t>range Poison2d4/round</t>
        </is>
      </c>
    </row>
    <row r="50"/>
    <row r="51"/>
    <row r="52"/>
    <row r="53"/>
    <row r="54"/>
    <row r="55"/>
    <row r="56">
      <c r="A56" s="5" t="inlineStr">
        <is>
          <t>-- Equipment --</t>
        </is>
      </c>
      <c r="B56" s="2" t="n"/>
      <c r="C56" s="2" t="n"/>
      <c r="D56" s="2" t="n"/>
      <c r="E56" s="2" t="n"/>
      <c r="F56" s="2" t="n"/>
      <c r="G56" s="2" t="n"/>
      <c r="H56" s="3" t="n"/>
    </row>
    <row r="57">
      <c r="A57" s="9" t="inlineStr">
        <is>
          <t>weapons</t>
        </is>
      </c>
      <c r="B57" s="9" t="inlineStr">
        <is>
          <t>Armor</t>
        </is>
      </c>
      <c r="C57" s="9" t="inlineStr">
        <is>
          <t>special</t>
        </is>
      </c>
    </row>
    <row r="58">
      <c r="A58" s="8" t="inlineStr">
        <is>
          <t>Poison Palm</t>
        </is>
      </c>
      <c r="B58" s="8" t="inlineStr">
        <is>
          <t>dark green long robe</t>
        </is>
      </c>
      <c r="C58" s="12" t="inlineStr">
        <is>
          <t>Boss mechanism： every round automatic return1d6 life value（HP）(fire attack Breakable)； Dying explain poison fog。 life value（HP） 45， Qi 30</t>
        </is>
      </c>
      <c r="D58" s="2" t="n"/>
      <c r="E58" s="2" t="n"/>
      <c r="F58" s="3" t="n"/>
    </row>
    <row r="59"/>
    <row r="60"/>
    <row r="61">
      <c r="A61" s="6" t="inlineStr">
        <is>
          <t>Heroism</t>
        </is>
      </c>
      <c r="B61" s="7" t="inlineStr">
        <is>
          <t>-20</t>
        </is>
      </c>
      <c r="D61" s="6" t="inlineStr">
        <is>
          <t>Infamy</t>
        </is>
      </c>
      <c r="E61" s="7" t="inlineStr">
        <is>
          <t>30</t>
        </is>
      </c>
    </row>
  </sheetData>
  <mergeCells count="26">
    <mergeCell ref="A24:B24"/>
    <mergeCell ref="D13:F13"/>
    <mergeCell ref="D11:F11"/>
    <mergeCell ref="B6:H6"/>
    <mergeCell ref="A45:H45"/>
    <mergeCell ref="A1:H1"/>
    <mergeCell ref="B19:D19"/>
    <mergeCell ref="E20:F20"/>
    <mergeCell ref="E19:F19"/>
    <mergeCell ref="D12:F12"/>
    <mergeCell ref="C58:F58"/>
    <mergeCell ref="D15:F15"/>
    <mergeCell ref="B20:D20"/>
    <mergeCell ref="A56:H56"/>
    <mergeCell ref="D14:F14"/>
    <mergeCell ref="A2:H2"/>
    <mergeCell ref="A8:H8"/>
    <mergeCell ref="D10:F10"/>
    <mergeCell ref="A17:H17"/>
    <mergeCell ref="A4:H4"/>
    <mergeCell ref="B22:D22"/>
    <mergeCell ref="B18:D18"/>
    <mergeCell ref="E22:F22"/>
    <mergeCell ref="B21:D21"/>
    <mergeCell ref="E18:F18"/>
    <mergeCell ref="E21:F2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63"/>
  <sheetViews>
    <sheetView workbookViewId="0">
      <selection activeCell="A1" sqref="A1"/>
    </sheetView>
  </sheetViews>
  <sheetFormatPr baseColWidth="8" defaultRowHeight="15"/>
  <cols>
    <col width="5" customWidth="1" min="1" max="1"/>
    <col width="16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2" customWidth="1" min="8" max="8"/>
  </cols>
  <sheetData>
    <row r="1">
      <c r="A1" s="1" t="inlineStr">
        <is>
          <t>Yonghe Martial Codex TRPG</t>
        </is>
      </c>
      <c r="B1" s="2" t="n"/>
      <c r="C1" s="2" t="n"/>
      <c r="D1" s="2" t="n"/>
      <c r="E1" s="2" t="n"/>
      <c r="F1" s="2" t="n"/>
      <c r="G1" s="2" t="n"/>
      <c r="H1" s="3" t="n"/>
    </row>
    <row r="2">
      <c r="A2" s="4" t="inlineStr">
        <is>
          <t>script Enemy card</t>
        </is>
      </c>
      <c r="B2" s="2" t="n"/>
      <c r="C2" s="2" t="n"/>
      <c r="D2" s="2" t="n"/>
      <c r="E2" s="2" t="n"/>
      <c r="F2" s="2" t="n"/>
      <c r="G2" s="2" t="n"/>
      <c r="H2" s="3" t="n"/>
    </row>
    <row r="3"/>
    <row r="4">
      <c r="A4" s="5" t="inlineStr">
        <is>
          <t>-- Basic Info --</t>
        </is>
      </c>
      <c r="B4" s="2" t="n"/>
      <c r="C4" s="2" t="n"/>
      <c r="D4" s="2" t="n"/>
      <c r="E4" s="2" t="n"/>
      <c r="F4" s="2" t="n"/>
      <c r="G4" s="2" t="n"/>
      <c r="H4" s="3" t="n"/>
    </row>
    <row r="5">
      <c r="A5" s="6" t="inlineStr">
        <is>
          <t>Character name</t>
        </is>
      </c>
      <c r="B5" s="7" t="inlineStr">
        <is>
          <t>Chu Huaisha</t>
        </is>
      </c>
      <c r="C5" s="6" t="inlineStr">
        <is>
          <t>Sect</t>
        </is>
      </c>
      <c r="D5" s="7" t="inlineStr">
        <is>
          <t>Independent</t>
        </is>
      </c>
      <c r="E5" s="6" t="inlineStr">
        <is>
          <t>Realm</t>
        </is>
      </c>
      <c r="F5" s="7" t="inlineStr">
        <is>
          <t>Complete Mastery</t>
        </is>
      </c>
      <c r="G5" s="6" t="inlineStr">
        <is>
          <t>Inner Art Coefficient</t>
        </is>
      </c>
      <c r="H5" s="7" t="inlineStr">
        <is>
          <t>2(Initiate)</t>
        </is>
      </c>
    </row>
    <row r="6">
      <c r="A6" s="6" t="inlineStr">
        <is>
          <t>Concept</t>
        </is>
      </c>
      <c r="B6" s="8" t="inlineStr">
        <is>
          <t>Jianghu Independent， as save sister at all costs 's「ordinary people」。 No way No faction， Damn Trapcraft and Lightfoot walk Jianghu。</t>
        </is>
      </c>
      <c r="C6" s="2" t="n"/>
      <c r="D6" s="2" t="n"/>
      <c r="E6" s="2" t="n"/>
      <c r="F6" s="2" t="n"/>
      <c r="G6" s="2" t="n"/>
      <c r="H6" s="3" t="n"/>
    </row>
    <row r="7"/>
    <row r="8">
      <c r="A8" s="5" t="inlineStr">
        <is>
          <t>-- Six Attributes --</t>
        </is>
      </c>
      <c r="B8" s="2" t="n"/>
      <c r="C8" s="2" t="n"/>
      <c r="D8" s="2" t="n"/>
      <c r="E8" s="2" t="n"/>
      <c r="F8" s="2" t="n"/>
      <c r="G8" s="2" t="n"/>
      <c r="H8" s="3" t="n"/>
    </row>
    <row r="9">
      <c r="A9" s="9" t="inlineStr">
        <is>
          <t>Attribute</t>
        </is>
      </c>
      <c r="B9" s="9" t="inlineStr">
        <is>
          <t>Base Value</t>
        </is>
      </c>
      <c r="C9" s="9" t="inlineStr">
        <is>
          <t>Modifier</t>
        </is>
      </c>
      <c r="D9" s="9" t="inlineStr">
        <is>
          <t>Description</t>
        </is>
      </c>
    </row>
    <row r="10">
      <c r="A10" s="6" t="inlineStr">
        <is>
          <t>Strength（STR）</t>
        </is>
      </c>
      <c r="B10" s="7" t="inlineStr">
        <is>
          <t>3</t>
        </is>
      </c>
      <c r="C10" s="10">
        <f>B10-4</f>
        <v/>
      </c>
      <c r="D10" s="4" t="n"/>
      <c r="E10" s="2" t="n"/>
      <c r="F10" s="3" t="n"/>
    </row>
    <row r="11">
      <c r="A11" s="6" t="inlineStr">
        <is>
          <t>Agility（DEX）</t>
        </is>
      </c>
      <c r="B11" s="7" t="inlineStr">
        <is>
          <t>7</t>
        </is>
      </c>
      <c r="C11" s="10">
        <f>B11-4</f>
        <v/>
      </c>
      <c r="D11" s="4" t="n"/>
      <c r="E11" s="2" t="n"/>
      <c r="F11" s="3" t="n"/>
    </row>
    <row r="12">
      <c r="A12" s="6" t="inlineStr">
        <is>
          <t>Constitution（CON）</t>
        </is>
      </c>
      <c r="B12" s="7" t="inlineStr">
        <is>
          <t>4</t>
        </is>
      </c>
      <c r="C12" s="10">
        <f>B12-4</f>
        <v/>
      </c>
      <c r="D12" s="4" t="n"/>
      <c r="E12" s="2" t="n"/>
      <c r="F12" s="3" t="n"/>
    </row>
    <row r="13">
      <c r="A13" s="6" t="inlineStr">
        <is>
          <t>Comprehension（INT）</t>
        </is>
      </c>
      <c r="B13" s="7" t="inlineStr">
        <is>
          <t>6</t>
        </is>
      </c>
      <c r="C13" s="10">
        <f>B13-4</f>
        <v/>
      </c>
      <c r="D13" s="4" t="n"/>
      <c r="E13" s="2" t="n"/>
      <c r="F13" s="3" t="n"/>
    </row>
    <row r="14">
      <c r="A14" s="6" t="inlineStr">
        <is>
          <t>Willpower（WIS）</t>
        </is>
      </c>
      <c r="B14" s="7" t="inlineStr">
        <is>
          <t>5</t>
        </is>
      </c>
      <c r="C14" s="10">
        <f>B14-4</f>
        <v/>
      </c>
      <c r="D14" s="4" t="n"/>
      <c r="E14" s="2" t="n"/>
      <c r="F14" s="3" t="n"/>
    </row>
    <row r="15">
      <c r="A15" s="6" t="inlineStr">
        <is>
          <t>Charisma（CHA）</t>
        </is>
      </c>
      <c r="B15" s="7" t="inlineStr">
        <is>
          <t>4</t>
        </is>
      </c>
      <c r="C15" s="10">
        <f>B15-4</f>
        <v/>
      </c>
      <c r="D15" s="4" t="n"/>
      <c r="E15" s="2" t="n"/>
      <c r="F15" s="3" t="n"/>
    </row>
    <row r="16"/>
    <row r="17">
      <c r="A17" s="5" t="inlineStr">
        <is>
          <t>-- Derived Values --</t>
        </is>
      </c>
      <c r="B17" s="2" t="n"/>
      <c r="C17" s="2" t="n"/>
      <c r="D17" s="2" t="n"/>
      <c r="E17" s="2" t="n"/>
      <c r="F17" s="2" t="n"/>
      <c r="G17" s="2" t="n"/>
      <c r="H17" s="3" t="n"/>
    </row>
    <row r="18">
      <c r="A18" s="6" t="inlineStr">
        <is>
          <t>life value（HP）</t>
        </is>
      </c>
      <c r="B18" s="4" t="inlineStr">
        <is>
          <t>Constitution x5+Realm</t>
        </is>
      </c>
      <c r="C18" s="2" t="n"/>
      <c r="D18" s="3" t="n"/>
      <c r="E18" s="11">
        <f>B12*5+IF(F6="Crossing the Threshold",5,IF(F6="Complete Mastery",10,IF(F6="Perfecting the Craft",15,IF(F6="Peak of Perfection",20,IF(F6="Return to Simplicity",25,0)))))</f>
        <v/>
      </c>
      <c r="F18" s="3" t="n"/>
    </row>
    <row r="19">
      <c r="A19" s="6" t="inlineStr">
        <is>
          <t>Qi</t>
        </is>
      </c>
      <c r="B19" s="4" t="inlineStr">
        <is>
          <t>Constitution x Inner Art Coefficient+Realm</t>
        </is>
      </c>
      <c r="C19" s="2" t="n"/>
      <c r="D19" s="3" t="n"/>
      <c r="E19" s="11">
        <f>B12*VALUE(LEFT(H5,1))+IF(F6="Crossing the Threshold",3,IF(F6="Complete Mastery",6,IF(F6="Perfecting the Craft",10,IF(F6="Peak of Perfection",15,IF(F6="Return to Simplicity",20,0)))))</f>
        <v/>
      </c>
      <c r="F19" s="3" t="n"/>
    </row>
    <row r="20">
      <c r="A20" s="6" t="inlineStr">
        <is>
          <t>Initiative</t>
        </is>
      </c>
      <c r="B20" s="4" t="inlineStr">
        <is>
          <t>Agility+Willpower</t>
        </is>
      </c>
      <c r="C20" s="2" t="n"/>
      <c r="D20" s="3" t="n"/>
      <c r="E20" s="11">
        <f>B11+B14</f>
        <v/>
      </c>
      <c r="F20" s="3" t="n"/>
    </row>
    <row r="21">
      <c r="A21" s="6" t="inlineStr">
        <is>
          <t>Evasion</t>
        </is>
      </c>
      <c r="B21" s="4" t="inlineStr">
        <is>
          <t>Agility Modifier</t>
        </is>
      </c>
      <c r="C21" s="2" t="n"/>
      <c r="D21" s="3" t="n"/>
      <c r="E21" s="11">
        <f>C11</f>
        <v/>
      </c>
      <c r="F21" s="3" t="n"/>
    </row>
    <row r="22">
      <c r="A22" s="6" t="inlineStr">
        <is>
          <t>Defense</t>
        </is>
      </c>
      <c r="B22" s="4" t="inlineStr">
        <is>
          <t>Constitution Modifier</t>
        </is>
      </c>
      <c r="C22" s="2" t="n"/>
      <c r="D22" s="3" t="n"/>
      <c r="E22" s="11">
        <f>C12</f>
        <v/>
      </c>
      <c r="F22" s="3" t="n"/>
    </row>
    <row r="23"/>
    <row r="24">
      <c r="A24" s="5" t="inlineStr">
        <is>
          <t>-- Skills --</t>
        </is>
      </c>
      <c r="B24" s="3" t="n"/>
    </row>
    <row r="25">
      <c r="A25" s="6" t="inlineStr">
        <is>
          <t>Technique Reading</t>
        </is>
      </c>
      <c r="B25" s="7" t="inlineStr">
        <is>
          <t>3</t>
        </is>
      </c>
    </row>
    <row r="26">
      <c r="A26" s="6" t="inlineStr">
        <is>
          <t>Jianghu Lore</t>
        </is>
      </c>
      <c r="B26" s="7" t="inlineStr">
        <is>
          <t>0</t>
        </is>
      </c>
    </row>
    <row r="27">
      <c r="A27" s="6" t="inlineStr">
        <is>
          <t>Lightfoot</t>
        </is>
      </c>
      <c r="B27" s="7" t="inlineStr">
        <is>
          <t>5</t>
        </is>
      </c>
    </row>
    <row r="28">
      <c r="A28" s="6" t="inlineStr">
        <is>
          <t>Oratory</t>
        </is>
      </c>
      <c r="B28" s="7" t="inlineStr">
        <is>
          <t>0</t>
        </is>
      </c>
    </row>
    <row r="29">
      <c r="A29" s="6" t="inlineStr">
        <is>
          <t>Climbing</t>
        </is>
      </c>
      <c r="B29" s="7" t="inlineStr">
        <is>
          <t>0</t>
        </is>
      </c>
    </row>
    <row r="30">
      <c r="A30" s="6" t="inlineStr">
        <is>
          <t>Stealth</t>
        </is>
      </c>
      <c r="B30" s="7" t="inlineStr">
        <is>
          <t>3</t>
        </is>
      </c>
    </row>
    <row r="31">
      <c r="A31" s="6" t="inlineStr">
        <is>
          <t>Tracking</t>
        </is>
      </c>
      <c r="B31" s="7" t="inlineStr">
        <is>
          <t>0</t>
        </is>
      </c>
    </row>
    <row r="32">
      <c r="A32" s="6" t="inlineStr">
        <is>
          <t>Read Intent</t>
        </is>
      </c>
      <c r="B32" s="7" t="inlineStr">
        <is>
          <t>0</t>
        </is>
      </c>
    </row>
    <row r="33">
      <c r="A33" s="6" t="inlineStr">
        <is>
          <t>Disguise</t>
        </is>
      </c>
      <c r="B33" s="7" t="inlineStr">
        <is>
          <t>0</t>
        </is>
      </c>
    </row>
    <row r="34">
      <c r="A34" s="6" t="inlineStr">
        <is>
          <t>Lockpicking</t>
        </is>
      </c>
      <c r="B34" s="7" t="inlineStr">
        <is>
          <t>3</t>
        </is>
      </c>
    </row>
    <row r="35">
      <c r="A35" s="6" t="inlineStr">
        <is>
          <t>Trapcraft</t>
        </is>
      </c>
      <c r="B35" s="7" t="inlineStr">
        <is>
          <t>4</t>
        </is>
      </c>
    </row>
    <row r="36">
      <c r="A36" s="6" t="inlineStr">
        <is>
          <t>Medicine</t>
        </is>
      </c>
      <c r="B36" s="7" t="inlineStr">
        <is>
          <t>0</t>
        </is>
      </c>
    </row>
    <row r="37">
      <c r="A37" s="6" t="inlineStr">
        <is>
          <t>Alchemy</t>
        </is>
      </c>
      <c r="B37" s="7" t="inlineStr">
        <is>
          <t>0</t>
        </is>
      </c>
    </row>
    <row r="38">
      <c r="A38" s="6" t="inlineStr">
        <is>
          <t>Poison</t>
        </is>
      </c>
      <c r="B38" s="7" t="inlineStr">
        <is>
          <t>0</t>
        </is>
      </c>
    </row>
    <row r="39">
      <c r="A39" s="6" t="inlineStr">
        <is>
          <t>Hidden weapon</t>
        </is>
      </c>
      <c r="B39" s="7" t="inlineStr">
        <is>
          <t>0</t>
        </is>
      </c>
    </row>
    <row r="40">
      <c r="A40" s="6" t="inlineStr">
        <is>
          <t>stick method</t>
        </is>
      </c>
      <c r="B40" s="7" t="inlineStr">
        <is>
          <t>0</t>
        </is>
      </c>
    </row>
    <row r="41">
      <c r="A41" s="6" t="inlineStr">
        <is>
          <t>fist palm</t>
        </is>
      </c>
      <c r="B41" s="7" t="inlineStr">
        <is>
          <t>0</t>
        </is>
      </c>
    </row>
    <row r="42">
      <c r="A42" s="6" t="inlineStr">
        <is>
          <t>Knife skills</t>
        </is>
      </c>
      <c r="B42" s="7" t="inlineStr">
        <is>
          <t>0</t>
        </is>
      </c>
    </row>
    <row r="43">
      <c r="A43" s="6" t="inlineStr">
        <is>
          <t>swordsmanship</t>
        </is>
      </c>
      <c r="B43" s="7" t="inlineStr">
        <is>
          <t>0</t>
        </is>
      </c>
    </row>
    <row r="44"/>
    <row r="45">
      <c r="A45" s="5" t="inlineStr">
        <is>
          <t>-- martial technique / kung fu --</t>
        </is>
      </c>
      <c r="B45" s="2" t="n"/>
      <c r="C45" s="2" t="n"/>
      <c r="D45" s="2" t="n"/>
      <c r="E45" s="2" t="n"/>
      <c r="F45" s="2" t="n"/>
      <c r="G45" s="2" t="n"/>
      <c r="H45" s="3" t="n"/>
    </row>
    <row r="46">
      <c r="A46" s="9" t="inlineStr">
        <is>
          <t>Technique Name</t>
        </is>
      </c>
      <c r="B46" s="9" t="inlineStr">
        <is>
          <t>Type</t>
        </is>
      </c>
      <c r="C46" s="9" t="inlineStr">
        <is>
          <t>Tier</t>
        </is>
      </c>
      <c r="D46" s="9" t="inlineStr">
        <is>
          <t>Force</t>
        </is>
      </c>
      <c r="E46" s="9" t="inlineStr">
        <is>
          <t>Move</t>
        </is>
      </c>
      <c r="F46" s="9" t="inlineStr">
        <is>
          <t>Qi</t>
        </is>
      </c>
      <c r="G46" s="9" t="inlineStr">
        <is>
          <t>Accuracy</t>
        </is>
      </c>
      <c r="H46" s="9" t="inlineStr">
        <is>
          <t>Damage/Effect</t>
        </is>
      </c>
    </row>
    <row r="47">
      <c r="A47" s="7" t="inlineStr">
        <is>
          <t>Chasing Wind Palm</t>
        </is>
      </c>
      <c r="B47" s="7" t="inlineStr">
        <is>
          <t>External Art · fist palm</t>
        </is>
      </c>
      <c r="C47" s="7" t="inlineStr">
        <is>
          <t>Advanced</t>
        </is>
      </c>
      <c r="D47" s="7" t="inlineStr">
        <is>
          <t>swift</t>
        </is>
      </c>
      <c r="E47" s="7" t="inlineStr">
        <is>
          <t>Chasing the wind</t>
        </is>
      </c>
      <c r="F47" s="7" t="inlineStr">
        <is>
          <t>2</t>
        </is>
      </c>
      <c r="G47" s="7" t="inlineStr">
        <is>
          <t>+4</t>
        </is>
      </c>
      <c r="H47" s="7" t="inlineStr">
        <is>
          <t>2d6+3</t>
        </is>
      </c>
    </row>
    <row r="48">
      <c r="A48" s="7" t="inlineStr">
        <is>
          <t>agency Trap</t>
        </is>
      </c>
      <c r="B48" s="7" t="inlineStr">
        <is>
          <t>special</t>
        </is>
      </c>
      <c r="C48" s="7" t="inlineStr">
        <is>
          <t>Advanced</t>
        </is>
      </c>
      <c r="D48" s="7" t="inlineStr">
        <is>
          <t>--</t>
        </is>
      </c>
      <c r="E48" s="7" t="inlineStr">
        <is>
          <t>--</t>
        </is>
      </c>
      <c r="F48" s="7" t="inlineStr">
        <is>
          <t>3</t>
        </is>
      </c>
      <c r="G48" s="7" t="inlineStr">
        <is>
          <t>--</t>
        </is>
      </c>
      <c r="H48" s="7" t="inlineStr">
        <is>
          <t>smoke bomb/poisonous smoke/rope net(Buried in advance5a)</t>
        </is>
      </c>
    </row>
    <row r="49"/>
    <row r="50"/>
    <row r="51"/>
    <row r="52"/>
    <row r="53"/>
    <row r="54"/>
    <row r="55"/>
    <row r="56">
      <c r="A56" s="5" t="inlineStr">
        <is>
          <t>-- Equipment --</t>
        </is>
      </c>
      <c r="B56" s="2" t="n"/>
      <c r="C56" s="2" t="n"/>
      <c r="D56" s="2" t="n"/>
      <c r="E56" s="2" t="n"/>
      <c r="F56" s="2" t="n"/>
      <c r="G56" s="2" t="n"/>
      <c r="H56" s="3" t="n"/>
    </row>
    <row r="57">
      <c r="A57" s="9" t="inlineStr">
        <is>
          <t>weapons</t>
        </is>
      </c>
      <c r="B57" s="9" t="inlineStr">
        <is>
          <t>Armor</t>
        </is>
      </c>
      <c r="C57" s="9" t="inlineStr">
        <is>
          <t>special</t>
        </is>
      </c>
    </row>
    <row r="58">
      <c r="A58" s="8" t="inlineStr">
        <is>
          <t>double fists</t>
        </is>
      </c>
      <c r="B58" s="8" t="inlineStr">
        <is>
          <t>gray Travel outfit</t>
        </is>
      </c>
      <c r="C58" s="12" t="inlineStr">
        <is>
          <t>Not Boss fight--Don't want to kill only think Get away。 life value（HP） 28， Qi 20</t>
        </is>
      </c>
      <c r="D58" s="2" t="n"/>
      <c r="E58" s="2" t="n"/>
      <c r="F58" s="3" t="n"/>
    </row>
    <row r="59"/>
    <row r="60"/>
    <row r="61">
      <c r="A61" s="6" t="inlineStr">
        <is>
          <t>Heroism</t>
        </is>
      </c>
      <c r="B61" s="7" t="inlineStr">
        <is>
          <t>5</t>
        </is>
      </c>
      <c r="D61" s="6" t="inlineStr">
        <is>
          <t>Infamy</t>
        </is>
      </c>
      <c r="E61" s="7" t="inlineStr">
        <is>
          <t>0</t>
        </is>
      </c>
    </row>
    <row r="62"/>
    <row r="63">
      <c r="A63" t="inlineStr">
        <is>
          <t>Can become a disciple(difficulty（DC）14): Chasing Wind Palm+Trapcraft。</t>
        </is>
      </c>
    </row>
  </sheetData>
  <mergeCells count="26">
    <mergeCell ref="A24:B24"/>
    <mergeCell ref="D13:F13"/>
    <mergeCell ref="D11:F11"/>
    <mergeCell ref="B6:H6"/>
    <mergeCell ref="A45:H45"/>
    <mergeCell ref="A1:H1"/>
    <mergeCell ref="B19:D19"/>
    <mergeCell ref="E20:F20"/>
    <mergeCell ref="E19:F19"/>
    <mergeCell ref="D12:F12"/>
    <mergeCell ref="C58:F58"/>
    <mergeCell ref="D15:F15"/>
    <mergeCell ref="B20:D20"/>
    <mergeCell ref="A56:H56"/>
    <mergeCell ref="D14:F14"/>
    <mergeCell ref="A2:H2"/>
    <mergeCell ref="A8:H8"/>
    <mergeCell ref="D10:F10"/>
    <mergeCell ref="A17:H17"/>
    <mergeCell ref="A4:H4"/>
    <mergeCell ref="B22:D22"/>
    <mergeCell ref="B18:D18"/>
    <mergeCell ref="E22:F22"/>
    <mergeCell ref="B21:D21"/>
    <mergeCell ref="E18:F18"/>
    <mergeCell ref="E21:F2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61"/>
  <sheetViews>
    <sheetView workbookViewId="0">
      <selection activeCell="A1" sqref="A1"/>
    </sheetView>
  </sheetViews>
  <sheetFormatPr baseColWidth="8" defaultRowHeight="15"/>
  <cols>
    <col width="5" customWidth="1" min="1" max="1"/>
    <col width="16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2" customWidth="1" min="8" max="8"/>
  </cols>
  <sheetData>
    <row r="1">
      <c r="A1" s="1" t="inlineStr">
        <is>
          <t>Yonghe Martial Codex TRPG</t>
        </is>
      </c>
      <c r="B1" s="2" t="n"/>
      <c r="C1" s="2" t="n"/>
      <c r="D1" s="2" t="n"/>
      <c r="E1" s="2" t="n"/>
      <c r="F1" s="2" t="n"/>
      <c r="G1" s="2" t="n"/>
      <c r="H1" s="3" t="n"/>
    </row>
    <row r="2">
      <c r="A2" s="4" t="inlineStr">
        <is>
          <t>script Enemy card</t>
        </is>
      </c>
      <c r="B2" s="2" t="n"/>
      <c r="C2" s="2" t="n"/>
      <c r="D2" s="2" t="n"/>
      <c r="E2" s="2" t="n"/>
      <c r="F2" s="2" t="n"/>
      <c r="G2" s="2" t="n"/>
      <c r="H2" s="3" t="n"/>
    </row>
    <row r="3"/>
    <row r="4">
      <c r="A4" s="5" t="inlineStr">
        <is>
          <t>-- Basic Info --</t>
        </is>
      </c>
      <c r="B4" s="2" t="n"/>
      <c r="C4" s="2" t="n"/>
      <c r="D4" s="2" t="n"/>
      <c r="E4" s="2" t="n"/>
      <c r="F4" s="2" t="n"/>
      <c r="G4" s="2" t="n"/>
      <c r="H4" s="3" t="n"/>
    </row>
    <row r="5">
      <c r="A5" s="6" t="inlineStr">
        <is>
          <t>Character name</t>
        </is>
      </c>
      <c r="B5" s="7" t="inlineStr">
        <is>
          <t>Jin Ridi</t>
        </is>
      </c>
      <c r="C5" s="6" t="inlineStr">
        <is>
          <t>Sect</t>
        </is>
      </c>
      <c r="D5" s="7" t="inlineStr">
        <is>
          <t>barbarian</t>
        </is>
      </c>
      <c r="E5" s="6" t="inlineStr">
        <is>
          <t>Realm</t>
        </is>
      </c>
      <c r="F5" s="7" t="inlineStr">
        <is>
          <t>Return to Simplicity</t>
        </is>
      </c>
      <c r="G5" s="6" t="inlineStr">
        <is>
          <t>Inner Art Coefficient</t>
        </is>
      </c>
      <c r="H5" s="7" t="inlineStr">
        <is>
          <t>1(no Inner Art)</t>
        </is>
      </c>
    </row>
    <row r="6">
      <c r="A6" s="6" t="inlineStr">
        <is>
          <t>Concept</t>
        </is>
      </c>
      <c r="B6" s="8" t="inlineStr">
        <is>
          <t>barbarian highest commander in chief， own and Wanxiang Grotto Wumai Homology 's「beast king's blood」。 grassland continuous severe drought forced Southern invasion。</t>
        </is>
      </c>
      <c r="C6" s="2" t="n"/>
      <c r="D6" s="2" t="n"/>
      <c r="E6" s="2" t="n"/>
      <c r="F6" s="2" t="n"/>
      <c r="G6" s="2" t="n"/>
      <c r="H6" s="3" t="n"/>
    </row>
    <row r="7"/>
    <row r="8">
      <c r="A8" s="5" t="inlineStr">
        <is>
          <t>-- Six Attributes --</t>
        </is>
      </c>
      <c r="B8" s="2" t="n"/>
      <c r="C8" s="2" t="n"/>
      <c r="D8" s="2" t="n"/>
      <c r="E8" s="2" t="n"/>
      <c r="F8" s="2" t="n"/>
      <c r="G8" s="2" t="n"/>
      <c r="H8" s="3" t="n"/>
    </row>
    <row r="9">
      <c r="A9" s="9" t="inlineStr">
        <is>
          <t>Attribute</t>
        </is>
      </c>
      <c r="B9" s="9" t="inlineStr">
        <is>
          <t>Base Value</t>
        </is>
      </c>
      <c r="C9" s="9" t="inlineStr">
        <is>
          <t>Modifier</t>
        </is>
      </c>
      <c r="D9" s="9" t="inlineStr">
        <is>
          <t>Description</t>
        </is>
      </c>
    </row>
    <row r="10">
      <c r="A10" s="6" t="inlineStr">
        <is>
          <t>Strength（STR）</t>
        </is>
      </c>
      <c r="B10" s="7" t="inlineStr">
        <is>
          <t>11</t>
        </is>
      </c>
      <c r="C10" s="10">
        <f>B10-4</f>
        <v/>
      </c>
      <c r="D10" s="4" t="n"/>
      <c r="E10" s="2" t="n"/>
      <c r="F10" s="3" t="n"/>
    </row>
    <row r="11">
      <c r="A11" s="6" t="inlineStr">
        <is>
          <t>Agility（DEX）</t>
        </is>
      </c>
      <c r="B11" s="7" t="inlineStr">
        <is>
          <t>7</t>
        </is>
      </c>
      <c r="C11" s="10">
        <f>B11-4</f>
        <v/>
      </c>
      <c r="D11" s="4" t="n"/>
      <c r="E11" s="2" t="n"/>
      <c r="F11" s="3" t="n"/>
    </row>
    <row r="12">
      <c r="A12" s="6" t="inlineStr">
        <is>
          <t>Constitution（CON）</t>
        </is>
      </c>
      <c r="B12" s="7" t="inlineStr">
        <is>
          <t>10</t>
        </is>
      </c>
      <c r="C12" s="10">
        <f>B12-4</f>
        <v/>
      </c>
      <c r="D12" s="4" t="n"/>
      <c r="E12" s="2" t="n"/>
      <c r="F12" s="3" t="n"/>
    </row>
    <row r="13">
      <c r="A13" s="6" t="inlineStr">
        <is>
          <t>Comprehension（INT）</t>
        </is>
      </c>
      <c r="B13" s="7" t="inlineStr">
        <is>
          <t>4</t>
        </is>
      </c>
      <c r="C13" s="10">
        <f>B13-4</f>
        <v/>
      </c>
      <c r="D13" s="4" t="n"/>
      <c r="E13" s="2" t="n"/>
      <c r="F13" s="3" t="n"/>
    </row>
    <row r="14">
      <c r="A14" s="6" t="inlineStr">
        <is>
          <t>Willpower（WIS）</t>
        </is>
      </c>
      <c r="B14" s="7" t="inlineStr">
        <is>
          <t>8</t>
        </is>
      </c>
      <c r="C14" s="10">
        <f>B14-4</f>
        <v/>
      </c>
      <c r="D14" s="4" t="n"/>
      <c r="E14" s="2" t="n"/>
      <c r="F14" s="3" t="n"/>
    </row>
    <row r="15">
      <c r="A15" s="6" t="inlineStr">
        <is>
          <t>Charisma（CHA）</t>
        </is>
      </c>
      <c r="B15" s="7" t="inlineStr">
        <is>
          <t>5</t>
        </is>
      </c>
      <c r="C15" s="10">
        <f>B15-4</f>
        <v/>
      </c>
      <c r="D15" s="4" t="n"/>
      <c r="E15" s="2" t="n"/>
      <c r="F15" s="3" t="n"/>
    </row>
    <row r="16"/>
    <row r="17">
      <c r="A17" s="5" t="inlineStr">
        <is>
          <t>-- Derived Values --</t>
        </is>
      </c>
      <c r="B17" s="2" t="n"/>
      <c r="C17" s="2" t="n"/>
      <c r="D17" s="2" t="n"/>
      <c r="E17" s="2" t="n"/>
      <c r="F17" s="2" t="n"/>
      <c r="G17" s="2" t="n"/>
      <c r="H17" s="3" t="n"/>
    </row>
    <row r="18">
      <c r="A18" s="6" t="inlineStr">
        <is>
          <t>life value（HP）</t>
        </is>
      </c>
      <c r="B18" s="4" t="inlineStr">
        <is>
          <t>Constitution x5+Realm</t>
        </is>
      </c>
      <c r="C18" s="2" t="n"/>
      <c r="D18" s="3" t="n"/>
      <c r="E18" s="11">
        <f>B12*5+IF(F6="Crossing the Threshold",5,IF(F6="Complete Mastery",10,IF(F6="Perfecting the Craft",15,IF(F6="Peak of Perfection",20,IF(F6="Return to Simplicity",25,0)))))</f>
        <v/>
      </c>
      <c r="F18" s="3" t="n"/>
    </row>
    <row r="19">
      <c r="A19" s="6" t="inlineStr">
        <is>
          <t>Qi</t>
        </is>
      </c>
      <c r="B19" s="4" t="inlineStr">
        <is>
          <t>Constitution x Inner Art Coefficient+Realm</t>
        </is>
      </c>
      <c r="C19" s="2" t="n"/>
      <c r="D19" s="3" t="n"/>
      <c r="E19" s="11">
        <f>B12*VALUE(LEFT(H5,1))+IF(F6="Crossing the Threshold",3,IF(F6="Complete Mastery",6,IF(F6="Perfecting the Craft",10,IF(F6="Peak of Perfection",15,IF(F6="Return to Simplicity",20,0)))))</f>
        <v/>
      </c>
      <c r="F19" s="3" t="n"/>
    </row>
    <row r="20">
      <c r="A20" s="6" t="inlineStr">
        <is>
          <t>Initiative</t>
        </is>
      </c>
      <c r="B20" s="4" t="inlineStr">
        <is>
          <t>Agility+Willpower</t>
        </is>
      </c>
      <c r="C20" s="2" t="n"/>
      <c r="D20" s="3" t="n"/>
      <c r="E20" s="11">
        <f>B11+B14</f>
        <v/>
      </c>
      <c r="F20" s="3" t="n"/>
    </row>
    <row r="21">
      <c r="A21" s="6" t="inlineStr">
        <is>
          <t>Evasion</t>
        </is>
      </c>
      <c r="B21" s="4" t="inlineStr">
        <is>
          <t>Agility Modifier</t>
        </is>
      </c>
      <c r="C21" s="2" t="n"/>
      <c r="D21" s="3" t="n"/>
      <c r="E21" s="11">
        <f>C11</f>
        <v/>
      </c>
      <c r="F21" s="3" t="n"/>
    </row>
    <row r="22">
      <c r="A22" s="6" t="inlineStr">
        <is>
          <t>Defense</t>
        </is>
      </c>
      <c r="B22" s="4" t="inlineStr">
        <is>
          <t>Constitution Modifier</t>
        </is>
      </c>
      <c r="C22" s="2" t="n"/>
      <c r="D22" s="3" t="n"/>
      <c r="E22" s="11">
        <f>C12</f>
        <v/>
      </c>
      <c r="F22" s="3" t="n"/>
    </row>
    <row r="23"/>
    <row r="24">
      <c r="A24" s="5" t="inlineStr">
        <is>
          <t>-- Skills --</t>
        </is>
      </c>
      <c r="B24" s="3" t="n"/>
    </row>
    <row r="25">
      <c r="A25" s="6" t="inlineStr">
        <is>
          <t>Technique Reading</t>
        </is>
      </c>
      <c r="B25" s="7" t="inlineStr">
        <is>
          <t>0</t>
        </is>
      </c>
    </row>
    <row r="26">
      <c r="A26" s="6" t="inlineStr">
        <is>
          <t>Jianghu Lore</t>
        </is>
      </c>
      <c r="B26" s="7" t="inlineStr">
        <is>
          <t>0</t>
        </is>
      </c>
    </row>
    <row r="27">
      <c r="A27" s="6" t="inlineStr">
        <is>
          <t>Lightfoot</t>
        </is>
      </c>
      <c r="B27" s="7" t="inlineStr">
        <is>
          <t>0</t>
        </is>
      </c>
    </row>
    <row r="28">
      <c r="A28" s="6" t="inlineStr">
        <is>
          <t>Oratory</t>
        </is>
      </c>
      <c r="B28" s="7" t="inlineStr">
        <is>
          <t>0</t>
        </is>
      </c>
    </row>
    <row r="29">
      <c r="A29" s="6" t="inlineStr">
        <is>
          <t>Climbing</t>
        </is>
      </c>
      <c r="B29" s="7" t="inlineStr">
        <is>
          <t>0</t>
        </is>
      </c>
    </row>
    <row r="30">
      <c r="A30" s="6" t="inlineStr">
        <is>
          <t>Stealth</t>
        </is>
      </c>
      <c r="B30" s="7" t="inlineStr">
        <is>
          <t>0</t>
        </is>
      </c>
    </row>
    <row r="31">
      <c r="A31" s="6" t="inlineStr">
        <is>
          <t>Tracking</t>
        </is>
      </c>
      <c r="B31" s="7" t="inlineStr">
        <is>
          <t>4</t>
        </is>
      </c>
    </row>
    <row r="32">
      <c r="A32" s="6" t="inlineStr">
        <is>
          <t>Read Intent</t>
        </is>
      </c>
      <c r="B32" s="7" t="inlineStr">
        <is>
          <t>0</t>
        </is>
      </c>
    </row>
    <row r="33">
      <c r="A33" s="6" t="inlineStr">
        <is>
          <t>Disguise</t>
        </is>
      </c>
      <c r="B33" s="7" t="inlineStr">
        <is>
          <t>0</t>
        </is>
      </c>
    </row>
    <row r="34">
      <c r="A34" s="6" t="inlineStr">
        <is>
          <t>Lockpicking</t>
        </is>
      </c>
      <c r="B34" s="7" t="inlineStr">
        <is>
          <t>0</t>
        </is>
      </c>
    </row>
    <row r="35">
      <c r="A35" s="6" t="inlineStr">
        <is>
          <t>Trapcraft</t>
        </is>
      </c>
      <c r="B35" s="7" t="inlineStr">
        <is>
          <t>0</t>
        </is>
      </c>
    </row>
    <row r="36">
      <c r="A36" s="6" t="inlineStr">
        <is>
          <t>Medicine</t>
        </is>
      </c>
      <c r="B36" s="7" t="inlineStr">
        <is>
          <t>0</t>
        </is>
      </c>
    </row>
    <row r="37">
      <c r="A37" s="6" t="inlineStr">
        <is>
          <t>Alchemy</t>
        </is>
      </c>
      <c r="B37" s="7" t="inlineStr">
        <is>
          <t>0</t>
        </is>
      </c>
    </row>
    <row r="38">
      <c r="A38" s="6" t="inlineStr">
        <is>
          <t>Poison</t>
        </is>
      </c>
      <c r="B38" s="7" t="inlineStr">
        <is>
          <t>0</t>
        </is>
      </c>
    </row>
    <row r="39">
      <c r="A39" s="6" t="inlineStr">
        <is>
          <t>Hidden weapon</t>
        </is>
      </c>
      <c r="B39" s="7" t="inlineStr">
        <is>
          <t>0</t>
        </is>
      </c>
    </row>
    <row r="40">
      <c r="A40" s="6" t="inlineStr">
        <is>
          <t>stick method</t>
        </is>
      </c>
      <c r="B40" s="7" t="inlineStr">
        <is>
          <t>5</t>
        </is>
      </c>
    </row>
    <row r="41">
      <c r="A41" s="6" t="inlineStr">
        <is>
          <t>fist palm</t>
        </is>
      </c>
      <c r="B41" s="7" t="inlineStr">
        <is>
          <t>0</t>
        </is>
      </c>
    </row>
    <row r="42">
      <c r="A42" s="6" t="inlineStr">
        <is>
          <t>Knife skills</t>
        </is>
      </c>
      <c r="B42" s="7" t="inlineStr">
        <is>
          <t>0</t>
        </is>
      </c>
    </row>
    <row r="43">
      <c r="A43" s="6" t="inlineStr">
        <is>
          <t>swordsmanship</t>
        </is>
      </c>
      <c r="B43" s="7" t="inlineStr">
        <is>
          <t>0</t>
        </is>
      </c>
    </row>
    <row r="44"/>
    <row r="45">
      <c r="A45" s="5" t="inlineStr">
        <is>
          <t>-- martial technique / kung fu --</t>
        </is>
      </c>
      <c r="B45" s="2" t="n"/>
      <c r="C45" s="2" t="n"/>
      <c r="D45" s="2" t="n"/>
      <c r="E45" s="2" t="n"/>
      <c r="F45" s="2" t="n"/>
      <c r="G45" s="2" t="n"/>
      <c r="H45" s="3" t="n"/>
    </row>
    <row r="46">
      <c r="A46" s="9" t="inlineStr">
        <is>
          <t>Technique Name</t>
        </is>
      </c>
      <c r="B46" s="9" t="inlineStr">
        <is>
          <t>Type</t>
        </is>
      </c>
      <c r="C46" s="9" t="inlineStr">
        <is>
          <t>Tier</t>
        </is>
      </c>
      <c r="D46" s="9" t="inlineStr">
        <is>
          <t>Force</t>
        </is>
      </c>
      <c r="E46" s="9" t="inlineStr">
        <is>
          <t>Move</t>
        </is>
      </c>
      <c r="F46" s="9" t="inlineStr">
        <is>
          <t>Qi</t>
        </is>
      </c>
      <c r="G46" s="9" t="inlineStr">
        <is>
          <t>Accuracy</t>
        </is>
      </c>
      <c r="H46" s="9" t="inlineStr">
        <is>
          <t>Damage/Effect</t>
        </is>
      </c>
    </row>
    <row r="47">
      <c r="A47" s="7" t="inlineStr">
        <is>
          <t>Broken Mountain cut</t>
        </is>
      </c>
      <c r="B47" s="7" t="inlineStr">
        <is>
          <t>External Art · Blunt weapon</t>
        </is>
      </c>
      <c r="C47" s="7" t="inlineStr">
        <is>
          <t>unique skill</t>
        </is>
      </c>
      <c r="D47" s="7" t="inlineStr">
        <is>
          <t>firm</t>
        </is>
      </c>
      <c r="E47" s="7" t="inlineStr">
        <is>
          <t>Broken Mountain</t>
        </is>
      </c>
      <c r="F47" s="7" t="inlineStr">
        <is>
          <t>--</t>
        </is>
      </c>
      <c r="G47" s="7" t="inlineStr">
        <is>
          <t>+8</t>
        </is>
      </c>
      <c r="H47" s="7" t="inlineStr">
        <is>
          <t>4d10+STR x2 repel3step</t>
        </is>
      </c>
    </row>
    <row r="48">
      <c r="A48" s="7" t="inlineStr">
        <is>
          <t>earth roar</t>
        </is>
      </c>
      <c r="B48" s="7" t="inlineStr">
        <is>
          <t>range attack</t>
        </is>
      </c>
      <c r="C48" s="7" t="inlineStr">
        <is>
          <t>unique skill</t>
        </is>
      </c>
      <c r="D48" s="7" t="inlineStr">
        <is>
          <t>firm</t>
        </is>
      </c>
      <c r="E48" s="7" t="inlineStr">
        <is>
          <t>--</t>
        </is>
      </c>
      <c r="F48" s="7" t="inlineStr">
        <is>
          <t>--</t>
        </is>
      </c>
      <c r="G48" s="7" t="inlineStr">
        <is>
          <t>difficulty（DC）18</t>
        </is>
      </c>
      <c r="H48" s="7" t="inlineStr">
        <is>
          <t>3d8+3 radius3step</t>
        </is>
      </c>
    </row>
    <row r="49">
      <c r="A49" s="7" t="inlineStr">
        <is>
          <t>wolf group Summon</t>
        </is>
      </c>
      <c r="B49" s="7" t="inlineStr">
        <is>
          <t>special</t>
        </is>
      </c>
      <c r="C49" s="7" t="inlineStr">
        <is>
          <t>--</t>
        </is>
      </c>
      <c r="D49" s="7" t="inlineStr">
        <is>
          <t>--</t>
        </is>
      </c>
      <c r="E49" s="7" t="inlineStr">
        <is>
          <t>--</t>
        </is>
      </c>
      <c r="F49" s="7" t="inlineStr">
        <is>
          <t>--</t>
        </is>
      </c>
      <c r="G49" s="7" t="inlineStr">
        <is>
          <t>--</t>
        </is>
      </c>
      <c r="H49" s="7" t="inlineStr">
        <is>
          <t>Summon3only ghost wolf(life value（HP）20)</t>
        </is>
      </c>
    </row>
    <row r="50">
      <c r="A50" s="7" t="inlineStr">
        <is>
          <t>beast king's blood</t>
        </is>
      </c>
      <c r="B50" s="7" t="inlineStr">
        <is>
          <t>Passive</t>
        </is>
      </c>
      <c r="C50" s="7" t="inlineStr">
        <is>
          <t>--</t>
        </is>
      </c>
      <c r="D50" s="7" t="inlineStr">
        <is>
          <t>--</t>
        </is>
      </c>
      <c r="E50" s="7" t="inlineStr">
        <is>
          <t>--</t>
        </is>
      </c>
      <c r="F50" s="7" t="inlineStr">
        <is>
          <t>--</t>
        </is>
      </c>
      <c r="G50" s="7" t="inlineStr">
        <is>
          <t>--</t>
        </is>
      </c>
      <c r="H50" s="7" t="inlineStr">
        <is>
          <t>every loss1life value（HP）gain bloodrage,5point=Accuracy+1(at most+5)</t>
        </is>
      </c>
    </row>
    <row r="51"/>
    <row r="52"/>
    <row r="53"/>
    <row r="54"/>
    <row r="55"/>
    <row r="56">
      <c r="A56" s="5" t="inlineStr">
        <is>
          <t>-- Equipment --</t>
        </is>
      </c>
      <c r="B56" s="2" t="n"/>
      <c r="C56" s="2" t="n"/>
      <c r="D56" s="2" t="n"/>
      <c r="E56" s="2" t="n"/>
      <c r="F56" s="2" t="n"/>
      <c r="G56" s="2" t="n"/>
      <c r="H56" s="3" t="n"/>
    </row>
    <row r="57">
      <c r="A57" s="9" t="inlineStr">
        <is>
          <t>weapons</t>
        </is>
      </c>
      <c r="B57" s="9" t="inlineStr">
        <is>
          <t>Armor</t>
        </is>
      </c>
      <c r="C57" s="9" t="inlineStr">
        <is>
          <t>special</t>
        </is>
      </c>
    </row>
    <row r="58">
      <c r="A58" s="8" t="inlineStr">
        <is>
          <t>giant Warhammer (4d10)</t>
        </is>
      </c>
      <c r="B58" s="8" t="inlineStr">
        <is>
          <t>animal bones War Armor</t>
        </is>
      </c>
      <c r="C58" s="12" t="inlineStr">
        <is>
          <t>Finale Boss · Sixth environment。 Weakness： Internal Injury Yes its1.5times。 Yes Heping Road line(Charisma difficulty（DC）22)。 life value（HP） 100</t>
        </is>
      </c>
      <c r="D58" s="2" t="n"/>
      <c r="E58" s="2" t="n"/>
      <c r="F58" s="3" t="n"/>
    </row>
    <row r="59"/>
    <row r="60"/>
    <row r="61">
      <c r="A61" s="6" t="inlineStr">
        <is>
          <t>Heroism</t>
        </is>
      </c>
      <c r="B61" s="7" t="inlineStr">
        <is>
          <t>-40</t>
        </is>
      </c>
      <c r="D61" s="6" t="inlineStr">
        <is>
          <t>Infamy</t>
        </is>
      </c>
      <c r="E61" s="7" t="inlineStr">
        <is>
          <t>60</t>
        </is>
      </c>
    </row>
  </sheetData>
  <mergeCells count="26">
    <mergeCell ref="A24:B24"/>
    <mergeCell ref="D13:F13"/>
    <mergeCell ref="D11:F11"/>
    <mergeCell ref="B6:H6"/>
    <mergeCell ref="A45:H45"/>
    <mergeCell ref="A1:H1"/>
    <mergeCell ref="B19:D19"/>
    <mergeCell ref="E20:F20"/>
    <mergeCell ref="E19:F19"/>
    <mergeCell ref="D12:F12"/>
    <mergeCell ref="C58:F58"/>
    <mergeCell ref="D15:F15"/>
    <mergeCell ref="B20:D20"/>
    <mergeCell ref="A56:H56"/>
    <mergeCell ref="D14:F14"/>
    <mergeCell ref="A2:H2"/>
    <mergeCell ref="A8:H8"/>
    <mergeCell ref="D10:F10"/>
    <mergeCell ref="A17:H17"/>
    <mergeCell ref="A4:H4"/>
    <mergeCell ref="B22:D22"/>
    <mergeCell ref="B18:D18"/>
    <mergeCell ref="E22:F22"/>
    <mergeCell ref="B21:D21"/>
    <mergeCell ref="E18:F18"/>
    <mergeCell ref="E21:F2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64"/>
  <sheetViews>
    <sheetView workbookViewId="0">
      <selection activeCell="A1" sqref="A1"/>
    </sheetView>
  </sheetViews>
  <sheetFormatPr baseColWidth="8" defaultRowHeight="15"/>
  <cols>
    <col width="5" customWidth="1" min="1" max="1"/>
    <col width="16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2" customWidth="1" min="8" max="8"/>
  </cols>
  <sheetData>
    <row r="1">
      <c r="A1" s="1" t="inlineStr">
        <is>
          <t>Yonghe Martial Codex TRPG</t>
        </is>
      </c>
      <c r="B1" s="2" t="n"/>
      <c r="C1" s="2" t="n"/>
      <c r="D1" s="2" t="n"/>
      <c r="E1" s="2" t="n"/>
      <c r="F1" s="2" t="n"/>
      <c r="G1" s="2" t="n"/>
      <c r="H1" s="3" t="n"/>
    </row>
    <row r="2">
      <c r="A2" s="4" t="inlineStr">
        <is>
          <t>script Enemy card</t>
        </is>
      </c>
      <c r="B2" s="2" t="n"/>
      <c r="C2" s="2" t="n"/>
      <c r="D2" s="2" t="n"/>
      <c r="E2" s="2" t="n"/>
      <c r="F2" s="2" t="n"/>
      <c r="G2" s="2" t="n"/>
      <c r="H2" s="3" t="n"/>
    </row>
    <row r="3"/>
    <row r="4">
      <c r="A4" s="5" t="inlineStr">
        <is>
          <t>-- Basic Info --</t>
        </is>
      </c>
      <c r="B4" s="2" t="n"/>
      <c r="C4" s="2" t="n"/>
      <c r="D4" s="2" t="n"/>
      <c r="E4" s="2" t="n"/>
      <c r="F4" s="2" t="n"/>
      <c r="G4" s="2" t="n"/>
      <c r="H4" s="3" t="n"/>
    </row>
    <row r="5">
      <c r="A5" s="6" t="inlineStr">
        <is>
          <t>Character name</t>
        </is>
      </c>
      <c r="B5" s="7" t="inlineStr">
        <is>
          <t>Tie Jingxin</t>
        </is>
      </c>
      <c r="C5" s="6" t="inlineStr">
        <is>
          <t>Sect</t>
        </is>
      </c>
      <c r="D5" s="7" t="inlineStr">
        <is>
          <t>Six Doors</t>
        </is>
      </c>
      <c r="E5" s="6" t="inlineStr">
        <is>
          <t>Realm</t>
        </is>
      </c>
      <c r="F5" s="7" t="inlineStr">
        <is>
          <t>Perfecting the Craft</t>
        </is>
      </c>
      <c r="G5" s="6" t="inlineStr">
        <is>
          <t>Inner Art Coefficient</t>
        </is>
      </c>
      <c r="H5" s="7" t="inlineStr">
        <is>
          <t>3(Authentic)</t>
        </is>
      </c>
    </row>
    <row r="6">
      <c r="A6" s="6" t="inlineStr">
        <is>
          <t>Concept</t>
        </is>
      </c>
      <c r="B6" s="8" t="inlineStr">
        <is>
          <t>Six Doors Luoyang Branch bureau chief， Imperial Court at Jianghu 's ultimate armed。 iron face Selfless， martial technique / kung fu Upright not stay leeway。 Tianbang#8。</t>
        </is>
      </c>
      <c r="C6" s="2" t="n"/>
      <c r="D6" s="2" t="n"/>
      <c r="E6" s="2" t="n"/>
      <c r="F6" s="2" t="n"/>
      <c r="G6" s="2" t="n"/>
      <c r="H6" s="3" t="n"/>
    </row>
    <row r="7"/>
    <row r="8">
      <c r="A8" s="5" t="inlineStr">
        <is>
          <t>-- Six Attributes --</t>
        </is>
      </c>
      <c r="B8" s="2" t="n"/>
      <c r="C8" s="2" t="n"/>
      <c r="D8" s="2" t="n"/>
      <c r="E8" s="2" t="n"/>
      <c r="F8" s="2" t="n"/>
      <c r="G8" s="2" t="n"/>
      <c r="H8" s="3" t="n"/>
    </row>
    <row r="9">
      <c r="A9" s="9" t="inlineStr">
        <is>
          <t>Attribute</t>
        </is>
      </c>
      <c r="B9" s="9" t="inlineStr">
        <is>
          <t>Base Value</t>
        </is>
      </c>
      <c r="C9" s="9" t="inlineStr">
        <is>
          <t>Modifier</t>
        </is>
      </c>
      <c r="D9" s="9" t="inlineStr">
        <is>
          <t>Description</t>
        </is>
      </c>
    </row>
    <row r="10">
      <c r="A10" s="6" t="inlineStr">
        <is>
          <t>Strength（STR）</t>
        </is>
      </c>
      <c r="B10" s="7" t="inlineStr">
        <is>
          <t>8</t>
        </is>
      </c>
      <c r="C10" s="10">
        <f>B10-4</f>
        <v/>
      </c>
      <c r="D10" s="4" t="n"/>
      <c r="E10" s="2" t="n"/>
      <c r="F10" s="3" t="n"/>
    </row>
    <row r="11">
      <c r="A11" s="6" t="inlineStr">
        <is>
          <t>Agility（DEX）</t>
        </is>
      </c>
      <c r="B11" s="7" t="inlineStr">
        <is>
          <t>5</t>
        </is>
      </c>
      <c r="C11" s="10">
        <f>B11-4</f>
        <v/>
      </c>
      <c r="D11" s="4" t="n"/>
      <c r="E11" s="2" t="n"/>
      <c r="F11" s="3" t="n"/>
    </row>
    <row r="12">
      <c r="A12" s="6" t="inlineStr">
        <is>
          <t>Constitution（CON）</t>
        </is>
      </c>
      <c r="B12" s="7" t="inlineStr">
        <is>
          <t>7</t>
        </is>
      </c>
      <c r="C12" s="10">
        <f>B12-4</f>
        <v/>
      </c>
      <c r="D12" s="4" t="n"/>
      <c r="E12" s="2" t="n"/>
      <c r="F12" s="3" t="n"/>
    </row>
    <row r="13">
      <c r="A13" s="6" t="inlineStr">
        <is>
          <t>Comprehension（INT）</t>
        </is>
      </c>
      <c r="B13" s="7" t="inlineStr">
        <is>
          <t>5</t>
        </is>
      </c>
      <c r="C13" s="10">
        <f>B13-4</f>
        <v/>
      </c>
      <c r="D13" s="4" t="n"/>
      <c r="E13" s="2" t="n"/>
      <c r="F13" s="3" t="n"/>
    </row>
    <row r="14">
      <c r="A14" s="6" t="inlineStr">
        <is>
          <t>Willpower（WIS）</t>
        </is>
      </c>
      <c r="B14" s="7" t="inlineStr">
        <is>
          <t>7</t>
        </is>
      </c>
      <c r="C14" s="10">
        <f>B14-4</f>
        <v/>
      </c>
      <c r="D14" s="4" t="n"/>
      <c r="E14" s="2" t="n"/>
      <c r="F14" s="3" t="n"/>
    </row>
    <row r="15">
      <c r="A15" s="6" t="inlineStr">
        <is>
          <t>Charisma（CHA）</t>
        </is>
      </c>
      <c r="B15" s="7" t="inlineStr">
        <is>
          <t>4</t>
        </is>
      </c>
      <c r="C15" s="10">
        <f>B15-4</f>
        <v/>
      </c>
      <c r="D15" s="4" t="n"/>
      <c r="E15" s="2" t="n"/>
      <c r="F15" s="3" t="n"/>
    </row>
    <row r="16"/>
    <row r="17">
      <c r="A17" s="5" t="inlineStr">
        <is>
          <t>-- Derived Values --</t>
        </is>
      </c>
      <c r="B17" s="2" t="n"/>
      <c r="C17" s="2" t="n"/>
      <c r="D17" s="2" t="n"/>
      <c r="E17" s="2" t="n"/>
      <c r="F17" s="2" t="n"/>
      <c r="G17" s="2" t="n"/>
      <c r="H17" s="3" t="n"/>
    </row>
    <row r="18">
      <c r="A18" s="6" t="inlineStr">
        <is>
          <t>life value（HP）</t>
        </is>
      </c>
      <c r="B18" s="4" t="inlineStr">
        <is>
          <t>Constitution x5+Realm</t>
        </is>
      </c>
      <c r="C18" s="2" t="n"/>
      <c r="D18" s="3" t="n"/>
      <c r="E18" s="11">
        <f>B12*5+IF(F6="Crossing the Threshold",5,IF(F6="Complete Mastery",10,IF(F6="Perfecting the Craft",15,IF(F6="Peak of Perfection",20,IF(F6="Return to Simplicity",25,0)))))</f>
        <v/>
      </c>
      <c r="F18" s="3" t="n"/>
    </row>
    <row r="19">
      <c r="A19" s="6" t="inlineStr">
        <is>
          <t>Qi</t>
        </is>
      </c>
      <c r="B19" s="4" t="inlineStr">
        <is>
          <t>Constitution x Inner Art Coefficient+Realm</t>
        </is>
      </c>
      <c r="C19" s="2" t="n"/>
      <c r="D19" s="3" t="n"/>
      <c r="E19" s="11">
        <f>B12*VALUE(LEFT(H5,1))+IF(F6="Crossing the Threshold",3,IF(F6="Complete Mastery",6,IF(F6="Perfecting the Craft",10,IF(F6="Peak of Perfection",15,IF(F6="Return to Simplicity",20,0)))))</f>
        <v/>
      </c>
      <c r="F19" s="3" t="n"/>
    </row>
    <row r="20">
      <c r="A20" s="6" t="inlineStr">
        <is>
          <t>Initiative</t>
        </is>
      </c>
      <c r="B20" s="4" t="inlineStr">
        <is>
          <t>Agility+Willpower</t>
        </is>
      </c>
      <c r="C20" s="2" t="n"/>
      <c r="D20" s="3" t="n"/>
      <c r="E20" s="11">
        <f>B11+B14</f>
        <v/>
      </c>
      <c r="F20" s="3" t="n"/>
    </row>
    <row r="21">
      <c r="A21" s="6" t="inlineStr">
        <is>
          <t>Evasion</t>
        </is>
      </c>
      <c r="B21" s="4" t="inlineStr">
        <is>
          <t>Agility Modifier</t>
        </is>
      </c>
      <c r="C21" s="2" t="n"/>
      <c r="D21" s="3" t="n"/>
      <c r="E21" s="11">
        <f>C11</f>
        <v/>
      </c>
      <c r="F21" s="3" t="n"/>
    </row>
    <row r="22">
      <c r="A22" s="6" t="inlineStr">
        <is>
          <t>Defense</t>
        </is>
      </c>
      <c r="B22" s="4" t="inlineStr">
        <is>
          <t>Constitution Modifier</t>
        </is>
      </c>
      <c r="C22" s="2" t="n"/>
      <c r="D22" s="3" t="n"/>
      <c r="E22" s="11">
        <f>C12</f>
        <v/>
      </c>
      <c r="F22" s="3" t="n"/>
    </row>
    <row r="23"/>
    <row r="24">
      <c r="A24" s="5" t="inlineStr">
        <is>
          <t>-- Skills --</t>
        </is>
      </c>
      <c r="B24" s="3" t="n"/>
    </row>
    <row r="25">
      <c r="A25" s="6" t="inlineStr">
        <is>
          <t>Technique Reading</t>
        </is>
      </c>
      <c r="B25" s="7" t="inlineStr">
        <is>
          <t>4</t>
        </is>
      </c>
    </row>
    <row r="26">
      <c r="A26" s="6" t="inlineStr">
        <is>
          <t>Jianghu Lore</t>
        </is>
      </c>
      <c r="B26" s="7" t="inlineStr">
        <is>
          <t>3</t>
        </is>
      </c>
    </row>
    <row r="27">
      <c r="A27" s="6" t="inlineStr">
        <is>
          <t>Lightfoot</t>
        </is>
      </c>
      <c r="B27" s="7" t="inlineStr">
        <is>
          <t>0</t>
        </is>
      </c>
    </row>
    <row r="28">
      <c r="A28" s="6" t="inlineStr">
        <is>
          <t>Oratory</t>
        </is>
      </c>
      <c r="B28" s="7" t="inlineStr">
        <is>
          <t>0</t>
        </is>
      </c>
    </row>
    <row r="29">
      <c r="A29" s="6" t="inlineStr">
        <is>
          <t>Climbing</t>
        </is>
      </c>
      <c r="B29" s="7" t="inlineStr">
        <is>
          <t>0</t>
        </is>
      </c>
    </row>
    <row r="30">
      <c r="A30" s="6" t="inlineStr">
        <is>
          <t>Stealth</t>
        </is>
      </c>
      <c r="B30" s="7" t="inlineStr">
        <is>
          <t>0</t>
        </is>
      </c>
    </row>
    <row r="31">
      <c r="A31" s="6" t="inlineStr">
        <is>
          <t>Tracking</t>
        </is>
      </c>
      <c r="B31" s="7" t="inlineStr">
        <is>
          <t>3</t>
        </is>
      </c>
    </row>
    <row r="32">
      <c r="A32" s="6" t="inlineStr">
        <is>
          <t>Read Intent</t>
        </is>
      </c>
      <c r="B32" s="7" t="inlineStr">
        <is>
          <t>0</t>
        </is>
      </c>
    </row>
    <row r="33">
      <c r="A33" s="6" t="inlineStr">
        <is>
          <t>Disguise</t>
        </is>
      </c>
      <c r="B33" s="7" t="inlineStr">
        <is>
          <t>0</t>
        </is>
      </c>
    </row>
    <row r="34">
      <c r="A34" s="6" t="inlineStr">
        <is>
          <t>Lockpicking</t>
        </is>
      </c>
      <c r="B34" s="7" t="inlineStr">
        <is>
          <t>0</t>
        </is>
      </c>
    </row>
    <row r="35">
      <c r="A35" s="6" t="inlineStr">
        <is>
          <t>Trapcraft</t>
        </is>
      </c>
      <c r="B35" s="7" t="inlineStr">
        <is>
          <t>0</t>
        </is>
      </c>
    </row>
    <row r="36">
      <c r="A36" s="6" t="inlineStr">
        <is>
          <t>Medicine</t>
        </is>
      </c>
      <c r="B36" s="7" t="inlineStr">
        <is>
          <t>0</t>
        </is>
      </c>
    </row>
    <row r="37">
      <c r="A37" s="6" t="inlineStr">
        <is>
          <t>Alchemy</t>
        </is>
      </c>
      <c r="B37" s="7" t="inlineStr">
        <is>
          <t>0</t>
        </is>
      </c>
    </row>
    <row r="38">
      <c r="A38" s="6" t="inlineStr">
        <is>
          <t>Poison</t>
        </is>
      </c>
      <c r="B38" s="7" t="inlineStr">
        <is>
          <t>0</t>
        </is>
      </c>
    </row>
    <row r="39">
      <c r="A39" s="6" t="inlineStr">
        <is>
          <t>Hidden weapon</t>
        </is>
      </c>
      <c r="B39" s="7" t="inlineStr">
        <is>
          <t>0</t>
        </is>
      </c>
    </row>
    <row r="40">
      <c r="A40" s="6" t="inlineStr">
        <is>
          <t>stick method</t>
        </is>
      </c>
      <c r="B40" s="7" t="inlineStr">
        <is>
          <t>0</t>
        </is>
      </c>
    </row>
    <row r="41">
      <c r="A41" s="6" t="inlineStr">
        <is>
          <t>fist palm</t>
        </is>
      </c>
      <c r="B41" s="7" t="inlineStr">
        <is>
          <t>0</t>
        </is>
      </c>
    </row>
    <row r="42">
      <c r="A42" s="6" t="inlineStr">
        <is>
          <t>Knife skills</t>
        </is>
      </c>
      <c r="B42" s="7" t="inlineStr">
        <is>
          <t>4</t>
        </is>
      </c>
    </row>
    <row r="43">
      <c r="A43" s="6" t="inlineStr">
        <is>
          <t>swordsmanship</t>
        </is>
      </c>
      <c r="B43" s="7" t="inlineStr">
        <is>
          <t>0</t>
        </is>
      </c>
    </row>
    <row r="44"/>
    <row r="45">
      <c r="A45" s="5" t="inlineStr">
        <is>
          <t>-- martial technique / kung fu --</t>
        </is>
      </c>
      <c r="B45" s="2" t="n"/>
      <c r="C45" s="2" t="n"/>
      <c r="D45" s="2" t="n"/>
      <c r="E45" s="2" t="n"/>
      <c r="F45" s="2" t="n"/>
      <c r="G45" s="2" t="n"/>
      <c r="H45" s="3" t="n"/>
    </row>
    <row r="46">
      <c r="A46" s="9" t="inlineStr">
        <is>
          <t>Technique Name</t>
        </is>
      </c>
      <c r="B46" s="9" t="inlineStr">
        <is>
          <t>Type</t>
        </is>
      </c>
      <c r="C46" s="9" t="inlineStr">
        <is>
          <t>Tier</t>
        </is>
      </c>
      <c r="D46" s="9" t="inlineStr">
        <is>
          <t>Force</t>
        </is>
      </c>
      <c r="E46" s="9" t="inlineStr">
        <is>
          <t>Move</t>
        </is>
      </c>
      <c r="F46" s="9" t="inlineStr">
        <is>
          <t>Qi</t>
        </is>
      </c>
      <c r="G46" s="9" t="inlineStr">
        <is>
          <t>Accuracy</t>
        </is>
      </c>
      <c r="H46" s="9" t="inlineStr">
        <is>
          <t>Damage/Effect</t>
        </is>
      </c>
    </row>
    <row r="47">
      <c r="A47" s="7" t="inlineStr">
        <is>
          <t>iron face Knife skills</t>
        </is>
      </c>
      <c r="B47" s="7" t="inlineStr">
        <is>
          <t>External Art · Knife skills</t>
        </is>
      </c>
      <c r="C47" s="7" t="inlineStr">
        <is>
          <t>Advanced</t>
        </is>
      </c>
      <c r="D47" s="7" t="inlineStr">
        <is>
          <t>firm</t>
        </is>
      </c>
      <c r="E47" s="7" t="inlineStr">
        <is>
          <t>iron face Selfless</t>
        </is>
      </c>
      <c r="F47" s="7" t="inlineStr">
        <is>
          <t>3</t>
        </is>
      </c>
      <c r="G47" s="7" t="inlineStr">
        <is>
          <t>+5</t>
        </is>
      </c>
      <c r="H47" s="7" t="inlineStr">
        <is>
          <t>3d6+4</t>
        </is>
      </c>
    </row>
    <row r="48">
      <c r="A48" s="7" t="inlineStr">
        <is>
          <t>six fans inner manual / mental method</t>
        </is>
      </c>
      <c r="B48" s="7" t="inlineStr">
        <is>
          <t>Inner Art</t>
        </is>
      </c>
      <c r="C48" s="7" t="inlineStr">
        <is>
          <t>Authentic</t>
        </is>
      </c>
      <c r="D48" s="7" t="inlineStr">
        <is>
          <t>--</t>
        </is>
      </c>
      <c r="E48" s="7" t="inlineStr">
        <is>
          <t>--</t>
        </is>
      </c>
      <c r="F48" s="7" t="inlineStr">
        <is>
          <t>--</t>
        </is>
      </c>
      <c r="G48" s="7" t="inlineStr">
        <is>
          <t>--</t>
        </is>
      </c>
      <c r="H48" s="7" t="inlineStr">
        <is>
          <t>Inner Art Coefficient3</t>
        </is>
      </c>
    </row>
    <row r="49">
      <c r="A49" s="7" t="inlineStr">
        <is>
          <t>official Megatron frighten</t>
        </is>
      </c>
      <c r="B49" s="7" t="inlineStr">
        <is>
          <t>special</t>
        </is>
      </c>
      <c r="C49" s="7" t="inlineStr">
        <is>
          <t>--</t>
        </is>
      </c>
      <c r="D49" s="7" t="inlineStr">
        <is>
          <t>--</t>
        </is>
      </c>
      <c r="E49" s="7" t="inlineStr">
        <is>
          <t>--</t>
        </is>
      </c>
      <c r="F49" s="7" t="inlineStr">
        <is>
          <t>2</t>
        </is>
      </c>
      <c r="G49" s="7" t="inlineStr">
        <is>
          <t>--</t>
        </is>
      </c>
      <c r="H49" s="7" t="inlineStr">
        <is>
          <t>Willpower Confrontation Failure Accuracy-2</t>
        </is>
      </c>
    </row>
    <row r="50"/>
    <row r="51"/>
    <row r="52"/>
    <row r="53"/>
    <row r="54"/>
    <row r="55"/>
    <row r="56">
      <c r="A56" s="5" t="inlineStr">
        <is>
          <t>-- Equipment --</t>
        </is>
      </c>
      <c r="B56" s="2" t="n"/>
      <c r="C56" s="2" t="n"/>
      <c r="D56" s="2" t="n"/>
      <c r="E56" s="2" t="n"/>
      <c r="F56" s="2" t="n"/>
      <c r="G56" s="2" t="n"/>
      <c r="H56" s="3" t="n"/>
    </row>
    <row r="57">
      <c r="A57" s="9" t="inlineStr">
        <is>
          <t>weapons</t>
        </is>
      </c>
      <c r="B57" s="9" t="inlineStr">
        <is>
          <t>Armor</t>
        </is>
      </c>
      <c r="C57" s="9" t="inlineStr">
        <is>
          <t>special</t>
        </is>
      </c>
    </row>
    <row r="58">
      <c r="A58" s="8" t="inlineStr">
        <is>
          <t>bureaucracy long saber (1d8+2)</t>
        </is>
      </c>
      <c r="B58" s="8" t="inlineStr">
        <is>
          <t>Six Doors official uniform</t>
        </is>
      </c>
      <c r="C58" s="12" t="inlineStr">
        <is>
          <t>Tianbang#8。 Fourth number of realms According to use at script Chapter 2 Luoyang。</t>
        </is>
      </c>
      <c r="D58" s="2" t="n"/>
      <c r="E58" s="2" t="n"/>
      <c r="F58" s="3" t="n"/>
    </row>
    <row r="59"/>
    <row r="60"/>
    <row r="61">
      <c r="A61" s="6" t="inlineStr">
        <is>
          <t>Heroism</t>
        </is>
      </c>
      <c r="B61" s="7" t="inlineStr">
        <is>
          <t>30</t>
        </is>
      </c>
      <c r="D61" s="6" t="inlineStr">
        <is>
          <t>Infamy</t>
        </is>
      </c>
      <c r="E61" s="7" t="inlineStr">
        <is>
          <t>0</t>
        </is>
      </c>
    </row>
    <row r="62"/>
    <row r="63">
      <c r="A63" t="inlineStr">
        <is>
          <t>Can become a disciple(difficulty（DC）14): Six-Door Swift Saber+six fans inner manual / mental method。</t>
        </is>
      </c>
    </row>
    <row r="64">
      <c r="A64" t="inlineStr">
        <is>
          <t>apprenticeship ceremony: Six Doors gold medal(temporary)+Start teaching: Wanted revocation order(good impression≥15)</t>
        </is>
      </c>
    </row>
  </sheetData>
  <mergeCells count="26">
    <mergeCell ref="A24:B24"/>
    <mergeCell ref="D13:F13"/>
    <mergeCell ref="D11:F11"/>
    <mergeCell ref="B6:H6"/>
    <mergeCell ref="A45:H45"/>
    <mergeCell ref="A1:H1"/>
    <mergeCell ref="B19:D19"/>
    <mergeCell ref="E20:F20"/>
    <mergeCell ref="E19:F19"/>
    <mergeCell ref="D12:F12"/>
    <mergeCell ref="C58:F58"/>
    <mergeCell ref="D15:F15"/>
    <mergeCell ref="B20:D20"/>
    <mergeCell ref="A56:H56"/>
    <mergeCell ref="D14:F14"/>
    <mergeCell ref="A2:H2"/>
    <mergeCell ref="A8:H8"/>
    <mergeCell ref="D10:F10"/>
    <mergeCell ref="A17:H17"/>
    <mergeCell ref="A4:H4"/>
    <mergeCell ref="B22:D22"/>
    <mergeCell ref="B18:D18"/>
    <mergeCell ref="E22:F22"/>
    <mergeCell ref="B21:D21"/>
    <mergeCell ref="E18:F18"/>
    <mergeCell ref="E21:F2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61"/>
  <sheetViews>
    <sheetView workbookViewId="0">
      <selection activeCell="A1" sqref="A1"/>
    </sheetView>
  </sheetViews>
  <sheetFormatPr baseColWidth="8" defaultRowHeight="15"/>
  <cols>
    <col width="5" customWidth="1" min="1" max="1"/>
    <col width="16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2" customWidth="1" min="8" max="8"/>
  </cols>
  <sheetData>
    <row r="1">
      <c r="A1" s="1" t="inlineStr">
        <is>
          <t>Yonghe Martial Codex TRPG</t>
        </is>
      </c>
      <c r="B1" s="2" t="n"/>
      <c r="C1" s="2" t="n"/>
      <c r="D1" s="2" t="n"/>
      <c r="E1" s="2" t="n"/>
      <c r="F1" s="2" t="n"/>
      <c r="G1" s="2" t="n"/>
      <c r="H1" s="3" t="n"/>
    </row>
    <row r="2">
      <c r="A2" s="4" t="inlineStr">
        <is>
          <t>script Enemy card</t>
        </is>
      </c>
      <c r="B2" s="2" t="n"/>
      <c r="C2" s="2" t="n"/>
      <c r="D2" s="2" t="n"/>
      <c r="E2" s="2" t="n"/>
      <c r="F2" s="2" t="n"/>
      <c r="G2" s="2" t="n"/>
      <c r="H2" s="3" t="n"/>
    </row>
    <row r="3"/>
    <row r="4">
      <c r="A4" s="5" t="inlineStr">
        <is>
          <t>-- Basic Info --</t>
        </is>
      </c>
      <c r="B4" s="2" t="n"/>
      <c r="C4" s="2" t="n"/>
      <c r="D4" s="2" t="n"/>
      <c r="E4" s="2" t="n"/>
      <c r="F4" s="2" t="n"/>
      <c r="G4" s="2" t="n"/>
      <c r="H4" s="3" t="n"/>
    </row>
    <row r="5">
      <c r="A5" s="6" t="inlineStr">
        <is>
          <t>Character name</t>
        </is>
      </c>
      <c r="B5" s="7" t="inlineStr">
        <is>
          <t>Han Bao</t>
        </is>
      </c>
      <c r="C5" s="6" t="inlineStr">
        <is>
          <t>Sect</t>
        </is>
      </c>
      <c r="D5" s="7" t="inlineStr">
        <is>
          <t>no Sect(Bandits)</t>
        </is>
      </c>
      <c r="E5" s="6" t="inlineStr">
        <is>
          <t>Realm</t>
        </is>
      </c>
      <c r="F5" s="7" t="inlineStr">
        <is>
          <t>First Glimpse</t>
        </is>
      </c>
      <c r="G5" s="6" t="inlineStr">
        <is>
          <t>Inner Art Coefficient</t>
        </is>
      </c>
      <c r="H5" s="7" t="inlineStr">
        <is>
          <t>1(no Inner Art)</t>
        </is>
      </c>
    </row>
    <row r="6">
      <c r="A6" s="6" t="inlineStr">
        <is>
          <t>Concept</t>
        </is>
      </c>
      <c r="B6" s="8" t="inlineStr">
        <is>
          <t>Black Wind Stronghold Big boss「Cyclops」， entrenched Black Wind Stronghold plunder Business trip。 practice Demon Cult fragments， Qi Deviation precursor。</t>
        </is>
      </c>
      <c r="C6" s="2" t="n"/>
      <c r="D6" s="2" t="n"/>
      <c r="E6" s="2" t="n"/>
      <c r="F6" s="2" t="n"/>
      <c r="G6" s="2" t="n"/>
      <c r="H6" s="3" t="n"/>
    </row>
    <row r="7"/>
    <row r="8">
      <c r="A8" s="5" t="inlineStr">
        <is>
          <t>-- Six Attributes --</t>
        </is>
      </c>
      <c r="B8" s="2" t="n"/>
      <c r="C8" s="2" t="n"/>
      <c r="D8" s="2" t="n"/>
      <c r="E8" s="2" t="n"/>
      <c r="F8" s="2" t="n"/>
      <c r="G8" s="2" t="n"/>
      <c r="H8" s="3" t="n"/>
    </row>
    <row r="9">
      <c r="A9" s="9" t="inlineStr">
        <is>
          <t>Attribute</t>
        </is>
      </c>
      <c r="B9" s="9" t="inlineStr">
        <is>
          <t>Base Value</t>
        </is>
      </c>
      <c r="C9" s="9" t="inlineStr">
        <is>
          <t>Modifier</t>
        </is>
      </c>
      <c r="D9" s="9" t="inlineStr">
        <is>
          <t>Description</t>
        </is>
      </c>
    </row>
    <row r="10">
      <c r="A10" s="6" t="inlineStr">
        <is>
          <t>Strength（STR）</t>
        </is>
      </c>
      <c r="B10" s="7" t="inlineStr">
        <is>
          <t>5</t>
        </is>
      </c>
      <c r="C10" s="10">
        <f>B10-4</f>
        <v/>
      </c>
      <c r="D10" s="4" t="n"/>
      <c r="E10" s="2" t="n"/>
      <c r="F10" s="3" t="n"/>
    </row>
    <row r="11">
      <c r="A11" s="6" t="inlineStr">
        <is>
          <t>Agility（DEX）</t>
        </is>
      </c>
      <c r="B11" s="7" t="inlineStr">
        <is>
          <t>4</t>
        </is>
      </c>
      <c r="C11" s="10">
        <f>B11-4</f>
        <v/>
      </c>
      <c r="D11" s="4" t="n"/>
      <c r="E11" s="2" t="n"/>
      <c r="F11" s="3" t="n"/>
    </row>
    <row r="12">
      <c r="A12" s="6" t="inlineStr">
        <is>
          <t>Constitution（CON）</t>
        </is>
      </c>
      <c r="B12" s="7" t="inlineStr">
        <is>
          <t>4</t>
        </is>
      </c>
      <c r="C12" s="10">
        <f>B12-4</f>
        <v/>
      </c>
      <c r="D12" s="4" t="n"/>
      <c r="E12" s="2" t="n"/>
      <c r="F12" s="3" t="n"/>
    </row>
    <row r="13">
      <c r="A13" s="6" t="inlineStr">
        <is>
          <t>Comprehension（INT）</t>
        </is>
      </c>
      <c r="B13" s="7" t="inlineStr">
        <is>
          <t>2</t>
        </is>
      </c>
      <c r="C13" s="10">
        <f>B13-4</f>
        <v/>
      </c>
      <c r="D13" s="4" t="n"/>
      <c r="E13" s="2" t="n"/>
      <c r="F13" s="3" t="n"/>
    </row>
    <row r="14">
      <c r="A14" s="6" t="inlineStr">
        <is>
          <t>Willpower（WIS）</t>
        </is>
      </c>
      <c r="B14" s="7" t="inlineStr">
        <is>
          <t>2</t>
        </is>
      </c>
      <c r="C14" s="10">
        <f>B14-4</f>
        <v/>
      </c>
      <c r="D14" s="4" t="n"/>
      <c r="E14" s="2" t="n"/>
      <c r="F14" s="3" t="n"/>
    </row>
    <row r="15">
      <c r="A15" s="6" t="inlineStr">
        <is>
          <t>Charisma（CHA）</t>
        </is>
      </c>
      <c r="B15" s="7" t="inlineStr">
        <is>
          <t>3</t>
        </is>
      </c>
      <c r="C15" s="10">
        <f>B15-4</f>
        <v/>
      </c>
      <c r="D15" s="4" t="n"/>
      <c r="E15" s="2" t="n"/>
      <c r="F15" s="3" t="n"/>
    </row>
    <row r="16"/>
    <row r="17">
      <c r="A17" s="5" t="inlineStr">
        <is>
          <t>-- Derived Values --</t>
        </is>
      </c>
      <c r="B17" s="2" t="n"/>
      <c r="C17" s="2" t="n"/>
      <c r="D17" s="2" t="n"/>
      <c r="E17" s="2" t="n"/>
      <c r="F17" s="2" t="n"/>
      <c r="G17" s="2" t="n"/>
      <c r="H17" s="3" t="n"/>
    </row>
    <row r="18">
      <c r="A18" s="6" t="inlineStr">
        <is>
          <t>life value（HP）</t>
        </is>
      </c>
      <c r="B18" s="4" t="inlineStr">
        <is>
          <t>Constitution x5+Realm</t>
        </is>
      </c>
      <c r="C18" s="2" t="n"/>
      <c r="D18" s="3" t="n"/>
      <c r="E18" s="11">
        <f>B12*5+IF(F6="Crossing the Threshold",5,IF(F6="Complete Mastery",10,IF(F6="Perfecting the Craft",15,IF(F6="Peak of Perfection",20,IF(F6="Return to Simplicity",25,0)))))</f>
        <v/>
      </c>
      <c r="F18" s="3" t="n"/>
    </row>
    <row r="19">
      <c r="A19" s="6" t="inlineStr">
        <is>
          <t>Qi</t>
        </is>
      </c>
      <c r="B19" s="4" t="inlineStr">
        <is>
          <t>Constitution x Inner Art Coefficient+Realm</t>
        </is>
      </c>
      <c r="C19" s="2" t="n"/>
      <c r="D19" s="3" t="n"/>
      <c r="E19" s="11">
        <f>B12*VALUE(LEFT(H5,1))+IF(F6="Crossing the Threshold",3,IF(F6="Complete Mastery",6,IF(F6="Perfecting the Craft",10,IF(F6="Peak of Perfection",15,IF(F6="Return to Simplicity",20,0)))))</f>
        <v/>
      </c>
      <c r="F19" s="3" t="n"/>
    </row>
    <row r="20">
      <c r="A20" s="6" t="inlineStr">
        <is>
          <t>Initiative</t>
        </is>
      </c>
      <c r="B20" s="4" t="inlineStr">
        <is>
          <t>Agility+Willpower</t>
        </is>
      </c>
      <c r="C20" s="2" t="n"/>
      <c r="D20" s="3" t="n"/>
      <c r="E20" s="11">
        <f>B11+B14</f>
        <v/>
      </c>
      <c r="F20" s="3" t="n"/>
    </row>
    <row r="21">
      <c r="A21" s="6" t="inlineStr">
        <is>
          <t>Evasion</t>
        </is>
      </c>
      <c r="B21" s="4" t="inlineStr">
        <is>
          <t>Agility Modifier</t>
        </is>
      </c>
      <c r="C21" s="2" t="n"/>
      <c r="D21" s="3" t="n"/>
      <c r="E21" s="11">
        <f>C11</f>
        <v/>
      </c>
      <c r="F21" s="3" t="n"/>
    </row>
    <row r="22">
      <c r="A22" s="6" t="inlineStr">
        <is>
          <t>Defense</t>
        </is>
      </c>
      <c r="B22" s="4" t="inlineStr">
        <is>
          <t>Constitution Modifier</t>
        </is>
      </c>
      <c r="C22" s="2" t="n"/>
      <c r="D22" s="3" t="n"/>
      <c r="E22" s="11">
        <f>C12</f>
        <v/>
      </c>
      <c r="F22" s="3" t="n"/>
    </row>
    <row r="23"/>
    <row r="24">
      <c r="A24" s="5" t="inlineStr">
        <is>
          <t>-- Skills --</t>
        </is>
      </c>
      <c r="B24" s="3" t="n"/>
    </row>
    <row r="25">
      <c r="A25" s="6" t="inlineStr">
        <is>
          <t>Technique Reading</t>
        </is>
      </c>
      <c r="B25" s="7" t="inlineStr">
        <is>
          <t>0</t>
        </is>
      </c>
    </row>
    <row r="26">
      <c r="A26" s="6" t="inlineStr">
        <is>
          <t>Jianghu Lore</t>
        </is>
      </c>
      <c r="B26" s="7" t="inlineStr">
        <is>
          <t>0</t>
        </is>
      </c>
    </row>
    <row r="27">
      <c r="A27" s="6" t="inlineStr">
        <is>
          <t>Lightfoot</t>
        </is>
      </c>
      <c r="B27" s="7" t="inlineStr">
        <is>
          <t>0</t>
        </is>
      </c>
    </row>
    <row r="28">
      <c r="A28" s="6" t="inlineStr">
        <is>
          <t>Oratory</t>
        </is>
      </c>
      <c r="B28" s="7" t="inlineStr">
        <is>
          <t>0</t>
        </is>
      </c>
    </row>
    <row r="29">
      <c r="A29" s="6" t="inlineStr">
        <is>
          <t>Climbing</t>
        </is>
      </c>
      <c r="B29" s="7" t="inlineStr">
        <is>
          <t>0</t>
        </is>
      </c>
    </row>
    <row r="30">
      <c r="A30" s="6" t="inlineStr">
        <is>
          <t>Stealth</t>
        </is>
      </c>
      <c r="B30" s="7" t="inlineStr">
        <is>
          <t>0</t>
        </is>
      </c>
    </row>
    <row r="31">
      <c r="A31" s="6" t="inlineStr">
        <is>
          <t>Tracking</t>
        </is>
      </c>
      <c r="B31" s="7" t="inlineStr">
        <is>
          <t>0</t>
        </is>
      </c>
    </row>
    <row r="32">
      <c r="A32" s="6" t="inlineStr">
        <is>
          <t>Read Intent</t>
        </is>
      </c>
      <c r="B32" s="7" t="inlineStr">
        <is>
          <t>0</t>
        </is>
      </c>
    </row>
    <row r="33">
      <c r="A33" s="6" t="inlineStr">
        <is>
          <t>Disguise</t>
        </is>
      </c>
      <c r="B33" s="7" t="inlineStr">
        <is>
          <t>0</t>
        </is>
      </c>
    </row>
    <row r="34">
      <c r="A34" s="6" t="inlineStr">
        <is>
          <t>Lockpicking</t>
        </is>
      </c>
      <c r="B34" s="7" t="inlineStr">
        <is>
          <t>0</t>
        </is>
      </c>
    </row>
    <row r="35">
      <c r="A35" s="6" t="inlineStr">
        <is>
          <t>Trapcraft</t>
        </is>
      </c>
      <c r="B35" s="7" t="inlineStr">
        <is>
          <t>0</t>
        </is>
      </c>
    </row>
    <row r="36">
      <c r="A36" s="6" t="inlineStr">
        <is>
          <t>Medicine</t>
        </is>
      </c>
      <c r="B36" s="7" t="inlineStr">
        <is>
          <t>0</t>
        </is>
      </c>
    </row>
    <row r="37">
      <c r="A37" s="6" t="inlineStr">
        <is>
          <t>Alchemy</t>
        </is>
      </c>
      <c r="B37" s="7" t="inlineStr">
        <is>
          <t>0</t>
        </is>
      </c>
    </row>
    <row r="38">
      <c r="A38" s="6" t="inlineStr">
        <is>
          <t>Poison</t>
        </is>
      </c>
      <c r="B38" s="7" t="inlineStr">
        <is>
          <t>0</t>
        </is>
      </c>
    </row>
    <row r="39">
      <c r="A39" s="6" t="inlineStr">
        <is>
          <t>Hidden weapon</t>
        </is>
      </c>
      <c r="B39" s="7" t="inlineStr">
        <is>
          <t>0</t>
        </is>
      </c>
    </row>
    <row r="40">
      <c r="A40" s="6" t="inlineStr">
        <is>
          <t>stick method</t>
        </is>
      </c>
      <c r="B40" s="7" t="inlineStr">
        <is>
          <t>0</t>
        </is>
      </c>
    </row>
    <row r="41">
      <c r="A41" s="6" t="inlineStr">
        <is>
          <t>fist palm</t>
        </is>
      </c>
      <c r="B41" s="7" t="inlineStr">
        <is>
          <t>0</t>
        </is>
      </c>
    </row>
    <row r="42">
      <c r="A42" s="6" t="inlineStr">
        <is>
          <t>Knife skills</t>
        </is>
      </c>
      <c r="B42" s="7" t="inlineStr">
        <is>
          <t>2</t>
        </is>
      </c>
    </row>
    <row r="43">
      <c r="A43" s="6" t="inlineStr">
        <is>
          <t>swordsmanship</t>
        </is>
      </c>
      <c r="B43" s="7" t="inlineStr">
        <is>
          <t>0</t>
        </is>
      </c>
    </row>
    <row r="44"/>
    <row r="45">
      <c r="A45" s="5" t="inlineStr">
        <is>
          <t>-- martial technique / kung fu --</t>
        </is>
      </c>
      <c r="B45" s="2" t="n"/>
      <c r="C45" s="2" t="n"/>
      <c r="D45" s="2" t="n"/>
      <c r="E45" s="2" t="n"/>
      <c r="F45" s="2" t="n"/>
      <c r="G45" s="2" t="n"/>
      <c r="H45" s="3" t="n"/>
    </row>
    <row r="46">
      <c r="A46" s="9" t="inlineStr">
        <is>
          <t>Technique Name</t>
        </is>
      </c>
      <c r="B46" s="9" t="inlineStr">
        <is>
          <t>Type</t>
        </is>
      </c>
      <c r="C46" s="9" t="inlineStr">
        <is>
          <t>Tier</t>
        </is>
      </c>
      <c r="D46" s="9" t="inlineStr">
        <is>
          <t>Force</t>
        </is>
      </c>
      <c r="E46" s="9" t="inlineStr">
        <is>
          <t>Move</t>
        </is>
      </c>
      <c r="F46" s="9" t="inlineStr">
        <is>
          <t>Qi</t>
        </is>
      </c>
      <c r="G46" s="9" t="inlineStr">
        <is>
          <t>Accuracy</t>
        </is>
      </c>
      <c r="H46" s="9" t="inlineStr">
        <is>
          <t>Damage/Effect</t>
        </is>
      </c>
    </row>
    <row r="47">
      <c r="A47" s="7" t="inlineStr">
        <is>
          <t>five tigers Broken door saber · splitting style</t>
        </is>
      </c>
      <c r="B47" s="7" t="inlineStr">
        <is>
          <t>External Art · Knife skills</t>
        </is>
      </c>
      <c r="C47" s="7" t="inlineStr">
        <is>
          <t>Initiate</t>
        </is>
      </c>
      <c r="D47" s="7" t="inlineStr">
        <is>
          <t>firm</t>
        </is>
      </c>
      <c r="E47" s="7" t="inlineStr">
        <is>
          <t>Split the wind</t>
        </is>
      </c>
      <c r="F47" s="7" t="inlineStr">
        <is>
          <t>1</t>
        </is>
      </c>
      <c r="G47" s="7" t="inlineStr">
        <is>
          <t>+3</t>
        </is>
      </c>
      <c r="H47" s="7" t="inlineStr">
        <is>
          <t>2d6+1</t>
        </is>
      </c>
    </row>
    <row r="48">
      <c r="A48" s="7" t="inlineStr">
        <is>
          <t>Berserk</t>
        </is>
      </c>
      <c r="B48" s="7" t="inlineStr">
        <is>
          <t>special</t>
        </is>
      </c>
      <c r="C48" s="7" t="inlineStr">
        <is>
          <t>--</t>
        </is>
      </c>
      <c r="D48" s="7" t="inlineStr">
        <is>
          <t>--</t>
        </is>
      </c>
      <c r="E48" s="7" t="inlineStr">
        <is>
          <t>--</t>
        </is>
      </c>
      <c r="F48" s="7" t="inlineStr">
        <is>
          <t>--</t>
        </is>
      </c>
      <c r="G48" s="7" t="inlineStr">
        <is>
          <t>--</t>
        </is>
      </c>
      <c r="H48" s="7" t="inlineStr">
        <is>
          <t>hit back Accuracy+1(Overlay to+3)； injured&gt;20back Effect disappear</t>
        </is>
      </c>
    </row>
    <row r="49"/>
    <row r="50"/>
    <row r="51"/>
    <row r="52"/>
    <row r="53"/>
    <row r="54"/>
    <row r="55"/>
    <row r="56">
      <c r="A56" s="5" t="inlineStr">
        <is>
          <t>-- Equipment --</t>
        </is>
      </c>
      <c r="B56" s="2" t="n"/>
      <c r="C56" s="2" t="n"/>
      <c r="D56" s="2" t="n"/>
      <c r="E56" s="2" t="n"/>
      <c r="F56" s="2" t="n"/>
      <c r="G56" s="2" t="n"/>
      <c r="H56" s="3" t="n"/>
    </row>
    <row r="57">
      <c r="A57" s="9" t="inlineStr">
        <is>
          <t>weapons</t>
        </is>
      </c>
      <c r="B57" s="9" t="inlineStr">
        <is>
          <t>Armor</t>
        </is>
      </c>
      <c r="C57" s="9" t="inlineStr">
        <is>
          <t>special</t>
        </is>
      </c>
    </row>
    <row r="58">
      <c r="A58" s="8" t="inlineStr">
        <is>
          <t>machete (2d6)</t>
        </is>
      </c>
      <c r="B58" s="8" t="inlineStr">
        <is>
          <t>beast leather armor</t>
        </is>
      </c>
      <c r="C58" s="12" t="inlineStr">
        <is>
          <t>Boss mechanism： Berserk Overlay+injured fear disintegrate。 life value（HP） 30， Qi 6</t>
        </is>
      </c>
      <c r="D58" s="2" t="n"/>
      <c r="E58" s="2" t="n"/>
      <c r="F58" s="3" t="n"/>
    </row>
    <row r="59"/>
    <row r="60"/>
    <row r="61">
      <c r="A61" s="6" t="inlineStr">
        <is>
          <t>Heroism</t>
        </is>
      </c>
      <c r="B61" s="7" t="inlineStr">
        <is>
          <t>-15</t>
        </is>
      </c>
      <c r="D61" s="6" t="inlineStr">
        <is>
          <t>Infamy</t>
        </is>
      </c>
      <c r="E61" s="7" t="inlineStr">
        <is>
          <t>25</t>
        </is>
      </c>
    </row>
  </sheetData>
  <mergeCells count="26">
    <mergeCell ref="A24:B24"/>
    <mergeCell ref="D13:F13"/>
    <mergeCell ref="D11:F11"/>
    <mergeCell ref="B6:H6"/>
    <mergeCell ref="A45:H45"/>
    <mergeCell ref="A1:H1"/>
    <mergeCell ref="B19:D19"/>
    <mergeCell ref="E20:F20"/>
    <mergeCell ref="E19:F19"/>
    <mergeCell ref="D12:F12"/>
    <mergeCell ref="C58:F58"/>
    <mergeCell ref="D15:F15"/>
    <mergeCell ref="B20:D20"/>
    <mergeCell ref="A56:H56"/>
    <mergeCell ref="D14:F14"/>
    <mergeCell ref="A2:H2"/>
    <mergeCell ref="A8:H8"/>
    <mergeCell ref="D10:F10"/>
    <mergeCell ref="A17:H17"/>
    <mergeCell ref="A4:H4"/>
    <mergeCell ref="B22:D22"/>
    <mergeCell ref="B18:D18"/>
    <mergeCell ref="E22:F22"/>
    <mergeCell ref="B21:D21"/>
    <mergeCell ref="E18:F18"/>
    <mergeCell ref="E21:F2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2026-06-21T18:24:58Z</dcterms:created>
  <dcterms:modified xsi:type="dcterms:W3CDTF">2026-08-10T09:36:56Z</dcterms:modified>
</cp:coreProperties>
</file>