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 Card" sheetId="1" state="visible" r:id="rId1"/>
    <sheet name="Reference 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  <font>
      <name val="Microsoft YaHei"/>
      <b val="1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</t>
        </is>
      </c>
      <c r="B1" s="7" t="n"/>
      <c r="C1" s="7" t="n"/>
      <c r="D1" s="7" t="n"/>
      <c r="E1" s="7" t="n"/>
      <c r="F1" s="7" t="n"/>
      <c r="G1" s="7" t="n"/>
      <c r="H1" s="8" t="n"/>
    </row>
    <row r="2">
      <c r="A2" s="2" t="inlineStr">
        <is>
          <t>Character Card ver 1.0 · Tabletop Rules Studio</t>
        </is>
      </c>
      <c r="B2" s="7" t="n"/>
      <c r="C2" s="7" t="n"/>
      <c r="D2" s="7" t="n"/>
      <c r="E2" s="7" t="n"/>
      <c r="F2" s="7" t="n"/>
      <c r="G2" s="7" t="n"/>
      <c r="H2" s="8" t="n"/>
    </row>
    <row r="3"/>
    <row r="4">
      <c r="A4" s="3" t="inlineStr">
        <is>
          <t>— Basic Info —</t>
        </is>
      </c>
      <c r="B4" s="7" t="n"/>
      <c r="C4" s="7" t="n"/>
      <c r="D4" s="7" t="n"/>
      <c r="E4" s="7" t="n"/>
      <c r="F4" s="7" t="n"/>
      <c r="G4" s="7" t="n"/>
      <c r="H4" s="8" t="n"/>
    </row>
    <row r="5">
      <c r="A5" s="4" t="inlineStr">
        <is>
          <t>Character Name</t>
        </is>
      </c>
      <c r="B5" s="5" t="inlineStr"/>
      <c r="C5" s="4" t="inlineStr">
        <is>
          <t>Player</t>
        </is>
      </c>
      <c r="D5" s="5" t="inlineStr"/>
      <c r="E5" s="4" t="inlineStr">
        <is>
          <t>Sect</t>
        </is>
      </c>
    </row>
    <row r="6">
      <c r="A6" s="4" t="inlineStr">
        <is>
          <t>Concept</t>
        </is>
      </c>
      <c r="B6" s="5" t="inlineStr"/>
      <c r="C6" s="7" t="n"/>
      <c r="D6" s="8" t="n"/>
      <c r="E6" s="4" t="inlineStr">
        <is>
          <t>Realm</t>
        </is>
      </c>
      <c r="F6" s="5" t="inlineStr">
        <is>
          <t>First Glimpse</t>
        </is>
      </c>
      <c r="G6" s="4" t="inlineStr">
        <is>
          <t>Inner Cultivation Coefficient</t>
        </is>
      </c>
      <c r="H6" s="5" t="inlineStr">
        <is>
          <t>1</t>
        </is>
      </c>
    </row>
    <row r="7"/>
    <row r="8">
      <c r="A8" s="3" t="inlineStr">
        <is>
          <t>— Six Attributes —</t>
        </is>
      </c>
      <c r="B8" s="7" t="n"/>
      <c r="C8" s="7" t="n"/>
      <c r="D8" s="7" t="n"/>
      <c r="E8" s="7" t="n"/>
      <c r="F8" s="7" t="n"/>
      <c r="G8" s="7" t="n"/>
      <c r="H8" s="8" t="n"/>
    </row>
    <row r="9">
      <c r="A9" s="6" t="inlineStr">
        <is>
          <t>Attribute</t>
        </is>
      </c>
      <c r="B9" s="6" t="inlineStr">
        <is>
          <t>Base Value</t>
        </is>
      </c>
      <c r="C9" s="6" t="inlineStr">
        <is>
          <t>Modifier</t>
        </is>
      </c>
      <c r="D9" s="5" t="inlineStr"/>
      <c r="E9" s="7" t="n"/>
      <c r="F9" s="7" t="n"/>
      <c r="G9" s="7" t="n"/>
      <c r="H9" s="8" t="n"/>
    </row>
    <row r="10">
      <c r="A10" s="4" t="inlineStr">
        <is>
          <t>Strength STR</t>
        </is>
      </c>
      <c r="B10" s="5" t="n">
        <v>4</v>
      </c>
      <c r="C10" s="9">
        <f>B10-4</f>
        <v/>
      </c>
      <c r="D10" s="2" t="inlineStr">
        <is>
          <t>Muscle power, explosive force</t>
        </is>
      </c>
      <c r="E10" s="7" t="n"/>
      <c r="F10" s="7" t="n"/>
      <c r="G10" s="7" t="n"/>
      <c r="H10" s="8" t="n"/>
    </row>
    <row r="11">
      <c r="A11" s="4" t="inlineStr">
        <is>
          <t>Agility DEX</t>
        </is>
      </c>
      <c r="B11" s="5" t="n">
        <v>4</v>
      </c>
      <c r="C11" s="9">
        <f>B11-4</f>
        <v/>
      </c>
      <c r="D11" s="2" t="inlineStr">
        <is>
          <t>Speed, flexibility, lightfoot</t>
        </is>
      </c>
      <c r="E11" s="7" t="n"/>
      <c r="F11" s="7" t="n"/>
      <c r="G11" s="7" t="n"/>
      <c r="H11" s="8" t="n"/>
    </row>
    <row r="12">
      <c r="A12" s="4" t="inlineStr">
        <is>
          <t>Constitution CON</t>
        </is>
      </c>
      <c r="B12" s="5" t="n">
        <v>4</v>
      </c>
      <c r="C12" s="9">
        <f>B12-4</f>
        <v/>
      </c>
      <c r="D12" s="2" t="inlineStr">
        <is>
          <t>Meridian capacity, physique, vitality</t>
        </is>
      </c>
      <c r="E12" s="7" t="n"/>
      <c r="F12" s="7" t="n"/>
      <c r="G12" s="7" t="n"/>
      <c r="H12" s="8" t="n"/>
    </row>
    <row r="13">
      <c r="A13" s="4" t="inlineStr">
        <is>
          <t>Comprehension INT</t>
        </is>
      </c>
      <c r="B13" s="5" t="n">
        <v>4</v>
      </c>
      <c r="C13" s="9">
        <f>B13-4</f>
        <v/>
      </c>
      <c r="D13" s="2" t="inlineStr">
        <is>
          <t>Martial comprehension, learning efficiency</t>
        </is>
      </c>
      <c r="E13" s="7" t="n"/>
      <c r="F13" s="7" t="n"/>
      <c r="G13" s="7" t="n"/>
      <c r="H13" s="8" t="n"/>
    </row>
    <row r="14">
      <c r="A14" s="4" t="inlineStr">
        <is>
          <t>Willpower WIS</t>
        </is>
      </c>
      <c r="B14" s="5" t="n">
        <v>4</v>
      </c>
      <c r="C14" s="9">
        <f>B14-4</f>
        <v/>
      </c>
      <c r="D14" s="2" t="inlineStr">
        <is>
          <t>Willpower, mental stability</t>
        </is>
      </c>
      <c r="E14" s="7" t="n"/>
      <c r="F14" s="7" t="n"/>
      <c r="G14" s="7" t="n"/>
      <c r="H14" s="8" t="n"/>
    </row>
    <row r="15">
      <c r="A15" s="4" t="inlineStr">
        <is>
          <t>Charisma CHA</t>
        </is>
      </c>
      <c r="B15" s="5" t="n">
        <v>4</v>
      </c>
      <c r="C15" s="9">
        <f>B15-4</f>
        <v/>
      </c>
      <c r="D15" s="2" t="inlineStr">
        <is>
          <t>Personal charm, social influence</t>
        </is>
      </c>
      <c r="E15" s="7" t="n"/>
      <c r="F15" s="7" t="n"/>
      <c r="G15" s="7" t="n"/>
      <c r="H15" s="8" t="n"/>
    </row>
    <row r="16">
      <c r="A16" s="4" t="inlineStr">
        <is>
          <t>Attribute Total / 25</t>
        </is>
      </c>
      <c r="B16" s="8" t="n"/>
      <c r="C16" s="9">
        <f>SUM(B10:B15)</f>
        <v/>
      </c>
    </row>
    <row r="17"/>
    <row r="18">
      <c r="A18" s="3" t="inlineStr">
        <is>
          <t>— Derived Values —</t>
        </is>
      </c>
      <c r="B18" s="7" t="n"/>
      <c r="C18" s="7" t="n"/>
      <c r="D18" s="7" t="n"/>
      <c r="E18" s="7" t="n"/>
      <c r="F18" s="7" t="n"/>
      <c r="G18" s="7" t="n"/>
      <c r="H18" s="8" t="n"/>
    </row>
    <row r="19">
      <c r="A19" s="4" t="inlineStr">
        <is>
          <t>HP (Health Points)</t>
        </is>
      </c>
      <c r="B19" s="2" t="inlineStr">
        <is>
          <t>Constitution ×5 + Realm Bonus</t>
        </is>
      </c>
      <c r="C19" s="7" t="n"/>
      <c r="D19" s="8" t="n"/>
      <c r="E19" s="10">
        <f>B12*5+IF(F6="Crossing the Threshold",5,IF(F6="Complete Mastery",10,IF(F6="Perfecting the Craft",15,IF(F6="Peak of Perfection",20,IF(F6="Return to Simplicity",25,0)))))</f>
        <v/>
      </c>
      <c r="F19" s="8" t="n"/>
    </row>
    <row r="20">
      <c r="A20" s="4" t="inlineStr">
        <is>
          <t>Qi (True Qi)</t>
        </is>
      </c>
      <c r="B20" s="2" t="inlineStr">
        <is>
          <t>Constitution × Inner Cultivation Coefficient + Realm Bonus</t>
        </is>
      </c>
      <c r="C20" s="7" t="n"/>
      <c r="D20" s="8" t="n"/>
      <c r="E20" s="10">
        <f>B12*VALUE(LEFT(H8,1))+IF(F6="Crossing the Threshold",3,IF(F6="Complete Mastery",6,IF(F6="Perfecting the Craft",10,IF(F6="Peak of Perfection",15,IF(F6="Return to Simplicity",20,0)))))</f>
        <v/>
      </c>
      <c r="F20" s="8" t="n"/>
    </row>
    <row r="21">
      <c r="A21" s="4" t="inlineStr">
        <is>
          <t>Initiative</t>
        </is>
      </c>
      <c r="B21" s="2" t="inlineStr">
        <is>
          <t>Agility + Willpower</t>
        </is>
      </c>
      <c r="C21" s="7" t="n"/>
      <c r="D21" s="8" t="n"/>
      <c r="E21" s="10">
        <f>B11+B14</f>
        <v/>
      </c>
      <c r="F21" s="8" t="n"/>
    </row>
    <row r="22">
      <c r="A22" s="4" t="inlineStr">
        <is>
          <t>Evasion</t>
        </is>
      </c>
      <c r="B22" s="2" t="inlineStr">
        <is>
          <t>Agility Modifier + Lightfoot Level</t>
        </is>
      </c>
      <c r="C22" s="7" t="n"/>
      <c r="D22" s="8" t="n"/>
      <c r="E22" s="10">
        <f>C11+B42</f>
        <v/>
      </c>
      <c r="F22" s="8" t="n"/>
    </row>
    <row r="23">
      <c r="A23" s="4" t="inlineStr">
        <is>
          <t>Defense</t>
        </is>
      </c>
      <c r="B23" s="2" t="inlineStr">
        <is>
          <t>Constitution Modifier + Armor Value</t>
        </is>
      </c>
      <c r="C23" s="7" t="n"/>
      <c r="D23" s="8" t="n"/>
      <c r="E23" s="10">
        <f>C12+B43</f>
        <v/>
      </c>
      <c r="F23" s="8" t="n"/>
    </row>
    <row r="24"/>
    <row r="25">
      <c r="A25" s="3" t="inlineStr">
        <is>
          <t>— Skills —</t>
        </is>
      </c>
      <c r="B25" s="8" t="n"/>
      <c r="C25" s="11" t="inlineStr">
        <is>
          <t xml:space="preserve">Total Points: 15 + B13 = </t>
        </is>
      </c>
      <c r="D25" s="7" t="n"/>
      <c r="E25" s="8" t="n"/>
      <c r="F25" s="11">
        <f>15+B13</f>
        <v/>
      </c>
      <c r="G25" s="7" t="n"/>
      <c r="H25" s="8" t="n"/>
    </row>
    <row r="26">
      <c r="A26" s="6" t="inlineStr">
        <is>
          <t>Skill</t>
        </is>
      </c>
      <c r="B26" s="6" t="inlineStr">
        <is>
          <t>Level</t>
        </is>
      </c>
      <c r="C26" s="6" t="inlineStr">
        <is>
          <t>Bonus</t>
        </is>
      </c>
      <c r="D26" s="6" t="inlineStr">
        <is>
          <t>Corresponding Attribute</t>
        </is>
      </c>
      <c r="E26" s="5" t="inlineStr">
        <is>
          <t>Notes</t>
        </is>
      </c>
      <c r="F26" s="7" t="n"/>
      <c r="G26" s="7" t="n"/>
      <c r="H26" s="8" t="n"/>
    </row>
    <row r="27">
      <c r="A27" s="4" t="inlineStr">
        <is>
          <t>Technique Reading</t>
        </is>
      </c>
      <c r="B27" s="5" t="n">
        <v>0</v>
      </c>
      <c r="C27" s="2">
        <f>B13-4+B27</f>
        <v/>
      </c>
      <c r="D27" s="2" t="inlineStr">
        <is>
          <t>B13</t>
        </is>
      </c>
      <c r="E27" s="2" t="inlineStr"/>
      <c r="F27" s="7" t="n"/>
      <c r="G27" s="7" t="n"/>
      <c r="H27" s="8" t="n"/>
    </row>
    <row r="28">
      <c r="A28" s="4" t="inlineStr">
        <is>
          <t>Jianghu Lore</t>
        </is>
      </c>
      <c r="B28" s="5" t="n">
        <v>0</v>
      </c>
      <c r="C28" s="2">
        <f>B13-4+B28</f>
        <v/>
      </c>
      <c r="D28" s="2" t="inlineStr">
        <is>
          <t>B13</t>
        </is>
      </c>
      <c r="E28" s="2" t="inlineStr"/>
      <c r="F28" s="7" t="n"/>
      <c r="G28" s="7" t="n"/>
      <c r="H28" s="8" t="n"/>
    </row>
    <row r="29">
      <c r="A29" s="4" t="inlineStr">
        <is>
          <t>Lightfoot</t>
        </is>
      </c>
      <c r="B29" s="5" t="n">
        <v>0</v>
      </c>
      <c r="C29" s="2">
        <f>B11-4+B29</f>
        <v/>
      </c>
      <c r="D29" s="2" t="inlineStr">
        <is>
          <t>B11</t>
        </is>
      </c>
      <c r="E29" s="2" t="inlineStr"/>
      <c r="F29" s="7" t="n"/>
      <c r="G29" s="7" t="n"/>
      <c r="H29" s="8" t="n"/>
    </row>
    <row r="30">
      <c r="A30" s="4" t="inlineStr">
        <is>
          <t>Oratory</t>
        </is>
      </c>
      <c r="B30" s="5" t="n">
        <v>0</v>
      </c>
      <c r="C30" s="2">
        <f>B15-4+B30</f>
        <v/>
      </c>
      <c r="D30" s="2" t="inlineStr">
        <is>
          <t>B15</t>
        </is>
      </c>
      <c r="E30" s="2" t="inlineStr"/>
      <c r="F30" s="7" t="n"/>
      <c r="G30" s="7" t="n"/>
      <c r="H30" s="8" t="n"/>
    </row>
    <row r="31">
      <c r="A31" s="4" t="inlineStr">
        <is>
          <t>Climbing</t>
        </is>
      </c>
      <c r="B31" s="5" t="n">
        <v>0</v>
      </c>
      <c r="C31" s="2">
        <f>B11-4+B31</f>
        <v/>
      </c>
      <c r="D31" s="2" t="inlineStr">
        <is>
          <t>B11</t>
        </is>
      </c>
      <c r="E31" s="2" t="inlineStr"/>
      <c r="F31" s="7" t="n"/>
      <c r="G31" s="7" t="n"/>
      <c r="H31" s="8" t="n"/>
    </row>
    <row r="32">
      <c r="A32" s="4" t="inlineStr">
        <is>
          <t>Stealth</t>
        </is>
      </c>
      <c r="B32" s="5" t="n">
        <v>0</v>
      </c>
      <c r="C32" s="2">
        <f>B11-4+B32</f>
        <v/>
      </c>
      <c r="D32" s="2" t="inlineStr">
        <is>
          <t>B11</t>
        </is>
      </c>
      <c r="E32" s="2" t="inlineStr"/>
      <c r="F32" s="7" t="n"/>
      <c r="G32" s="7" t="n"/>
      <c r="H32" s="8" t="n"/>
    </row>
    <row r="33">
      <c r="A33" s="4" t="inlineStr">
        <is>
          <t>Tracking</t>
        </is>
      </c>
      <c r="B33" s="5" t="n">
        <v>0</v>
      </c>
      <c r="C33" s="2">
        <f>B11-4+B33</f>
        <v/>
      </c>
      <c r="D33" s="2" t="inlineStr">
        <is>
          <t>B11</t>
        </is>
      </c>
      <c r="E33" s="2" t="inlineStr"/>
      <c r="F33" s="7" t="n"/>
      <c r="G33" s="7" t="n"/>
      <c r="H33" s="8" t="n"/>
    </row>
    <row r="34">
      <c r="A34" s="4" t="inlineStr">
        <is>
          <t>Read Intent</t>
        </is>
      </c>
      <c r="B34" s="5" t="n">
        <v>0</v>
      </c>
      <c r="C34" s="2">
        <f>B11-4+B34</f>
        <v/>
      </c>
      <c r="D34" s="2" t="inlineStr">
        <is>
          <t>B11</t>
        </is>
      </c>
      <c r="E34" s="2" t="inlineStr"/>
      <c r="F34" s="7" t="n"/>
      <c r="G34" s="7" t="n"/>
      <c r="H34" s="8" t="n"/>
    </row>
    <row r="35">
      <c r="A35" s="4" t="inlineStr">
        <is>
          <t>Disguise</t>
        </is>
      </c>
      <c r="B35" s="5" t="n">
        <v>0</v>
      </c>
      <c r="C35" s="2">
        <f>B13-4+B35</f>
        <v/>
      </c>
      <c r="D35" s="2" t="inlineStr">
        <is>
          <t>B13</t>
        </is>
      </c>
      <c r="E35" s="2" t="inlineStr"/>
      <c r="F35" s="7" t="n"/>
      <c r="G35" s="7" t="n"/>
      <c r="H35" s="8" t="n"/>
    </row>
    <row r="36">
      <c r="A36" s="4" t="inlineStr">
        <is>
          <t>Lockpicking</t>
        </is>
      </c>
      <c r="B36" s="5" t="n">
        <v>0</v>
      </c>
      <c r="C36" s="2">
        <f>B13-4+B36</f>
        <v/>
      </c>
      <c r="D36" s="2" t="inlineStr">
        <is>
          <t>B13</t>
        </is>
      </c>
      <c r="E36" s="2" t="inlineStr"/>
      <c r="F36" s="7" t="n"/>
      <c r="G36" s="7" t="n"/>
      <c r="H36" s="8" t="n"/>
    </row>
    <row r="37">
      <c r="A37" s="4" t="inlineStr">
        <is>
          <t>Trapcraft</t>
        </is>
      </c>
      <c r="B37" s="5" t="n">
        <v>0</v>
      </c>
      <c r="C37" s="2">
        <f>B13-4+B37</f>
        <v/>
      </c>
      <c r="D37" s="2" t="inlineStr">
        <is>
          <t>B13</t>
        </is>
      </c>
      <c r="E37" s="2" t="inlineStr"/>
      <c r="F37" s="7" t="n"/>
      <c r="G37" s="7" t="n"/>
      <c r="H37" s="8" t="n"/>
    </row>
    <row r="38">
      <c r="A38" s="4" t="inlineStr">
        <is>
          <t>Medicine</t>
        </is>
      </c>
      <c r="B38" s="5" t="n">
        <v>0</v>
      </c>
      <c r="C38" s="2">
        <f>B13-4+B38</f>
        <v/>
      </c>
      <c r="D38" s="2" t="inlineStr">
        <is>
          <t>B13</t>
        </is>
      </c>
      <c r="E38" s="2" t="inlineStr"/>
      <c r="F38" s="7" t="n"/>
      <c r="G38" s="7" t="n"/>
      <c r="H38" s="8" t="n"/>
    </row>
    <row r="39">
      <c r="A39" s="4" t="inlineStr">
        <is>
          <t>Alchemy</t>
        </is>
      </c>
      <c r="B39" s="5" t="n">
        <v>0</v>
      </c>
      <c r="C39" s="2">
        <f>B13-4+B39</f>
        <v/>
      </c>
      <c r="D39" s="2" t="inlineStr">
        <is>
          <t>B13</t>
        </is>
      </c>
      <c r="E39" s="2" t="inlineStr"/>
      <c r="F39" s="7" t="n"/>
      <c r="G39" s="7" t="n"/>
      <c r="H39" s="8" t="n"/>
    </row>
    <row r="40">
      <c r="A40" s="4" t="inlineStr">
        <is>
          <t>Poisoncraft</t>
        </is>
      </c>
      <c r="B40" s="5" t="n">
        <v>0</v>
      </c>
      <c r="C40" s="2">
        <f>B13-4+B40</f>
        <v/>
      </c>
      <c r="D40" s="2" t="inlineStr">
        <is>
          <t>B13</t>
        </is>
      </c>
      <c r="E40" s="2" t="inlineStr"/>
      <c r="F40" s="7" t="n"/>
      <c r="G40" s="7" t="n"/>
      <c r="H40" s="8" t="n"/>
    </row>
    <row r="41">
      <c r="A41" s="4" t="inlineStr">
        <is>
          <t>Hidden Weapon</t>
        </is>
      </c>
      <c r="B41" s="5" t="n">
        <v>0</v>
      </c>
      <c r="C41" s="2">
        <f>B13-4+B41</f>
        <v/>
      </c>
      <c r="D41" s="2" t="inlineStr">
        <is>
          <t>B13</t>
        </is>
      </c>
      <c r="E41" s="2" t="inlineStr"/>
      <c r="F41" s="7" t="n"/>
      <c r="G41" s="7" t="n"/>
      <c r="H41" s="8" t="n"/>
    </row>
    <row r="42">
      <c r="A42" s="2" t="inlineStr">
        <is>
          <t>Lightfoot Level</t>
        </is>
      </c>
      <c r="B42" s="2" t="n">
        <v>0</v>
      </c>
      <c r="C42" s="2">
        <f>B11-4+B42</f>
        <v/>
      </c>
      <c r="D42" s="2" t="inlineStr">
        <is>
          <t>B11</t>
        </is>
      </c>
      <c r="E42" s="2" t="inlineStr"/>
      <c r="F42" s="7" t="n"/>
      <c r="G42" s="7" t="n"/>
      <c r="H42" s="8" t="n"/>
    </row>
    <row r="43">
      <c r="A43" s="2" t="inlineStr">
        <is>
          <t>Armor Value</t>
        </is>
      </c>
      <c r="B43" s="2" t="n">
        <v>0</v>
      </c>
      <c r="C43" s="2">
        <f>B10-4+B43</f>
        <v/>
      </c>
      <c r="D43" s="2" t="inlineStr">
        <is>
          <t>B10</t>
        </is>
      </c>
      <c r="E43" s="2" t="inlineStr"/>
      <c r="F43" s="7" t="n"/>
      <c r="G43" s="7" t="n"/>
      <c r="H43" s="8" t="n"/>
    </row>
    <row r="44">
      <c r="A44" s="4" t="inlineStr">
        <is>
          <t>Saber Art</t>
        </is>
      </c>
      <c r="B44" s="5" t="n">
        <v>0</v>
      </c>
      <c r="C44" s="2">
        <f>B10-4+B44</f>
        <v/>
      </c>
      <c r="D44" s="2" t="inlineStr">
        <is>
          <t>B10</t>
        </is>
      </c>
      <c r="E44" s="2" t="inlineStr"/>
      <c r="F44" s="7" t="n"/>
      <c r="G44" s="7" t="n"/>
      <c r="H44" s="8" t="n"/>
    </row>
    <row r="45">
      <c r="A45" s="4" t="inlineStr">
        <is>
          <t>Sword Art</t>
        </is>
      </c>
      <c r="B45" s="5" t="n">
        <v>0</v>
      </c>
      <c r="C45" s="2">
        <f>B10-4+B45</f>
        <v/>
      </c>
      <c r="D45" s="2" t="inlineStr">
        <is>
          <t>B10</t>
        </is>
      </c>
      <c r="E45" s="2" t="inlineStr"/>
      <c r="F45" s="7" t="n"/>
      <c r="G45" s="7" t="n"/>
      <c r="H45" s="8" t="n"/>
    </row>
    <row r="46"/>
    <row r="47"/>
    <row r="48"/>
    <row r="49">
      <c r="A49" s="3" t="inlineStr">
        <is>
          <t>— Martial Arts —</t>
        </is>
      </c>
      <c r="B49" s="7" t="n"/>
      <c r="C49" s="7" t="n"/>
      <c r="D49" s="7" t="n"/>
      <c r="E49" s="7" t="n"/>
      <c r="F49" s="7" t="n"/>
      <c r="G49" s="7" t="n"/>
      <c r="H49" s="8" t="n"/>
    </row>
    <row r="50">
      <c r="A50" s="6" t="inlineStr">
        <is>
          <t>Technique Name</t>
        </is>
      </c>
      <c r="B50" s="6" t="inlineStr">
        <is>
          <t>Type</t>
        </is>
      </c>
      <c r="C50" s="6" t="inlineStr">
        <is>
          <t>Tier · Proficiency</t>
        </is>
      </c>
      <c r="D50" s="6" t="inlineStr">
        <is>
          <t>Force</t>
        </is>
      </c>
      <c r="E50" s="6" t="inlineStr">
        <is>
          <t>Move</t>
        </is>
      </c>
      <c r="F50" s="6" t="inlineStr">
        <is>
          <t>Qi (True Qi)</t>
        </is>
      </c>
      <c r="G50" s="6" t="inlineStr">
        <is>
          <t>Hit</t>
        </is>
      </c>
      <c r="H50" s="6" t="inlineStr">
        <is>
          <t>Damage / Effect</t>
        </is>
      </c>
    </row>
    <row r="51">
      <c r="A51" s="5" t="inlineStr"/>
      <c r="B51" s="5" t="inlineStr"/>
      <c r="C51" s="5" t="inlineStr"/>
      <c r="D51" s="5" t="inlineStr"/>
      <c r="E51" s="5" t="inlineStr"/>
      <c r="F51" s="5" t="inlineStr"/>
      <c r="G51" s="5" t="inlineStr"/>
      <c r="H51" s="5" t="inlineStr"/>
    </row>
    <row r="52">
      <c r="A52" s="5" t="inlineStr"/>
      <c r="B52" s="5" t="inlineStr"/>
      <c r="C52" s="5" t="inlineStr"/>
      <c r="D52" s="5" t="inlineStr"/>
      <c r="E52" s="5" t="inlineStr"/>
      <c r="F52" s="5" t="inlineStr"/>
      <c r="G52" s="5" t="inlineStr"/>
      <c r="H52" s="5" t="inlineStr"/>
    </row>
    <row r="53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59"/>
    <row r="60"/>
    <row r="61">
      <c r="A61" s="3" t="inlineStr">
        <is>
          <t>— Equipment —</t>
        </is>
      </c>
      <c r="B61" s="7" t="n"/>
      <c r="C61" s="7" t="n"/>
      <c r="D61" s="7" t="n"/>
      <c r="E61" s="7" t="n"/>
      <c r="F61" s="7" t="n"/>
      <c r="G61" s="7" t="n"/>
      <c r="H61" s="8" t="n"/>
    </row>
    <row r="62">
      <c r="A62" s="6" t="inlineStr">
        <is>
          <t>Weapon</t>
        </is>
      </c>
      <c r="B62" s="6" t="inlineStr">
        <is>
          <t>Damage</t>
        </is>
      </c>
      <c r="C62" s="6" t="inlineStr">
        <is>
          <t>Hit Modifier</t>
        </is>
      </c>
      <c r="D62" s="6" t="inlineStr">
        <is>
          <t>Armor</t>
        </is>
      </c>
      <c r="E62" s="6" t="inlineStr">
        <is>
          <t>External Injury Reduction</t>
        </is>
      </c>
      <c r="F62" s="6" t="inlineStr">
        <is>
          <t>Agility Penalty</t>
        </is>
      </c>
      <c r="G62" s="6" t="inlineStr">
        <is>
          <t>Item</t>
        </is>
      </c>
    </row>
    <row r="63">
      <c r="A63" s="5" t="inlineStr"/>
      <c r="B63" s="5" t="inlineStr"/>
      <c r="C63" s="5" t="inlineStr"/>
      <c r="D63" s="5" t="inlineStr"/>
      <c r="E63" s="5" t="inlineStr"/>
      <c r="F63" s="5" t="inlineStr"/>
      <c r="G63" s="5" t="inlineStr"/>
    </row>
    <row r="64">
      <c r="A64" s="5" t="inlineStr"/>
      <c r="B64" s="5" t="inlineStr"/>
      <c r="C64" s="5" t="inlineStr"/>
      <c r="D64" s="5" t="inlineStr"/>
      <c r="E64" s="5" t="inlineStr"/>
      <c r="F64" s="5" t="inlineStr"/>
      <c r="G64" s="5" t="inlineStr"/>
    </row>
    <row r="65">
      <c r="A65" s="5" t="inlineStr"/>
      <c r="B65" s="5" t="inlineStr"/>
      <c r="C65" s="5" t="inlineStr"/>
      <c r="D65" s="5" t="inlineStr"/>
      <c r="E65" s="5" t="inlineStr"/>
      <c r="F65" s="5" t="inlineStr"/>
      <c r="G65" s="5" t="inlineStr"/>
    </row>
    <row r="66">
      <c r="A66" s="5" t="inlineStr"/>
      <c r="B66" s="5" t="inlineStr"/>
      <c r="C66" s="5" t="inlineStr"/>
      <c r="D66" s="5" t="inlineStr"/>
      <c r="E66" s="5" t="inlineStr"/>
      <c r="F66" s="5" t="inlineStr"/>
      <c r="G66" s="5" t="inlineStr"/>
    </row>
    <row r="67"/>
    <row r="68"/>
    <row r="69">
      <c r="A69" s="4" t="inlineStr">
        <is>
          <t>Heroism</t>
        </is>
      </c>
      <c r="B69" s="5" t="n">
        <v>0</v>
      </c>
      <c r="D69" s="4" t="inlineStr">
        <is>
          <t>Infamy</t>
        </is>
      </c>
      <c r="E69" s="5" t="n">
        <v>0</v>
      </c>
    </row>
  </sheetData>
  <mergeCells count="49">
    <mergeCell ref="E45:H45"/>
    <mergeCell ref="E26:H26"/>
    <mergeCell ref="B23:D23"/>
    <mergeCell ref="D10:H10"/>
    <mergeCell ref="E23:F23"/>
    <mergeCell ref="A49:H49"/>
    <mergeCell ref="A1:H1"/>
    <mergeCell ref="E41:H41"/>
    <mergeCell ref="E32:H32"/>
    <mergeCell ref="A61:H61"/>
    <mergeCell ref="E37:H37"/>
    <mergeCell ref="A16:B16"/>
    <mergeCell ref="B19:D19"/>
    <mergeCell ref="E20:F20"/>
    <mergeCell ref="A25:B25"/>
    <mergeCell ref="E43:H43"/>
    <mergeCell ref="E19:F19"/>
    <mergeCell ref="D11:H11"/>
    <mergeCell ref="D13:H13"/>
    <mergeCell ref="E33:H33"/>
    <mergeCell ref="B6:D6"/>
    <mergeCell ref="E42:H42"/>
    <mergeCell ref="B20:D20"/>
    <mergeCell ref="A18:H18"/>
    <mergeCell ref="E39:H39"/>
    <mergeCell ref="A2:H2"/>
    <mergeCell ref="E35:H35"/>
    <mergeCell ref="E38:H38"/>
    <mergeCell ref="E44:H44"/>
    <mergeCell ref="E29:H29"/>
    <mergeCell ref="A8:H8"/>
    <mergeCell ref="E28:H28"/>
    <mergeCell ref="D9:H9"/>
    <mergeCell ref="F25:H25"/>
    <mergeCell ref="A4:H4"/>
    <mergeCell ref="D12:H12"/>
    <mergeCell ref="E40:H40"/>
    <mergeCell ref="D15:H15"/>
    <mergeCell ref="E31:H31"/>
    <mergeCell ref="B22:D22"/>
    <mergeCell ref="E34:H34"/>
    <mergeCell ref="E30:H30"/>
    <mergeCell ref="E22:F22"/>
    <mergeCell ref="B21:D21"/>
    <mergeCell ref="D14:H14"/>
    <mergeCell ref="E27:H27"/>
    <mergeCell ref="C25:E25"/>
    <mergeCell ref="E21:F21"/>
    <mergeCell ref="E36:H36"/>
  </mergeCells>
  <dataValidations count="3">
    <dataValidation sqref="F5" showDropDown="0" showInputMessage="0" showErrorMessage="0" allowBlank="1" type="list">
      <formula1>"劍宗(華山),劍宗(峨眉),氣宗(武當),氣宗(全真),金剛宗(少林),毒宗(唐門),影宗(逍遙),影宗(古墓),機宗(丐幫),藥宗(藥王谷),散人"</formula1>
    </dataValidation>
    <dataValidation sqref="F6" showDropDown="0" showInputMessage="0" showErrorMessage="0" allowBlank="1" type="list">
      <formula1>"初窺門徑,登堂入室,融會貫通,爐火純青,登峯造極,返璞歸真"</formula1>
    </dataValidation>
    <dataValidation sqref="H6" showDropDown="0" showInputMessage="0" showErrorMessage="0" allowBlank="1" type="list">
      <formula1>"1(無內功),2(入門),3(正宗),4(上乘),5(絕世)"</formula1>
    </dataValidation>
  </dataValidations>
  <pageMargins left="0.75" right="0.75" top="1" bottom="1" header="0.5" footer="0.5"/>
  <pageSetup orientation="portrait"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0" customWidth="1" min="5" max="5"/>
    <col width="20" customWidth="1" min="6" max="6"/>
  </cols>
  <sheetData>
    <row r="1">
      <c r="A1" s="3" t="inlineStr">
        <is>
          <t>Realm Reference</t>
        </is>
      </c>
      <c r="B1" s="7" t="n"/>
      <c r="C1" s="7" t="n"/>
      <c r="D1" s="7" t="n"/>
      <c r="E1" s="7" t="n"/>
      <c r="F1" s="8" t="n"/>
    </row>
    <row r="2">
      <c r="A2" s="6" t="inlineStr">
        <is>
          <t>Realm</t>
        </is>
      </c>
      <c r="B2" s="6" t="inlineStr">
        <is>
          <t>HP Bonus</t>
        </is>
      </c>
      <c r="C2" s="6" t="inlineStr">
        <is>
          <t>Qi Bonus</t>
        </is>
      </c>
      <c r="D2" s="6" t="inlineStr">
        <is>
          <t>Attribute Cap</t>
        </is>
      </c>
      <c r="E2" s="6" t="inlineStr">
        <is>
          <t>Total XP</t>
        </is>
      </c>
      <c r="F2" s="6" t="inlineStr">
        <is>
          <t>Die Modifier</t>
        </is>
      </c>
    </row>
    <row r="3">
      <c r="A3" s="2" t="inlineStr">
        <is>
          <t>First Glimpse</t>
        </is>
      </c>
      <c r="B3" s="2" t="n">
        <v>0</v>
      </c>
      <c r="C3" s="2" t="n">
        <v>0</v>
      </c>
      <c r="D3" s="2" t="n">
        <v>5</v>
      </c>
      <c r="E3" s="2" t="n">
        <v>0</v>
      </c>
      <c r="F3" s="2" t="inlineStr">
        <is>
          <t>—</t>
        </is>
      </c>
    </row>
    <row r="4">
      <c r="A4" s="2" t="inlineStr">
        <is>
          <t>Crossing the Threshold</t>
        </is>
      </c>
      <c r="B4" s="2" t="n">
        <v>5</v>
      </c>
      <c r="C4" s="2" t="n">
        <v>3</v>
      </c>
      <c r="D4" s="2" t="n">
        <v>6</v>
      </c>
      <c r="E4" s="2" t="n">
        <v>20</v>
      </c>
      <c r="F4" s="2" t="inlineStr">
        <is>
          <t>Advantage Die vs Lower Tier</t>
        </is>
      </c>
    </row>
    <row r="5">
      <c r="A5" s="2" t="inlineStr">
        <is>
          <t>Complete Mastery</t>
        </is>
      </c>
      <c r="B5" s="2" t="n">
        <v>10</v>
      </c>
      <c r="C5" s="2" t="n">
        <v>6</v>
      </c>
      <c r="D5" s="2" t="n">
        <v>7</v>
      </c>
      <c r="E5" s="2" t="n">
        <v>70</v>
      </c>
      <c r="F5" s="2" t="inlineStr">
        <is>
          <t>Advantage Die</t>
        </is>
      </c>
    </row>
    <row r="6">
      <c r="A6" s="2" t="inlineStr">
        <is>
          <t>Perfecting the Craft</t>
        </is>
      </c>
      <c r="B6" s="2" t="n">
        <v>15</v>
      </c>
      <c r="C6" s="2" t="n">
        <v>10</v>
      </c>
      <c r="D6" s="2" t="n">
        <v>8</v>
      </c>
      <c r="E6" s="2" t="n">
        <v>170</v>
      </c>
      <c r="F6" s="2" t="inlineStr">
        <is>
          <t>Steady Die</t>
        </is>
      </c>
    </row>
    <row r="7">
      <c r="A7" s="2" t="inlineStr">
        <is>
          <t>Peak of Perfection</t>
        </is>
      </c>
      <c r="B7" s="2" t="n">
        <v>20</v>
      </c>
      <c r="C7" s="2" t="n">
        <v>15</v>
      </c>
      <c r="D7" s="2" t="n">
        <v>10</v>
      </c>
      <c r="E7" s="2" t="n">
        <v>370</v>
      </c>
      <c r="F7" s="2" t="inlineStr">
        <is>
          <t>Infusion ×1</t>
        </is>
      </c>
    </row>
    <row r="8">
      <c r="A8" s="2" t="inlineStr">
        <is>
          <t>Return to Simplicity</t>
        </is>
      </c>
      <c r="B8" s="2" t="n">
        <v>25</v>
      </c>
      <c r="C8" s="2" t="n">
        <v>20</v>
      </c>
      <c r="D8" s="2" t="n">
        <v>12</v>
      </c>
      <c r="E8" s="2" t="n">
        <v>870</v>
      </c>
      <c r="F8" s="2" t="inlineStr">
        <is>
          <t>Infusion ×3 + Full Advantage</t>
        </is>
      </c>
    </row>
    <row r="9"/>
    <row r="10"/>
    <row r="11">
      <c r="A11" s="3" t="inlineStr">
        <is>
          <t>Inner Cultivation Coefficient</t>
        </is>
      </c>
      <c r="B11" s="7" t="n"/>
      <c r="C11" s="8" t="n"/>
    </row>
    <row r="12">
      <c r="A12" s="6" t="inlineStr">
        <is>
          <t>Tier</t>
        </is>
      </c>
      <c r="B12" s="6" t="inlineStr">
        <is>
          <t>Coefficient</t>
        </is>
      </c>
      <c r="C12" s="6" t="inlineStr">
        <is>
          <t>Example</t>
        </is>
      </c>
    </row>
    <row r="13">
      <c r="A13" s="2" t="inlineStr">
        <is>
          <t>No Inner Cultivation</t>
        </is>
      </c>
      <c r="B13" s="2" t="n">
        <v>1</v>
      </c>
      <c r="C13" s="2" t="inlineStr">
        <is>
          <t>—</t>
        </is>
      </c>
    </row>
    <row r="14">
      <c r="A14" s="2" t="inlineStr">
        <is>
          <t>Initiate Manual</t>
        </is>
      </c>
      <c r="B14" s="2" t="n">
        <v>2</v>
      </c>
      <c r="C14" s="2" t="inlineStr">
        <is>
          <t>Breathing Technique</t>
        </is>
      </c>
    </row>
    <row r="15">
      <c r="A15" s="2" t="inlineStr">
        <is>
          <t>Orthodox Manual</t>
        </is>
      </c>
      <c r="B15" s="2" t="n">
        <v>3</v>
      </c>
      <c r="C15" s="2" t="inlineStr">
        <is>
          <t>Purple Aurora Art</t>
        </is>
      </c>
    </row>
    <row r="16">
      <c r="A16" s="2" t="inlineStr">
        <is>
          <t>Superior Manual</t>
        </is>
      </c>
      <c r="B16" s="2" t="n">
        <v>4</v>
      </c>
      <c r="C16" s="2" t="inlineStr">
        <is>
          <t>Nine Yang Manual</t>
        </is>
      </c>
    </row>
    <row r="17">
      <c r="A17" s="2" t="inlineStr">
        <is>
          <t>Peerless Divine Art</t>
        </is>
      </c>
      <c r="B17" s="2" t="n">
        <v>5</v>
      </c>
      <c r="C17" s="2" t="inlineStr">
        <is>
          <t>Nine Yang Great Completion</t>
        </is>
      </c>
    </row>
    <row r="18"/>
    <row r="19"/>
    <row r="20">
      <c r="A20" s="3" t="inlineStr">
        <is>
          <t>Common DCs</t>
        </is>
      </c>
      <c r="B20" s="7" t="n"/>
      <c r="C20" s="8" t="n"/>
    </row>
    <row r="21">
      <c r="A21" s="6" t="inlineStr">
        <is>
          <t>Scene</t>
        </is>
      </c>
      <c r="B21" s="6" t="inlineStr">
        <is>
          <t>DC</t>
        </is>
      </c>
      <c r="C21" s="6" t="inlineStr">
        <is>
          <t>Attribute</t>
        </is>
      </c>
    </row>
    <row r="22">
      <c r="A22" s="2" t="inlineStr">
        <is>
          <t>Scaling Walls &amp; Roofs</t>
        </is>
      </c>
      <c r="B22" s="2" t="n">
        <v>8</v>
      </c>
      <c r="C22" s="2" t="inlineStr">
        <is>
          <t>Agility</t>
        </is>
      </c>
    </row>
    <row r="23">
      <c r="A23" s="2" t="inlineStr">
        <is>
          <t>Read Intent</t>
        </is>
      </c>
      <c r="B23" s="2" t="n">
        <v>12</v>
      </c>
      <c r="C23" s="2" t="inlineStr">
        <is>
          <t>Comprehension</t>
        </is>
      </c>
    </row>
    <row r="24">
      <c r="A24" s="2" t="inlineStr">
        <is>
          <t>Persuade Neutral NPC</t>
        </is>
      </c>
      <c r="B24" s="2" t="n">
        <v>15</v>
      </c>
      <c r="C24" s="2" t="inlineStr">
        <is>
          <t>Charisma</t>
        </is>
      </c>
    </row>
    <row r="25">
      <c r="A25" s="2" t="inlineStr">
        <is>
          <t>Tracking</t>
        </is>
      </c>
      <c r="B25" s="2" t="n">
        <v>12</v>
      </c>
      <c r="C25" s="2" t="inlineStr">
        <is>
          <t>Comprehension</t>
        </is>
      </c>
    </row>
    <row r="26">
      <c r="A26" s="2" t="inlineStr">
        <is>
          <t>First Aid &amp; Stop Bleeding</t>
        </is>
      </c>
      <c r="B26" s="2" t="n">
        <v>12</v>
      </c>
      <c r="C26" s="2" t="inlineStr">
        <is>
          <t>Comprehension + Medicine</t>
        </is>
      </c>
    </row>
    <row r="27">
      <c r="A27" s="2" t="inlineStr">
        <is>
          <t>Identify Poison</t>
        </is>
      </c>
      <c r="B27" s="2" t="n">
        <v>15</v>
      </c>
      <c r="C27" s="2" t="inlineStr">
        <is>
          <t>Comprehension + Medicine</t>
        </is>
      </c>
    </row>
    <row r="28">
      <c r="A28" s="2" t="inlineStr">
        <is>
          <t>Qi Deviation</t>
        </is>
      </c>
      <c r="B28" s="2" t="inlineStr">
        <is>
          <t>15+</t>
        </is>
      </c>
      <c r="C28" s="2" t="inlineStr">
        <is>
          <t>Willpower + Constitution</t>
        </is>
      </c>
    </row>
    <row r="29">
      <c r="A29" s="2" t="inlineStr">
        <is>
          <t>Read Move</t>
        </is>
      </c>
      <c r="B29" s="2" t="n">
        <v>15</v>
      </c>
      <c r="C29" s="2" t="inlineStr">
        <is>
          <t>Comprehension + Technique Reading</t>
        </is>
      </c>
    </row>
  </sheetData>
  <mergeCells count="3">
    <mergeCell ref="A20:C20"/>
    <mergeCell ref="A1:F1"/>
    <mergeCell ref="A11:C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2026-07-18T20:03:42Z</dcterms:created>
  <dcterms:modified xsi:type="dcterms:W3CDTF">2026-08-10T09:02:22Z</dcterms:modified>
</cp:coreProperties>
</file>