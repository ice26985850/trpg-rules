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Character Sheet · Paotuan Rules Studio</t>
        </is>
      </c>
      <c r="B2" s="11" t="n"/>
      <c r="C2" s="11" t="n"/>
      <c r="D2" s="11" t="n"/>
      <c r="E2" s="11" t="n"/>
      <c r="F2" s="11" t="n"/>
      <c r="G2" s="11" t="n"/>
      <c r="H2" s="10" t="n"/>
    </row>
    <row r="3"/>
    <row r="4">
      <c r="A4" s="3" t="inlineStr">
        <is>
          <t>— Basic Info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Character Name</t>
        </is>
      </c>
      <c r="B5" s="5" t="inlineStr">
        <is>
          <t>Liu Rufeng</t>
        </is>
      </c>
      <c r="C5" s="4" t="inlineStr">
        <is>
          <t>Player</t>
        </is>
      </c>
      <c r="D5" s="5" t="inlineStr"/>
      <c r="E5" s="4" t="inlineStr">
        <is>
          <t>Sect</t>
        </is>
      </c>
      <c r="F5" s="5" t="inlineStr">
        <is>
          <t>Sword Sect (Huashan)</t>
        </is>
      </c>
    </row>
    <row r="6">
      <c r="A6" s="4" t="inlineStr">
        <is>
          <t>Concept</t>
        </is>
      </c>
      <c r="B6" s="6" t="inlineStr">
        <is>
          <t>Young Huashan swordsman, outstanding family sword talent, righteous and frank but slightly impulsive. Pursues speed-over-slow and striking first.</t>
        </is>
      </c>
      <c r="C6" s="11" t="n"/>
      <c r="D6" s="10" t="n"/>
      <c r="E6" s="4" t="inlineStr">
        <is>
          <t>Realm</t>
        </is>
      </c>
      <c r="F6" s="5" t="inlineStr">
        <is>
          <t>First Glimpse</t>
        </is>
      </c>
      <c r="G6" s="4" t="inlineStr">
        <is>
          <t>Inner Art Coefficient</t>
        </is>
      </c>
      <c r="H6" s="5" t="inlineStr">
        <is>
          <t>2</t>
        </is>
      </c>
    </row>
    <row r="7"/>
    <row r="8">
      <c r="A8" s="3" t="inlineStr">
        <is>
          <t>— Six Attributes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8</t>
        </is>
      </c>
      <c r="C10" s="8">
        <f>B10-4</f>
        <v/>
      </c>
      <c r="D10" s="2" t="inlineStr">
        <is>
          <t>Muscle power, explosiveness</t>
        </is>
      </c>
      <c r="E10" s="11" t="n"/>
      <c r="F10" s="10" t="n"/>
    </row>
    <row r="11">
      <c r="A11" s="4" t="inlineStr">
        <is>
          <t>Agility (AGI)</t>
        </is>
      </c>
      <c r="B11" s="5" t="inlineStr">
        <is>
          <t>6</t>
        </is>
      </c>
      <c r="C11" s="8">
        <f>B11-4</f>
        <v/>
      </c>
      <c r="D11" s="2" t="inlineStr">
        <is>
          <t>Speed, agility, lightfoot</t>
        </is>
      </c>
      <c r="E11" s="11" t="n"/>
      <c r="F11" s="10" t="n"/>
    </row>
    <row r="12">
      <c r="A12" s="4" t="inlineStr">
        <is>
          <t>Constitution (CON)</t>
        </is>
      </c>
      <c r="B12" s="5" t="inlineStr">
        <is>
          <t>4</t>
        </is>
      </c>
      <c r="C12" s="8">
        <f>B12-4</f>
        <v/>
      </c>
      <c r="D12" s="2" t="inlineStr">
        <is>
          <t>Meridian capacity, physique, life resilience</t>
        </is>
      </c>
      <c r="E12" s="11" t="n"/>
      <c r="F12" s="10" t="n"/>
    </row>
    <row r="13">
      <c r="A13" s="4" t="inlineStr">
        <is>
          <t>Comprehension (CMP)</t>
        </is>
      </c>
      <c r="B13" s="5" t="inlineStr">
        <is>
          <t>4</t>
        </is>
      </c>
      <c r="C13" s="8">
        <f>B13-4</f>
        <v/>
      </c>
      <c r="D13" s="2" t="inlineStr">
        <is>
          <t>Martial comprehension, learning efficiency</t>
        </is>
      </c>
      <c r="E13" s="11" t="n"/>
      <c r="F13" s="10" t="n"/>
    </row>
    <row r="14">
      <c r="A14" s="4" t="inlineStr">
        <is>
          <t>Willpower (WIL)</t>
        </is>
      </c>
      <c r="B14" s="5" t="inlineStr">
        <is>
          <t>3</t>
        </is>
      </c>
      <c r="C14" s="8">
        <f>B14-4</f>
        <v/>
      </c>
      <c r="D14" s="2" t="inlineStr">
        <is>
          <t>Willpower, mental stability</t>
        </is>
      </c>
      <c r="E14" s="11" t="n"/>
      <c r="F14" s="10" t="n"/>
    </row>
    <row r="15">
      <c r="A15" s="4" t="inlineStr">
        <is>
          <t>Charisma (CHA)</t>
        </is>
      </c>
      <c r="B15" s="5" t="inlineStr">
        <is>
          <t>2</t>
        </is>
      </c>
      <c r="C15" s="8">
        <f>B15-4</f>
        <v/>
      </c>
      <c r="D15" s="2" t="inlineStr">
        <is>
          <t>Personal charm, interpersonal influence</t>
        </is>
      </c>
      <c r="E15" s="11" t="n"/>
      <c r="F15" s="10" t="n"/>
    </row>
    <row r="16">
      <c r="A16" s="4" t="inlineStr">
        <is>
          <t>Attribute Total</t>
        </is>
      </c>
      <c r="B16" s="10" t="n"/>
    </row>
    <row r="17"/>
    <row r="18">
      <c r="A18" s="3" t="inlineStr">
        <is>
          <t>— Derived Values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Health Points (HP)</t>
        </is>
      </c>
      <c r="B19" s="2" t="inlineStr">
        <is>
          <t>CON×5+Realm Bonus</t>
        </is>
      </c>
      <c r="C19" s="11" t="n"/>
      <c r="D19" s="10" t="n"/>
      <c r="E19" s="9">
        <f>B12*5+IF(F6="Crossing the Threshold",5,IF(F6="Complete Mastery",10,IF(F6="Perfecting the Craft",15,IF(F6="Peak of Perfection",20,IF(F6="Return to Simplicity",25,0)))))</f>
        <v/>
      </c>
      <c r="F19" s="10" t="n"/>
    </row>
    <row r="20">
      <c r="A20" s="4" t="inlineStr">
        <is>
          <t>Qi (True Qi)</t>
        </is>
      </c>
      <c r="B20" s="2" t="inlineStr">
        <is>
          <t>CON×Inner Art Coefficient+Realm Bonus</t>
        </is>
      </c>
      <c r="C20" s="11" t="n"/>
      <c r="D20" s="10" t="n"/>
      <c r="E20" s="9">
        <f>B12*VALUE(LEFT(H6,1))+IF(F6="Crossing the Threshold",3,IF(F6="Complete Mastery",6,IF(F6="Perfecting the Craft",10,IF(F6="Peak of Perfection",15,IF(F6="Return to Simplicity",20,0)))))</f>
        <v/>
      </c>
      <c r="F20" s="10" t="n"/>
    </row>
    <row r="21">
      <c r="A21" s="4" t="inlineStr">
        <is>
          <t>Initiative</t>
        </is>
      </c>
      <c r="B21" s="2" t="inlineStr">
        <is>
          <t>AGI+WIL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Evasion</t>
        </is>
      </c>
      <c r="B22" s="2" t="inlineStr">
        <is>
          <t>AGI Mod+Lightfoot Level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Defense</t>
        </is>
      </c>
      <c r="B23" s="2" t="inlineStr">
        <is>
          <t>CON Mod+Armor Value</t>
        </is>
      </c>
      <c r="C23" s="11" t="n"/>
      <c r="D23" s="10" t="n"/>
      <c r="E23" s="9">
        <f>C12+B43</f>
        <v/>
      </c>
      <c r="F23" s="10" t="n"/>
    </row>
    <row r="24"/>
    <row r="25">
      <c r="A25" s="3" t="inlineStr">
        <is>
          <t>— Skills —</t>
        </is>
      </c>
      <c r="B25" s="10" t="n"/>
    </row>
    <row r="26">
      <c r="A26" s="7" t="inlineStr">
        <is>
          <t>Skill</t>
        </is>
      </c>
      <c r="B26" s="7" t="inlineStr">
        <is>
          <t>Level</t>
        </is>
      </c>
      <c r="C26" s="7" t="inlineStr">
        <is>
          <t>Bonus</t>
        </is>
      </c>
      <c r="D26" s="7" t="inlineStr">
        <is>
          <t>Corresponding Attribute</t>
        </is>
      </c>
      <c r="E26" s="5" t="inlineStr">
        <is>
          <t>Notes</t>
        </is>
      </c>
      <c r="F26" s="11" t="n"/>
      <c r="G26" s="11" t="n"/>
      <c r="H26" s="10" t="n"/>
    </row>
    <row r="27">
      <c r="A27" s="4" t="inlineStr">
        <is>
          <t>Technique Reading</t>
        </is>
      </c>
      <c r="B27" s="5" t="inlineStr">
        <is>
          <t>3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Jianghu Lore</t>
        </is>
      </c>
      <c r="B28" s="5" t="inlineStr">
        <is>
          <t>1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Lightfoot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Oratory</t>
        </is>
      </c>
      <c r="B30" s="5" t="inlineStr">
        <is>
          <t>1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Climbing</t>
        </is>
      </c>
      <c r="B31" s="5" t="inlineStr">
        <is>
          <t>1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Stealth</t>
        </is>
      </c>
      <c r="B32" s="5" t="inlineStr">
        <is>
          <t>1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Tracking</t>
        </is>
      </c>
      <c r="B33" s="5" t="inlineStr">
        <is>
          <t>1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Read Intent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Disguise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Lockpicking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Trapcraft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Medicine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Alchemy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Poisoncraft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Hidden Weapon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Lightfoot Level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Armor Value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Saber Art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Sword Art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6"/>
    <row r="47"/>
    <row r="48"/>
    <row r="49">
      <c r="A49" s="3" t="inlineStr">
        <is>
          <t>— Martial Arts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Martial Art Name</t>
        </is>
      </c>
      <c r="B50" s="7" t="inlineStr">
        <is>
          <t>Type</t>
        </is>
      </c>
      <c r="C50" s="7" t="inlineStr">
        <is>
          <t>Tier · Proficiency</t>
        </is>
      </c>
      <c r="D50" s="7" t="inlineStr">
        <is>
          <t>Force Type</t>
        </is>
      </c>
      <c r="E50" s="7" t="inlineStr">
        <is>
          <t>Move</t>
        </is>
      </c>
      <c r="F50" s="7" t="inlineStr">
        <is>
          <t>Qi (True Qi)</t>
        </is>
      </c>
      <c r="G50" s="7" t="inlineStr">
        <is>
          <t>Hit</t>
        </is>
      </c>
      <c r="H50" s="7" t="inlineStr">
        <is>
          <t>Damage / Effect</t>
        </is>
      </c>
    </row>
    <row r="51">
      <c r="A51" s="5" t="inlineStr">
        <is>
          <t>Huashan Sword Art</t>
        </is>
      </c>
      <c r="B51" s="5" t="inlineStr">
        <is>
          <t>External Art · Sword</t>
        </is>
      </c>
      <c r="C51" s="5" t="inlineStr">
        <is>
          <t>Initiate · First Glimpse</t>
        </is>
      </c>
      <c r="D51" s="5" t="inlineStr">
        <is>
          <t>Swift</t>
        </is>
      </c>
      <c r="E51" s="5" t="inlineStr">
        <is>
          <t>White Rainbow Pierces the Sun</t>
        </is>
      </c>
      <c r="F51" s="5" t="inlineStr">
        <is>
          <t>1</t>
        </is>
      </c>
      <c r="G51" s="5" t="inlineStr">
        <is>
          <t>+2</t>
        </is>
      </c>
      <c r="H51" s="5" t="inlineStr">
        <is>
          <t>1d8+STR(+4) +1 hit when acting first</t>
        </is>
      </c>
    </row>
    <row r="52">
      <c r="A52" s="5" t="inlineStr">
        <is>
          <t>Sword Sect Mental Method</t>
        </is>
      </c>
      <c r="B52" s="5" t="inlineStr">
        <is>
          <t>Inner Art · Mental Method</t>
        </is>
      </c>
      <c r="C52" s="5" t="inlineStr">
        <is>
          <t>Initiate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Inner Art Coefficient 2, Qi Pool 8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59"/>
    <row r="60"/>
    <row r="61">
      <c r="A61" s="3" t="inlineStr">
        <is>
          <t>— Equipment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Weapon</t>
        </is>
      </c>
      <c r="B62" s="7" t="inlineStr">
        <is>
          <t>Damage</t>
        </is>
      </c>
      <c r="C62" s="7" t="inlineStr">
        <is>
          <t>Hit Modifier</t>
        </is>
      </c>
      <c r="D62" s="7" t="inlineStr">
        <is>
          <t>Armor</t>
        </is>
      </c>
      <c r="E62" s="7" t="inlineStr">
        <is>
          <t>External Injury Reduction</t>
        </is>
      </c>
      <c r="F62" s="7" t="inlineStr">
        <is>
          <t>Item</t>
        </is>
      </c>
    </row>
    <row r="63">
      <c r="A63" s="5" t="inlineStr"/>
      <c r="B63" s="10" t="n"/>
      <c r="D63" s="5" t="inlineStr"/>
      <c r="E63" s="11" t="n"/>
      <c r="F63" s="10" t="n"/>
    </row>
    <row r="64"/>
    <row r="65"/>
    <row r="66"/>
    <row r="67"/>
    <row r="68"/>
    <row r="69">
      <c r="A69" s="4" t="inlineStr">
        <is>
          <t>Heroism</t>
        </is>
      </c>
      <c r="B69" s="5" t="inlineStr">
        <is>
          <t>15</t>
        </is>
      </c>
      <c r="D69" s="4" t="inlineStr">
        <is>
          <t>Infamy</t>
        </is>
      </c>
      <c r="E69" s="5" t="inlineStr">
        <is>
          <t>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2026-08-10T08:49:40Z</dcterms:modified>
</cp:coreProperties>
</file>