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伍軍人-馬克" sheetId="1" state="visible" r:id="rId1"/>
    <sheet xmlns:r="http://schemas.openxmlformats.org/officeDocument/2006/relationships" name="拾荒者-老陳" sheetId="2" state="visible" r:id="rId2"/>
    <sheet xmlns:r="http://schemas.openxmlformats.org/officeDocument/2006/relationships" name="前公司雇員-小周" sheetId="3" state="visible" r:id="rId3"/>
    <sheet xmlns:r="http://schemas.openxmlformats.org/officeDocument/2006/relationships" name="醫療人員-小葉" sheetId="4" state="visible" r:id="rId4"/>
    <sheet xmlns:r="http://schemas.openxmlformats.org/officeDocument/2006/relationships" name="變異體適應者-大熊" sheetId="5" state="visible" r:id="rId5"/>
    <sheet xmlns:r="http://schemas.openxmlformats.org/officeDocument/2006/relationships" name="邊境居民-老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範例角色卡 - 退伍軍人-馬克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角色姓名</t>
        </is>
      </c>
      <c r="B3" s="6" t="inlineStr">
        <is>
          <t>退伍軍人-馬克</t>
        </is>
      </c>
      <c r="C3" s="11" t="n"/>
      <c r="D3" s="5" t="inlineStr">
        <is>
          <t>出身</t>
        </is>
      </c>
      <c r="E3" s="6" t="inlineStr">
        <is>
          <t>退伍軍人</t>
        </is>
      </c>
      <c r="F3" s="11" t="n"/>
      <c r="G3" s="5" t="inlineStr">
        <is>
          <t>等級</t>
        </is>
      </c>
      <c r="H3" s="5" t="inlineStr">
        <is>
          <t>XP</t>
        </is>
      </c>
      <c r="I3" s="5" t="inlineStr">
        <is>
          <t>資金 800</t>
        </is>
      </c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體魄PHY</t>
        </is>
      </c>
      <c r="B5" s="7" t="n">
        <v>7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5</v>
      </c>
    </row>
    <row r="6">
      <c r="A6" s="3" t="inlineStr">
        <is>
          <t>衍生屬性（自動計算）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負重上限kg</t>
        </is>
      </c>
      <c r="E7" s="8">
        <f>C5*5</f>
        <v/>
      </c>
      <c r="F7" s="11" t="n"/>
      <c r="G7" s="5" t="inlineStr">
        <is>
          <t>技能點</t>
        </is>
      </c>
      <c r="H7" s="8">
        <f>(I5+K5)*2</f>
        <v/>
      </c>
      <c r="I7" s="11" t="n"/>
    </row>
    <row r="8">
      <c r="A8" s="3" t="inlineStr">
        <is>
          <t>七部位 HP（自動計算）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頭部</t>
        </is>
      </c>
      <c r="B9" s="8">
        <f>C5+6</f>
        <v/>
      </c>
      <c r="C9" s="11" t="n"/>
      <c r="D9" s="5" t="inlineStr">
        <is>
          <t>當前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頭盔</t>
        </is>
      </c>
      <c r="I9" s="2" t="n"/>
    </row>
    <row r="10">
      <c r="A10" s="5" t="inlineStr">
        <is>
          <t>胸部</t>
        </is>
      </c>
      <c r="B10" s="8">
        <f>C5*2+10</f>
        <v/>
      </c>
      <c r="C10" s="11" t="n"/>
      <c r="D10" s="5" t="inlineStr">
        <is>
          <t>當前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防彈衣+背心</t>
        </is>
      </c>
      <c r="I10" s="2" t="n"/>
    </row>
    <row r="11">
      <c r="A11" s="5" t="inlineStr">
        <is>
          <t>腹部</t>
        </is>
      </c>
      <c r="B11" s="8">
        <f>C5+8</f>
        <v/>
      </c>
      <c r="C11" s="11" t="n"/>
      <c r="D11" s="5" t="inlineStr">
        <is>
          <t>當前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防彈衣+背心</t>
        </is>
      </c>
      <c r="I11" s="2" t="n"/>
    </row>
    <row r="12">
      <c r="A12" s="5" t="inlineStr">
        <is>
          <t>左臂</t>
        </is>
      </c>
      <c r="B12" s="8">
        <f>C5+4</f>
        <v/>
      </c>
      <c r="C12" s="11" t="n"/>
      <c r="D12" s="5" t="inlineStr">
        <is>
          <t>當前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手套</t>
        </is>
      </c>
      <c r="I12" s="2" t="n"/>
    </row>
    <row r="13">
      <c r="A13" s="5" t="inlineStr">
        <is>
          <t>右臂</t>
        </is>
      </c>
      <c r="B13" s="8">
        <f>C5+4</f>
        <v/>
      </c>
      <c r="C13" s="11" t="n"/>
      <c r="D13" s="5" t="inlineStr">
        <is>
          <t>當前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手套</t>
        </is>
      </c>
      <c r="I13" s="2" t="n"/>
    </row>
    <row r="14">
      <c r="A14" s="5" t="inlineStr">
        <is>
          <t>左腿</t>
        </is>
      </c>
      <c r="B14" s="8">
        <f>C5+5</f>
        <v/>
      </c>
      <c r="C14" s="11" t="n"/>
      <c r="D14" s="5" t="inlineStr">
        <is>
          <t>當前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軍靴</t>
        </is>
      </c>
      <c r="I14" s="2" t="n"/>
    </row>
    <row r="15">
      <c r="A15" s="5" t="inlineStr">
        <is>
          <t>右腿</t>
        </is>
      </c>
      <c r="B15" s="8">
        <f>C5+5</f>
        <v/>
      </c>
      <c r="C15" s="11" t="n"/>
      <c r="D15" s="5" t="inlineStr">
        <is>
          <t>當前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軍靴</t>
        </is>
      </c>
      <c r="I15" s="2" t="n"/>
    </row>
    <row r="16">
      <c r="A16" s="3" t="inlineStr">
        <is>
          <t>裝備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裝備: 軍用剩餘手槍(1d8,12發), 9mmx30, 破舊軍靴, 軍籍牌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主要技能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槍械</t>
        </is>
      </c>
      <c r="B26" s="6" t="n">
        <v>3</v>
      </c>
      <c r="C26" s="11" t="n"/>
    </row>
    <row r="27">
      <c r="A27" s="5" t="inlineStr">
        <is>
          <t>近戰</t>
        </is>
      </c>
      <c r="B27" s="6" t="n">
        <v>2</v>
      </c>
      <c r="C27" s="11" t="n"/>
    </row>
    <row r="28">
      <c r="A28" s="5" t="inlineStr">
        <is>
          <t>察覺</t>
        </is>
      </c>
      <c r="B28" s="6" t="n">
        <v>2</v>
      </c>
      <c r="C28" s="11" t="n"/>
    </row>
    <row r="29">
      <c r="A29" s="5" t="inlineStr">
        <is>
          <t>潛行</t>
        </is>
      </c>
      <c r="B29" s="6" t="n">
        <v>1</v>
      </c>
      <c r="C29" s="11" t="n"/>
    </row>
    <row r="30">
      <c r="A30" s="5" t="inlineStr">
        <is>
          <t>意志</t>
        </is>
      </c>
      <c r="B30" s="6" t="n">
        <v>2</v>
      </c>
      <c r="C30" s="11" t="n"/>
    </row>
    <row r="31">
      <c r="A31" s="5" t="inlineStr">
        <is>
          <t>領導</t>
        </is>
      </c>
      <c r="B31" s="6" t="n">
        <v>1</v>
      </c>
      <c r="C31" s="11" t="n"/>
    </row>
    <row r="32">
      <c r="A32" s="5" t="inlineStr">
        <is>
          <t>急救</t>
        </is>
      </c>
      <c r="B32" s="6" t="n">
        <v>1</v>
      </c>
      <c r="C32" s="11" t="n"/>
    </row>
    <row r="33">
      <c r="A33" s="3" t="inlineStr">
        <is>
          <t>專長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快手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範例角色卡 - 拾荒者-老陳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角色姓名</t>
        </is>
      </c>
      <c r="B3" s="6" t="inlineStr">
        <is>
          <t>拾荒者-老陳</t>
        </is>
      </c>
      <c r="C3" s="11" t="n"/>
      <c r="D3" s="5" t="inlineStr">
        <is>
          <t>出身</t>
        </is>
      </c>
      <c r="E3" s="6" t="inlineStr">
        <is>
          <t>拾荒者</t>
        </is>
      </c>
      <c r="F3" s="11" t="n"/>
      <c r="G3" s="5" t="inlineStr">
        <is>
          <t>等級</t>
        </is>
      </c>
      <c r="H3" s="5" t="inlineStr">
        <is>
          <t>XP</t>
        </is>
      </c>
      <c r="I3" s="5" t="inlineStr">
        <is>
          <t>資金 600</t>
        </is>
      </c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體魄PHY</t>
        </is>
      </c>
      <c r="B5" s="7" t="n">
        <v>4</v>
      </c>
      <c r="C5" s="5" t="inlineStr">
        <is>
          <t>精準PRC</t>
        </is>
      </c>
      <c r="D5" s="7" t="n">
        <v>5</v>
      </c>
      <c r="E5" s="5" t="inlineStr">
        <is>
          <t>感知PER</t>
        </is>
      </c>
      <c r="F5" s="7" t="n">
        <v>7</v>
      </c>
      <c r="G5" s="5" t="inlineStr">
        <is>
          <t>技術TEC</t>
        </is>
      </c>
      <c r="H5" s="7" t="n">
        <v>6</v>
      </c>
      <c r="I5" s="5" t="inlineStr">
        <is>
          <t>膽魄CRG</t>
        </is>
      </c>
      <c r="J5" s="7" t="n">
        <v>4</v>
      </c>
    </row>
    <row r="6">
      <c r="A6" s="3" t="inlineStr">
        <is>
          <t>衍生屬性（自動計算）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負重上限kg</t>
        </is>
      </c>
      <c r="E7" s="8">
        <f>C5*5</f>
        <v/>
      </c>
      <c r="F7" s="11" t="n"/>
      <c r="G7" s="5" t="inlineStr">
        <is>
          <t>技能點</t>
        </is>
      </c>
      <c r="H7" s="8">
        <f>(I5+K5)*2</f>
        <v/>
      </c>
      <c r="I7" s="11" t="n"/>
    </row>
    <row r="8">
      <c r="A8" s="3" t="inlineStr">
        <is>
          <t>七部位 HP（自動計算）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頭部</t>
        </is>
      </c>
      <c r="B9" s="8">
        <f>C5+6</f>
        <v/>
      </c>
      <c r="C9" s="11" t="n"/>
      <c r="D9" s="5" t="inlineStr">
        <is>
          <t>當前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頭盔</t>
        </is>
      </c>
      <c r="I9" s="2" t="n"/>
    </row>
    <row r="10">
      <c r="A10" s="5" t="inlineStr">
        <is>
          <t>胸部</t>
        </is>
      </c>
      <c r="B10" s="8">
        <f>C5*2+10</f>
        <v/>
      </c>
      <c r="C10" s="11" t="n"/>
      <c r="D10" s="5" t="inlineStr">
        <is>
          <t>當前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防彈衣+背心</t>
        </is>
      </c>
      <c r="I10" s="2" t="n"/>
    </row>
    <row r="11">
      <c r="A11" s="5" t="inlineStr">
        <is>
          <t>腹部</t>
        </is>
      </c>
      <c r="B11" s="8">
        <f>C5+8</f>
        <v/>
      </c>
      <c r="C11" s="11" t="n"/>
      <c r="D11" s="5" t="inlineStr">
        <is>
          <t>當前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防彈衣+背心</t>
        </is>
      </c>
      <c r="I11" s="2" t="n"/>
    </row>
    <row r="12">
      <c r="A12" s="5" t="inlineStr">
        <is>
          <t>左臂</t>
        </is>
      </c>
      <c r="B12" s="8">
        <f>C5+4</f>
        <v/>
      </c>
      <c r="C12" s="11" t="n"/>
      <c r="D12" s="5" t="inlineStr">
        <is>
          <t>當前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手套</t>
        </is>
      </c>
      <c r="I12" s="2" t="n"/>
    </row>
    <row r="13">
      <c r="A13" s="5" t="inlineStr">
        <is>
          <t>右臂</t>
        </is>
      </c>
      <c r="B13" s="8">
        <f>C5+4</f>
        <v/>
      </c>
      <c r="C13" s="11" t="n"/>
      <c r="D13" s="5" t="inlineStr">
        <is>
          <t>當前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手套</t>
        </is>
      </c>
      <c r="I13" s="2" t="n"/>
    </row>
    <row r="14">
      <c r="A14" s="5" t="inlineStr">
        <is>
          <t>左腿</t>
        </is>
      </c>
      <c r="B14" s="8">
        <f>C5+5</f>
        <v/>
      </c>
      <c r="C14" s="11" t="n"/>
      <c r="D14" s="5" t="inlineStr">
        <is>
          <t>當前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軍靴</t>
        </is>
      </c>
      <c r="I14" s="2" t="n"/>
    </row>
    <row r="15">
      <c r="A15" s="5" t="inlineStr">
        <is>
          <t>右腿</t>
        </is>
      </c>
      <c r="B15" s="8">
        <f>C5+5</f>
        <v/>
      </c>
      <c r="C15" s="11" t="n"/>
      <c r="D15" s="5" t="inlineStr">
        <is>
          <t>當前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軍靴</t>
        </is>
      </c>
      <c r="I15" s="2" t="n"/>
    </row>
    <row r="16">
      <c r="A16" s="3" t="inlineStr">
        <is>
          <t>裝備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裝備: 老舊霰彈槍(2d6,3發), 12號x9, 簡易探測器, 破背包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主要技能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槍械</t>
        </is>
      </c>
      <c r="B26" s="6" t="n">
        <v>2</v>
      </c>
      <c r="C26" s="11" t="n"/>
    </row>
    <row r="27">
      <c r="A27" s="5" t="inlineStr">
        <is>
          <t>察覺</t>
        </is>
      </c>
      <c r="B27" s="6" t="n">
        <v>3</v>
      </c>
      <c r="C27" s="11" t="n"/>
    </row>
    <row r="28">
      <c r="A28" s="5" t="inlineStr">
        <is>
          <t>潛行</t>
        </is>
      </c>
      <c r="B28" s="6" t="n">
        <v>2</v>
      </c>
      <c r="C28" s="11" t="n"/>
    </row>
    <row r="29">
      <c r="A29" s="5" t="inlineStr">
        <is>
          <t>生存</t>
        </is>
      </c>
      <c r="B29" s="6" t="n">
        <v>2</v>
      </c>
      <c r="C29" s="11" t="n"/>
    </row>
    <row r="30">
      <c r="A30" s="5" t="inlineStr">
        <is>
          <t>急救</t>
        </is>
      </c>
      <c r="B30" s="6" t="n">
        <v>1</v>
      </c>
      <c r="C30" s="11" t="n"/>
    </row>
    <row r="31">
      <c r="A31" s="5" t="inlineStr">
        <is>
          <t>機械</t>
        </is>
      </c>
      <c r="B31" s="6" t="n">
        <v>2</v>
      </c>
      <c r="C31" s="11" t="n"/>
    </row>
    <row r="32">
      <c r="A32" s="5" t="inlineStr">
        <is>
          <t>街頭智慧</t>
        </is>
      </c>
      <c r="B32" s="6" t="n">
        <v>1</v>
      </c>
      <c r="C32" s="11" t="n"/>
    </row>
    <row r="33">
      <c r="A33" s="3" t="inlineStr">
        <is>
          <t>專長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妙手空空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範例角色卡 - 前公司雇員-小周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角色姓名</t>
        </is>
      </c>
      <c r="B3" s="6" t="inlineStr">
        <is>
          <t>前公司雇員-小周</t>
        </is>
      </c>
      <c r="C3" s="11" t="n"/>
      <c r="D3" s="5" t="inlineStr">
        <is>
          <t>出身</t>
        </is>
      </c>
      <c r="E3" s="6" t="inlineStr">
        <is>
          <t>前公司雇員</t>
        </is>
      </c>
      <c r="F3" s="11" t="n"/>
      <c r="G3" s="5" t="inlineStr">
        <is>
          <t>等級</t>
        </is>
      </c>
      <c r="H3" s="5" t="inlineStr">
        <is>
          <t>XP</t>
        </is>
      </c>
      <c r="I3" s="5" t="inlineStr">
        <is>
          <t>資金 1200</t>
        </is>
      </c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體魄PHY</t>
        </is>
      </c>
      <c r="B5" s="7" t="n">
        <v>4</v>
      </c>
      <c r="C5" s="5" t="inlineStr">
        <is>
          <t>精準PRC</t>
        </is>
      </c>
      <c r="D5" s="7" t="n">
        <v>6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7</v>
      </c>
      <c r="I5" s="5" t="inlineStr">
        <is>
          <t>膽魄CRG</t>
        </is>
      </c>
      <c r="J5" s="7" t="n">
        <v>5</v>
      </c>
    </row>
    <row r="6">
      <c r="A6" s="3" t="inlineStr">
        <is>
          <t>衍生屬性（自動計算）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負重上限kg</t>
        </is>
      </c>
      <c r="E7" s="8">
        <f>C5*5</f>
        <v/>
      </c>
      <c r="F7" s="11" t="n"/>
      <c r="G7" s="5" t="inlineStr">
        <is>
          <t>技能點</t>
        </is>
      </c>
      <c r="H7" s="8">
        <f>(I5+K5)*2</f>
        <v/>
      </c>
      <c r="I7" s="11" t="n"/>
    </row>
    <row r="8">
      <c r="A8" s="3" t="inlineStr">
        <is>
          <t>七部位 HP（自動計算）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頭部</t>
        </is>
      </c>
      <c r="B9" s="8">
        <f>C5+6</f>
        <v/>
      </c>
      <c r="C9" s="11" t="n"/>
      <c r="D9" s="5" t="inlineStr">
        <is>
          <t>當前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頭盔</t>
        </is>
      </c>
      <c r="I9" s="2" t="n"/>
    </row>
    <row r="10">
      <c r="A10" s="5" t="inlineStr">
        <is>
          <t>胸部</t>
        </is>
      </c>
      <c r="B10" s="8">
        <f>C5*2+10</f>
        <v/>
      </c>
      <c r="C10" s="11" t="n"/>
      <c r="D10" s="5" t="inlineStr">
        <is>
          <t>當前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防彈衣+背心</t>
        </is>
      </c>
      <c r="I10" s="2" t="n"/>
    </row>
    <row r="11">
      <c r="A11" s="5" t="inlineStr">
        <is>
          <t>腹部</t>
        </is>
      </c>
      <c r="B11" s="8">
        <f>C5+8</f>
        <v/>
      </c>
      <c r="C11" s="11" t="n"/>
      <c r="D11" s="5" t="inlineStr">
        <is>
          <t>當前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防彈衣+背心</t>
        </is>
      </c>
      <c r="I11" s="2" t="n"/>
    </row>
    <row r="12">
      <c r="A12" s="5" t="inlineStr">
        <is>
          <t>左臂</t>
        </is>
      </c>
      <c r="B12" s="8">
        <f>C5+4</f>
        <v/>
      </c>
      <c r="C12" s="11" t="n"/>
      <c r="D12" s="5" t="inlineStr">
        <is>
          <t>當前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手套</t>
        </is>
      </c>
      <c r="I12" s="2" t="n"/>
    </row>
    <row r="13">
      <c r="A13" s="5" t="inlineStr">
        <is>
          <t>右臂</t>
        </is>
      </c>
      <c r="B13" s="8">
        <f>C5+4</f>
        <v/>
      </c>
      <c r="C13" s="11" t="n"/>
      <c r="D13" s="5" t="inlineStr">
        <is>
          <t>當前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手套</t>
        </is>
      </c>
      <c r="I13" s="2" t="n"/>
    </row>
    <row r="14">
      <c r="A14" s="5" t="inlineStr">
        <is>
          <t>左腿</t>
        </is>
      </c>
      <c r="B14" s="8">
        <f>C5+5</f>
        <v/>
      </c>
      <c r="C14" s="11" t="n"/>
      <c r="D14" s="5" t="inlineStr">
        <is>
          <t>當前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軍靴</t>
        </is>
      </c>
      <c r="I14" s="2" t="n"/>
    </row>
    <row r="15">
      <c r="A15" s="5" t="inlineStr">
        <is>
          <t>右腿</t>
        </is>
      </c>
      <c r="B15" s="8">
        <f>C5+5</f>
        <v/>
      </c>
      <c r="C15" s="11" t="n"/>
      <c r="D15" s="5" t="inlineStr">
        <is>
          <t>當前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軍靴</t>
        </is>
      </c>
      <c r="I15" s="2" t="n"/>
    </row>
    <row r="16">
      <c r="A16" s="3" t="inlineStr">
        <is>
          <t>裝備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裝備: 緊湊型手槍(1d6,7發,隱蔽), 9mmx24, 電子解碼器, 公司ID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主要技能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槍械</t>
        </is>
      </c>
      <c r="B26" s="6" t="n">
        <v>2</v>
      </c>
      <c r="C26" s="11" t="n"/>
    </row>
    <row r="27">
      <c r="A27" s="5" t="inlineStr">
        <is>
          <t>電子</t>
        </is>
      </c>
      <c r="B27" s="6" t="n">
        <v>3</v>
      </c>
      <c r="C27" s="11" t="n"/>
    </row>
    <row r="28">
      <c r="A28" s="5" t="inlineStr">
        <is>
          <t>開鎖</t>
        </is>
      </c>
      <c r="B28" s="6" t="n">
        <v>2</v>
      </c>
      <c r="C28" s="11" t="n"/>
    </row>
    <row r="29">
      <c r="A29" s="5" t="inlineStr">
        <is>
          <t>急救</t>
        </is>
      </c>
      <c r="B29" s="6" t="n">
        <v>1</v>
      </c>
      <c r="C29" s="11" t="n"/>
    </row>
    <row r="30">
      <c r="A30" s="5" t="inlineStr">
        <is>
          <t>機械</t>
        </is>
      </c>
      <c r="B30" s="6" t="n">
        <v>2</v>
      </c>
      <c r="C30" s="11" t="n"/>
    </row>
    <row r="31">
      <c r="A31" s="5" t="inlineStr">
        <is>
          <t>察覺</t>
        </is>
      </c>
      <c r="B31" s="6" t="n">
        <v>2</v>
      </c>
      <c r="C31" s="11" t="n"/>
    </row>
    <row r="32">
      <c r="A32" s="5" t="inlineStr">
        <is>
          <t>說服</t>
        </is>
      </c>
      <c r="B32" s="6" t="n">
        <v>1</v>
      </c>
      <c r="C32" s="11" t="n"/>
    </row>
    <row r="33">
      <c r="A33" s="3" t="inlineStr">
        <is>
          <t>專長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冷靜射擊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範例角色卡 - 醫療人員-小葉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角色姓名</t>
        </is>
      </c>
      <c r="B3" s="6" t="inlineStr">
        <is>
          <t>醫療人員-小葉</t>
        </is>
      </c>
      <c r="C3" s="11" t="n"/>
      <c r="D3" s="5" t="inlineStr">
        <is>
          <t>出身</t>
        </is>
      </c>
      <c r="E3" s="6" t="inlineStr">
        <is>
          <t>醫療人員</t>
        </is>
      </c>
      <c r="F3" s="11" t="n"/>
      <c r="G3" s="5" t="inlineStr">
        <is>
          <t>等級</t>
        </is>
      </c>
      <c r="H3" s="5" t="inlineStr">
        <is>
          <t>XP</t>
        </is>
      </c>
      <c r="I3" s="5" t="inlineStr">
        <is>
          <t>資金 700</t>
        </is>
      </c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4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7</v>
      </c>
      <c r="I5" s="5" t="inlineStr">
        <is>
          <t>膽魄CRG</t>
        </is>
      </c>
      <c r="J5" s="7" t="n">
        <v>6</v>
      </c>
    </row>
    <row r="6">
      <c r="A6" s="3" t="inlineStr">
        <is>
          <t>衍生屬性（自動計算）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負重上限kg</t>
        </is>
      </c>
      <c r="E7" s="8">
        <f>C5*5</f>
        <v/>
      </c>
      <c r="F7" s="11" t="n"/>
      <c r="G7" s="5" t="inlineStr">
        <is>
          <t>技能點</t>
        </is>
      </c>
      <c r="H7" s="8">
        <f>(I5+K5)*2</f>
        <v/>
      </c>
      <c r="I7" s="11" t="n"/>
    </row>
    <row r="8">
      <c r="A8" s="3" t="inlineStr">
        <is>
          <t>七部位 HP（自動計算）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頭部</t>
        </is>
      </c>
      <c r="B9" s="8">
        <f>C5+6</f>
        <v/>
      </c>
      <c r="C9" s="11" t="n"/>
      <c r="D9" s="5" t="inlineStr">
        <is>
          <t>當前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頭盔</t>
        </is>
      </c>
      <c r="I9" s="2" t="n"/>
    </row>
    <row r="10">
      <c r="A10" s="5" t="inlineStr">
        <is>
          <t>胸部</t>
        </is>
      </c>
      <c r="B10" s="8">
        <f>C5*2+10</f>
        <v/>
      </c>
      <c r="C10" s="11" t="n"/>
      <c r="D10" s="5" t="inlineStr">
        <is>
          <t>當前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防彈衣+背心</t>
        </is>
      </c>
      <c r="I10" s="2" t="n"/>
    </row>
    <row r="11">
      <c r="A11" s="5" t="inlineStr">
        <is>
          <t>腹部</t>
        </is>
      </c>
      <c r="B11" s="8">
        <f>C5+8</f>
        <v/>
      </c>
      <c r="C11" s="11" t="n"/>
      <c r="D11" s="5" t="inlineStr">
        <is>
          <t>當前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防彈衣+背心</t>
        </is>
      </c>
      <c r="I11" s="2" t="n"/>
    </row>
    <row r="12">
      <c r="A12" s="5" t="inlineStr">
        <is>
          <t>左臂</t>
        </is>
      </c>
      <c r="B12" s="8">
        <f>C5+4</f>
        <v/>
      </c>
      <c r="C12" s="11" t="n"/>
      <c r="D12" s="5" t="inlineStr">
        <is>
          <t>當前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手套</t>
        </is>
      </c>
      <c r="I12" s="2" t="n"/>
    </row>
    <row r="13">
      <c r="A13" s="5" t="inlineStr">
        <is>
          <t>右臂</t>
        </is>
      </c>
      <c r="B13" s="8">
        <f>C5+4</f>
        <v/>
      </c>
      <c r="C13" s="11" t="n"/>
      <c r="D13" s="5" t="inlineStr">
        <is>
          <t>當前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手套</t>
        </is>
      </c>
      <c r="I13" s="2" t="n"/>
    </row>
    <row r="14">
      <c r="A14" s="5" t="inlineStr">
        <is>
          <t>左腿</t>
        </is>
      </c>
      <c r="B14" s="8">
        <f>C5+5</f>
        <v/>
      </c>
      <c r="C14" s="11" t="n"/>
      <c r="D14" s="5" t="inlineStr">
        <is>
          <t>當前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軍靴</t>
        </is>
      </c>
      <c r="I14" s="2" t="n"/>
    </row>
    <row r="15">
      <c r="A15" s="5" t="inlineStr">
        <is>
          <t>右腿</t>
        </is>
      </c>
      <c r="B15" s="8">
        <f>C5+5</f>
        <v/>
      </c>
      <c r="C15" s="11" t="n"/>
      <c r="D15" s="5" t="inlineStr">
        <is>
          <t>當前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軍靴</t>
        </is>
      </c>
      <c r="I15" s="2" t="n"/>
    </row>
    <row r="16">
      <c r="A16" s="3" t="inlineStr">
        <is>
          <t>裝備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裝備: 小手槍(1d6,7發), 9mmx12, 急救包x3, 止血帶x2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主要技能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急救</t>
        </is>
      </c>
      <c r="B26" s="6" t="n">
        <v>4</v>
      </c>
      <c r="C26" s="11" t="n"/>
    </row>
    <row r="27">
      <c r="A27" s="5" t="inlineStr">
        <is>
          <t>槍械</t>
        </is>
      </c>
      <c r="B27" s="6" t="n">
        <v>1</v>
      </c>
      <c r="C27" s="11" t="n"/>
    </row>
    <row r="28">
      <c r="A28" s="5" t="inlineStr">
        <is>
          <t>察覺</t>
        </is>
      </c>
      <c r="B28" s="6" t="n">
        <v>2</v>
      </c>
      <c r="C28" s="11" t="n"/>
    </row>
    <row r="29">
      <c r="A29" s="5" t="inlineStr">
        <is>
          <t>生存</t>
        </is>
      </c>
      <c r="B29" s="6" t="n">
        <v>2</v>
      </c>
      <c r="C29" s="11" t="n"/>
    </row>
    <row r="30">
      <c r="A30" s="5" t="inlineStr">
        <is>
          <t>意志</t>
        </is>
      </c>
      <c r="B30" s="6" t="n">
        <v>2</v>
      </c>
      <c r="C30" s="11" t="n"/>
    </row>
    <row r="31">
      <c r="A31" s="5" t="inlineStr">
        <is>
          <t>說服</t>
        </is>
      </c>
      <c r="B31" s="6" t="n">
        <v>1</v>
      </c>
      <c r="C31" s="11" t="n"/>
    </row>
    <row r="32">
      <c r="A32" s="5" t="inlineStr">
        <is>
          <t>近戰</t>
        </is>
      </c>
      <c r="B32" s="6" t="n">
        <v>1</v>
      </c>
      <c r="C32" s="11" t="n"/>
    </row>
    <row r="33">
      <c r="A33" s="3" t="inlineStr">
        <is>
          <t>專長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A34" s="6" t="inlineStr">
        <is>
          <t>急救專精</t>
        </is>
      </c>
      <c r="B34" s="10" t="n"/>
      <c r="C34" s="10" t="n"/>
      <c r="D34" s="10" t="n"/>
      <c r="E34" s="10" t="n"/>
      <c r="F34" s="10" t="n"/>
      <c r="G34" s="10" t="n"/>
      <c r="H34" s="10" t="n"/>
      <c r="I34" s="11" t="n"/>
    </row>
    <row r="35">
      <c r="C35" s="2" t="n"/>
    </row>
    <row r="36">
      <c r="D36" s="2" t="n"/>
    </row>
    <row r="37">
      <c r="E37" s="2" t="n"/>
    </row>
    <row r="38">
      <c r="F38" s="2" t="n"/>
    </row>
    <row r="39">
      <c r="G39" s="2" t="n"/>
    </row>
    <row r="40">
      <c r="H40" s="2" t="n"/>
    </row>
    <row r="41">
      <c r="I41" s="2" t="n"/>
    </row>
  </sheetData>
  <mergeCells count="69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A34:I34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B32:C32"/>
    <mergeCell ref="E11"/>
    <mergeCell ref="A6:I6"/>
    <mergeCell ref="B26:C26"/>
    <mergeCell ref="E3:F3"/>
    <mergeCell ref="A14"/>
    <mergeCell ref="A5"/>
    <mergeCell ref="G5"/>
    <mergeCell ref="A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範例角色卡 - 變異體適應者-大熊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角色姓名</t>
        </is>
      </c>
      <c r="B3" s="6" t="inlineStr">
        <is>
          <t>變異體適應者-大熊</t>
        </is>
      </c>
      <c r="C3" s="11" t="n"/>
      <c r="D3" s="5" t="inlineStr">
        <is>
          <t>出身</t>
        </is>
      </c>
      <c r="E3" s="6" t="inlineStr">
        <is>
          <t>變異體適應者</t>
        </is>
      </c>
      <c r="F3" s="11" t="n"/>
      <c r="G3" s="5" t="inlineStr">
        <is>
          <t>等級</t>
        </is>
      </c>
      <c r="H3" s="5" t="inlineStr">
        <is>
          <t>XP</t>
        </is>
      </c>
      <c r="I3" s="5" t="inlineStr">
        <is>
          <t>資金 300</t>
        </is>
      </c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體魄PHY</t>
        </is>
      </c>
      <c r="B5" s="7" t="n">
        <v>7</v>
      </c>
      <c r="C5" s="5" t="inlineStr">
        <is>
          <t>精準PRC</t>
        </is>
      </c>
      <c r="D5" s="7" t="n">
        <v>5</v>
      </c>
      <c r="E5" s="5" t="inlineStr">
        <is>
          <t>感知PER</t>
        </is>
      </c>
      <c r="F5" s="7" t="n">
        <v>5</v>
      </c>
      <c r="G5" s="5" t="inlineStr">
        <is>
          <t>技術TEC</t>
        </is>
      </c>
      <c r="H5" s="7" t="n">
        <v>3</v>
      </c>
      <c r="I5" s="5" t="inlineStr">
        <is>
          <t>膽魄CRG</t>
        </is>
      </c>
      <c r="J5" s="7" t="n">
        <v>7</v>
      </c>
    </row>
    <row r="6">
      <c r="A6" s="3" t="inlineStr">
        <is>
          <t>衍生屬性（自動計算）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負重上限kg</t>
        </is>
      </c>
      <c r="E7" s="8">
        <f>C5*5</f>
        <v/>
      </c>
      <c r="F7" s="11" t="n"/>
      <c r="G7" s="5" t="inlineStr">
        <is>
          <t>技能點</t>
        </is>
      </c>
      <c r="H7" s="8">
        <f>(I5+K5)*2</f>
        <v/>
      </c>
      <c r="I7" s="11" t="n"/>
    </row>
    <row r="8">
      <c r="A8" s="3" t="inlineStr">
        <is>
          <t>七部位 HP（自動計算）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頭部</t>
        </is>
      </c>
      <c r="B9" s="8">
        <f>C5+6</f>
        <v/>
      </c>
      <c r="C9" s="11" t="n"/>
      <c r="D9" s="5" t="inlineStr">
        <is>
          <t>當前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頭盔</t>
        </is>
      </c>
      <c r="I9" s="2" t="n"/>
    </row>
    <row r="10">
      <c r="A10" s="5" t="inlineStr">
        <is>
          <t>胸部</t>
        </is>
      </c>
      <c r="B10" s="8">
        <f>C5*2+10</f>
        <v/>
      </c>
      <c r="C10" s="11" t="n"/>
      <c r="D10" s="5" t="inlineStr">
        <is>
          <t>當前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防彈衣+背心</t>
        </is>
      </c>
      <c r="I10" s="2" t="n"/>
    </row>
    <row r="11">
      <c r="A11" s="5" t="inlineStr">
        <is>
          <t>腹部</t>
        </is>
      </c>
      <c r="B11" s="8">
        <f>C5+8</f>
        <v/>
      </c>
      <c r="C11" s="11" t="n"/>
      <c r="D11" s="5" t="inlineStr">
        <is>
          <t>當前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防彈衣+背心</t>
        </is>
      </c>
      <c r="I11" s="2" t="n"/>
    </row>
    <row r="12">
      <c r="A12" s="5" t="inlineStr">
        <is>
          <t>左臂</t>
        </is>
      </c>
      <c r="B12" s="8">
        <f>C5+4</f>
        <v/>
      </c>
      <c r="C12" s="11" t="n"/>
      <c r="D12" s="5" t="inlineStr">
        <is>
          <t>當前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手套</t>
        </is>
      </c>
      <c r="I12" s="2" t="n"/>
    </row>
    <row r="13">
      <c r="A13" s="5" t="inlineStr">
        <is>
          <t>右臂</t>
        </is>
      </c>
      <c r="B13" s="8">
        <f>C5+4</f>
        <v/>
      </c>
      <c r="C13" s="11" t="n"/>
      <c r="D13" s="5" t="inlineStr">
        <is>
          <t>當前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手套</t>
        </is>
      </c>
      <c r="I13" s="2" t="n"/>
    </row>
    <row r="14">
      <c r="A14" s="5" t="inlineStr">
        <is>
          <t>左腿</t>
        </is>
      </c>
      <c r="B14" s="8">
        <f>C5+5</f>
        <v/>
      </c>
      <c r="C14" s="11" t="n"/>
      <c r="D14" s="5" t="inlineStr">
        <is>
          <t>當前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軍靴</t>
        </is>
      </c>
      <c r="I14" s="2" t="n"/>
    </row>
    <row r="15">
      <c r="A15" s="5" t="inlineStr">
        <is>
          <t>右腿</t>
        </is>
      </c>
      <c r="B15" s="8">
        <f>C5+5</f>
        <v/>
      </c>
      <c r="C15" s="11" t="n"/>
      <c r="D15" s="5" t="inlineStr">
        <is>
          <t>當前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軍靴</t>
        </is>
      </c>
      <c r="I15" s="2" t="n"/>
    </row>
    <row r="16">
      <c r="A16" s="3" t="inlineStr">
        <is>
          <t>裝備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裝備: 撬棍(1d6+體魄), 厚重外套(DR1), 應急藥品x1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主要技能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近戰</t>
        </is>
      </c>
      <c r="B26" s="6" t="n">
        <v>3</v>
      </c>
      <c r="C26" s="11" t="n"/>
    </row>
    <row r="27">
      <c r="A27" s="5" t="inlineStr">
        <is>
          <t>槍械</t>
        </is>
      </c>
      <c r="B27" s="6" t="n">
        <v>2</v>
      </c>
      <c r="C27" s="11" t="n"/>
    </row>
    <row r="28">
      <c r="A28" s="5" t="inlineStr">
        <is>
          <t>察覺</t>
        </is>
      </c>
      <c r="B28" s="6" t="n">
        <v>2</v>
      </c>
      <c r="C28" s="11" t="n"/>
    </row>
    <row r="29">
      <c r="A29" s="5" t="inlineStr">
        <is>
          <t>生存</t>
        </is>
      </c>
      <c r="B29" s="6" t="n">
        <v>2</v>
      </c>
      <c r="C29" s="11" t="n"/>
    </row>
    <row r="30">
      <c r="A30" s="5" t="inlineStr">
        <is>
          <t>意志</t>
        </is>
      </c>
      <c r="B30" s="6" t="n">
        <v>3</v>
      </c>
      <c r="C30" s="11" t="n"/>
    </row>
    <row r="31">
      <c r="A31" s="5" t="inlineStr">
        <is>
          <t>威嚇</t>
        </is>
      </c>
      <c r="B31" s="6" t="n">
        <v>2</v>
      </c>
      <c r="C31" s="11" t="n"/>
    </row>
    <row r="32">
      <c r="A32" s="3" t="inlineStr">
        <is>
          <t>專長</t>
        </is>
      </c>
      <c r="B32" s="10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6" t="inlineStr">
        <is>
          <t>硬漢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</sheetData>
  <mergeCells count="67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32:I32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E11"/>
    <mergeCell ref="A6:I6"/>
    <mergeCell ref="B26:C26"/>
    <mergeCell ref="E3:F3"/>
    <mergeCell ref="A14"/>
    <mergeCell ref="A5"/>
    <mergeCell ref="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範例角色卡 - 邊境居民-老馬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基本資訊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角色姓名</t>
        </is>
      </c>
      <c r="B3" s="6" t="inlineStr">
        <is>
          <t>邊境居民-老馬</t>
        </is>
      </c>
      <c r="C3" s="11" t="n"/>
      <c r="D3" s="5" t="inlineStr">
        <is>
          <t>出身</t>
        </is>
      </c>
      <c r="E3" s="6" t="inlineStr">
        <is>
          <t>邊境居民</t>
        </is>
      </c>
      <c r="F3" s="11" t="n"/>
      <c r="G3" s="5" t="inlineStr">
        <is>
          <t>等級</t>
        </is>
      </c>
      <c r="H3" s="5" t="inlineStr">
        <is>
          <t>XP</t>
        </is>
      </c>
      <c r="I3" s="5" t="inlineStr">
        <is>
          <t>資金 500</t>
        </is>
      </c>
    </row>
    <row r="4">
      <c r="A4" s="3" t="inlineStr">
        <is>
          <t>五大屬性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體魄PHY</t>
        </is>
      </c>
      <c r="B5" s="7" t="n">
        <v>5</v>
      </c>
      <c r="C5" s="5" t="inlineStr">
        <is>
          <t>精準PRC</t>
        </is>
      </c>
      <c r="D5" s="7" t="n">
        <v>5</v>
      </c>
      <c r="E5" s="5" t="inlineStr">
        <is>
          <t>感知PER</t>
        </is>
      </c>
      <c r="F5" s="7" t="n">
        <v>7</v>
      </c>
      <c r="G5" s="5" t="inlineStr">
        <is>
          <t>技術TEC</t>
        </is>
      </c>
      <c r="H5" s="7" t="n">
        <v>4</v>
      </c>
      <c r="I5" s="5" t="inlineStr">
        <is>
          <t>膽魄CRG</t>
        </is>
      </c>
      <c r="J5" s="7" t="n">
        <v>6</v>
      </c>
    </row>
    <row r="6">
      <c r="A6" s="3" t="inlineStr">
        <is>
          <t>衍生屬性（自動計算）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5" t="inlineStr">
        <is>
          <t>先攻值</t>
        </is>
      </c>
      <c r="B7" s="8">
        <f>G5+E5</f>
        <v/>
      </c>
      <c r="C7" s="11" t="n"/>
      <c r="D7" s="5" t="inlineStr">
        <is>
          <t>負重上限kg</t>
        </is>
      </c>
      <c r="E7" s="8">
        <f>C5*5</f>
        <v/>
      </c>
      <c r="F7" s="11" t="n"/>
      <c r="G7" s="5" t="inlineStr">
        <is>
          <t>技能點</t>
        </is>
      </c>
      <c r="H7" s="8">
        <f>(I5+K5)*2</f>
        <v/>
      </c>
      <c r="I7" s="11" t="n"/>
    </row>
    <row r="8">
      <c r="A8" s="3" t="inlineStr">
        <is>
          <t>七部位 HP（自動計算）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頭部</t>
        </is>
      </c>
      <c r="B9" s="8">
        <f>C5+6</f>
        <v/>
      </c>
      <c r="C9" s="11" t="n"/>
      <c r="D9" s="5" t="inlineStr">
        <is>
          <t>當前</t>
        </is>
      </c>
      <c r="E9" s="6" t="inlineStr"/>
      <c r="F9" s="5" t="inlineStr">
        <is>
          <t>DR</t>
        </is>
      </c>
      <c r="G9" s="12" t="inlineStr">
        <is>
          <t>DR</t>
        </is>
      </c>
      <c r="H9" s="13" t="inlineStr">
        <is>
          <t>頭盔</t>
        </is>
      </c>
      <c r="I9" s="2" t="n"/>
    </row>
    <row r="10">
      <c r="A10" s="5" t="inlineStr">
        <is>
          <t>胸部</t>
        </is>
      </c>
      <c r="B10" s="8">
        <f>C5*2+10</f>
        <v/>
      </c>
      <c r="C10" s="11" t="n"/>
      <c r="D10" s="5" t="inlineStr">
        <is>
          <t>當前</t>
        </is>
      </c>
      <c r="E10" s="6" t="inlineStr"/>
      <c r="F10" s="5" t="inlineStr">
        <is>
          <t>DR</t>
        </is>
      </c>
      <c r="G10" s="12" t="inlineStr">
        <is>
          <t>DR</t>
        </is>
      </c>
      <c r="H10" s="13" t="inlineStr">
        <is>
          <t>防彈衣+背心</t>
        </is>
      </c>
      <c r="I10" s="2" t="n"/>
    </row>
    <row r="11">
      <c r="A11" s="5" t="inlineStr">
        <is>
          <t>腹部</t>
        </is>
      </c>
      <c r="B11" s="8">
        <f>C5+8</f>
        <v/>
      </c>
      <c r="C11" s="11" t="n"/>
      <c r="D11" s="5" t="inlineStr">
        <is>
          <t>當前</t>
        </is>
      </c>
      <c r="E11" s="6" t="inlineStr"/>
      <c r="F11" s="5" t="inlineStr">
        <is>
          <t>DR</t>
        </is>
      </c>
      <c r="G11" s="12" t="inlineStr">
        <is>
          <t>DR</t>
        </is>
      </c>
      <c r="H11" s="13" t="inlineStr">
        <is>
          <t>防彈衣+背心</t>
        </is>
      </c>
      <c r="I11" s="2" t="n"/>
    </row>
    <row r="12">
      <c r="A12" s="5" t="inlineStr">
        <is>
          <t>左臂</t>
        </is>
      </c>
      <c r="B12" s="8">
        <f>C5+4</f>
        <v/>
      </c>
      <c r="C12" s="11" t="n"/>
      <c r="D12" s="5" t="inlineStr">
        <is>
          <t>當前</t>
        </is>
      </c>
      <c r="E12" s="6" t="inlineStr"/>
      <c r="F12" s="5" t="inlineStr">
        <is>
          <t>DR</t>
        </is>
      </c>
      <c r="G12" s="12" t="inlineStr">
        <is>
          <t>DR</t>
        </is>
      </c>
      <c r="H12" s="13" t="inlineStr">
        <is>
          <t>手套</t>
        </is>
      </c>
      <c r="I12" s="2" t="n"/>
    </row>
    <row r="13">
      <c r="A13" s="5" t="inlineStr">
        <is>
          <t>右臂</t>
        </is>
      </c>
      <c r="B13" s="8">
        <f>C5+4</f>
        <v/>
      </c>
      <c r="C13" s="11" t="n"/>
      <c r="D13" s="5" t="inlineStr">
        <is>
          <t>當前</t>
        </is>
      </c>
      <c r="E13" s="6" t="inlineStr"/>
      <c r="F13" s="5" t="inlineStr">
        <is>
          <t>DR</t>
        </is>
      </c>
      <c r="G13" s="12" t="inlineStr">
        <is>
          <t>DR</t>
        </is>
      </c>
      <c r="H13" s="13" t="inlineStr">
        <is>
          <t>手套</t>
        </is>
      </c>
      <c r="I13" s="2" t="n"/>
    </row>
    <row r="14">
      <c r="A14" s="5" t="inlineStr">
        <is>
          <t>左腿</t>
        </is>
      </c>
      <c r="B14" s="8">
        <f>C5+5</f>
        <v/>
      </c>
      <c r="C14" s="11" t="n"/>
      <c r="D14" s="5" t="inlineStr">
        <is>
          <t>當前</t>
        </is>
      </c>
      <c r="E14" s="6" t="inlineStr"/>
      <c r="F14" s="5" t="inlineStr">
        <is>
          <t>DR</t>
        </is>
      </c>
      <c r="G14" s="12" t="inlineStr">
        <is>
          <t>DR</t>
        </is>
      </c>
      <c r="H14" s="13" t="inlineStr">
        <is>
          <t>軍靴</t>
        </is>
      </c>
      <c r="I14" s="2" t="n"/>
    </row>
    <row r="15">
      <c r="A15" s="5" t="inlineStr">
        <is>
          <t>右腿</t>
        </is>
      </c>
      <c r="B15" s="8">
        <f>C5+5</f>
        <v/>
      </c>
      <c r="C15" s="11" t="n"/>
      <c r="D15" s="5" t="inlineStr">
        <is>
          <t>當前</t>
        </is>
      </c>
      <c r="E15" s="6" t="inlineStr"/>
      <c r="F15" s="5" t="inlineStr">
        <is>
          <t>DR</t>
        </is>
      </c>
      <c r="G15" s="12" t="inlineStr">
        <is>
          <t>DR</t>
        </is>
      </c>
      <c r="H15" s="13" t="inlineStr">
        <is>
          <t>軍靴</t>
        </is>
      </c>
      <c r="I15" s="2" t="n"/>
    </row>
    <row r="16">
      <c r="A16" s="3" t="inlineStr">
        <is>
          <t>裝備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6" t="inlineStr">
        <is>
          <t>裝備: 自製手槍(1d6,6發,故1/8), 9mmx18, 手繪地圖, 捕獸夾x1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C18" s="2" t="n"/>
    </row>
    <row r="19">
      <c r="D19" s="2" t="n"/>
    </row>
    <row r="20">
      <c r="E20" s="2" t="n"/>
    </row>
    <row r="21">
      <c r="F21" s="2" t="n"/>
    </row>
    <row r="22">
      <c r="G22" s="2" t="n"/>
    </row>
    <row r="23">
      <c r="H23" s="2" t="n"/>
    </row>
    <row r="24">
      <c r="I24" s="2" t="n"/>
    </row>
    <row r="25">
      <c r="A25" s="3" t="inlineStr">
        <is>
          <t>主要技能</t>
        </is>
      </c>
      <c r="B25" s="10" t="n"/>
      <c r="C25" s="10" t="n"/>
      <c r="D25" s="10" t="n"/>
      <c r="E25" s="10" t="n"/>
      <c r="F25" s="10" t="n"/>
      <c r="G25" s="10" t="n"/>
      <c r="H25" s="10" t="n"/>
      <c r="I25" s="11" t="n"/>
    </row>
    <row r="26">
      <c r="A26" s="5" t="inlineStr">
        <is>
          <t>槍械</t>
        </is>
      </c>
      <c r="B26" s="6" t="n">
        <v>2</v>
      </c>
      <c r="C26" s="11" t="n"/>
    </row>
    <row r="27">
      <c r="A27" s="5" t="inlineStr">
        <is>
          <t>察覺</t>
        </is>
      </c>
      <c r="B27" s="6" t="n">
        <v>3</v>
      </c>
      <c r="C27" s="11" t="n"/>
    </row>
    <row r="28">
      <c r="A28" s="5" t="inlineStr">
        <is>
          <t>潛行</t>
        </is>
      </c>
      <c r="B28" s="6" t="n">
        <v>2</v>
      </c>
      <c r="C28" s="11" t="n"/>
    </row>
    <row r="29">
      <c r="A29" s="5" t="inlineStr">
        <is>
          <t>生存</t>
        </is>
      </c>
      <c r="B29" s="6" t="n">
        <v>3</v>
      </c>
      <c r="C29" s="11" t="n"/>
    </row>
    <row r="30">
      <c r="A30" s="5" t="inlineStr">
        <is>
          <t>追跡</t>
        </is>
      </c>
      <c r="B30" s="6" t="n">
        <v>2</v>
      </c>
      <c r="C30" s="11" t="n"/>
    </row>
    <row r="31">
      <c r="A31" s="5" t="inlineStr">
        <is>
          <t>急救</t>
        </is>
      </c>
      <c r="B31" s="6" t="n">
        <v>1</v>
      </c>
      <c r="C31" s="11" t="n"/>
    </row>
    <row r="32">
      <c r="A32" s="3" t="inlineStr">
        <is>
          <t>專長</t>
        </is>
      </c>
      <c r="B32" s="10" t="n"/>
      <c r="C32" s="10" t="n"/>
      <c r="D32" s="10" t="n"/>
      <c r="E32" s="10" t="n"/>
      <c r="F32" s="10" t="n"/>
      <c r="G32" s="10" t="n"/>
      <c r="H32" s="10" t="n"/>
      <c r="I32" s="11" t="n"/>
    </row>
    <row r="33">
      <c r="A33" s="6" t="inlineStr">
        <is>
          <t>鷹眼</t>
        </is>
      </c>
      <c r="B33" s="10" t="n"/>
      <c r="C33" s="10" t="n"/>
      <c r="D33" s="10" t="n"/>
      <c r="E33" s="10" t="n"/>
      <c r="F33" s="10" t="n"/>
      <c r="G33" s="10" t="n"/>
      <c r="H33" s="10" t="n"/>
      <c r="I33" s="11" t="n"/>
    </row>
    <row r="34">
      <c r="C34" s="2" t="n"/>
    </row>
    <row r="35">
      <c r="D35" s="2" t="n"/>
    </row>
    <row r="36">
      <c r="E36" s="2" t="n"/>
    </row>
    <row r="37">
      <c r="F37" s="2" t="n"/>
    </row>
    <row r="38">
      <c r="G38" s="2" t="n"/>
    </row>
    <row r="39">
      <c r="H39" s="2" t="n"/>
    </row>
    <row r="40">
      <c r="I40" s="2" t="n"/>
    </row>
  </sheetData>
  <mergeCells count="67">
    <mergeCell ref="I5"/>
    <mergeCell ref="A25:I25"/>
    <mergeCell ref="D12"/>
    <mergeCell ref="B7:C7"/>
    <mergeCell ref="D3"/>
    <mergeCell ref="D9"/>
    <mergeCell ref="B3:C3"/>
    <mergeCell ref="H3"/>
    <mergeCell ref="A29"/>
    <mergeCell ref="D15"/>
    <mergeCell ref="A10"/>
    <mergeCell ref="A28"/>
    <mergeCell ref="B31:C31"/>
    <mergeCell ref="B27:C27"/>
    <mergeCell ref="A13"/>
    <mergeCell ref="D14"/>
    <mergeCell ref="B12:C12"/>
    <mergeCell ref="A31"/>
    <mergeCell ref="A2:I2"/>
    <mergeCell ref="A9"/>
    <mergeCell ref="A33:I33"/>
    <mergeCell ref="B11:C11"/>
    <mergeCell ref="E12"/>
    <mergeCell ref="A30"/>
    <mergeCell ref="A32:I32"/>
    <mergeCell ref="A15"/>
    <mergeCell ref="A17:I17"/>
    <mergeCell ref="A16:I16"/>
    <mergeCell ref="B14:C14"/>
    <mergeCell ref="A8:I8"/>
    <mergeCell ref="D10"/>
    <mergeCell ref="A4:I4"/>
    <mergeCell ref="A11"/>
    <mergeCell ref="C5"/>
    <mergeCell ref="E14"/>
    <mergeCell ref="E5"/>
    <mergeCell ref="B13:C13"/>
    <mergeCell ref="B29:C29"/>
    <mergeCell ref="H7:I7"/>
    <mergeCell ref="A7"/>
    <mergeCell ref="G7"/>
    <mergeCell ref="B10:C10"/>
    <mergeCell ref="B28:C28"/>
    <mergeCell ref="D11"/>
    <mergeCell ref="E10"/>
    <mergeCell ref="B9:C9"/>
    <mergeCell ref="D13"/>
    <mergeCell ref="E13"/>
    <mergeCell ref="A27"/>
    <mergeCell ref="E9"/>
    <mergeCell ref="B30:C30"/>
    <mergeCell ref="A12"/>
    <mergeCell ref="B15:C15"/>
    <mergeCell ref="A3"/>
    <mergeCell ref="G3"/>
    <mergeCell ref="E7:F7"/>
    <mergeCell ref="A26"/>
    <mergeCell ref="D7"/>
    <mergeCell ref="E15"/>
    <mergeCell ref="A1:I1"/>
    <mergeCell ref="E11"/>
    <mergeCell ref="A6:I6"/>
    <mergeCell ref="B26:C26"/>
    <mergeCell ref="E3:F3"/>
    <mergeCell ref="A14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2026-06-23T18:22:50Z</dcterms:created>
  <dcterms:modified xmlns:dcterms="http://purl.org/dc/terms/" xmlns:xsi="http://www.w3.org/2001/XMLSchema-instance" xsi:type="dcterms:W3CDTF">2026-06-23T19:01:40Z</dcterms:modified>
</cp:coreProperties>
</file>