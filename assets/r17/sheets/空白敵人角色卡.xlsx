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sz val="8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搜打撤 TRPG 敵人數據卡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</row>
    <row r="2">
      <c r="A2" s="3" t="inlineStr">
        <is>
          <t>基本資訊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5" t="inlineStr">
        <is>
          <t>敵人名稱</t>
        </is>
      </c>
      <c r="B3" s="6" t="inlineStr"/>
      <c r="C3" s="12" t="n"/>
      <c r="D3" s="5" t="inlineStr">
        <is>
          <t>類型</t>
        </is>
      </c>
      <c r="E3" s="6" t="inlineStr"/>
      <c r="F3" s="12" t="n"/>
      <c r="G3" s="5" t="inlineStr">
        <is>
          <t>威脅值</t>
        </is>
      </c>
      <c r="H3" s="6" t="inlineStr"/>
      <c r="I3" s="5" t="inlineStr">
        <is>
          <t>出場劇本</t>
        </is>
      </c>
      <c r="J3" s="2" t="n"/>
      <c r="K3" s="2" t="n"/>
    </row>
    <row r="4">
      <c r="A4" s="3" t="inlineStr">
        <is>
          <t>五大屬性(1-10)[手動輸入]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5" t="inlineStr">
        <is>
          <t>體魄PHY</t>
        </is>
      </c>
      <c r="B5" s="7" t="n"/>
      <c r="C5" s="5" t="inlineStr">
        <is>
          <t>精準PRC</t>
        </is>
      </c>
      <c r="D5" s="7" t="n"/>
      <c r="E5" s="5" t="inlineStr">
        <is>
          <t>感知PER</t>
        </is>
      </c>
      <c r="F5" s="7" t="n"/>
      <c r="G5" s="5" t="inlineStr">
        <is>
          <t>技術TEC</t>
        </is>
      </c>
      <c r="H5" s="7" t="n"/>
      <c r="I5" s="5" t="inlineStr">
        <is>
          <t>膽魄CRG</t>
        </is>
      </c>
      <c r="J5" s="7" t="n"/>
    </row>
    <row r="6">
      <c r="A6" s="3" t="inlineStr">
        <is>
          <t>技能等級(0-5)[手動輸入]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2" t="n"/>
    </row>
    <row r="7">
      <c r="A7" s="8" t="inlineStr">
        <is>
          <t>槍械</t>
        </is>
      </c>
      <c r="B7" s="9" t="n"/>
      <c r="C7" s="8" t="inlineStr">
        <is>
          <t>近戰</t>
        </is>
      </c>
      <c r="D7" s="9" t="n"/>
      <c r="E7" s="8" t="inlineStr">
        <is>
          <t>投擲</t>
        </is>
      </c>
      <c r="F7" s="9" t="n"/>
      <c r="G7" s="8" t="inlineStr">
        <is>
          <t>重型</t>
        </is>
      </c>
      <c r="H7" s="9" t="n"/>
      <c r="I7" s="8" t="inlineStr">
        <is>
          <t>察覺</t>
        </is>
      </c>
      <c r="J7" s="9" t="n"/>
    </row>
    <row r="8">
      <c r="A8" s="8" t="inlineStr">
        <is>
          <t>潛行</t>
        </is>
      </c>
      <c r="B8" s="9" t="n"/>
      <c r="C8" s="8" t="inlineStr">
        <is>
          <t>追跡</t>
        </is>
      </c>
      <c r="D8" s="9" t="n"/>
      <c r="E8" s="8" t="inlineStr">
        <is>
          <t>生存</t>
        </is>
      </c>
      <c r="F8" s="9" t="n"/>
      <c r="G8" s="8" t="inlineStr">
        <is>
          <t>急救</t>
        </is>
      </c>
      <c r="H8" s="9" t="n"/>
      <c r="I8" s="8" t="inlineStr">
        <is>
          <t>電子</t>
        </is>
      </c>
      <c r="J8" s="9" t="n"/>
    </row>
    <row r="9">
      <c r="A9" s="8" t="inlineStr">
        <is>
          <t>機械</t>
        </is>
      </c>
      <c r="B9" s="9" t="n"/>
      <c r="C9" s="8" t="inlineStr">
        <is>
          <t>意志</t>
        </is>
      </c>
      <c r="D9" s="9" t="n"/>
      <c r="E9" s="8" t="inlineStr">
        <is>
          <t>威嚇</t>
        </is>
      </c>
      <c r="F9" s="9" t="n"/>
      <c r="G9" s="8" t="inlineStr">
        <is>
          <t>說服</t>
        </is>
      </c>
      <c r="H9" s="9" t="n"/>
      <c r="I9" s="8" t="inlineStr">
        <is>
          <t>領導</t>
        </is>
      </c>
      <c r="J9" s="9" t="n"/>
    </row>
    <row r="10">
      <c r="A10" s="3" t="inlineStr">
        <is>
          <t>七部位 HP（自動計算）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5" t="inlineStr">
        <is>
          <t>部位</t>
        </is>
      </c>
      <c r="B11" s="6" t="inlineStr">
        <is>
          <t>最大HP</t>
        </is>
      </c>
      <c r="C11" s="12" t="n"/>
      <c r="D11" s="5" t="inlineStr">
        <is>
          <t>當前HP</t>
        </is>
      </c>
      <c r="E11" s="6" t="inlineStr"/>
      <c r="F11" s="5" t="inlineStr">
        <is>
          <t>DR</t>
        </is>
      </c>
      <c r="G11" s="5" t="inlineStr">
        <is>
          <t>DR</t>
        </is>
      </c>
      <c r="H11" s="5" t="inlineStr">
        <is>
          <t>命中%</t>
        </is>
      </c>
      <c r="I11" s="6" t="inlineStr"/>
      <c r="J11" s="5" t="inlineStr">
        <is>
          <t>受傷效果</t>
        </is>
      </c>
      <c r="K11" s="6" t="inlineStr"/>
    </row>
    <row r="12">
      <c r="A12" s="5" t="inlineStr">
        <is>
          <t>頭部</t>
        </is>
      </c>
      <c r="B12" s="10">
        <f>C5+6</f>
        <v/>
      </c>
      <c r="C12" s="12" t="n"/>
      <c r="D12" s="5" t="inlineStr"/>
      <c r="E12" s="6" t="inlineStr"/>
      <c r="F12" s="5" t="inlineStr"/>
      <c r="G12" s="13" t="inlineStr">
        <is>
          <t>DR</t>
        </is>
      </c>
      <c r="H12" s="14" t="inlineStr">
        <is>
          <t>頭盔</t>
        </is>
      </c>
      <c r="I12" s="6" t="inlineStr">
        <is>
          <t>5%</t>
        </is>
      </c>
      <c r="J12" s="5" t="inlineStr"/>
      <c r="K12" s="6" t="inlineStr"/>
    </row>
    <row r="13">
      <c r="A13" s="5" t="inlineStr">
        <is>
          <t>胸部</t>
        </is>
      </c>
      <c r="B13" s="10">
        <f>C5*2+10</f>
        <v/>
      </c>
      <c r="C13" s="12" t="n"/>
      <c r="D13" s="5" t="inlineStr"/>
      <c r="E13" s="6" t="inlineStr"/>
      <c r="F13" s="5" t="inlineStr"/>
      <c r="G13" s="13" t="inlineStr">
        <is>
          <t>DR</t>
        </is>
      </c>
      <c r="H13" s="14" t="inlineStr">
        <is>
          <t>防彈衣+背心</t>
        </is>
      </c>
      <c r="I13" s="6" t="inlineStr">
        <is>
          <t>35%</t>
        </is>
      </c>
      <c r="J13" s="5" t="inlineStr"/>
      <c r="K13" s="6" t="inlineStr"/>
    </row>
    <row r="14">
      <c r="A14" s="5" t="inlineStr">
        <is>
          <t>腹部</t>
        </is>
      </c>
      <c r="B14" s="10">
        <f>C5+8</f>
        <v/>
      </c>
      <c r="C14" s="12" t="n"/>
      <c r="D14" s="5" t="inlineStr"/>
      <c r="E14" s="6" t="inlineStr"/>
      <c r="F14" s="5" t="inlineStr"/>
      <c r="G14" s="13" t="inlineStr">
        <is>
          <t>DR</t>
        </is>
      </c>
      <c r="H14" s="14" t="inlineStr">
        <is>
          <t>防彈衣+背心</t>
        </is>
      </c>
      <c r="I14" s="6" t="inlineStr">
        <is>
          <t>15%</t>
        </is>
      </c>
      <c r="J14" s="5" t="inlineStr"/>
      <c r="K14" s="6" t="inlineStr"/>
    </row>
    <row r="15">
      <c r="A15" s="5" t="inlineStr">
        <is>
          <t>左臂</t>
        </is>
      </c>
      <c r="B15" s="10">
        <f>C5+4</f>
        <v/>
      </c>
      <c r="C15" s="12" t="n"/>
      <c r="D15" s="5" t="inlineStr"/>
      <c r="E15" s="6" t="inlineStr"/>
      <c r="F15" s="5" t="inlineStr"/>
      <c r="G15" s="13" t="inlineStr">
        <is>
          <t>DR</t>
        </is>
      </c>
      <c r="H15" s="14" t="inlineStr">
        <is>
          <t>手套</t>
        </is>
      </c>
      <c r="I15" s="6" t="inlineStr">
        <is>
          <t>12%</t>
        </is>
      </c>
      <c r="J15" s="5" t="inlineStr"/>
      <c r="K15" s="6" t="inlineStr"/>
    </row>
    <row r="16">
      <c r="A16" s="5" t="inlineStr">
        <is>
          <t>右臂</t>
        </is>
      </c>
      <c r="B16" s="10">
        <f>C5+4</f>
        <v/>
      </c>
      <c r="C16" s="12" t="n"/>
      <c r="D16" s="5" t="inlineStr"/>
      <c r="E16" s="6" t="inlineStr"/>
      <c r="F16" s="5" t="inlineStr"/>
      <c r="G16" s="13" t="inlineStr">
        <is>
          <t>DR</t>
        </is>
      </c>
      <c r="H16" s="14" t="inlineStr">
        <is>
          <t>手套</t>
        </is>
      </c>
      <c r="I16" s="6" t="inlineStr">
        <is>
          <t>12%</t>
        </is>
      </c>
      <c r="J16" s="5" t="inlineStr"/>
      <c r="K16" s="6" t="inlineStr"/>
    </row>
    <row r="17">
      <c r="A17" s="5" t="inlineStr">
        <is>
          <t>左腿</t>
        </is>
      </c>
      <c r="B17" s="10">
        <f>C5+5</f>
        <v/>
      </c>
      <c r="C17" s="12" t="n"/>
      <c r="D17" s="5" t="inlineStr"/>
      <c r="E17" s="6" t="inlineStr"/>
      <c r="F17" s="5" t="inlineStr"/>
      <c r="G17" s="13" t="inlineStr">
        <is>
          <t>DR</t>
        </is>
      </c>
      <c r="H17" s="14" t="inlineStr">
        <is>
          <t>軍靴</t>
        </is>
      </c>
      <c r="I17" s="6" t="inlineStr">
        <is>
          <t>10%</t>
        </is>
      </c>
      <c r="J17" s="5" t="inlineStr"/>
      <c r="K17" s="6" t="inlineStr"/>
    </row>
    <row r="18">
      <c r="A18" s="5" t="inlineStr">
        <is>
          <t>右腿</t>
        </is>
      </c>
      <c r="B18" s="10">
        <f>C5+5</f>
        <v/>
      </c>
      <c r="C18" s="12" t="n"/>
      <c r="D18" s="5" t="inlineStr"/>
      <c r="E18" s="6" t="inlineStr"/>
      <c r="F18" s="5" t="inlineStr"/>
      <c r="G18" s="13" t="inlineStr">
        <is>
          <t>DR</t>
        </is>
      </c>
      <c r="H18" s="14" t="inlineStr">
        <is>
          <t>軍靴</t>
        </is>
      </c>
      <c r="I18" s="6" t="inlineStr">
        <is>
          <t>10%</t>
        </is>
      </c>
      <c r="J18" s="5" t="inlineStr"/>
      <c r="K18" s="6" t="inlineStr"/>
    </row>
    <row r="19">
      <c r="A19" s="3" t="inlineStr">
        <is>
          <t>戰鬥數據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5" t="inlineStr">
        <is>
          <t>主攻擊(名稱/公式/射程)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5" t="inlineStr">
        <is>
          <t>副攻擊(名稱/公式/射程)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5" t="inlineStr">
        <is>
          <t>特殊能力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>
      <c r="A23" s="5" t="inlineStr">
        <is>
          <t>行為模式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5" t="inlineStr">
        <is>
          <t>戰利品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2" t="n"/>
    </row>
    <row r="25">
      <c r="A25" s="5" t="inlineStr">
        <is>
          <t>先攻值(自動)</t>
        </is>
      </c>
      <c r="B25" s="10">
        <f>G5+E5</f>
        <v/>
      </c>
      <c r="C25" s="12" t="n"/>
      <c r="D25" s="5" t="inlineStr">
        <is>
          <t>總DR</t>
        </is>
      </c>
      <c r="E25" s="6" t="inlineStr"/>
      <c r="F25" s="12" t="n"/>
      <c r="G25" s="5" t="inlineStr">
        <is>
          <t>士氣</t>
        </is>
      </c>
      <c r="H25" s="6" t="inlineStr"/>
      <c r="I25" s="12" t="n"/>
      <c r="J25" s="5" t="inlineStr">
        <is>
          <t>威脅值</t>
        </is>
      </c>
      <c r="K25" s="6" t="inlineStr"/>
    </row>
  </sheetData>
  <mergeCells count="110">
    <mergeCell ref="D12"/>
    <mergeCell ref="H3"/>
    <mergeCell ref="A24:K24"/>
    <mergeCell ref="E16"/>
    <mergeCell ref="G16"/>
    <mergeCell ref="D14"/>
    <mergeCell ref="F14"/>
    <mergeCell ref="B12:C12"/>
    <mergeCell ref="K18"/>
    <mergeCell ref="E18"/>
    <mergeCell ref="K16"/>
    <mergeCell ref="B14:C14"/>
    <mergeCell ref="J14"/>
    <mergeCell ref="B13:C13"/>
    <mergeCell ref="J13"/>
    <mergeCell ref="G17"/>
    <mergeCell ref="F12"/>
    <mergeCell ref="A25"/>
    <mergeCell ref="A2:K2"/>
    <mergeCell ref="K11"/>
    <mergeCell ref="J15"/>
    <mergeCell ref="A22:K22"/>
    <mergeCell ref="D17"/>
    <mergeCell ref="A3"/>
    <mergeCell ref="I12"/>
    <mergeCell ref="K12"/>
    <mergeCell ref="A19:K19"/>
    <mergeCell ref="E11"/>
    <mergeCell ref="H16"/>
    <mergeCell ref="J16"/>
    <mergeCell ref="G14"/>
    <mergeCell ref="E3:F3"/>
    <mergeCell ref="A5"/>
    <mergeCell ref="I14"/>
    <mergeCell ref="K14"/>
    <mergeCell ref="B16:C16"/>
    <mergeCell ref="D3"/>
    <mergeCell ref="B25:C25"/>
    <mergeCell ref="B3:C3"/>
    <mergeCell ref="D25"/>
    <mergeCell ref="B18:C18"/>
    <mergeCell ref="A13"/>
    <mergeCell ref="H25:I25"/>
    <mergeCell ref="J17"/>
    <mergeCell ref="B11:C11"/>
    <mergeCell ref="A15"/>
    <mergeCell ref="F11"/>
    <mergeCell ref="E17"/>
    <mergeCell ref="F15"/>
    <mergeCell ref="A16"/>
    <mergeCell ref="G18"/>
    <mergeCell ref="I18"/>
    <mergeCell ref="B15:C15"/>
    <mergeCell ref="A18"/>
    <mergeCell ref="G3"/>
    <mergeCell ref="E25:F25"/>
    <mergeCell ref="D16"/>
    <mergeCell ref="A10:K10"/>
    <mergeCell ref="G5"/>
    <mergeCell ref="F13"/>
    <mergeCell ref="I5"/>
    <mergeCell ref="H13"/>
    <mergeCell ref="D18"/>
    <mergeCell ref="H15"/>
    <mergeCell ref="A1:K1"/>
    <mergeCell ref="H18"/>
    <mergeCell ref="I13"/>
    <mergeCell ref="J18"/>
    <mergeCell ref="K13"/>
    <mergeCell ref="E12"/>
    <mergeCell ref="G12"/>
    <mergeCell ref="I15"/>
    <mergeCell ref="K15"/>
    <mergeCell ref="F16"/>
    <mergeCell ref="B17:C17"/>
    <mergeCell ref="E14"/>
    <mergeCell ref="A21:K21"/>
    <mergeCell ref="D11"/>
    <mergeCell ref="I16"/>
    <mergeCell ref="D13"/>
    <mergeCell ref="A23:K23"/>
    <mergeCell ref="A4:K4"/>
    <mergeCell ref="I17"/>
    <mergeCell ref="A17"/>
    <mergeCell ref="K17"/>
    <mergeCell ref="H12"/>
    <mergeCell ref="J12"/>
    <mergeCell ref="D15"/>
    <mergeCell ref="G25"/>
    <mergeCell ref="H14"/>
    <mergeCell ref="A6:K6"/>
    <mergeCell ref="K25"/>
    <mergeCell ref="G11"/>
    <mergeCell ref="I11"/>
    <mergeCell ref="A11"/>
    <mergeCell ref="C5"/>
    <mergeCell ref="E5"/>
    <mergeCell ref="E13"/>
    <mergeCell ref="F18"/>
    <mergeCell ref="G13"/>
    <mergeCell ref="A12"/>
    <mergeCell ref="A20:K20"/>
    <mergeCell ref="F17"/>
    <mergeCell ref="H17"/>
    <mergeCell ref="E15"/>
    <mergeCell ref="H11"/>
    <mergeCell ref="G15"/>
    <mergeCell ref="J11"/>
    <mergeCell ref="J25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2026-06-23T18:22:50Z</dcterms:created>
  <dcterms:modified xmlns:dcterms="http://purl.org/dc/terms/" xmlns:xsi="http://www.w3.org/2001/XMLSchema-instance" xsi:type="dcterms:W3CDTF">2026-06-23T19:01:40Z</dcterms:modified>
</cp:coreProperties>
</file>