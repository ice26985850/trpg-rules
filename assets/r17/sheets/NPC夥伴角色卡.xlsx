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突擊兵-大槌" sheetId="1" state="visible" r:id="rId1"/>
    <sheet xmlns:r="http://schemas.openxmlformats.org/officeDocument/2006/relationships" name="偵察兵-鬼影" sheetId="2" state="visible" r:id="rId2"/>
    <sheet xmlns:r="http://schemas.openxmlformats.org/officeDocument/2006/relationships" name="醫療兵-天使" sheetId="3" state="visible" r:id="rId3"/>
    <sheet xmlns:r="http://schemas.openxmlformats.org/officeDocument/2006/relationships" name="技師-扳手" sheetId="4" state="visible" r:id="rId4"/>
    <sheet xmlns:r="http://schemas.openxmlformats.org/officeDocument/2006/relationships" name="萬能助手-幸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NPC伴侶卡 - 突擊兵-大槌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基本資訊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伴侶名稱</t>
        </is>
      </c>
      <c r="B3" s="6" t="inlineStr">
        <is>
          <t>突擊兵-大槌</t>
        </is>
      </c>
      <c r="C3" s="2" t="n"/>
      <c r="D3" s="5" t="inlineStr">
        <is>
          <t>類型</t>
        </is>
      </c>
      <c r="E3" s="6" t="inlineStr">
        <is>
          <t>NPC伴侶</t>
        </is>
      </c>
      <c r="F3" s="2" t="n"/>
      <c r="G3" s="5" t="inlineStr">
        <is>
          <t>定位</t>
        </is>
      </c>
      <c r="H3" s="6" t="inlineStr">
        <is>
          <t>正面火力/坦克</t>
        </is>
      </c>
      <c r="I3" s="2" t="n"/>
    </row>
    <row r="5">
      <c r="A5" s="3" t="inlineStr">
        <is>
          <t>五大屬性 (1-10) [修改黃色格自動重算HP]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體魄PHY</t>
        </is>
      </c>
      <c r="B6" s="7" t="n">
        <v>7</v>
      </c>
      <c r="C6" s="5" t="inlineStr">
        <is>
          <t>精準PRC</t>
        </is>
      </c>
      <c r="D6" s="7" t="n">
        <v>6</v>
      </c>
      <c r="E6" s="5" t="inlineStr">
        <is>
          <t>感知PER</t>
        </is>
      </c>
      <c r="F6" s="7" t="n">
        <v>4</v>
      </c>
      <c r="G6" s="5" t="inlineStr">
        <is>
          <t>技術TEC</t>
        </is>
      </c>
      <c r="H6" s="7" t="n">
        <v>3</v>
      </c>
      <c r="I6" s="5" t="inlineStr">
        <is>
          <t>膽魄CRG</t>
        </is>
      </c>
      <c r="J6" s="7" t="n">
        <v>7</v>
      </c>
    </row>
    <row r="7">
      <c r="A7" s="3" t="inlineStr">
        <is>
          <t>衍生屬性（自動計算）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先攻值</t>
        </is>
      </c>
      <c r="B8" s="8">
        <f>G6+E6</f>
        <v/>
      </c>
      <c r="C8" s="2" t="n"/>
      <c r="D8" s="5" t="inlineStr">
        <is>
          <t>負重上限kg</t>
        </is>
      </c>
      <c r="E8" s="8">
        <f>C6*5</f>
        <v/>
      </c>
      <c r="F8" s="2" t="n"/>
      <c r="G8" s="5" t="inlineStr">
        <is>
          <t>技能點參考</t>
        </is>
      </c>
      <c r="H8" s="8">
        <f>(I7+K7)*2</f>
        <v/>
      </c>
      <c r="I8" s="2" t="n"/>
    </row>
    <row r="9">
      <c r="A9" s="3" t="inlineStr">
        <is>
          <t>技能等級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槍械</t>
        </is>
      </c>
      <c r="B10" s="6" t="n">
        <v>3</v>
      </c>
      <c r="C10" s="2" t="n"/>
    </row>
    <row r="11">
      <c r="A11" s="5" t="inlineStr">
        <is>
          <t>近戰</t>
        </is>
      </c>
      <c r="B11" s="6" t="n">
        <v>2</v>
      </c>
      <c r="C11" s="2" t="n"/>
    </row>
    <row r="12">
      <c r="A12" s="5" t="inlineStr">
        <is>
          <t>意志</t>
        </is>
      </c>
      <c r="B12" s="6" t="n">
        <v>3</v>
      </c>
      <c r="C12" s="2" t="n"/>
    </row>
    <row r="13">
      <c r="A13" s="5" t="inlineStr">
        <is>
          <t>威嚇</t>
        </is>
      </c>
      <c r="B13" s="6" t="n">
        <v>2</v>
      </c>
      <c r="C13" s="2" t="n"/>
    </row>
    <row r="14">
      <c r="A14" s="3" t="inlineStr">
        <is>
          <t>七部位 HP（自動計算）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頭部</t>
        </is>
      </c>
      <c r="B15" s="8">
        <f>C6+6</f>
        <v/>
      </c>
      <c r="C15" s="2" t="n"/>
      <c r="D15" s="2" t="n"/>
      <c r="E15" s="2" t="n"/>
      <c r="F15" s="9" t="inlineStr">
        <is>
          <t>DR</t>
        </is>
      </c>
      <c r="G15" s="2" t="n"/>
      <c r="H15" s="10" t="inlineStr">
        <is>
          <t>5%</t>
        </is>
      </c>
      <c r="I15" s="2" t="n"/>
    </row>
    <row r="16">
      <c r="A16" s="5" t="inlineStr">
        <is>
          <t>胸部</t>
        </is>
      </c>
      <c r="B16" s="8">
        <f>C6*2+10</f>
        <v/>
      </c>
      <c r="C16" s="2" t="n"/>
      <c r="D16" s="2" t="n"/>
      <c r="E16" s="2" t="n"/>
      <c r="F16" s="9" t="inlineStr">
        <is>
          <t>DR</t>
        </is>
      </c>
      <c r="G16" s="2" t="n"/>
      <c r="H16" s="10" t="inlineStr">
        <is>
          <t>35%</t>
        </is>
      </c>
      <c r="I16" s="2" t="n"/>
    </row>
    <row r="17">
      <c r="A17" s="5" t="inlineStr">
        <is>
          <t>腹部</t>
        </is>
      </c>
      <c r="B17" s="8">
        <f>C6+8</f>
        <v/>
      </c>
      <c r="C17" s="2" t="n"/>
      <c r="D17" s="2" t="n"/>
      <c r="E17" s="2" t="n"/>
      <c r="F17" s="9" t="inlineStr">
        <is>
          <t>DR</t>
        </is>
      </c>
      <c r="G17" s="2" t="n"/>
      <c r="H17" s="10" t="inlineStr">
        <is>
          <t>15%</t>
        </is>
      </c>
      <c r="I17" s="2" t="n"/>
    </row>
    <row r="18">
      <c r="A18" s="5" t="inlineStr">
        <is>
          <t>左臂</t>
        </is>
      </c>
      <c r="B18" s="8">
        <f>C6+4</f>
        <v/>
      </c>
      <c r="C18" s="2" t="n"/>
      <c r="D18" s="2" t="n"/>
      <c r="E18" s="2" t="n"/>
      <c r="F18" s="9" t="inlineStr">
        <is>
          <t>DR</t>
        </is>
      </c>
      <c r="G18" s="2" t="n"/>
      <c r="H18" s="10" t="inlineStr">
        <is>
          <t>12%</t>
        </is>
      </c>
      <c r="I18" s="2" t="n"/>
    </row>
    <row r="19">
      <c r="A19" s="5" t="inlineStr">
        <is>
          <t>右臂</t>
        </is>
      </c>
      <c r="B19" s="8">
        <f>C6+4</f>
        <v/>
      </c>
      <c r="C19" s="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左腿</t>
        </is>
      </c>
      <c r="B20" s="8">
        <f>C6+5</f>
        <v/>
      </c>
      <c r="C20" s="2" t="n"/>
      <c r="D20" s="2" t="n"/>
      <c r="E20" s="2" t="n"/>
      <c r="F20" s="9" t="inlineStr">
        <is>
          <t>DR</t>
        </is>
      </c>
      <c r="G20" s="2" t="n"/>
      <c r="H20" s="10" t="inlineStr">
        <is>
          <t>10%</t>
        </is>
      </c>
      <c r="I20" s="2" t="n"/>
    </row>
    <row r="21">
      <c r="A21" s="5" t="inlineStr">
        <is>
          <t>右腿</t>
        </is>
      </c>
      <c r="B21" s="8">
        <f>C6+5</f>
        <v/>
      </c>
      <c r="C21" s="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3" t="inlineStr">
        <is>
          <t>裝備與行為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6" t="inlineStr">
        <is>
          <t>武器: 軍用突擊步槍(2d6,全自動)+重型手槍(1d10,穿甲2)</t>
        </is>
      </c>
      <c r="B23" s="2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A31" s="6" t="inlineStr">
        <is>
          <t>防具: 硬質防彈衣III(DR2)+凱夫拉頭盔(DR1)</t>
        </is>
      </c>
      <c r="B31" s="2" t="n"/>
    </row>
    <row r="32">
      <c r="C32" s="2" t="n"/>
    </row>
    <row r="33">
      <c r="D33" s="2" t="n"/>
    </row>
    <row r="34">
      <c r="E34" s="2" t="n"/>
    </row>
    <row r="35">
      <c r="F35" s="2" t="n"/>
    </row>
    <row r="36">
      <c r="G36" s="2" t="n"/>
    </row>
    <row r="37">
      <c r="H37" s="2" t="n"/>
    </row>
    <row r="38">
      <c r="I38" s="2" t="n"/>
    </row>
    <row r="39">
      <c r="A39" s="6" t="inlineStr">
        <is>
          <t>特殊: 硬漢專長(HP&lt;=25%時DR+1)；壓制射擊優先</t>
        </is>
      </c>
      <c r="B39" s="2" t="n"/>
    </row>
    <row r="40">
      <c r="C40" s="2" t="n"/>
    </row>
    <row r="41">
      <c r="D41" s="2" t="n"/>
    </row>
    <row r="42">
      <c r="E42" s="2" t="n"/>
    </row>
    <row r="43">
      <c r="F43" s="2" t="n"/>
    </row>
    <row r="44">
      <c r="G44" s="2" t="n"/>
    </row>
    <row r="45">
      <c r="H45" s="2" t="n"/>
    </row>
    <row r="46">
      <c r="I46" s="2" t="n"/>
    </row>
    <row r="47">
      <c r="A47" s="6" t="inlineStr">
        <is>
          <t>行為: 正面壓制、優先保護玩家、收到掩護指令時使用壓制射擊</t>
        </is>
      </c>
      <c r="B47" s="2" t="n"/>
    </row>
    <row r="48">
      <c r="C48" s="2" t="n"/>
    </row>
    <row r="49">
      <c r="D49" s="2" t="n"/>
    </row>
    <row r="50">
      <c r="E50" s="2" t="n"/>
    </row>
    <row r="51">
      <c r="F51" s="2" t="n"/>
    </row>
    <row r="52">
      <c r="G52" s="2" t="n"/>
    </row>
    <row r="53">
      <c r="H53" s="2" t="n"/>
    </row>
    <row r="54">
      <c r="I54" s="2" t="n"/>
    </row>
  </sheetData>
  <mergeCells count="48">
    <mergeCell ref="A7:I7"/>
    <mergeCell ref="A8"/>
    <mergeCell ref="B16:C16"/>
    <mergeCell ref="A17"/>
    <mergeCell ref="D3"/>
    <mergeCell ref="B3:C3"/>
    <mergeCell ref="D8"/>
    <mergeCell ref="A20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47:I47"/>
    <mergeCell ref="I6"/>
    <mergeCell ref="A14:I14"/>
    <mergeCell ref="A15"/>
    <mergeCell ref="A23:I23"/>
    <mergeCell ref="C6"/>
    <mergeCell ref="B17:C17"/>
    <mergeCell ref="A22:I22"/>
    <mergeCell ref="B8:C8"/>
    <mergeCell ref="A11"/>
    <mergeCell ref="B13:C13"/>
    <mergeCell ref="A6"/>
    <mergeCell ref="G8"/>
    <mergeCell ref="B19:C19"/>
    <mergeCell ref="B10:C10"/>
    <mergeCell ref="A9:I9"/>
    <mergeCell ref="A16"/>
    <mergeCell ref="A31:I31"/>
    <mergeCell ref="A39:I39"/>
    <mergeCell ref="G6"/>
    <mergeCell ref="A12"/>
    <mergeCell ref="B15:C15"/>
    <mergeCell ref="A18"/>
    <mergeCell ref="A3"/>
    <mergeCell ref="A21"/>
    <mergeCell ref="B20:C20"/>
    <mergeCell ref="A1:I1"/>
    <mergeCell ref="E6"/>
    <mergeCell ref="H8:I8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NPC伴侶卡 - 偵察兵-鬼影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基本資訊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伴侶名稱</t>
        </is>
      </c>
      <c r="B3" s="6" t="inlineStr">
        <is>
          <t>偵察兵-鬼影</t>
        </is>
      </c>
      <c r="C3" s="2" t="n"/>
      <c r="D3" s="5" t="inlineStr">
        <is>
          <t>類型</t>
        </is>
      </c>
      <c r="E3" s="6" t="inlineStr">
        <is>
          <t>NPC伴侶</t>
        </is>
      </c>
      <c r="F3" s="2" t="n"/>
      <c r="G3" s="5" t="inlineStr">
        <is>
          <t>定位</t>
        </is>
      </c>
      <c r="H3" s="6" t="inlineStr">
        <is>
          <t>偵察/潛行/先制</t>
        </is>
      </c>
      <c r="I3" s="2" t="n"/>
    </row>
    <row r="5">
      <c r="A5" s="3" t="inlineStr">
        <is>
          <t>五大屬性 (1-10) [修改黃色格自動重算HP]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體魄PHY</t>
        </is>
      </c>
      <c r="B6" s="7" t="n">
        <v>4</v>
      </c>
      <c r="C6" s="5" t="inlineStr">
        <is>
          <t>精準PRC</t>
        </is>
      </c>
      <c r="D6" s="7" t="n">
        <v>6</v>
      </c>
      <c r="E6" s="5" t="inlineStr">
        <is>
          <t>感知PER</t>
        </is>
      </c>
      <c r="F6" s="7" t="n">
        <v>8</v>
      </c>
      <c r="G6" s="5" t="inlineStr">
        <is>
          <t>技術TEC</t>
        </is>
      </c>
      <c r="H6" s="7" t="n">
        <v>4</v>
      </c>
      <c r="I6" s="5" t="inlineStr">
        <is>
          <t>膽魄CRG</t>
        </is>
      </c>
      <c r="J6" s="7" t="n">
        <v>5</v>
      </c>
    </row>
    <row r="7">
      <c r="A7" s="3" t="inlineStr">
        <is>
          <t>衍生屬性（自動計算）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先攻值</t>
        </is>
      </c>
      <c r="B8" s="8">
        <f>G6+E6</f>
        <v/>
      </c>
      <c r="C8" s="2" t="n"/>
      <c r="D8" s="5" t="inlineStr">
        <is>
          <t>負重上限kg</t>
        </is>
      </c>
      <c r="E8" s="8">
        <f>C6*5</f>
        <v/>
      </c>
      <c r="F8" s="2" t="n"/>
      <c r="G8" s="5" t="inlineStr">
        <is>
          <t>技能點參考</t>
        </is>
      </c>
      <c r="H8" s="8">
        <f>(I7+K7)*2</f>
        <v/>
      </c>
      <c r="I8" s="2" t="n"/>
    </row>
    <row r="9">
      <c r="A9" s="3" t="inlineStr">
        <is>
          <t>技能等級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槍械</t>
        </is>
      </c>
      <c r="B10" s="6" t="n">
        <v>2</v>
      </c>
      <c r="C10" s="2" t="n"/>
    </row>
    <row r="11">
      <c r="A11" s="5" t="inlineStr">
        <is>
          <t>潛行</t>
        </is>
      </c>
      <c r="B11" s="6" t="n">
        <v>4</v>
      </c>
      <c r="C11" s="2" t="n"/>
    </row>
    <row r="12">
      <c r="A12" s="5" t="inlineStr">
        <is>
          <t>察覺</t>
        </is>
      </c>
      <c r="B12" s="6" t="n">
        <v>4</v>
      </c>
      <c r="C12" s="2" t="n"/>
    </row>
    <row r="13">
      <c r="A13" s="5" t="inlineStr">
        <is>
          <t>生存</t>
        </is>
      </c>
      <c r="B13" s="6" t="n">
        <v>2</v>
      </c>
      <c r="C13" s="2" t="n"/>
    </row>
    <row r="14">
      <c r="A14" s="3" t="inlineStr">
        <is>
          <t>七部位 HP（自動計算）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頭部</t>
        </is>
      </c>
      <c r="B15" s="8">
        <f>C6+6</f>
        <v/>
      </c>
      <c r="C15" s="2" t="n"/>
      <c r="D15" s="2" t="n"/>
      <c r="E15" s="2" t="n"/>
      <c r="F15" s="9" t="inlineStr">
        <is>
          <t>DR</t>
        </is>
      </c>
      <c r="G15" s="2" t="n"/>
      <c r="H15" s="10" t="inlineStr">
        <is>
          <t>5%</t>
        </is>
      </c>
      <c r="I15" s="2" t="n"/>
    </row>
    <row r="16">
      <c r="A16" s="5" t="inlineStr">
        <is>
          <t>胸部</t>
        </is>
      </c>
      <c r="B16" s="8">
        <f>C6*2+10</f>
        <v/>
      </c>
      <c r="C16" s="2" t="n"/>
      <c r="D16" s="2" t="n"/>
      <c r="E16" s="2" t="n"/>
      <c r="F16" s="9" t="inlineStr">
        <is>
          <t>DR</t>
        </is>
      </c>
      <c r="G16" s="2" t="n"/>
      <c r="H16" s="10" t="inlineStr">
        <is>
          <t>35%</t>
        </is>
      </c>
      <c r="I16" s="2" t="n"/>
    </row>
    <row r="17">
      <c r="A17" s="5" t="inlineStr">
        <is>
          <t>腹部</t>
        </is>
      </c>
      <c r="B17" s="8">
        <f>C6+8</f>
        <v/>
      </c>
      <c r="C17" s="2" t="n"/>
      <c r="D17" s="2" t="n"/>
      <c r="E17" s="2" t="n"/>
      <c r="F17" s="9" t="inlineStr">
        <is>
          <t>DR</t>
        </is>
      </c>
      <c r="G17" s="2" t="n"/>
      <c r="H17" s="10" t="inlineStr">
        <is>
          <t>15%</t>
        </is>
      </c>
      <c r="I17" s="2" t="n"/>
    </row>
    <row r="18">
      <c r="A18" s="5" t="inlineStr">
        <is>
          <t>左臂</t>
        </is>
      </c>
      <c r="B18" s="8">
        <f>C6+4</f>
        <v/>
      </c>
      <c r="C18" s="2" t="n"/>
      <c r="D18" s="2" t="n"/>
      <c r="E18" s="2" t="n"/>
      <c r="F18" s="9" t="inlineStr">
        <is>
          <t>DR</t>
        </is>
      </c>
      <c r="G18" s="2" t="n"/>
      <c r="H18" s="10" t="inlineStr">
        <is>
          <t>12%</t>
        </is>
      </c>
      <c r="I18" s="2" t="n"/>
    </row>
    <row r="19">
      <c r="A19" s="5" t="inlineStr">
        <is>
          <t>右臂</t>
        </is>
      </c>
      <c r="B19" s="8">
        <f>C6+4</f>
        <v/>
      </c>
      <c r="C19" s="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左腿</t>
        </is>
      </c>
      <c r="B20" s="8">
        <f>C6+5</f>
        <v/>
      </c>
      <c r="C20" s="2" t="n"/>
      <c r="D20" s="2" t="n"/>
      <c r="E20" s="2" t="n"/>
      <c r="F20" s="9" t="inlineStr">
        <is>
          <t>DR</t>
        </is>
      </c>
      <c r="G20" s="2" t="n"/>
      <c r="H20" s="10" t="inlineStr">
        <is>
          <t>10%</t>
        </is>
      </c>
      <c r="I20" s="2" t="n"/>
    </row>
    <row r="21">
      <c r="A21" s="5" t="inlineStr">
        <is>
          <t>右腿</t>
        </is>
      </c>
      <c r="B21" s="8">
        <f>C6+5</f>
        <v/>
      </c>
      <c r="C21" s="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3" t="inlineStr">
        <is>
          <t>裝備與行為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6" t="inlineStr">
        <is>
          <t>武器: DMR(1d10,半自動)+戰術刀(1d4+4)</t>
        </is>
      </c>
      <c r="B23" s="2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A31" s="6" t="inlineStr">
        <is>
          <t>防具: 軟質防彈衣IIA(DR1)+偽裝服(潛行+2)</t>
        </is>
      </c>
      <c r="B31" s="2" t="n"/>
    </row>
    <row r="32">
      <c r="C32" s="2" t="n"/>
    </row>
    <row r="33">
      <c r="D33" s="2" t="n"/>
    </row>
    <row r="34">
      <c r="E34" s="2" t="n"/>
    </row>
    <row r="35">
      <c r="F35" s="2" t="n"/>
    </row>
    <row r="36">
      <c r="G36" s="2" t="n"/>
    </row>
    <row r="37">
      <c r="H37" s="2" t="n"/>
    </row>
    <row r="38">
      <c r="I38" s="2" t="n"/>
    </row>
    <row r="39">
      <c r="A39" s="6" t="inlineStr">
        <is>
          <t>特殊: 鷹眼(察覺視距+20m)；潛行者(潛行移動不減速)</t>
        </is>
      </c>
      <c r="B39" s="2" t="n"/>
    </row>
    <row r="40">
      <c r="C40" s="2" t="n"/>
    </row>
    <row r="41">
      <c r="D41" s="2" t="n"/>
    </row>
    <row r="42">
      <c r="E42" s="2" t="n"/>
    </row>
    <row r="43">
      <c r="F43" s="2" t="n"/>
    </row>
    <row r="44">
      <c r="G44" s="2" t="n"/>
    </row>
    <row r="45">
      <c r="H45" s="2" t="n"/>
    </row>
    <row r="46">
      <c r="I46" s="2" t="n"/>
    </row>
    <row r="47">
      <c r="A47" s="6" t="inlineStr">
        <is>
          <t>行為: 前方偵察、標記敵人和物資、發現威脅時無線電通知</t>
        </is>
      </c>
      <c r="B47" s="2" t="n"/>
    </row>
    <row r="48">
      <c r="C48" s="2" t="n"/>
    </row>
    <row r="49">
      <c r="D49" s="2" t="n"/>
    </row>
    <row r="50">
      <c r="E50" s="2" t="n"/>
    </row>
    <row r="51">
      <c r="F51" s="2" t="n"/>
    </row>
    <row r="52">
      <c r="G52" s="2" t="n"/>
    </row>
    <row r="53">
      <c r="H53" s="2" t="n"/>
    </row>
    <row r="54">
      <c r="I54" s="2" t="n"/>
    </row>
  </sheetData>
  <mergeCells count="48">
    <mergeCell ref="A7:I7"/>
    <mergeCell ref="A8"/>
    <mergeCell ref="B16:C16"/>
    <mergeCell ref="A17"/>
    <mergeCell ref="D3"/>
    <mergeCell ref="B3:C3"/>
    <mergeCell ref="D8"/>
    <mergeCell ref="A20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47:I47"/>
    <mergeCell ref="I6"/>
    <mergeCell ref="A14:I14"/>
    <mergeCell ref="A15"/>
    <mergeCell ref="A23:I23"/>
    <mergeCell ref="C6"/>
    <mergeCell ref="B17:C17"/>
    <mergeCell ref="A22:I22"/>
    <mergeCell ref="B8:C8"/>
    <mergeCell ref="A11"/>
    <mergeCell ref="B13:C13"/>
    <mergeCell ref="A6"/>
    <mergeCell ref="G8"/>
    <mergeCell ref="B19:C19"/>
    <mergeCell ref="B10:C10"/>
    <mergeCell ref="A9:I9"/>
    <mergeCell ref="A16"/>
    <mergeCell ref="A31:I31"/>
    <mergeCell ref="A39:I39"/>
    <mergeCell ref="G6"/>
    <mergeCell ref="A12"/>
    <mergeCell ref="B15:C15"/>
    <mergeCell ref="A18"/>
    <mergeCell ref="A3"/>
    <mergeCell ref="A21"/>
    <mergeCell ref="B20:C20"/>
    <mergeCell ref="A1:I1"/>
    <mergeCell ref="E6"/>
    <mergeCell ref="H8:I8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NPC伴侶卡 - 醫療兵-天使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基本資訊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伴侶名稱</t>
        </is>
      </c>
      <c r="B3" s="6" t="inlineStr">
        <is>
          <t>醫療兵-天使</t>
        </is>
      </c>
      <c r="C3" s="2" t="n"/>
      <c r="D3" s="5" t="inlineStr">
        <is>
          <t>類型</t>
        </is>
      </c>
      <c r="E3" s="6" t="inlineStr">
        <is>
          <t>NPC伴侶</t>
        </is>
      </c>
      <c r="F3" s="2" t="n"/>
      <c r="G3" s="5" t="inlineStr">
        <is>
          <t>定位</t>
        </is>
      </c>
      <c r="H3" s="6" t="inlineStr">
        <is>
          <t>醫療/支援</t>
        </is>
      </c>
      <c r="I3" s="2" t="n"/>
    </row>
    <row r="5">
      <c r="A5" s="3" t="inlineStr">
        <is>
          <t>五大屬性 (1-10) [修改黃色格自動重算HP]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體魄PHY</t>
        </is>
      </c>
      <c r="B6" s="7" t="n">
        <v>4</v>
      </c>
      <c r="C6" s="5" t="inlineStr">
        <is>
          <t>精準PRC</t>
        </is>
      </c>
      <c r="D6" s="7" t="n">
        <v>3</v>
      </c>
      <c r="E6" s="5" t="inlineStr">
        <is>
          <t>感知PER</t>
        </is>
      </c>
      <c r="F6" s="7" t="n">
        <v>5</v>
      </c>
      <c r="G6" s="5" t="inlineStr">
        <is>
          <t>技術TEC</t>
        </is>
      </c>
      <c r="H6" s="7" t="n">
        <v>8</v>
      </c>
      <c r="I6" s="5" t="inlineStr">
        <is>
          <t>膽魄CRG</t>
        </is>
      </c>
      <c r="J6" s="7" t="n">
        <v>7</v>
      </c>
    </row>
    <row r="7">
      <c r="A7" s="3" t="inlineStr">
        <is>
          <t>衍生屬性（自動計算）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先攻值</t>
        </is>
      </c>
      <c r="B8" s="8">
        <f>G6+E6</f>
        <v/>
      </c>
      <c r="C8" s="2" t="n"/>
      <c r="D8" s="5" t="inlineStr">
        <is>
          <t>負重上限kg</t>
        </is>
      </c>
      <c r="E8" s="8">
        <f>C6*5</f>
        <v/>
      </c>
      <c r="F8" s="2" t="n"/>
      <c r="G8" s="5" t="inlineStr">
        <is>
          <t>技能點參考</t>
        </is>
      </c>
      <c r="H8" s="8">
        <f>(I7+K7)*2</f>
        <v/>
      </c>
      <c r="I8" s="2" t="n"/>
    </row>
    <row r="9">
      <c r="A9" s="3" t="inlineStr">
        <is>
          <t>技能等級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急救</t>
        </is>
      </c>
      <c r="B10" s="6" t="n">
        <v>5</v>
      </c>
      <c r="C10" s="2" t="n"/>
    </row>
    <row r="11">
      <c r="A11" s="5" t="inlineStr">
        <is>
          <t>槍械</t>
        </is>
      </c>
      <c r="B11" s="6" t="n">
        <v>1</v>
      </c>
      <c r="C11" s="2" t="n"/>
    </row>
    <row r="12">
      <c r="A12" s="5" t="inlineStr">
        <is>
          <t>察覺</t>
        </is>
      </c>
      <c r="B12" s="6" t="n">
        <v>2</v>
      </c>
      <c r="C12" s="2" t="n"/>
    </row>
    <row r="13">
      <c r="A13" s="5" t="inlineStr">
        <is>
          <t>電子</t>
        </is>
      </c>
      <c r="B13" s="6" t="n">
        <v>2</v>
      </c>
      <c r="C13" s="2" t="n"/>
    </row>
    <row r="14">
      <c r="A14" s="5" t="inlineStr">
        <is>
          <t>意志</t>
        </is>
      </c>
      <c r="B14" s="6" t="n">
        <v>4</v>
      </c>
      <c r="C14" s="2" t="n"/>
    </row>
    <row r="15">
      <c r="A15" s="3" t="inlineStr">
        <is>
          <t>七部位 HP（自動計算）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頭部</t>
        </is>
      </c>
      <c r="B16" s="8">
        <f>C6+6</f>
        <v/>
      </c>
      <c r="C16" s="2" t="n"/>
      <c r="D16" s="2" t="n"/>
      <c r="E16" s="2" t="n"/>
      <c r="F16" s="9" t="inlineStr">
        <is>
          <t>DR</t>
        </is>
      </c>
      <c r="G16" s="2" t="n"/>
      <c r="H16" s="10" t="inlineStr">
        <is>
          <t>5%</t>
        </is>
      </c>
      <c r="I16" s="2" t="n"/>
    </row>
    <row r="17">
      <c r="A17" s="5" t="inlineStr">
        <is>
          <t>胸部</t>
        </is>
      </c>
      <c r="B17" s="8">
        <f>C6*2+10</f>
        <v/>
      </c>
      <c r="C17" s="2" t="n"/>
      <c r="D17" s="2" t="n"/>
      <c r="E17" s="2" t="n"/>
      <c r="F17" s="9" t="inlineStr">
        <is>
          <t>DR</t>
        </is>
      </c>
      <c r="G17" s="2" t="n"/>
      <c r="H17" s="10" t="inlineStr">
        <is>
          <t>35%</t>
        </is>
      </c>
      <c r="I17" s="2" t="n"/>
    </row>
    <row r="18">
      <c r="A18" s="5" t="inlineStr">
        <is>
          <t>腹部</t>
        </is>
      </c>
      <c r="B18" s="8">
        <f>C6+8</f>
        <v/>
      </c>
      <c r="C18" s="2" t="n"/>
      <c r="D18" s="2" t="n"/>
      <c r="E18" s="2" t="n"/>
      <c r="F18" s="9" t="inlineStr">
        <is>
          <t>DR</t>
        </is>
      </c>
      <c r="G18" s="2" t="n"/>
      <c r="H18" s="10" t="inlineStr">
        <is>
          <t>15%</t>
        </is>
      </c>
      <c r="I18" s="2" t="n"/>
    </row>
    <row r="19">
      <c r="A19" s="5" t="inlineStr">
        <is>
          <t>左臂</t>
        </is>
      </c>
      <c r="B19" s="8">
        <f>C6+4</f>
        <v/>
      </c>
      <c r="C19" s="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右臂</t>
        </is>
      </c>
      <c r="B20" s="8">
        <f>C6+4</f>
        <v/>
      </c>
      <c r="C20" s="2" t="n"/>
      <c r="D20" s="2" t="n"/>
      <c r="E20" s="2" t="n"/>
      <c r="F20" s="9" t="inlineStr">
        <is>
          <t>DR</t>
        </is>
      </c>
      <c r="G20" s="2" t="n"/>
      <c r="H20" s="10" t="inlineStr">
        <is>
          <t>12%</t>
        </is>
      </c>
      <c r="I20" s="2" t="n"/>
    </row>
    <row r="21">
      <c r="A21" s="5" t="inlineStr">
        <is>
          <t>左腿</t>
        </is>
      </c>
      <c r="B21" s="8">
        <f>C6+5</f>
        <v/>
      </c>
      <c r="C21" s="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5" t="inlineStr">
        <is>
          <t>右腿</t>
        </is>
      </c>
      <c r="B22" s="8">
        <f>C6+5</f>
        <v/>
      </c>
      <c r="C22" s="2" t="n"/>
      <c r="D22" s="2" t="n"/>
      <c r="E22" s="2" t="n"/>
      <c r="F22" s="9" t="inlineStr">
        <is>
          <t>DR</t>
        </is>
      </c>
      <c r="G22" s="2" t="n"/>
      <c r="H22" s="10" t="inlineStr">
        <is>
          <t>10%</t>
        </is>
      </c>
      <c r="I22" s="2" t="n"/>
    </row>
    <row r="23">
      <c r="A23" s="3" t="inlineStr">
        <is>
          <t>裝備與行為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6" t="inlineStr">
        <is>
          <t>武器: 緊湊SMG(1d8)+急救包x5+軍用急救包x2+腎上腺素x2</t>
        </is>
      </c>
      <c r="B24" s="2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A32" s="6" t="inlineStr">
        <is>
          <t>防具: 軟質防彈衣IIA(DR1)</t>
        </is>
      </c>
      <c r="B32" s="2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A40" s="6" t="inlineStr">
        <is>
          <t>特殊: 急救專精(恢復+1d6)；快手(換彈自由行動)</t>
        </is>
      </c>
      <c r="B40" s="2" t="n"/>
    </row>
    <row r="41">
      <c r="C41" s="2" t="n"/>
    </row>
    <row r="42">
      <c r="D42" s="2" t="n"/>
    </row>
    <row r="43">
      <c r="E43" s="2" t="n"/>
    </row>
    <row r="44">
      <c r="F44" s="2" t="n"/>
    </row>
    <row r="45">
      <c r="G45" s="2" t="n"/>
    </row>
    <row r="46">
      <c r="H46" s="2" t="n"/>
    </row>
    <row r="47">
      <c r="I47" s="2" t="n"/>
    </row>
    <row r="48">
      <c r="A48" s="6" t="inlineStr">
        <is>
          <t>行為: 保持後方、自動急救受傷玩家、不主動開火除非命令</t>
        </is>
      </c>
      <c r="B48" s="2" t="n"/>
    </row>
    <row r="49">
      <c r="C49" s="2" t="n"/>
    </row>
    <row r="50">
      <c r="D50" s="2" t="n"/>
    </row>
    <row r="51">
      <c r="E51" s="2" t="n"/>
    </row>
    <row r="52">
      <c r="F52" s="2" t="n"/>
    </row>
    <row r="53">
      <c r="G53" s="2" t="n"/>
    </row>
    <row r="54">
      <c r="H54" s="2" t="n"/>
    </row>
    <row r="55">
      <c r="I55" s="2" t="n"/>
    </row>
  </sheetData>
  <mergeCells count="50">
    <mergeCell ref="A7:I7"/>
    <mergeCell ref="A8"/>
    <mergeCell ref="B16:C16"/>
    <mergeCell ref="A17"/>
    <mergeCell ref="A22"/>
    <mergeCell ref="D3"/>
    <mergeCell ref="B3:C3"/>
    <mergeCell ref="D8"/>
    <mergeCell ref="A20"/>
    <mergeCell ref="B22:C22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32:I32"/>
    <mergeCell ref="I6"/>
    <mergeCell ref="A23:I23"/>
    <mergeCell ref="C6"/>
    <mergeCell ref="B14:C14"/>
    <mergeCell ref="B17:C17"/>
    <mergeCell ref="B8:C8"/>
    <mergeCell ref="A11"/>
    <mergeCell ref="B13:C13"/>
    <mergeCell ref="A6"/>
    <mergeCell ref="G8"/>
    <mergeCell ref="B19:C19"/>
    <mergeCell ref="B10:C10"/>
    <mergeCell ref="A40:I40"/>
    <mergeCell ref="A9:I9"/>
    <mergeCell ref="A16"/>
    <mergeCell ref="A48:I48"/>
    <mergeCell ref="G6"/>
    <mergeCell ref="A24:I24"/>
    <mergeCell ref="A15:I15"/>
    <mergeCell ref="A12"/>
    <mergeCell ref="A18"/>
    <mergeCell ref="A3"/>
    <mergeCell ref="A21"/>
    <mergeCell ref="B20:C20"/>
    <mergeCell ref="A1:I1"/>
    <mergeCell ref="E6"/>
    <mergeCell ref="H8:I8"/>
    <mergeCell ref="A14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NPC伴侶卡 - 技師-扳手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基本資訊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伴侶名稱</t>
        </is>
      </c>
      <c r="B3" s="6" t="inlineStr">
        <is>
          <t>技師-扳手</t>
        </is>
      </c>
      <c r="C3" s="2" t="n"/>
      <c r="D3" s="5" t="inlineStr">
        <is>
          <t>類型</t>
        </is>
      </c>
      <c r="E3" s="6" t="inlineStr">
        <is>
          <t>NPC伴侶</t>
        </is>
      </c>
      <c r="F3" s="2" t="n"/>
      <c r="G3" s="5" t="inlineStr">
        <is>
          <t>定位</t>
        </is>
      </c>
      <c r="H3" s="6" t="inlineStr">
        <is>
          <t>技術/開鎖/爆破</t>
        </is>
      </c>
      <c r="I3" s="2" t="n"/>
    </row>
    <row r="5">
      <c r="A5" s="3" t="inlineStr">
        <is>
          <t>五大屬性 (1-10) [修改黃色格自動重算HP]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體魄PHY</t>
        </is>
      </c>
      <c r="B6" s="7" t="n">
        <v>5</v>
      </c>
      <c r="C6" s="5" t="inlineStr">
        <is>
          <t>精準PRC</t>
        </is>
      </c>
      <c r="D6" s="7" t="n">
        <v>4</v>
      </c>
      <c r="E6" s="5" t="inlineStr">
        <is>
          <t>感知PER</t>
        </is>
      </c>
      <c r="F6" s="7" t="n">
        <v>5</v>
      </c>
      <c r="G6" s="5" t="inlineStr">
        <is>
          <t>技術TEC</t>
        </is>
      </c>
      <c r="H6" s="7" t="n">
        <v>8</v>
      </c>
      <c r="I6" s="5" t="inlineStr">
        <is>
          <t>膽魄CRG</t>
        </is>
      </c>
      <c r="J6" s="7" t="n">
        <v>5</v>
      </c>
    </row>
    <row r="7">
      <c r="A7" s="3" t="inlineStr">
        <is>
          <t>衍生屬性（自動計算）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先攻值</t>
        </is>
      </c>
      <c r="B8" s="8">
        <f>G6+E6</f>
        <v/>
      </c>
      <c r="C8" s="2" t="n"/>
      <c r="D8" s="5" t="inlineStr">
        <is>
          <t>負重上限kg</t>
        </is>
      </c>
      <c r="E8" s="8">
        <f>C6*5</f>
        <v/>
      </c>
      <c r="F8" s="2" t="n"/>
      <c r="G8" s="5" t="inlineStr">
        <is>
          <t>技能點參考</t>
        </is>
      </c>
      <c r="H8" s="8">
        <f>(I7+K7)*2</f>
        <v/>
      </c>
      <c r="I8" s="2" t="n"/>
    </row>
    <row r="9">
      <c r="A9" s="3" t="inlineStr">
        <is>
          <t>技能等級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電子</t>
        </is>
      </c>
      <c r="B10" s="6" t="n">
        <v>4</v>
      </c>
      <c r="C10" s="2" t="n"/>
    </row>
    <row r="11">
      <c r="A11" s="5" t="inlineStr">
        <is>
          <t>開鎖</t>
        </is>
      </c>
      <c r="B11" s="6" t="n">
        <v>4</v>
      </c>
      <c r="C11" s="2" t="n"/>
    </row>
    <row r="12">
      <c r="A12" s="5" t="inlineStr">
        <is>
          <t>機械</t>
        </is>
      </c>
      <c r="B12" s="6" t="n">
        <v>4</v>
      </c>
      <c r="C12" s="2" t="n"/>
    </row>
    <row r="13">
      <c r="A13" s="5" t="inlineStr">
        <is>
          <t>槍械</t>
        </is>
      </c>
      <c r="B13" s="6" t="n">
        <v>2</v>
      </c>
      <c r="C13" s="2" t="n"/>
    </row>
    <row r="14">
      <c r="A14" s="5" t="inlineStr">
        <is>
          <t>製作</t>
        </is>
      </c>
      <c r="B14" s="6" t="n">
        <v>3</v>
      </c>
      <c r="C14" s="2" t="n"/>
    </row>
    <row r="15">
      <c r="A15" s="3" t="inlineStr">
        <is>
          <t>七部位 HP（自動計算）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頭部</t>
        </is>
      </c>
      <c r="B16" s="8">
        <f>C6+6</f>
        <v/>
      </c>
      <c r="C16" s="2" t="n"/>
      <c r="D16" s="2" t="n"/>
      <c r="E16" s="2" t="n"/>
      <c r="F16" s="9" t="inlineStr">
        <is>
          <t>DR</t>
        </is>
      </c>
      <c r="G16" s="2" t="n"/>
      <c r="H16" s="10" t="inlineStr">
        <is>
          <t>5%</t>
        </is>
      </c>
      <c r="I16" s="2" t="n"/>
    </row>
    <row r="17">
      <c r="A17" s="5" t="inlineStr">
        <is>
          <t>胸部</t>
        </is>
      </c>
      <c r="B17" s="8">
        <f>C6*2+10</f>
        <v/>
      </c>
      <c r="C17" s="2" t="n"/>
      <c r="D17" s="2" t="n"/>
      <c r="E17" s="2" t="n"/>
      <c r="F17" s="9" t="inlineStr">
        <is>
          <t>DR</t>
        </is>
      </c>
      <c r="G17" s="2" t="n"/>
      <c r="H17" s="10" t="inlineStr">
        <is>
          <t>35%</t>
        </is>
      </c>
      <c r="I17" s="2" t="n"/>
    </row>
    <row r="18">
      <c r="A18" s="5" t="inlineStr">
        <is>
          <t>腹部</t>
        </is>
      </c>
      <c r="B18" s="8">
        <f>C6+8</f>
        <v/>
      </c>
      <c r="C18" s="2" t="n"/>
      <c r="D18" s="2" t="n"/>
      <c r="E18" s="2" t="n"/>
      <c r="F18" s="9" t="inlineStr">
        <is>
          <t>DR</t>
        </is>
      </c>
      <c r="G18" s="2" t="n"/>
      <c r="H18" s="10" t="inlineStr">
        <is>
          <t>15%</t>
        </is>
      </c>
      <c r="I18" s="2" t="n"/>
    </row>
    <row r="19">
      <c r="A19" s="5" t="inlineStr">
        <is>
          <t>左臂</t>
        </is>
      </c>
      <c r="B19" s="8">
        <f>C6+4</f>
        <v/>
      </c>
      <c r="C19" s="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右臂</t>
        </is>
      </c>
      <c r="B20" s="8">
        <f>C6+4</f>
        <v/>
      </c>
      <c r="C20" s="2" t="n"/>
      <c r="D20" s="2" t="n"/>
      <c r="E20" s="2" t="n"/>
      <c r="F20" s="9" t="inlineStr">
        <is>
          <t>DR</t>
        </is>
      </c>
      <c r="G20" s="2" t="n"/>
      <c r="H20" s="10" t="inlineStr">
        <is>
          <t>12%</t>
        </is>
      </c>
      <c r="I20" s="2" t="n"/>
    </row>
    <row r="21">
      <c r="A21" s="5" t="inlineStr">
        <is>
          <t>左腿</t>
        </is>
      </c>
      <c r="B21" s="8">
        <f>C6+5</f>
        <v/>
      </c>
      <c r="C21" s="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5" t="inlineStr">
        <is>
          <t>右腿</t>
        </is>
      </c>
      <c r="B22" s="8">
        <f>C6+5</f>
        <v/>
      </c>
      <c r="C22" s="2" t="n"/>
      <c r="D22" s="2" t="n"/>
      <c r="E22" s="2" t="n"/>
      <c r="F22" s="9" t="inlineStr">
        <is>
          <t>DR</t>
        </is>
      </c>
      <c r="G22" s="2" t="n"/>
      <c r="H22" s="10" t="inlineStr">
        <is>
          <t>10%</t>
        </is>
      </c>
      <c r="I22" s="2" t="n"/>
    </row>
    <row r="23">
      <c r="A23" s="3" t="inlineStr">
        <is>
          <t>裝備與行為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6" t="inlineStr">
        <is>
          <t>武器: 生存者卡賓槍(1d8)+電子解碼器+開鎖工具+C4x1</t>
        </is>
      </c>
      <c r="B24" s="2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A32" s="6" t="inlineStr">
        <is>
          <t>防具: 厚重外套(DR1)</t>
        </is>
      </c>
      <c r="B32" s="2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A40" s="6" t="inlineStr">
        <is>
          <t>特殊: 爆破專家(+1d6爆炸)；快手(換彈自由行動)</t>
        </is>
      </c>
      <c r="B40" s="2" t="n"/>
    </row>
    <row r="41">
      <c r="C41" s="2" t="n"/>
    </row>
    <row r="42">
      <c r="D42" s="2" t="n"/>
    </row>
    <row r="43">
      <c r="E43" s="2" t="n"/>
    </row>
    <row r="44">
      <c r="F44" s="2" t="n"/>
    </row>
    <row r="45">
      <c r="G45" s="2" t="n"/>
    </row>
    <row r="46">
      <c r="H46" s="2" t="n"/>
    </row>
    <row r="47">
      <c r="I47" s="2" t="n"/>
    </row>
    <row r="48">
      <c r="A48" s="6" t="inlineStr">
        <is>
          <t>行為: 處理所有技術檢定(開鎖/電子/爆破)、玩家命令時才參與戰鬥</t>
        </is>
      </c>
      <c r="B48" s="2" t="n"/>
    </row>
    <row r="49">
      <c r="C49" s="2" t="n"/>
    </row>
    <row r="50">
      <c r="D50" s="2" t="n"/>
    </row>
    <row r="51">
      <c r="E51" s="2" t="n"/>
    </row>
    <row r="52">
      <c r="F52" s="2" t="n"/>
    </row>
    <row r="53">
      <c r="G53" s="2" t="n"/>
    </row>
    <row r="54">
      <c r="H54" s="2" t="n"/>
    </row>
    <row r="55">
      <c r="I55" s="2" t="n"/>
    </row>
  </sheetData>
  <mergeCells count="50">
    <mergeCell ref="A7:I7"/>
    <mergeCell ref="A8"/>
    <mergeCell ref="B16:C16"/>
    <mergeCell ref="A17"/>
    <mergeCell ref="A22"/>
    <mergeCell ref="D3"/>
    <mergeCell ref="B3:C3"/>
    <mergeCell ref="D8"/>
    <mergeCell ref="A20"/>
    <mergeCell ref="B22:C22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32:I32"/>
    <mergeCell ref="I6"/>
    <mergeCell ref="A23:I23"/>
    <mergeCell ref="C6"/>
    <mergeCell ref="B14:C14"/>
    <mergeCell ref="B17:C17"/>
    <mergeCell ref="B8:C8"/>
    <mergeCell ref="A11"/>
    <mergeCell ref="B13:C13"/>
    <mergeCell ref="A6"/>
    <mergeCell ref="G8"/>
    <mergeCell ref="B19:C19"/>
    <mergeCell ref="B10:C10"/>
    <mergeCell ref="A40:I40"/>
    <mergeCell ref="A9:I9"/>
    <mergeCell ref="A16"/>
    <mergeCell ref="A48:I48"/>
    <mergeCell ref="G6"/>
    <mergeCell ref="A24:I24"/>
    <mergeCell ref="A15:I15"/>
    <mergeCell ref="A12"/>
    <mergeCell ref="A18"/>
    <mergeCell ref="A3"/>
    <mergeCell ref="A21"/>
    <mergeCell ref="B20:C20"/>
    <mergeCell ref="A1:I1"/>
    <mergeCell ref="E6"/>
    <mergeCell ref="H8:I8"/>
    <mergeCell ref="A14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NPC伴侶卡 - 萬能助手-幸運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基本資訊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伴侶名稱</t>
        </is>
      </c>
      <c r="B3" s="6" t="inlineStr">
        <is>
          <t>萬能助手-幸運</t>
        </is>
      </c>
      <c r="C3" s="2" t="n"/>
      <c r="D3" s="5" t="inlineStr">
        <is>
          <t>類型</t>
        </is>
      </c>
      <c r="E3" s="6" t="inlineStr">
        <is>
          <t>NPC伴侶</t>
        </is>
      </c>
      <c r="F3" s="2" t="n"/>
      <c r="G3" s="5" t="inlineStr">
        <is>
          <t>定位</t>
        </is>
      </c>
      <c r="H3" s="6" t="inlineStr">
        <is>
          <t>萬能後援</t>
        </is>
      </c>
      <c r="I3" s="2" t="n"/>
    </row>
    <row r="5">
      <c r="A5" s="3" t="inlineStr">
        <is>
          <t>五大屬性 (1-10) [修改黃色格自動重算HP]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體魄PHY</t>
        </is>
      </c>
      <c r="B6" s="7" t="n">
        <v>5</v>
      </c>
      <c r="C6" s="5" t="inlineStr">
        <is>
          <t>精準PRC</t>
        </is>
      </c>
      <c r="D6" s="7" t="n">
        <v>5</v>
      </c>
      <c r="E6" s="5" t="inlineStr">
        <is>
          <t>感知PER</t>
        </is>
      </c>
      <c r="F6" s="7" t="n">
        <v>5</v>
      </c>
      <c r="G6" s="5" t="inlineStr">
        <is>
          <t>技術TEC</t>
        </is>
      </c>
      <c r="H6" s="7" t="n">
        <v>5</v>
      </c>
      <c r="I6" s="5" t="inlineStr">
        <is>
          <t>膽魄CRG</t>
        </is>
      </c>
      <c r="J6" s="7" t="n">
        <v>7</v>
      </c>
    </row>
    <row r="7">
      <c r="A7" s="3" t="inlineStr">
        <is>
          <t>衍生屬性（自動計算）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先攻值</t>
        </is>
      </c>
      <c r="B8" s="8">
        <f>G6+E6</f>
        <v/>
      </c>
      <c r="C8" s="2" t="n"/>
      <c r="D8" s="5" t="inlineStr">
        <is>
          <t>負重上限kg</t>
        </is>
      </c>
      <c r="E8" s="8">
        <f>C6*5</f>
        <v/>
      </c>
      <c r="F8" s="2" t="n"/>
      <c r="G8" s="5" t="inlineStr">
        <is>
          <t>技能點參考</t>
        </is>
      </c>
      <c r="H8" s="8">
        <f>(I7+K7)*2</f>
        <v/>
      </c>
      <c r="I8" s="2" t="n"/>
    </row>
    <row r="9">
      <c r="A9" s="3" t="inlineStr">
        <is>
          <t>技能等級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槍械</t>
        </is>
      </c>
      <c r="B10" s="6" t="n">
        <v>3</v>
      </c>
      <c r="C10" s="2" t="n"/>
    </row>
    <row r="11">
      <c r="A11" s="5" t="inlineStr">
        <is>
          <t>近戰</t>
        </is>
      </c>
      <c r="B11" s="6" t="n">
        <v>2</v>
      </c>
      <c r="C11" s="2" t="n"/>
    </row>
    <row r="12">
      <c r="A12" s="5" t="inlineStr">
        <is>
          <t>察覺</t>
        </is>
      </c>
      <c r="B12" s="6" t="n">
        <v>3</v>
      </c>
      <c r="C12" s="2" t="n"/>
    </row>
    <row r="13">
      <c r="A13" s="5" t="inlineStr">
        <is>
          <t>急救</t>
        </is>
      </c>
      <c r="B13" s="6" t="n">
        <v>2</v>
      </c>
      <c r="C13" s="2" t="n"/>
    </row>
    <row r="14">
      <c r="A14" s="5" t="inlineStr">
        <is>
          <t>生存</t>
        </is>
      </c>
      <c r="B14" s="6" t="n">
        <v>2</v>
      </c>
      <c r="C14" s="2" t="n"/>
    </row>
    <row r="15">
      <c r="A15" s="3" t="inlineStr">
        <is>
          <t>七部位 HP（自動計算）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頭部</t>
        </is>
      </c>
      <c r="B16" s="8">
        <f>C6+6</f>
        <v/>
      </c>
      <c r="C16" s="2" t="n"/>
      <c r="D16" s="2" t="n"/>
      <c r="E16" s="2" t="n"/>
      <c r="F16" s="9" t="inlineStr">
        <is>
          <t>DR</t>
        </is>
      </c>
      <c r="G16" s="2" t="n"/>
      <c r="H16" s="10" t="inlineStr">
        <is>
          <t>5%</t>
        </is>
      </c>
      <c r="I16" s="2" t="n"/>
    </row>
    <row r="17">
      <c r="A17" s="5" t="inlineStr">
        <is>
          <t>胸部</t>
        </is>
      </c>
      <c r="B17" s="8">
        <f>C6*2+10</f>
        <v/>
      </c>
      <c r="C17" s="2" t="n"/>
      <c r="D17" s="2" t="n"/>
      <c r="E17" s="2" t="n"/>
      <c r="F17" s="9" t="inlineStr">
        <is>
          <t>DR</t>
        </is>
      </c>
      <c r="G17" s="2" t="n"/>
      <c r="H17" s="10" t="inlineStr">
        <is>
          <t>35%</t>
        </is>
      </c>
      <c r="I17" s="2" t="n"/>
    </row>
    <row r="18">
      <c r="A18" s="5" t="inlineStr">
        <is>
          <t>腹部</t>
        </is>
      </c>
      <c r="B18" s="8">
        <f>C6+8</f>
        <v/>
      </c>
      <c r="C18" s="2" t="n"/>
      <c r="D18" s="2" t="n"/>
      <c r="E18" s="2" t="n"/>
      <c r="F18" s="9" t="inlineStr">
        <is>
          <t>DR</t>
        </is>
      </c>
      <c r="G18" s="2" t="n"/>
      <c r="H18" s="10" t="inlineStr">
        <is>
          <t>15%</t>
        </is>
      </c>
      <c r="I18" s="2" t="n"/>
    </row>
    <row r="19">
      <c r="A19" s="5" t="inlineStr">
        <is>
          <t>左臂</t>
        </is>
      </c>
      <c r="B19" s="8">
        <f>C6+4</f>
        <v/>
      </c>
      <c r="C19" s="2" t="n"/>
      <c r="D19" s="2" t="n"/>
      <c r="E19" s="2" t="n"/>
      <c r="F19" s="9" t="inlineStr">
        <is>
          <t>DR</t>
        </is>
      </c>
      <c r="G19" s="2" t="n"/>
      <c r="H19" s="10" t="inlineStr">
        <is>
          <t>12%</t>
        </is>
      </c>
      <c r="I19" s="2" t="n"/>
    </row>
    <row r="20">
      <c r="A20" s="5" t="inlineStr">
        <is>
          <t>右臂</t>
        </is>
      </c>
      <c r="B20" s="8">
        <f>C6+4</f>
        <v/>
      </c>
      <c r="C20" s="2" t="n"/>
      <c r="D20" s="2" t="n"/>
      <c r="E20" s="2" t="n"/>
      <c r="F20" s="9" t="inlineStr">
        <is>
          <t>DR</t>
        </is>
      </c>
      <c r="G20" s="2" t="n"/>
      <c r="H20" s="10" t="inlineStr">
        <is>
          <t>12%</t>
        </is>
      </c>
      <c r="I20" s="2" t="n"/>
    </row>
    <row r="21">
      <c r="A21" s="5" t="inlineStr">
        <is>
          <t>左腿</t>
        </is>
      </c>
      <c r="B21" s="8">
        <f>C6+5</f>
        <v/>
      </c>
      <c r="C21" s="2" t="n"/>
      <c r="D21" s="2" t="n"/>
      <c r="E21" s="2" t="n"/>
      <c r="F21" s="9" t="inlineStr">
        <is>
          <t>DR</t>
        </is>
      </c>
      <c r="G21" s="2" t="n"/>
      <c r="H21" s="10" t="inlineStr">
        <is>
          <t>10%</t>
        </is>
      </c>
      <c r="I21" s="2" t="n"/>
    </row>
    <row r="22">
      <c r="A22" s="5" t="inlineStr">
        <is>
          <t>右腿</t>
        </is>
      </c>
      <c r="B22" s="8">
        <f>C6+5</f>
        <v/>
      </c>
      <c r="C22" s="2" t="n"/>
      <c r="D22" s="2" t="n"/>
      <c r="E22" s="2" t="n"/>
      <c r="F22" s="9" t="inlineStr">
        <is>
          <t>DR</t>
        </is>
      </c>
      <c r="G22" s="2" t="n"/>
      <c r="H22" s="10" t="inlineStr">
        <is>
          <t>10%</t>
        </is>
      </c>
      <c r="I22" s="2" t="n"/>
    </row>
    <row r="23">
      <c r="A23" s="3" t="inlineStr">
        <is>
          <t>裝備與行為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6" t="inlineStr">
        <is>
          <t>武器: 軍用SMG(1d8)+急救包x3+萬用鉗</t>
        </is>
      </c>
      <c r="B24" s="2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A32" s="6" t="inlineStr">
        <is>
          <t>防具: 軟質防彈衣IIA(DR1)+凱夫拉頭盔(DR1)</t>
        </is>
      </c>
      <c r="B32" s="2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A40" s="6" t="inlineStr">
        <is>
          <t>特殊: 生存本能(每日1次免死)；背包客(+10kg負重)</t>
        </is>
      </c>
      <c r="B40" s="2" t="n"/>
    </row>
    <row r="41">
      <c r="C41" s="2" t="n"/>
    </row>
    <row r="42">
      <c r="D42" s="2" t="n"/>
    </row>
    <row r="43">
      <c r="E43" s="2" t="n"/>
    </row>
    <row r="44">
      <c r="F44" s="2" t="n"/>
    </row>
    <row r="45">
      <c r="G45" s="2" t="n"/>
    </row>
    <row r="46">
      <c r="H46" s="2" t="n"/>
    </row>
    <row r="47">
      <c r="I47" s="2" t="n"/>
    </row>
    <row r="48">
      <c r="A48" s="6" t="inlineStr">
        <is>
          <t>行為: 萬能後援，填補玩家弱項。可被指派任何任務</t>
        </is>
      </c>
      <c r="B48" s="2" t="n"/>
    </row>
    <row r="49">
      <c r="C49" s="2" t="n"/>
    </row>
    <row r="50">
      <c r="D50" s="2" t="n"/>
    </row>
    <row r="51">
      <c r="E51" s="2" t="n"/>
    </row>
    <row r="52">
      <c r="F52" s="2" t="n"/>
    </row>
    <row r="53">
      <c r="G53" s="2" t="n"/>
    </row>
    <row r="54">
      <c r="H54" s="2" t="n"/>
    </row>
    <row r="55">
      <c r="I55" s="2" t="n"/>
    </row>
  </sheetData>
  <mergeCells count="50">
    <mergeCell ref="A7:I7"/>
    <mergeCell ref="A8"/>
    <mergeCell ref="B16:C16"/>
    <mergeCell ref="A17"/>
    <mergeCell ref="A22"/>
    <mergeCell ref="D3"/>
    <mergeCell ref="B3:C3"/>
    <mergeCell ref="D8"/>
    <mergeCell ref="A20"/>
    <mergeCell ref="B22:C22"/>
    <mergeCell ref="A10"/>
    <mergeCell ref="B18:C18"/>
    <mergeCell ref="A13"/>
    <mergeCell ref="A19"/>
    <mergeCell ref="E8:F8"/>
    <mergeCell ref="B12:C12"/>
    <mergeCell ref="B21:C21"/>
    <mergeCell ref="A2:I2"/>
    <mergeCell ref="B11:C11"/>
    <mergeCell ref="A5:I5"/>
    <mergeCell ref="A32:I32"/>
    <mergeCell ref="I6"/>
    <mergeCell ref="A23:I23"/>
    <mergeCell ref="C6"/>
    <mergeCell ref="B14:C14"/>
    <mergeCell ref="B17:C17"/>
    <mergeCell ref="B8:C8"/>
    <mergeCell ref="A11"/>
    <mergeCell ref="B13:C13"/>
    <mergeCell ref="A6"/>
    <mergeCell ref="G8"/>
    <mergeCell ref="B19:C19"/>
    <mergeCell ref="B10:C10"/>
    <mergeCell ref="A40:I40"/>
    <mergeCell ref="A9:I9"/>
    <mergeCell ref="A16"/>
    <mergeCell ref="A48:I48"/>
    <mergeCell ref="G6"/>
    <mergeCell ref="A24:I24"/>
    <mergeCell ref="A15:I15"/>
    <mergeCell ref="A12"/>
    <mergeCell ref="A18"/>
    <mergeCell ref="A3"/>
    <mergeCell ref="A21"/>
    <mergeCell ref="B20:C20"/>
    <mergeCell ref="A1:I1"/>
    <mergeCell ref="E6"/>
    <mergeCell ref="H8:I8"/>
    <mergeCell ref="A1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2026-06-28T17:19:07Z</dcterms:created>
  <dcterms:modified xmlns:dcterms="http://purl.org/dc/terms/" xmlns:xsi="http://www.w3.org/2001/XMLSchema-instance" xsi:type="dcterms:W3CDTF">2026-06-28T17:19:07Z</dcterms:modified>
</cp:coreProperties>
</file>