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殘留體" sheetId="1" state="visible" r:id="rId1"/>
    <sheet xmlns:r="http://schemas.openxmlformats.org/officeDocument/2006/relationships" name="獨狼老手" sheetId="2" state="visible" r:id="rId2"/>
    <sheet xmlns:r="http://schemas.openxmlformats.org/officeDocument/2006/relationships" name="新手團隊成員" sheetId="3" state="visible" r:id="rId3"/>
    <sheet xmlns:r="http://schemas.openxmlformats.org/officeDocument/2006/relationships" name="變異鼠" sheetId="4" state="visible" r:id="rId4"/>
    <sheet xmlns:r="http://schemas.openxmlformats.org/officeDocument/2006/relationships" name="強化殘留體(軍人)" sheetId="5" state="visible" r:id="rId5"/>
    <sheet xmlns:r="http://schemas.openxmlformats.org/officeDocument/2006/relationships" name="拾荒幫派成員" sheetId="6" state="visible" r:id="rId6"/>
    <sheet xmlns:r="http://schemas.openxmlformats.org/officeDocument/2006/relationships" name="教主殘留體" sheetId="7" state="visible" r:id="rId7"/>
    <sheet xmlns:r="http://schemas.openxmlformats.org/officeDocument/2006/relationships" name="教團成員" sheetId="8" state="visible" r:id="rId8"/>
    <sheet xmlns:r="http://schemas.openxmlformats.org/officeDocument/2006/relationships" name="教團守護者" sheetId="9" state="visible" r:id="rId9"/>
    <sheet xmlns:r="http://schemas.openxmlformats.org/officeDocument/2006/relationships" name="軍閥士兵" sheetId="10" state="visible" r:id="rId10"/>
    <sheet xmlns:r="http://schemas.openxmlformats.org/officeDocument/2006/relationships" name="巡邏隊長" sheetId="11" state="visible" r:id="rId11"/>
    <sheet xmlns:r="http://schemas.openxmlformats.org/officeDocument/2006/relationships" name="化工變異體" sheetId="12" state="visible" r:id="rId12"/>
    <sheet xmlns:r="http://schemas.openxmlformats.org/officeDocument/2006/relationships" name="兄弟會哨兵" sheetId="13" state="visible" r:id="rId13"/>
    <sheet xmlns:r="http://schemas.openxmlformats.org/officeDocument/2006/relationships" name="精英衛兵" sheetId="14" state="visible" r:id="rId14"/>
    <sheet xmlns:r="http://schemas.openxmlformats.org/officeDocument/2006/relationships" name="鐵腕維克托" sheetId="15" state="visible" r:id="rId15"/>
    <sheet xmlns:r="http://schemas.openxmlformats.org/officeDocument/2006/relationships" name="高階祭司" sheetId="16" state="visible" r:id="rId16"/>
    <sheet xmlns:r="http://schemas.openxmlformats.org/officeDocument/2006/relationships" name="深潛者" sheetId="17" state="visible" r:id="rId17"/>
    <sheet xmlns:r="http://schemas.openxmlformats.org/officeDocument/2006/relationships" name="教團領袖" sheetId="18" state="visible" r:id="rId18"/>
    <sheet xmlns:r="http://schemas.openxmlformats.org/officeDocument/2006/relationships" name="鐵壁科薩克" sheetId="19" state="visible" r:id="rId19"/>
    <sheet xmlns:r="http://schemas.openxmlformats.org/officeDocument/2006/relationships" name="傳送型變異體" sheetId="20" state="visible" r:id="rId20"/>
    <sheet xmlns:r="http://schemas.openxmlformats.org/officeDocument/2006/relationships" name="核心區變異體" sheetId="21" state="visible" r:id="rId21"/>
    <sheet xmlns:r="http://schemas.openxmlformats.org/officeDocument/2006/relationships" name="維度守護者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JhengHei"/>
      <b val="1"/>
      <color rgb="00333333"/>
      <sz val="14"/>
    </font>
    <font>
      <name val="Microsoft JhengHei"/>
      <b val="1"/>
      <color rgb="001F3864"/>
      <sz val="11"/>
    </font>
    <font>
      <name val="Microsoft JhengHei"/>
      <b val="1"/>
      <sz val="10"/>
    </font>
    <font>
      <name val="Microsoft JhengHei"/>
      <sz val="10"/>
    </font>
    <font>
      <name val="Microsoft JhengHei"/>
      <b val="1"/>
      <color rgb="00C00000"/>
      <sz val="11"/>
    </font>
    <font>
      <name val="Microsoft JhengHei"/>
      <b val="1"/>
      <sz val="8"/>
    </font>
    <font>
      <name val="Microsoft JhengHei"/>
      <color rgb="00888888"/>
      <sz val="7"/>
    </font>
  </fonts>
  <fills count="4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FFFF00"/>
        <bgColor rgb="00FFFF0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敵人數據卡 - 殘留體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10" t="n"/>
    </row>
    <row r="2">
      <c r="A2" s="3" t="inlineStr">
        <is>
          <t>基本資訊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10" t="n"/>
    </row>
    <row r="3">
      <c r="A3" s="5" t="inlineStr">
        <is>
          <t>敵人名稱</t>
        </is>
      </c>
      <c r="B3" s="6" t="inlineStr">
        <is>
          <t>殘留體</t>
        </is>
      </c>
      <c r="C3" s="10" t="n"/>
      <c r="D3" s="5" t="inlineStr">
        <is>
          <t>出場劇本</t>
        </is>
      </c>
      <c r="E3" s="6" t="inlineStr">
        <is>
          <t>劇本一~十</t>
        </is>
      </c>
      <c r="F3" s="9" t="n"/>
      <c r="G3" s="10" t="n"/>
      <c r="H3" s="5" t="inlineStr">
        <is>
          <t>威脅值</t>
        </is>
      </c>
      <c r="I3" s="6" t="n">
        <v>3</v>
      </c>
      <c r="J3" s="9" t="n"/>
      <c r="K3" s="10" t="n"/>
    </row>
    <row r="4">
      <c r="A4" s="3" t="inlineStr">
        <is>
          <t>五大屬性 [數值已輸入,修改黃色格]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10" t="n"/>
    </row>
    <row r="5">
      <c r="A5" s="5" t="inlineStr">
        <is>
          <t>體魄PHY</t>
        </is>
      </c>
      <c r="B5" s="7" t="n">
        <v>4</v>
      </c>
      <c r="C5" s="5" t="inlineStr">
        <is>
          <t>精準PRC</t>
        </is>
      </c>
      <c r="D5" s="7" t="n">
        <v>1</v>
      </c>
      <c r="E5" s="5" t="inlineStr">
        <is>
          <t>感知PER</t>
        </is>
      </c>
      <c r="F5" s="7" t="n">
        <v>3</v>
      </c>
      <c r="G5" s="5" t="inlineStr">
        <is>
          <t>技術TEC</t>
        </is>
      </c>
      <c r="H5" s="7" t="n">
        <v>1</v>
      </c>
      <c r="I5" s="5" t="inlineStr">
        <is>
          <t>膽魄CRG</t>
        </is>
      </c>
      <c r="J5" s="7" t="n">
        <v>10</v>
      </c>
    </row>
    <row r="6">
      <c r="A6" s="3" t="inlineStr">
        <is>
          <t>衍生屬性（自動計算）</t>
        </is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10" t="n"/>
    </row>
    <row r="7">
      <c r="A7" s="5" t="inlineStr">
        <is>
          <t>先攻值</t>
        </is>
      </c>
      <c r="B7" s="8">
        <f>G5+E5</f>
        <v/>
      </c>
      <c r="C7" s="10" t="n"/>
      <c r="D7" s="5" t="inlineStr">
        <is>
          <t>負重上限kg</t>
        </is>
      </c>
      <c r="E7" s="8">
        <f>C5*5</f>
        <v/>
      </c>
      <c r="F7" s="9" t="n"/>
      <c r="G7" s="10" t="n"/>
      <c r="H7" s="5" t="inlineStr">
        <is>
          <t>技能點參考</t>
        </is>
      </c>
      <c r="I7" s="8">
        <f>(I5+K5)*2</f>
        <v/>
      </c>
      <c r="J7" s="9" t="n"/>
      <c r="K7" s="10" t="n"/>
    </row>
    <row r="8">
      <c r="A8" s="3" t="inlineStr">
        <is>
          <t>技能等級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10" t="n"/>
    </row>
    <row r="9">
      <c r="A9" s="5" t="inlineStr">
        <is>
          <t>近戰</t>
        </is>
      </c>
      <c r="B9" s="6" t="n">
        <v>1</v>
      </c>
      <c r="C9" s="10" t="n"/>
    </row>
    <row r="10">
      <c r="A10" s="5" t="inlineStr">
        <is>
          <t>察覺</t>
        </is>
      </c>
      <c r="B10" s="6" t="n">
        <v>1</v>
      </c>
      <c r="C10" s="10" t="n"/>
    </row>
    <row r="11">
      <c r="A11" s="5" t="inlineStr">
        <is>
          <t>意志</t>
        </is>
      </c>
      <c r="B11" s="6" t="n">
        <v>5</v>
      </c>
      <c r="C11" s="10" t="n"/>
    </row>
    <row r="12">
      <c r="A12" s="3" t="inlineStr">
        <is>
          <t>七部位 HP（自動計算）</t>
        </is>
      </c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10" t="n"/>
    </row>
    <row r="13">
      <c r="A13" s="5" t="inlineStr">
        <is>
          <t>部位</t>
        </is>
      </c>
      <c r="B13" s="6" t="inlineStr">
        <is>
          <t>最大HP</t>
        </is>
      </c>
      <c r="C13" s="5" t="inlineStr">
        <is>
          <t>當前HP</t>
        </is>
      </c>
      <c r="D13" s="6" t="inlineStr"/>
      <c r="E13" s="5" t="inlineStr">
        <is>
          <t>DR</t>
        </is>
      </c>
      <c r="F13" s="5" t="inlineStr">
        <is>
          <t>DR</t>
        </is>
      </c>
      <c r="G13" s="5" t="inlineStr">
        <is>
          <t>DR</t>
        </is>
      </c>
      <c r="H13" s="6" t="inlineStr"/>
      <c r="I13" s="5" t="inlineStr">
        <is>
          <t>受傷效果</t>
        </is>
      </c>
      <c r="J13" s="6" t="inlineStr"/>
      <c r="K13" s="10" t="n"/>
    </row>
    <row r="14">
      <c r="A14" s="5" t="inlineStr">
        <is>
          <t>頭部</t>
        </is>
      </c>
      <c r="B14" s="8">
        <f>C5+6</f>
        <v/>
      </c>
      <c r="C14" s="5" t="inlineStr"/>
      <c r="D14" s="6" t="inlineStr"/>
      <c r="E14" s="5" t="inlineStr"/>
      <c r="F14" s="6" t="inlineStr"/>
      <c r="G14" s="11" t="inlineStr">
        <is>
          <t>DR</t>
        </is>
      </c>
      <c r="H14" s="12" t="inlineStr">
        <is>
          <t>頭盔</t>
        </is>
      </c>
      <c r="I14" s="5" t="inlineStr">
        <is>
          <t>歸零=即死</t>
        </is>
      </c>
      <c r="J14" s="6" t="inlineStr">
        <is>
          <t>歸零=即死</t>
        </is>
      </c>
      <c r="K14" s="10" t="n"/>
    </row>
    <row r="15">
      <c r="A15" s="5" t="inlineStr">
        <is>
          <t>胸部</t>
        </is>
      </c>
      <c r="B15" s="8">
        <f>C5*2+10</f>
        <v/>
      </c>
      <c r="C15" s="5" t="inlineStr"/>
      <c r="D15" s="6" t="inlineStr"/>
      <c r="E15" s="5" t="inlineStr"/>
      <c r="F15" s="6" t="inlineStr"/>
      <c r="G15" s="11" t="inlineStr">
        <is>
          <t>DR</t>
        </is>
      </c>
      <c r="H15" s="12" t="inlineStr">
        <is>
          <t>防彈衣+背心</t>
        </is>
      </c>
      <c r="I15" s="5" t="inlineStr">
        <is>
          <t>歸零=瀕死(膽魄TN14/回合)</t>
        </is>
      </c>
      <c r="J15" s="6" t="inlineStr">
        <is>
          <t>歸零=瀕死(膽魄TN14/回合)</t>
        </is>
      </c>
      <c r="K15" s="10" t="n"/>
    </row>
    <row r="16">
      <c r="A16" s="5" t="inlineStr">
        <is>
          <t>腹部</t>
        </is>
      </c>
      <c r="B16" s="8">
        <f>C5+8</f>
        <v/>
      </c>
      <c r="C16" s="5" t="inlineStr"/>
      <c r="D16" s="6" t="inlineStr"/>
      <c r="E16" s="5" t="inlineStr"/>
      <c r="F16" s="6" t="inlineStr"/>
      <c r="G16" s="11" t="inlineStr">
        <is>
          <t>DR</t>
        </is>
      </c>
      <c r="H16" s="12" t="inlineStr">
        <is>
          <t>防彈衣+背心</t>
        </is>
      </c>
      <c r="I16" s="5" t="inlineStr">
        <is>
          <t>歸零=內出血(1HP/分)</t>
        </is>
      </c>
      <c r="J16" s="6" t="inlineStr">
        <is>
          <t>歸零=內出血(1HP/分)</t>
        </is>
      </c>
      <c r="K16" s="10" t="n"/>
    </row>
    <row r="17">
      <c r="A17" s="5" t="inlineStr">
        <is>
          <t>左臂</t>
        </is>
      </c>
      <c r="B17" s="8">
        <f>C5+4</f>
        <v/>
      </c>
      <c r="C17" s="5" t="inlineStr"/>
      <c r="D17" s="6" t="inlineStr"/>
      <c r="E17" s="5" t="inlineStr"/>
      <c r="F17" s="6" t="inlineStr"/>
      <c r="G17" s="11" t="inlineStr">
        <is>
          <t>DR</t>
        </is>
      </c>
      <c r="H17" s="12" t="inlineStr">
        <is>
          <t>手套</t>
        </is>
      </c>
      <c r="I17" s="5" t="inlineStr">
        <is>
          <t>歸零=永久失能</t>
        </is>
      </c>
      <c r="J17" s="6" t="inlineStr">
        <is>
          <t>歸零=永久失能</t>
        </is>
      </c>
      <c r="K17" s="10" t="n"/>
    </row>
    <row r="18">
      <c r="A18" s="5" t="inlineStr">
        <is>
          <t>右臂</t>
        </is>
      </c>
      <c r="B18" s="8">
        <f>C5+4</f>
        <v/>
      </c>
      <c r="C18" s="5" t="inlineStr"/>
      <c r="D18" s="6" t="inlineStr"/>
      <c r="E18" s="5" t="inlineStr"/>
      <c r="F18" s="6" t="inlineStr"/>
      <c r="G18" s="11" t="inlineStr">
        <is>
          <t>DR</t>
        </is>
      </c>
      <c r="H18" s="12" t="inlineStr">
        <is>
          <t>手套</t>
        </is>
      </c>
      <c r="I18" s="5" t="inlineStr">
        <is>
          <t>歸零=永久失能</t>
        </is>
      </c>
      <c r="J18" s="6" t="inlineStr">
        <is>
          <t>歸零=永久失能</t>
        </is>
      </c>
      <c r="K18" s="10" t="n"/>
    </row>
    <row r="19">
      <c r="A19" s="5" t="inlineStr">
        <is>
          <t>左腿</t>
        </is>
      </c>
      <c r="B19" s="8">
        <f>C5+5</f>
        <v/>
      </c>
      <c r="C19" s="5" t="inlineStr"/>
      <c r="D19" s="6" t="inlineStr"/>
      <c r="E19" s="5" t="inlineStr"/>
      <c r="F19" s="6" t="inlineStr"/>
      <c r="G19" s="11" t="inlineStr">
        <is>
          <t>DR</t>
        </is>
      </c>
      <c r="H19" s="12" t="inlineStr">
        <is>
          <t>軍靴</t>
        </is>
      </c>
      <c r="I19" s="5" t="inlineStr">
        <is>
          <t>歸零=倒地,不可行走</t>
        </is>
      </c>
      <c r="J19" s="6" t="inlineStr">
        <is>
          <t>歸零=倒地,不可行走</t>
        </is>
      </c>
      <c r="K19" s="10" t="n"/>
    </row>
    <row r="20">
      <c r="A20" s="5" t="inlineStr">
        <is>
          <t>右腿</t>
        </is>
      </c>
      <c r="B20" s="8">
        <f>C5+5</f>
        <v/>
      </c>
      <c r="C20" s="5" t="inlineStr"/>
      <c r="D20" s="6" t="inlineStr"/>
      <c r="E20" s="5" t="inlineStr"/>
      <c r="F20" s="6" t="inlineStr"/>
      <c r="G20" s="11" t="inlineStr">
        <is>
          <t>DR</t>
        </is>
      </c>
      <c r="H20" s="12" t="inlineStr">
        <is>
          <t>軍靴</t>
        </is>
      </c>
      <c r="I20" s="5" t="inlineStr">
        <is>
          <t>歸零=倒地,不可行走</t>
        </is>
      </c>
      <c r="J20" s="6" t="inlineStr">
        <is>
          <t>歸零=倒地,不可行走</t>
        </is>
      </c>
      <c r="K20" s="10" t="n"/>
    </row>
    <row r="21">
      <c r="A21" s="3" t="inlineStr">
        <is>
          <t>戰鬥數據</t>
        </is>
      </c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10" t="n"/>
    </row>
    <row r="22">
      <c r="A22" s="6" t="inlineStr">
        <is>
          <t>主攻擊: 撕咬 1d4+4,近接</t>
        </is>
      </c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10" t="n"/>
    </row>
    <row r="23">
      <c r="C23" s="2" t="n"/>
    </row>
    <row r="24">
      <c r="D24" s="2" t="n"/>
    </row>
    <row r="25">
      <c r="E25" s="2" t="n"/>
    </row>
    <row r="26">
      <c r="F26" s="2" t="n"/>
    </row>
    <row r="27">
      <c r="G27" s="2" t="n"/>
    </row>
    <row r="28">
      <c r="H28" s="2" t="n"/>
    </row>
    <row r="29">
      <c r="I29" s="2" t="n"/>
    </row>
    <row r="30">
      <c r="J30" s="2" t="n"/>
    </row>
    <row r="31">
      <c r="K31" s="2" t="n"/>
    </row>
    <row r="32">
      <c r="A32" s="6" t="inlineStr">
        <is>
          <t>副攻擊: 廢鐵揮擊 1d6+4,近接</t>
        </is>
      </c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10" t="n"/>
    </row>
    <row r="33">
      <c r="C33" s="2" t="n"/>
    </row>
    <row r="34">
      <c r="D34" s="2" t="n"/>
    </row>
    <row r="35">
      <c r="E35" s="2" t="n"/>
    </row>
    <row r="36">
      <c r="F36" s="2" t="n"/>
    </row>
    <row r="37">
      <c r="G37" s="2" t="n"/>
    </row>
    <row r="38">
      <c r="H38" s="2" t="n"/>
    </row>
    <row r="39">
      <c r="I39" s="2" t="n"/>
    </row>
    <row r="40">
      <c r="J40" s="2" t="n"/>
    </row>
    <row r="41">
      <c r="K41" s="2" t="n"/>
    </row>
    <row r="42">
      <c r="A42" s="6" t="inlineStr">
        <is>
          <t>防具/DR: DR 0</t>
        </is>
      </c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10" t="n"/>
    </row>
    <row r="43">
      <c r="C43" s="2" t="n"/>
    </row>
    <row r="44">
      <c r="D44" s="2" t="n"/>
    </row>
    <row r="45">
      <c r="E45" s="2" t="n"/>
    </row>
    <row r="46">
      <c r="F46" s="2" t="n"/>
    </row>
    <row r="47">
      <c r="G47" s="2" t="n"/>
    </row>
    <row r="48">
      <c r="H48" s="2" t="n"/>
    </row>
    <row r="49">
      <c r="I49" s="2" t="n"/>
    </row>
    <row r="50">
      <c r="J50" s="2" t="n"/>
    </row>
    <row r="51">
      <c r="K51" s="2" t="n"/>
    </row>
    <row r="52">
      <c r="A52" s="6" t="inlineStr">
        <is>
          <t>特殊能力: 免疫恐懼/士氣; 無痛覺(部位HP=0才失能)</t>
        </is>
      </c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10" t="n"/>
    </row>
    <row r="53">
      <c r="C53" s="2" t="n"/>
    </row>
    <row r="54">
      <c r="D54" s="2" t="n"/>
    </row>
    <row r="55">
      <c r="E55" s="2" t="n"/>
    </row>
    <row r="56">
      <c r="F56" s="2" t="n"/>
    </row>
    <row r="57">
      <c r="G57" s="2" t="n"/>
    </row>
    <row r="58">
      <c r="H58" s="2" t="n"/>
    </row>
    <row r="59">
      <c r="I59" s="2" t="n"/>
    </row>
    <row r="60">
      <c r="J60" s="2" t="n"/>
    </row>
    <row r="61">
      <c r="K61" s="2" t="n"/>
    </row>
    <row r="62">
      <c r="A62" s="6" t="inlineStr">
        <is>
          <t>行為模式: 巡邏原生活區域; 對聲音敏感; 發現活人無差別攻擊; 不撤退不談判</t>
        </is>
      </c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10" t="n"/>
    </row>
    <row r="63">
      <c r="C63" s="2" t="n"/>
    </row>
    <row r="64">
      <c r="D64" s="2" t="n"/>
    </row>
    <row r="65">
      <c r="E65" s="2" t="n"/>
    </row>
    <row r="66">
      <c r="F66" s="2" t="n"/>
    </row>
    <row r="67">
      <c r="G67" s="2" t="n"/>
    </row>
    <row r="68">
      <c r="H68" s="2" t="n"/>
    </row>
    <row r="69">
      <c r="I69" s="2" t="n"/>
    </row>
    <row r="70">
      <c r="J70" s="2" t="n"/>
    </row>
    <row r="71">
      <c r="K71" s="2" t="n"/>
    </row>
    <row r="72">
      <c r="A72" s="6" t="inlineStr">
        <is>
          <t>戰利品: 無</t>
        </is>
      </c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10" t="n"/>
    </row>
    <row r="73">
      <c r="C73" s="2" t="n"/>
    </row>
    <row r="74">
      <c r="D74" s="2" t="n"/>
    </row>
    <row r="75">
      <c r="E75" s="2" t="n"/>
    </row>
    <row r="76">
      <c r="F76" s="2" t="n"/>
    </row>
    <row r="77">
      <c r="G77" s="2" t="n"/>
    </row>
    <row r="78">
      <c r="H78" s="2" t="n"/>
    </row>
    <row r="79">
      <c r="I79" s="2" t="n"/>
    </row>
    <row r="80">
      <c r="J80" s="2" t="n"/>
    </row>
    <row r="81">
      <c r="K81" s="2" t="n"/>
    </row>
  </sheetData>
  <mergeCells count="116">
    <mergeCell ref="H3"/>
    <mergeCell ref="J19:K19"/>
    <mergeCell ref="B20"/>
    <mergeCell ref="E16"/>
    <mergeCell ref="G16"/>
    <mergeCell ref="D14"/>
    <mergeCell ref="F14"/>
    <mergeCell ref="C18"/>
    <mergeCell ref="E18"/>
    <mergeCell ref="H20"/>
    <mergeCell ref="E7:G7"/>
    <mergeCell ref="G17"/>
    <mergeCell ref="A2:K2"/>
    <mergeCell ref="E19"/>
    <mergeCell ref="A42:K42"/>
    <mergeCell ref="G19"/>
    <mergeCell ref="A22:K22"/>
    <mergeCell ref="B17"/>
    <mergeCell ref="A62:K62"/>
    <mergeCell ref="D17"/>
    <mergeCell ref="A3"/>
    <mergeCell ref="H7"/>
    <mergeCell ref="H16"/>
    <mergeCell ref="B19"/>
    <mergeCell ref="G14"/>
    <mergeCell ref="A5"/>
    <mergeCell ref="I14"/>
    <mergeCell ref="D3"/>
    <mergeCell ref="B3:C3"/>
    <mergeCell ref="A13"/>
    <mergeCell ref="C13"/>
    <mergeCell ref="B11:C11"/>
    <mergeCell ref="D20"/>
    <mergeCell ref="A15"/>
    <mergeCell ref="C15"/>
    <mergeCell ref="J20:K20"/>
    <mergeCell ref="E17"/>
    <mergeCell ref="A7"/>
    <mergeCell ref="F15"/>
    <mergeCell ref="A16"/>
    <mergeCell ref="C16"/>
    <mergeCell ref="B14"/>
    <mergeCell ref="A8:K8"/>
    <mergeCell ref="G18"/>
    <mergeCell ref="I18"/>
    <mergeCell ref="A18"/>
    <mergeCell ref="B13"/>
    <mergeCell ref="D7"/>
    <mergeCell ref="D16"/>
    <mergeCell ref="G5"/>
    <mergeCell ref="F13"/>
    <mergeCell ref="I5"/>
    <mergeCell ref="H13"/>
    <mergeCell ref="D18"/>
    <mergeCell ref="B7:C7"/>
    <mergeCell ref="G20"/>
    <mergeCell ref="I20"/>
    <mergeCell ref="A20"/>
    <mergeCell ref="H15"/>
    <mergeCell ref="I3:K3"/>
    <mergeCell ref="A1:K1"/>
    <mergeCell ref="H18"/>
    <mergeCell ref="I13"/>
    <mergeCell ref="I15"/>
    <mergeCell ref="D19"/>
    <mergeCell ref="F19"/>
    <mergeCell ref="F16"/>
    <mergeCell ref="C14"/>
    <mergeCell ref="E14"/>
    <mergeCell ref="A12:K12"/>
    <mergeCell ref="A21:K21"/>
    <mergeCell ref="J16:K16"/>
    <mergeCell ref="F20"/>
    <mergeCell ref="I16"/>
    <mergeCell ref="A32:K32"/>
    <mergeCell ref="B9:C9"/>
    <mergeCell ref="D13"/>
    <mergeCell ref="A4:K4"/>
    <mergeCell ref="A52:K52"/>
    <mergeCell ref="H19"/>
    <mergeCell ref="I7:K7"/>
    <mergeCell ref="I17"/>
    <mergeCell ref="A17"/>
    <mergeCell ref="C17"/>
    <mergeCell ref="J14:K14"/>
    <mergeCell ref="B15"/>
    <mergeCell ref="D15"/>
    <mergeCell ref="A10"/>
    <mergeCell ref="I19"/>
    <mergeCell ref="J13:K13"/>
    <mergeCell ref="A19"/>
    <mergeCell ref="C19"/>
    <mergeCell ref="H14"/>
    <mergeCell ref="A6:K6"/>
    <mergeCell ref="A9"/>
    <mergeCell ref="J15:K15"/>
    <mergeCell ref="B16"/>
    <mergeCell ref="A11"/>
    <mergeCell ref="C5"/>
    <mergeCell ref="E5"/>
    <mergeCell ref="B18"/>
    <mergeCell ref="C20"/>
    <mergeCell ref="E20"/>
    <mergeCell ref="B10:C10"/>
    <mergeCell ref="E3:G3"/>
    <mergeCell ref="E13"/>
    <mergeCell ref="F18"/>
    <mergeCell ref="G13"/>
    <mergeCell ref="F17"/>
    <mergeCell ref="A72:K72"/>
    <mergeCell ref="H17"/>
    <mergeCell ref="E15"/>
    <mergeCell ref="J18:K18"/>
    <mergeCell ref="G15"/>
    <mergeCell ref="A14"/>
    <mergeCell ref="J17:K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敵人數據卡 - 獨狼老手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10" t="n"/>
    </row>
    <row r="2">
      <c r="A2" s="3" t="inlineStr">
        <is>
          <t>基本資訊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10" t="n"/>
    </row>
    <row r="3">
      <c r="A3" s="5" t="inlineStr">
        <is>
          <t>敵人名稱</t>
        </is>
      </c>
      <c r="B3" s="6" t="inlineStr">
        <is>
          <t>獨狼老手</t>
        </is>
      </c>
      <c r="C3" s="10" t="n"/>
      <c r="D3" s="5" t="inlineStr">
        <is>
          <t>出場劇本</t>
        </is>
      </c>
      <c r="E3" s="6" t="inlineStr">
        <is>
          <t>劇本一</t>
        </is>
      </c>
      <c r="F3" s="9" t="n"/>
      <c r="G3" s="10" t="n"/>
      <c r="H3" s="5" t="inlineStr">
        <is>
          <t>威脅值</t>
        </is>
      </c>
      <c r="I3" s="6" t="n">
        <v>6</v>
      </c>
      <c r="J3" s="9" t="n"/>
      <c r="K3" s="10" t="n"/>
    </row>
    <row r="4">
      <c r="A4" s="3" t="inlineStr">
        <is>
          <t>五大屬性 [數值已輸入,修改黃色格]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10" t="n"/>
    </row>
    <row r="5">
      <c r="A5" s="5" t="inlineStr">
        <is>
          <t>體魄PHY</t>
        </is>
      </c>
      <c r="B5" s="7" t="n">
        <v>5</v>
      </c>
      <c r="C5" s="5" t="inlineStr">
        <is>
          <t>精準PRC</t>
        </is>
      </c>
      <c r="D5" s="7" t="n">
        <v>6</v>
      </c>
      <c r="E5" s="5" t="inlineStr">
        <is>
          <t>感知PER</t>
        </is>
      </c>
      <c r="F5" s="7" t="n">
        <v>7</v>
      </c>
      <c r="G5" s="5" t="inlineStr">
        <is>
          <t>技術TEC</t>
        </is>
      </c>
      <c r="H5" s="7" t="n">
        <v>4</v>
      </c>
      <c r="I5" s="5" t="inlineStr">
        <is>
          <t>膽魄CRG</t>
        </is>
      </c>
      <c r="J5" s="7" t="n">
        <v>6</v>
      </c>
    </row>
    <row r="6">
      <c r="A6" s="3" t="inlineStr">
        <is>
          <t>衍生屬性（自動計算）</t>
        </is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10" t="n"/>
    </row>
    <row r="7">
      <c r="A7" s="5" t="inlineStr">
        <is>
          <t>先攻值</t>
        </is>
      </c>
      <c r="B7" s="8">
        <f>G5+E5</f>
        <v/>
      </c>
      <c r="C7" s="10" t="n"/>
      <c r="D7" s="5" t="inlineStr">
        <is>
          <t>負重上限kg</t>
        </is>
      </c>
      <c r="E7" s="8">
        <f>C5*5</f>
        <v/>
      </c>
      <c r="F7" s="9" t="n"/>
      <c r="G7" s="10" t="n"/>
      <c r="H7" s="5" t="inlineStr">
        <is>
          <t>技能點參考</t>
        </is>
      </c>
      <c r="I7" s="8">
        <f>(I5+K5)*2</f>
        <v/>
      </c>
      <c r="J7" s="9" t="n"/>
      <c r="K7" s="10" t="n"/>
    </row>
    <row r="8">
      <c r="A8" s="3" t="inlineStr">
        <is>
          <t>技能等級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10" t="n"/>
    </row>
    <row r="9">
      <c r="A9" s="5" t="inlineStr">
        <is>
          <t>槍械</t>
        </is>
      </c>
      <c r="B9" s="6" t="n">
        <v>3</v>
      </c>
      <c r="C9" s="10" t="n"/>
    </row>
    <row r="10">
      <c r="A10" s="5" t="inlineStr">
        <is>
          <t>潛行</t>
        </is>
      </c>
      <c r="B10" s="6" t="n">
        <v>4</v>
      </c>
      <c r="C10" s="10" t="n"/>
    </row>
    <row r="11">
      <c r="A11" s="5" t="inlineStr">
        <is>
          <t>察覺</t>
        </is>
      </c>
      <c r="B11" s="6" t="n">
        <v>3</v>
      </c>
      <c r="C11" s="10" t="n"/>
    </row>
    <row r="12">
      <c r="A12" s="5" t="inlineStr">
        <is>
          <t>生存</t>
        </is>
      </c>
      <c r="B12" s="6" t="n">
        <v>2</v>
      </c>
      <c r="C12" s="10" t="n"/>
    </row>
    <row r="13">
      <c r="A13" s="5" t="inlineStr">
        <is>
          <t>意志</t>
        </is>
      </c>
      <c r="B13" s="6" t="n">
        <v>4</v>
      </c>
      <c r="C13" s="10" t="n"/>
    </row>
    <row r="14">
      <c r="A14" s="3" t="inlineStr">
        <is>
          <t>七部位 HP（自動計算）</t>
        </is>
      </c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10" t="n"/>
    </row>
    <row r="15">
      <c r="A15" s="5" t="inlineStr">
        <is>
          <t>部位</t>
        </is>
      </c>
      <c r="B15" s="6" t="inlineStr">
        <is>
          <t>最大HP</t>
        </is>
      </c>
      <c r="C15" s="5" t="inlineStr">
        <is>
          <t>當前HP</t>
        </is>
      </c>
      <c r="D15" s="6" t="inlineStr"/>
      <c r="E15" s="5" t="inlineStr">
        <is>
          <t>DR</t>
        </is>
      </c>
      <c r="F15" s="5" t="inlineStr">
        <is>
          <t>DR</t>
        </is>
      </c>
      <c r="G15" s="5" t="inlineStr">
        <is>
          <t>DR</t>
        </is>
      </c>
      <c r="H15" s="6" t="inlineStr"/>
      <c r="I15" s="5" t="inlineStr">
        <is>
          <t>受傷效果</t>
        </is>
      </c>
      <c r="J15" s="6" t="inlineStr"/>
      <c r="K15" s="10" t="n"/>
    </row>
    <row r="16">
      <c r="A16" s="5" t="inlineStr">
        <is>
          <t>頭部</t>
        </is>
      </c>
      <c r="B16" s="8">
        <f>C5+6</f>
        <v/>
      </c>
      <c r="C16" s="5" t="inlineStr"/>
      <c r="D16" s="6" t="inlineStr"/>
      <c r="E16" s="5" t="inlineStr"/>
      <c r="F16" s="6" t="inlineStr"/>
      <c r="G16" s="11" t="inlineStr">
        <is>
          <t>DR</t>
        </is>
      </c>
      <c r="H16" s="12" t="inlineStr">
        <is>
          <t>頭盔</t>
        </is>
      </c>
      <c r="I16" s="5" t="inlineStr">
        <is>
          <t>歸零=即死</t>
        </is>
      </c>
      <c r="J16" s="6" t="inlineStr">
        <is>
          <t>歸零=即死</t>
        </is>
      </c>
      <c r="K16" s="10" t="n"/>
    </row>
    <row r="17">
      <c r="A17" s="5" t="inlineStr">
        <is>
          <t>胸部</t>
        </is>
      </c>
      <c r="B17" s="8">
        <f>C5*2+10</f>
        <v/>
      </c>
      <c r="C17" s="5" t="inlineStr"/>
      <c r="D17" s="6" t="inlineStr"/>
      <c r="E17" s="5" t="inlineStr"/>
      <c r="F17" s="6" t="inlineStr"/>
      <c r="G17" s="11" t="inlineStr">
        <is>
          <t>DR</t>
        </is>
      </c>
      <c r="H17" s="12" t="inlineStr">
        <is>
          <t>防彈衣+背心</t>
        </is>
      </c>
      <c r="I17" s="5" t="inlineStr">
        <is>
          <t>歸零=瀕死(膽魄TN14/回合)</t>
        </is>
      </c>
      <c r="J17" s="6" t="inlineStr">
        <is>
          <t>歸零=瀕死(膽魄TN14/回合)</t>
        </is>
      </c>
      <c r="K17" s="10" t="n"/>
    </row>
    <row r="18">
      <c r="A18" s="5" t="inlineStr">
        <is>
          <t>腹部</t>
        </is>
      </c>
      <c r="B18" s="8">
        <f>C5+8</f>
        <v/>
      </c>
      <c r="C18" s="5" t="inlineStr"/>
      <c r="D18" s="6" t="inlineStr"/>
      <c r="E18" s="5" t="inlineStr"/>
      <c r="F18" s="6" t="inlineStr"/>
      <c r="G18" s="11" t="inlineStr">
        <is>
          <t>DR</t>
        </is>
      </c>
      <c r="H18" s="12" t="inlineStr">
        <is>
          <t>防彈衣+背心</t>
        </is>
      </c>
      <c r="I18" s="5" t="inlineStr">
        <is>
          <t>歸零=內出血(1HP/分)</t>
        </is>
      </c>
      <c r="J18" s="6" t="inlineStr">
        <is>
          <t>歸零=內出血(1HP/分)</t>
        </is>
      </c>
      <c r="K18" s="10" t="n"/>
    </row>
    <row r="19">
      <c r="A19" s="5" t="inlineStr">
        <is>
          <t>左臂</t>
        </is>
      </c>
      <c r="B19" s="8">
        <f>C5+4</f>
        <v/>
      </c>
      <c r="C19" s="5" t="inlineStr"/>
      <c r="D19" s="6" t="inlineStr"/>
      <c r="E19" s="5" t="inlineStr"/>
      <c r="F19" s="6" t="inlineStr"/>
      <c r="G19" s="11" t="inlineStr">
        <is>
          <t>DR</t>
        </is>
      </c>
      <c r="H19" s="12" t="inlineStr">
        <is>
          <t>手套</t>
        </is>
      </c>
      <c r="I19" s="5" t="inlineStr">
        <is>
          <t>歸零=永久失能</t>
        </is>
      </c>
      <c r="J19" s="6" t="inlineStr">
        <is>
          <t>歸零=永久失能</t>
        </is>
      </c>
      <c r="K19" s="10" t="n"/>
    </row>
    <row r="20">
      <c r="A20" s="5" t="inlineStr">
        <is>
          <t>右臂</t>
        </is>
      </c>
      <c r="B20" s="8">
        <f>C5+4</f>
        <v/>
      </c>
      <c r="C20" s="5" t="inlineStr"/>
      <c r="D20" s="6" t="inlineStr"/>
      <c r="E20" s="5" t="inlineStr"/>
      <c r="F20" s="6" t="inlineStr"/>
      <c r="G20" s="11" t="inlineStr">
        <is>
          <t>DR</t>
        </is>
      </c>
      <c r="H20" s="12" t="inlineStr">
        <is>
          <t>手套</t>
        </is>
      </c>
      <c r="I20" s="5" t="inlineStr">
        <is>
          <t>歸零=永久失能</t>
        </is>
      </c>
      <c r="J20" s="6" t="inlineStr">
        <is>
          <t>歸零=永久失能</t>
        </is>
      </c>
      <c r="K20" s="10" t="n"/>
    </row>
    <row r="21">
      <c r="A21" s="5" t="inlineStr">
        <is>
          <t>左腿</t>
        </is>
      </c>
      <c r="B21" s="8">
        <f>C5+5</f>
        <v/>
      </c>
      <c r="C21" s="5" t="inlineStr"/>
      <c r="D21" s="6" t="inlineStr"/>
      <c r="E21" s="5" t="inlineStr"/>
      <c r="F21" s="6" t="inlineStr"/>
      <c r="G21" s="11" t="inlineStr">
        <is>
          <t>DR</t>
        </is>
      </c>
      <c r="H21" s="12" t="inlineStr">
        <is>
          <t>軍靴</t>
        </is>
      </c>
      <c r="I21" s="5" t="inlineStr">
        <is>
          <t>歸零=倒地,不可行走</t>
        </is>
      </c>
      <c r="J21" s="6" t="inlineStr">
        <is>
          <t>歸零=倒地,不可行走</t>
        </is>
      </c>
      <c r="K21" s="10" t="n"/>
    </row>
    <row r="22">
      <c r="A22" s="5" t="inlineStr">
        <is>
          <t>右腿</t>
        </is>
      </c>
      <c r="B22" s="8">
        <f>C5+5</f>
        <v/>
      </c>
      <c r="C22" s="5" t="inlineStr"/>
      <c r="D22" s="6" t="inlineStr"/>
      <c r="E22" s="5" t="inlineStr"/>
      <c r="F22" s="6" t="inlineStr"/>
      <c r="G22" s="11" t="inlineStr">
        <is>
          <t>DR</t>
        </is>
      </c>
      <c r="H22" s="12" t="inlineStr">
        <is>
          <t>軍靴</t>
        </is>
      </c>
      <c r="I22" s="5" t="inlineStr">
        <is>
          <t>歸零=倒地,不可行走</t>
        </is>
      </c>
      <c r="J22" s="6" t="inlineStr">
        <is>
          <t>歸零=倒地,不可行走</t>
        </is>
      </c>
      <c r="K22" s="10" t="n"/>
    </row>
    <row r="23">
      <c r="A23" s="3" t="inlineStr">
        <is>
          <t>戰鬥數據</t>
        </is>
      </c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10" t="n"/>
    </row>
    <row r="24">
      <c r="A24" s="6" t="inlineStr">
        <is>
          <t>主攻擊: 軍用狙擊步槍 2d10 穿甲2 遠距-極遠</t>
        </is>
      </c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10" t="n"/>
    </row>
    <row r="25">
      <c r="C25" s="2" t="n"/>
    </row>
    <row r="26">
      <c r="D26" s="2" t="n"/>
    </row>
    <row r="27">
      <c r="E27" s="2" t="n"/>
    </row>
    <row r="28">
      <c r="F28" s="2" t="n"/>
    </row>
    <row r="29">
      <c r="G29" s="2" t="n"/>
    </row>
    <row r="30">
      <c r="H30" s="2" t="n"/>
    </row>
    <row r="31">
      <c r="I31" s="2" t="n"/>
    </row>
    <row r="32">
      <c r="J32" s="2" t="n"/>
    </row>
    <row r="33">
      <c r="K33" s="2" t="n"/>
    </row>
    <row r="34">
      <c r="A34" s="6" t="inlineStr">
        <is>
          <t>副攻擊: 戰術手槍 1d8 近-中距</t>
        </is>
      </c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10" t="n"/>
    </row>
    <row r="35">
      <c r="C35" s="2" t="n"/>
    </row>
    <row r="36">
      <c r="D36" s="2" t="n"/>
    </row>
    <row r="37">
      <c r="E37" s="2" t="n"/>
    </row>
    <row r="38">
      <c r="F38" s="2" t="n"/>
    </row>
    <row r="39">
      <c r="G39" s="2" t="n"/>
    </row>
    <row r="40">
      <c r="H40" s="2" t="n"/>
    </row>
    <row r="41">
      <c r="I41" s="2" t="n"/>
    </row>
    <row r="42">
      <c r="J42" s="2" t="n"/>
    </row>
    <row r="43">
      <c r="K43" s="2" t="n"/>
    </row>
    <row r="44">
      <c r="A44" s="6" t="inlineStr">
        <is>
          <t>防具/DR: 頭DR0,胸/腹DR1(軟質)</t>
        </is>
      </c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10" t="n"/>
    </row>
    <row r="45">
      <c r="C45" s="2" t="n"/>
    </row>
    <row r="46">
      <c r="D46" s="2" t="n"/>
    </row>
    <row r="47">
      <c r="E47" s="2" t="n"/>
    </row>
    <row r="48">
      <c r="F48" s="2" t="n"/>
    </row>
    <row r="49">
      <c r="G49" s="2" t="n"/>
    </row>
    <row r="50">
      <c r="H50" s="2" t="n"/>
    </row>
    <row r="51">
      <c r="I51" s="2" t="n"/>
    </row>
    <row r="52">
      <c r="J52" s="2" t="n"/>
    </row>
    <row r="53">
      <c r="K53" s="2" t="n"/>
    </row>
    <row r="54">
      <c r="A54" s="6" t="inlineStr">
        <is>
          <t>特殊能力: 戰術評估(1AP): 評估掩體DR</t>
        </is>
      </c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10" t="n"/>
    </row>
    <row r="55">
      <c r="C55" s="2" t="n"/>
    </row>
    <row r="56">
      <c r="D56" s="2" t="n"/>
    </row>
    <row r="57">
      <c r="E57" s="2" t="n"/>
    </row>
    <row r="58">
      <c r="F58" s="2" t="n"/>
    </row>
    <row r="59">
      <c r="G59" s="2" t="n"/>
    </row>
    <row r="60">
      <c r="H60" s="2" t="n"/>
    </row>
    <row r="61">
      <c r="I61" s="2" t="n"/>
    </row>
    <row r="62">
      <c r="J62" s="2" t="n"/>
    </row>
    <row r="63">
      <c r="K63" s="2" t="n"/>
    </row>
    <row r="64">
      <c r="A64" s="6" t="inlineStr">
        <is>
          <t>行為模式: 避戰優先; 遠距觀察→評估→僅必要時開火; HP&lt;50%撤退</t>
        </is>
      </c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10" t="n"/>
    </row>
    <row r="65">
      <c r="C65" s="2" t="n"/>
    </row>
    <row r="66">
      <c r="D66" s="2" t="n"/>
    </row>
    <row r="67">
      <c r="E67" s="2" t="n"/>
    </row>
    <row r="68">
      <c r="F68" s="2" t="n"/>
    </row>
    <row r="69">
      <c r="G69" s="2" t="n"/>
    </row>
    <row r="70">
      <c r="H70" s="2" t="n"/>
    </row>
    <row r="71">
      <c r="I71" s="2" t="n"/>
    </row>
    <row r="72">
      <c r="J72" s="2" t="n"/>
    </row>
    <row r="73">
      <c r="K73" s="2" t="n"/>
    </row>
    <row r="74">
      <c r="A74" s="6" t="inlineStr">
        <is>
          <t>戰利品: 狙擊步槍(紫)+手槍(藍)+彈藥</t>
        </is>
      </c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10" t="n"/>
    </row>
    <row r="75">
      <c r="C75" s="2" t="n"/>
    </row>
    <row r="76">
      <c r="D76" s="2" t="n"/>
    </row>
    <row r="77">
      <c r="E77" s="2" t="n"/>
    </row>
    <row r="78">
      <c r="F78" s="2" t="n"/>
    </row>
    <row r="79">
      <c r="G79" s="2" t="n"/>
    </row>
    <row r="80">
      <c r="H80" s="2" t="n"/>
    </row>
    <row r="81">
      <c r="I81" s="2" t="n"/>
    </row>
    <row r="82">
      <c r="J82" s="2" t="n"/>
    </row>
    <row r="83">
      <c r="K83" s="2" t="n"/>
    </row>
  </sheetData>
  <mergeCells count="120">
    <mergeCell ref="A64:K64"/>
    <mergeCell ref="H3"/>
    <mergeCell ref="A24:K24"/>
    <mergeCell ref="J19:K19"/>
    <mergeCell ref="B20"/>
    <mergeCell ref="E16"/>
    <mergeCell ref="G16"/>
    <mergeCell ref="B12:C12"/>
    <mergeCell ref="C18"/>
    <mergeCell ref="E18"/>
    <mergeCell ref="A54:K54"/>
    <mergeCell ref="H20"/>
    <mergeCell ref="E7:G7"/>
    <mergeCell ref="B13:C13"/>
    <mergeCell ref="G17"/>
    <mergeCell ref="F21"/>
    <mergeCell ref="A2:K2"/>
    <mergeCell ref="H21"/>
    <mergeCell ref="E19"/>
    <mergeCell ref="G19"/>
    <mergeCell ref="I22"/>
    <mergeCell ref="J21:K21"/>
    <mergeCell ref="B17"/>
    <mergeCell ref="D17"/>
    <mergeCell ref="A3"/>
    <mergeCell ref="I21"/>
    <mergeCell ref="H7"/>
    <mergeCell ref="H16"/>
    <mergeCell ref="B19"/>
    <mergeCell ref="A5"/>
    <mergeCell ref="D3"/>
    <mergeCell ref="B3:C3"/>
    <mergeCell ref="A13"/>
    <mergeCell ref="B11:C11"/>
    <mergeCell ref="D20"/>
    <mergeCell ref="A15"/>
    <mergeCell ref="C15"/>
    <mergeCell ref="B22"/>
    <mergeCell ref="D22"/>
    <mergeCell ref="A74:K74"/>
    <mergeCell ref="J20:K20"/>
    <mergeCell ref="E17"/>
    <mergeCell ref="B21"/>
    <mergeCell ref="D21"/>
    <mergeCell ref="A7"/>
    <mergeCell ref="F15"/>
    <mergeCell ref="A16"/>
    <mergeCell ref="C16"/>
    <mergeCell ref="J22:K22"/>
    <mergeCell ref="A8:K8"/>
    <mergeCell ref="G18"/>
    <mergeCell ref="I18"/>
    <mergeCell ref="A18"/>
    <mergeCell ref="D7"/>
    <mergeCell ref="D16"/>
    <mergeCell ref="G5"/>
    <mergeCell ref="I5"/>
    <mergeCell ref="A34:K34"/>
    <mergeCell ref="A22"/>
    <mergeCell ref="D18"/>
    <mergeCell ref="B7:C7"/>
    <mergeCell ref="G20"/>
    <mergeCell ref="I20"/>
    <mergeCell ref="A20"/>
    <mergeCell ref="H15"/>
    <mergeCell ref="I3:K3"/>
    <mergeCell ref="A1:K1"/>
    <mergeCell ref="H18"/>
    <mergeCell ref="E22"/>
    <mergeCell ref="G22"/>
    <mergeCell ref="E21"/>
    <mergeCell ref="G21"/>
    <mergeCell ref="I15"/>
    <mergeCell ref="D19"/>
    <mergeCell ref="F19"/>
    <mergeCell ref="F16"/>
    <mergeCell ref="J16:K16"/>
    <mergeCell ref="F20"/>
    <mergeCell ref="I16"/>
    <mergeCell ref="B9:C9"/>
    <mergeCell ref="A14:K14"/>
    <mergeCell ref="A23:K23"/>
    <mergeCell ref="A4:K4"/>
    <mergeCell ref="H19"/>
    <mergeCell ref="I7:K7"/>
    <mergeCell ref="I17"/>
    <mergeCell ref="A17"/>
    <mergeCell ref="C17"/>
    <mergeCell ref="B15"/>
    <mergeCell ref="D15"/>
    <mergeCell ref="A10"/>
    <mergeCell ref="I19"/>
    <mergeCell ref="A19"/>
    <mergeCell ref="C19"/>
    <mergeCell ref="A6:K6"/>
    <mergeCell ref="A9"/>
    <mergeCell ref="J15:K15"/>
    <mergeCell ref="B16"/>
    <mergeCell ref="A11"/>
    <mergeCell ref="C5"/>
    <mergeCell ref="E5"/>
    <mergeCell ref="B18"/>
    <mergeCell ref="C20"/>
    <mergeCell ref="E20"/>
    <mergeCell ref="B10:C10"/>
    <mergeCell ref="E3:G3"/>
    <mergeCell ref="H22"/>
    <mergeCell ref="C22"/>
    <mergeCell ref="F18"/>
    <mergeCell ref="A12"/>
    <mergeCell ref="F17"/>
    <mergeCell ref="A21"/>
    <mergeCell ref="H17"/>
    <mergeCell ref="C21"/>
    <mergeCell ref="E15"/>
    <mergeCell ref="J18:K18"/>
    <mergeCell ref="G15"/>
    <mergeCell ref="A44:K44"/>
    <mergeCell ref="F22"/>
    <mergeCell ref="J17:K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敵人數據卡 - 新手團隊成員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10" t="n"/>
    </row>
    <row r="2">
      <c r="A2" s="3" t="inlineStr">
        <is>
          <t>基本資訊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10" t="n"/>
    </row>
    <row r="3">
      <c r="A3" s="5" t="inlineStr">
        <is>
          <t>敵人名稱</t>
        </is>
      </c>
      <c r="B3" s="6" t="inlineStr">
        <is>
          <t>新手團隊成員</t>
        </is>
      </c>
      <c r="C3" s="10" t="n"/>
      <c r="D3" s="5" t="inlineStr">
        <is>
          <t>出場劇本</t>
        </is>
      </c>
      <c r="E3" s="6" t="inlineStr">
        <is>
          <t>劇本一</t>
        </is>
      </c>
      <c r="F3" s="9" t="n"/>
      <c r="G3" s="10" t="n"/>
      <c r="H3" s="5" t="inlineStr">
        <is>
          <t>威脅值</t>
        </is>
      </c>
      <c r="I3" s="6" t="n">
        <v>2</v>
      </c>
      <c r="J3" s="9" t="n"/>
      <c r="K3" s="10" t="n"/>
    </row>
    <row r="4">
      <c r="A4" s="3" t="inlineStr">
        <is>
          <t>五大屬性 [數值已輸入,修改黃色格]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10" t="n"/>
    </row>
    <row r="5">
      <c r="A5" s="5" t="inlineStr">
        <is>
          <t>體魄PHY</t>
        </is>
      </c>
      <c r="B5" s="7" t="n">
        <v>4</v>
      </c>
      <c r="C5" s="5" t="inlineStr">
        <is>
          <t>精準PRC</t>
        </is>
      </c>
      <c r="D5" s="7" t="n">
        <v>3</v>
      </c>
      <c r="E5" s="5" t="inlineStr">
        <is>
          <t>感知PER</t>
        </is>
      </c>
      <c r="F5" s="7" t="n">
        <v>4</v>
      </c>
      <c r="G5" s="5" t="inlineStr">
        <is>
          <t>技術TEC</t>
        </is>
      </c>
      <c r="H5" s="7" t="n">
        <v>2</v>
      </c>
      <c r="I5" s="5" t="inlineStr">
        <is>
          <t>膽魄CRG</t>
        </is>
      </c>
      <c r="J5" s="7" t="n">
        <v>3</v>
      </c>
    </row>
    <row r="6">
      <c r="A6" s="3" t="inlineStr">
        <is>
          <t>衍生屬性（自動計算）</t>
        </is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10" t="n"/>
    </row>
    <row r="7">
      <c r="A7" s="5" t="inlineStr">
        <is>
          <t>先攻值</t>
        </is>
      </c>
      <c r="B7" s="8">
        <f>G5+E5</f>
        <v/>
      </c>
      <c r="C7" s="10" t="n"/>
      <c r="D7" s="5" t="inlineStr">
        <is>
          <t>負重上限kg</t>
        </is>
      </c>
      <c r="E7" s="8">
        <f>C5*5</f>
        <v/>
      </c>
      <c r="F7" s="9" t="n"/>
      <c r="G7" s="10" t="n"/>
      <c r="H7" s="5" t="inlineStr">
        <is>
          <t>技能點參考</t>
        </is>
      </c>
      <c r="I7" s="8">
        <f>(I5+K5)*2</f>
        <v/>
      </c>
      <c r="J7" s="9" t="n"/>
      <c r="K7" s="10" t="n"/>
    </row>
    <row r="8">
      <c r="A8" s="3" t="inlineStr">
        <is>
          <t>技能等級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10" t="n"/>
    </row>
    <row r="9">
      <c r="A9" s="5" t="inlineStr">
        <is>
          <t>槍械</t>
        </is>
      </c>
      <c r="B9" s="6" t="n">
        <v>1</v>
      </c>
      <c r="C9" s="10" t="n"/>
    </row>
    <row r="10">
      <c r="A10" s="5" t="inlineStr">
        <is>
          <t>察覺</t>
        </is>
      </c>
      <c r="B10" s="6" t="n">
        <v>1</v>
      </c>
      <c r="C10" s="10" t="n"/>
    </row>
    <row r="11">
      <c r="A11" s="5" t="inlineStr">
        <is>
          <t>意志</t>
        </is>
      </c>
      <c r="B11" s="6" t="n">
        <v>1</v>
      </c>
      <c r="C11" s="10" t="n"/>
    </row>
    <row r="12">
      <c r="A12" s="3" t="inlineStr">
        <is>
          <t>七部位 HP（自動計算）</t>
        </is>
      </c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10" t="n"/>
    </row>
    <row r="13">
      <c r="A13" s="5" t="inlineStr">
        <is>
          <t>部位</t>
        </is>
      </c>
      <c r="B13" s="6" t="inlineStr">
        <is>
          <t>最大HP</t>
        </is>
      </c>
      <c r="C13" s="5" t="inlineStr">
        <is>
          <t>當前HP</t>
        </is>
      </c>
      <c r="D13" s="6" t="inlineStr"/>
      <c r="E13" s="5" t="inlineStr">
        <is>
          <t>DR</t>
        </is>
      </c>
      <c r="F13" s="5" t="inlineStr">
        <is>
          <t>DR</t>
        </is>
      </c>
      <c r="G13" s="5" t="inlineStr">
        <is>
          <t>DR</t>
        </is>
      </c>
      <c r="H13" s="6" t="inlineStr"/>
      <c r="I13" s="5" t="inlineStr">
        <is>
          <t>受傷效果</t>
        </is>
      </c>
      <c r="J13" s="6" t="inlineStr"/>
      <c r="K13" s="10" t="n"/>
    </row>
    <row r="14">
      <c r="A14" s="5" t="inlineStr">
        <is>
          <t>頭部</t>
        </is>
      </c>
      <c r="B14" s="8">
        <f>C5+6</f>
        <v/>
      </c>
      <c r="C14" s="5" t="inlineStr"/>
      <c r="D14" s="6" t="inlineStr"/>
      <c r="E14" s="5" t="inlineStr"/>
      <c r="F14" s="6" t="inlineStr"/>
      <c r="G14" s="11" t="inlineStr">
        <is>
          <t>DR</t>
        </is>
      </c>
      <c r="H14" s="12" t="inlineStr">
        <is>
          <t>頭盔</t>
        </is>
      </c>
      <c r="I14" s="5" t="inlineStr">
        <is>
          <t>歸零=即死</t>
        </is>
      </c>
      <c r="J14" s="6" t="inlineStr">
        <is>
          <t>歸零=即死</t>
        </is>
      </c>
      <c r="K14" s="10" t="n"/>
    </row>
    <row r="15">
      <c r="A15" s="5" t="inlineStr">
        <is>
          <t>胸部</t>
        </is>
      </c>
      <c r="B15" s="8">
        <f>C5*2+10</f>
        <v/>
      </c>
      <c r="C15" s="5" t="inlineStr"/>
      <c r="D15" s="6" t="inlineStr"/>
      <c r="E15" s="5" t="inlineStr"/>
      <c r="F15" s="6" t="inlineStr"/>
      <c r="G15" s="11" t="inlineStr">
        <is>
          <t>DR</t>
        </is>
      </c>
      <c r="H15" s="12" t="inlineStr">
        <is>
          <t>防彈衣+背心</t>
        </is>
      </c>
      <c r="I15" s="5" t="inlineStr">
        <is>
          <t>歸零=瀕死(膽魄TN14/回合)</t>
        </is>
      </c>
      <c r="J15" s="6" t="inlineStr">
        <is>
          <t>歸零=瀕死(膽魄TN14/回合)</t>
        </is>
      </c>
      <c r="K15" s="10" t="n"/>
    </row>
    <row r="16">
      <c r="A16" s="5" t="inlineStr">
        <is>
          <t>腹部</t>
        </is>
      </c>
      <c r="B16" s="8">
        <f>C5+8</f>
        <v/>
      </c>
      <c r="C16" s="5" t="inlineStr"/>
      <c r="D16" s="6" t="inlineStr"/>
      <c r="E16" s="5" t="inlineStr"/>
      <c r="F16" s="6" t="inlineStr"/>
      <c r="G16" s="11" t="inlineStr">
        <is>
          <t>DR</t>
        </is>
      </c>
      <c r="H16" s="12" t="inlineStr">
        <is>
          <t>防彈衣+背心</t>
        </is>
      </c>
      <c r="I16" s="5" t="inlineStr">
        <is>
          <t>歸零=內出血(1HP/分)</t>
        </is>
      </c>
      <c r="J16" s="6" t="inlineStr">
        <is>
          <t>歸零=內出血(1HP/分)</t>
        </is>
      </c>
      <c r="K16" s="10" t="n"/>
    </row>
    <row r="17">
      <c r="A17" s="5" t="inlineStr">
        <is>
          <t>左臂</t>
        </is>
      </c>
      <c r="B17" s="8">
        <f>C5+4</f>
        <v/>
      </c>
      <c r="C17" s="5" t="inlineStr"/>
      <c r="D17" s="6" t="inlineStr"/>
      <c r="E17" s="5" t="inlineStr"/>
      <c r="F17" s="6" t="inlineStr"/>
      <c r="G17" s="11" t="inlineStr">
        <is>
          <t>DR</t>
        </is>
      </c>
      <c r="H17" s="12" t="inlineStr">
        <is>
          <t>手套</t>
        </is>
      </c>
      <c r="I17" s="5" t="inlineStr">
        <is>
          <t>歸零=永久失能</t>
        </is>
      </c>
      <c r="J17" s="6" t="inlineStr">
        <is>
          <t>歸零=永久失能</t>
        </is>
      </c>
      <c r="K17" s="10" t="n"/>
    </row>
    <row r="18">
      <c r="A18" s="5" t="inlineStr">
        <is>
          <t>右臂</t>
        </is>
      </c>
      <c r="B18" s="8">
        <f>C5+4</f>
        <v/>
      </c>
      <c r="C18" s="5" t="inlineStr"/>
      <c r="D18" s="6" t="inlineStr"/>
      <c r="E18" s="5" t="inlineStr"/>
      <c r="F18" s="6" t="inlineStr"/>
      <c r="G18" s="11" t="inlineStr">
        <is>
          <t>DR</t>
        </is>
      </c>
      <c r="H18" s="12" t="inlineStr">
        <is>
          <t>手套</t>
        </is>
      </c>
      <c r="I18" s="5" t="inlineStr">
        <is>
          <t>歸零=永久失能</t>
        </is>
      </c>
      <c r="J18" s="6" t="inlineStr">
        <is>
          <t>歸零=永久失能</t>
        </is>
      </c>
      <c r="K18" s="10" t="n"/>
    </row>
    <row r="19">
      <c r="A19" s="5" t="inlineStr">
        <is>
          <t>左腿</t>
        </is>
      </c>
      <c r="B19" s="8">
        <f>C5+5</f>
        <v/>
      </c>
      <c r="C19" s="5" t="inlineStr"/>
      <c r="D19" s="6" t="inlineStr"/>
      <c r="E19" s="5" t="inlineStr"/>
      <c r="F19" s="6" t="inlineStr"/>
      <c r="G19" s="11" t="inlineStr">
        <is>
          <t>DR</t>
        </is>
      </c>
      <c r="H19" s="12" t="inlineStr">
        <is>
          <t>軍靴</t>
        </is>
      </c>
      <c r="I19" s="5" t="inlineStr">
        <is>
          <t>歸零=倒地,不可行走</t>
        </is>
      </c>
      <c r="J19" s="6" t="inlineStr">
        <is>
          <t>歸零=倒地,不可行走</t>
        </is>
      </c>
      <c r="K19" s="10" t="n"/>
    </row>
    <row r="20">
      <c r="A20" s="5" t="inlineStr">
        <is>
          <t>右腿</t>
        </is>
      </c>
      <c r="B20" s="8">
        <f>C5+5</f>
        <v/>
      </c>
      <c r="C20" s="5" t="inlineStr"/>
      <c r="D20" s="6" t="inlineStr"/>
      <c r="E20" s="5" t="inlineStr"/>
      <c r="F20" s="6" t="inlineStr"/>
      <c r="G20" s="11" t="inlineStr">
        <is>
          <t>DR</t>
        </is>
      </c>
      <c r="H20" s="12" t="inlineStr">
        <is>
          <t>軍靴</t>
        </is>
      </c>
      <c r="I20" s="5" t="inlineStr">
        <is>
          <t>歸零=倒地,不可行走</t>
        </is>
      </c>
      <c r="J20" s="6" t="inlineStr">
        <is>
          <t>歸零=倒地,不可行走</t>
        </is>
      </c>
      <c r="K20" s="10" t="n"/>
    </row>
    <row r="21">
      <c r="A21" s="3" t="inlineStr">
        <is>
          <t>戰鬥數據</t>
        </is>
      </c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10" t="n"/>
    </row>
    <row r="22">
      <c r="A22" s="6" t="inlineStr">
        <is>
          <t>主攻擊: 廉價手槍 1d6 故1/8 近-中距</t>
        </is>
      </c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10" t="n"/>
    </row>
    <row r="23">
      <c r="C23" s="2" t="n"/>
    </row>
    <row r="24">
      <c r="D24" s="2" t="n"/>
    </row>
    <row r="25">
      <c r="E25" s="2" t="n"/>
    </row>
    <row r="26">
      <c r="F26" s="2" t="n"/>
    </row>
    <row r="27">
      <c r="G27" s="2" t="n"/>
    </row>
    <row r="28">
      <c r="H28" s="2" t="n"/>
    </row>
    <row r="29">
      <c r="I29" s="2" t="n"/>
    </row>
    <row r="30">
      <c r="J30" s="2" t="n"/>
    </row>
    <row r="31">
      <c r="K31" s="2" t="n"/>
    </row>
    <row r="32">
      <c r="A32" s="6" t="inlineStr">
        <is>
          <t xml:space="preserve">副攻擊: </t>
        </is>
      </c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10" t="n"/>
    </row>
    <row r="33">
      <c r="C33" s="2" t="n"/>
    </row>
    <row r="34">
      <c r="D34" s="2" t="n"/>
    </row>
    <row r="35">
      <c r="E35" s="2" t="n"/>
    </row>
    <row r="36">
      <c r="F36" s="2" t="n"/>
    </row>
    <row r="37">
      <c r="G37" s="2" t="n"/>
    </row>
    <row r="38">
      <c r="H38" s="2" t="n"/>
    </row>
    <row r="39">
      <c r="I39" s="2" t="n"/>
    </row>
    <row r="40">
      <c r="J40" s="2" t="n"/>
    </row>
    <row r="41">
      <c r="K41" s="2" t="n"/>
    </row>
    <row r="42">
      <c r="A42" s="6" t="inlineStr">
        <is>
          <t>防具/DR: DR 0</t>
        </is>
      </c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10" t="n"/>
    </row>
    <row r="43">
      <c r="C43" s="2" t="n"/>
    </row>
    <row r="44">
      <c r="D44" s="2" t="n"/>
    </row>
    <row r="45">
      <c r="E45" s="2" t="n"/>
    </row>
    <row r="46">
      <c r="F46" s="2" t="n"/>
    </row>
    <row r="47">
      <c r="G47" s="2" t="n"/>
    </row>
    <row r="48">
      <c r="H48" s="2" t="n"/>
    </row>
    <row r="49">
      <c r="I49" s="2" t="n"/>
    </row>
    <row r="50">
      <c r="J50" s="2" t="n"/>
    </row>
    <row r="51">
      <c r="K51" s="2" t="n"/>
    </row>
    <row r="52">
      <c r="A52" s="6" t="inlineStr">
        <is>
          <t>特殊能力: 恐慌: HP&lt;50%時膽魄TN11否則逃跑</t>
        </is>
      </c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10" t="n"/>
    </row>
    <row r="53">
      <c r="C53" s="2" t="n"/>
    </row>
    <row r="54">
      <c r="D54" s="2" t="n"/>
    </row>
    <row r="55">
      <c r="E55" s="2" t="n"/>
    </row>
    <row r="56">
      <c r="F56" s="2" t="n"/>
    </row>
    <row r="57">
      <c r="G57" s="2" t="n"/>
    </row>
    <row r="58">
      <c r="H58" s="2" t="n"/>
    </row>
    <row r="59">
      <c r="I59" s="2" t="n"/>
    </row>
    <row r="60">
      <c r="J60" s="2" t="n"/>
    </row>
    <row r="61">
      <c r="K61" s="2" t="n"/>
    </row>
    <row r="62">
      <c r="A62" s="6" t="inlineStr">
        <is>
          <t>行為模式: 緊張巡邏; 容易恐慌; 可談判/可威嚇/可救助</t>
        </is>
      </c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10" t="n"/>
    </row>
    <row r="63">
      <c r="C63" s="2" t="n"/>
    </row>
    <row r="64">
      <c r="D64" s="2" t="n"/>
    </row>
    <row r="65">
      <c r="E65" s="2" t="n"/>
    </row>
    <row r="66">
      <c r="F66" s="2" t="n"/>
    </row>
    <row r="67">
      <c r="G67" s="2" t="n"/>
    </row>
    <row r="68">
      <c r="H68" s="2" t="n"/>
    </row>
    <row r="69">
      <c r="I69" s="2" t="n"/>
    </row>
    <row r="70">
      <c r="J70" s="2" t="n"/>
    </row>
    <row r="71">
      <c r="K71" s="2" t="n"/>
    </row>
    <row r="72">
      <c r="A72" s="6" t="inlineStr">
        <is>
          <t>戰利品: 廉價手槍+少量彈藥</t>
        </is>
      </c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10" t="n"/>
    </row>
    <row r="73">
      <c r="C73" s="2" t="n"/>
    </row>
    <row r="74">
      <c r="D74" s="2" t="n"/>
    </row>
    <row r="75">
      <c r="E75" s="2" t="n"/>
    </row>
    <row r="76">
      <c r="F76" s="2" t="n"/>
    </row>
    <row r="77">
      <c r="G77" s="2" t="n"/>
    </row>
    <row r="78">
      <c r="H78" s="2" t="n"/>
    </row>
    <row r="79">
      <c r="I79" s="2" t="n"/>
    </row>
    <row r="80">
      <c r="J80" s="2" t="n"/>
    </row>
    <row r="81">
      <c r="K81" s="2" t="n"/>
    </row>
  </sheetData>
  <mergeCells count="116">
    <mergeCell ref="H3"/>
    <mergeCell ref="J19:K19"/>
    <mergeCell ref="B20"/>
    <mergeCell ref="E16"/>
    <mergeCell ref="G16"/>
    <mergeCell ref="D14"/>
    <mergeCell ref="F14"/>
    <mergeCell ref="C18"/>
    <mergeCell ref="E18"/>
    <mergeCell ref="H20"/>
    <mergeCell ref="E7:G7"/>
    <mergeCell ref="G17"/>
    <mergeCell ref="A2:K2"/>
    <mergeCell ref="E19"/>
    <mergeCell ref="A42:K42"/>
    <mergeCell ref="G19"/>
    <mergeCell ref="A22:K22"/>
    <mergeCell ref="B17"/>
    <mergeCell ref="A62:K62"/>
    <mergeCell ref="D17"/>
    <mergeCell ref="A3"/>
    <mergeCell ref="H7"/>
    <mergeCell ref="H16"/>
    <mergeCell ref="B19"/>
    <mergeCell ref="G14"/>
    <mergeCell ref="A5"/>
    <mergeCell ref="I14"/>
    <mergeCell ref="D3"/>
    <mergeCell ref="B3:C3"/>
    <mergeCell ref="A13"/>
    <mergeCell ref="C13"/>
    <mergeCell ref="B11:C11"/>
    <mergeCell ref="D20"/>
    <mergeCell ref="A15"/>
    <mergeCell ref="C15"/>
    <mergeCell ref="J20:K20"/>
    <mergeCell ref="E17"/>
    <mergeCell ref="A7"/>
    <mergeCell ref="F15"/>
    <mergeCell ref="A16"/>
    <mergeCell ref="C16"/>
    <mergeCell ref="B14"/>
    <mergeCell ref="A8:K8"/>
    <mergeCell ref="G18"/>
    <mergeCell ref="I18"/>
    <mergeCell ref="A18"/>
    <mergeCell ref="B13"/>
    <mergeCell ref="D7"/>
    <mergeCell ref="D16"/>
    <mergeCell ref="G5"/>
    <mergeCell ref="F13"/>
    <mergeCell ref="I5"/>
    <mergeCell ref="H13"/>
    <mergeCell ref="D18"/>
    <mergeCell ref="B7:C7"/>
    <mergeCell ref="G20"/>
    <mergeCell ref="I20"/>
    <mergeCell ref="A20"/>
    <mergeCell ref="H15"/>
    <mergeCell ref="I3:K3"/>
    <mergeCell ref="A1:K1"/>
    <mergeCell ref="H18"/>
    <mergeCell ref="I13"/>
    <mergeCell ref="I15"/>
    <mergeCell ref="D19"/>
    <mergeCell ref="F19"/>
    <mergeCell ref="F16"/>
    <mergeCell ref="C14"/>
    <mergeCell ref="E14"/>
    <mergeCell ref="A12:K12"/>
    <mergeCell ref="A21:K21"/>
    <mergeCell ref="J16:K16"/>
    <mergeCell ref="F20"/>
    <mergeCell ref="I16"/>
    <mergeCell ref="A32:K32"/>
    <mergeCell ref="B9:C9"/>
    <mergeCell ref="D13"/>
    <mergeCell ref="A4:K4"/>
    <mergeCell ref="A52:K52"/>
    <mergeCell ref="H19"/>
    <mergeCell ref="I7:K7"/>
    <mergeCell ref="I17"/>
    <mergeCell ref="A17"/>
    <mergeCell ref="C17"/>
    <mergeCell ref="J14:K14"/>
    <mergeCell ref="B15"/>
    <mergeCell ref="D15"/>
    <mergeCell ref="A10"/>
    <mergeCell ref="I19"/>
    <mergeCell ref="J13:K13"/>
    <mergeCell ref="A19"/>
    <mergeCell ref="C19"/>
    <mergeCell ref="H14"/>
    <mergeCell ref="A6:K6"/>
    <mergeCell ref="A9"/>
    <mergeCell ref="J15:K15"/>
    <mergeCell ref="B16"/>
    <mergeCell ref="A11"/>
    <mergeCell ref="C5"/>
    <mergeCell ref="E5"/>
    <mergeCell ref="B18"/>
    <mergeCell ref="C20"/>
    <mergeCell ref="E20"/>
    <mergeCell ref="B10:C10"/>
    <mergeCell ref="E3:G3"/>
    <mergeCell ref="E13"/>
    <mergeCell ref="F18"/>
    <mergeCell ref="G13"/>
    <mergeCell ref="F17"/>
    <mergeCell ref="A72:K72"/>
    <mergeCell ref="H17"/>
    <mergeCell ref="E15"/>
    <mergeCell ref="J18:K18"/>
    <mergeCell ref="G15"/>
    <mergeCell ref="A14"/>
    <mergeCell ref="J17:K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敵人數據卡 - 變異鼠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10" t="n"/>
    </row>
    <row r="2">
      <c r="A2" s="3" t="inlineStr">
        <is>
          <t>基本資訊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10" t="n"/>
    </row>
    <row r="3">
      <c r="A3" s="5" t="inlineStr">
        <is>
          <t>敵人名稱</t>
        </is>
      </c>
      <c r="B3" s="6" t="inlineStr">
        <is>
          <t>變異鼠</t>
        </is>
      </c>
      <c r="C3" s="10" t="n"/>
      <c r="D3" s="5" t="inlineStr">
        <is>
          <t>出場劇本</t>
        </is>
      </c>
      <c r="E3" s="6" t="inlineStr">
        <is>
          <t>劇本二,六</t>
        </is>
      </c>
      <c r="F3" s="9" t="n"/>
      <c r="G3" s="10" t="n"/>
      <c r="H3" s="5" t="inlineStr">
        <is>
          <t>威脅值</t>
        </is>
      </c>
      <c r="I3" s="6" t="n">
        <v>1</v>
      </c>
      <c r="J3" s="9" t="n"/>
      <c r="K3" s="10" t="n"/>
    </row>
    <row r="4">
      <c r="A4" s="3" t="inlineStr">
        <is>
          <t>五大屬性 [數值已輸入,修改黃色格]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10" t="n"/>
    </row>
    <row r="5">
      <c r="A5" s="5" t="inlineStr">
        <is>
          <t>體魄PHY</t>
        </is>
      </c>
      <c r="B5" s="7" t="n">
        <v>2</v>
      </c>
      <c r="C5" s="5" t="inlineStr">
        <is>
          <t>精準PRC</t>
        </is>
      </c>
      <c r="D5" s="7" t="n">
        <v>1</v>
      </c>
      <c r="E5" s="5" t="inlineStr">
        <is>
          <t>感知PER</t>
        </is>
      </c>
      <c r="F5" s="7" t="n">
        <v>5</v>
      </c>
      <c r="G5" s="5" t="inlineStr">
        <is>
          <t>技術TEC</t>
        </is>
      </c>
      <c r="H5" s="7" t="n">
        <v>1</v>
      </c>
      <c r="I5" s="5" t="inlineStr">
        <is>
          <t>膽魄CRG</t>
        </is>
      </c>
      <c r="J5" s="7" t="n">
        <v>6</v>
      </c>
    </row>
    <row r="6">
      <c r="A6" s="3" t="inlineStr">
        <is>
          <t>衍生屬性（自動計算）</t>
        </is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10" t="n"/>
    </row>
    <row r="7">
      <c r="A7" s="5" t="inlineStr">
        <is>
          <t>先攻值</t>
        </is>
      </c>
      <c r="B7" s="8">
        <f>G5+E5</f>
        <v/>
      </c>
      <c r="C7" s="10" t="n"/>
      <c r="D7" s="5" t="inlineStr">
        <is>
          <t>負重上限kg</t>
        </is>
      </c>
      <c r="E7" s="8">
        <f>C5*5</f>
        <v/>
      </c>
      <c r="F7" s="9" t="n"/>
      <c r="G7" s="10" t="n"/>
      <c r="H7" s="5" t="inlineStr">
        <is>
          <t>技能點參考</t>
        </is>
      </c>
      <c r="I7" s="8">
        <f>(I5+K5)*2</f>
        <v/>
      </c>
      <c r="J7" s="9" t="n"/>
      <c r="K7" s="10" t="n"/>
    </row>
    <row r="8">
      <c r="A8" s="3" t="inlineStr">
        <is>
          <t>技能等級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10" t="n"/>
    </row>
    <row r="9">
      <c r="A9" s="5" t="inlineStr">
        <is>
          <t>近戰</t>
        </is>
      </c>
      <c r="B9" s="6" t="n">
        <v>2</v>
      </c>
      <c r="C9" s="10" t="n"/>
    </row>
    <row r="10">
      <c r="A10" s="5" t="inlineStr">
        <is>
          <t>潛行</t>
        </is>
      </c>
      <c r="B10" s="6" t="n">
        <v>2</v>
      </c>
      <c r="C10" s="10" t="n"/>
    </row>
    <row r="11">
      <c r="A11" s="5" t="inlineStr">
        <is>
          <t>察覺</t>
        </is>
      </c>
      <c r="B11" s="6" t="n">
        <v>2</v>
      </c>
      <c r="C11" s="10" t="n"/>
    </row>
    <row r="12">
      <c r="A12" s="5" t="inlineStr">
        <is>
          <t>意志</t>
        </is>
      </c>
      <c r="B12" s="6" t="n">
        <v>2</v>
      </c>
      <c r="C12" s="10" t="n"/>
    </row>
    <row r="13">
      <c r="A13" s="3" t="inlineStr">
        <is>
          <t>七部位 HP（自動計算）</t>
        </is>
      </c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10" t="n"/>
    </row>
    <row r="14">
      <c r="A14" s="5" t="inlineStr">
        <is>
          <t>部位</t>
        </is>
      </c>
      <c r="B14" s="6" t="inlineStr">
        <is>
          <t>最大HP</t>
        </is>
      </c>
      <c r="C14" s="5" t="inlineStr">
        <is>
          <t>當前HP</t>
        </is>
      </c>
      <c r="D14" s="6" t="inlineStr"/>
      <c r="E14" s="5" t="inlineStr">
        <is>
          <t>DR</t>
        </is>
      </c>
      <c r="F14" s="5" t="inlineStr">
        <is>
          <t>DR</t>
        </is>
      </c>
      <c r="G14" s="5" t="inlineStr">
        <is>
          <t>DR</t>
        </is>
      </c>
      <c r="H14" s="6" t="inlineStr"/>
      <c r="I14" s="5" t="inlineStr">
        <is>
          <t>受傷效果</t>
        </is>
      </c>
      <c r="J14" s="6" t="inlineStr"/>
      <c r="K14" s="10" t="n"/>
    </row>
    <row r="15">
      <c r="A15" s="5" t="inlineStr">
        <is>
          <t>頭部</t>
        </is>
      </c>
      <c r="B15" s="8">
        <f>C5+6</f>
        <v/>
      </c>
      <c r="C15" s="5" t="inlineStr"/>
      <c r="D15" s="6" t="inlineStr"/>
      <c r="E15" s="5" t="inlineStr"/>
      <c r="F15" s="6" t="inlineStr"/>
      <c r="G15" s="11" t="inlineStr">
        <is>
          <t>DR</t>
        </is>
      </c>
      <c r="H15" s="12" t="inlineStr">
        <is>
          <t>頭盔</t>
        </is>
      </c>
      <c r="I15" s="5" t="inlineStr">
        <is>
          <t>歸零=即死</t>
        </is>
      </c>
      <c r="J15" s="6" t="inlineStr">
        <is>
          <t>歸零=即死</t>
        </is>
      </c>
      <c r="K15" s="10" t="n"/>
    </row>
    <row r="16">
      <c r="A16" s="5" t="inlineStr">
        <is>
          <t>胸部</t>
        </is>
      </c>
      <c r="B16" s="8">
        <f>C5*2+10</f>
        <v/>
      </c>
      <c r="C16" s="5" t="inlineStr"/>
      <c r="D16" s="6" t="inlineStr"/>
      <c r="E16" s="5" t="inlineStr"/>
      <c r="F16" s="6" t="inlineStr"/>
      <c r="G16" s="11" t="inlineStr">
        <is>
          <t>DR</t>
        </is>
      </c>
      <c r="H16" s="12" t="inlineStr">
        <is>
          <t>防彈衣+背心</t>
        </is>
      </c>
      <c r="I16" s="5" t="inlineStr">
        <is>
          <t>歸零=瀕死(膽魄TN14/回合)</t>
        </is>
      </c>
      <c r="J16" s="6" t="inlineStr">
        <is>
          <t>歸零=瀕死(膽魄TN14/回合)</t>
        </is>
      </c>
      <c r="K16" s="10" t="n"/>
    </row>
    <row r="17">
      <c r="A17" s="5" t="inlineStr">
        <is>
          <t>腹部</t>
        </is>
      </c>
      <c r="B17" s="8">
        <f>C5+8</f>
        <v/>
      </c>
      <c r="C17" s="5" t="inlineStr"/>
      <c r="D17" s="6" t="inlineStr"/>
      <c r="E17" s="5" t="inlineStr"/>
      <c r="F17" s="6" t="inlineStr"/>
      <c r="G17" s="11" t="inlineStr">
        <is>
          <t>DR</t>
        </is>
      </c>
      <c r="H17" s="12" t="inlineStr">
        <is>
          <t>防彈衣+背心</t>
        </is>
      </c>
      <c r="I17" s="5" t="inlineStr">
        <is>
          <t>歸零=內出血(1HP/分)</t>
        </is>
      </c>
      <c r="J17" s="6" t="inlineStr">
        <is>
          <t>歸零=內出血(1HP/分)</t>
        </is>
      </c>
      <c r="K17" s="10" t="n"/>
    </row>
    <row r="18">
      <c r="A18" s="5" t="inlineStr">
        <is>
          <t>左臂</t>
        </is>
      </c>
      <c r="B18" s="8">
        <f>C5+4</f>
        <v/>
      </c>
      <c r="C18" s="5" t="inlineStr"/>
      <c r="D18" s="6" t="inlineStr"/>
      <c r="E18" s="5" t="inlineStr"/>
      <c r="F18" s="6" t="inlineStr"/>
      <c r="G18" s="11" t="inlineStr">
        <is>
          <t>DR</t>
        </is>
      </c>
      <c r="H18" s="12" t="inlineStr">
        <is>
          <t>手套</t>
        </is>
      </c>
      <c r="I18" s="5" t="inlineStr">
        <is>
          <t>歸零=永久失能</t>
        </is>
      </c>
      <c r="J18" s="6" t="inlineStr">
        <is>
          <t>歸零=永久失能</t>
        </is>
      </c>
      <c r="K18" s="10" t="n"/>
    </row>
    <row r="19">
      <c r="A19" s="5" t="inlineStr">
        <is>
          <t>右臂</t>
        </is>
      </c>
      <c r="B19" s="8">
        <f>C5+4</f>
        <v/>
      </c>
      <c r="C19" s="5" t="inlineStr"/>
      <c r="D19" s="6" t="inlineStr"/>
      <c r="E19" s="5" t="inlineStr"/>
      <c r="F19" s="6" t="inlineStr"/>
      <c r="G19" s="11" t="inlineStr">
        <is>
          <t>DR</t>
        </is>
      </c>
      <c r="H19" s="12" t="inlineStr">
        <is>
          <t>手套</t>
        </is>
      </c>
      <c r="I19" s="5" t="inlineStr">
        <is>
          <t>歸零=永久失能</t>
        </is>
      </c>
      <c r="J19" s="6" t="inlineStr">
        <is>
          <t>歸零=永久失能</t>
        </is>
      </c>
      <c r="K19" s="10" t="n"/>
    </row>
    <row r="20">
      <c r="A20" s="5" t="inlineStr">
        <is>
          <t>左腿</t>
        </is>
      </c>
      <c r="B20" s="8">
        <f>C5+5</f>
        <v/>
      </c>
      <c r="C20" s="5" t="inlineStr"/>
      <c r="D20" s="6" t="inlineStr"/>
      <c r="E20" s="5" t="inlineStr"/>
      <c r="F20" s="6" t="inlineStr"/>
      <c r="G20" s="11" t="inlineStr">
        <is>
          <t>DR</t>
        </is>
      </c>
      <c r="H20" s="12" t="inlineStr">
        <is>
          <t>軍靴</t>
        </is>
      </c>
      <c r="I20" s="5" t="inlineStr">
        <is>
          <t>歸零=倒地,不可行走</t>
        </is>
      </c>
      <c r="J20" s="6" t="inlineStr">
        <is>
          <t>歸零=倒地,不可行走</t>
        </is>
      </c>
      <c r="K20" s="10" t="n"/>
    </row>
    <row r="21">
      <c r="A21" s="5" t="inlineStr">
        <is>
          <t>右腿</t>
        </is>
      </c>
      <c r="B21" s="8">
        <f>C5+5</f>
        <v/>
      </c>
      <c r="C21" s="5" t="inlineStr"/>
      <c r="D21" s="6" t="inlineStr"/>
      <c r="E21" s="5" t="inlineStr"/>
      <c r="F21" s="6" t="inlineStr"/>
      <c r="G21" s="11" t="inlineStr">
        <is>
          <t>DR</t>
        </is>
      </c>
      <c r="H21" s="12" t="inlineStr">
        <is>
          <t>軍靴</t>
        </is>
      </c>
      <c r="I21" s="5" t="inlineStr">
        <is>
          <t>歸零=倒地,不可行走</t>
        </is>
      </c>
      <c r="J21" s="6" t="inlineStr">
        <is>
          <t>歸零=倒地,不可行走</t>
        </is>
      </c>
      <c r="K21" s="10" t="n"/>
    </row>
    <row r="22">
      <c r="A22" s="3" t="inlineStr">
        <is>
          <t>戰鬥數據</t>
        </is>
      </c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10" t="n"/>
    </row>
    <row r="23">
      <c r="A23" s="6" t="inlineStr">
        <is>
          <t>主攻擊: 咬噬 1d4+2,近接</t>
        </is>
      </c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10" t="n"/>
    </row>
    <row r="24">
      <c r="C24" s="2" t="n"/>
    </row>
    <row r="25">
      <c r="D25" s="2" t="n"/>
    </row>
    <row r="26">
      <c r="E26" s="2" t="n"/>
    </row>
    <row r="27">
      <c r="F27" s="2" t="n"/>
    </row>
    <row r="28">
      <c r="G28" s="2" t="n"/>
    </row>
    <row r="29">
      <c r="H29" s="2" t="n"/>
    </row>
    <row r="30">
      <c r="I30" s="2" t="n"/>
    </row>
    <row r="31">
      <c r="J31" s="2" t="n"/>
    </row>
    <row r="32">
      <c r="K32" s="2" t="n"/>
    </row>
    <row r="33">
      <c r="A33" s="6" t="inlineStr">
        <is>
          <t xml:space="preserve">副攻擊: </t>
        </is>
      </c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10" t="n"/>
    </row>
    <row r="34">
      <c r="C34" s="2" t="n"/>
    </row>
    <row r="35">
      <c r="D35" s="2" t="n"/>
    </row>
    <row r="36">
      <c r="E36" s="2" t="n"/>
    </row>
    <row r="37">
      <c r="F37" s="2" t="n"/>
    </row>
    <row r="38">
      <c r="G38" s="2" t="n"/>
    </row>
    <row r="39">
      <c r="H39" s="2" t="n"/>
    </row>
    <row r="40">
      <c r="I40" s="2" t="n"/>
    </row>
    <row r="41">
      <c r="J41" s="2" t="n"/>
    </row>
    <row r="42">
      <c r="K42" s="2" t="n"/>
    </row>
    <row r="43">
      <c r="A43" s="6" t="inlineStr">
        <is>
          <t>防具/DR: DR 0</t>
        </is>
      </c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10" t="n"/>
    </row>
    <row r="44">
      <c r="C44" s="2" t="n"/>
    </row>
    <row r="45">
      <c r="D45" s="2" t="n"/>
    </row>
    <row r="46">
      <c r="E46" s="2" t="n"/>
    </row>
    <row r="47">
      <c r="F47" s="2" t="n"/>
    </row>
    <row r="48">
      <c r="G48" s="2" t="n"/>
    </row>
    <row r="49">
      <c r="H49" s="2" t="n"/>
    </row>
    <row r="50">
      <c r="I50" s="2" t="n"/>
    </row>
    <row r="51">
      <c r="J51" s="2" t="n"/>
    </row>
    <row r="52">
      <c r="K52" s="2" t="n"/>
    </row>
    <row r="53">
      <c r="A53" s="6" t="inlineStr">
        <is>
          <t>特殊能力: 小型目標(射擊劣勢); 群體攻擊優勢(3+隻)</t>
        </is>
      </c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10" t="n"/>
    </row>
    <row r="54">
      <c r="C54" s="2" t="n"/>
    </row>
    <row r="55">
      <c r="D55" s="2" t="n"/>
    </row>
    <row r="56">
      <c r="E56" s="2" t="n"/>
    </row>
    <row r="57">
      <c r="F57" s="2" t="n"/>
    </row>
    <row r="58">
      <c r="G58" s="2" t="n"/>
    </row>
    <row r="59">
      <c r="H59" s="2" t="n"/>
    </row>
    <row r="60">
      <c r="I60" s="2" t="n"/>
    </row>
    <row r="61">
      <c r="J61" s="2" t="n"/>
    </row>
    <row r="62">
      <c r="K62" s="2" t="n"/>
    </row>
    <row r="63">
      <c r="A63" s="6" t="inlineStr">
        <is>
          <t>行為模式: 群體行動(2-5隻); 潛行伏擊; 優先攻擊落單者; HP&lt;30%逃跑</t>
        </is>
      </c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10" t="n"/>
    </row>
    <row r="64">
      <c r="C64" s="2" t="n"/>
    </row>
    <row r="65">
      <c r="D65" s="2" t="n"/>
    </row>
    <row r="66">
      <c r="E66" s="2" t="n"/>
    </row>
    <row r="67">
      <c r="F67" s="2" t="n"/>
    </row>
    <row r="68">
      <c r="G68" s="2" t="n"/>
    </row>
    <row r="69">
      <c r="H69" s="2" t="n"/>
    </row>
    <row r="70">
      <c r="I70" s="2" t="n"/>
    </row>
    <row r="71">
      <c r="J71" s="2" t="n"/>
    </row>
    <row r="72">
      <c r="K72" s="2" t="n"/>
    </row>
    <row r="73">
      <c r="A73" s="6" t="inlineStr">
        <is>
          <t>戰利品: 無</t>
        </is>
      </c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10" t="n"/>
    </row>
    <row r="74">
      <c r="C74" s="2" t="n"/>
    </row>
    <row r="75">
      <c r="D75" s="2" t="n"/>
    </row>
    <row r="76">
      <c r="E76" s="2" t="n"/>
    </row>
    <row r="77">
      <c r="F77" s="2" t="n"/>
    </row>
    <row r="78">
      <c r="G78" s="2" t="n"/>
    </row>
    <row r="79">
      <c r="H79" s="2" t="n"/>
    </row>
    <row r="80">
      <c r="I80" s="2" t="n"/>
    </row>
    <row r="81">
      <c r="J81" s="2" t="n"/>
    </row>
    <row r="82">
      <c r="K82" s="2" t="n"/>
    </row>
  </sheetData>
  <mergeCells count="118">
    <mergeCell ref="H3"/>
    <mergeCell ref="A73:K73"/>
    <mergeCell ref="J19:K19"/>
    <mergeCell ref="B20"/>
    <mergeCell ref="E16"/>
    <mergeCell ref="G16"/>
    <mergeCell ref="D14"/>
    <mergeCell ref="F14"/>
    <mergeCell ref="B12:C12"/>
    <mergeCell ref="C18"/>
    <mergeCell ref="E18"/>
    <mergeCell ref="H20"/>
    <mergeCell ref="E7:G7"/>
    <mergeCell ref="G17"/>
    <mergeCell ref="F21"/>
    <mergeCell ref="A2:K2"/>
    <mergeCell ref="A33:K33"/>
    <mergeCell ref="H21"/>
    <mergeCell ref="E19"/>
    <mergeCell ref="G19"/>
    <mergeCell ref="A22:K22"/>
    <mergeCell ref="J21:K21"/>
    <mergeCell ref="A53:K53"/>
    <mergeCell ref="B17"/>
    <mergeCell ref="D17"/>
    <mergeCell ref="A3"/>
    <mergeCell ref="I21"/>
    <mergeCell ref="H7"/>
    <mergeCell ref="H16"/>
    <mergeCell ref="B19"/>
    <mergeCell ref="G14"/>
    <mergeCell ref="A5"/>
    <mergeCell ref="I14"/>
    <mergeCell ref="D3"/>
    <mergeCell ref="B3:C3"/>
    <mergeCell ref="B11:C11"/>
    <mergeCell ref="D20"/>
    <mergeCell ref="A15"/>
    <mergeCell ref="C15"/>
    <mergeCell ref="J20:K20"/>
    <mergeCell ref="E17"/>
    <mergeCell ref="B21"/>
    <mergeCell ref="D21"/>
    <mergeCell ref="A7"/>
    <mergeCell ref="F15"/>
    <mergeCell ref="A16"/>
    <mergeCell ref="C16"/>
    <mergeCell ref="B14"/>
    <mergeCell ref="A8:K8"/>
    <mergeCell ref="G18"/>
    <mergeCell ref="I18"/>
    <mergeCell ref="A18"/>
    <mergeCell ref="D7"/>
    <mergeCell ref="D16"/>
    <mergeCell ref="A63:K63"/>
    <mergeCell ref="G5"/>
    <mergeCell ref="I5"/>
    <mergeCell ref="D18"/>
    <mergeCell ref="B7:C7"/>
    <mergeCell ref="G20"/>
    <mergeCell ref="I20"/>
    <mergeCell ref="A20"/>
    <mergeCell ref="H15"/>
    <mergeCell ref="I3:K3"/>
    <mergeCell ref="A1:K1"/>
    <mergeCell ref="H18"/>
    <mergeCell ref="E21"/>
    <mergeCell ref="G21"/>
    <mergeCell ref="I15"/>
    <mergeCell ref="D19"/>
    <mergeCell ref="F19"/>
    <mergeCell ref="F16"/>
    <mergeCell ref="C14"/>
    <mergeCell ref="E14"/>
    <mergeCell ref="J16:K16"/>
    <mergeCell ref="F20"/>
    <mergeCell ref="I16"/>
    <mergeCell ref="B9:C9"/>
    <mergeCell ref="A23:K23"/>
    <mergeCell ref="A4:K4"/>
    <mergeCell ref="A43:K43"/>
    <mergeCell ref="H19"/>
    <mergeCell ref="I7:K7"/>
    <mergeCell ref="I17"/>
    <mergeCell ref="A17"/>
    <mergeCell ref="C17"/>
    <mergeCell ref="J14:K14"/>
    <mergeCell ref="B15"/>
    <mergeCell ref="D15"/>
    <mergeCell ref="A10"/>
    <mergeCell ref="I19"/>
    <mergeCell ref="A19"/>
    <mergeCell ref="C19"/>
    <mergeCell ref="H14"/>
    <mergeCell ref="A6:K6"/>
    <mergeCell ref="A9"/>
    <mergeCell ref="J15:K15"/>
    <mergeCell ref="B16"/>
    <mergeCell ref="A11"/>
    <mergeCell ref="C5"/>
    <mergeCell ref="E5"/>
    <mergeCell ref="B18"/>
    <mergeCell ref="C20"/>
    <mergeCell ref="E20"/>
    <mergeCell ref="B10:C10"/>
    <mergeCell ref="E3:G3"/>
    <mergeCell ref="F18"/>
    <mergeCell ref="A12"/>
    <mergeCell ref="F17"/>
    <mergeCell ref="A21"/>
    <mergeCell ref="H17"/>
    <mergeCell ref="C21"/>
    <mergeCell ref="E15"/>
    <mergeCell ref="J18:K18"/>
    <mergeCell ref="G15"/>
    <mergeCell ref="A13:K13"/>
    <mergeCell ref="A14"/>
    <mergeCell ref="J17:K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敵人數據卡 - 強化殘留體(軍人)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10" t="n"/>
    </row>
    <row r="2">
      <c r="A2" s="3" t="inlineStr">
        <is>
          <t>基本資訊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10" t="n"/>
    </row>
    <row r="3">
      <c r="A3" s="5" t="inlineStr">
        <is>
          <t>敵人名稱</t>
        </is>
      </c>
      <c r="B3" s="6" t="inlineStr">
        <is>
          <t>強化殘留體(軍人)</t>
        </is>
      </c>
      <c r="C3" s="10" t="n"/>
      <c r="D3" s="5" t="inlineStr">
        <is>
          <t>出場劇本</t>
        </is>
      </c>
      <c r="E3" s="6" t="inlineStr">
        <is>
          <t>劇本二</t>
        </is>
      </c>
      <c r="F3" s="9" t="n"/>
      <c r="G3" s="10" t="n"/>
      <c r="H3" s="5" t="inlineStr">
        <is>
          <t>威脅值</t>
        </is>
      </c>
      <c r="I3" s="6" t="n">
        <v>5</v>
      </c>
      <c r="J3" s="9" t="n"/>
      <c r="K3" s="10" t="n"/>
    </row>
    <row r="4">
      <c r="A4" s="3" t="inlineStr">
        <is>
          <t>五大屬性 [數值已輸入,修改黃色格]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10" t="n"/>
    </row>
    <row r="5">
      <c r="A5" s="5" t="inlineStr">
        <is>
          <t>體魄PHY</t>
        </is>
      </c>
      <c r="B5" s="7" t="n">
        <v>5</v>
      </c>
      <c r="C5" s="5" t="inlineStr">
        <is>
          <t>精準PRC</t>
        </is>
      </c>
      <c r="D5" s="7" t="n">
        <v>2</v>
      </c>
      <c r="E5" s="5" t="inlineStr">
        <is>
          <t>感知PER</t>
        </is>
      </c>
      <c r="F5" s="7" t="n">
        <v>3</v>
      </c>
      <c r="G5" s="5" t="inlineStr">
        <is>
          <t>技術TEC</t>
        </is>
      </c>
      <c r="H5" s="7" t="n">
        <v>1</v>
      </c>
      <c r="I5" s="5" t="inlineStr">
        <is>
          <t>膽魄CRG</t>
        </is>
      </c>
      <c r="J5" s="7" t="n">
        <v>10</v>
      </c>
    </row>
    <row r="6">
      <c r="A6" s="3" t="inlineStr">
        <is>
          <t>衍生屬性（自動計算）</t>
        </is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10" t="n"/>
    </row>
    <row r="7">
      <c r="A7" s="5" t="inlineStr">
        <is>
          <t>先攻值</t>
        </is>
      </c>
      <c r="B7" s="8">
        <f>G5+E5</f>
        <v/>
      </c>
      <c r="C7" s="10" t="n"/>
      <c r="D7" s="5" t="inlineStr">
        <is>
          <t>負重上限kg</t>
        </is>
      </c>
      <c r="E7" s="8">
        <f>C5*5</f>
        <v/>
      </c>
      <c r="F7" s="9" t="n"/>
      <c r="G7" s="10" t="n"/>
      <c r="H7" s="5" t="inlineStr">
        <is>
          <t>技能點參考</t>
        </is>
      </c>
      <c r="I7" s="8">
        <f>(I5+K5)*2</f>
        <v/>
      </c>
      <c r="J7" s="9" t="n"/>
      <c r="K7" s="10" t="n"/>
    </row>
    <row r="8">
      <c r="A8" s="3" t="inlineStr">
        <is>
          <t>技能等級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10" t="n"/>
    </row>
    <row r="9">
      <c r="A9" s="5" t="inlineStr">
        <is>
          <t>近戰</t>
        </is>
      </c>
      <c r="B9" s="6" t="n">
        <v>2</v>
      </c>
      <c r="C9" s="10" t="n"/>
    </row>
    <row r="10">
      <c r="A10" s="5" t="inlineStr">
        <is>
          <t>槍械</t>
        </is>
      </c>
      <c r="B10" s="6" t="n">
        <v>1</v>
      </c>
      <c r="C10" s="10" t="n"/>
    </row>
    <row r="11">
      <c r="A11" s="5" t="inlineStr">
        <is>
          <t>察覺</t>
        </is>
      </c>
      <c r="B11" s="6" t="n">
        <v>1</v>
      </c>
      <c r="C11" s="10" t="n"/>
    </row>
    <row r="12">
      <c r="A12" s="5" t="inlineStr">
        <is>
          <t>意志</t>
        </is>
      </c>
      <c r="B12" s="6" t="n">
        <v>5</v>
      </c>
      <c r="C12" s="10" t="n"/>
    </row>
    <row r="13">
      <c r="A13" s="3" t="inlineStr">
        <is>
          <t>七部位 HP（自動計算）</t>
        </is>
      </c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10" t="n"/>
    </row>
    <row r="14">
      <c r="A14" s="5" t="inlineStr">
        <is>
          <t>部位</t>
        </is>
      </c>
      <c r="B14" s="6" t="inlineStr">
        <is>
          <t>最大HP</t>
        </is>
      </c>
      <c r="C14" s="5" t="inlineStr">
        <is>
          <t>當前HP</t>
        </is>
      </c>
      <c r="D14" s="6" t="inlineStr"/>
      <c r="E14" s="5" t="inlineStr">
        <is>
          <t>DR</t>
        </is>
      </c>
      <c r="F14" s="5" t="inlineStr">
        <is>
          <t>DR</t>
        </is>
      </c>
      <c r="G14" s="5" t="inlineStr">
        <is>
          <t>DR</t>
        </is>
      </c>
      <c r="H14" s="6" t="inlineStr"/>
      <c r="I14" s="5" t="inlineStr">
        <is>
          <t>受傷效果</t>
        </is>
      </c>
      <c r="J14" s="6" t="inlineStr"/>
      <c r="K14" s="10" t="n"/>
    </row>
    <row r="15">
      <c r="A15" s="5" t="inlineStr">
        <is>
          <t>頭部</t>
        </is>
      </c>
      <c r="B15" s="8">
        <f>C5+6</f>
        <v/>
      </c>
      <c r="C15" s="5" t="inlineStr"/>
      <c r="D15" s="6" t="inlineStr"/>
      <c r="E15" s="5" t="inlineStr"/>
      <c r="F15" s="6" t="inlineStr"/>
      <c r="G15" s="11" t="inlineStr">
        <is>
          <t>DR</t>
        </is>
      </c>
      <c r="H15" s="12" t="inlineStr">
        <is>
          <t>頭盔</t>
        </is>
      </c>
      <c r="I15" s="5" t="inlineStr">
        <is>
          <t>歸零=即死</t>
        </is>
      </c>
      <c r="J15" s="6" t="inlineStr">
        <is>
          <t>歸零=即死</t>
        </is>
      </c>
      <c r="K15" s="10" t="n"/>
    </row>
    <row r="16">
      <c r="A16" s="5" t="inlineStr">
        <is>
          <t>胸部</t>
        </is>
      </c>
      <c r="B16" s="8">
        <f>C5*2+10</f>
        <v/>
      </c>
      <c r="C16" s="5" t="inlineStr"/>
      <c r="D16" s="6" t="inlineStr"/>
      <c r="E16" s="5" t="inlineStr"/>
      <c r="F16" s="6" t="inlineStr"/>
      <c r="G16" s="11" t="inlineStr">
        <is>
          <t>DR</t>
        </is>
      </c>
      <c r="H16" s="12" t="inlineStr">
        <is>
          <t>防彈衣+背心</t>
        </is>
      </c>
      <c r="I16" s="5" t="inlineStr">
        <is>
          <t>歸零=瀕死(膽魄TN14/回合)</t>
        </is>
      </c>
      <c r="J16" s="6" t="inlineStr">
        <is>
          <t>歸零=瀕死(膽魄TN14/回合)</t>
        </is>
      </c>
      <c r="K16" s="10" t="n"/>
    </row>
    <row r="17">
      <c r="A17" s="5" t="inlineStr">
        <is>
          <t>腹部</t>
        </is>
      </c>
      <c r="B17" s="8">
        <f>C5+8</f>
        <v/>
      </c>
      <c r="C17" s="5" t="inlineStr"/>
      <c r="D17" s="6" t="inlineStr"/>
      <c r="E17" s="5" t="inlineStr"/>
      <c r="F17" s="6" t="inlineStr"/>
      <c r="G17" s="11" t="inlineStr">
        <is>
          <t>DR</t>
        </is>
      </c>
      <c r="H17" s="12" t="inlineStr">
        <is>
          <t>防彈衣+背心</t>
        </is>
      </c>
      <c r="I17" s="5" t="inlineStr">
        <is>
          <t>歸零=內出血(1HP/分)</t>
        </is>
      </c>
      <c r="J17" s="6" t="inlineStr">
        <is>
          <t>歸零=內出血(1HP/分)</t>
        </is>
      </c>
      <c r="K17" s="10" t="n"/>
    </row>
    <row r="18">
      <c r="A18" s="5" t="inlineStr">
        <is>
          <t>左臂</t>
        </is>
      </c>
      <c r="B18" s="8">
        <f>C5+4</f>
        <v/>
      </c>
      <c r="C18" s="5" t="inlineStr"/>
      <c r="D18" s="6" t="inlineStr"/>
      <c r="E18" s="5" t="inlineStr"/>
      <c r="F18" s="6" t="inlineStr"/>
      <c r="G18" s="11" t="inlineStr">
        <is>
          <t>DR</t>
        </is>
      </c>
      <c r="H18" s="12" t="inlineStr">
        <is>
          <t>手套</t>
        </is>
      </c>
      <c r="I18" s="5" t="inlineStr">
        <is>
          <t>歸零=永久失能</t>
        </is>
      </c>
      <c r="J18" s="6" t="inlineStr">
        <is>
          <t>歸零=永久失能</t>
        </is>
      </c>
      <c r="K18" s="10" t="n"/>
    </row>
    <row r="19">
      <c r="A19" s="5" t="inlineStr">
        <is>
          <t>右臂</t>
        </is>
      </c>
      <c r="B19" s="8">
        <f>C5+4</f>
        <v/>
      </c>
      <c r="C19" s="5" t="inlineStr"/>
      <c r="D19" s="6" t="inlineStr"/>
      <c r="E19" s="5" t="inlineStr"/>
      <c r="F19" s="6" t="inlineStr"/>
      <c r="G19" s="11" t="inlineStr">
        <is>
          <t>DR</t>
        </is>
      </c>
      <c r="H19" s="12" t="inlineStr">
        <is>
          <t>手套</t>
        </is>
      </c>
      <c r="I19" s="5" t="inlineStr">
        <is>
          <t>歸零=永久失能</t>
        </is>
      </c>
      <c r="J19" s="6" t="inlineStr">
        <is>
          <t>歸零=永久失能</t>
        </is>
      </c>
      <c r="K19" s="10" t="n"/>
    </row>
    <row r="20">
      <c r="A20" s="5" t="inlineStr">
        <is>
          <t>左腿</t>
        </is>
      </c>
      <c r="B20" s="8">
        <f>C5+5</f>
        <v/>
      </c>
      <c r="C20" s="5" t="inlineStr"/>
      <c r="D20" s="6" t="inlineStr"/>
      <c r="E20" s="5" t="inlineStr"/>
      <c r="F20" s="6" t="inlineStr"/>
      <c r="G20" s="11" t="inlineStr">
        <is>
          <t>DR</t>
        </is>
      </c>
      <c r="H20" s="12" t="inlineStr">
        <is>
          <t>軍靴</t>
        </is>
      </c>
      <c r="I20" s="5" t="inlineStr">
        <is>
          <t>歸零=倒地,不可行走</t>
        </is>
      </c>
      <c r="J20" s="6" t="inlineStr">
        <is>
          <t>歸零=倒地,不可行走</t>
        </is>
      </c>
      <c r="K20" s="10" t="n"/>
    </row>
    <row r="21">
      <c r="A21" s="5" t="inlineStr">
        <is>
          <t>右腿</t>
        </is>
      </c>
      <c r="B21" s="8">
        <f>C5+5</f>
        <v/>
      </c>
      <c r="C21" s="5" t="inlineStr"/>
      <c r="D21" s="6" t="inlineStr"/>
      <c r="E21" s="5" t="inlineStr"/>
      <c r="F21" s="6" t="inlineStr"/>
      <c r="G21" s="11" t="inlineStr">
        <is>
          <t>DR</t>
        </is>
      </c>
      <c r="H21" s="12" t="inlineStr">
        <is>
          <t>軍靴</t>
        </is>
      </c>
      <c r="I21" s="5" t="inlineStr">
        <is>
          <t>歸零=倒地,不可行走</t>
        </is>
      </c>
      <c r="J21" s="6" t="inlineStr">
        <is>
          <t>歸零=倒地,不可行走</t>
        </is>
      </c>
      <c r="K21" s="10" t="n"/>
    </row>
    <row r="22">
      <c r="A22" s="3" t="inlineStr">
        <is>
          <t>戰鬥數據</t>
        </is>
      </c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10" t="n"/>
    </row>
    <row r="23">
      <c r="A23" s="6" t="inlineStr">
        <is>
          <t>主攻擊: 破損軍用步槍 1d10 故1/4 中-遠距</t>
        </is>
      </c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10" t="n"/>
    </row>
    <row r="24">
      <c r="C24" s="2" t="n"/>
    </row>
    <row r="25">
      <c r="D25" s="2" t="n"/>
    </row>
    <row r="26">
      <c r="E26" s="2" t="n"/>
    </row>
    <row r="27">
      <c r="F27" s="2" t="n"/>
    </row>
    <row r="28">
      <c r="G28" s="2" t="n"/>
    </row>
    <row r="29">
      <c r="H29" s="2" t="n"/>
    </row>
    <row r="30">
      <c r="I30" s="2" t="n"/>
    </row>
    <row r="31">
      <c r="J31" s="2" t="n"/>
    </row>
    <row r="32">
      <c r="K32" s="2" t="n"/>
    </row>
    <row r="33">
      <c r="A33" s="6" t="inlineStr">
        <is>
          <t>副攻擊: 刺刀 1d6+5 近接</t>
        </is>
      </c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10" t="n"/>
    </row>
    <row r="34">
      <c r="C34" s="2" t="n"/>
    </row>
    <row r="35">
      <c r="D35" s="2" t="n"/>
    </row>
    <row r="36">
      <c r="E36" s="2" t="n"/>
    </row>
    <row r="37">
      <c r="F37" s="2" t="n"/>
    </row>
    <row r="38">
      <c r="G38" s="2" t="n"/>
    </row>
    <row r="39">
      <c r="H39" s="2" t="n"/>
    </row>
    <row r="40">
      <c r="I40" s="2" t="n"/>
    </row>
    <row r="41">
      <c r="J41" s="2" t="n"/>
    </row>
    <row r="42">
      <c r="K42" s="2" t="n"/>
    </row>
    <row r="43">
      <c r="A43" s="6" t="inlineStr">
        <is>
          <t>防具/DR: 頭DR1(凱夫拉),胸DR1(殘破,對步槍減半)</t>
        </is>
      </c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10" t="n"/>
    </row>
    <row r="44">
      <c r="C44" s="2" t="n"/>
    </row>
    <row r="45">
      <c r="D45" s="2" t="n"/>
    </row>
    <row r="46">
      <c r="E46" s="2" t="n"/>
    </row>
    <row r="47">
      <c r="F47" s="2" t="n"/>
    </row>
    <row r="48">
      <c r="G48" s="2" t="n"/>
    </row>
    <row r="49">
      <c r="H49" s="2" t="n"/>
    </row>
    <row r="50">
      <c r="I50" s="2" t="n"/>
    </row>
    <row r="51">
      <c r="J51" s="2" t="n"/>
    </row>
    <row r="52">
      <c r="K52" s="2" t="n"/>
    </row>
    <row r="53">
      <c r="A53" s="6" t="inlineStr">
        <is>
          <t>特殊能力: 免疫恐懼/士氣</t>
        </is>
      </c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10" t="n"/>
    </row>
    <row r="54">
      <c r="C54" s="2" t="n"/>
    </row>
    <row r="55">
      <c r="D55" s="2" t="n"/>
    </row>
    <row r="56">
      <c r="E56" s="2" t="n"/>
    </row>
    <row r="57">
      <c r="F57" s="2" t="n"/>
    </row>
    <row r="58">
      <c r="G58" s="2" t="n"/>
    </row>
    <row r="59">
      <c r="H59" s="2" t="n"/>
    </row>
    <row r="60">
      <c r="I60" s="2" t="n"/>
    </row>
    <row r="61">
      <c r="J61" s="2" t="n"/>
    </row>
    <row r="62">
      <c r="K62" s="2" t="n"/>
    </row>
    <row r="63">
      <c r="A63" s="6" t="inlineStr">
        <is>
          <t>行為模式: 固守補給車; 發現入侵者即開火</t>
        </is>
      </c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10" t="n"/>
    </row>
    <row r="64">
      <c r="C64" s="2" t="n"/>
    </row>
    <row r="65">
      <c r="D65" s="2" t="n"/>
    </row>
    <row r="66">
      <c r="E66" s="2" t="n"/>
    </row>
    <row r="67">
      <c r="F67" s="2" t="n"/>
    </row>
    <row r="68">
      <c r="G68" s="2" t="n"/>
    </row>
    <row r="69">
      <c r="H69" s="2" t="n"/>
    </row>
    <row r="70">
      <c r="I70" s="2" t="n"/>
    </row>
    <row r="71">
      <c r="J71" s="2" t="n"/>
    </row>
    <row r="72">
      <c r="K72" s="2" t="n"/>
    </row>
    <row r="73">
      <c r="A73" s="6" t="inlineStr">
        <is>
          <t>戰利品: 破損步槍+凱夫拉頭盔+軍籍牌</t>
        </is>
      </c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10" t="n"/>
    </row>
    <row r="74">
      <c r="C74" s="2" t="n"/>
    </row>
    <row r="75">
      <c r="D75" s="2" t="n"/>
    </row>
    <row r="76">
      <c r="E76" s="2" t="n"/>
    </row>
    <row r="77">
      <c r="F77" s="2" t="n"/>
    </row>
    <row r="78">
      <c r="G78" s="2" t="n"/>
    </row>
    <row r="79">
      <c r="H79" s="2" t="n"/>
    </row>
    <row r="80">
      <c r="I80" s="2" t="n"/>
    </row>
    <row r="81">
      <c r="J81" s="2" t="n"/>
    </row>
    <row r="82">
      <c r="K82" s="2" t="n"/>
    </row>
  </sheetData>
  <mergeCells count="118">
    <mergeCell ref="H3"/>
    <mergeCell ref="A73:K73"/>
    <mergeCell ref="J19:K19"/>
    <mergeCell ref="B20"/>
    <mergeCell ref="E16"/>
    <mergeCell ref="G16"/>
    <mergeCell ref="D14"/>
    <mergeCell ref="F14"/>
    <mergeCell ref="B12:C12"/>
    <mergeCell ref="C18"/>
    <mergeCell ref="E18"/>
    <mergeCell ref="H20"/>
    <mergeCell ref="E7:G7"/>
    <mergeCell ref="G17"/>
    <mergeCell ref="F21"/>
    <mergeCell ref="A2:K2"/>
    <mergeCell ref="A33:K33"/>
    <mergeCell ref="H21"/>
    <mergeCell ref="E19"/>
    <mergeCell ref="G19"/>
    <mergeCell ref="A22:K22"/>
    <mergeCell ref="J21:K21"/>
    <mergeCell ref="A53:K53"/>
    <mergeCell ref="B17"/>
    <mergeCell ref="D17"/>
    <mergeCell ref="A3"/>
    <mergeCell ref="I21"/>
    <mergeCell ref="H7"/>
    <mergeCell ref="H16"/>
    <mergeCell ref="B19"/>
    <mergeCell ref="G14"/>
    <mergeCell ref="A5"/>
    <mergeCell ref="I14"/>
    <mergeCell ref="D3"/>
    <mergeCell ref="B3:C3"/>
    <mergeCell ref="B11:C11"/>
    <mergeCell ref="D20"/>
    <mergeCell ref="A15"/>
    <mergeCell ref="C15"/>
    <mergeCell ref="J20:K20"/>
    <mergeCell ref="E17"/>
    <mergeCell ref="B21"/>
    <mergeCell ref="D21"/>
    <mergeCell ref="A7"/>
    <mergeCell ref="F15"/>
    <mergeCell ref="A16"/>
    <mergeCell ref="C16"/>
    <mergeCell ref="B14"/>
    <mergeCell ref="A8:K8"/>
    <mergeCell ref="G18"/>
    <mergeCell ref="I18"/>
    <mergeCell ref="A18"/>
    <mergeCell ref="D7"/>
    <mergeCell ref="D16"/>
    <mergeCell ref="A63:K63"/>
    <mergeCell ref="G5"/>
    <mergeCell ref="I5"/>
    <mergeCell ref="D18"/>
    <mergeCell ref="B7:C7"/>
    <mergeCell ref="G20"/>
    <mergeCell ref="I20"/>
    <mergeCell ref="A20"/>
    <mergeCell ref="H15"/>
    <mergeCell ref="I3:K3"/>
    <mergeCell ref="A1:K1"/>
    <mergeCell ref="H18"/>
    <mergeCell ref="E21"/>
    <mergeCell ref="G21"/>
    <mergeCell ref="I15"/>
    <mergeCell ref="D19"/>
    <mergeCell ref="F19"/>
    <mergeCell ref="F16"/>
    <mergeCell ref="C14"/>
    <mergeCell ref="E14"/>
    <mergeCell ref="J16:K16"/>
    <mergeCell ref="F20"/>
    <mergeCell ref="I16"/>
    <mergeCell ref="B9:C9"/>
    <mergeCell ref="A23:K23"/>
    <mergeCell ref="A4:K4"/>
    <mergeCell ref="A43:K43"/>
    <mergeCell ref="H19"/>
    <mergeCell ref="I7:K7"/>
    <mergeCell ref="I17"/>
    <mergeCell ref="A17"/>
    <mergeCell ref="C17"/>
    <mergeCell ref="J14:K14"/>
    <mergeCell ref="B15"/>
    <mergeCell ref="D15"/>
    <mergeCell ref="A10"/>
    <mergeCell ref="I19"/>
    <mergeCell ref="A19"/>
    <mergeCell ref="C19"/>
    <mergeCell ref="H14"/>
    <mergeCell ref="A6:K6"/>
    <mergeCell ref="A9"/>
    <mergeCell ref="J15:K15"/>
    <mergeCell ref="B16"/>
    <mergeCell ref="A11"/>
    <mergeCell ref="C5"/>
    <mergeCell ref="E5"/>
    <mergeCell ref="B18"/>
    <mergeCell ref="C20"/>
    <mergeCell ref="E20"/>
    <mergeCell ref="B10:C10"/>
    <mergeCell ref="E3:G3"/>
    <mergeCell ref="F18"/>
    <mergeCell ref="A12"/>
    <mergeCell ref="F17"/>
    <mergeCell ref="A21"/>
    <mergeCell ref="H17"/>
    <mergeCell ref="C21"/>
    <mergeCell ref="E15"/>
    <mergeCell ref="J18:K18"/>
    <mergeCell ref="G15"/>
    <mergeCell ref="A13:K13"/>
    <mergeCell ref="A14"/>
    <mergeCell ref="J17:K1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敵人數據卡 - 拾荒幫派成員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10" t="n"/>
    </row>
    <row r="2">
      <c r="A2" s="3" t="inlineStr">
        <is>
          <t>基本資訊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10" t="n"/>
    </row>
    <row r="3">
      <c r="A3" s="5" t="inlineStr">
        <is>
          <t>敵人名稱</t>
        </is>
      </c>
      <c r="B3" s="6" t="inlineStr">
        <is>
          <t>拾荒幫派成員</t>
        </is>
      </c>
      <c r="C3" s="10" t="n"/>
      <c r="D3" s="5" t="inlineStr">
        <is>
          <t>出場劇本</t>
        </is>
      </c>
      <c r="E3" s="6" t="inlineStr">
        <is>
          <t>劇本三</t>
        </is>
      </c>
      <c r="F3" s="9" t="n"/>
      <c r="G3" s="10" t="n"/>
      <c r="H3" s="5" t="inlineStr">
        <is>
          <t>威脅值</t>
        </is>
      </c>
      <c r="I3" s="6" t="n">
        <v>3</v>
      </c>
      <c r="J3" s="9" t="n"/>
      <c r="K3" s="10" t="n"/>
    </row>
    <row r="4">
      <c r="A4" s="3" t="inlineStr">
        <is>
          <t>五大屬性 [數值已輸入,修改黃色格]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10" t="n"/>
    </row>
    <row r="5">
      <c r="A5" s="5" t="inlineStr">
        <is>
          <t>體魄PHY</t>
        </is>
      </c>
      <c r="B5" s="7" t="n">
        <v>4</v>
      </c>
      <c r="C5" s="5" t="inlineStr">
        <is>
          <t>精準PRC</t>
        </is>
      </c>
      <c r="D5" s="7" t="n">
        <v>3</v>
      </c>
      <c r="E5" s="5" t="inlineStr">
        <is>
          <t>感知PER</t>
        </is>
      </c>
      <c r="F5" s="7" t="n">
        <v>3</v>
      </c>
      <c r="G5" s="5" t="inlineStr">
        <is>
          <t>技術TEC</t>
        </is>
      </c>
      <c r="H5" s="7" t="n">
        <v>2</v>
      </c>
      <c r="I5" s="5" t="inlineStr">
        <is>
          <t>膽魄CRG</t>
        </is>
      </c>
      <c r="J5" s="7" t="n">
        <v>2</v>
      </c>
    </row>
    <row r="6">
      <c r="A6" s="3" t="inlineStr">
        <is>
          <t>衍生屬性（自動計算）</t>
        </is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10" t="n"/>
    </row>
    <row r="7">
      <c r="A7" s="5" t="inlineStr">
        <is>
          <t>先攻值</t>
        </is>
      </c>
      <c r="B7" s="8">
        <f>G5+E5</f>
        <v/>
      </c>
      <c r="C7" s="10" t="n"/>
      <c r="D7" s="5" t="inlineStr">
        <is>
          <t>負重上限kg</t>
        </is>
      </c>
      <c r="E7" s="8">
        <f>C5*5</f>
        <v/>
      </c>
      <c r="F7" s="9" t="n"/>
      <c r="G7" s="10" t="n"/>
      <c r="H7" s="5" t="inlineStr">
        <is>
          <t>技能點參考</t>
        </is>
      </c>
      <c r="I7" s="8">
        <f>(I5+K5)*2</f>
        <v/>
      </c>
      <c r="J7" s="9" t="n"/>
      <c r="K7" s="10" t="n"/>
    </row>
    <row r="8">
      <c r="A8" s="3" t="inlineStr">
        <is>
          <t>技能等級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10" t="n"/>
    </row>
    <row r="9">
      <c r="A9" s="5" t="inlineStr">
        <is>
          <t>槍械</t>
        </is>
      </c>
      <c r="B9" s="6" t="n">
        <v>1</v>
      </c>
      <c r="C9" s="10" t="n"/>
    </row>
    <row r="10">
      <c r="A10" s="5" t="inlineStr">
        <is>
          <t>近戰</t>
        </is>
      </c>
      <c r="B10" s="6" t="n">
        <v>2</v>
      </c>
      <c r="C10" s="10" t="n"/>
    </row>
    <row r="11">
      <c r="A11" s="5" t="inlineStr">
        <is>
          <t>意志</t>
        </is>
      </c>
      <c r="B11" s="6" t="n">
        <v>1</v>
      </c>
      <c r="C11" s="10" t="n"/>
    </row>
    <row r="12">
      <c r="A12" s="3" t="inlineStr">
        <is>
          <t>七部位 HP（自動計算）</t>
        </is>
      </c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10" t="n"/>
    </row>
    <row r="13">
      <c r="A13" s="5" t="inlineStr">
        <is>
          <t>部位</t>
        </is>
      </c>
      <c r="B13" s="6" t="inlineStr">
        <is>
          <t>最大HP</t>
        </is>
      </c>
      <c r="C13" s="5" t="inlineStr">
        <is>
          <t>當前HP</t>
        </is>
      </c>
      <c r="D13" s="6" t="inlineStr"/>
      <c r="E13" s="5" t="inlineStr">
        <is>
          <t>DR</t>
        </is>
      </c>
      <c r="F13" s="5" t="inlineStr">
        <is>
          <t>DR</t>
        </is>
      </c>
      <c r="G13" s="5" t="inlineStr">
        <is>
          <t>DR</t>
        </is>
      </c>
      <c r="H13" s="6" t="inlineStr"/>
      <c r="I13" s="5" t="inlineStr">
        <is>
          <t>受傷效果</t>
        </is>
      </c>
      <c r="J13" s="6" t="inlineStr"/>
      <c r="K13" s="10" t="n"/>
    </row>
    <row r="14">
      <c r="A14" s="5" t="inlineStr">
        <is>
          <t>頭部</t>
        </is>
      </c>
      <c r="B14" s="8">
        <f>C5+6</f>
        <v/>
      </c>
      <c r="C14" s="5" t="inlineStr"/>
      <c r="D14" s="6" t="inlineStr"/>
      <c r="E14" s="5" t="inlineStr"/>
      <c r="F14" s="6" t="inlineStr"/>
      <c r="G14" s="11" t="inlineStr">
        <is>
          <t>DR</t>
        </is>
      </c>
      <c r="H14" s="12" t="inlineStr">
        <is>
          <t>頭盔</t>
        </is>
      </c>
      <c r="I14" s="5" t="inlineStr">
        <is>
          <t>歸零=即死</t>
        </is>
      </c>
      <c r="J14" s="6" t="inlineStr">
        <is>
          <t>歸零=即死</t>
        </is>
      </c>
      <c r="K14" s="10" t="n"/>
    </row>
    <row r="15">
      <c r="A15" s="5" t="inlineStr">
        <is>
          <t>胸部</t>
        </is>
      </c>
      <c r="B15" s="8">
        <f>C5*2+10</f>
        <v/>
      </c>
      <c r="C15" s="5" t="inlineStr"/>
      <c r="D15" s="6" t="inlineStr"/>
      <c r="E15" s="5" t="inlineStr"/>
      <c r="F15" s="6" t="inlineStr"/>
      <c r="G15" s="11" t="inlineStr">
        <is>
          <t>DR</t>
        </is>
      </c>
      <c r="H15" s="12" t="inlineStr">
        <is>
          <t>防彈衣+背心</t>
        </is>
      </c>
      <c r="I15" s="5" t="inlineStr">
        <is>
          <t>歸零=瀕死(膽魄TN14/回合)</t>
        </is>
      </c>
      <c r="J15" s="6" t="inlineStr">
        <is>
          <t>歸零=瀕死(膽魄TN14/回合)</t>
        </is>
      </c>
      <c r="K15" s="10" t="n"/>
    </row>
    <row r="16">
      <c r="A16" s="5" t="inlineStr">
        <is>
          <t>腹部</t>
        </is>
      </c>
      <c r="B16" s="8">
        <f>C5+8</f>
        <v/>
      </c>
      <c r="C16" s="5" t="inlineStr"/>
      <c r="D16" s="6" t="inlineStr"/>
      <c r="E16" s="5" t="inlineStr"/>
      <c r="F16" s="6" t="inlineStr"/>
      <c r="G16" s="11" t="inlineStr">
        <is>
          <t>DR</t>
        </is>
      </c>
      <c r="H16" s="12" t="inlineStr">
        <is>
          <t>防彈衣+背心</t>
        </is>
      </c>
      <c r="I16" s="5" t="inlineStr">
        <is>
          <t>歸零=內出血(1HP/分)</t>
        </is>
      </c>
      <c r="J16" s="6" t="inlineStr">
        <is>
          <t>歸零=內出血(1HP/分)</t>
        </is>
      </c>
      <c r="K16" s="10" t="n"/>
    </row>
    <row r="17">
      <c r="A17" s="5" t="inlineStr">
        <is>
          <t>左臂</t>
        </is>
      </c>
      <c r="B17" s="8">
        <f>C5+4</f>
        <v/>
      </c>
      <c r="C17" s="5" t="inlineStr"/>
      <c r="D17" s="6" t="inlineStr"/>
      <c r="E17" s="5" t="inlineStr"/>
      <c r="F17" s="6" t="inlineStr"/>
      <c r="G17" s="11" t="inlineStr">
        <is>
          <t>DR</t>
        </is>
      </c>
      <c r="H17" s="12" t="inlineStr">
        <is>
          <t>手套</t>
        </is>
      </c>
      <c r="I17" s="5" t="inlineStr">
        <is>
          <t>歸零=永久失能</t>
        </is>
      </c>
      <c r="J17" s="6" t="inlineStr">
        <is>
          <t>歸零=永久失能</t>
        </is>
      </c>
      <c r="K17" s="10" t="n"/>
    </row>
    <row r="18">
      <c r="A18" s="5" t="inlineStr">
        <is>
          <t>右臂</t>
        </is>
      </c>
      <c r="B18" s="8">
        <f>C5+4</f>
        <v/>
      </c>
      <c r="C18" s="5" t="inlineStr"/>
      <c r="D18" s="6" t="inlineStr"/>
      <c r="E18" s="5" t="inlineStr"/>
      <c r="F18" s="6" t="inlineStr"/>
      <c r="G18" s="11" t="inlineStr">
        <is>
          <t>DR</t>
        </is>
      </c>
      <c r="H18" s="12" t="inlineStr">
        <is>
          <t>手套</t>
        </is>
      </c>
      <c r="I18" s="5" t="inlineStr">
        <is>
          <t>歸零=永久失能</t>
        </is>
      </c>
      <c r="J18" s="6" t="inlineStr">
        <is>
          <t>歸零=永久失能</t>
        </is>
      </c>
      <c r="K18" s="10" t="n"/>
    </row>
    <row r="19">
      <c r="A19" s="5" t="inlineStr">
        <is>
          <t>左腿</t>
        </is>
      </c>
      <c r="B19" s="8">
        <f>C5+5</f>
        <v/>
      </c>
      <c r="C19" s="5" t="inlineStr"/>
      <c r="D19" s="6" t="inlineStr"/>
      <c r="E19" s="5" t="inlineStr"/>
      <c r="F19" s="6" t="inlineStr"/>
      <c r="G19" s="11" t="inlineStr">
        <is>
          <t>DR</t>
        </is>
      </c>
      <c r="H19" s="12" t="inlineStr">
        <is>
          <t>軍靴</t>
        </is>
      </c>
      <c r="I19" s="5" t="inlineStr">
        <is>
          <t>歸零=倒地,不可行走</t>
        </is>
      </c>
      <c r="J19" s="6" t="inlineStr">
        <is>
          <t>歸零=倒地,不可行走</t>
        </is>
      </c>
      <c r="K19" s="10" t="n"/>
    </row>
    <row r="20">
      <c r="A20" s="5" t="inlineStr">
        <is>
          <t>右腿</t>
        </is>
      </c>
      <c r="B20" s="8">
        <f>C5+5</f>
        <v/>
      </c>
      <c r="C20" s="5" t="inlineStr"/>
      <c r="D20" s="6" t="inlineStr"/>
      <c r="E20" s="5" t="inlineStr"/>
      <c r="F20" s="6" t="inlineStr"/>
      <c r="G20" s="11" t="inlineStr">
        <is>
          <t>DR</t>
        </is>
      </c>
      <c r="H20" s="12" t="inlineStr">
        <is>
          <t>軍靴</t>
        </is>
      </c>
      <c r="I20" s="5" t="inlineStr">
        <is>
          <t>歸零=倒地,不可行走</t>
        </is>
      </c>
      <c r="J20" s="6" t="inlineStr">
        <is>
          <t>歸零=倒地,不可行走</t>
        </is>
      </c>
      <c r="K20" s="10" t="n"/>
    </row>
    <row r="21">
      <c r="A21" s="3" t="inlineStr">
        <is>
          <t>戰鬥數據</t>
        </is>
      </c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10" t="n"/>
    </row>
    <row r="22">
      <c r="A22" s="6" t="inlineStr">
        <is>
          <t>主攻擊: 老舊獵槍 1d10 或 廉價手槍 1d6</t>
        </is>
      </c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10" t="n"/>
    </row>
    <row r="23">
      <c r="C23" s="2" t="n"/>
    </row>
    <row r="24">
      <c r="D24" s="2" t="n"/>
    </row>
    <row r="25">
      <c r="E25" s="2" t="n"/>
    </row>
    <row r="26">
      <c r="F26" s="2" t="n"/>
    </row>
    <row r="27">
      <c r="G27" s="2" t="n"/>
    </row>
    <row r="28">
      <c r="H28" s="2" t="n"/>
    </row>
    <row r="29">
      <c r="I29" s="2" t="n"/>
    </row>
    <row r="30">
      <c r="J30" s="2" t="n"/>
    </row>
    <row r="31">
      <c r="K31" s="2" t="n"/>
    </row>
    <row r="32">
      <c r="A32" s="6" t="inlineStr">
        <is>
          <t>副攻擊: 撬棍 1d6+4 近接</t>
        </is>
      </c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10" t="n"/>
    </row>
    <row r="33">
      <c r="C33" s="2" t="n"/>
    </row>
    <row r="34">
      <c r="D34" s="2" t="n"/>
    </row>
    <row r="35">
      <c r="E35" s="2" t="n"/>
    </row>
    <row r="36">
      <c r="F36" s="2" t="n"/>
    </row>
    <row r="37">
      <c r="G37" s="2" t="n"/>
    </row>
    <row r="38">
      <c r="H38" s="2" t="n"/>
    </row>
    <row r="39">
      <c r="I39" s="2" t="n"/>
    </row>
    <row r="40">
      <c r="J40" s="2" t="n"/>
    </row>
    <row r="41">
      <c r="K41" s="2" t="n"/>
    </row>
    <row r="42">
      <c r="A42" s="6" t="inlineStr">
        <is>
          <t>防具/DR: DR 0-1(混雜)</t>
        </is>
      </c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10" t="n"/>
    </row>
    <row r="43">
      <c r="C43" s="2" t="n"/>
    </row>
    <row r="44">
      <c r="D44" s="2" t="n"/>
    </row>
    <row r="45">
      <c r="E45" s="2" t="n"/>
    </row>
    <row r="46">
      <c r="F46" s="2" t="n"/>
    </row>
    <row r="47">
      <c r="G47" s="2" t="n"/>
    </row>
    <row r="48">
      <c r="H48" s="2" t="n"/>
    </row>
    <row r="49">
      <c r="I49" s="2" t="n"/>
    </row>
    <row r="50">
      <c r="J50" s="2" t="n"/>
    </row>
    <row r="51">
      <c r="K51" s="2" t="n"/>
    </row>
    <row r="52">
      <c r="A52" s="6" t="inlineStr">
        <is>
          <t>特殊能力: 士氣脆弱: 損失2人即潰散</t>
        </is>
      </c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10" t="n"/>
    </row>
    <row r="53">
      <c r="C53" s="2" t="n"/>
    </row>
    <row r="54">
      <c r="D54" s="2" t="n"/>
    </row>
    <row r="55">
      <c r="E55" s="2" t="n"/>
    </row>
    <row r="56">
      <c r="F56" s="2" t="n"/>
    </row>
    <row r="57">
      <c r="G57" s="2" t="n"/>
    </row>
    <row r="58">
      <c r="H58" s="2" t="n"/>
    </row>
    <row r="59">
      <c r="I59" s="2" t="n"/>
    </row>
    <row r="60">
      <c r="J60" s="2" t="n"/>
    </row>
    <row r="61">
      <c r="K61" s="2" t="n"/>
    </row>
    <row r="62">
      <c r="A62" s="6" t="inlineStr">
        <is>
          <t>行為模式: 貪婪搜刮; 數量優勢威嚇; 可賄賂/交易/不可信任</t>
        </is>
      </c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10" t="n"/>
    </row>
    <row r="63">
      <c r="C63" s="2" t="n"/>
    </row>
    <row r="64">
      <c r="D64" s="2" t="n"/>
    </row>
    <row r="65">
      <c r="E65" s="2" t="n"/>
    </row>
    <row r="66">
      <c r="F66" s="2" t="n"/>
    </row>
    <row r="67">
      <c r="G67" s="2" t="n"/>
    </row>
    <row r="68">
      <c r="H68" s="2" t="n"/>
    </row>
    <row r="69">
      <c r="I69" s="2" t="n"/>
    </row>
    <row r="70">
      <c r="J70" s="2" t="n"/>
    </row>
    <row r="71">
      <c r="K71" s="2" t="n"/>
    </row>
    <row r="72">
      <c r="A72" s="6" t="inlineStr">
        <is>
          <t>戰利品: 雜牌武器+少量彈藥+垃圾</t>
        </is>
      </c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10" t="n"/>
    </row>
    <row r="73">
      <c r="C73" s="2" t="n"/>
    </row>
    <row r="74">
      <c r="D74" s="2" t="n"/>
    </row>
    <row r="75">
      <c r="E75" s="2" t="n"/>
    </row>
    <row r="76">
      <c r="F76" s="2" t="n"/>
    </row>
    <row r="77">
      <c r="G77" s="2" t="n"/>
    </row>
    <row r="78">
      <c r="H78" s="2" t="n"/>
    </row>
    <row r="79">
      <c r="I79" s="2" t="n"/>
    </row>
    <row r="80">
      <c r="J80" s="2" t="n"/>
    </row>
    <row r="81">
      <c r="K81" s="2" t="n"/>
    </row>
  </sheetData>
  <mergeCells count="116">
    <mergeCell ref="H3"/>
    <mergeCell ref="J19:K19"/>
    <mergeCell ref="B20"/>
    <mergeCell ref="E16"/>
    <mergeCell ref="G16"/>
    <mergeCell ref="D14"/>
    <mergeCell ref="F14"/>
    <mergeCell ref="C18"/>
    <mergeCell ref="E18"/>
    <mergeCell ref="H20"/>
    <mergeCell ref="E7:G7"/>
    <mergeCell ref="G17"/>
    <mergeCell ref="A2:K2"/>
    <mergeCell ref="E19"/>
    <mergeCell ref="A42:K42"/>
    <mergeCell ref="G19"/>
    <mergeCell ref="A22:K22"/>
    <mergeCell ref="B17"/>
    <mergeCell ref="A62:K62"/>
    <mergeCell ref="D17"/>
    <mergeCell ref="A3"/>
    <mergeCell ref="H7"/>
    <mergeCell ref="H16"/>
    <mergeCell ref="B19"/>
    <mergeCell ref="G14"/>
    <mergeCell ref="A5"/>
    <mergeCell ref="I14"/>
    <mergeCell ref="D3"/>
    <mergeCell ref="B3:C3"/>
    <mergeCell ref="A13"/>
    <mergeCell ref="C13"/>
    <mergeCell ref="B11:C11"/>
    <mergeCell ref="D20"/>
    <mergeCell ref="A15"/>
    <mergeCell ref="C15"/>
    <mergeCell ref="J20:K20"/>
    <mergeCell ref="E17"/>
    <mergeCell ref="A7"/>
    <mergeCell ref="F15"/>
    <mergeCell ref="A16"/>
    <mergeCell ref="C16"/>
    <mergeCell ref="B14"/>
    <mergeCell ref="A8:K8"/>
    <mergeCell ref="G18"/>
    <mergeCell ref="I18"/>
    <mergeCell ref="A18"/>
    <mergeCell ref="B13"/>
    <mergeCell ref="D7"/>
    <mergeCell ref="D16"/>
    <mergeCell ref="G5"/>
    <mergeCell ref="F13"/>
    <mergeCell ref="I5"/>
    <mergeCell ref="H13"/>
    <mergeCell ref="D18"/>
    <mergeCell ref="B7:C7"/>
    <mergeCell ref="G20"/>
    <mergeCell ref="I20"/>
    <mergeCell ref="A20"/>
    <mergeCell ref="H15"/>
    <mergeCell ref="I3:K3"/>
    <mergeCell ref="A1:K1"/>
    <mergeCell ref="H18"/>
    <mergeCell ref="I13"/>
    <mergeCell ref="I15"/>
    <mergeCell ref="D19"/>
    <mergeCell ref="F19"/>
    <mergeCell ref="F16"/>
    <mergeCell ref="C14"/>
    <mergeCell ref="E14"/>
    <mergeCell ref="A12:K12"/>
    <mergeCell ref="A21:K21"/>
    <mergeCell ref="J16:K16"/>
    <mergeCell ref="F20"/>
    <mergeCell ref="I16"/>
    <mergeCell ref="A32:K32"/>
    <mergeCell ref="B9:C9"/>
    <mergeCell ref="D13"/>
    <mergeCell ref="A4:K4"/>
    <mergeCell ref="A52:K52"/>
    <mergeCell ref="H19"/>
    <mergeCell ref="I7:K7"/>
    <mergeCell ref="I17"/>
    <mergeCell ref="A17"/>
    <mergeCell ref="C17"/>
    <mergeCell ref="J14:K14"/>
    <mergeCell ref="B15"/>
    <mergeCell ref="D15"/>
    <mergeCell ref="A10"/>
    <mergeCell ref="I19"/>
    <mergeCell ref="J13:K13"/>
    <mergeCell ref="A19"/>
    <mergeCell ref="C19"/>
    <mergeCell ref="H14"/>
    <mergeCell ref="A6:K6"/>
    <mergeCell ref="A9"/>
    <mergeCell ref="J15:K15"/>
    <mergeCell ref="B16"/>
    <mergeCell ref="A11"/>
    <mergeCell ref="C5"/>
    <mergeCell ref="E5"/>
    <mergeCell ref="B18"/>
    <mergeCell ref="C20"/>
    <mergeCell ref="E20"/>
    <mergeCell ref="B10:C10"/>
    <mergeCell ref="E3:G3"/>
    <mergeCell ref="E13"/>
    <mergeCell ref="F18"/>
    <mergeCell ref="G13"/>
    <mergeCell ref="F17"/>
    <mergeCell ref="A72:K72"/>
    <mergeCell ref="H17"/>
    <mergeCell ref="E15"/>
    <mergeCell ref="J18:K18"/>
    <mergeCell ref="G15"/>
    <mergeCell ref="A14"/>
    <mergeCell ref="J17:K1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敵人數據卡 - 教主殘留體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10" t="n"/>
    </row>
    <row r="2">
      <c r="A2" s="3" t="inlineStr">
        <is>
          <t>基本資訊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10" t="n"/>
    </row>
    <row r="3">
      <c r="A3" s="5" t="inlineStr">
        <is>
          <t>敵人名稱</t>
        </is>
      </c>
      <c r="B3" s="6" t="inlineStr">
        <is>
          <t>教主殘留體</t>
        </is>
      </c>
      <c r="C3" s="10" t="n"/>
      <c r="D3" s="5" t="inlineStr">
        <is>
          <t>出場劇本</t>
        </is>
      </c>
      <c r="E3" s="6" t="inlineStr">
        <is>
          <t>劇本三</t>
        </is>
      </c>
      <c r="F3" s="9" t="n"/>
      <c r="G3" s="10" t="n"/>
      <c r="H3" s="5" t="inlineStr">
        <is>
          <t>威脅值</t>
        </is>
      </c>
      <c r="I3" s="6" t="n">
        <v>4</v>
      </c>
      <c r="J3" s="9" t="n"/>
      <c r="K3" s="10" t="n"/>
    </row>
    <row r="4">
      <c r="A4" s="3" t="inlineStr">
        <is>
          <t>五大屬性 [數值已輸入,修改黃色格]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10" t="n"/>
    </row>
    <row r="5">
      <c r="A5" s="5" t="inlineStr">
        <is>
          <t>體魄PHY</t>
        </is>
      </c>
      <c r="B5" s="7" t="n">
        <v>5</v>
      </c>
      <c r="C5" s="5" t="inlineStr">
        <is>
          <t>精準PRC</t>
        </is>
      </c>
      <c r="D5" s="7" t="n">
        <v>1</v>
      </c>
      <c r="E5" s="5" t="inlineStr">
        <is>
          <t>感知PER</t>
        </is>
      </c>
      <c r="F5" s="7" t="n">
        <v>5</v>
      </c>
      <c r="G5" s="5" t="inlineStr">
        <is>
          <t>技術TEC</t>
        </is>
      </c>
      <c r="H5" s="7" t="n">
        <v>2</v>
      </c>
      <c r="I5" s="5" t="inlineStr">
        <is>
          <t>膽魄CRG</t>
        </is>
      </c>
      <c r="J5" s="7" t="n">
        <v>10</v>
      </c>
    </row>
    <row r="6">
      <c r="A6" s="3" t="inlineStr">
        <is>
          <t>衍生屬性（自動計算）</t>
        </is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10" t="n"/>
    </row>
    <row r="7">
      <c r="A7" s="5" t="inlineStr">
        <is>
          <t>先攻值</t>
        </is>
      </c>
      <c r="B7" s="8">
        <f>G5+E5</f>
        <v/>
      </c>
      <c r="C7" s="10" t="n"/>
      <c r="D7" s="5" t="inlineStr">
        <is>
          <t>負重上限kg</t>
        </is>
      </c>
      <c r="E7" s="8">
        <f>C5*5</f>
        <v/>
      </c>
      <c r="F7" s="9" t="n"/>
      <c r="G7" s="10" t="n"/>
      <c r="H7" s="5" t="inlineStr">
        <is>
          <t>技能點參考</t>
        </is>
      </c>
      <c r="I7" s="8">
        <f>(I5+K5)*2</f>
        <v/>
      </c>
      <c r="J7" s="9" t="n"/>
      <c r="K7" s="10" t="n"/>
    </row>
    <row r="8">
      <c r="A8" s="3" t="inlineStr">
        <is>
          <t>技能等級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10" t="n"/>
    </row>
    <row r="9">
      <c r="A9" s="5" t="inlineStr">
        <is>
          <t>近戰</t>
        </is>
      </c>
      <c r="B9" s="6" t="n">
        <v>2</v>
      </c>
      <c r="C9" s="10" t="n"/>
    </row>
    <row r="10">
      <c r="A10" s="5" t="inlineStr">
        <is>
          <t>察覺</t>
        </is>
      </c>
      <c r="B10" s="6" t="n">
        <v>2</v>
      </c>
      <c r="C10" s="10" t="n"/>
    </row>
    <row r="11">
      <c r="A11" s="5" t="inlineStr">
        <is>
          <t>開鎖</t>
        </is>
      </c>
      <c r="B11" s="6" t="n">
        <v>2</v>
      </c>
      <c r="C11" s="10" t="n"/>
    </row>
    <row r="12">
      <c r="A12" s="5" t="inlineStr">
        <is>
          <t>意志</t>
        </is>
      </c>
      <c r="B12" s="6" t="n">
        <v>5</v>
      </c>
      <c r="C12" s="10" t="n"/>
    </row>
    <row r="13">
      <c r="A13" s="3" t="inlineStr">
        <is>
          <t>七部位 HP（自動計算）</t>
        </is>
      </c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10" t="n"/>
    </row>
    <row r="14">
      <c r="A14" s="5" t="inlineStr">
        <is>
          <t>部位</t>
        </is>
      </c>
      <c r="B14" s="6" t="inlineStr">
        <is>
          <t>最大HP</t>
        </is>
      </c>
      <c r="C14" s="5" t="inlineStr">
        <is>
          <t>當前HP</t>
        </is>
      </c>
      <c r="D14" s="6" t="inlineStr"/>
      <c r="E14" s="5" t="inlineStr">
        <is>
          <t>DR</t>
        </is>
      </c>
      <c r="F14" s="5" t="inlineStr">
        <is>
          <t>DR</t>
        </is>
      </c>
      <c r="G14" s="5" t="inlineStr">
        <is>
          <t>DR</t>
        </is>
      </c>
      <c r="H14" s="6" t="inlineStr"/>
      <c r="I14" s="5" t="inlineStr">
        <is>
          <t>受傷效果</t>
        </is>
      </c>
      <c r="J14" s="6" t="inlineStr"/>
      <c r="K14" s="10" t="n"/>
    </row>
    <row r="15">
      <c r="A15" s="5" t="inlineStr">
        <is>
          <t>頭部</t>
        </is>
      </c>
      <c r="B15" s="8">
        <f>C5+6</f>
        <v/>
      </c>
      <c r="C15" s="5" t="inlineStr"/>
      <c r="D15" s="6" t="inlineStr"/>
      <c r="E15" s="5" t="inlineStr"/>
      <c r="F15" s="6" t="inlineStr"/>
      <c r="G15" s="11" t="inlineStr">
        <is>
          <t>DR</t>
        </is>
      </c>
      <c r="H15" s="12" t="inlineStr">
        <is>
          <t>頭盔</t>
        </is>
      </c>
      <c r="I15" s="5" t="inlineStr">
        <is>
          <t>歸零=即死</t>
        </is>
      </c>
      <c r="J15" s="6" t="inlineStr">
        <is>
          <t>歸零=即死</t>
        </is>
      </c>
      <c r="K15" s="10" t="n"/>
    </row>
    <row r="16">
      <c r="A16" s="5" t="inlineStr">
        <is>
          <t>胸部</t>
        </is>
      </c>
      <c r="B16" s="8">
        <f>C5*2+10</f>
        <v/>
      </c>
      <c r="C16" s="5" t="inlineStr"/>
      <c r="D16" s="6" t="inlineStr"/>
      <c r="E16" s="5" t="inlineStr"/>
      <c r="F16" s="6" t="inlineStr"/>
      <c r="G16" s="11" t="inlineStr">
        <is>
          <t>DR</t>
        </is>
      </c>
      <c r="H16" s="12" t="inlineStr">
        <is>
          <t>防彈衣+背心</t>
        </is>
      </c>
      <c r="I16" s="5" t="inlineStr">
        <is>
          <t>歸零=瀕死(膽魄TN14/回合)</t>
        </is>
      </c>
      <c r="J16" s="6" t="inlineStr">
        <is>
          <t>歸零=瀕死(膽魄TN14/回合)</t>
        </is>
      </c>
      <c r="K16" s="10" t="n"/>
    </row>
    <row r="17">
      <c r="A17" s="5" t="inlineStr">
        <is>
          <t>腹部</t>
        </is>
      </c>
      <c r="B17" s="8">
        <f>C5+8</f>
        <v/>
      </c>
      <c r="C17" s="5" t="inlineStr"/>
      <c r="D17" s="6" t="inlineStr"/>
      <c r="E17" s="5" t="inlineStr"/>
      <c r="F17" s="6" t="inlineStr"/>
      <c r="G17" s="11" t="inlineStr">
        <is>
          <t>DR</t>
        </is>
      </c>
      <c r="H17" s="12" t="inlineStr">
        <is>
          <t>防彈衣+背心</t>
        </is>
      </c>
      <c r="I17" s="5" t="inlineStr">
        <is>
          <t>歸零=內出血(1HP/分)</t>
        </is>
      </c>
      <c r="J17" s="6" t="inlineStr">
        <is>
          <t>歸零=內出血(1HP/分)</t>
        </is>
      </c>
      <c r="K17" s="10" t="n"/>
    </row>
    <row r="18">
      <c r="A18" s="5" t="inlineStr">
        <is>
          <t>左臂</t>
        </is>
      </c>
      <c r="B18" s="8">
        <f>C5+4</f>
        <v/>
      </c>
      <c r="C18" s="5" t="inlineStr"/>
      <c r="D18" s="6" t="inlineStr"/>
      <c r="E18" s="5" t="inlineStr"/>
      <c r="F18" s="6" t="inlineStr"/>
      <c r="G18" s="11" t="inlineStr">
        <is>
          <t>DR</t>
        </is>
      </c>
      <c r="H18" s="12" t="inlineStr">
        <is>
          <t>手套</t>
        </is>
      </c>
      <c r="I18" s="5" t="inlineStr">
        <is>
          <t>歸零=永久失能</t>
        </is>
      </c>
      <c r="J18" s="6" t="inlineStr">
        <is>
          <t>歸零=永久失能</t>
        </is>
      </c>
      <c r="K18" s="10" t="n"/>
    </row>
    <row r="19">
      <c r="A19" s="5" t="inlineStr">
        <is>
          <t>右臂</t>
        </is>
      </c>
      <c r="B19" s="8">
        <f>C5+4</f>
        <v/>
      </c>
      <c r="C19" s="5" t="inlineStr"/>
      <c r="D19" s="6" t="inlineStr"/>
      <c r="E19" s="5" t="inlineStr"/>
      <c r="F19" s="6" t="inlineStr"/>
      <c r="G19" s="11" t="inlineStr">
        <is>
          <t>DR</t>
        </is>
      </c>
      <c r="H19" s="12" t="inlineStr">
        <is>
          <t>手套</t>
        </is>
      </c>
      <c r="I19" s="5" t="inlineStr">
        <is>
          <t>歸零=永久失能</t>
        </is>
      </c>
      <c r="J19" s="6" t="inlineStr">
        <is>
          <t>歸零=永久失能</t>
        </is>
      </c>
      <c r="K19" s="10" t="n"/>
    </row>
    <row r="20">
      <c r="A20" s="5" t="inlineStr">
        <is>
          <t>左腿</t>
        </is>
      </c>
      <c r="B20" s="8">
        <f>C5+5</f>
        <v/>
      </c>
      <c r="C20" s="5" t="inlineStr"/>
      <c r="D20" s="6" t="inlineStr"/>
      <c r="E20" s="5" t="inlineStr"/>
      <c r="F20" s="6" t="inlineStr"/>
      <c r="G20" s="11" t="inlineStr">
        <is>
          <t>DR</t>
        </is>
      </c>
      <c r="H20" s="12" t="inlineStr">
        <is>
          <t>軍靴</t>
        </is>
      </c>
      <c r="I20" s="5" t="inlineStr">
        <is>
          <t>歸零=倒地,不可行走</t>
        </is>
      </c>
      <c r="J20" s="6" t="inlineStr">
        <is>
          <t>歸零=倒地,不可行走</t>
        </is>
      </c>
      <c r="K20" s="10" t="n"/>
    </row>
    <row r="21">
      <c r="A21" s="5" t="inlineStr">
        <is>
          <t>右腿</t>
        </is>
      </c>
      <c r="B21" s="8">
        <f>C5+5</f>
        <v/>
      </c>
      <c r="C21" s="5" t="inlineStr"/>
      <c r="D21" s="6" t="inlineStr"/>
      <c r="E21" s="5" t="inlineStr"/>
      <c r="F21" s="6" t="inlineStr"/>
      <c r="G21" s="11" t="inlineStr">
        <is>
          <t>DR</t>
        </is>
      </c>
      <c r="H21" s="12" t="inlineStr">
        <is>
          <t>軍靴</t>
        </is>
      </c>
      <c r="I21" s="5" t="inlineStr">
        <is>
          <t>歸零=倒地,不可行走</t>
        </is>
      </c>
      <c r="J21" s="6" t="inlineStr">
        <is>
          <t>歸零=倒地,不可行走</t>
        </is>
      </c>
      <c r="K21" s="10" t="n"/>
    </row>
    <row r="22">
      <c r="A22" s="3" t="inlineStr">
        <is>
          <t>戰鬥數據</t>
        </is>
      </c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10" t="n"/>
    </row>
    <row r="23">
      <c r="A23" s="6" t="inlineStr">
        <is>
          <t>主攻擊: 金屬十字架 1d8+5 近接</t>
        </is>
      </c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10" t="n"/>
    </row>
    <row r="24">
      <c r="C24" s="2" t="n"/>
    </row>
    <row r="25">
      <c r="D25" s="2" t="n"/>
    </row>
    <row r="26">
      <c r="E26" s="2" t="n"/>
    </row>
    <row r="27">
      <c r="F27" s="2" t="n"/>
    </row>
    <row r="28">
      <c r="G28" s="2" t="n"/>
    </row>
    <row r="29">
      <c r="H29" s="2" t="n"/>
    </row>
    <row r="30">
      <c r="I30" s="2" t="n"/>
    </row>
    <row r="31">
      <c r="J31" s="2" t="n"/>
    </row>
    <row r="32">
      <c r="K32" s="2" t="n"/>
    </row>
    <row r="33">
      <c r="A33" s="6" t="inlineStr">
        <is>
          <t xml:space="preserve">副攻擊: </t>
        </is>
      </c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10" t="n"/>
    </row>
    <row r="34">
      <c r="C34" s="2" t="n"/>
    </row>
    <row r="35">
      <c r="D35" s="2" t="n"/>
    </row>
    <row r="36">
      <c r="E36" s="2" t="n"/>
    </row>
    <row r="37">
      <c r="F37" s="2" t="n"/>
    </row>
    <row r="38">
      <c r="G38" s="2" t="n"/>
    </row>
    <row r="39">
      <c r="H39" s="2" t="n"/>
    </row>
    <row r="40">
      <c r="I40" s="2" t="n"/>
    </row>
    <row r="41">
      <c r="J41" s="2" t="n"/>
    </row>
    <row r="42">
      <c r="K42" s="2" t="n"/>
    </row>
    <row r="43">
      <c r="A43" s="6" t="inlineStr">
        <is>
          <t>防具/DR: DR 0</t>
        </is>
      </c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10" t="n"/>
    </row>
    <row r="44">
      <c r="C44" s="2" t="n"/>
    </row>
    <row r="45">
      <c r="D45" s="2" t="n"/>
    </row>
    <row r="46">
      <c r="E46" s="2" t="n"/>
    </row>
    <row r="47">
      <c r="F47" s="2" t="n"/>
    </row>
    <row r="48">
      <c r="G48" s="2" t="n"/>
    </row>
    <row r="49">
      <c r="H49" s="2" t="n"/>
    </row>
    <row r="50">
      <c r="I50" s="2" t="n"/>
    </row>
    <row r="51">
      <c r="J51" s="2" t="n"/>
    </row>
    <row r="52">
      <c r="K52" s="2" t="n"/>
    </row>
    <row r="53">
      <c r="A53" s="6" t="inlineStr">
        <is>
          <t>特殊能力: 被驚擾前保持安靜(可潛行避開)</t>
        </is>
      </c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10" t="n"/>
    </row>
    <row r="54">
      <c r="C54" s="2" t="n"/>
    </row>
    <row r="55">
      <c r="D55" s="2" t="n"/>
    </row>
    <row r="56">
      <c r="E56" s="2" t="n"/>
    </row>
    <row r="57">
      <c r="F57" s="2" t="n"/>
    </row>
    <row r="58">
      <c r="G58" s="2" t="n"/>
    </row>
    <row r="59">
      <c r="H59" s="2" t="n"/>
    </row>
    <row r="60">
      <c r="I60" s="2" t="n"/>
    </row>
    <row r="61">
      <c r="J61" s="2" t="n"/>
    </row>
    <row r="62">
      <c r="K62" s="2" t="n"/>
    </row>
    <row r="63">
      <c r="A63" s="6" t="inlineStr">
        <is>
          <t>行為模式: 保留禱告行為模式; 被驚擾後狂暴攻擊</t>
        </is>
      </c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10" t="n"/>
    </row>
    <row r="64">
      <c r="C64" s="2" t="n"/>
    </row>
    <row r="65">
      <c r="D65" s="2" t="n"/>
    </row>
    <row r="66">
      <c r="E66" s="2" t="n"/>
    </row>
    <row r="67">
      <c r="F67" s="2" t="n"/>
    </row>
    <row r="68">
      <c r="G68" s="2" t="n"/>
    </row>
    <row r="69">
      <c r="H69" s="2" t="n"/>
    </row>
    <row r="70">
      <c r="I70" s="2" t="n"/>
    </row>
    <row r="71">
      <c r="J71" s="2" t="n"/>
    </row>
    <row r="72">
      <c r="K72" s="2" t="n"/>
    </row>
    <row r="73">
      <c r="A73" s="6" t="inlineStr">
        <is>
          <t>戰利品: 金屬十字架(白)</t>
        </is>
      </c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10" t="n"/>
    </row>
    <row r="74">
      <c r="C74" s="2" t="n"/>
    </row>
    <row r="75">
      <c r="D75" s="2" t="n"/>
    </row>
    <row r="76">
      <c r="E76" s="2" t="n"/>
    </row>
    <row r="77">
      <c r="F77" s="2" t="n"/>
    </row>
    <row r="78">
      <c r="G78" s="2" t="n"/>
    </row>
    <row r="79">
      <c r="H79" s="2" t="n"/>
    </row>
    <row r="80">
      <c r="I80" s="2" t="n"/>
    </row>
    <row r="81">
      <c r="J81" s="2" t="n"/>
    </row>
    <row r="82">
      <c r="K82" s="2" t="n"/>
    </row>
  </sheetData>
  <mergeCells count="118">
    <mergeCell ref="H3"/>
    <mergeCell ref="A73:K73"/>
    <mergeCell ref="J19:K19"/>
    <mergeCell ref="B20"/>
    <mergeCell ref="E16"/>
    <mergeCell ref="G16"/>
    <mergeCell ref="D14"/>
    <mergeCell ref="F14"/>
    <mergeCell ref="B12:C12"/>
    <mergeCell ref="C18"/>
    <mergeCell ref="E18"/>
    <mergeCell ref="H20"/>
    <mergeCell ref="E7:G7"/>
    <mergeCell ref="G17"/>
    <mergeCell ref="F21"/>
    <mergeCell ref="A2:K2"/>
    <mergeCell ref="A33:K33"/>
    <mergeCell ref="H21"/>
    <mergeCell ref="E19"/>
    <mergeCell ref="G19"/>
    <mergeCell ref="A22:K22"/>
    <mergeCell ref="J21:K21"/>
    <mergeCell ref="A53:K53"/>
    <mergeCell ref="B17"/>
    <mergeCell ref="D17"/>
    <mergeCell ref="A3"/>
    <mergeCell ref="I21"/>
    <mergeCell ref="H7"/>
    <mergeCell ref="H16"/>
    <mergeCell ref="B19"/>
    <mergeCell ref="G14"/>
    <mergeCell ref="A5"/>
    <mergeCell ref="I14"/>
    <mergeCell ref="D3"/>
    <mergeCell ref="B3:C3"/>
    <mergeCell ref="B11:C11"/>
    <mergeCell ref="D20"/>
    <mergeCell ref="A15"/>
    <mergeCell ref="C15"/>
    <mergeCell ref="J20:K20"/>
    <mergeCell ref="E17"/>
    <mergeCell ref="B21"/>
    <mergeCell ref="D21"/>
    <mergeCell ref="A7"/>
    <mergeCell ref="F15"/>
    <mergeCell ref="A16"/>
    <mergeCell ref="C16"/>
    <mergeCell ref="B14"/>
    <mergeCell ref="A8:K8"/>
    <mergeCell ref="G18"/>
    <mergeCell ref="I18"/>
    <mergeCell ref="A18"/>
    <mergeCell ref="D7"/>
    <mergeCell ref="D16"/>
    <mergeCell ref="A63:K63"/>
    <mergeCell ref="G5"/>
    <mergeCell ref="I5"/>
    <mergeCell ref="D18"/>
    <mergeCell ref="B7:C7"/>
    <mergeCell ref="G20"/>
    <mergeCell ref="I20"/>
    <mergeCell ref="A20"/>
    <mergeCell ref="H15"/>
    <mergeCell ref="I3:K3"/>
    <mergeCell ref="A1:K1"/>
    <mergeCell ref="H18"/>
    <mergeCell ref="E21"/>
    <mergeCell ref="G21"/>
    <mergeCell ref="I15"/>
    <mergeCell ref="D19"/>
    <mergeCell ref="F19"/>
    <mergeCell ref="F16"/>
    <mergeCell ref="C14"/>
    <mergeCell ref="E14"/>
    <mergeCell ref="J16:K16"/>
    <mergeCell ref="F20"/>
    <mergeCell ref="I16"/>
    <mergeCell ref="B9:C9"/>
    <mergeCell ref="A23:K23"/>
    <mergeCell ref="A4:K4"/>
    <mergeCell ref="A43:K43"/>
    <mergeCell ref="H19"/>
    <mergeCell ref="I7:K7"/>
    <mergeCell ref="I17"/>
    <mergeCell ref="A17"/>
    <mergeCell ref="C17"/>
    <mergeCell ref="J14:K14"/>
    <mergeCell ref="B15"/>
    <mergeCell ref="D15"/>
    <mergeCell ref="A10"/>
    <mergeCell ref="I19"/>
    <mergeCell ref="A19"/>
    <mergeCell ref="C19"/>
    <mergeCell ref="H14"/>
    <mergeCell ref="A6:K6"/>
    <mergeCell ref="A9"/>
    <mergeCell ref="J15:K15"/>
    <mergeCell ref="B16"/>
    <mergeCell ref="A11"/>
    <mergeCell ref="C5"/>
    <mergeCell ref="E5"/>
    <mergeCell ref="B18"/>
    <mergeCell ref="C20"/>
    <mergeCell ref="E20"/>
    <mergeCell ref="B10:C10"/>
    <mergeCell ref="E3:G3"/>
    <mergeCell ref="F18"/>
    <mergeCell ref="A12"/>
    <mergeCell ref="F17"/>
    <mergeCell ref="A21"/>
    <mergeCell ref="H17"/>
    <mergeCell ref="C21"/>
    <mergeCell ref="E15"/>
    <mergeCell ref="J18:K18"/>
    <mergeCell ref="G15"/>
    <mergeCell ref="A13:K13"/>
    <mergeCell ref="A14"/>
    <mergeCell ref="J17:K1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敵人數據卡 - 教團成員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10" t="n"/>
    </row>
    <row r="2">
      <c r="A2" s="3" t="inlineStr">
        <is>
          <t>基本資訊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10" t="n"/>
    </row>
    <row r="3">
      <c r="A3" s="5" t="inlineStr">
        <is>
          <t>敵人名稱</t>
        </is>
      </c>
      <c r="B3" s="6" t="inlineStr">
        <is>
          <t>教團成員</t>
        </is>
      </c>
      <c r="C3" s="10" t="n"/>
      <c r="D3" s="5" t="inlineStr">
        <is>
          <t>出場劇本</t>
        </is>
      </c>
      <c r="E3" s="6" t="inlineStr">
        <is>
          <t>劇本四,八</t>
        </is>
      </c>
      <c r="F3" s="9" t="n"/>
      <c r="G3" s="10" t="n"/>
      <c r="H3" s="5" t="inlineStr">
        <is>
          <t>威脅值</t>
        </is>
      </c>
      <c r="I3" s="6" t="n">
        <v>5</v>
      </c>
      <c r="J3" s="9" t="n"/>
      <c r="K3" s="10" t="n"/>
    </row>
    <row r="4">
      <c r="A4" s="3" t="inlineStr">
        <is>
          <t>五大屬性 [數值已輸入,修改黃色格]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10" t="n"/>
    </row>
    <row r="5">
      <c r="A5" s="5" t="inlineStr">
        <is>
          <t>體魄PHY</t>
        </is>
      </c>
      <c r="B5" s="7" t="n">
        <v>4</v>
      </c>
      <c r="C5" s="5" t="inlineStr">
        <is>
          <t>精準PRC</t>
        </is>
      </c>
      <c r="D5" s="7" t="n">
        <v>3</v>
      </c>
      <c r="E5" s="5" t="inlineStr">
        <is>
          <t>感知PER</t>
        </is>
      </c>
      <c r="F5" s="7" t="n">
        <v>5</v>
      </c>
      <c r="G5" s="5" t="inlineStr">
        <is>
          <t>技術TEC</t>
        </is>
      </c>
      <c r="H5" s="7" t="n">
        <v>4</v>
      </c>
      <c r="I5" s="5" t="inlineStr">
        <is>
          <t>膽魄CRG</t>
        </is>
      </c>
      <c r="J5" s="7" t="n">
        <v>8</v>
      </c>
    </row>
    <row r="6">
      <c r="A6" s="3" t="inlineStr">
        <is>
          <t>衍生屬性（自動計算）</t>
        </is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10" t="n"/>
    </row>
    <row r="7">
      <c r="A7" s="5" t="inlineStr">
        <is>
          <t>先攻值</t>
        </is>
      </c>
      <c r="B7" s="8">
        <f>G5+E5</f>
        <v/>
      </c>
      <c r="C7" s="10" t="n"/>
      <c r="D7" s="5" t="inlineStr">
        <is>
          <t>負重上限kg</t>
        </is>
      </c>
      <c r="E7" s="8">
        <f>C5*5</f>
        <v/>
      </c>
      <c r="F7" s="9" t="n"/>
      <c r="G7" s="10" t="n"/>
      <c r="H7" s="5" t="inlineStr">
        <is>
          <t>技能點參考</t>
        </is>
      </c>
      <c r="I7" s="8">
        <f>(I5+K5)*2</f>
        <v/>
      </c>
      <c r="J7" s="9" t="n"/>
      <c r="K7" s="10" t="n"/>
    </row>
    <row r="8">
      <c r="A8" s="3" t="inlineStr">
        <is>
          <t>技能等級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10" t="n"/>
    </row>
    <row r="9">
      <c r="A9" s="5" t="inlineStr">
        <is>
          <t>近戰</t>
        </is>
      </c>
      <c r="B9" s="6" t="n">
        <v>2</v>
      </c>
      <c r="C9" s="10" t="n"/>
    </row>
    <row r="10">
      <c r="A10" s="5" t="inlineStr">
        <is>
          <t>槍械</t>
        </is>
      </c>
      <c r="B10" s="6" t="n">
        <v>2</v>
      </c>
      <c r="C10" s="10" t="n"/>
    </row>
    <row r="11">
      <c r="A11" s="5" t="inlineStr">
        <is>
          <t>察覺</t>
        </is>
      </c>
      <c r="B11" s="6" t="n">
        <v>2</v>
      </c>
      <c r="C11" s="10" t="n"/>
    </row>
    <row r="12">
      <c r="A12" s="5" t="inlineStr">
        <is>
          <t>急救</t>
        </is>
      </c>
      <c r="B12" s="6" t="n">
        <v>2</v>
      </c>
      <c r="C12" s="10" t="n"/>
    </row>
    <row r="13">
      <c r="A13" s="5" t="inlineStr">
        <is>
          <t>意志</t>
        </is>
      </c>
      <c r="B13" s="6" t="n">
        <v>4</v>
      </c>
      <c r="C13" s="10" t="n"/>
    </row>
    <row r="14">
      <c r="A14" s="3" t="inlineStr">
        <is>
          <t>七部位 HP（自動計算）</t>
        </is>
      </c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10" t="n"/>
    </row>
    <row r="15">
      <c r="A15" s="5" t="inlineStr">
        <is>
          <t>部位</t>
        </is>
      </c>
      <c r="B15" s="6" t="inlineStr">
        <is>
          <t>最大HP</t>
        </is>
      </c>
      <c r="C15" s="5" t="inlineStr">
        <is>
          <t>當前HP</t>
        </is>
      </c>
      <c r="D15" s="6" t="inlineStr"/>
      <c r="E15" s="5" t="inlineStr">
        <is>
          <t>DR</t>
        </is>
      </c>
      <c r="F15" s="5" t="inlineStr">
        <is>
          <t>DR</t>
        </is>
      </c>
      <c r="G15" s="5" t="inlineStr">
        <is>
          <t>DR</t>
        </is>
      </c>
      <c r="H15" s="6" t="inlineStr"/>
      <c r="I15" s="5" t="inlineStr">
        <is>
          <t>受傷效果</t>
        </is>
      </c>
      <c r="J15" s="6" t="inlineStr"/>
      <c r="K15" s="10" t="n"/>
    </row>
    <row r="16">
      <c r="A16" s="5" t="inlineStr">
        <is>
          <t>頭部</t>
        </is>
      </c>
      <c r="B16" s="8">
        <f>C5+6</f>
        <v/>
      </c>
      <c r="C16" s="5" t="inlineStr"/>
      <c r="D16" s="6" t="inlineStr"/>
      <c r="E16" s="5" t="inlineStr"/>
      <c r="F16" s="6" t="inlineStr"/>
      <c r="G16" s="11" t="inlineStr">
        <is>
          <t>DR</t>
        </is>
      </c>
      <c r="H16" s="12" t="inlineStr">
        <is>
          <t>頭盔</t>
        </is>
      </c>
      <c r="I16" s="5" t="inlineStr">
        <is>
          <t>歸零=即死</t>
        </is>
      </c>
      <c r="J16" s="6" t="inlineStr">
        <is>
          <t>歸零=即死</t>
        </is>
      </c>
      <c r="K16" s="10" t="n"/>
    </row>
    <row r="17">
      <c r="A17" s="5" t="inlineStr">
        <is>
          <t>胸部</t>
        </is>
      </c>
      <c r="B17" s="8">
        <f>C5*2+10</f>
        <v/>
      </c>
      <c r="C17" s="5" t="inlineStr"/>
      <c r="D17" s="6" t="inlineStr"/>
      <c r="E17" s="5" t="inlineStr"/>
      <c r="F17" s="6" t="inlineStr"/>
      <c r="G17" s="11" t="inlineStr">
        <is>
          <t>DR</t>
        </is>
      </c>
      <c r="H17" s="12" t="inlineStr">
        <is>
          <t>防彈衣+背心</t>
        </is>
      </c>
      <c r="I17" s="5" t="inlineStr">
        <is>
          <t>歸零=瀕死(膽魄TN14/回合)</t>
        </is>
      </c>
      <c r="J17" s="6" t="inlineStr">
        <is>
          <t>歸零=瀕死(膽魄TN14/回合)</t>
        </is>
      </c>
      <c r="K17" s="10" t="n"/>
    </row>
    <row r="18">
      <c r="A18" s="5" t="inlineStr">
        <is>
          <t>腹部</t>
        </is>
      </c>
      <c r="B18" s="8">
        <f>C5+8</f>
        <v/>
      </c>
      <c r="C18" s="5" t="inlineStr"/>
      <c r="D18" s="6" t="inlineStr"/>
      <c r="E18" s="5" t="inlineStr"/>
      <c r="F18" s="6" t="inlineStr"/>
      <c r="G18" s="11" t="inlineStr">
        <is>
          <t>DR</t>
        </is>
      </c>
      <c r="H18" s="12" t="inlineStr">
        <is>
          <t>防彈衣+背心</t>
        </is>
      </c>
      <c r="I18" s="5" t="inlineStr">
        <is>
          <t>歸零=內出血(1HP/分)</t>
        </is>
      </c>
      <c r="J18" s="6" t="inlineStr">
        <is>
          <t>歸零=內出血(1HP/分)</t>
        </is>
      </c>
      <c r="K18" s="10" t="n"/>
    </row>
    <row r="19">
      <c r="A19" s="5" t="inlineStr">
        <is>
          <t>左臂</t>
        </is>
      </c>
      <c r="B19" s="8">
        <f>C5+4</f>
        <v/>
      </c>
      <c r="C19" s="5" t="inlineStr"/>
      <c r="D19" s="6" t="inlineStr"/>
      <c r="E19" s="5" t="inlineStr"/>
      <c r="F19" s="6" t="inlineStr"/>
      <c r="G19" s="11" t="inlineStr">
        <is>
          <t>DR</t>
        </is>
      </c>
      <c r="H19" s="12" t="inlineStr">
        <is>
          <t>手套</t>
        </is>
      </c>
      <c r="I19" s="5" t="inlineStr">
        <is>
          <t>歸零=永久失能</t>
        </is>
      </c>
      <c r="J19" s="6" t="inlineStr">
        <is>
          <t>歸零=永久失能</t>
        </is>
      </c>
      <c r="K19" s="10" t="n"/>
    </row>
    <row r="20">
      <c r="A20" s="5" t="inlineStr">
        <is>
          <t>右臂</t>
        </is>
      </c>
      <c r="B20" s="8">
        <f>C5+4</f>
        <v/>
      </c>
      <c r="C20" s="5" t="inlineStr"/>
      <c r="D20" s="6" t="inlineStr"/>
      <c r="E20" s="5" t="inlineStr"/>
      <c r="F20" s="6" t="inlineStr"/>
      <c r="G20" s="11" t="inlineStr">
        <is>
          <t>DR</t>
        </is>
      </c>
      <c r="H20" s="12" t="inlineStr">
        <is>
          <t>手套</t>
        </is>
      </c>
      <c r="I20" s="5" t="inlineStr">
        <is>
          <t>歸零=永久失能</t>
        </is>
      </c>
      <c r="J20" s="6" t="inlineStr">
        <is>
          <t>歸零=永久失能</t>
        </is>
      </c>
      <c r="K20" s="10" t="n"/>
    </row>
    <row r="21">
      <c r="A21" s="5" t="inlineStr">
        <is>
          <t>左腿</t>
        </is>
      </c>
      <c r="B21" s="8">
        <f>C5+5</f>
        <v/>
      </c>
      <c r="C21" s="5" t="inlineStr"/>
      <c r="D21" s="6" t="inlineStr"/>
      <c r="E21" s="5" t="inlineStr"/>
      <c r="F21" s="6" t="inlineStr"/>
      <c r="G21" s="11" t="inlineStr">
        <is>
          <t>DR</t>
        </is>
      </c>
      <c r="H21" s="12" t="inlineStr">
        <is>
          <t>軍靴</t>
        </is>
      </c>
      <c r="I21" s="5" t="inlineStr">
        <is>
          <t>歸零=倒地,不可行走</t>
        </is>
      </c>
      <c r="J21" s="6" t="inlineStr">
        <is>
          <t>歸零=倒地,不可行走</t>
        </is>
      </c>
      <c r="K21" s="10" t="n"/>
    </row>
    <row r="22">
      <c r="A22" s="5" t="inlineStr">
        <is>
          <t>右腿</t>
        </is>
      </c>
      <c r="B22" s="8">
        <f>C5+5</f>
        <v/>
      </c>
      <c r="C22" s="5" t="inlineStr"/>
      <c r="D22" s="6" t="inlineStr"/>
      <c r="E22" s="5" t="inlineStr"/>
      <c r="F22" s="6" t="inlineStr"/>
      <c r="G22" s="11" t="inlineStr">
        <is>
          <t>DR</t>
        </is>
      </c>
      <c r="H22" s="12" t="inlineStr">
        <is>
          <t>軍靴</t>
        </is>
      </c>
      <c r="I22" s="5" t="inlineStr">
        <is>
          <t>歸零=倒地,不可行走</t>
        </is>
      </c>
      <c r="J22" s="6" t="inlineStr">
        <is>
          <t>歸零=倒地,不可行走</t>
        </is>
      </c>
      <c r="K22" s="10" t="n"/>
    </row>
    <row r="23">
      <c r="A23" s="3" t="inlineStr">
        <is>
          <t>戰鬥數據</t>
        </is>
      </c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10" t="n"/>
    </row>
    <row r="24">
      <c r="A24" s="6" t="inlineStr">
        <is>
          <t>主攻擊: 緊湊SMG 1d8 近-中距</t>
        </is>
      </c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10" t="n"/>
    </row>
    <row r="25">
      <c r="C25" s="2" t="n"/>
    </row>
    <row r="26">
      <c r="D26" s="2" t="n"/>
    </row>
    <row r="27">
      <c r="E27" s="2" t="n"/>
    </row>
    <row r="28">
      <c r="F28" s="2" t="n"/>
    </row>
    <row r="29">
      <c r="G29" s="2" t="n"/>
    </row>
    <row r="30">
      <c r="H30" s="2" t="n"/>
    </row>
    <row r="31">
      <c r="I31" s="2" t="n"/>
    </row>
    <row r="32">
      <c r="J32" s="2" t="n"/>
    </row>
    <row r="33">
      <c r="K33" s="2" t="n"/>
    </row>
    <row r="34">
      <c r="A34" s="6" t="inlineStr">
        <is>
          <t>副攻擊: 儀式匕首 1d4+4 近接</t>
        </is>
      </c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10" t="n"/>
    </row>
    <row r="35">
      <c r="C35" s="2" t="n"/>
    </row>
    <row r="36">
      <c r="D36" s="2" t="n"/>
    </row>
    <row r="37">
      <c r="E37" s="2" t="n"/>
    </row>
    <row r="38">
      <c r="F38" s="2" t="n"/>
    </row>
    <row r="39">
      <c r="G39" s="2" t="n"/>
    </row>
    <row r="40">
      <c r="H40" s="2" t="n"/>
    </row>
    <row r="41">
      <c r="I41" s="2" t="n"/>
    </row>
    <row r="42">
      <c r="J42" s="2" t="n"/>
    </row>
    <row r="43">
      <c r="K43" s="2" t="n"/>
    </row>
    <row r="44">
      <c r="A44" s="6" t="inlineStr">
        <is>
          <t>防具/DR: 頭DR1(面具),胸DR1(軟質)</t>
        </is>
      </c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10" t="n"/>
    </row>
    <row r="45">
      <c r="C45" s="2" t="n"/>
    </row>
    <row r="46">
      <c r="D46" s="2" t="n"/>
    </row>
    <row r="47">
      <c r="E47" s="2" t="n"/>
    </row>
    <row r="48">
      <c r="F48" s="2" t="n"/>
    </row>
    <row r="49">
      <c r="G49" s="2" t="n"/>
    </row>
    <row r="50">
      <c r="H50" s="2" t="n"/>
    </row>
    <row r="51">
      <c r="I51" s="2" t="n"/>
    </row>
    <row r="52">
      <c r="J52" s="2" t="n"/>
    </row>
    <row r="53">
      <c r="K53" s="2" t="n"/>
    </row>
    <row r="54">
      <c r="A54" s="6" t="inlineStr">
        <is>
          <t>特殊能力: 狂熱(恐懼檢定優勢); 瀕死自爆(2d6/3m)</t>
        </is>
      </c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10" t="n"/>
    </row>
    <row r="55">
      <c r="C55" s="2" t="n"/>
    </row>
    <row r="56">
      <c r="D56" s="2" t="n"/>
    </row>
    <row r="57">
      <c r="E57" s="2" t="n"/>
    </row>
    <row r="58">
      <c r="F58" s="2" t="n"/>
    </row>
    <row r="59">
      <c r="G59" s="2" t="n"/>
    </row>
    <row r="60">
      <c r="H60" s="2" t="n"/>
    </row>
    <row r="61">
      <c r="I61" s="2" t="n"/>
    </row>
    <row r="62">
      <c r="J62" s="2" t="n"/>
    </row>
    <row r="63">
      <c r="K63" s="2" t="n"/>
    </row>
    <row r="64">
      <c r="A64" s="6" t="inlineStr">
        <is>
          <t>行為模式: 巡邏聖地; 發現入侵者先警告後攻擊; HP&lt;25%觸發自爆</t>
        </is>
      </c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10" t="n"/>
    </row>
    <row r="65">
      <c r="C65" s="2" t="n"/>
    </row>
    <row r="66">
      <c r="D66" s="2" t="n"/>
    </row>
    <row r="67">
      <c r="E67" s="2" t="n"/>
    </row>
    <row r="68">
      <c r="F68" s="2" t="n"/>
    </row>
    <row r="69">
      <c r="G69" s="2" t="n"/>
    </row>
    <row r="70">
      <c r="H70" s="2" t="n"/>
    </row>
    <row r="71">
      <c r="I71" s="2" t="n"/>
    </row>
    <row r="72">
      <c r="J72" s="2" t="n"/>
    </row>
    <row r="73">
      <c r="K73" s="2" t="n"/>
    </row>
    <row r="74">
      <c r="A74" s="6" t="inlineStr">
        <is>
          <t>戰利品: SMG+儀式物品(藍)</t>
        </is>
      </c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10" t="n"/>
    </row>
    <row r="75">
      <c r="C75" s="2" t="n"/>
    </row>
    <row r="76">
      <c r="D76" s="2" t="n"/>
    </row>
    <row r="77">
      <c r="E77" s="2" t="n"/>
    </row>
    <row r="78">
      <c r="F78" s="2" t="n"/>
    </row>
    <row r="79">
      <c r="G79" s="2" t="n"/>
    </row>
    <row r="80">
      <c r="H80" s="2" t="n"/>
    </row>
    <row r="81">
      <c r="I81" s="2" t="n"/>
    </row>
    <row r="82">
      <c r="J82" s="2" t="n"/>
    </row>
    <row r="83">
      <c r="K83" s="2" t="n"/>
    </row>
  </sheetData>
  <mergeCells count="120">
    <mergeCell ref="A64:K64"/>
    <mergeCell ref="H3"/>
    <mergeCell ref="A24:K24"/>
    <mergeCell ref="J19:K19"/>
    <mergeCell ref="B20"/>
    <mergeCell ref="E16"/>
    <mergeCell ref="G16"/>
    <mergeCell ref="B12:C12"/>
    <mergeCell ref="C18"/>
    <mergeCell ref="E18"/>
    <mergeCell ref="A54:K54"/>
    <mergeCell ref="H20"/>
    <mergeCell ref="E7:G7"/>
    <mergeCell ref="B13:C13"/>
    <mergeCell ref="G17"/>
    <mergeCell ref="F21"/>
    <mergeCell ref="A2:K2"/>
    <mergeCell ref="H21"/>
    <mergeCell ref="E19"/>
    <mergeCell ref="G19"/>
    <mergeCell ref="I22"/>
    <mergeCell ref="J21:K21"/>
    <mergeCell ref="B17"/>
    <mergeCell ref="D17"/>
    <mergeCell ref="A3"/>
    <mergeCell ref="I21"/>
    <mergeCell ref="H7"/>
    <mergeCell ref="H16"/>
    <mergeCell ref="B19"/>
    <mergeCell ref="A5"/>
    <mergeCell ref="D3"/>
    <mergeCell ref="B3:C3"/>
    <mergeCell ref="A13"/>
    <mergeCell ref="B11:C11"/>
    <mergeCell ref="D20"/>
    <mergeCell ref="A15"/>
    <mergeCell ref="C15"/>
    <mergeCell ref="B22"/>
    <mergeCell ref="D22"/>
    <mergeCell ref="A74:K74"/>
    <mergeCell ref="J20:K20"/>
    <mergeCell ref="E17"/>
    <mergeCell ref="B21"/>
    <mergeCell ref="D21"/>
    <mergeCell ref="A7"/>
    <mergeCell ref="F15"/>
    <mergeCell ref="A16"/>
    <mergeCell ref="C16"/>
    <mergeCell ref="J22:K22"/>
    <mergeCell ref="A8:K8"/>
    <mergeCell ref="G18"/>
    <mergeCell ref="I18"/>
    <mergeCell ref="A18"/>
    <mergeCell ref="D7"/>
    <mergeCell ref="D16"/>
    <mergeCell ref="G5"/>
    <mergeCell ref="I5"/>
    <mergeCell ref="A34:K34"/>
    <mergeCell ref="A22"/>
    <mergeCell ref="D18"/>
    <mergeCell ref="B7:C7"/>
    <mergeCell ref="G20"/>
    <mergeCell ref="I20"/>
    <mergeCell ref="A20"/>
    <mergeCell ref="H15"/>
    <mergeCell ref="I3:K3"/>
    <mergeCell ref="A1:K1"/>
    <mergeCell ref="H18"/>
    <mergeCell ref="E22"/>
    <mergeCell ref="G22"/>
    <mergeCell ref="E21"/>
    <mergeCell ref="G21"/>
    <mergeCell ref="I15"/>
    <mergeCell ref="D19"/>
    <mergeCell ref="F19"/>
    <mergeCell ref="F16"/>
    <mergeCell ref="J16:K16"/>
    <mergeCell ref="F20"/>
    <mergeCell ref="I16"/>
    <mergeCell ref="B9:C9"/>
    <mergeCell ref="A14:K14"/>
    <mergeCell ref="A23:K23"/>
    <mergeCell ref="A4:K4"/>
    <mergeCell ref="H19"/>
    <mergeCell ref="I7:K7"/>
    <mergeCell ref="I17"/>
    <mergeCell ref="A17"/>
    <mergeCell ref="C17"/>
    <mergeCell ref="B15"/>
    <mergeCell ref="D15"/>
    <mergeCell ref="A10"/>
    <mergeCell ref="I19"/>
    <mergeCell ref="A19"/>
    <mergeCell ref="C19"/>
    <mergeCell ref="A6:K6"/>
    <mergeCell ref="A9"/>
    <mergeCell ref="J15:K15"/>
    <mergeCell ref="B16"/>
    <mergeCell ref="A11"/>
    <mergeCell ref="C5"/>
    <mergeCell ref="E5"/>
    <mergeCell ref="B18"/>
    <mergeCell ref="C20"/>
    <mergeCell ref="E20"/>
    <mergeCell ref="B10:C10"/>
    <mergeCell ref="E3:G3"/>
    <mergeCell ref="H22"/>
    <mergeCell ref="C22"/>
    <mergeCell ref="F18"/>
    <mergeCell ref="A12"/>
    <mergeCell ref="F17"/>
    <mergeCell ref="A21"/>
    <mergeCell ref="H17"/>
    <mergeCell ref="C21"/>
    <mergeCell ref="E15"/>
    <mergeCell ref="J18:K18"/>
    <mergeCell ref="G15"/>
    <mergeCell ref="A44:K44"/>
    <mergeCell ref="F22"/>
    <mergeCell ref="J17:K1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敵人數據卡 - 教團守護者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10" t="n"/>
    </row>
    <row r="2">
      <c r="A2" s="3" t="inlineStr">
        <is>
          <t>基本資訊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10" t="n"/>
    </row>
    <row r="3">
      <c r="A3" s="5" t="inlineStr">
        <is>
          <t>敵人名稱</t>
        </is>
      </c>
      <c r="B3" s="6" t="inlineStr">
        <is>
          <t>教團守護者</t>
        </is>
      </c>
      <c r="C3" s="10" t="n"/>
      <c r="D3" s="5" t="inlineStr">
        <is>
          <t>出場劇本</t>
        </is>
      </c>
      <c r="E3" s="6" t="inlineStr">
        <is>
          <t>劇本四</t>
        </is>
      </c>
      <c r="F3" s="9" t="n"/>
      <c r="G3" s="10" t="n"/>
      <c r="H3" s="5" t="inlineStr">
        <is>
          <t>威脅值</t>
        </is>
      </c>
      <c r="I3" s="6" t="n">
        <v>10</v>
      </c>
      <c r="J3" s="9" t="n"/>
      <c r="K3" s="10" t="n"/>
    </row>
    <row r="4">
      <c r="A4" s="3" t="inlineStr">
        <is>
          <t>五大屬性 [數值已輸入,修改黃色格]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10" t="n"/>
    </row>
    <row r="5">
      <c r="A5" s="5" t="inlineStr">
        <is>
          <t>體魄PHY</t>
        </is>
      </c>
      <c r="B5" s="7" t="n">
        <v>7</v>
      </c>
      <c r="C5" s="5" t="inlineStr">
        <is>
          <t>精準PRC</t>
        </is>
      </c>
      <c r="D5" s="7" t="n">
        <v>3</v>
      </c>
      <c r="E5" s="5" t="inlineStr">
        <is>
          <t>感知PER</t>
        </is>
      </c>
      <c r="F5" s="7" t="n">
        <v>5</v>
      </c>
      <c r="G5" s="5" t="inlineStr">
        <is>
          <t>技術TEC</t>
        </is>
      </c>
      <c r="H5" s="7" t="n">
        <v>3</v>
      </c>
      <c r="I5" s="5" t="inlineStr">
        <is>
          <t>膽魄CRG</t>
        </is>
      </c>
      <c r="J5" s="7" t="n">
        <v>9</v>
      </c>
    </row>
    <row r="6">
      <c r="A6" s="3" t="inlineStr">
        <is>
          <t>衍生屬性（自動計算）</t>
        </is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10" t="n"/>
    </row>
    <row r="7">
      <c r="A7" s="5" t="inlineStr">
        <is>
          <t>先攻值</t>
        </is>
      </c>
      <c r="B7" s="8">
        <f>G5+E5</f>
        <v/>
      </c>
      <c r="C7" s="10" t="n"/>
      <c r="D7" s="5" t="inlineStr">
        <is>
          <t>負重上限kg</t>
        </is>
      </c>
      <c r="E7" s="8">
        <f>C5*5</f>
        <v/>
      </c>
      <c r="F7" s="9" t="n"/>
      <c r="G7" s="10" t="n"/>
      <c r="H7" s="5" t="inlineStr">
        <is>
          <t>技能點參考</t>
        </is>
      </c>
      <c r="I7" s="8">
        <f>(I5+K5)*2</f>
        <v/>
      </c>
      <c r="J7" s="9" t="n"/>
      <c r="K7" s="10" t="n"/>
    </row>
    <row r="8">
      <c r="A8" s="3" t="inlineStr">
        <is>
          <t>技能等級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10" t="n"/>
    </row>
    <row r="9">
      <c r="A9" s="5" t="inlineStr">
        <is>
          <t>近戰</t>
        </is>
      </c>
      <c r="B9" s="6" t="n">
        <v>3</v>
      </c>
      <c r="C9" s="10" t="n"/>
    </row>
    <row r="10">
      <c r="A10" s="5" t="inlineStr">
        <is>
          <t>重型</t>
        </is>
      </c>
      <c r="B10" s="6" t="n">
        <v>2</v>
      </c>
      <c r="C10" s="10" t="n"/>
    </row>
    <row r="11">
      <c r="A11" s="5" t="inlineStr">
        <is>
          <t>察覺</t>
        </is>
      </c>
      <c r="B11" s="6" t="n">
        <v>3</v>
      </c>
      <c r="C11" s="10" t="n"/>
    </row>
    <row r="12">
      <c r="A12" s="5" t="inlineStr">
        <is>
          <t>意志</t>
        </is>
      </c>
      <c r="B12" s="6" t="n">
        <v>4</v>
      </c>
      <c r="C12" s="10" t="n"/>
    </row>
    <row r="13">
      <c r="A13" s="5" t="inlineStr">
        <is>
          <t>威嚇</t>
        </is>
      </c>
      <c r="B13" s="6" t="n">
        <v>3</v>
      </c>
      <c r="C13" s="10" t="n"/>
    </row>
    <row r="14">
      <c r="A14" s="3" t="inlineStr">
        <is>
          <t>七部位 HP（自動計算）</t>
        </is>
      </c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10" t="n"/>
    </row>
    <row r="15">
      <c r="A15" s="5" t="inlineStr">
        <is>
          <t>部位</t>
        </is>
      </c>
      <c r="B15" s="6" t="inlineStr">
        <is>
          <t>最大HP</t>
        </is>
      </c>
      <c r="C15" s="5" t="inlineStr">
        <is>
          <t>當前HP</t>
        </is>
      </c>
      <c r="D15" s="6" t="inlineStr"/>
      <c r="E15" s="5" t="inlineStr">
        <is>
          <t>DR</t>
        </is>
      </c>
      <c r="F15" s="5" t="inlineStr">
        <is>
          <t>DR</t>
        </is>
      </c>
      <c r="G15" s="5" t="inlineStr">
        <is>
          <t>DR</t>
        </is>
      </c>
      <c r="H15" s="6" t="inlineStr"/>
      <c r="I15" s="5" t="inlineStr">
        <is>
          <t>受傷效果</t>
        </is>
      </c>
      <c r="J15" s="6" t="inlineStr"/>
      <c r="K15" s="10" t="n"/>
    </row>
    <row r="16">
      <c r="A16" s="5" t="inlineStr">
        <is>
          <t>頭部</t>
        </is>
      </c>
      <c r="B16" s="8">
        <f>C5+6</f>
        <v/>
      </c>
      <c r="C16" s="5" t="inlineStr"/>
      <c r="D16" s="6" t="inlineStr"/>
      <c r="E16" s="5" t="inlineStr"/>
      <c r="F16" s="6" t="inlineStr"/>
      <c r="G16" s="11" t="inlineStr">
        <is>
          <t>DR</t>
        </is>
      </c>
      <c r="H16" s="12" t="inlineStr">
        <is>
          <t>頭盔</t>
        </is>
      </c>
      <c r="I16" s="5" t="inlineStr">
        <is>
          <t>歸零=即死</t>
        </is>
      </c>
      <c r="J16" s="6" t="inlineStr">
        <is>
          <t>歸零=即死</t>
        </is>
      </c>
      <c r="K16" s="10" t="n"/>
    </row>
    <row r="17">
      <c r="A17" s="5" t="inlineStr">
        <is>
          <t>胸部</t>
        </is>
      </c>
      <c r="B17" s="8">
        <f>C5*2+10</f>
        <v/>
      </c>
      <c r="C17" s="5" t="inlineStr"/>
      <c r="D17" s="6" t="inlineStr"/>
      <c r="E17" s="5" t="inlineStr"/>
      <c r="F17" s="6" t="inlineStr"/>
      <c r="G17" s="11" t="inlineStr">
        <is>
          <t>DR</t>
        </is>
      </c>
      <c r="H17" s="12" t="inlineStr">
        <is>
          <t>防彈衣+背心</t>
        </is>
      </c>
      <c r="I17" s="5" t="inlineStr">
        <is>
          <t>歸零=瀕死(膽魄TN14/回合)</t>
        </is>
      </c>
      <c r="J17" s="6" t="inlineStr">
        <is>
          <t>歸零=瀕死(膽魄TN14/回合)</t>
        </is>
      </c>
      <c r="K17" s="10" t="n"/>
    </row>
    <row r="18">
      <c r="A18" s="5" t="inlineStr">
        <is>
          <t>腹部</t>
        </is>
      </c>
      <c r="B18" s="8">
        <f>C5+8</f>
        <v/>
      </c>
      <c r="C18" s="5" t="inlineStr"/>
      <c r="D18" s="6" t="inlineStr"/>
      <c r="E18" s="5" t="inlineStr"/>
      <c r="F18" s="6" t="inlineStr"/>
      <c r="G18" s="11" t="inlineStr">
        <is>
          <t>DR</t>
        </is>
      </c>
      <c r="H18" s="12" t="inlineStr">
        <is>
          <t>防彈衣+背心</t>
        </is>
      </c>
      <c r="I18" s="5" t="inlineStr">
        <is>
          <t>歸零=內出血(1HP/分)</t>
        </is>
      </c>
      <c r="J18" s="6" t="inlineStr">
        <is>
          <t>歸零=內出血(1HP/分)</t>
        </is>
      </c>
      <c r="K18" s="10" t="n"/>
    </row>
    <row r="19">
      <c r="A19" s="5" t="inlineStr">
        <is>
          <t>左臂</t>
        </is>
      </c>
      <c r="B19" s="8">
        <f>C5+4</f>
        <v/>
      </c>
      <c r="C19" s="5" t="inlineStr"/>
      <c r="D19" s="6" t="inlineStr"/>
      <c r="E19" s="5" t="inlineStr"/>
      <c r="F19" s="6" t="inlineStr"/>
      <c r="G19" s="11" t="inlineStr">
        <is>
          <t>DR</t>
        </is>
      </c>
      <c r="H19" s="12" t="inlineStr">
        <is>
          <t>手套</t>
        </is>
      </c>
      <c r="I19" s="5" t="inlineStr">
        <is>
          <t>歸零=永久失能</t>
        </is>
      </c>
      <c r="J19" s="6" t="inlineStr">
        <is>
          <t>歸零=永久失能</t>
        </is>
      </c>
      <c r="K19" s="10" t="n"/>
    </row>
    <row r="20">
      <c r="A20" s="5" t="inlineStr">
        <is>
          <t>右臂</t>
        </is>
      </c>
      <c r="B20" s="8">
        <f>C5+4</f>
        <v/>
      </c>
      <c r="C20" s="5" t="inlineStr"/>
      <c r="D20" s="6" t="inlineStr"/>
      <c r="E20" s="5" t="inlineStr"/>
      <c r="F20" s="6" t="inlineStr"/>
      <c r="G20" s="11" t="inlineStr">
        <is>
          <t>DR</t>
        </is>
      </c>
      <c r="H20" s="12" t="inlineStr">
        <is>
          <t>手套</t>
        </is>
      </c>
      <c r="I20" s="5" t="inlineStr">
        <is>
          <t>歸零=永久失能</t>
        </is>
      </c>
      <c r="J20" s="6" t="inlineStr">
        <is>
          <t>歸零=永久失能</t>
        </is>
      </c>
      <c r="K20" s="10" t="n"/>
    </row>
    <row r="21">
      <c r="A21" s="5" t="inlineStr">
        <is>
          <t>左腿</t>
        </is>
      </c>
      <c r="B21" s="8">
        <f>C5+5</f>
        <v/>
      </c>
      <c r="C21" s="5" t="inlineStr"/>
      <c r="D21" s="6" t="inlineStr"/>
      <c r="E21" s="5" t="inlineStr"/>
      <c r="F21" s="6" t="inlineStr"/>
      <c r="G21" s="11" t="inlineStr">
        <is>
          <t>DR</t>
        </is>
      </c>
      <c r="H21" s="12" t="inlineStr">
        <is>
          <t>軍靴</t>
        </is>
      </c>
      <c r="I21" s="5" t="inlineStr">
        <is>
          <t>歸零=倒地,不可行走</t>
        </is>
      </c>
      <c r="J21" s="6" t="inlineStr">
        <is>
          <t>歸零=倒地,不可行走</t>
        </is>
      </c>
      <c r="K21" s="10" t="n"/>
    </row>
    <row r="22">
      <c r="A22" s="5" t="inlineStr">
        <is>
          <t>右腿</t>
        </is>
      </c>
      <c r="B22" s="8">
        <f>C5+5</f>
        <v/>
      </c>
      <c r="C22" s="5" t="inlineStr"/>
      <c r="D22" s="6" t="inlineStr"/>
      <c r="E22" s="5" t="inlineStr"/>
      <c r="F22" s="6" t="inlineStr"/>
      <c r="G22" s="11" t="inlineStr">
        <is>
          <t>DR</t>
        </is>
      </c>
      <c r="H22" s="12" t="inlineStr">
        <is>
          <t>軍靴</t>
        </is>
      </c>
      <c r="I22" s="5" t="inlineStr">
        <is>
          <t>歸零=倒地,不可行走</t>
        </is>
      </c>
      <c r="J22" s="6" t="inlineStr">
        <is>
          <t>歸零=倒地,不可行走</t>
        </is>
      </c>
      <c r="K22" s="10" t="n"/>
    </row>
    <row r="23">
      <c r="A23" s="3" t="inlineStr">
        <is>
          <t>戰鬥數據</t>
        </is>
      </c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10" t="n"/>
    </row>
    <row r="24">
      <c r="A24" s="6" t="inlineStr">
        <is>
          <t>主攻擊: 重機槍 2d6全自動 中距</t>
        </is>
      </c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10" t="n"/>
    </row>
    <row r="25">
      <c r="C25" s="2" t="n"/>
    </row>
    <row r="26">
      <c r="D26" s="2" t="n"/>
    </row>
    <row r="27">
      <c r="E27" s="2" t="n"/>
    </row>
    <row r="28">
      <c r="F28" s="2" t="n"/>
    </row>
    <row r="29">
      <c r="G29" s="2" t="n"/>
    </row>
    <row r="30">
      <c r="H30" s="2" t="n"/>
    </row>
    <row r="31">
      <c r="I31" s="2" t="n"/>
    </row>
    <row r="32">
      <c r="J32" s="2" t="n"/>
    </row>
    <row r="33">
      <c r="K33" s="2" t="n"/>
    </row>
    <row r="34">
      <c r="A34" s="6" t="inlineStr">
        <is>
          <t>副攻擊: 震盪戰錘 2d6+7 近接</t>
        </is>
      </c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10" t="n"/>
    </row>
    <row r="35">
      <c r="C35" s="2" t="n"/>
    </row>
    <row r="36">
      <c r="D36" s="2" t="n"/>
    </row>
    <row r="37">
      <c r="E37" s="2" t="n"/>
    </row>
    <row r="38">
      <c r="F38" s="2" t="n"/>
    </row>
    <row r="39">
      <c r="G39" s="2" t="n"/>
    </row>
    <row r="40">
      <c r="H40" s="2" t="n"/>
    </row>
    <row r="41">
      <c r="I41" s="2" t="n"/>
    </row>
    <row r="42">
      <c r="J42" s="2" t="n"/>
    </row>
    <row r="43">
      <c r="K43" s="2" t="n"/>
    </row>
    <row r="44">
      <c r="A44" s="6" t="inlineStr">
        <is>
          <t>防具/DR: 全身DR1(硬質)+頭DR1(重裝)</t>
        </is>
      </c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10" t="n"/>
    </row>
    <row r="45">
      <c r="C45" s="2" t="n"/>
    </row>
    <row r="46">
      <c r="D46" s="2" t="n"/>
    </row>
    <row r="47">
      <c r="E47" s="2" t="n"/>
    </row>
    <row r="48">
      <c r="F48" s="2" t="n"/>
    </row>
    <row r="49">
      <c r="G49" s="2" t="n"/>
    </row>
    <row r="50">
      <c r="H50" s="2" t="n"/>
    </row>
    <row r="51">
      <c r="I51" s="2" t="n"/>
    </row>
    <row r="52">
      <c r="J52" s="2" t="n"/>
    </row>
    <row r="53">
      <c r="K53" s="2" t="n"/>
    </row>
    <row r="54">
      <c r="A54" s="6" t="inlineStr">
        <is>
          <t>特殊能力: 每3回合震盪波(3m錐形,2d6+倒地); HP&lt;50%狂熱(+1AP/回合)</t>
        </is>
      </c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10" t="n"/>
    </row>
    <row r="55">
      <c r="C55" s="2" t="n"/>
    </row>
    <row r="56">
      <c r="D56" s="2" t="n"/>
    </row>
    <row r="57">
      <c r="E57" s="2" t="n"/>
    </row>
    <row r="58">
      <c r="F58" s="2" t="n"/>
    </row>
    <row r="59">
      <c r="G59" s="2" t="n"/>
    </row>
    <row r="60">
      <c r="H60" s="2" t="n"/>
    </row>
    <row r="61">
      <c r="I61" s="2" t="n"/>
    </row>
    <row r="62">
      <c r="J62" s="2" t="n"/>
    </row>
    <row r="63">
      <c r="K63" s="2" t="n"/>
    </row>
    <row r="64">
      <c r="A64" s="6" t="inlineStr">
        <is>
          <t>行為模式: 守護教團聖地; 不離開守護區域; 戰鬥至死</t>
        </is>
      </c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10" t="n"/>
    </row>
    <row r="65">
      <c r="C65" s="2" t="n"/>
    </row>
    <row r="66">
      <c r="D66" s="2" t="n"/>
    </row>
    <row r="67">
      <c r="E67" s="2" t="n"/>
    </row>
    <row r="68">
      <c r="F68" s="2" t="n"/>
    </row>
    <row r="69">
      <c r="G69" s="2" t="n"/>
    </row>
    <row r="70">
      <c r="H70" s="2" t="n"/>
    </row>
    <row r="71">
      <c r="I71" s="2" t="n"/>
    </row>
    <row r="72">
      <c r="J72" s="2" t="n"/>
    </row>
    <row r="73">
      <c r="K73" s="2" t="n"/>
    </row>
    <row r="74">
      <c r="A74" s="6" t="inlineStr">
        <is>
          <t>戰利品: 重機槍(紫)+硬質防彈衣(藍)+教團聖物(紫)</t>
        </is>
      </c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10" t="n"/>
    </row>
    <row r="75">
      <c r="C75" s="2" t="n"/>
    </row>
    <row r="76">
      <c r="D76" s="2" t="n"/>
    </row>
    <row r="77">
      <c r="E77" s="2" t="n"/>
    </row>
    <row r="78">
      <c r="F78" s="2" t="n"/>
    </row>
    <row r="79">
      <c r="G79" s="2" t="n"/>
    </row>
    <row r="80">
      <c r="H80" s="2" t="n"/>
    </row>
    <row r="81">
      <c r="I81" s="2" t="n"/>
    </row>
    <row r="82">
      <c r="J82" s="2" t="n"/>
    </row>
    <row r="83">
      <c r="K83" s="2" t="n"/>
    </row>
  </sheetData>
  <mergeCells count="120">
    <mergeCell ref="A64:K64"/>
    <mergeCell ref="H3"/>
    <mergeCell ref="A24:K24"/>
    <mergeCell ref="J19:K19"/>
    <mergeCell ref="B20"/>
    <mergeCell ref="E16"/>
    <mergeCell ref="G16"/>
    <mergeCell ref="B12:C12"/>
    <mergeCell ref="C18"/>
    <mergeCell ref="E18"/>
    <mergeCell ref="A54:K54"/>
    <mergeCell ref="H20"/>
    <mergeCell ref="E7:G7"/>
    <mergeCell ref="B13:C13"/>
    <mergeCell ref="G17"/>
    <mergeCell ref="F21"/>
    <mergeCell ref="A2:K2"/>
    <mergeCell ref="H21"/>
    <mergeCell ref="E19"/>
    <mergeCell ref="G19"/>
    <mergeCell ref="I22"/>
    <mergeCell ref="J21:K21"/>
    <mergeCell ref="B17"/>
    <mergeCell ref="D17"/>
    <mergeCell ref="A3"/>
    <mergeCell ref="I21"/>
    <mergeCell ref="H7"/>
    <mergeCell ref="H16"/>
    <mergeCell ref="B19"/>
    <mergeCell ref="A5"/>
    <mergeCell ref="D3"/>
    <mergeCell ref="B3:C3"/>
    <mergeCell ref="A13"/>
    <mergeCell ref="B11:C11"/>
    <mergeCell ref="D20"/>
    <mergeCell ref="A15"/>
    <mergeCell ref="C15"/>
    <mergeCell ref="B22"/>
    <mergeCell ref="D22"/>
    <mergeCell ref="A74:K74"/>
    <mergeCell ref="J20:K20"/>
    <mergeCell ref="E17"/>
    <mergeCell ref="B21"/>
    <mergeCell ref="D21"/>
    <mergeCell ref="A7"/>
    <mergeCell ref="F15"/>
    <mergeCell ref="A16"/>
    <mergeCell ref="C16"/>
    <mergeCell ref="J22:K22"/>
    <mergeCell ref="A8:K8"/>
    <mergeCell ref="G18"/>
    <mergeCell ref="I18"/>
    <mergeCell ref="A18"/>
    <mergeCell ref="D7"/>
    <mergeCell ref="D16"/>
    <mergeCell ref="G5"/>
    <mergeCell ref="I5"/>
    <mergeCell ref="A34:K34"/>
    <mergeCell ref="A22"/>
    <mergeCell ref="D18"/>
    <mergeCell ref="B7:C7"/>
    <mergeCell ref="G20"/>
    <mergeCell ref="I20"/>
    <mergeCell ref="A20"/>
    <mergeCell ref="H15"/>
    <mergeCell ref="I3:K3"/>
    <mergeCell ref="A1:K1"/>
    <mergeCell ref="H18"/>
    <mergeCell ref="E22"/>
    <mergeCell ref="G22"/>
    <mergeCell ref="E21"/>
    <mergeCell ref="G21"/>
    <mergeCell ref="I15"/>
    <mergeCell ref="D19"/>
    <mergeCell ref="F19"/>
    <mergeCell ref="F16"/>
    <mergeCell ref="J16:K16"/>
    <mergeCell ref="F20"/>
    <mergeCell ref="I16"/>
    <mergeCell ref="B9:C9"/>
    <mergeCell ref="A14:K14"/>
    <mergeCell ref="A23:K23"/>
    <mergeCell ref="A4:K4"/>
    <mergeCell ref="H19"/>
    <mergeCell ref="I7:K7"/>
    <mergeCell ref="I17"/>
    <mergeCell ref="A17"/>
    <mergeCell ref="C17"/>
    <mergeCell ref="B15"/>
    <mergeCell ref="D15"/>
    <mergeCell ref="A10"/>
    <mergeCell ref="I19"/>
    <mergeCell ref="A19"/>
    <mergeCell ref="C19"/>
    <mergeCell ref="A6:K6"/>
    <mergeCell ref="A9"/>
    <mergeCell ref="J15:K15"/>
    <mergeCell ref="B16"/>
    <mergeCell ref="A11"/>
    <mergeCell ref="C5"/>
    <mergeCell ref="E5"/>
    <mergeCell ref="B18"/>
    <mergeCell ref="C20"/>
    <mergeCell ref="E20"/>
    <mergeCell ref="B10:C10"/>
    <mergeCell ref="E3:G3"/>
    <mergeCell ref="H22"/>
    <mergeCell ref="C22"/>
    <mergeCell ref="F18"/>
    <mergeCell ref="A12"/>
    <mergeCell ref="F17"/>
    <mergeCell ref="A21"/>
    <mergeCell ref="H17"/>
    <mergeCell ref="C21"/>
    <mergeCell ref="E15"/>
    <mergeCell ref="J18:K18"/>
    <mergeCell ref="G15"/>
    <mergeCell ref="A44:K44"/>
    <mergeCell ref="F22"/>
    <mergeCell ref="J17:K1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敵人數據卡 - 軍閥士兵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10" t="n"/>
    </row>
    <row r="2">
      <c r="A2" s="3" t="inlineStr">
        <is>
          <t>基本資訊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10" t="n"/>
    </row>
    <row r="3">
      <c r="A3" s="5" t="inlineStr">
        <is>
          <t>敵人名稱</t>
        </is>
      </c>
      <c r="B3" s="6" t="inlineStr">
        <is>
          <t>軍閥士兵</t>
        </is>
      </c>
      <c r="C3" s="10" t="n"/>
      <c r="D3" s="5" t="inlineStr">
        <is>
          <t>出場劇本</t>
        </is>
      </c>
      <c r="E3" s="6" t="inlineStr">
        <is>
          <t>劇本五</t>
        </is>
      </c>
      <c r="F3" s="9" t="n"/>
      <c r="G3" s="10" t="n"/>
      <c r="H3" s="5" t="inlineStr">
        <is>
          <t>威脅值</t>
        </is>
      </c>
      <c r="I3" s="6" t="n">
        <v>7</v>
      </c>
      <c r="J3" s="9" t="n"/>
      <c r="K3" s="10" t="n"/>
    </row>
    <row r="4">
      <c r="A4" s="3" t="inlineStr">
        <is>
          <t>五大屬性 [數值已輸入,修改黃色格]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10" t="n"/>
    </row>
    <row r="5">
      <c r="A5" s="5" t="inlineStr">
        <is>
          <t>體魄PHY</t>
        </is>
      </c>
      <c r="B5" s="7" t="n">
        <v>6</v>
      </c>
      <c r="C5" s="5" t="inlineStr">
        <is>
          <t>精準PRC</t>
        </is>
      </c>
      <c r="D5" s="7" t="n">
        <v>5</v>
      </c>
      <c r="E5" s="5" t="inlineStr">
        <is>
          <t>感知PER</t>
        </is>
      </c>
      <c r="F5" s="7" t="n">
        <v>5</v>
      </c>
      <c r="G5" s="5" t="inlineStr">
        <is>
          <t>技術TEC</t>
        </is>
      </c>
      <c r="H5" s="7" t="n">
        <v>4</v>
      </c>
      <c r="I5" s="5" t="inlineStr">
        <is>
          <t>膽魄CRG</t>
        </is>
      </c>
      <c r="J5" s="7" t="n">
        <v>7</v>
      </c>
    </row>
    <row r="6">
      <c r="A6" s="3" t="inlineStr">
        <is>
          <t>衍生屬性（自動計算）</t>
        </is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10" t="n"/>
    </row>
    <row r="7">
      <c r="A7" s="5" t="inlineStr">
        <is>
          <t>先攻值</t>
        </is>
      </c>
      <c r="B7" s="8">
        <f>G5+E5</f>
        <v/>
      </c>
      <c r="C7" s="10" t="n"/>
      <c r="D7" s="5" t="inlineStr">
        <is>
          <t>負重上限kg</t>
        </is>
      </c>
      <c r="E7" s="8">
        <f>C5*5</f>
        <v/>
      </c>
      <c r="F7" s="9" t="n"/>
      <c r="G7" s="10" t="n"/>
      <c r="H7" s="5" t="inlineStr">
        <is>
          <t>技能點參考</t>
        </is>
      </c>
      <c r="I7" s="8">
        <f>(I5+K5)*2</f>
        <v/>
      </c>
      <c r="J7" s="9" t="n"/>
      <c r="K7" s="10" t="n"/>
    </row>
    <row r="8">
      <c r="A8" s="3" t="inlineStr">
        <is>
          <t>技能等級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10" t="n"/>
    </row>
    <row r="9">
      <c r="A9" s="5" t="inlineStr">
        <is>
          <t>槍械</t>
        </is>
      </c>
      <c r="B9" s="6" t="n">
        <v>3</v>
      </c>
      <c r="C9" s="10" t="n"/>
    </row>
    <row r="10">
      <c r="A10" s="5" t="inlineStr">
        <is>
          <t>近戰</t>
        </is>
      </c>
      <c r="B10" s="6" t="n">
        <v>2</v>
      </c>
      <c r="C10" s="10" t="n"/>
    </row>
    <row r="11">
      <c r="A11" s="5" t="inlineStr">
        <is>
          <t>察覺</t>
        </is>
      </c>
      <c r="B11" s="6" t="n">
        <v>2</v>
      </c>
      <c r="C11" s="10" t="n"/>
    </row>
    <row r="12">
      <c r="A12" s="5" t="inlineStr">
        <is>
          <t>領導</t>
        </is>
      </c>
      <c r="B12" s="6" t="n">
        <v>2</v>
      </c>
      <c r="C12" s="10" t="n"/>
    </row>
    <row r="13">
      <c r="A13" s="5" t="inlineStr">
        <is>
          <t>意志</t>
        </is>
      </c>
      <c r="B13" s="6" t="n">
        <v>4</v>
      </c>
      <c r="C13" s="10" t="n"/>
    </row>
    <row r="14">
      <c r="A14" s="3" t="inlineStr">
        <is>
          <t>七部位 HP（自動計算）</t>
        </is>
      </c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10" t="n"/>
    </row>
    <row r="15">
      <c r="A15" s="5" t="inlineStr">
        <is>
          <t>部位</t>
        </is>
      </c>
      <c r="B15" s="6" t="inlineStr">
        <is>
          <t>最大HP</t>
        </is>
      </c>
      <c r="C15" s="5" t="inlineStr">
        <is>
          <t>當前HP</t>
        </is>
      </c>
      <c r="D15" s="6" t="inlineStr"/>
      <c r="E15" s="5" t="inlineStr">
        <is>
          <t>DR</t>
        </is>
      </c>
      <c r="F15" s="5" t="inlineStr">
        <is>
          <t>DR</t>
        </is>
      </c>
      <c r="G15" s="5" t="inlineStr">
        <is>
          <t>DR</t>
        </is>
      </c>
      <c r="H15" s="6" t="inlineStr"/>
      <c r="I15" s="5" t="inlineStr">
        <is>
          <t>受傷效果</t>
        </is>
      </c>
      <c r="J15" s="6" t="inlineStr"/>
      <c r="K15" s="10" t="n"/>
    </row>
    <row r="16">
      <c r="A16" s="5" t="inlineStr">
        <is>
          <t>頭部</t>
        </is>
      </c>
      <c r="B16" s="8">
        <f>C5+6</f>
        <v/>
      </c>
      <c r="C16" s="5" t="inlineStr"/>
      <c r="D16" s="6" t="inlineStr"/>
      <c r="E16" s="5" t="inlineStr"/>
      <c r="F16" s="6" t="inlineStr"/>
      <c r="G16" s="11" t="inlineStr">
        <is>
          <t>DR</t>
        </is>
      </c>
      <c r="H16" s="12" t="inlineStr">
        <is>
          <t>頭盔</t>
        </is>
      </c>
      <c r="I16" s="5" t="inlineStr">
        <is>
          <t>歸零=即死</t>
        </is>
      </c>
      <c r="J16" s="6" t="inlineStr">
        <is>
          <t>歸零=即死</t>
        </is>
      </c>
      <c r="K16" s="10" t="n"/>
    </row>
    <row r="17">
      <c r="A17" s="5" t="inlineStr">
        <is>
          <t>胸部</t>
        </is>
      </c>
      <c r="B17" s="8">
        <f>C5*2+10</f>
        <v/>
      </c>
      <c r="C17" s="5" t="inlineStr"/>
      <c r="D17" s="6" t="inlineStr"/>
      <c r="E17" s="5" t="inlineStr"/>
      <c r="F17" s="6" t="inlineStr"/>
      <c r="G17" s="11" t="inlineStr">
        <is>
          <t>DR</t>
        </is>
      </c>
      <c r="H17" s="12" t="inlineStr">
        <is>
          <t>防彈衣+背心</t>
        </is>
      </c>
      <c r="I17" s="5" t="inlineStr">
        <is>
          <t>歸零=瀕死(膽魄TN14/回合)</t>
        </is>
      </c>
      <c r="J17" s="6" t="inlineStr">
        <is>
          <t>歸零=瀕死(膽魄TN14/回合)</t>
        </is>
      </c>
      <c r="K17" s="10" t="n"/>
    </row>
    <row r="18">
      <c r="A18" s="5" t="inlineStr">
        <is>
          <t>腹部</t>
        </is>
      </c>
      <c r="B18" s="8">
        <f>C5+8</f>
        <v/>
      </c>
      <c r="C18" s="5" t="inlineStr"/>
      <c r="D18" s="6" t="inlineStr"/>
      <c r="E18" s="5" t="inlineStr"/>
      <c r="F18" s="6" t="inlineStr"/>
      <c r="G18" s="11" t="inlineStr">
        <is>
          <t>DR</t>
        </is>
      </c>
      <c r="H18" s="12" t="inlineStr">
        <is>
          <t>防彈衣+背心</t>
        </is>
      </c>
      <c r="I18" s="5" t="inlineStr">
        <is>
          <t>歸零=內出血(1HP/分)</t>
        </is>
      </c>
      <c r="J18" s="6" t="inlineStr">
        <is>
          <t>歸零=內出血(1HP/分)</t>
        </is>
      </c>
      <c r="K18" s="10" t="n"/>
    </row>
    <row r="19">
      <c r="A19" s="5" t="inlineStr">
        <is>
          <t>左臂</t>
        </is>
      </c>
      <c r="B19" s="8">
        <f>C5+4</f>
        <v/>
      </c>
      <c r="C19" s="5" t="inlineStr"/>
      <c r="D19" s="6" t="inlineStr"/>
      <c r="E19" s="5" t="inlineStr"/>
      <c r="F19" s="6" t="inlineStr"/>
      <c r="G19" s="11" t="inlineStr">
        <is>
          <t>DR</t>
        </is>
      </c>
      <c r="H19" s="12" t="inlineStr">
        <is>
          <t>手套</t>
        </is>
      </c>
      <c r="I19" s="5" t="inlineStr">
        <is>
          <t>歸零=永久失能</t>
        </is>
      </c>
      <c r="J19" s="6" t="inlineStr">
        <is>
          <t>歸零=永久失能</t>
        </is>
      </c>
      <c r="K19" s="10" t="n"/>
    </row>
    <row r="20">
      <c r="A20" s="5" t="inlineStr">
        <is>
          <t>右臂</t>
        </is>
      </c>
      <c r="B20" s="8">
        <f>C5+4</f>
        <v/>
      </c>
      <c r="C20" s="5" t="inlineStr"/>
      <c r="D20" s="6" t="inlineStr"/>
      <c r="E20" s="5" t="inlineStr"/>
      <c r="F20" s="6" t="inlineStr"/>
      <c r="G20" s="11" t="inlineStr">
        <is>
          <t>DR</t>
        </is>
      </c>
      <c r="H20" s="12" t="inlineStr">
        <is>
          <t>手套</t>
        </is>
      </c>
      <c r="I20" s="5" t="inlineStr">
        <is>
          <t>歸零=永久失能</t>
        </is>
      </c>
      <c r="J20" s="6" t="inlineStr">
        <is>
          <t>歸零=永久失能</t>
        </is>
      </c>
      <c r="K20" s="10" t="n"/>
    </row>
    <row r="21">
      <c r="A21" s="5" t="inlineStr">
        <is>
          <t>左腿</t>
        </is>
      </c>
      <c r="B21" s="8">
        <f>C5+5</f>
        <v/>
      </c>
      <c r="C21" s="5" t="inlineStr"/>
      <c r="D21" s="6" t="inlineStr"/>
      <c r="E21" s="5" t="inlineStr"/>
      <c r="F21" s="6" t="inlineStr"/>
      <c r="G21" s="11" t="inlineStr">
        <is>
          <t>DR</t>
        </is>
      </c>
      <c r="H21" s="12" t="inlineStr">
        <is>
          <t>軍靴</t>
        </is>
      </c>
      <c r="I21" s="5" t="inlineStr">
        <is>
          <t>歸零=倒地,不可行走</t>
        </is>
      </c>
      <c r="J21" s="6" t="inlineStr">
        <is>
          <t>歸零=倒地,不可行走</t>
        </is>
      </c>
      <c r="K21" s="10" t="n"/>
    </row>
    <row r="22">
      <c r="A22" s="5" t="inlineStr">
        <is>
          <t>右腿</t>
        </is>
      </c>
      <c r="B22" s="8">
        <f>C5+5</f>
        <v/>
      </c>
      <c r="C22" s="5" t="inlineStr"/>
      <c r="D22" s="6" t="inlineStr"/>
      <c r="E22" s="5" t="inlineStr"/>
      <c r="F22" s="6" t="inlineStr"/>
      <c r="G22" s="11" t="inlineStr">
        <is>
          <t>DR</t>
        </is>
      </c>
      <c r="H22" s="12" t="inlineStr">
        <is>
          <t>軍靴</t>
        </is>
      </c>
      <c r="I22" s="5" t="inlineStr">
        <is>
          <t>歸零=倒地,不可行走</t>
        </is>
      </c>
      <c r="J22" s="6" t="inlineStr">
        <is>
          <t>歸零=倒地,不可行走</t>
        </is>
      </c>
      <c r="K22" s="10" t="n"/>
    </row>
    <row r="23">
      <c r="A23" s="3" t="inlineStr">
        <is>
          <t>戰鬥數據</t>
        </is>
      </c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10" t="n"/>
    </row>
    <row r="24">
      <c r="A24" s="6" t="inlineStr">
        <is>
          <t>主攻擊: 軍用突擊步槍 2d6 全自動 中-遠距</t>
        </is>
      </c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10" t="n"/>
    </row>
    <row r="25">
      <c r="C25" s="2" t="n"/>
    </row>
    <row r="26">
      <c r="D26" s="2" t="n"/>
    </row>
    <row r="27">
      <c r="E27" s="2" t="n"/>
    </row>
    <row r="28">
      <c r="F28" s="2" t="n"/>
    </row>
    <row r="29">
      <c r="G29" s="2" t="n"/>
    </row>
    <row r="30">
      <c r="H30" s="2" t="n"/>
    </row>
    <row r="31">
      <c r="I31" s="2" t="n"/>
    </row>
    <row r="32">
      <c r="J32" s="2" t="n"/>
    </row>
    <row r="33">
      <c r="K33" s="2" t="n"/>
    </row>
    <row r="34">
      <c r="A34" s="6" t="inlineStr">
        <is>
          <t>副攻擊: 戰術手槍 1d8 近-中距</t>
        </is>
      </c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10" t="n"/>
    </row>
    <row r="35">
      <c r="C35" s="2" t="n"/>
    </row>
    <row r="36">
      <c r="D36" s="2" t="n"/>
    </row>
    <row r="37">
      <c r="E37" s="2" t="n"/>
    </row>
    <row r="38">
      <c r="F38" s="2" t="n"/>
    </row>
    <row r="39">
      <c r="G39" s="2" t="n"/>
    </row>
    <row r="40">
      <c r="H40" s="2" t="n"/>
    </row>
    <row r="41">
      <c r="I41" s="2" t="n"/>
    </row>
    <row r="42">
      <c r="J42" s="2" t="n"/>
    </row>
    <row r="43">
      <c r="K43" s="2" t="n"/>
    </row>
    <row r="44">
      <c r="A44" s="6" t="inlineStr">
        <is>
          <t>防具/DR: 頭DR1(凱夫拉),胸腹DR1(硬質)</t>
        </is>
      </c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10" t="n"/>
    </row>
    <row r="45">
      <c r="C45" s="2" t="n"/>
    </row>
    <row r="46">
      <c r="D46" s="2" t="n"/>
    </row>
    <row r="47">
      <c r="E47" s="2" t="n"/>
    </row>
    <row r="48">
      <c r="F48" s="2" t="n"/>
    </row>
    <row r="49">
      <c r="G49" s="2" t="n"/>
    </row>
    <row r="50">
      <c r="H50" s="2" t="n"/>
    </row>
    <row r="51">
      <c r="I51" s="2" t="n"/>
    </row>
    <row r="52">
      <c r="J52" s="2" t="n"/>
    </row>
    <row r="53">
      <c r="K53" s="2" t="n"/>
    </row>
    <row r="54">
      <c r="A54" s="6" t="inlineStr">
        <is>
          <t>特殊能力: 士氣: 損失50%+時檢定(2d6≤6撤退)</t>
        </is>
      </c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10" t="n"/>
    </row>
    <row r="55">
      <c r="C55" s="2" t="n"/>
    </row>
    <row r="56">
      <c r="D56" s="2" t="n"/>
    </row>
    <row r="57">
      <c r="E57" s="2" t="n"/>
    </row>
    <row r="58">
      <c r="F58" s="2" t="n"/>
    </row>
    <row r="59">
      <c r="G59" s="2" t="n"/>
    </row>
    <row r="60">
      <c r="H60" s="2" t="n"/>
    </row>
    <row r="61">
      <c r="I61" s="2" t="n"/>
    </row>
    <row r="62">
      <c r="J62" s="2" t="n"/>
    </row>
    <row r="63">
      <c r="K63" s="2" t="n"/>
    </row>
    <row r="64">
      <c r="A64" s="6" t="inlineStr">
        <is>
          <t>行為模式: 固定路線巡邏; 發現即開火; 保持隊形互相掩護</t>
        </is>
      </c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10" t="n"/>
    </row>
    <row r="65">
      <c r="C65" s="2" t="n"/>
    </row>
    <row r="66">
      <c r="D66" s="2" t="n"/>
    </row>
    <row r="67">
      <c r="E67" s="2" t="n"/>
    </row>
    <row r="68">
      <c r="F68" s="2" t="n"/>
    </row>
    <row r="69">
      <c r="G69" s="2" t="n"/>
    </row>
    <row r="70">
      <c r="H70" s="2" t="n"/>
    </row>
    <row r="71">
      <c r="I71" s="2" t="n"/>
    </row>
    <row r="72">
      <c r="J72" s="2" t="n"/>
    </row>
    <row r="73">
      <c r="K73" s="2" t="n"/>
    </row>
    <row r="74">
      <c r="A74" s="6" t="inlineStr">
        <is>
          <t>戰利品: 突擊步槍+硬質防彈衣+彈藥</t>
        </is>
      </c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10" t="n"/>
    </row>
    <row r="75">
      <c r="C75" s="2" t="n"/>
    </row>
    <row r="76">
      <c r="D76" s="2" t="n"/>
    </row>
    <row r="77">
      <c r="E77" s="2" t="n"/>
    </row>
    <row r="78">
      <c r="F78" s="2" t="n"/>
    </row>
    <row r="79">
      <c r="G79" s="2" t="n"/>
    </row>
    <row r="80">
      <c r="H80" s="2" t="n"/>
    </row>
    <row r="81">
      <c r="I81" s="2" t="n"/>
    </row>
    <row r="82">
      <c r="J82" s="2" t="n"/>
    </row>
    <row r="83">
      <c r="K83" s="2" t="n"/>
    </row>
  </sheetData>
  <mergeCells count="120">
    <mergeCell ref="A64:K64"/>
    <mergeCell ref="H3"/>
    <mergeCell ref="A24:K24"/>
    <mergeCell ref="J19:K19"/>
    <mergeCell ref="B20"/>
    <mergeCell ref="E16"/>
    <mergeCell ref="G16"/>
    <mergeCell ref="B12:C12"/>
    <mergeCell ref="C18"/>
    <mergeCell ref="E18"/>
    <mergeCell ref="A54:K54"/>
    <mergeCell ref="H20"/>
    <mergeCell ref="E7:G7"/>
    <mergeCell ref="B13:C13"/>
    <mergeCell ref="G17"/>
    <mergeCell ref="F21"/>
    <mergeCell ref="A2:K2"/>
    <mergeCell ref="H21"/>
    <mergeCell ref="E19"/>
    <mergeCell ref="G19"/>
    <mergeCell ref="I22"/>
    <mergeCell ref="J21:K21"/>
    <mergeCell ref="B17"/>
    <mergeCell ref="D17"/>
    <mergeCell ref="A3"/>
    <mergeCell ref="I21"/>
    <mergeCell ref="H7"/>
    <mergeCell ref="H16"/>
    <mergeCell ref="B19"/>
    <mergeCell ref="A5"/>
    <mergeCell ref="D3"/>
    <mergeCell ref="B3:C3"/>
    <mergeCell ref="A13"/>
    <mergeCell ref="B11:C11"/>
    <mergeCell ref="D20"/>
    <mergeCell ref="A15"/>
    <mergeCell ref="C15"/>
    <mergeCell ref="B22"/>
    <mergeCell ref="D22"/>
    <mergeCell ref="A74:K74"/>
    <mergeCell ref="J20:K20"/>
    <mergeCell ref="E17"/>
    <mergeCell ref="B21"/>
    <mergeCell ref="D21"/>
    <mergeCell ref="A7"/>
    <mergeCell ref="F15"/>
    <mergeCell ref="A16"/>
    <mergeCell ref="C16"/>
    <mergeCell ref="J22:K22"/>
    <mergeCell ref="A8:K8"/>
    <mergeCell ref="G18"/>
    <mergeCell ref="I18"/>
    <mergeCell ref="A18"/>
    <mergeCell ref="D7"/>
    <mergeCell ref="D16"/>
    <mergeCell ref="G5"/>
    <mergeCell ref="I5"/>
    <mergeCell ref="A34:K34"/>
    <mergeCell ref="A22"/>
    <mergeCell ref="D18"/>
    <mergeCell ref="B7:C7"/>
    <mergeCell ref="G20"/>
    <mergeCell ref="I20"/>
    <mergeCell ref="A20"/>
    <mergeCell ref="H15"/>
    <mergeCell ref="I3:K3"/>
    <mergeCell ref="A1:K1"/>
    <mergeCell ref="H18"/>
    <mergeCell ref="E22"/>
    <mergeCell ref="G22"/>
    <mergeCell ref="E21"/>
    <mergeCell ref="G21"/>
    <mergeCell ref="I15"/>
    <mergeCell ref="D19"/>
    <mergeCell ref="F19"/>
    <mergeCell ref="F16"/>
    <mergeCell ref="J16:K16"/>
    <mergeCell ref="F20"/>
    <mergeCell ref="I16"/>
    <mergeCell ref="B9:C9"/>
    <mergeCell ref="A14:K14"/>
    <mergeCell ref="A23:K23"/>
    <mergeCell ref="A4:K4"/>
    <mergeCell ref="H19"/>
    <mergeCell ref="I7:K7"/>
    <mergeCell ref="I17"/>
    <mergeCell ref="A17"/>
    <mergeCell ref="C17"/>
    <mergeCell ref="B15"/>
    <mergeCell ref="D15"/>
    <mergeCell ref="A10"/>
    <mergeCell ref="I19"/>
    <mergeCell ref="A19"/>
    <mergeCell ref="C19"/>
    <mergeCell ref="A6:K6"/>
    <mergeCell ref="A9"/>
    <mergeCell ref="J15:K15"/>
    <mergeCell ref="B16"/>
    <mergeCell ref="A11"/>
    <mergeCell ref="C5"/>
    <mergeCell ref="E5"/>
    <mergeCell ref="B18"/>
    <mergeCell ref="C20"/>
    <mergeCell ref="E20"/>
    <mergeCell ref="B10:C10"/>
    <mergeCell ref="E3:G3"/>
    <mergeCell ref="H22"/>
    <mergeCell ref="C22"/>
    <mergeCell ref="F18"/>
    <mergeCell ref="A12"/>
    <mergeCell ref="F17"/>
    <mergeCell ref="A21"/>
    <mergeCell ref="H17"/>
    <mergeCell ref="C21"/>
    <mergeCell ref="E15"/>
    <mergeCell ref="J18:K18"/>
    <mergeCell ref="G15"/>
    <mergeCell ref="A44:K44"/>
    <mergeCell ref="F22"/>
    <mergeCell ref="J17:K1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敵人數據卡 - 巡邏隊長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10" t="n"/>
    </row>
    <row r="2">
      <c r="A2" s="3" t="inlineStr">
        <is>
          <t>基本資訊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10" t="n"/>
    </row>
    <row r="3">
      <c r="A3" s="5" t="inlineStr">
        <is>
          <t>敵人名稱</t>
        </is>
      </c>
      <c r="B3" s="6" t="inlineStr">
        <is>
          <t>巡邏隊長</t>
        </is>
      </c>
      <c r="C3" s="10" t="n"/>
      <c r="D3" s="5" t="inlineStr">
        <is>
          <t>出場劇本</t>
        </is>
      </c>
      <c r="E3" s="6" t="inlineStr">
        <is>
          <t>劇本五</t>
        </is>
      </c>
      <c r="F3" s="9" t="n"/>
      <c r="G3" s="10" t="n"/>
      <c r="H3" s="5" t="inlineStr">
        <is>
          <t>威脅值</t>
        </is>
      </c>
      <c r="I3" s="6" t="n">
        <v>9</v>
      </c>
      <c r="J3" s="9" t="n"/>
      <c r="K3" s="10" t="n"/>
    </row>
    <row r="4">
      <c r="A4" s="3" t="inlineStr">
        <is>
          <t>五大屬性 [數值已輸入,修改黃色格]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10" t="n"/>
    </row>
    <row r="5">
      <c r="A5" s="5" t="inlineStr">
        <is>
          <t>體魄PHY</t>
        </is>
      </c>
      <c r="B5" s="7" t="n">
        <v>7</v>
      </c>
      <c r="C5" s="5" t="inlineStr">
        <is>
          <t>精準PRC</t>
        </is>
      </c>
      <c r="D5" s="7" t="n">
        <v>6</v>
      </c>
      <c r="E5" s="5" t="inlineStr">
        <is>
          <t>感知PER</t>
        </is>
      </c>
      <c r="F5" s="7" t="n">
        <v>5</v>
      </c>
      <c r="G5" s="5" t="inlineStr">
        <is>
          <t>技術TEC</t>
        </is>
      </c>
      <c r="H5" s="7" t="n">
        <v>4</v>
      </c>
      <c r="I5" s="5" t="inlineStr">
        <is>
          <t>膽魄CRG</t>
        </is>
      </c>
      <c r="J5" s="7" t="n">
        <v>8</v>
      </c>
    </row>
    <row r="6">
      <c r="A6" s="3" t="inlineStr">
        <is>
          <t>衍生屬性（自動計算）</t>
        </is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10" t="n"/>
    </row>
    <row r="7">
      <c r="A7" s="5" t="inlineStr">
        <is>
          <t>先攻值</t>
        </is>
      </c>
      <c r="B7" s="8">
        <f>G5+E5</f>
        <v/>
      </c>
      <c r="C7" s="10" t="n"/>
      <c r="D7" s="5" t="inlineStr">
        <is>
          <t>負重上限kg</t>
        </is>
      </c>
      <c r="E7" s="8">
        <f>C5*5</f>
        <v/>
      </c>
      <c r="F7" s="9" t="n"/>
      <c r="G7" s="10" t="n"/>
      <c r="H7" s="5" t="inlineStr">
        <is>
          <t>技能點參考</t>
        </is>
      </c>
      <c r="I7" s="8">
        <f>(I5+K5)*2</f>
        <v/>
      </c>
      <c r="J7" s="9" t="n"/>
      <c r="K7" s="10" t="n"/>
    </row>
    <row r="8">
      <c r="A8" s="3" t="inlineStr">
        <is>
          <t>技能等級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10" t="n"/>
    </row>
    <row r="9">
      <c r="A9" s="5" t="inlineStr">
        <is>
          <t>重型</t>
        </is>
      </c>
      <c r="B9" s="6" t="n">
        <v>3</v>
      </c>
      <c r="C9" s="10" t="n"/>
    </row>
    <row r="10">
      <c r="A10" s="5" t="inlineStr">
        <is>
          <t>近戰</t>
        </is>
      </c>
      <c r="B10" s="6" t="n">
        <v>3</v>
      </c>
      <c r="C10" s="10" t="n"/>
    </row>
    <row r="11">
      <c r="A11" s="5" t="inlineStr">
        <is>
          <t>察覺</t>
        </is>
      </c>
      <c r="B11" s="6" t="n">
        <v>3</v>
      </c>
      <c r="C11" s="10" t="n"/>
    </row>
    <row r="12">
      <c r="A12" s="5" t="inlineStr">
        <is>
          <t>領導</t>
        </is>
      </c>
      <c r="B12" s="6" t="n">
        <v>3</v>
      </c>
      <c r="C12" s="10" t="n"/>
    </row>
    <row r="13">
      <c r="A13" s="5" t="inlineStr">
        <is>
          <t>意志</t>
        </is>
      </c>
      <c r="B13" s="6" t="n">
        <v>4</v>
      </c>
      <c r="C13" s="10" t="n"/>
    </row>
    <row r="14">
      <c r="A14" s="3" t="inlineStr">
        <is>
          <t>七部位 HP（自動計算）</t>
        </is>
      </c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10" t="n"/>
    </row>
    <row r="15">
      <c r="A15" s="5" t="inlineStr">
        <is>
          <t>部位</t>
        </is>
      </c>
      <c r="B15" s="6" t="inlineStr">
        <is>
          <t>最大HP</t>
        </is>
      </c>
      <c r="C15" s="5" t="inlineStr">
        <is>
          <t>當前HP</t>
        </is>
      </c>
      <c r="D15" s="6" t="inlineStr"/>
      <c r="E15" s="5" t="inlineStr">
        <is>
          <t>DR</t>
        </is>
      </c>
      <c r="F15" s="5" t="inlineStr">
        <is>
          <t>DR</t>
        </is>
      </c>
      <c r="G15" s="5" t="inlineStr">
        <is>
          <t>DR</t>
        </is>
      </c>
      <c r="H15" s="6" t="inlineStr"/>
      <c r="I15" s="5" t="inlineStr">
        <is>
          <t>受傷效果</t>
        </is>
      </c>
      <c r="J15" s="6" t="inlineStr"/>
      <c r="K15" s="10" t="n"/>
    </row>
    <row r="16">
      <c r="A16" s="5" t="inlineStr">
        <is>
          <t>頭部</t>
        </is>
      </c>
      <c r="B16" s="8">
        <f>C5+6</f>
        <v/>
      </c>
      <c r="C16" s="5" t="inlineStr"/>
      <c r="D16" s="6" t="inlineStr"/>
      <c r="E16" s="5" t="inlineStr"/>
      <c r="F16" s="6" t="inlineStr"/>
      <c r="G16" s="11" t="inlineStr">
        <is>
          <t>DR</t>
        </is>
      </c>
      <c r="H16" s="12" t="inlineStr">
        <is>
          <t>頭盔</t>
        </is>
      </c>
      <c r="I16" s="5" t="inlineStr">
        <is>
          <t>歸零=即死</t>
        </is>
      </c>
      <c r="J16" s="6" t="inlineStr">
        <is>
          <t>歸零=即死</t>
        </is>
      </c>
      <c r="K16" s="10" t="n"/>
    </row>
    <row r="17">
      <c r="A17" s="5" t="inlineStr">
        <is>
          <t>胸部</t>
        </is>
      </c>
      <c r="B17" s="8">
        <f>C5*2+10</f>
        <v/>
      </c>
      <c r="C17" s="5" t="inlineStr"/>
      <c r="D17" s="6" t="inlineStr"/>
      <c r="E17" s="5" t="inlineStr"/>
      <c r="F17" s="6" t="inlineStr"/>
      <c r="G17" s="11" t="inlineStr">
        <is>
          <t>DR</t>
        </is>
      </c>
      <c r="H17" s="12" t="inlineStr">
        <is>
          <t>防彈衣+背心</t>
        </is>
      </c>
      <c r="I17" s="5" t="inlineStr">
        <is>
          <t>歸零=瀕死(膽魄TN14/回合)</t>
        </is>
      </c>
      <c r="J17" s="6" t="inlineStr">
        <is>
          <t>歸零=瀕死(膽魄TN14/回合)</t>
        </is>
      </c>
      <c r="K17" s="10" t="n"/>
    </row>
    <row r="18">
      <c r="A18" s="5" t="inlineStr">
        <is>
          <t>腹部</t>
        </is>
      </c>
      <c r="B18" s="8">
        <f>C5+8</f>
        <v/>
      </c>
      <c r="C18" s="5" t="inlineStr"/>
      <c r="D18" s="6" t="inlineStr"/>
      <c r="E18" s="5" t="inlineStr"/>
      <c r="F18" s="6" t="inlineStr"/>
      <c r="G18" s="11" t="inlineStr">
        <is>
          <t>DR</t>
        </is>
      </c>
      <c r="H18" s="12" t="inlineStr">
        <is>
          <t>防彈衣+背心</t>
        </is>
      </c>
      <c r="I18" s="5" t="inlineStr">
        <is>
          <t>歸零=內出血(1HP/分)</t>
        </is>
      </c>
      <c r="J18" s="6" t="inlineStr">
        <is>
          <t>歸零=內出血(1HP/分)</t>
        </is>
      </c>
      <c r="K18" s="10" t="n"/>
    </row>
    <row r="19">
      <c r="A19" s="5" t="inlineStr">
        <is>
          <t>左臂</t>
        </is>
      </c>
      <c r="B19" s="8">
        <f>C5+4</f>
        <v/>
      </c>
      <c r="C19" s="5" t="inlineStr"/>
      <c r="D19" s="6" t="inlineStr"/>
      <c r="E19" s="5" t="inlineStr"/>
      <c r="F19" s="6" t="inlineStr"/>
      <c r="G19" s="11" t="inlineStr">
        <is>
          <t>DR</t>
        </is>
      </c>
      <c r="H19" s="12" t="inlineStr">
        <is>
          <t>手套</t>
        </is>
      </c>
      <c r="I19" s="5" t="inlineStr">
        <is>
          <t>歸零=永久失能</t>
        </is>
      </c>
      <c r="J19" s="6" t="inlineStr">
        <is>
          <t>歸零=永久失能</t>
        </is>
      </c>
      <c r="K19" s="10" t="n"/>
    </row>
    <row r="20">
      <c r="A20" s="5" t="inlineStr">
        <is>
          <t>右臂</t>
        </is>
      </c>
      <c r="B20" s="8">
        <f>C5+4</f>
        <v/>
      </c>
      <c r="C20" s="5" t="inlineStr"/>
      <c r="D20" s="6" t="inlineStr"/>
      <c r="E20" s="5" t="inlineStr"/>
      <c r="F20" s="6" t="inlineStr"/>
      <c r="G20" s="11" t="inlineStr">
        <is>
          <t>DR</t>
        </is>
      </c>
      <c r="H20" s="12" t="inlineStr">
        <is>
          <t>手套</t>
        </is>
      </c>
      <c r="I20" s="5" t="inlineStr">
        <is>
          <t>歸零=永久失能</t>
        </is>
      </c>
      <c r="J20" s="6" t="inlineStr">
        <is>
          <t>歸零=永久失能</t>
        </is>
      </c>
      <c r="K20" s="10" t="n"/>
    </row>
    <row r="21">
      <c r="A21" s="5" t="inlineStr">
        <is>
          <t>左腿</t>
        </is>
      </c>
      <c r="B21" s="8">
        <f>C5+5</f>
        <v/>
      </c>
      <c r="C21" s="5" t="inlineStr"/>
      <c r="D21" s="6" t="inlineStr"/>
      <c r="E21" s="5" t="inlineStr"/>
      <c r="F21" s="6" t="inlineStr"/>
      <c r="G21" s="11" t="inlineStr">
        <is>
          <t>DR</t>
        </is>
      </c>
      <c r="H21" s="12" t="inlineStr">
        <is>
          <t>軍靴</t>
        </is>
      </c>
      <c r="I21" s="5" t="inlineStr">
        <is>
          <t>歸零=倒地,不可行走</t>
        </is>
      </c>
      <c r="J21" s="6" t="inlineStr">
        <is>
          <t>歸零=倒地,不可行走</t>
        </is>
      </c>
      <c r="K21" s="10" t="n"/>
    </row>
    <row r="22">
      <c r="A22" s="5" t="inlineStr">
        <is>
          <t>右腿</t>
        </is>
      </c>
      <c r="B22" s="8">
        <f>C5+5</f>
        <v/>
      </c>
      <c r="C22" s="5" t="inlineStr"/>
      <c r="D22" s="6" t="inlineStr"/>
      <c r="E22" s="5" t="inlineStr"/>
      <c r="F22" s="6" t="inlineStr"/>
      <c r="G22" s="11" t="inlineStr">
        <is>
          <t>DR</t>
        </is>
      </c>
      <c r="H22" s="12" t="inlineStr">
        <is>
          <t>軍靴</t>
        </is>
      </c>
      <c r="I22" s="5" t="inlineStr">
        <is>
          <t>歸零=倒地,不可行走</t>
        </is>
      </c>
      <c r="J22" s="6" t="inlineStr">
        <is>
          <t>歸零=倒地,不可行走</t>
        </is>
      </c>
      <c r="K22" s="10" t="n"/>
    </row>
    <row r="23">
      <c r="A23" s="3" t="inlineStr">
        <is>
          <t>戰鬥數據</t>
        </is>
      </c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10" t="n"/>
    </row>
    <row r="24">
      <c r="A24" s="6" t="inlineStr">
        <is>
          <t>主攻擊: 重機槍 2d6全自動 中-遠距</t>
        </is>
      </c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10" t="n"/>
    </row>
    <row r="25">
      <c r="C25" s="2" t="n"/>
    </row>
    <row r="26">
      <c r="D26" s="2" t="n"/>
    </row>
    <row r="27">
      <c r="E27" s="2" t="n"/>
    </row>
    <row r="28">
      <c r="F28" s="2" t="n"/>
    </row>
    <row r="29">
      <c r="G29" s="2" t="n"/>
    </row>
    <row r="30">
      <c r="H30" s="2" t="n"/>
    </row>
    <row r="31">
      <c r="I31" s="2" t="n"/>
    </row>
    <row r="32">
      <c r="J32" s="2" t="n"/>
    </row>
    <row r="33">
      <c r="K33" s="2" t="n"/>
    </row>
    <row r="34">
      <c r="A34" s="6" t="inlineStr">
        <is>
          <t>副攻擊: 戰術斧 1d8+7 近接(可投擲)</t>
        </is>
      </c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10" t="n"/>
    </row>
    <row r="35">
      <c r="C35" s="2" t="n"/>
    </row>
    <row r="36">
      <c r="D36" s="2" t="n"/>
    </row>
    <row r="37">
      <c r="E37" s="2" t="n"/>
    </row>
    <row r="38">
      <c r="F38" s="2" t="n"/>
    </row>
    <row r="39">
      <c r="G39" s="2" t="n"/>
    </row>
    <row r="40">
      <c r="H40" s="2" t="n"/>
    </row>
    <row r="41">
      <c r="I41" s="2" t="n"/>
    </row>
    <row r="42">
      <c r="J42" s="2" t="n"/>
    </row>
    <row r="43">
      <c r="K43" s="2" t="n"/>
    </row>
    <row r="44">
      <c r="A44" s="6" t="inlineStr">
        <is>
          <t>防具/DR: 頭DR1(重裝),全身DR1(陶瓷板)</t>
        </is>
      </c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10" t="n"/>
    </row>
    <row r="45">
      <c r="C45" s="2" t="n"/>
    </row>
    <row r="46">
      <c r="D46" s="2" t="n"/>
    </row>
    <row r="47">
      <c r="E47" s="2" t="n"/>
    </row>
    <row r="48">
      <c r="F48" s="2" t="n"/>
    </row>
    <row r="49">
      <c r="G49" s="2" t="n"/>
    </row>
    <row r="50">
      <c r="H50" s="2" t="n"/>
    </row>
    <row r="51">
      <c r="I51" s="2" t="n"/>
    </row>
    <row r="52">
      <c r="J52" s="2" t="n"/>
    </row>
    <row r="53">
      <c r="K53" s="2" t="n"/>
    </row>
    <row r="54">
      <c r="A54" s="6" t="inlineStr">
        <is>
          <t>特殊能力: 指揮官: 周圍士兵士氣+2; 呼叫增援(1d3名,1d4回合)</t>
        </is>
      </c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10" t="n"/>
    </row>
    <row r="55">
      <c r="C55" s="2" t="n"/>
    </row>
    <row r="56">
      <c r="D56" s="2" t="n"/>
    </row>
    <row r="57">
      <c r="E57" s="2" t="n"/>
    </row>
    <row r="58">
      <c r="F58" s="2" t="n"/>
    </row>
    <row r="59">
      <c r="G59" s="2" t="n"/>
    </row>
    <row r="60">
      <c r="H60" s="2" t="n"/>
    </row>
    <row r="61">
      <c r="I61" s="2" t="n"/>
    </row>
    <row r="62">
      <c r="J62" s="2" t="n"/>
    </row>
    <row r="63">
      <c r="K63" s="2" t="n"/>
    </row>
    <row r="64">
      <c r="A64" s="6" t="inlineStr">
        <is>
          <t>行為模式: 指揮巡邏隊; 發現威脅優先呼叫增援; HP&lt;40%戰術撤退</t>
        </is>
      </c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10" t="n"/>
    </row>
    <row r="65">
      <c r="C65" s="2" t="n"/>
    </row>
    <row r="66">
      <c r="D66" s="2" t="n"/>
    </row>
    <row r="67">
      <c r="E67" s="2" t="n"/>
    </row>
    <row r="68">
      <c r="F68" s="2" t="n"/>
    </row>
    <row r="69">
      <c r="G69" s="2" t="n"/>
    </row>
    <row r="70">
      <c r="H70" s="2" t="n"/>
    </row>
    <row r="71">
      <c r="I71" s="2" t="n"/>
    </row>
    <row r="72">
      <c r="J72" s="2" t="n"/>
    </row>
    <row r="73">
      <c r="K73" s="2" t="n"/>
    </row>
    <row r="74">
      <c r="A74" s="6" t="inlineStr">
        <is>
          <t>戰利品: 重機槍(紫)+陶瓷板(紫)+無線電(藍)</t>
        </is>
      </c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10" t="n"/>
    </row>
    <row r="75">
      <c r="C75" s="2" t="n"/>
    </row>
    <row r="76">
      <c r="D76" s="2" t="n"/>
    </row>
    <row r="77">
      <c r="E77" s="2" t="n"/>
    </row>
    <row r="78">
      <c r="F78" s="2" t="n"/>
    </row>
    <row r="79">
      <c r="G79" s="2" t="n"/>
    </row>
    <row r="80">
      <c r="H80" s="2" t="n"/>
    </row>
    <row r="81">
      <c r="I81" s="2" t="n"/>
    </row>
    <row r="82">
      <c r="J82" s="2" t="n"/>
    </row>
    <row r="83">
      <c r="K83" s="2" t="n"/>
    </row>
  </sheetData>
  <mergeCells count="120">
    <mergeCell ref="A64:K64"/>
    <mergeCell ref="H3"/>
    <mergeCell ref="A24:K24"/>
    <mergeCell ref="J19:K19"/>
    <mergeCell ref="B20"/>
    <mergeCell ref="E16"/>
    <mergeCell ref="G16"/>
    <mergeCell ref="B12:C12"/>
    <mergeCell ref="C18"/>
    <mergeCell ref="E18"/>
    <mergeCell ref="A54:K54"/>
    <mergeCell ref="H20"/>
    <mergeCell ref="E7:G7"/>
    <mergeCell ref="B13:C13"/>
    <mergeCell ref="G17"/>
    <mergeCell ref="F21"/>
    <mergeCell ref="A2:K2"/>
    <mergeCell ref="H21"/>
    <mergeCell ref="E19"/>
    <mergeCell ref="G19"/>
    <mergeCell ref="I22"/>
    <mergeCell ref="J21:K21"/>
    <mergeCell ref="B17"/>
    <mergeCell ref="D17"/>
    <mergeCell ref="A3"/>
    <mergeCell ref="I21"/>
    <mergeCell ref="H7"/>
    <mergeCell ref="H16"/>
    <mergeCell ref="B19"/>
    <mergeCell ref="A5"/>
    <mergeCell ref="D3"/>
    <mergeCell ref="B3:C3"/>
    <mergeCell ref="A13"/>
    <mergeCell ref="B11:C11"/>
    <mergeCell ref="D20"/>
    <mergeCell ref="A15"/>
    <mergeCell ref="C15"/>
    <mergeCell ref="B22"/>
    <mergeCell ref="D22"/>
    <mergeCell ref="A74:K74"/>
    <mergeCell ref="J20:K20"/>
    <mergeCell ref="E17"/>
    <mergeCell ref="B21"/>
    <mergeCell ref="D21"/>
    <mergeCell ref="A7"/>
    <mergeCell ref="F15"/>
    <mergeCell ref="A16"/>
    <mergeCell ref="C16"/>
    <mergeCell ref="J22:K22"/>
    <mergeCell ref="A8:K8"/>
    <mergeCell ref="G18"/>
    <mergeCell ref="I18"/>
    <mergeCell ref="A18"/>
    <mergeCell ref="D7"/>
    <mergeCell ref="D16"/>
    <mergeCell ref="G5"/>
    <mergeCell ref="I5"/>
    <mergeCell ref="A34:K34"/>
    <mergeCell ref="A22"/>
    <mergeCell ref="D18"/>
    <mergeCell ref="B7:C7"/>
    <mergeCell ref="G20"/>
    <mergeCell ref="I20"/>
    <mergeCell ref="A20"/>
    <mergeCell ref="H15"/>
    <mergeCell ref="I3:K3"/>
    <mergeCell ref="A1:K1"/>
    <mergeCell ref="H18"/>
    <mergeCell ref="E22"/>
    <mergeCell ref="G22"/>
    <mergeCell ref="E21"/>
    <mergeCell ref="G21"/>
    <mergeCell ref="I15"/>
    <mergeCell ref="D19"/>
    <mergeCell ref="F19"/>
    <mergeCell ref="F16"/>
    <mergeCell ref="J16:K16"/>
    <mergeCell ref="F20"/>
    <mergeCell ref="I16"/>
    <mergeCell ref="B9:C9"/>
    <mergeCell ref="A14:K14"/>
    <mergeCell ref="A23:K23"/>
    <mergeCell ref="A4:K4"/>
    <mergeCell ref="H19"/>
    <mergeCell ref="I7:K7"/>
    <mergeCell ref="I17"/>
    <mergeCell ref="A17"/>
    <mergeCell ref="C17"/>
    <mergeCell ref="B15"/>
    <mergeCell ref="D15"/>
    <mergeCell ref="A10"/>
    <mergeCell ref="I19"/>
    <mergeCell ref="A19"/>
    <mergeCell ref="C19"/>
    <mergeCell ref="A6:K6"/>
    <mergeCell ref="A9"/>
    <mergeCell ref="J15:K15"/>
    <mergeCell ref="B16"/>
    <mergeCell ref="A11"/>
    <mergeCell ref="C5"/>
    <mergeCell ref="E5"/>
    <mergeCell ref="B18"/>
    <mergeCell ref="C20"/>
    <mergeCell ref="E20"/>
    <mergeCell ref="B10:C10"/>
    <mergeCell ref="E3:G3"/>
    <mergeCell ref="H22"/>
    <mergeCell ref="C22"/>
    <mergeCell ref="F18"/>
    <mergeCell ref="A12"/>
    <mergeCell ref="F17"/>
    <mergeCell ref="A21"/>
    <mergeCell ref="H17"/>
    <mergeCell ref="C21"/>
    <mergeCell ref="E15"/>
    <mergeCell ref="J18:K18"/>
    <mergeCell ref="G15"/>
    <mergeCell ref="A44:K44"/>
    <mergeCell ref="F22"/>
    <mergeCell ref="J17:K1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敵人數據卡 - 化工變異體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10" t="n"/>
    </row>
    <row r="2">
      <c r="A2" s="3" t="inlineStr">
        <is>
          <t>基本資訊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10" t="n"/>
    </row>
    <row r="3">
      <c r="A3" s="5" t="inlineStr">
        <is>
          <t>敵人名稱</t>
        </is>
      </c>
      <c r="B3" s="6" t="inlineStr">
        <is>
          <t>化工變異體</t>
        </is>
      </c>
      <c r="C3" s="10" t="n"/>
      <c r="D3" s="5" t="inlineStr">
        <is>
          <t>出場劇本</t>
        </is>
      </c>
      <c r="E3" s="6" t="inlineStr">
        <is>
          <t>劇本五</t>
        </is>
      </c>
      <c r="F3" s="9" t="n"/>
      <c r="G3" s="10" t="n"/>
      <c r="H3" s="5" t="inlineStr">
        <is>
          <t>威脅值</t>
        </is>
      </c>
      <c r="I3" s="6" t="n">
        <v>8</v>
      </c>
      <c r="J3" s="9" t="n"/>
      <c r="K3" s="10" t="n"/>
    </row>
    <row r="4">
      <c r="A4" s="3" t="inlineStr">
        <is>
          <t>五大屬性 [數值已輸入,修改黃色格]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10" t="n"/>
    </row>
    <row r="5">
      <c r="A5" s="5" t="inlineStr">
        <is>
          <t>體魄PHY</t>
        </is>
      </c>
      <c r="B5" s="7" t="n">
        <v>6</v>
      </c>
      <c r="C5" s="5" t="inlineStr">
        <is>
          <t>精準PRC</t>
        </is>
      </c>
      <c r="D5" s="7" t="n">
        <v>2</v>
      </c>
      <c r="E5" s="5" t="inlineStr">
        <is>
          <t>感知PER</t>
        </is>
      </c>
      <c r="F5" s="7" t="n">
        <v>4</v>
      </c>
      <c r="G5" s="5" t="inlineStr">
        <is>
          <t>技術TEC</t>
        </is>
      </c>
      <c r="H5" s="7" t="n">
        <v>1</v>
      </c>
      <c r="I5" s="5" t="inlineStr">
        <is>
          <t>膽魄CRG</t>
        </is>
      </c>
      <c r="J5" s="7" t="n">
        <v>10</v>
      </c>
    </row>
    <row r="6">
      <c r="A6" s="3" t="inlineStr">
        <is>
          <t>衍生屬性（自動計算）</t>
        </is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10" t="n"/>
    </row>
    <row r="7">
      <c r="A7" s="5" t="inlineStr">
        <is>
          <t>先攻值</t>
        </is>
      </c>
      <c r="B7" s="8">
        <f>G5+E5</f>
        <v/>
      </c>
      <c r="C7" s="10" t="n"/>
      <c r="D7" s="5" t="inlineStr">
        <is>
          <t>負重上限kg</t>
        </is>
      </c>
      <c r="E7" s="8">
        <f>C5*5</f>
        <v/>
      </c>
      <c r="F7" s="9" t="n"/>
      <c r="G7" s="10" t="n"/>
      <c r="H7" s="5" t="inlineStr">
        <is>
          <t>技能點參考</t>
        </is>
      </c>
      <c r="I7" s="8">
        <f>(I5+K5)*2</f>
        <v/>
      </c>
      <c r="J7" s="9" t="n"/>
      <c r="K7" s="10" t="n"/>
    </row>
    <row r="8">
      <c r="A8" s="3" t="inlineStr">
        <is>
          <t>技能等級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10" t="n"/>
    </row>
    <row r="9">
      <c r="A9" s="5" t="inlineStr">
        <is>
          <t>近戰</t>
        </is>
      </c>
      <c r="B9" s="6" t="n">
        <v>3</v>
      </c>
      <c r="C9" s="10" t="n"/>
    </row>
    <row r="10">
      <c r="A10" s="5" t="inlineStr">
        <is>
          <t>投擲</t>
        </is>
      </c>
      <c r="B10" s="6" t="n">
        <v>2</v>
      </c>
      <c r="C10" s="10" t="n"/>
    </row>
    <row r="11">
      <c r="A11" s="5" t="inlineStr">
        <is>
          <t>意志</t>
        </is>
      </c>
      <c r="B11" s="6" t="n">
        <v>5</v>
      </c>
      <c r="C11" s="10" t="n"/>
    </row>
    <row r="12">
      <c r="A12" s="3" t="inlineStr">
        <is>
          <t>七部位 HP（自動計算）</t>
        </is>
      </c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10" t="n"/>
    </row>
    <row r="13">
      <c r="A13" s="5" t="inlineStr">
        <is>
          <t>部位</t>
        </is>
      </c>
      <c r="B13" s="6" t="inlineStr">
        <is>
          <t>最大HP</t>
        </is>
      </c>
      <c r="C13" s="5" t="inlineStr">
        <is>
          <t>當前HP</t>
        </is>
      </c>
      <c r="D13" s="6" t="inlineStr"/>
      <c r="E13" s="5" t="inlineStr">
        <is>
          <t>DR</t>
        </is>
      </c>
      <c r="F13" s="5" t="inlineStr">
        <is>
          <t>DR</t>
        </is>
      </c>
      <c r="G13" s="5" t="inlineStr">
        <is>
          <t>DR</t>
        </is>
      </c>
      <c r="H13" s="6" t="inlineStr"/>
      <c r="I13" s="5" t="inlineStr">
        <is>
          <t>受傷效果</t>
        </is>
      </c>
      <c r="J13" s="6" t="inlineStr"/>
      <c r="K13" s="10" t="n"/>
    </row>
    <row r="14">
      <c r="A14" s="5" t="inlineStr">
        <is>
          <t>頭部</t>
        </is>
      </c>
      <c r="B14" s="8">
        <f>C5+6</f>
        <v/>
      </c>
      <c r="C14" s="5" t="inlineStr"/>
      <c r="D14" s="6" t="inlineStr"/>
      <c r="E14" s="5" t="inlineStr"/>
      <c r="F14" s="6" t="inlineStr"/>
      <c r="G14" s="11" t="inlineStr">
        <is>
          <t>DR</t>
        </is>
      </c>
      <c r="H14" s="12" t="inlineStr">
        <is>
          <t>頭盔</t>
        </is>
      </c>
      <c r="I14" s="5" t="inlineStr">
        <is>
          <t>歸零=即死</t>
        </is>
      </c>
      <c r="J14" s="6" t="inlineStr">
        <is>
          <t>歸零=即死</t>
        </is>
      </c>
      <c r="K14" s="10" t="n"/>
    </row>
    <row r="15">
      <c r="A15" s="5" t="inlineStr">
        <is>
          <t>胸部</t>
        </is>
      </c>
      <c r="B15" s="8">
        <f>C5*2+10</f>
        <v/>
      </c>
      <c r="C15" s="5" t="inlineStr"/>
      <c r="D15" s="6" t="inlineStr"/>
      <c r="E15" s="5" t="inlineStr"/>
      <c r="F15" s="6" t="inlineStr"/>
      <c r="G15" s="11" t="inlineStr">
        <is>
          <t>DR</t>
        </is>
      </c>
      <c r="H15" s="12" t="inlineStr">
        <is>
          <t>防彈衣+背心</t>
        </is>
      </c>
      <c r="I15" s="5" t="inlineStr">
        <is>
          <t>歸零=瀕死(膽魄TN14/回合)</t>
        </is>
      </c>
      <c r="J15" s="6" t="inlineStr">
        <is>
          <t>歸零=瀕死(膽魄TN14/回合)</t>
        </is>
      </c>
      <c r="K15" s="10" t="n"/>
    </row>
    <row r="16">
      <c r="A16" s="5" t="inlineStr">
        <is>
          <t>腹部</t>
        </is>
      </c>
      <c r="B16" s="8">
        <f>C5+8</f>
        <v/>
      </c>
      <c r="C16" s="5" t="inlineStr"/>
      <c r="D16" s="6" t="inlineStr"/>
      <c r="E16" s="5" t="inlineStr"/>
      <c r="F16" s="6" t="inlineStr"/>
      <c r="G16" s="11" t="inlineStr">
        <is>
          <t>DR</t>
        </is>
      </c>
      <c r="H16" s="12" t="inlineStr">
        <is>
          <t>防彈衣+背心</t>
        </is>
      </c>
      <c r="I16" s="5" t="inlineStr">
        <is>
          <t>歸零=內出血(1HP/分)</t>
        </is>
      </c>
      <c r="J16" s="6" t="inlineStr">
        <is>
          <t>歸零=內出血(1HP/分)</t>
        </is>
      </c>
      <c r="K16" s="10" t="n"/>
    </row>
    <row r="17">
      <c r="A17" s="5" t="inlineStr">
        <is>
          <t>左臂</t>
        </is>
      </c>
      <c r="B17" s="8">
        <f>C5+4</f>
        <v/>
      </c>
      <c r="C17" s="5" t="inlineStr"/>
      <c r="D17" s="6" t="inlineStr"/>
      <c r="E17" s="5" t="inlineStr"/>
      <c r="F17" s="6" t="inlineStr"/>
      <c r="G17" s="11" t="inlineStr">
        <is>
          <t>DR</t>
        </is>
      </c>
      <c r="H17" s="12" t="inlineStr">
        <is>
          <t>手套</t>
        </is>
      </c>
      <c r="I17" s="5" t="inlineStr">
        <is>
          <t>歸零=永久失能</t>
        </is>
      </c>
      <c r="J17" s="6" t="inlineStr">
        <is>
          <t>歸零=永久失能</t>
        </is>
      </c>
      <c r="K17" s="10" t="n"/>
    </row>
    <row r="18">
      <c r="A18" s="5" t="inlineStr">
        <is>
          <t>右臂</t>
        </is>
      </c>
      <c r="B18" s="8">
        <f>C5+4</f>
        <v/>
      </c>
      <c r="C18" s="5" t="inlineStr"/>
      <c r="D18" s="6" t="inlineStr"/>
      <c r="E18" s="5" t="inlineStr"/>
      <c r="F18" s="6" t="inlineStr"/>
      <c r="G18" s="11" t="inlineStr">
        <is>
          <t>DR</t>
        </is>
      </c>
      <c r="H18" s="12" t="inlineStr">
        <is>
          <t>手套</t>
        </is>
      </c>
      <c r="I18" s="5" t="inlineStr">
        <is>
          <t>歸零=永久失能</t>
        </is>
      </c>
      <c r="J18" s="6" t="inlineStr">
        <is>
          <t>歸零=永久失能</t>
        </is>
      </c>
      <c r="K18" s="10" t="n"/>
    </row>
    <row r="19">
      <c r="A19" s="5" t="inlineStr">
        <is>
          <t>左腿</t>
        </is>
      </c>
      <c r="B19" s="8">
        <f>C5+5</f>
        <v/>
      </c>
      <c r="C19" s="5" t="inlineStr"/>
      <c r="D19" s="6" t="inlineStr"/>
      <c r="E19" s="5" t="inlineStr"/>
      <c r="F19" s="6" t="inlineStr"/>
      <c r="G19" s="11" t="inlineStr">
        <is>
          <t>DR</t>
        </is>
      </c>
      <c r="H19" s="12" t="inlineStr">
        <is>
          <t>軍靴</t>
        </is>
      </c>
      <c r="I19" s="5" t="inlineStr">
        <is>
          <t>歸零=倒地,不可行走</t>
        </is>
      </c>
      <c r="J19" s="6" t="inlineStr">
        <is>
          <t>歸零=倒地,不可行走</t>
        </is>
      </c>
      <c r="K19" s="10" t="n"/>
    </row>
    <row r="20">
      <c r="A20" s="5" t="inlineStr">
        <is>
          <t>右腿</t>
        </is>
      </c>
      <c r="B20" s="8">
        <f>C5+5</f>
        <v/>
      </c>
      <c r="C20" s="5" t="inlineStr"/>
      <c r="D20" s="6" t="inlineStr"/>
      <c r="E20" s="5" t="inlineStr"/>
      <c r="F20" s="6" t="inlineStr"/>
      <c r="G20" s="11" t="inlineStr">
        <is>
          <t>DR</t>
        </is>
      </c>
      <c r="H20" s="12" t="inlineStr">
        <is>
          <t>軍靴</t>
        </is>
      </c>
      <c r="I20" s="5" t="inlineStr">
        <is>
          <t>歸零=倒地,不可行走</t>
        </is>
      </c>
      <c r="J20" s="6" t="inlineStr">
        <is>
          <t>歸零=倒地,不可行走</t>
        </is>
      </c>
      <c r="K20" s="10" t="n"/>
    </row>
    <row r="21">
      <c r="A21" s="3" t="inlineStr">
        <is>
          <t>戰鬥數據</t>
        </is>
      </c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10" t="n"/>
    </row>
    <row r="22">
      <c r="A22" s="6" t="inlineStr">
        <is>
          <t>主攻擊: 腐蝕利爪 1d10+6+中毒1d4/回合 近接</t>
        </is>
      </c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10" t="n"/>
    </row>
    <row r="23">
      <c r="C23" s="2" t="n"/>
    </row>
    <row r="24">
      <c r="D24" s="2" t="n"/>
    </row>
    <row r="25">
      <c r="E25" s="2" t="n"/>
    </row>
    <row r="26">
      <c r="F26" s="2" t="n"/>
    </row>
    <row r="27">
      <c r="G27" s="2" t="n"/>
    </row>
    <row r="28">
      <c r="H28" s="2" t="n"/>
    </row>
    <row r="29">
      <c r="I29" s="2" t="n"/>
    </row>
    <row r="30">
      <c r="J30" s="2" t="n"/>
    </row>
    <row r="31">
      <c r="K31" s="2" t="n"/>
    </row>
    <row r="32">
      <c r="A32" s="6" t="inlineStr">
        <is>
          <t>副攻擊: 酸液噴吐 2d6+中毒 3m錐形</t>
        </is>
      </c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10" t="n"/>
    </row>
    <row r="33">
      <c r="C33" s="2" t="n"/>
    </row>
    <row r="34">
      <c r="D34" s="2" t="n"/>
    </row>
    <row r="35">
      <c r="E35" s="2" t="n"/>
    </row>
    <row r="36">
      <c r="F36" s="2" t="n"/>
    </row>
    <row r="37">
      <c r="G37" s="2" t="n"/>
    </row>
    <row r="38">
      <c r="H38" s="2" t="n"/>
    </row>
    <row r="39">
      <c r="I39" s="2" t="n"/>
    </row>
    <row r="40">
      <c r="J40" s="2" t="n"/>
    </row>
    <row r="41">
      <c r="K41" s="2" t="n"/>
    </row>
    <row r="42">
      <c r="A42" s="6" t="inlineStr">
        <is>
          <t>防具/DR: 全身DR1(甲殼+結晶層)</t>
        </is>
      </c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10" t="n"/>
    </row>
    <row r="43">
      <c r="C43" s="2" t="n"/>
    </row>
    <row r="44">
      <c r="D44" s="2" t="n"/>
    </row>
    <row r="45">
      <c r="E45" s="2" t="n"/>
    </row>
    <row r="46">
      <c r="F46" s="2" t="n"/>
    </row>
    <row r="47">
      <c r="G47" s="2" t="n"/>
    </row>
    <row r="48">
      <c r="H48" s="2" t="n"/>
    </row>
    <row r="49">
      <c r="I49" s="2" t="n"/>
    </row>
    <row r="50">
      <c r="J50" s="2" t="n"/>
    </row>
    <row r="51">
      <c r="K51" s="2" t="n"/>
    </row>
    <row r="52">
      <c r="A52" s="6" t="inlineStr">
        <is>
          <t>特殊能力: 毒氣光環(近接膽魄TN14); 死亡噴濺(3m,1d6+中毒)</t>
        </is>
      </c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10" t="n"/>
    </row>
    <row r="53">
      <c r="C53" s="2" t="n"/>
    </row>
    <row r="54">
      <c r="D54" s="2" t="n"/>
    </row>
    <row r="55">
      <c r="E55" s="2" t="n"/>
    </row>
    <row r="56">
      <c r="F56" s="2" t="n"/>
    </row>
    <row r="57">
      <c r="G57" s="2" t="n"/>
    </row>
    <row r="58">
      <c r="H58" s="2" t="n"/>
    </row>
    <row r="59">
      <c r="I59" s="2" t="n"/>
    </row>
    <row r="60">
      <c r="J60" s="2" t="n"/>
    </row>
    <row r="61">
      <c r="K61" s="2" t="n"/>
    </row>
    <row r="62">
      <c r="A62" s="6" t="inlineStr">
        <is>
          <t>行為模式: 潛伏在化學儲存區; 伏擊接近者</t>
        </is>
      </c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10" t="n"/>
    </row>
    <row r="63">
      <c r="C63" s="2" t="n"/>
    </row>
    <row r="64">
      <c r="D64" s="2" t="n"/>
    </row>
    <row r="65">
      <c r="E65" s="2" t="n"/>
    </row>
    <row r="66">
      <c r="F66" s="2" t="n"/>
    </row>
    <row r="67">
      <c r="G67" s="2" t="n"/>
    </row>
    <row r="68">
      <c r="H68" s="2" t="n"/>
    </row>
    <row r="69">
      <c r="I69" s="2" t="n"/>
    </row>
    <row r="70">
      <c r="J70" s="2" t="n"/>
    </row>
    <row r="71">
      <c r="K71" s="2" t="n"/>
    </row>
    <row r="72">
      <c r="A72" s="6" t="inlineStr">
        <is>
          <t>戰利品: 化學樣本(紫)</t>
        </is>
      </c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10" t="n"/>
    </row>
    <row r="73">
      <c r="C73" s="2" t="n"/>
    </row>
    <row r="74">
      <c r="D74" s="2" t="n"/>
    </row>
    <row r="75">
      <c r="E75" s="2" t="n"/>
    </row>
    <row r="76">
      <c r="F76" s="2" t="n"/>
    </row>
    <row r="77">
      <c r="G77" s="2" t="n"/>
    </row>
    <row r="78">
      <c r="H78" s="2" t="n"/>
    </row>
    <row r="79">
      <c r="I79" s="2" t="n"/>
    </row>
    <row r="80">
      <c r="J80" s="2" t="n"/>
    </row>
    <row r="81">
      <c r="K81" s="2" t="n"/>
    </row>
  </sheetData>
  <mergeCells count="116">
    <mergeCell ref="H3"/>
    <mergeCell ref="J19:K19"/>
    <mergeCell ref="B20"/>
    <mergeCell ref="E16"/>
    <mergeCell ref="G16"/>
    <mergeCell ref="D14"/>
    <mergeCell ref="F14"/>
    <mergeCell ref="C18"/>
    <mergeCell ref="E18"/>
    <mergeCell ref="H20"/>
    <mergeCell ref="E7:G7"/>
    <mergeCell ref="G17"/>
    <mergeCell ref="A2:K2"/>
    <mergeCell ref="E19"/>
    <mergeCell ref="A42:K42"/>
    <mergeCell ref="G19"/>
    <mergeCell ref="A22:K22"/>
    <mergeCell ref="B17"/>
    <mergeCell ref="A62:K62"/>
    <mergeCell ref="D17"/>
    <mergeCell ref="A3"/>
    <mergeCell ref="H7"/>
    <mergeCell ref="H16"/>
    <mergeCell ref="B19"/>
    <mergeCell ref="G14"/>
    <mergeCell ref="A5"/>
    <mergeCell ref="I14"/>
    <mergeCell ref="D3"/>
    <mergeCell ref="B3:C3"/>
    <mergeCell ref="A13"/>
    <mergeCell ref="C13"/>
    <mergeCell ref="B11:C11"/>
    <mergeCell ref="D20"/>
    <mergeCell ref="A15"/>
    <mergeCell ref="C15"/>
    <mergeCell ref="J20:K20"/>
    <mergeCell ref="E17"/>
    <mergeCell ref="A7"/>
    <mergeCell ref="F15"/>
    <mergeCell ref="A16"/>
    <mergeCell ref="C16"/>
    <mergeCell ref="B14"/>
    <mergeCell ref="A8:K8"/>
    <mergeCell ref="G18"/>
    <mergeCell ref="I18"/>
    <mergeCell ref="A18"/>
    <mergeCell ref="B13"/>
    <mergeCell ref="D7"/>
    <mergeCell ref="D16"/>
    <mergeCell ref="G5"/>
    <mergeCell ref="F13"/>
    <mergeCell ref="I5"/>
    <mergeCell ref="H13"/>
    <mergeCell ref="D18"/>
    <mergeCell ref="B7:C7"/>
    <mergeCell ref="G20"/>
    <mergeCell ref="I20"/>
    <mergeCell ref="A20"/>
    <mergeCell ref="H15"/>
    <mergeCell ref="I3:K3"/>
    <mergeCell ref="A1:K1"/>
    <mergeCell ref="H18"/>
    <mergeCell ref="I13"/>
    <mergeCell ref="I15"/>
    <mergeCell ref="D19"/>
    <mergeCell ref="F19"/>
    <mergeCell ref="F16"/>
    <mergeCell ref="C14"/>
    <mergeCell ref="E14"/>
    <mergeCell ref="A12:K12"/>
    <mergeCell ref="A21:K21"/>
    <mergeCell ref="J16:K16"/>
    <mergeCell ref="F20"/>
    <mergeCell ref="I16"/>
    <mergeCell ref="A32:K32"/>
    <mergeCell ref="B9:C9"/>
    <mergeCell ref="D13"/>
    <mergeCell ref="A4:K4"/>
    <mergeCell ref="A52:K52"/>
    <mergeCell ref="H19"/>
    <mergeCell ref="I7:K7"/>
    <mergeCell ref="I17"/>
    <mergeCell ref="A17"/>
    <mergeCell ref="C17"/>
    <mergeCell ref="J14:K14"/>
    <mergeCell ref="B15"/>
    <mergeCell ref="D15"/>
    <mergeCell ref="A10"/>
    <mergeCell ref="I19"/>
    <mergeCell ref="J13:K13"/>
    <mergeCell ref="A19"/>
    <mergeCell ref="C19"/>
    <mergeCell ref="H14"/>
    <mergeCell ref="A6:K6"/>
    <mergeCell ref="A9"/>
    <mergeCell ref="J15:K15"/>
    <mergeCell ref="B16"/>
    <mergeCell ref="A11"/>
    <mergeCell ref="C5"/>
    <mergeCell ref="E5"/>
    <mergeCell ref="B18"/>
    <mergeCell ref="C20"/>
    <mergeCell ref="E20"/>
    <mergeCell ref="B10:C10"/>
    <mergeCell ref="E3:G3"/>
    <mergeCell ref="E13"/>
    <mergeCell ref="F18"/>
    <mergeCell ref="G13"/>
    <mergeCell ref="F17"/>
    <mergeCell ref="A72:K72"/>
    <mergeCell ref="H17"/>
    <mergeCell ref="E15"/>
    <mergeCell ref="J18:K18"/>
    <mergeCell ref="G15"/>
    <mergeCell ref="A14"/>
    <mergeCell ref="J17:K1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敵人數據卡 - 兄弟會哨兵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10" t="n"/>
    </row>
    <row r="2">
      <c r="A2" s="3" t="inlineStr">
        <is>
          <t>基本資訊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10" t="n"/>
    </row>
    <row r="3">
      <c r="A3" s="5" t="inlineStr">
        <is>
          <t>敵人名稱</t>
        </is>
      </c>
      <c r="B3" s="6" t="inlineStr">
        <is>
          <t>兄弟會哨兵</t>
        </is>
      </c>
      <c r="C3" s="10" t="n"/>
      <c r="D3" s="5" t="inlineStr">
        <is>
          <t>出場劇本</t>
        </is>
      </c>
      <c r="E3" s="6" t="inlineStr">
        <is>
          <t>劇本六</t>
        </is>
      </c>
      <c r="F3" s="9" t="n"/>
      <c r="G3" s="10" t="n"/>
      <c r="H3" s="5" t="inlineStr">
        <is>
          <t>威脅值</t>
        </is>
      </c>
      <c r="I3" s="6" t="n">
        <v>6</v>
      </c>
      <c r="J3" s="9" t="n"/>
      <c r="K3" s="10" t="n"/>
    </row>
    <row r="4">
      <c r="A4" s="3" t="inlineStr">
        <is>
          <t>五大屬性 [數值已輸入,修改黃色格]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10" t="n"/>
    </row>
    <row r="5">
      <c r="A5" s="5" t="inlineStr">
        <is>
          <t>體魄PHY</t>
        </is>
      </c>
      <c r="B5" s="7" t="n">
        <v>5</v>
      </c>
      <c r="C5" s="5" t="inlineStr">
        <is>
          <t>精準PRC</t>
        </is>
      </c>
      <c r="D5" s="7" t="n">
        <v>6</v>
      </c>
      <c r="E5" s="5" t="inlineStr">
        <is>
          <t>感知PER</t>
        </is>
      </c>
      <c r="F5" s="7" t="n">
        <v>6</v>
      </c>
      <c r="G5" s="5" t="inlineStr">
        <is>
          <t>技術TEC</t>
        </is>
      </c>
      <c r="H5" s="7" t="n">
        <v>3</v>
      </c>
      <c r="I5" s="5" t="inlineStr">
        <is>
          <t>膽魄CRG</t>
        </is>
      </c>
      <c r="J5" s="7" t="n">
        <v>6</v>
      </c>
    </row>
    <row r="6">
      <c r="A6" s="3" t="inlineStr">
        <is>
          <t>衍生屬性（自動計算）</t>
        </is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10" t="n"/>
    </row>
    <row r="7">
      <c r="A7" s="5" t="inlineStr">
        <is>
          <t>先攻值</t>
        </is>
      </c>
      <c r="B7" s="8">
        <f>G5+E5</f>
        <v/>
      </c>
      <c r="C7" s="10" t="n"/>
      <c r="D7" s="5" t="inlineStr">
        <is>
          <t>負重上限kg</t>
        </is>
      </c>
      <c r="E7" s="8">
        <f>C5*5</f>
        <v/>
      </c>
      <c r="F7" s="9" t="n"/>
      <c r="G7" s="10" t="n"/>
      <c r="H7" s="5" t="inlineStr">
        <is>
          <t>技能點參考</t>
        </is>
      </c>
      <c r="I7" s="8">
        <f>(I5+K5)*2</f>
        <v/>
      </c>
      <c r="J7" s="9" t="n"/>
      <c r="K7" s="10" t="n"/>
    </row>
    <row r="8">
      <c r="A8" s="3" t="inlineStr">
        <is>
          <t>技能等級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10" t="n"/>
    </row>
    <row r="9">
      <c r="A9" s="5" t="inlineStr">
        <is>
          <t>槍械</t>
        </is>
      </c>
      <c r="B9" s="6" t="n">
        <v>3</v>
      </c>
      <c r="C9" s="10" t="n"/>
    </row>
    <row r="10">
      <c r="A10" s="5" t="inlineStr">
        <is>
          <t>察覺</t>
        </is>
      </c>
      <c r="B10" s="6" t="n">
        <v>3</v>
      </c>
      <c r="C10" s="10" t="n"/>
    </row>
    <row r="11">
      <c r="A11" s="5" t="inlineStr">
        <is>
          <t>電子</t>
        </is>
      </c>
      <c r="B11" s="6" t="n">
        <v>2</v>
      </c>
      <c r="C11" s="10" t="n"/>
    </row>
    <row r="12">
      <c r="A12" s="5" t="inlineStr">
        <is>
          <t>意志</t>
        </is>
      </c>
      <c r="B12" s="6" t="n">
        <v>3</v>
      </c>
      <c r="C12" s="10" t="n"/>
    </row>
    <row r="13">
      <c r="A13" s="3" t="inlineStr">
        <is>
          <t>七部位 HP（自動計算）</t>
        </is>
      </c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10" t="n"/>
    </row>
    <row r="14">
      <c r="A14" s="5" t="inlineStr">
        <is>
          <t>部位</t>
        </is>
      </c>
      <c r="B14" s="6" t="inlineStr">
        <is>
          <t>最大HP</t>
        </is>
      </c>
      <c r="C14" s="5" t="inlineStr">
        <is>
          <t>當前HP</t>
        </is>
      </c>
      <c r="D14" s="6" t="inlineStr"/>
      <c r="E14" s="5" t="inlineStr">
        <is>
          <t>DR</t>
        </is>
      </c>
      <c r="F14" s="5" t="inlineStr">
        <is>
          <t>DR</t>
        </is>
      </c>
      <c r="G14" s="5" t="inlineStr">
        <is>
          <t>DR</t>
        </is>
      </c>
      <c r="H14" s="6" t="inlineStr"/>
      <c r="I14" s="5" t="inlineStr">
        <is>
          <t>受傷效果</t>
        </is>
      </c>
      <c r="J14" s="6" t="inlineStr"/>
      <c r="K14" s="10" t="n"/>
    </row>
    <row r="15">
      <c r="A15" s="5" t="inlineStr">
        <is>
          <t>頭部</t>
        </is>
      </c>
      <c r="B15" s="8">
        <f>C5+6</f>
        <v/>
      </c>
      <c r="C15" s="5" t="inlineStr"/>
      <c r="D15" s="6" t="inlineStr"/>
      <c r="E15" s="5" t="inlineStr"/>
      <c r="F15" s="6" t="inlineStr"/>
      <c r="G15" s="11" t="inlineStr">
        <is>
          <t>DR</t>
        </is>
      </c>
      <c r="H15" s="12" t="inlineStr">
        <is>
          <t>頭盔</t>
        </is>
      </c>
      <c r="I15" s="5" t="inlineStr">
        <is>
          <t>歸零=即死</t>
        </is>
      </c>
      <c r="J15" s="6" t="inlineStr">
        <is>
          <t>歸零=即死</t>
        </is>
      </c>
      <c r="K15" s="10" t="n"/>
    </row>
    <row r="16">
      <c r="A16" s="5" t="inlineStr">
        <is>
          <t>胸部</t>
        </is>
      </c>
      <c r="B16" s="8">
        <f>C5*2+10</f>
        <v/>
      </c>
      <c r="C16" s="5" t="inlineStr"/>
      <c r="D16" s="6" t="inlineStr"/>
      <c r="E16" s="5" t="inlineStr"/>
      <c r="F16" s="6" t="inlineStr"/>
      <c r="G16" s="11" t="inlineStr">
        <is>
          <t>DR</t>
        </is>
      </c>
      <c r="H16" s="12" t="inlineStr">
        <is>
          <t>防彈衣+背心</t>
        </is>
      </c>
      <c r="I16" s="5" t="inlineStr">
        <is>
          <t>歸零=瀕死(膽魄TN14/回合)</t>
        </is>
      </c>
      <c r="J16" s="6" t="inlineStr">
        <is>
          <t>歸零=瀕死(膽魄TN14/回合)</t>
        </is>
      </c>
      <c r="K16" s="10" t="n"/>
    </row>
    <row r="17">
      <c r="A17" s="5" t="inlineStr">
        <is>
          <t>腹部</t>
        </is>
      </c>
      <c r="B17" s="8">
        <f>C5+8</f>
        <v/>
      </c>
      <c r="C17" s="5" t="inlineStr"/>
      <c r="D17" s="6" t="inlineStr"/>
      <c r="E17" s="5" t="inlineStr"/>
      <c r="F17" s="6" t="inlineStr"/>
      <c r="G17" s="11" t="inlineStr">
        <is>
          <t>DR</t>
        </is>
      </c>
      <c r="H17" s="12" t="inlineStr">
        <is>
          <t>防彈衣+背心</t>
        </is>
      </c>
      <c r="I17" s="5" t="inlineStr">
        <is>
          <t>歸零=內出血(1HP/分)</t>
        </is>
      </c>
      <c r="J17" s="6" t="inlineStr">
        <is>
          <t>歸零=內出血(1HP/分)</t>
        </is>
      </c>
      <c r="K17" s="10" t="n"/>
    </row>
    <row r="18">
      <c r="A18" s="5" t="inlineStr">
        <is>
          <t>左臂</t>
        </is>
      </c>
      <c r="B18" s="8">
        <f>C5+4</f>
        <v/>
      </c>
      <c r="C18" s="5" t="inlineStr"/>
      <c r="D18" s="6" t="inlineStr"/>
      <c r="E18" s="5" t="inlineStr"/>
      <c r="F18" s="6" t="inlineStr"/>
      <c r="G18" s="11" t="inlineStr">
        <is>
          <t>DR</t>
        </is>
      </c>
      <c r="H18" s="12" t="inlineStr">
        <is>
          <t>手套</t>
        </is>
      </c>
      <c r="I18" s="5" t="inlineStr">
        <is>
          <t>歸零=永久失能</t>
        </is>
      </c>
      <c r="J18" s="6" t="inlineStr">
        <is>
          <t>歸零=永久失能</t>
        </is>
      </c>
      <c r="K18" s="10" t="n"/>
    </row>
    <row r="19">
      <c r="A19" s="5" t="inlineStr">
        <is>
          <t>右臂</t>
        </is>
      </c>
      <c r="B19" s="8">
        <f>C5+4</f>
        <v/>
      </c>
      <c r="C19" s="5" t="inlineStr"/>
      <c r="D19" s="6" t="inlineStr"/>
      <c r="E19" s="5" t="inlineStr"/>
      <c r="F19" s="6" t="inlineStr"/>
      <c r="G19" s="11" t="inlineStr">
        <is>
          <t>DR</t>
        </is>
      </c>
      <c r="H19" s="12" t="inlineStr">
        <is>
          <t>手套</t>
        </is>
      </c>
      <c r="I19" s="5" t="inlineStr">
        <is>
          <t>歸零=永久失能</t>
        </is>
      </c>
      <c r="J19" s="6" t="inlineStr">
        <is>
          <t>歸零=永久失能</t>
        </is>
      </c>
      <c r="K19" s="10" t="n"/>
    </row>
    <row r="20">
      <c r="A20" s="5" t="inlineStr">
        <is>
          <t>左腿</t>
        </is>
      </c>
      <c r="B20" s="8">
        <f>C5+5</f>
        <v/>
      </c>
      <c r="C20" s="5" t="inlineStr"/>
      <c r="D20" s="6" t="inlineStr"/>
      <c r="E20" s="5" t="inlineStr"/>
      <c r="F20" s="6" t="inlineStr"/>
      <c r="G20" s="11" t="inlineStr">
        <is>
          <t>DR</t>
        </is>
      </c>
      <c r="H20" s="12" t="inlineStr">
        <is>
          <t>軍靴</t>
        </is>
      </c>
      <c r="I20" s="5" t="inlineStr">
        <is>
          <t>歸零=倒地,不可行走</t>
        </is>
      </c>
      <c r="J20" s="6" t="inlineStr">
        <is>
          <t>歸零=倒地,不可行走</t>
        </is>
      </c>
      <c r="K20" s="10" t="n"/>
    </row>
    <row r="21">
      <c r="A21" s="5" t="inlineStr">
        <is>
          <t>右腿</t>
        </is>
      </c>
      <c r="B21" s="8">
        <f>C5+5</f>
        <v/>
      </c>
      <c r="C21" s="5" t="inlineStr"/>
      <c r="D21" s="6" t="inlineStr"/>
      <c r="E21" s="5" t="inlineStr"/>
      <c r="F21" s="6" t="inlineStr"/>
      <c r="G21" s="11" t="inlineStr">
        <is>
          <t>DR</t>
        </is>
      </c>
      <c r="H21" s="12" t="inlineStr">
        <is>
          <t>軍靴</t>
        </is>
      </c>
      <c r="I21" s="5" t="inlineStr">
        <is>
          <t>歸零=倒地,不可行走</t>
        </is>
      </c>
      <c r="J21" s="6" t="inlineStr">
        <is>
          <t>歸零=倒地,不可行走</t>
        </is>
      </c>
      <c r="K21" s="10" t="n"/>
    </row>
    <row r="22">
      <c r="A22" s="3" t="inlineStr">
        <is>
          <t>戰鬥數據</t>
        </is>
      </c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10" t="n"/>
    </row>
    <row r="23">
      <c r="A23" s="6" t="inlineStr">
        <is>
          <t>主攻擊: DMR 1d10 中-遠距</t>
        </is>
      </c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10" t="n"/>
    </row>
    <row r="24">
      <c r="C24" s="2" t="n"/>
    </row>
    <row r="25">
      <c r="D25" s="2" t="n"/>
    </row>
    <row r="26">
      <c r="E26" s="2" t="n"/>
    </row>
    <row r="27">
      <c r="F27" s="2" t="n"/>
    </row>
    <row r="28">
      <c r="G28" s="2" t="n"/>
    </row>
    <row r="29">
      <c r="H29" s="2" t="n"/>
    </row>
    <row r="30">
      <c r="I30" s="2" t="n"/>
    </row>
    <row r="31">
      <c r="J31" s="2" t="n"/>
    </row>
    <row r="32">
      <c r="K32" s="2" t="n"/>
    </row>
    <row r="33">
      <c r="A33" s="6" t="inlineStr">
        <is>
          <t>副攻擊: 手槍 1d8 近-中距</t>
        </is>
      </c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10" t="n"/>
    </row>
    <row r="34">
      <c r="C34" s="2" t="n"/>
    </row>
    <row r="35">
      <c r="D35" s="2" t="n"/>
    </row>
    <row r="36">
      <c r="E36" s="2" t="n"/>
    </row>
    <row r="37">
      <c r="F37" s="2" t="n"/>
    </row>
    <row r="38">
      <c r="G38" s="2" t="n"/>
    </row>
    <row r="39">
      <c r="H39" s="2" t="n"/>
    </row>
    <row r="40">
      <c r="I40" s="2" t="n"/>
    </row>
    <row r="41">
      <c r="J41" s="2" t="n"/>
    </row>
    <row r="42">
      <c r="K42" s="2" t="n"/>
    </row>
    <row r="43">
      <c r="A43" s="6" t="inlineStr">
        <is>
          <t>防具/DR: 胸腹DR1(硬質)</t>
        </is>
      </c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10" t="n"/>
    </row>
    <row r="44">
      <c r="C44" s="2" t="n"/>
    </row>
    <row r="45">
      <c r="D45" s="2" t="n"/>
    </row>
    <row r="46">
      <c r="E46" s="2" t="n"/>
    </row>
    <row r="47">
      <c r="F47" s="2" t="n"/>
    </row>
    <row r="48">
      <c r="G48" s="2" t="n"/>
    </row>
    <row r="49">
      <c r="H49" s="2" t="n"/>
    </row>
    <row r="50">
      <c r="I50" s="2" t="n"/>
    </row>
    <row r="51">
      <c r="J51" s="2" t="n"/>
    </row>
    <row r="52">
      <c r="K52" s="2" t="n"/>
    </row>
    <row r="53">
      <c r="A53" s="6" t="inlineStr">
        <is>
          <t>特殊能力: 警報: 1AP觸發全樓警報</t>
        </is>
      </c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10" t="n"/>
    </row>
    <row r="54">
      <c r="C54" s="2" t="n"/>
    </row>
    <row r="55">
      <c r="D55" s="2" t="n"/>
    </row>
    <row r="56">
      <c r="E56" s="2" t="n"/>
    </row>
    <row r="57">
      <c r="F57" s="2" t="n"/>
    </row>
    <row r="58">
      <c r="G58" s="2" t="n"/>
    </row>
    <row r="59">
      <c r="H59" s="2" t="n"/>
    </row>
    <row r="60">
      <c r="I60" s="2" t="n"/>
    </row>
    <row r="61">
      <c r="J61" s="2" t="n"/>
    </row>
    <row r="62">
      <c r="K62" s="2" t="n"/>
    </row>
    <row r="63">
      <c r="A63" s="6" t="inlineStr">
        <is>
          <t>行為模式: 固定哨位; 高察覺; 發現後先警報再射擊</t>
        </is>
      </c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10" t="n"/>
    </row>
    <row r="64">
      <c r="C64" s="2" t="n"/>
    </row>
    <row r="65">
      <c r="D65" s="2" t="n"/>
    </row>
    <row r="66">
      <c r="E66" s="2" t="n"/>
    </row>
    <row r="67">
      <c r="F67" s="2" t="n"/>
    </row>
    <row r="68">
      <c r="G68" s="2" t="n"/>
    </row>
    <row r="69">
      <c r="H69" s="2" t="n"/>
    </row>
    <row r="70">
      <c r="I70" s="2" t="n"/>
    </row>
    <row r="71">
      <c r="J71" s="2" t="n"/>
    </row>
    <row r="72">
      <c r="K72" s="2" t="n"/>
    </row>
    <row r="73">
      <c r="A73" s="6" t="inlineStr">
        <is>
          <t>戰利品: DMR(藍)+通訊設備</t>
        </is>
      </c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10" t="n"/>
    </row>
    <row r="74">
      <c r="C74" s="2" t="n"/>
    </row>
    <row r="75">
      <c r="D75" s="2" t="n"/>
    </row>
    <row r="76">
      <c r="E76" s="2" t="n"/>
    </row>
    <row r="77">
      <c r="F77" s="2" t="n"/>
    </row>
    <row r="78">
      <c r="G78" s="2" t="n"/>
    </row>
    <row r="79">
      <c r="H79" s="2" t="n"/>
    </row>
    <row r="80">
      <c r="I80" s="2" t="n"/>
    </row>
    <row r="81">
      <c r="J81" s="2" t="n"/>
    </row>
    <row r="82">
      <c r="K82" s="2" t="n"/>
    </row>
  </sheetData>
  <mergeCells count="118">
    <mergeCell ref="H3"/>
    <mergeCell ref="A73:K73"/>
    <mergeCell ref="J19:K19"/>
    <mergeCell ref="B20"/>
    <mergeCell ref="E16"/>
    <mergeCell ref="G16"/>
    <mergeCell ref="D14"/>
    <mergeCell ref="F14"/>
    <mergeCell ref="B12:C12"/>
    <mergeCell ref="C18"/>
    <mergeCell ref="E18"/>
    <mergeCell ref="H20"/>
    <mergeCell ref="E7:G7"/>
    <mergeCell ref="G17"/>
    <mergeCell ref="F21"/>
    <mergeCell ref="A2:K2"/>
    <mergeCell ref="A33:K33"/>
    <mergeCell ref="H21"/>
    <mergeCell ref="E19"/>
    <mergeCell ref="G19"/>
    <mergeCell ref="A22:K22"/>
    <mergeCell ref="J21:K21"/>
    <mergeCell ref="A53:K53"/>
    <mergeCell ref="B17"/>
    <mergeCell ref="D17"/>
    <mergeCell ref="A3"/>
    <mergeCell ref="I21"/>
    <mergeCell ref="H7"/>
    <mergeCell ref="H16"/>
    <mergeCell ref="B19"/>
    <mergeCell ref="G14"/>
    <mergeCell ref="A5"/>
    <mergeCell ref="I14"/>
    <mergeCell ref="D3"/>
    <mergeCell ref="B3:C3"/>
    <mergeCell ref="B11:C11"/>
    <mergeCell ref="D20"/>
    <mergeCell ref="A15"/>
    <mergeCell ref="C15"/>
    <mergeCell ref="J20:K20"/>
    <mergeCell ref="E17"/>
    <mergeCell ref="B21"/>
    <mergeCell ref="D21"/>
    <mergeCell ref="A7"/>
    <mergeCell ref="F15"/>
    <mergeCell ref="A16"/>
    <mergeCell ref="C16"/>
    <mergeCell ref="B14"/>
    <mergeCell ref="A8:K8"/>
    <mergeCell ref="G18"/>
    <mergeCell ref="I18"/>
    <mergeCell ref="A18"/>
    <mergeCell ref="D7"/>
    <mergeCell ref="D16"/>
    <mergeCell ref="A63:K63"/>
    <mergeCell ref="G5"/>
    <mergeCell ref="I5"/>
    <mergeCell ref="D18"/>
    <mergeCell ref="B7:C7"/>
    <mergeCell ref="G20"/>
    <mergeCell ref="I20"/>
    <mergeCell ref="A20"/>
    <mergeCell ref="H15"/>
    <mergeCell ref="I3:K3"/>
    <mergeCell ref="A1:K1"/>
    <mergeCell ref="H18"/>
    <mergeCell ref="E21"/>
    <mergeCell ref="G21"/>
    <mergeCell ref="I15"/>
    <mergeCell ref="D19"/>
    <mergeCell ref="F19"/>
    <mergeCell ref="F16"/>
    <mergeCell ref="C14"/>
    <mergeCell ref="E14"/>
    <mergeCell ref="J16:K16"/>
    <mergeCell ref="F20"/>
    <mergeCell ref="I16"/>
    <mergeCell ref="B9:C9"/>
    <mergeCell ref="A23:K23"/>
    <mergeCell ref="A4:K4"/>
    <mergeCell ref="A43:K43"/>
    <mergeCell ref="H19"/>
    <mergeCell ref="I7:K7"/>
    <mergeCell ref="I17"/>
    <mergeCell ref="A17"/>
    <mergeCell ref="C17"/>
    <mergeCell ref="J14:K14"/>
    <mergeCell ref="B15"/>
    <mergeCell ref="D15"/>
    <mergeCell ref="A10"/>
    <mergeCell ref="I19"/>
    <mergeCell ref="A19"/>
    <mergeCell ref="C19"/>
    <mergeCell ref="H14"/>
    <mergeCell ref="A6:K6"/>
    <mergeCell ref="A9"/>
    <mergeCell ref="J15:K15"/>
    <mergeCell ref="B16"/>
    <mergeCell ref="A11"/>
    <mergeCell ref="C5"/>
    <mergeCell ref="E5"/>
    <mergeCell ref="B18"/>
    <mergeCell ref="C20"/>
    <mergeCell ref="E20"/>
    <mergeCell ref="B10:C10"/>
    <mergeCell ref="E3:G3"/>
    <mergeCell ref="F18"/>
    <mergeCell ref="A12"/>
    <mergeCell ref="F17"/>
    <mergeCell ref="A21"/>
    <mergeCell ref="H17"/>
    <mergeCell ref="C21"/>
    <mergeCell ref="E15"/>
    <mergeCell ref="J18:K18"/>
    <mergeCell ref="G15"/>
    <mergeCell ref="A13:K13"/>
    <mergeCell ref="A14"/>
    <mergeCell ref="J17:K1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敵人數據卡 - 精英衛兵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10" t="n"/>
    </row>
    <row r="2">
      <c r="A2" s="3" t="inlineStr">
        <is>
          <t>基本資訊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10" t="n"/>
    </row>
    <row r="3">
      <c r="A3" s="5" t="inlineStr">
        <is>
          <t>敵人名稱</t>
        </is>
      </c>
      <c r="B3" s="6" t="inlineStr">
        <is>
          <t>精英衛兵</t>
        </is>
      </c>
      <c r="C3" s="10" t="n"/>
      <c r="D3" s="5" t="inlineStr">
        <is>
          <t>出場劇本</t>
        </is>
      </c>
      <c r="E3" s="6" t="inlineStr">
        <is>
          <t>劇本七,九</t>
        </is>
      </c>
      <c r="F3" s="9" t="n"/>
      <c r="G3" s="10" t="n"/>
      <c r="H3" s="5" t="inlineStr">
        <is>
          <t>威脅值</t>
        </is>
      </c>
      <c r="I3" s="6" t="n">
        <v>9</v>
      </c>
      <c r="J3" s="9" t="n"/>
      <c r="K3" s="10" t="n"/>
    </row>
    <row r="4">
      <c r="A4" s="3" t="inlineStr">
        <is>
          <t>五大屬性 [數值已輸入,修改黃色格]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10" t="n"/>
    </row>
    <row r="5">
      <c r="A5" s="5" t="inlineStr">
        <is>
          <t>體魄PHY</t>
        </is>
      </c>
      <c r="B5" s="7" t="n">
        <v>7</v>
      </c>
      <c r="C5" s="5" t="inlineStr">
        <is>
          <t>精準PRC</t>
        </is>
      </c>
      <c r="D5" s="7" t="n">
        <v>6</v>
      </c>
      <c r="E5" s="5" t="inlineStr">
        <is>
          <t>感知PER</t>
        </is>
      </c>
      <c r="F5" s="7" t="n">
        <v>5</v>
      </c>
      <c r="G5" s="5" t="inlineStr">
        <is>
          <t>技術TEC</t>
        </is>
      </c>
      <c r="H5" s="7" t="n">
        <v>4</v>
      </c>
      <c r="I5" s="5" t="inlineStr">
        <is>
          <t>膽魄CRG</t>
        </is>
      </c>
      <c r="J5" s="7" t="n">
        <v>8</v>
      </c>
    </row>
    <row r="6">
      <c r="A6" s="3" t="inlineStr">
        <is>
          <t>衍生屬性（自動計算）</t>
        </is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10" t="n"/>
    </row>
    <row r="7">
      <c r="A7" s="5" t="inlineStr">
        <is>
          <t>先攻值</t>
        </is>
      </c>
      <c r="B7" s="8">
        <f>G5+E5</f>
        <v/>
      </c>
      <c r="C7" s="10" t="n"/>
      <c r="D7" s="5" t="inlineStr">
        <is>
          <t>負重上限kg</t>
        </is>
      </c>
      <c r="E7" s="8">
        <f>C5*5</f>
        <v/>
      </c>
      <c r="F7" s="9" t="n"/>
      <c r="G7" s="10" t="n"/>
      <c r="H7" s="5" t="inlineStr">
        <is>
          <t>技能點參考</t>
        </is>
      </c>
      <c r="I7" s="8">
        <f>(I5+K5)*2</f>
        <v/>
      </c>
      <c r="J7" s="9" t="n"/>
      <c r="K7" s="10" t="n"/>
    </row>
    <row r="8">
      <c r="A8" s="3" t="inlineStr">
        <is>
          <t>技能等級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10" t="n"/>
    </row>
    <row r="9">
      <c r="A9" s="5" t="inlineStr">
        <is>
          <t>槍械</t>
        </is>
      </c>
      <c r="B9" s="6" t="n">
        <v>4</v>
      </c>
      <c r="C9" s="10" t="n"/>
    </row>
    <row r="10">
      <c r="A10" s="5" t="inlineStr">
        <is>
          <t>近戰</t>
        </is>
      </c>
      <c r="B10" s="6" t="n">
        <v>3</v>
      </c>
      <c r="C10" s="10" t="n"/>
    </row>
    <row r="11">
      <c r="A11" s="5" t="inlineStr">
        <is>
          <t>察覺</t>
        </is>
      </c>
      <c r="B11" s="6" t="n">
        <v>3</v>
      </c>
      <c r="C11" s="10" t="n"/>
    </row>
    <row r="12">
      <c r="A12" s="5" t="inlineStr">
        <is>
          <t>意志</t>
        </is>
      </c>
      <c r="B12" s="6" t="n">
        <v>3</v>
      </c>
      <c r="C12" s="10" t="n"/>
    </row>
    <row r="13">
      <c r="A13" s="5" t="inlineStr">
        <is>
          <t>威嚇</t>
        </is>
      </c>
      <c r="B13" s="6" t="n">
        <v>3</v>
      </c>
      <c r="C13" s="10" t="n"/>
    </row>
    <row r="14">
      <c r="A14" s="3" t="inlineStr">
        <is>
          <t>七部位 HP（自動計算）</t>
        </is>
      </c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10" t="n"/>
    </row>
    <row r="15">
      <c r="A15" s="5" t="inlineStr">
        <is>
          <t>部位</t>
        </is>
      </c>
      <c r="B15" s="6" t="inlineStr">
        <is>
          <t>最大HP</t>
        </is>
      </c>
      <c r="C15" s="5" t="inlineStr">
        <is>
          <t>當前HP</t>
        </is>
      </c>
      <c r="D15" s="6" t="inlineStr"/>
      <c r="E15" s="5" t="inlineStr">
        <is>
          <t>DR</t>
        </is>
      </c>
      <c r="F15" s="5" t="inlineStr">
        <is>
          <t>DR</t>
        </is>
      </c>
      <c r="G15" s="5" t="inlineStr">
        <is>
          <t>DR</t>
        </is>
      </c>
      <c r="H15" s="6" t="inlineStr"/>
      <c r="I15" s="5" t="inlineStr">
        <is>
          <t>受傷效果</t>
        </is>
      </c>
      <c r="J15" s="6" t="inlineStr"/>
      <c r="K15" s="10" t="n"/>
    </row>
    <row r="16">
      <c r="A16" s="5" t="inlineStr">
        <is>
          <t>頭部</t>
        </is>
      </c>
      <c r="B16" s="8">
        <f>C5+6</f>
        <v/>
      </c>
      <c r="C16" s="5" t="inlineStr"/>
      <c r="D16" s="6" t="inlineStr"/>
      <c r="E16" s="5" t="inlineStr"/>
      <c r="F16" s="6" t="inlineStr"/>
      <c r="G16" s="11" t="inlineStr">
        <is>
          <t>DR</t>
        </is>
      </c>
      <c r="H16" s="12" t="inlineStr">
        <is>
          <t>頭盔</t>
        </is>
      </c>
      <c r="I16" s="5" t="inlineStr">
        <is>
          <t>歸零=即死</t>
        </is>
      </c>
      <c r="J16" s="6" t="inlineStr">
        <is>
          <t>歸零=即死</t>
        </is>
      </c>
      <c r="K16" s="10" t="n"/>
    </row>
    <row r="17">
      <c r="A17" s="5" t="inlineStr">
        <is>
          <t>胸部</t>
        </is>
      </c>
      <c r="B17" s="8">
        <f>C5*2+10</f>
        <v/>
      </c>
      <c r="C17" s="5" t="inlineStr"/>
      <c r="D17" s="6" t="inlineStr"/>
      <c r="E17" s="5" t="inlineStr"/>
      <c r="F17" s="6" t="inlineStr"/>
      <c r="G17" s="11" t="inlineStr">
        <is>
          <t>DR</t>
        </is>
      </c>
      <c r="H17" s="12" t="inlineStr">
        <is>
          <t>防彈衣+背心</t>
        </is>
      </c>
      <c r="I17" s="5" t="inlineStr">
        <is>
          <t>歸零=瀕死(膽魄TN14/回合)</t>
        </is>
      </c>
      <c r="J17" s="6" t="inlineStr">
        <is>
          <t>歸零=瀕死(膽魄TN14/回合)</t>
        </is>
      </c>
      <c r="K17" s="10" t="n"/>
    </row>
    <row r="18">
      <c r="A18" s="5" t="inlineStr">
        <is>
          <t>腹部</t>
        </is>
      </c>
      <c r="B18" s="8">
        <f>C5+8</f>
        <v/>
      </c>
      <c r="C18" s="5" t="inlineStr"/>
      <c r="D18" s="6" t="inlineStr"/>
      <c r="E18" s="5" t="inlineStr"/>
      <c r="F18" s="6" t="inlineStr"/>
      <c r="G18" s="11" t="inlineStr">
        <is>
          <t>DR</t>
        </is>
      </c>
      <c r="H18" s="12" t="inlineStr">
        <is>
          <t>防彈衣+背心</t>
        </is>
      </c>
      <c r="I18" s="5" t="inlineStr">
        <is>
          <t>歸零=內出血(1HP/分)</t>
        </is>
      </c>
      <c r="J18" s="6" t="inlineStr">
        <is>
          <t>歸零=內出血(1HP/分)</t>
        </is>
      </c>
      <c r="K18" s="10" t="n"/>
    </row>
    <row r="19">
      <c r="A19" s="5" t="inlineStr">
        <is>
          <t>左臂</t>
        </is>
      </c>
      <c r="B19" s="8">
        <f>C5+4</f>
        <v/>
      </c>
      <c r="C19" s="5" t="inlineStr"/>
      <c r="D19" s="6" t="inlineStr"/>
      <c r="E19" s="5" t="inlineStr"/>
      <c r="F19" s="6" t="inlineStr"/>
      <c r="G19" s="11" t="inlineStr">
        <is>
          <t>DR</t>
        </is>
      </c>
      <c r="H19" s="12" t="inlineStr">
        <is>
          <t>手套</t>
        </is>
      </c>
      <c r="I19" s="5" t="inlineStr">
        <is>
          <t>歸零=永久失能</t>
        </is>
      </c>
      <c r="J19" s="6" t="inlineStr">
        <is>
          <t>歸零=永久失能</t>
        </is>
      </c>
      <c r="K19" s="10" t="n"/>
    </row>
    <row r="20">
      <c r="A20" s="5" t="inlineStr">
        <is>
          <t>右臂</t>
        </is>
      </c>
      <c r="B20" s="8">
        <f>C5+4</f>
        <v/>
      </c>
      <c r="C20" s="5" t="inlineStr"/>
      <c r="D20" s="6" t="inlineStr"/>
      <c r="E20" s="5" t="inlineStr"/>
      <c r="F20" s="6" t="inlineStr"/>
      <c r="G20" s="11" t="inlineStr">
        <is>
          <t>DR</t>
        </is>
      </c>
      <c r="H20" s="12" t="inlineStr">
        <is>
          <t>手套</t>
        </is>
      </c>
      <c r="I20" s="5" t="inlineStr">
        <is>
          <t>歸零=永久失能</t>
        </is>
      </c>
      <c r="J20" s="6" t="inlineStr">
        <is>
          <t>歸零=永久失能</t>
        </is>
      </c>
      <c r="K20" s="10" t="n"/>
    </row>
    <row r="21">
      <c r="A21" s="5" t="inlineStr">
        <is>
          <t>左腿</t>
        </is>
      </c>
      <c r="B21" s="8">
        <f>C5+5</f>
        <v/>
      </c>
      <c r="C21" s="5" t="inlineStr"/>
      <c r="D21" s="6" t="inlineStr"/>
      <c r="E21" s="5" t="inlineStr"/>
      <c r="F21" s="6" t="inlineStr"/>
      <c r="G21" s="11" t="inlineStr">
        <is>
          <t>DR</t>
        </is>
      </c>
      <c r="H21" s="12" t="inlineStr">
        <is>
          <t>軍靴</t>
        </is>
      </c>
      <c r="I21" s="5" t="inlineStr">
        <is>
          <t>歸零=倒地,不可行走</t>
        </is>
      </c>
      <c r="J21" s="6" t="inlineStr">
        <is>
          <t>歸零=倒地,不可行走</t>
        </is>
      </c>
      <c r="K21" s="10" t="n"/>
    </row>
    <row r="22">
      <c r="A22" s="5" t="inlineStr">
        <is>
          <t>右腿</t>
        </is>
      </c>
      <c r="B22" s="8">
        <f>C5+5</f>
        <v/>
      </c>
      <c r="C22" s="5" t="inlineStr"/>
      <c r="D22" s="6" t="inlineStr"/>
      <c r="E22" s="5" t="inlineStr"/>
      <c r="F22" s="6" t="inlineStr"/>
      <c r="G22" s="11" t="inlineStr">
        <is>
          <t>DR</t>
        </is>
      </c>
      <c r="H22" s="12" t="inlineStr">
        <is>
          <t>軍靴</t>
        </is>
      </c>
      <c r="I22" s="5" t="inlineStr">
        <is>
          <t>歸零=倒地,不可行走</t>
        </is>
      </c>
      <c r="J22" s="6" t="inlineStr">
        <is>
          <t>歸零=倒地,不可行走</t>
        </is>
      </c>
      <c r="K22" s="10" t="n"/>
    </row>
    <row r="23">
      <c r="A23" s="3" t="inlineStr">
        <is>
          <t>戰鬥數據</t>
        </is>
      </c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10" t="n"/>
    </row>
    <row r="24">
      <c r="A24" s="6" t="inlineStr">
        <is>
          <t>主攻擊: 特戰步槍 2d6全自動 消音低後座力 中-遠距</t>
        </is>
      </c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10" t="n"/>
    </row>
    <row r="25">
      <c r="C25" s="2" t="n"/>
    </row>
    <row r="26">
      <c r="D26" s="2" t="n"/>
    </row>
    <row r="27">
      <c r="E27" s="2" t="n"/>
    </row>
    <row r="28">
      <c r="F28" s="2" t="n"/>
    </row>
    <row r="29">
      <c r="G29" s="2" t="n"/>
    </row>
    <row r="30">
      <c r="H30" s="2" t="n"/>
    </row>
    <row r="31">
      <c r="I31" s="2" t="n"/>
    </row>
    <row r="32">
      <c r="J32" s="2" t="n"/>
    </row>
    <row r="33">
      <c r="K33" s="2" t="n"/>
    </row>
    <row r="34">
      <c r="A34" s="6" t="inlineStr">
        <is>
          <t>副攻擊: 電擊棒 1d4+暈眩 近接</t>
        </is>
      </c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10" t="n"/>
    </row>
    <row r="35">
      <c r="C35" s="2" t="n"/>
    </row>
    <row r="36">
      <c r="D36" s="2" t="n"/>
    </row>
    <row r="37">
      <c r="E37" s="2" t="n"/>
    </row>
    <row r="38">
      <c r="F38" s="2" t="n"/>
    </row>
    <row r="39">
      <c r="G39" s="2" t="n"/>
    </row>
    <row r="40">
      <c r="H40" s="2" t="n"/>
    </row>
    <row r="41">
      <c r="I41" s="2" t="n"/>
    </row>
    <row r="42">
      <c r="J42" s="2" t="n"/>
    </row>
    <row r="43">
      <c r="K43" s="2" t="n"/>
    </row>
    <row r="44">
      <c r="A44" s="6" t="inlineStr">
        <is>
          <t>防具/DR: 頭DR1(特戰),全身DR1(陶瓷板)</t>
        </is>
      </c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10" t="n"/>
    </row>
    <row r="45">
      <c r="C45" s="2" t="n"/>
    </row>
    <row r="46">
      <c r="D46" s="2" t="n"/>
    </row>
    <row r="47">
      <c r="E47" s="2" t="n"/>
    </row>
    <row r="48">
      <c r="F48" s="2" t="n"/>
    </row>
    <row r="49">
      <c r="G49" s="2" t="n"/>
    </row>
    <row r="50">
      <c r="H50" s="2" t="n"/>
    </row>
    <row r="51">
      <c r="I51" s="2" t="n"/>
    </row>
    <row r="52">
      <c r="J52" s="2" t="n"/>
    </row>
    <row r="53">
      <c r="K53" s="2" t="n"/>
    </row>
    <row r="54">
      <c r="A54" s="6" t="inlineStr">
        <is>
          <t>特殊能力: 戰術協調: 與其他衛兵同時攻擊時命中+1</t>
        </is>
      </c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10" t="n"/>
    </row>
    <row r="55">
      <c r="C55" s="2" t="n"/>
    </row>
    <row r="56">
      <c r="D56" s="2" t="n"/>
    </row>
    <row r="57">
      <c r="E57" s="2" t="n"/>
    </row>
    <row r="58">
      <c r="F58" s="2" t="n"/>
    </row>
    <row r="59">
      <c r="G59" s="2" t="n"/>
    </row>
    <row r="60">
      <c r="H60" s="2" t="n"/>
    </row>
    <row r="61">
      <c r="I61" s="2" t="n"/>
    </row>
    <row r="62">
      <c r="J62" s="2" t="n"/>
    </row>
    <row r="63">
      <c r="K63" s="2" t="n"/>
    </row>
    <row r="64">
      <c r="A64" s="6" t="inlineStr">
        <is>
          <t>行為模式: 精英部隊; 高紀律; 不輕易撤退</t>
        </is>
      </c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10" t="n"/>
    </row>
    <row r="65">
      <c r="C65" s="2" t="n"/>
    </row>
    <row r="66">
      <c r="D66" s="2" t="n"/>
    </row>
    <row r="67">
      <c r="E67" s="2" t="n"/>
    </row>
    <row r="68">
      <c r="F68" s="2" t="n"/>
    </row>
    <row r="69">
      <c r="G69" s="2" t="n"/>
    </row>
    <row r="70">
      <c r="H70" s="2" t="n"/>
    </row>
    <row r="71">
      <c r="I71" s="2" t="n"/>
    </row>
    <row r="72">
      <c r="J72" s="2" t="n"/>
    </row>
    <row r="73">
      <c r="K73" s="2" t="n"/>
    </row>
    <row r="74">
      <c r="A74" s="6" t="inlineStr">
        <is>
          <t>戰利品: 特戰步槍(金)+陶瓷板(紫)</t>
        </is>
      </c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10" t="n"/>
    </row>
    <row r="75">
      <c r="C75" s="2" t="n"/>
    </row>
    <row r="76">
      <c r="D76" s="2" t="n"/>
    </row>
    <row r="77">
      <c r="E77" s="2" t="n"/>
    </row>
    <row r="78">
      <c r="F78" s="2" t="n"/>
    </row>
    <row r="79">
      <c r="G79" s="2" t="n"/>
    </row>
    <row r="80">
      <c r="H80" s="2" t="n"/>
    </row>
    <row r="81">
      <c r="I81" s="2" t="n"/>
    </row>
    <row r="82">
      <c r="J82" s="2" t="n"/>
    </row>
    <row r="83">
      <c r="K83" s="2" t="n"/>
    </row>
  </sheetData>
  <mergeCells count="120">
    <mergeCell ref="A64:K64"/>
    <mergeCell ref="H3"/>
    <mergeCell ref="A24:K24"/>
    <mergeCell ref="J19:K19"/>
    <mergeCell ref="B20"/>
    <mergeCell ref="E16"/>
    <mergeCell ref="G16"/>
    <mergeCell ref="B12:C12"/>
    <mergeCell ref="C18"/>
    <mergeCell ref="E18"/>
    <mergeCell ref="A54:K54"/>
    <mergeCell ref="H20"/>
    <mergeCell ref="E7:G7"/>
    <mergeCell ref="B13:C13"/>
    <mergeCell ref="G17"/>
    <mergeCell ref="F21"/>
    <mergeCell ref="A2:K2"/>
    <mergeCell ref="H21"/>
    <mergeCell ref="E19"/>
    <mergeCell ref="G19"/>
    <mergeCell ref="I22"/>
    <mergeCell ref="J21:K21"/>
    <mergeCell ref="B17"/>
    <mergeCell ref="D17"/>
    <mergeCell ref="A3"/>
    <mergeCell ref="I21"/>
    <mergeCell ref="H7"/>
    <mergeCell ref="H16"/>
    <mergeCell ref="B19"/>
    <mergeCell ref="A5"/>
    <mergeCell ref="D3"/>
    <mergeCell ref="B3:C3"/>
    <mergeCell ref="A13"/>
    <mergeCell ref="B11:C11"/>
    <mergeCell ref="D20"/>
    <mergeCell ref="A15"/>
    <mergeCell ref="C15"/>
    <mergeCell ref="B22"/>
    <mergeCell ref="D22"/>
    <mergeCell ref="A74:K74"/>
    <mergeCell ref="J20:K20"/>
    <mergeCell ref="E17"/>
    <mergeCell ref="B21"/>
    <mergeCell ref="D21"/>
    <mergeCell ref="A7"/>
    <mergeCell ref="F15"/>
    <mergeCell ref="A16"/>
    <mergeCell ref="C16"/>
    <mergeCell ref="J22:K22"/>
    <mergeCell ref="A8:K8"/>
    <mergeCell ref="G18"/>
    <mergeCell ref="I18"/>
    <mergeCell ref="A18"/>
    <mergeCell ref="D7"/>
    <mergeCell ref="D16"/>
    <mergeCell ref="G5"/>
    <mergeCell ref="I5"/>
    <mergeCell ref="A34:K34"/>
    <mergeCell ref="A22"/>
    <mergeCell ref="D18"/>
    <mergeCell ref="B7:C7"/>
    <mergeCell ref="G20"/>
    <mergeCell ref="I20"/>
    <mergeCell ref="A20"/>
    <mergeCell ref="H15"/>
    <mergeCell ref="I3:K3"/>
    <mergeCell ref="A1:K1"/>
    <mergeCell ref="H18"/>
    <mergeCell ref="E22"/>
    <mergeCell ref="G22"/>
    <mergeCell ref="E21"/>
    <mergeCell ref="G21"/>
    <mergeCell ref="I15"/>
    <mergeCell ref="D19"/>
    <mergeCell ref="F19"/>
    <mergeCell ref="F16"/>
    <mergeCell ref="J16:K16"/>
    <mergeCell ref="F20"/>
    <mergeCell ref="I16"/>
    <mergeCell ref="B9:C9"/>
    <mergeCell ref="A14:K14"/>
    <mergeCell ref="A23:K23"/>
    <mergeCell ref="A4:K4"/>
    <mergeCell ref="H19"/>
    <mergeCell ref="I7:K7"/>
    <mergeCell ref="I17"/>
    <mergeCell ref="A17"/>
    <mergeCell ref="C17"/>
    <mergeCell ref="B15"/>
    <mergeCell ref="D15"/>
    <mergeCell ref="A10"/>
    <mergeCell ref="I19"/>
    <mergeCell ref="A19"/>
    <mergeCell ref="C19"/>
    <mergeCell ref="A6:K6"/>
    <mergeCell ref="A9"/>
    <mergeCell ref="J15:K15"/>
    <mergeCell ref="B16"/>
    <mergeCell ref="A11"/>
    <mergeCell ref="C5"/>
    <mergeCell ref="E5"/>
    <mergeCell ref="B18"/>
    <mergeCell ref="C20"/>
    <mergeCell ref="E20"/>
    <mergeCell ref="B10:C10"/>
    <mergeCell ref="E3:G3"/>
    <mergeCell ref="H22"/>
    <mergeCell ref="C22"/>
    <mergeCell ref="F18"/>
    <mergeCell ref="A12"/>
    <mergeCell ref="F17"/>
    <mergeCell ref="A21"/>
    <mergeCell ref="H17"/>
    <mergeCell ref="C21"/>
    <mergeCell ref="E15"/>
    <mergeCell ref="J18:K18"/>
    <mergeCell ref="G15"/>
    <mergeCell ref="A44:K44"/>
    <mergeCell ref="F22"/>
    <mergeCell ref="J17:K1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敵人數據卡 - 鐵腕維克托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10" t="n"/>
    </row>
    <row r="2">
      <c r="A2" s="3" t="inlineStr">
        <is>
          <t>基本資訊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10" t="n"/>
    </row>
    <row r="3">
      <c r="A3" s="5" t="inlineStr">
        <is>
          <t>敵人名稱</t>
        </is>
      </c>
      <c r="B3" s="6" t="inlineStr">
        <is>
          <t>鐵腕維克托</t>
        </is>
      </c>
      <c r="C3" s="10" t="n"/>
      <c r="D3" s="5" t="inlineStr">
        <is>
          <t>出場劇本</t>
        </is>
      </c>
      <c r="E3" s="6" t="inlineStr">
        <is>
          <t>劇本七</t>
        </is>
      </c>
      <c r="F3" s="9" t="n"/>
      <c r="G3" s="10" t="n"/>
      <c r="H3" s="5" t="inlineStr">
        <is>
          <t>威脅值</t>
        </is>
      </c>
      <c r="I3" s="6" t="n">
        <v>13</v>
      </c>
      <c r="J3" s="9" t="n"/>
      <c r="K3" s="10" t="n"/>
    </row>
    <row r="4">
      <c r="A4" s="3" t="inlineStr">
        <is>
          <t>五大屬性 [數值已輸入,修改黃色格]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10" t="n"/>
    </row>
    <row r="5">
      <c r="A5" s="5" t="inlineStr">
        <is>
          <t>體魄PHY</t>
        </is>
      </c>
      <c r="B5" s="7" t="n">
        <v>8</v>
      </c>
      <c r="C5" s="5" t="inlineStr">
        <is>
          <t>精準PRC</t>
        </is>
      </c>
      <c r="D5" s="7" t="n">
        <v>6</v>
      </c>
      <c r="E5" s="5" t="inlineStr">
        <is>
          <t>感知PER</t>
        </is>
      </c>
      <c r="F5" s="7" t="n">
        <v>5</v>
      </c>
      <c r="G5" s="5" t="inlineStr">
        <is>
          <t>技術TEC</t>
        </is>
      </c>
      <c r="H5" s="7" t="n">
        <v>5</v>
      </c>
      <c r="I5" s="5" t="inlineStr">
        <is>
          <t>膽魄CRG</t>
        </is>
      </c>
      <c r="J5" s="7" t="n">
        <v>8</v>
      </c>
    </row>
    <row r="6">
      <c r="A6" s="3" t="inlineStr">
        <is>
          <t>衍生屬性（自動計算）</t>
        </is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10" t="n"/>
    </row>
    <row r="7">
      <c r="A7" s="5" t="inlineStr">
        <is>
          <t>先攻值</t>
        </is>
      </c>
      <c r="B7" s="8">
        <f>G5+E5</f>
        <v/>
      </c>
      <c r="C7" s="10" t="n"/>
      <c r="D7" s="5" t="inlineStr">
        <is>
          <t>負重上限kg</t>
        </is>
      </c>
      <c r="E7" s="8">
        <f>C5*5</f>
        <v/>
      </c>
      <c r="F7" s="9" t="n"/>
      <c r="G7" s="10" t="n"/>
      <c r="H7" s="5" t="inlineStr">
        <is>
          <t>技能點參考</t>
        </is>
      </c>
      <c r="I7" s="8">
        <f>(I5+K5)*2</f>
        <v/>
      </c>
      <c r="J7" s="9" t="n"/>
      <c r="K7" s="10" t="n"/>
    </row>
    <row r="8">
      <c r="A8" s="3" t="inlineStr">
        <is>
          <t>技能等級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10" t="n"/>
    </row>
    <row r="9">
      <c r="A9" s="5" t="inlineStr">
        <is>
          <t>重型</t>
        </is>
      </c>
      <c r="B9" s="6" t="n">
        <v>5</v>
      </c>
      <c r="C9" s="10" t="n"/>
    </row>
    <row r="10">
      <c r="A10" s="5" t="inlineStr">
        <is>
          <t>近戰</t>
        </is>
      </c>
      <c r="B10" s="6" t="n">
        <v>4</v>
      </c>
      <c r="C10" s="10" t="n"/>
    </row>
    <row r="11">
      <c r="A11" s="5" t="inlineStr">
        <is>
          <t>領導</t>
        </is>
      </c>
      <c r="B11" s="6" t="n">
        <v>4</v>
      </c>
      <c r="C11" s="10" t="n"/>
    </row>
    <row r="12">
      <c r="A12" s="5" t="inlineStr">
        <is>
          <t>意志</t>
        </is>
      </c>
      <c r="B12" s="6" t="n">
        <v>4</v>
      </c>
      <c r="C12" s="10" t="n"/>
    </row>
    <row r="13">
      <c r="A13" s="5" t="inlineStr">
        <is>
          <t>威嚇</t>
        </is>
      </c>
      <c r="B13" s="6" t="n">
        <v>4</v>
      </c>
      <c r="C13" s="10" t="n"/>
    </row>
    <row r="14">
      <c r="A14" s="3" t="inlineStr">
        <is>
          <t>七部位 HP（自動計算）</t>
        </is>
      </c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10" t="n"/>
    </row>
    <row r="15">
      <c r="A15" s="5" t="inlineStr">
        <is>
          <t>部位</t>
        </is>
      </c>
      <c r="B15" s="6" t="inlineStr">
        <is>
          <t>最大HP</t>
        </is>
      </c>
      <c r="C15" s="5" t="inlineStr">
        <is>
          <t>當前HP</t>
        </is>
      </c>
      <c r="D15" s="6" t="inlineStr"/>
      <c r="E15" s="5" t="inlineStr">
        <is>
          <t>DR</t>
        </is>
      </c>
      <c r="F15" s="5" t="inlineStr">
        <is>
          <t>DR</t>
        </is>
      </c>
      <c r="G15" s="5" t="inlineStr">
        <is>
          <t>DR</t>
        </is>
      </c>
      <c r="H15" s="6" t="inlineStr"/>
      <c r="I15" s="5" t="inlineStr">
        <is>
          <t>受傷效果</t>
        </is>
      </c>
      <c r="J15" s="6" t="inlineStr"/>
      <c r="K15" s="10" t="n"/>
    </row>
    <row r="16">
      <c r="A16" s="5" t="inlineStr">
        <is>
          <t>頭部</t>
        </is>
      </c>
      <c r="B16" s="8">
        <f>C5+6</f>
        <v/>
      </c>
      <c r="C16" s="5" t="inlineStr"/>
      <c r="D16" s="6" t="inlineStr"/>
      <c r="E16" s="5" t="inlineStr"/>
      <c r="F16" s="6" t="inlineStr"/>
      <c r="G16" s="11" t="inlineStr">
        <is>
          <t>DR</t>
        </is>
      </c>
      <c r="H16" s="12" t="inlineStr">
        <is>
          <t>頭盔</t>
        </is>
      </c>
      <c r="I16" s="5" t="inlineStr">
        <is>
          <t>歸零=即死</t>
        </is>
      </c>
      <c r="J16" s="6" t="inlineStr">
        <is>
          <t>歸零=即死</t>
        </is>
      </c>
      <c r="K16" s="10" t="n"/>
    </row>
    <row r="17">
      <c r="A17" s="5" t="inlineStr">
        <is>
          <t>胸部</t>
        </is>
      </c>
      <c r="B17" s="8">
        <f>C5*2+10</f>
        <v/>
      </c>
      <c r="C17" s="5" t="inlineStr"/>
      <c r="D17" s="6" t="inlineStr"/>
      <c r="E17" s="5" t="inlineStr"/>
      <c r="F17" s="6" t="inlineStr"/>
      <c r="G17" s="11" t="inlineStr">
        <is>
          <t>DR</t>
        </is>
      </c>
      <c r="H17" s="12" t="inlineStr">
        <is>
          <t>防彈衣+背心</t>
        </is>
      </c>
      <c r="I17" s="5" t="inlineStr">
        <is>
          <t>歸零=瀕死(膽魄TN14/回合)</t>
        </is>
      </c>
      <c r="J17" s="6" t="inlineStr">
        <is>
          <t>歸零=瀕死(膽魄TN14/回合)</t>
        </is>
      </c>
      <c r="K17" s="10" t="n"/>
    </row>
    <row r="18">
      <c r="A18" s="5" t="inlineStr">
        <is>
          <t>腹部</t>
        </is>
      </c>
      <c r="B18" s="8">
        <f>C5+8</f>
        <v/>
      </c>
      <c r="C18" s="5" t="inlineStr"/>
      <c r="D18" s="6" t="inlineStr"/>
      <c r="E18" s="5" t="inlineStr"/>
      <c r="F18" s="6" t="inlineStr"/>
      <c r="G18" s="11" t="inlineStr">
        <is>
          <t>DR</t>
        </is>
      </c>
      <c r="H18" s="12" t="inlineStr">
        <is>
          <t>防彈衣+背心</t>
        </is>
      </c>
      <c r="I18" s="5" t="inlineStr">
        <is>
          <t>歸零=內出血(1HP/分)</t>
        </is>
      </c>
      <c r="J18" s="6" t="inlineStr">
        <is>
          <t>歸零=內出血(1HP/分)</t>
        </is>
      </c>
      <c r="K18" s="10" t="n"/>
    </row>
    <row r="19">
      <c r="A19" s="5" t="inlineStr">
        <is>
          <t>左臂</t>
        </is>
      </c>
      <c r="B19" s="8">
        <f>C5+4</f>
        <v/>
      </c>
      <c r="C19" s="5" t="inlineStr"/>
      <c r="D19" s="6" t="inlineStr"/>
      <c r="E19" s="5" t="inlineStr"/>
      <c r="F19" s="6" t="inlineStr"/>
      <c r="G19" s="11" t="inlineStr">
        <is>
          <t>DR</t>
        </is>
      </c>
      <c r="H19" s="12" t="inlineStr">
        <is>
          <t>手套</t>
        </is>
      </c>
      <c r="I19" s="5" t="inlineStr">
        <is>
          <t>歸零=永久失能</t>
        </is>
      </c>
      <c r="J19" s="6" t="inlineStr">
        <is>
          <t>歸零=永久失能</t>
        </is>
      </c>
      <c r="K19" s="10" t="n"/>
    </row>
    <row r="20">
      <c r="A20" s="5" t="inlineStr">
        <is>
          <t>右臂</t>
        </is>
      </c>
      <c r="B20" s="8">
        <f>C5+4</f>
        <v/>
      </c>
      <c r="C20" s="5" t="inlineStr"/>
      <c r="D20" s="6" t="inlineStr"/>
      <c r="E20" s="5" t="inlineStr"/>
      <c r="F20" s="6" t="inlineStr"/>
      <c r="G20" s="11" t="inlineStr">
        <is>
          <t>DR</t>
        </is>
      </c>
      <c r="H20" s="12" t="inlineStr">
        <is>
          <t>手套</t>
        </is>
      </c>
      <c r="I20" s="5" t="inlineStr">
        <is>
          <t>歸零=永久失能</t>
        </is>
      </c>
      <c r="J20" s="6" t="inlineStr">
        <is>
          <t>歸零=永久失能</t>
        </is>
      </c>
      <c r="K20" s="10" t="n"/>
    </row>
    <row r="21">
      <c r="A21" s="5" t="inlineStr">
        <is>
          <t>左腿</t>
        </is>
      </c>
      <c r="B21" s="8">
        <f>C5+5</f>
        <v/>
      </c>
      <c r="C21" s="5" t="inlineStr"/>
      <c r="D21" s="6" t="inlineStr"/>
      <c r="E21" s="5" t="inlineStr"/>
      <c r="F21" s="6" t="inlineStr"/>
      <c r="G21" s="11" t="inlineStr">
        <is>
          <t>DR</t>
        </is>
      </c>
      <c r="H21" s="12" t="inlineStr">
        <is>
          <t>軍靴</t>
        </is>
      </c>
      <c r="I21" s="5" t="inlineStr">
        <is>
          <t>歸零=倒地,不可行走</t>
        </is>
      </c>
      <c r="J21" s="6" t="inlineStr">
        <is>
          <t>歸零=倒地,不可行走</t>
        </is>
      </c>
      <c r="K21" s="10" t="n"/>
    </row>
    <row r="22">
      <c r="A22" s="5" t="inlineStr">
        <is>
          <t>右腿</t>
        </is>
      </c>
      <c r="B22" s="8">
        <f>C5+5</f>
        <v/>
      </c>
      <c r="C22" s="5" t="inlineStr"/>
      <c r="D22" s="6" t="inlineStr"/>
      <c r="E22" s="5" t="inlineStr"/>
      <c r="F22" s="6" t="inlineStr"/>
      <c r="G22" s="11" t="inlineStr">
        <is>
          <t>DR</t>
        </is>
      </c>
      <c r="H22" s="12" t="inlineStr">
        <is>
          <t>軍靴</t>
        </is>
      </c>
      <c r="I22" s="5" t="inlineStr">
        <is>
          <t>歸零=倒地,不可行走</t>
        </is>
      </c>
      <c r="J22" s="6" t="inlineStr">
        <is>
          <t>歸零=倒地,不可行走</t>
        </is>
      </c>
      <c r="K22" s="10" t="n"/>
    </row>
    <row r="23">
      <c r="A23" s="3" t="inlineStr">
        <is>
          <t>戰鬥數據</t>
        </is>
      </c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10" t="n"/>
    </row>
    <row r="24">
      <c r="A24" s="6" t="inlineStr">
        <is>
          <t>主攻擊: 重型機槍 2d6全自動穿甲2 中-遠距</t>
        </is>
      </c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10" t="n"/>
    </row>
    <row r="25">
      <c r="C25" s="2" t="n"/>
    </row>
    <row r="26">
      <c r="D26" s="2" t="n"/>
    </row>
    <row r="27">
      <c r="E27" s="2" t="n"/>
    </row>
    <row r="28">
      <c r="F28" s="2" t="n"/>
    </row>
    <row r="29">
      <c r="G29" s="2" t="n"/>
    </row>
    <row r="30">
      <c r="H30" s="2" t="n"/>
    </row>
    <row r="31">
      <c r="I31" s="2" t="n"/>
    </row>
    <row r="32">
      <c r="J32" s="2" t="n"/>
    </row>
    <row r="33">
      <c r="K33" s="2" t="n"/>
    </row>
    <row r="34">
      <c r="A34" s="6" t="inlineStr">
        <is>
          <t>副攻擊: 原型震盪錘 2d6+8 近接+範圍震盪波</t>
        </is>
      </c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10" t="n"/>
    </row>
    <row r="35">
      <c r="C35" s="2" t="n"/>
    </row>
    <row r="36">
      <c r="D36" s="2" t="n"/>
    </row>
    <row r="37">
      <c r="E37" s="2" t="n"/>
    </row>
    <row r="38">
      <c r="F38" s="2" t="n"/>
    </row>
    <row r="39">
      <c r="G39" s="2" t="n"/>
    </row>
    <row r="40">
      <c r="H40" s="2" t="n"/>
    </row>
    <row r="41">
      <c r="I41" s="2" t="n"/>
    </row>
    <row r="42">
      <c r="J42" s="2" t="n"/>
    </row>
    <row r="43">
      <c r="K43" s="2" t="n"/>
    </row>
    <row r="44">
      <c r="A44" s="6" t="inlineStr">
        <is>
          <t>防具/DR: 頭DR1(特戰),全身DR1(全身重甲)</t>
        </is>
      </c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10" t="n"/>
    </row>
    <row r="45">
      <c r="C45" s="2" t="n"/>
    </row>
    <row r="46">
      <c r="D46" s="2" t="n"/>
    </row>
    <row r="47">
      <c r="E47" s="2" t="n"/>
    </row>
    <row r="48">
      <c r="F48" s="2" t="n"/>
    </row>
    <row r="49">
      <c r="G49" s="2" t="n"/>
    </row>
    <row r="50">
      <c r="H50" s="2" t="n"/>
    </row>
    <row r="51">
      <c r="I51" s="2" t="n"/>
    </row>
    <row r="52">
      <c r="J52" s="2" t="n"/>
    </row>
    <row r="53">
      <c r="K53" s="2" t="n"/>
    </row>
    <row r="54">
      <c r="A54" s="6" t="inlineStr">
        <is>
          <t>特殊能力: 兩階段: (1)HP&gt;50%機槍壓制; (2)HP&lt;50%震盪錘+每回合震盪波3m</t>
        </is>
      </c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10" t="n"/>
    </row>
    <row r="55">
      <c r="C55" s="2" t="n"/>
    </row>
    <row r="56">
      <c r="D56" s="2" t="n"/>
    </row>
    <row r="57">
      <c r="E57" s="2" t="n"/>
    </row>
    <row r="58">
      <c r="F58" s="2" t="n"/>
    </row>
    <row r="59">
      <c r="G59" s="2" t="n"/>
    </row>
    <row r="60">
      <c r="H60" s="2" t="n"/>
    </row>
    <row r="61">
      <c r="I61" s="2" t="n"/>
    </row>
    <row r="62">
      <c r="J62" s="2" t="n"/>
    </row>
    <row r="63">
      <c r="K63" s="2" t="n"/>
    </row>
    <row r="64">
      <c r="A64" s="6" t="inlineStr">
        <is>
          <t>行為模式: 兄弟會區域指揮官; 不撤退; 戰鬥至死</t>
        </is>
      </c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10" t="n"/>
    </row>
    <row r="65">
      <c r="C65" s="2" t="n"/>
    </row>
    <row r="66">
      <c r="D66" s="2" t="n"/>
    </row>
    <row r="67">
      <c r="E67" s="2" t="n"/>
    </row>
    <row r="68">
      <c r="F68" s="2" t="n"/>
    </row>
    <row r="69">
      <c r="G69" s="2" t="n"/>
    </row>
    <row r="70">
      <c r="H70" s="2" t="n"/>
    </row>
    <row r="71">
      <c r="I71" s="2" t="n"/>
    </row>
    <row r="72">
      <c r="J72" s="2" t="n"/>
    </row>
    <row r="73">
      <c r="K73" s="2" t="n"/>
    </row>
    <row r="74">
      <c r="A74" s="6" t="inlineStr">
        <is>
          <t>戰利品: 重型機槍(紫)+全身重甲(金)+指揮官徽章(劇情)</t>
        </is>
      </c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10" t="n"/>
    </row>
    <row r="75">
      <c r="C75" s="2" t="n"/>
    </row>
    <row r="76">
      <c r="D76" s="2" t="n"/>
    </row>
    <row r="77">
      <c r="E77" s="2" t="n"/>
    </row>
    <row r="78">
      <c r="F78" s="2" t="n"/>
    </row>
    <row r="79">
      <c r="G79" s="2" t="n"/>
    </row>
    <row r="80">
      <c r="H80" s="2" t="n"/>
    </row>
    <row r="81">
      <c r="I81" s="2" t="n"/>
    </row>
    <row r="82">
      <c r="J82" s="2" t="n"/>
    </row>
    <row r="83">
      <c r="K83" s="2" t="n"/>
    </row>
  </sheetData>
  <mergeCells count="120">
    <mergeCell ref="A64:K64"/>
    <mergeCell ref="H3"/>
    <mergeCell ref="A24:K24"/>
    <mergeCell ref="J19:K19"/>
    <mergeCell ref="B20"/>
    <mergeCell ref="E16"/>
    <mergeCell ref="G16"/>
    <mergeCell ref="B12:C12"/>
    <mergeCell ref="C18"/>
    <mergeCell ref="E18"/>
    <mergeCell ref="A54:K54"/>
    <mergeCell ref="H20"/>
    <mergeCell ref="E7:G7"/>
    <mergeCell ref="B13:C13"/>
    <mergeCell ref="G17"/>
    <mergeCell ref="F21"/>
    <mergeCell ref="A2:K2"/>
    <mergeCell ref="H21"/>
    <mergeCell ref="E19"/>
    <mergeCell ref="G19"/>
    <mergeCell ref="I22"/>
    <mergeCell ref="J21:K21"/>
    <mergeCell ref="B17"/>
    <mergeCell ref="D17"/>
    <mergeCell ref="A3"/>
    <mergeCell ref="I21"/>
    <mergeCell ref="H7"/>
    <mergeCell ref="H16"/>
    <mergeCell ref="B19"/>
    <mergeCell ref="A5"/>
    <mergeCell ref="D3"/>
    <mergeCell ref="B3:C3"/>
    <mergeCell ref="A13"/>
    <mergeCell ref="B11:C11"/>
    <mergeCell ref="D20"/>
    <mergeCell ref="A15"/>
    <mergeCell ref="C15"/>
    <mergeCell ref="B22"/>
    <mergeCell ref="D22"/>
    <mergeCell ref="A74:K74"/>
    <mergeCell ref="J20:K20"/>
    <mergeCell ref="E17"/>
    <mergeCell ref="B21"/>
    <mergeCell ref="D21"/>
    <mergeCell ref="A7"/>
    <mergeCell ref="F15"/>
    <mergeCell ref="A16"/>
    <mergeCell ref="C16"/>
    <mergeCell ref="J22:K22"/>
    <mergeCell ref="A8:K8"/>
    <mergeCell ref="G18"/>
    <mergeCell ref="I18"/>
    <mergeCell ref="A18"/>
    <mergeCell ref="D7"/>
    <mergeCell ref="D16"/>
    <mergeCell ref="G5"/>
    <mergeCell ref="I5"/>
    <mergeCell ref="A34:K34"/>
    <mergeCell ref="A22"/>
    <mergeCell ref="D18"/>
    <mergeCell ref="B7:C7"/>
    <mergeCell ref="G20"/>
    <mergeCell ref="I20"/>
    <mergeCell ref="A20"/>
    <mergeCell ref="H15"/>
    <mergeCell ref="I3:K3"/>
    <mergeCell ref="A1:K1"/>
    <mergeCell ref="H18"/>
    <mergeCell ref="E22"/>
    <mergeCell ref="G22"/>
    <mergeCell ref="E21"/>
    <mergeCell ref="G21"/>
    <mergeCell ref="I15"/>
    <mergeCell ref="D19"/>
    <mergeCell ref="F19"/>
    <mergeCell ref="F16"/>
    <mergeCell ref="J16:K16"/>
    <mergeCell ref="F20"/>
    <mergeCell ref="I16"/>
    <mergeCell ref="B9:C9"/>
    <mergeCell ref="A14:K14"/>
    <mergeCell ref="A23:K23"/>
    <mergeCell ref="A4:K4"/>
    <mergeCell ref="H19"/>
    <mergeCell ref="I7:K7"/>
    <mergeCell ref="I17"/>
    <mergeCell ref="A17"/>
    <mergeCell ref="C17"/>
    <mergeCell ref="B15"/>
    <mergeCell ref="D15"/>
    <mergeCell ref="A10"/>
    <mergeCell ref="I19"/>
    <mergeCell ref="A19"/>
    <mergeCell ref="C19"/>
    <mergeCell ref="A6:K6"/>
    <mergeCell ref="A9"/>
    <mergeCell ref="J15:K15"/>
    <mergeCell ref="B16"/>
    <mergeCell ref="A11"/>
    <mergeCell ref="C5"/>
    <mergeCell ref="E5"/>
    <mergeCell ref="B18"/>
    <mergeCell ref="C20"/>
    <mergeCell ref="E20"/>
    <mergeCell ref="B10:C10"/>
    <mergeCell ref="E3:G3"/>
    <mergeCell ref="H22"/>
    <mergeCell ref="C22"/>
    <mergeCell ref="F18"/>
    <mergeCell ref="A12"/>
    <mergeCell ref="F17"/>
    <mergeCell ref="A21"/>
    <mergeCell ref="H17"/>
    <mergeCell ref="C21"/>
    <mergeCell ref="E15"/>
    <mergeCell ref="J18:K18"/>
    <mergeCell ref="G15"/>
    <mergeCell ref="A44:K44"/>
    <mergeCell ref="F22"/>
    <mergeCell ref="J17:K17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敵人數據卡 - 高階祭司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10" t="n"/>
    </row>
    <row r="2">
      <c r="A2" s="3" t="inlineStr">
        <is>
          <t>基本資訊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10" t="n"/>
    </row>
    <row r="3">
      <c r="A3" s="5" t="inlineStr">
        <is>
          <t>敵人名稱</t>
        </is>
      </c>
      <c r="B3" s="6" t="inlineStr">
        <is>
          <t>高階祭司</t>
        </is>
      </c>
      <c r="C3" s="10" t="n"/>
      <c r="D3" s="5" t="inlineStr">
        <is>
          <t>出場劇本</t>
        </is>
      </c>
      <c r="E3" s="6" t="inlineStr">
        <is>
          <t>劇本八</t>
        </is>
      </c>
      <c r="F3" s="9" t="n"/>
      <c r="G3" s="10" t="n"/>
      <c r="H3" s="5" t="inlineStr">
        <is>
          <t>威脅值</t>
        </is>
      </c>
      <c r="I3" s="6" t="n">
        <v>9</v>
      </c>
      <c r="J3" s="9" t="n"/>
      <c r="K3" s="10" t="n"/>
    </row>
    <row r="4">
      <c r="A4" s="3" t="inlineStr">
        <is>
          <t>五大屬性 [數值已輸入,修改黃色格]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10" t="n"/>
    </row>
    <row r="5">
      <c r="A5" s="5" t="inlineStr">
        <is>
          <t>體魄PHY</t>
        </is>
      </c>
      <c r="B5" s="7" t="n">
        <v>5</v>
      </c>
      <c r="C5" s="5" t="inlineStr">
        <is>
          <t>精準PRC</t>
        </is>
      </c>
      <c r="D5" s="7" t="n">
        <v>3</v>
      </c>
      <c r="E5" s="5" t="inlineStr">
        <is>
          <t>感知PER</t>
        </is>
      </c>
      <c r="F5" s="7" t="n">
        <v>7</v>
      </c>
      <c r="G5" s="5" t="inlineStr">
        <is>
          <t>技術TEC</t>
        </is>
      </c>
      <c r="H5" s="7" t="n">
        <v>6</v>
      </c>
      <c r="I5" s="5" t="inlineStr">
        <is>
          <t>膽魄CRG</t>
        </is>
      </c>
      <c r="J5" s="7" t="n">
        <v>9</v>
      </c>
    </row>
    <row r="6">
      <c r="A6" s="3" t="inlineStr">
        <is>
          <t>衍生屬性（自動計算）</t>
        </is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10" t="n"/>
    </row>
    <row r="7">
      <c r="A7" s="5" t="inlineStr">
        <is>
          <t>先攻值</t>
        </is>
      </c>
      <c r="B7" s="8">
        <f>G5+E5</f>
        <v/>
      </c>
      <c r="C7" s="10" t="n"/>
      <c r="D7" s="5" t="inlineStr">
        <is>
          <t>負重上限kg</t>
        </is>
      </c>
      <c r="E7" s="8">
        <f>C5*5</f>
        <v/>
      </c>
      <c r="F7" s="9" t="n"/>
      <c r="G7" s="10" t="n"/>
      <c r="H7" s="5" t="inlineStr">
        <is>
          <t>技能點參考</t>
        </is>
      </c>
      <c r="I7" s="8">
        <f>(I5+K5)*2</f>
        <v/>
      </c>
      <c r="J7" s="9" t="n"/>
      <c r="K7" s="10" t="n"/>
    </row>
    <row r="8">
      <c r="A8" s="3" t="inlineStr">
        <is>
          <t>技能等級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10" t="n"/>
    </row>
    <row r="9">
      <c r="A9" s="5" t="inlineStr">
        <is>
          <t>近戰</t>
        </is>
      </c>
      <c r="B9" s="6" t="n">
        <v>3</v>
      </c>
      <c r="C9" s="10" t="n"/>
    </row>
    <row r="10">
      <c r="A10" s="5" t="inlineStr">
        <is>
          <t>投擲</t>
        </is>
      </c>
      <c r="B10" s="6" t="n">
        <v>2</v>
      </c>
      <c r="C10" s="10" t="n"/>
    </row>
    <row r="11">
      <c r="A11" s="5" t="inlineStr">
        <is>
          <t>察覺</t>
        </is>
      </c>
      <c r="B11" s="6" t="n">
        <v>4</v>
      </c>
      <c r="C11" s="10" t="n"/>
    </row>
    <row r="12">
      <c r="A12" s="5" t="inlineStr">
        <is>
          <t>電子</t>
        </is>
      </c>
      <c r="B12" s="6" t="n">
        <v>4</v>
      </c>
      <c r="C12" s="10" t="n"/>
    </row>
    <row r="13">
      <c r="A13" s="5" t="inlineStr">
        <is>
          <t>意志</t>
        </is>
      </c>
      <c r="B13" s="6" t="n">
        <v>5</v>
      </c>
      <c r="C13" s="10" t="n"/>
    </row>
    <row r="14">
      <c r="A14" s="3" t="inlineStr">
        <is>
          <t>七部位 HP（自動計算）</t>
        </is>
      </c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10" t="n"/>
    </row>
    <row r="15">
      <c r="A15" s="5" t="inlineStr">
        <is>
          <t>部位</t>
        </is>
      </c>
      <c r="B15" s="6" t="inlineStr">
        <is>
          <t>最大HP</t>
        </is>
      </c>
      <c r="C15" s="5" t="inlineStr">
        <is>
          <t>當前HP</t>
        </is>
      </c>
      <c r="D15" s="6" t="inlineStr"/>
      <c r="E15" s="5" t="inlineStr">
        <is>
          <t>DR</t>
        </is>
      </c>
      <c r="F15" s="5" t="inlineStr">
        <is>
          <t>DR</t>
        </is>
      </c>
      <c r="G15" s="5" t="inlineStr">
        <is>
          <t>DR</t>
        </is>
      </c>
      <c r="H15" s="6" t="inlineStr"/>
      <c r="I15" s="5" t="inlineStr">
        <is>
          <t>受傷效果</t>
        </is>
      </c>
      <c r="J15" s="6" t="inlineStr"/>
      <c r="K15" s="10" t="n"/>
    </row>
    <row r="16">
      <c r="A16" s="5" t="inlineStr">
        <is>
          <t>頭部</t>
        </is>
      </c>
      <c r="B16" s="8">
        <f>C5+6</f>
        <v/>
      </c>
      <c r="C16" s="5" t="inlineStr"/>
      <c r="D16" s="6" t="inlineStr"/>
      <c r="E16" s="5" t="inlineStr"/>
      <c r="F16" s="6" t="inlineStr"/>
      <c r="G16" s="11" t="inlineStr">
        <is>
          <t>DR</t>
        </is>
      </c>
      <c r="H16" s="12" t="inlineStr">
        <is>
          <t>頭盔</t>
        </is>
      </c>
      <c r="I16" s="5" t="inlineStr">
        <is>
          <t>歸零=即死</t>
        </is>
      </c>
      <c r="J16" s="6" t="inlineStr">
        <is>
          <t>歸零=即死</t>
        </is>
      </c>
      <c r="K16" s="10" t="n"/>
    </row>
    <row r="17">
      <c r="A17" s="5" t="inlineStr">
        <is>
          <t>胸部</t>
        </is>
      </c>
      <c r="B17" s="8">
        <f>C5*2+10</f>
        <v/>
      </c>
      <c r="C17" s="5" t="inlineStr"/>
      <c r="D17" s="6" t="inlineStr"/>
      <c r="E17" s="5" t="inlineStr"/>
      <c r="F17" s="6" t="inlineStr"/>
      <c r="G17" s="11" t="inlineStr">
        <is>
          <t>DR</t>
        </is>
      </c>
      <c r="H17" s="12" t="inlineStr">
        <is>
          <t>防彈衣+背心</t>
        </is>
      </c>
      <c r="I17" s="5" t="inlineStr">
        <is>
          <t>歸零=瀕死(膽魄TN14/回合)</t>
        </is>
      </c>
      <c r="J17" s="6" t="inlineStr">
        <is>
          <t>歸零=瀕死(膽魄TN14/回合)</t>
        </is>
      </c>
      <c r="K17" s="10" t="n"/>
    </row>
    <row r="18">
      <c r="A18" s="5" t="inlineStr">
        <is>
          <t>腹部</t>
        </is>
      </c>
      <c r="B18" s="8">
        <f>C5+8</f>
        <v/>
      </c>
      <c r="C18" s="5" t="inlineStr"/>
      <c r="D18" s="6" t="inlineStr"/>
      <c r="E18" s="5" t="inlineStr"/>
      <c r="F18" s="6" t="inlineStr"/>
      <c r="G18" s="11" t="inlineStr">
        <is>
          <t>DR</t>
        </is>
      </c>
      <c r="H18" s="12" t="inlineStr">
        <is>
          <t>防彈衣+背心</t>
        </is>
      </c>
      <c r="I18" s="5" t="inlineStr">
        <is>
          <t>歸零=內出血(1HP/分)</t>
        </is>
      </c>
      <c r="J18" s="6" t="inlineStr">
        <is>
          <t>歸零=內出血(1HP/分)</t>
        </is>
      </c>
      <c r="K18" s="10" t="n"/>
    </row>
    <row r="19">
      <c r="A19" s="5" t="inlineStr">
        <is>
          <t>左臂</t>
        </is>
      </c>
      <c r="B19" s="8">
        <f>C5+4</f>
        <v/>
      </c>
      <c r="C19" s="5" t="inlineStr"/>
      <c r="D19" s="6" t="inlineStr"/>
      <c r="E19" s="5" t="inlineStr"/>
      <c r="F19" s="6" t="inlineStr"/>
      <c r="G19" s="11" t="inlineStr">
        <is>
          <t>DR</t>
        </is>
      </c>
      <c r="H19" s="12" t="inlineStr">
        <is>
          <t>手套</t>
        </is>
      </c>
      <c r="I19" s="5" t="inlineStr">
        <is>
          <t>歸零=永久失能</t>
        </is>
      </c>
      <c r="J19" s="6" t="inlineStr">
        <is>
          <t>歸零=永久失能</t>
        </is>
      </c>
      <c r="K19" s="10" t="n"/>
    </row>
    <row r="20">
      <c r="A20" s="5" t="inlineStr">
        <is>
          <t>右臂</t>
        </is>
      </c>
      <c r="B20" s="8">
        <f>C5+4</f>
        <v/>
      </c>
      <c r="C20" s="5" t="inlineStr"/>
      <c r="D20" s="6" t="inlineStr"/>
      <c r="E20" s="5" t="inlineStr"/>
      <c r="F20" s="6" t="inlineStr"/>
      <c r="G20" s="11" t="inlineStr">
        <is>
          <t>DR</t>
        </is>
      </c>
      <c r="H20" s="12" t="inlineStr">
        <is>
          <t>手套</t>
        </is>
      </c>
      <c r="I20" s="5" t="inlineStr">
        <is>
          <t>歸零=永久失能</t>
        </is>
      </c>
      <c r="J20" s="6" t="inlineStr">
        <is>
          <t>歸零=永久失能</t>
        </is>
      </c>
      <c r="K20" s="10" t="n"/>
    </row>
    <row r="21">
      <c r="A21" s="5" t="inlineStr">
        <is>
          <t>左腿</t>
        </is>
      </c>
      <c r="B21" s="8">
        <f>C5+5</f>
        <v/>
      </c>
      <c r="C21" s="5" t="inlineStr"/>
      <c r="D21" s="6" t="inlineStr"/>
      <c r="E21" s="5" t="inlineStr"/>
      <c r="F21" s="6" t="inlineStr"/>
      <c r="G21" s="11" t="inlineStr">
        <is>
          <t>DR</t>
        </is>
      </c>
      <c r="H21" s="12" t="inlineStr">
        <is>
          <t>軍靴</t>
        </is>
      </c>
      <c r="I21" s="5" t="inlineStr">
        <is>
          <t>歸零=倒地,不可行走</t>
        </is>
      </c>
      <c r="J21" s="6" t="inlineStr">
        <is>
          <t>歸零=倒地,不可行走</t>
        </is>
      </c>
      <c r="K21" s="10" t="n"/>
    </row>
    <row r="22">
      <c r="A22" s="5" t="inlineStr">
        <is>
          <t>右腿</t>
        </is>
      </c>
      <c r="B22" s="8">
        <f>C5+5</f>
        <v/>
      </c>
      <c r="C22" s="5" t="inlineStr"/>
      <c r="D22" s="6" t="inlineStr"/>
      <c r="E22" s="5" t="inlineStr"/>
      <c r="F22" s="6" t="inlineStr"/>
      <c r="G22" s="11" t="inlineStr">
        <is>
          <t>DR</t>
        </is>
      </c>
      <c r="H22" s="12" t="inlineStr">
        <is>
          <t>軍靴</t>
        </is>
      </c>
      <c r="I22" s="5" t="inlineStr">
        <is>
          <t>歸零=倒地,不可行走</t>
        </is>
      </c>
      <c r="J22" s="6" t="inlineStr">
        <is>
          <t>歸零=倒地,不可行走</t>
        </is>
      </c>
      <c r="K22" s="10" t="n"/>
    </row>
    <row r="23">
      <c r="A23" s="3" t="inlineStr">
        <is>
          <t>戰鬥數據</t>
        </is>
      </c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10" t="n"/>
    </row>
    <row r="24">
      <c r="A24" s="6" t="inlineStr">
        <is>
          <t>主攻擊: 能量權杖 2d6 近-中距(能量)</t>
        </is>
      </c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10" t="n"/>
    </row>
    <row r="25">
      <c r="C25" s="2" t="n"/>
    </row>
    <row r="26">
      <c r="D26" s="2" t="n"/>
    </row>
    <row r="27">
      <c r="E27" s="2" t="n"/>
    </row>
    <row r="28">
      <c r="F28" s="2" t="n"/>
    </row>
    <row r="29">
      <c r="G29" s="2" t="n"/>
    </row>
    <row r="30">
      <c r="H30" s="2" t="n"/>
    </row>
    <row r="31">
      <c r="I31" s="2" t="n"/>
    </row>
    <row r="32">
      <c r="J32" s="2" t="n"/>
    </row>
    <row r="33">
      <c r="K33" s="2" t="n"/>
    </row>
    <row r="34">
      <c r="A34" s="6" t="inlineStr">
        <is>
          <t>副攻擊: 心靈衝擊 感知TN17否則混亂1d3回合 中距</t>
        </is>
      </c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10" t="n"/>
    </row>
    <row r="35">
      <c r="C35" s="2" t="n"/>
    </row>
    <row r="36">
      <c r="D36" s="2" t="n"/>
    </row>
    <row r="37">
      <c r="E37" s="2" t="n"/>
    </row>
    <row r="38">
      <c r="F38" s="2" t="n"/>
    </row>
    <row r="39">
      <c r="G39" s="2" t="n"/>
    </row>
    <row r="40">
      <c r="H40" s="2" t="n"/>
    </row>
    <row r="41">
      <c r="I41" s="2" t="n"/>
    </row>
    <row r="42">
      <c r="J42" s="2" t="n"/>
    </row>
    <row r="43">
      <c r="K43" s="2" t="n"/>
    </row>
    <row r="44">
      <c r="A44" s="6" t="inlineStr">
        <is>
          <t>防具/DR: 胸腹DR1(長袍)+精神屏障(對心靈效果優勢)</t>
        </is>
      </c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10" t="n"/>
    </row>
    <row r="45">
      <c r="C45" s="2" t="n"/>
    </row>
    <row r="46">
      <c r="D46" s="2" t="n"/>
    </row>
    <row r="47">
      <c r="E47" s="2" t="n"/>
    </row>
    <row r="48">
      <c r="F48" s="2" t="n"/>
    </row>
    <row r="49">
      <c r="G49" s="2" t="n"/>
    </row>
    <row r="50">
      <c r="H50" s="2" t="n"/>
    </row>
    <row r="51">
      <c r="I51" s="2" t="n"/>
    </row>
    <row r="52">
      <c r="J52" s="2" t="n"/>
    </row>
    <row r="53">
      <c r="K53" s="2" t="n"/>
    </row>
    <row r="54">
      <c r="A54" s="6" t="inlineStr">
        <is>
          <t>特殊能力: 引導儀式: 強化半徑5m內深潛者(+1DR,+1d6)</t>
        </is>
      </c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10" t="n"/>
    </row>
    <row r="55">
      <c r="C55" s="2" t="n"/>
    </row>
    <row r="56">
      <c r="D56" s="2" t="n"/>
    </row>
    <row r="57">
      <c r="E57" s="2" t="n"/>
    </row>
    <row r="58">
      <c r="F58" s="2" t="n"/>
    </row>
    <row r="59">
      <c r="G59" s="2" t="n"/>
    </row>
    <row r="60">
      <c r="H60" s="2" t="n"/>
    </row>
    <row r="61">
      <c r="I61" s="2" t="n"/>
    </row>
    <row r="62">
      <c r="J62" s="2" t="n"/>
    </row>
    <row r="63">
      <c r="K63" s="2" t="n"/>
    </row>
    <row r="64">
      <c r="A64" s="6" t="inlineStr">
        <is>
          <t>行為模式: 主持儀式; 優先保護儀式完整性</t>
        </is>
      </c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10" t="n"/>
    </row>
    <row r="65">
      <c r="C65" s="2" t="n"/>
    </row>
    <row r="66">
      <c r="D66" s="2" t="n"/>
    </row>
    <row r="67">
      <c r="E67" s="2" t="n"/>
    </row>
    <row r="68">
      <c r="F68" s="2" t="n"/>
    </row>
    <row r="69">
      <c r="G69" s="2" t="n"/>
    </row>
    <row r="70">
      <c r="H70" s="2" t="n"/>
    </row>
    <row r="71">
      <c r="I71" s="2" t="n"/>
    </row>
    <row r="72">
      <c r="J72" s="2" t="n"/>
    </row>
    <row r="73">
      <c r="K73" s="2" t="n"/>
    </row>
    <row r="74">
      <c r="A74" s="6" t="inlineStr">
        <is>
          <t>戰利品: 能量權杖(金)+教團典籍(紫)</t>
        </is>
      </c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10" t="n"/>
    </row>
    <row r="75">
      <c r="C75" s="2" t="n"/>
    </row>
    <row r="76">
      <c r="D76" s="2" t="n"/>
    </row>
    <row r="77">
      <c r="E77" s="2" t="n"/>
    </row>
    <row r="78">
      <c r="F78" s="2" t="n"/>
    </row>
    <row r="79">
      <c r="G79" s="2" t="n"/>
    </row>
    <row r="80">
      <c r="H80" s="2" t="n"/>
    </row>
    <row r="81">
      <c r="I81" s="2" t="n"/>
    </row>
    <row r="82">
      <c r="J82" s="2" t="n"/>
    </row>
    <row r="83">
      <c r="K83" s="2" t="n"/>
    </row>
  </sheetData>
  <mergeCells count="120">
    <mergeCell ref="A64:K64"/>
    <mergeCell ref="H3"/>
    <mergeCell ref="A24:K24"/>
    <mergeCell ref="J19:K19"/>
    <mergeCell ref="B20"/>
    <mergeCell ref="E16"/>
    <mergeCell ref="G16"/>
    <mergeCell ref="B12:C12"/>
    <mergeCell ref="C18"/>
    <mergeCell ref="E18"/>
    <mergeCell ref="A54:K54"/>
    <mergeCell ref="H20"/>
    <mergeCell ref="E7:G7"/>
    <mergeCell ref="B13:C13"/>
    <mergeCell ref="G17"/>
    <mergeCell ref="F21"/>
    <mergeCell ref="A2:K2"/>
    <mergeCell ref="H21"/>
    <mergeCell ref="E19"/>
    <mergeCell ref="G19"/>
    <mergeCell ref="I22"/>
    <mergeCell ref="J21:K21"/>
    <mergeCell ref="B17"/>
    <mergeCell ref="D17"/>
    <mergeCell ref="A3"/>
    <mergeCell ref="I21"/>
    <mergeCell ref="H7"/>
    <mergeCell ref="H16"/>
    <mergeCell ref="B19"/>
    <mergeCell ref="A5"/>
    <mergeCell ref="D3"/>
    <mergeCell ref="B3:C3"/>
    <mergeCell ref="A13"/>
    <mergeCell ref="B11:C11"/>
    <mergeCell ref="D20"/>
    <mergeCell ref="A15"/>
    <mergeCell ref="C15"/>
    <mergeCell ref="B22"/>
    <mergeCell ref="D22"/>
    <mergeCell ref="A74:K74"/>
    <mergeCell ref="J20:K20"/>
    <mergeCell ref="E17"/>
    <mergeCell ref="B21"/>
    <mergeCell ref="D21"/>
    <mergeCell ref="A7"/>
    <mergeCell ref="F15"/>
    <mergeCell ref="A16"/>
    <mergeCell ref="C16"/>
    <mergeCell ref="J22:K22"/>
    <mergeCell ref="A8:K8"/>
    <mergeCell ref="G18"/>
    <mergeCell ref="I18"/>
    <mergeCell ref="A18"/>
    <mergeCell ref="D7"/>
    <mergeCell ref="D16"/>
    <mergeCell ref="G5"/>
    <mergeCell ref="I5"/>
    <mergeCell ref="A34:K34"/>
    <mergeCell ref="A22"/>
    <mergeCell ref="D18"/>
    <mergeCell ref="B7:C7"/>
    <mergeCell ref="G20"/>
    <mergeCell ref="I20"/>
    <mergeCell ref="A20"/>
    <mergeCell ref="H15"/>
    <mergeCell ref="I3:K3"/>
    <mergeCell ref="A1:K1"/>
    <mergeCell ref="H18"/>
    <mergeCell ref="E22"/>
    <mergeCell ref="G22"/>
    <mergeCell ref="E21"/>
    <mergeCell ref="G21"/>
    <mergeCell ref="I15"/>
    <mergeCell ref="D19"/>
    <mergeCell ref="F19"/>
    <mergeCell ref="F16"/>
    <mergeCell ref="J16:K16"/>
    <mergeCell ref="F20"/>
    <mergeCell ref="I16"/>
    <mergeCell ref="B9:C9"/>
    <mergeCell ref="A14:K14"/>
    <mergeCell ref="A23:K23"/>
    <mergeCell ref="A4:K4"/>
    <mergeCell ref="H19"/>
    <mergeCell ref="I7:K7"/>
    <mergeCell ref="I17"/>
    <mergeCell ref="A17"/>
    <mergeCell ref="C17"/>
    <mergeCell ref="B15"/>
    <mergeCell ref="D15"/>
    <mergeCell ref="A10"/>
    <mergeCell ref="I19"/>
    <mergeCell ref="A19"/>
    <mergeCell ref="C19"/>
    <mergeCell ref="A6:K6"/>
    <mergeCell ref="A9"/>
    <mergeCell ref="J15:K15"/>
    <mergeCell ref="B16"/>
    <mergeCell ref="A11"/>
    <mergeCell ref="C5"/>
    <mergeCell ref="E5"/>
    <mergeCell ref="B18"/>
    <mergeCell ref="C20"/>
    <mergeCell ref="E20"/>
    <mergeCell ref="B10:C10"/>
    <mergeCell ref="E3:G3"/>
    <mergeCell ref="H22"/>
    <mergeCell ref="C22"/>
    <mergeCell ref="F18"/>
    <mergeCell ref="A12"/>
    <mergeCell ref="F17"/>
    <mergeCell ref="A21"/>
    <mergeCell ref="H17"/>
    <mergeCell ref="C21"/>
    <mergeCell ref="E15"/>
    <mergeCell ref="J18:K18"/>
    <mergeCell ref="G15"/>
    <mergeCell ref="A44:K44"/>
    <mergeCell ref="F22"/>
    <mergeCell ref="J17:K17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敵人數據卡 - 深潛者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10" t="n"/>
    </row>
    <row r="2">
      <c r="A2" s="3" t="inlineStr">
        <is>
          <t>基本資訊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10" t="n"/>
    </row>
    <row r="3">
      <c r="A3" s="5" t="inlineStr">
        <is>
          <t>敵人名稱</t>
        </is>
      </c>
      <c r="B3" s="6" t="inlineStr">
        <is>
          <t>深潛者</t>
        </is>
      </c>
      <c r="C3" s="10" t="n"/>
      <c r="D3" s="5" t="inlineStr">
        <is>
          <t>出場劇本</t>
        </is>
      </c>
      <c r="E3" s="6" t="inlineStr">
        <is>
          <t>劇本八,十</t>
        </is>
      </c>
      <c r="F3" s="9" t="n"/>
      <c r="G3" s="10" t="n"/>
      <c r="H3" s="5" t="inlineStr">
        <is>
          <t>威脅值</t>
        </is>
      </c>
      <c r="I3" s="6" t="n">
        <v>10</v>
      </c>
      <c r="J3" s="9" t="n"/>
      <c r="K3" s="10" t="n"/>
    </row>
    <row r="4">
      <c r="A4" s="3" t="inlineStr">
        <is>
          <t>五大屬性 [數值已輸入,修改黃色格]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10" t="n"/>
    </row>
    <row r="5">
      <c r="A5" s="5" t="inlineStr">
        <is>
          <t>體魄PHY</t>
        </is>
      </c>
      <c r="B5" s="7" t="n">
        <v>7</v>
      </c>
      <c r="C5" s="5" t="inlineStr">
        <is>
          <t>精準PRC</t>
        </is>
      </c>
      <c r="D5" s="7" t="n">
        <v>3</v>
      </c>
      <c r="E5" s="5" t="inlineStr">
        <is>
          <t>感知PER</t>
        </is>
      </c>
      <c r="F5" s="7" t="n">
        <v>6</v>
      </c>
      <c r="G5" s="5" t="inlineStr">
        <is>
          <t>技術TEC</t>
        </is>
      </c>
      <c r="H5" s="7" t="n">
        <v>2</v>
      </c>
      <c r="I5" s="5" t="inlineStr">
        <is>
          <t>膽魄CRG</t>
        </is>
      </c>
      <c r="J5" s="7" t="n">
        <v>10</v>
      </c>
    </row>
    <row r="6">
      <c r="A6" s="3" t="inlineStr">
        <is>
          <t>衍生屬性（自動計算）</t>
        </is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10" t="n"/>
    </row>
    <row r="7">
      <c r="A7" s="5" t="inlineStr">
        <is>
          <t>先攻值</t>
        </is>
      </c>
      <c r="B7" s="8">
        <f>G5+E5</f>
        <v/>
      </c>
      <c r="C7" s="10" t="n"/>
      <c r="D7" s="5" t="inlineStr">
        <is>
          <t>負重上限kg</t>
        </is>
      </c>
      <c r="E7" s="8">
        <f>C5*5</f>
        <v/>
      </c>
      <c r="F7" s="9" t="n"/>
      <c r="G7" s="10" t="n"/>
      <c r="H7" s="5" t="inlineStr">
        <is>
          <t>技能點參考</t>
        </is>
      </c>
      <c r="I7" s="8">
        <f>(I5+K5)*2</f>
        <v/>
      </c>
      <c r="J7" s="9" t="n"/>
      <c r="K7" s="10" t="n"/>
    </row>
    <row r="8">
      <c r="A8" s="3" t="inlineStr">
        <is>
          <t>技能等級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10" t="n"/>
    </row>
    <row r="9">
      <c r="A9" s="5" t="inlineStr">
        <is>
          <t>近戰</t>
        </is>
      </c>
      <c r="B9" s="6" t="n">
        <v>3</v>
      </c>
      <c r="C9" s="10" t="n"/>
    </row>
    <row r="10">
      <c r="A10" s="5" t="inlineStr">
        <is>
          <t>投擲</t>
        </is>
      </c>
      <c r="B10" s="6" t="n">
        <v>2</v>
      </c>
      <c r="C10" s="10" t="n"/>
    </row>
    <row r="11">
      <c r="A11" s="5" t="inlineStr">
        <is>
          <t>潛行</t>
        </is>
      </c>
      <c r="B11" s="6" t="n">
        <v>3</v>
      </c>
      <c r="C11" s="10" t="n"/>
    </row>
    <row r="12">
      <c r="A12" s="5" t="inlineStr">
        <is>
          <t>意志</t>
        </is>
      </c>
      <c r="B12" s="6" t="n">
        <v>5</v>
      </c>
      <c r="C12" s="10" t="n"/>
    </row>
    <row r="13">
      <c r="A13" s="3" t="inlineStr">
        <is>
          <t>七部位 HP（自動計算）</t>
        </is>
      </c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10" t="n"/>
    </row>
    <row r="14">
      <c r="A14" s="5" t="inlineStr">
        <is>
          <t>部位</t>
        </is>
      </c>
      <c r="B14" s="6" t="inlineStr">
        <is>
          <t>最大HP</t>
        </is>
      </c>
      <c r="C14" s="5" t="inlineStr">
        <is>
          <t>當前HP</t>
        </is>
      </c>
      <c r="D14" s="6" t="inlineStr"/>
      <c r="E14" s="5" t="inlineStr">
        <is>
          <t>DR</t>
        </is>
      </c>
      <c r="F14" s="5" t="inlineStr">
        <is>
          <t>DR</t>
        </is>
      </c>
      <c r="G14" s="5" t="inlineStr">
        <is>
          <t>DR</t>
        </is>
      </c>
      <c r="H14" s="6" t="inlineStr"/>
      <c r="I14" s="5" t="inlineStr">
        <is>
          <t>受傷效果</t>
        </is>
      </c>
      <c r="J14" s="6" t="inlineStr"/>
      <c r="K14" s="10" t="n"/>
    </row>
    <row r="15">
      <c r="A15" s="5" t="inlineStr">
        <is>
          <t>頭部</t>
        </is>
      </c>
      <c r="B15" s="8">
        <f>C5+6</f>
        <v/>
      </c>
      <c r="C15" s="5" t="inlineStr"/>
      <c r="D15" s="6" t="inlineStr"/>
      <c r="E15" s="5" t="inlineStr"/>
      <c r="F15" s="6" t="inlineStr"/>
      <c r="G15" s="11" t="inlineStr">
        <is>
          <t>DR</t>
        </is>
      </c>
      <c r="H15" s="12" t="inlineStr">
        <is>
          <t>頭盔</t>
        </is>
      </c>
      <c r="I15" s="5" t="inlineStr">
        <is>
          <t>歸零=即死</t>
        </is>
      </c>
      <c r="J15" s="6" t="inlineStr">
        <is>
          <t>歸零=即死</t>
        </is>
      </c>
      <c r="K15" s="10" t="n"/>
    </row>
    <row r="16">
      <c r="A16" s="5" t="inlineStr">
        <is>
          <t>胸部</t>
        </is>
      </c>
      <c r="B16" s="8">
        <f>C5*2+10</f>
        <v/>
      </c>
      <c r="C16" s="5" t="inlineStr"/>
      <c r="D16" s="6" t="inlineStr"/>
      <c r="E16" s="5" t="inlineStr"/>
      <c r="F16" s="6" t="inlineStr"/>
      <c r="G16" s="11" t="inlineStr">
        <is>
          <t>DR</t>
        </is>
      </c>
      <c r="H16" s="12" t="inlineStr">
        <is>
          <t>防彈衣+背心</t>
        </is>
      </c>
      <c r="I16" s="5" t="inlineStr">
        <is>
          <t>歸零=瀕死(膽魄TN14/回合)</t>
        </is>
      </c>
      <c r="J16" s="6" t="inlineStr">
        <is>
          <t>歸零=瀕死(膽魄TN14/回合)</t>
        </is>
      </c>
      <c r="K16" s="10" t="n"/>
    </row>
    <row r="17">
      <c r="A17" s="5" t="inlineStr">
        <is>
          <t>腹部</t>
        </is>
      </c>
      <c r="B17" s="8">
        <f>C5+8</f>
        <v/>
      </c>
      <c r="C17" s="5" t="inlineStr"/>
      <c r="D17" s="6" t="inlineStr"/>
      <c r="E17" s="5" t="inlineStr"/>
      <c r="F17" s="6" t="inlineStr"/>
      <c r="G17" s="11" t="inlineStr">
        <is>
          <t>DR</t>
        </is>
      </c>
      <c r="H17" s="12" t="inlineStr">
        <is>
          <t>防彈衣+背心</t>
        </is>
      </c>
      <c r="I17" s="5" t="inlineStr">
        <is>
          <t>歸零=內出血(1HP/分)</t>
        </is>
      </c>
      <c r="J17" s="6" t="inlineStr">
        <is>
          <t>歸零=內出血(1HP/分)</t>
        </is>
      </c>
      <c r="K17" s="10" t="n"/>
    </row>
    <row r="18">
      <c r="A18" s="5" t="inlineStr">
        <is>
          <t>左臂</t>
        </is>
      </c>
      <c r="B18" s="8">
        <f>C5+4</f>
        <v/>
      </c>
      <c r="C18" s="5" t="inlineStr"/>
      <c r="D18" s="6" t="inlineStr"/>
      <c r="E18" s="5" t="inlineStr"/>
      <c r="F18" s="6" t="inlineStr"/>
      <c r="G18" s="11" t="inlineStr">
        <is>
          <t>DR</t>
        </is>
      </c>
      <c r="H18" s="12" t="inlineStr">
        <is>
          <t>手套</t>
        </is>
      </c>
      <c r="I18" s="5" t="inlineStr">
        <is>
          <t>歸零=永久失能</t>
        </is>
      </c>
      <c r="J18" s="6" t="inlineStr">
        <is>
          <t>歸零=永久失能</t>
        </is>
      </c>
      <c r="K18" s="10" t="n"/>
    </row>
    <row r="19">
      <c r="A19" s="5" t="inlineStr">
        <is>
          <t>右臂</t>
        </is>
      </c>
      <c r="B19" s="8">
        <f>C5+4</f>
        <v/>
      </c>
      <c r="C19" s="5" t="inlineStr"/>
      <c r="D19" s="6" t="inlineStr"/>
      <c r="E19" s="5" t="inlineStr"/>
      <c r="F19" s="6" t="inlineStr"/>
      <c r="G19" s="11" t="inlineStr">
        <is>
          <t>DR</t>
        </is>
      </c>
      <c r="H19" s="12" t="inlineStr">
        <is>
          <t>手套</t>
        </is>
      </c>
      <c r="I19" s="5" t="inlineStr">
        <is>
          <t>歸零=永久失能</t>
        </is>
      </c>
      <c r="J19" s="6" t="inlineStr">
        <is>
          <t>歸零=永久失能</t>
        </is>
      </c>
      <c r="K19" s="10" t="n"/>
    </row>
    <row r="20">
      <c r="A20" s="5" t="inlineStr">
        <is>
          <t>左腿</t>
        </is>
      </c>
      <c r="B20" s="8">
        <f>C5+5</f>
        <v/>
      </c>
      <c r="C20" s="5" t="inlineStr"/>
      <c r="D20" s="6" t="inlineStr"/>
      <c r="E20" s="5" t="inlineStr"/>
      <c r="F20" s="6" t="inlineStr"/>
      <c r="G20" s="11" t="inlineStr">
        <is>
          <t>DR</t>
        </is>
      </c>
      <c r="H20" s="12" t="inlineStr">
        <is>
          <t>軍靴</t>
        </is>
      </c>
      <c r="I20" s="5" t="inlineStr">
        <is>
          <t>歸零=倒地,不可行走</t>
        </is>
      </c>
      <c r="J20" s="6" t="inlineStr">
        <is>
          <t>歸零=倒地,不可行走</t>
        </is>
      </c>
      <c r="K20" s="10" t="n"/>
    </row>
    <row r="21">
      <c r="A21" s="5" t="inlineStr">
        <is>
          <t>右腿</t>
        </is>
      </c>
      <c r="B21" s="8">
        <f>C5+5</f>
        <v/>
      </c>
      <c r="C21" s="5" t="inlineStr"/>
      <c r="D21" s="6" t="inlineStr"/>
      <c r="E21" s="5" t="inlineStr"/>
      <c r="F21" s="6" t="inlineStr"/>
      <c r="G21" s="11" t="inlineStr">
        <is>
          <t>DR</t>
        </is>
      </c>
      <c r="H21" s="12" t="inlineStr">
        <is>
          <t>軍靴</t>
        </is>
      </c>
      <c r="I21" s="5" t="inlineStr">
        <is>
          <t>歸零=倒地,不可行走</t>
        </is>
      </c>
      <c r="J21" s="6" t="inlineStr">
        <is>
          <t>歸零=倒地,不可行走</t>
        </is>
      </c>
      <c r="K21" s="10" t="n"/>
    </row>
    <row r="22">
      <c r="A22" s="3" t="inlineStr">
        <is>
          <t>戰鬥數據</t>
        </is>
      </c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10" t="n"/>
    </row>
    <row r="23">
      <c r="A23" s="6" t="inlineStr">
        <is>
          <t>主攻擊: 重力爪 2d6+7 近接</t>
        </is>
      </c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10" t="n"/>
    </row>
    <row r="24">
      <c r="C24" s="2" t="n"/>
    </row>
    <row r="25">
      <c r="D25" s="2" t="n"/>
    </row>
    <row r="26">
      <c r="E26" s="2" t="n"/>
    </row>
    <row r="27">
      <c r="F27" s="2" t="n"/>
    </row>
    <row r="28">
      <c r="G28" s="2" t="n"/>
    </row>
    <row r="29">
      <c r="H29" s="2" t="n"/>
    </row>
    <row r="30">
      <c r="I30" s="2" t="n"/>
    </row>
    <row r="31">
      <c r="J31" s="2" t="n"/>
    </row>
    <row r="32">
      <c r="K32" s="2" t="n"/>
    </row>
    <row r="33">
      <c r="A33" s="6" t="inlineStr">
        <is>
          <t>副攻擊: 重力投擲 1d6+3 遠距</t>
        </is>
      </c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10" t="n"/>
    </row>
    <row r="34">
      <c r="C34" s="2" t="n"/>
    </row>
    <row r="35">
      <c r="D35" s="2" t="n"/>
    </row>
    <row r="36">
      <c r="E36" s="2" t="n"/>
    </row>
    <row r="37">
      <c r="F37" s="2" t="n"/>
    </row>
    <row r="38">
      <c r="G38" s="2" t="n"/>
    </row>
    <row r="39">
      <c r="H39" s="2" t="n"/>
    </row>
    <row r="40">
      <c r="I40" s="2" t="n"/>
    </row>
    <row r="41">
      <c r="J41" s="2" t="n"/>
    </row>
    <row r="42">
      <c r="K42" s="2" t="n"/>
    </row>
    <row r="43">
      <c r="A43" s="6" t="inlineStr">
        <is>
          <t>防具/DR: 全身DR1(異變甲殼)</t>
        </is>
      </c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10" t="n"/>
    </row>
    <row r="44">
      <c r="C44" s="2" t="n"/>
    </row>
    <row r="45">
      <c r="D45" s="2" t="n"/>
    </row>
    <row r="46">
      <c r="E46" s="2" t="n"/>
    </row>
    <row r="47">
      <c r="F47" s="2" t="n"/>
    </row>
    <row r="48">
      <c r="G48" s="2" t="n"/>
    </row>
    <row r="49">
      <c r="H49" s="2" t="n"/>
    </row>
    <row r="50">
      <c r="I50" s="2" t="n"/>
    </row>
    <row r="51">
      <c r="J51" s="2" t="n"/>
    </row>
    <row r="52">
      <c r="K52" s="2" t="n"/>
    </row>
    <row r="53">
      <c r="A53" s="6" t="inlineStr">
        <is>
          <t>特殊能力: 短距傳送(2次/遭遇); 重力場(3m內移動減半); 死亡重力脈衝(5m,2d6)</t>
        </is>
      </c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10" t="n"/>
    </row>
    <row r="54">
      <c r="C54" s="2" t="n"/>
    </row>
    <row r="55">
      <c r="D55" s="2" t="n"/>
    </row>
    <row r="56">
      <c r="E56" s="2" t="n"/>
    </row>
    <row r="57">
      <c r="F57" s="2" t="n"/>
    </row>
    <row r="58">
      <c r="G58" s="2" t="n"/>
    </row>
    <row r="59">
      <c r="H59" s="2" t="n"/>
    </row>
    <row r="60">
      <c r="I60" s="2" t="n"/>
    </row>
    <row r="61">
      <c r="J61" s="2" t="n"/>
    </row>
    <row r="62">
      <c r="K62" s="2" t="n"/>
    </row>
    <row r="63">
      <c r="A63" s="6" t="inlineStr">
        <is>
          <t>行為模式: 從核心區滲出; 被教團儀式吸引; 領地意識極強</t>
        </is>
      </c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10" t="n"/>
    </row>
    <row r="64">
      <c r="C64" s="2" t="n"/>
    </row>
    <row r="65">
      <c r="D65" s="2" t="n"/>
    </row>
    <row r="66">
      <c r="E66" s="2" t="n"/>
    </row>
    <row r="67">
      <c r="F67" s="2" t="n"/>
    </row>
    <row r="68">
      <c r="G68" s="2" t="n"/>
    </row>
    <row r="69">
      <c r="H69" s="2" t="n"/>
    </row>
    <row r="70">
      <c r="I70" s="2" t="n"/>
    </row>
    <row r="71">
      <c r="J71" s="2" t="n"/>
    </row>
    <row r="72">
      <c r="K72" s="2" t="n"/>
    </row>
    <row r="73">
      <c r="A73" s="6" t="inlineStr">
        <is>
          <t>戰利品: 異常樣本(紫)</t>
        </is>
      </c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10" t="n"/>
    </row>
    <row r="74">
      <c r="C74" s="2" t="n"/>
    </row>
    <row r="75">
      <c r="D75" s="2" t="n"/>
    </row>
    <row r="76">
      <c r="E76" s="2" t="n"/>
    </row>
    <row r="77">
      <c r="F77" s="2" t="n"/>
    </row>
    <row r="78">
      <c r="G78" s="2" t="n"/>
    </row>
    <row r="79">
      <c r="H79" s="2" t="n"/>
    </row>
    <row r="80">
      <c r="I80" s="2" t="n"/>
    </row>
    <row r="81">
      <c r="J81" s="2" t="n"/>
    </row>
    <row r="82">
      <c r="K82" s="2" t="n"/>
    </row>
  </sheetData>
  <mergeCells count="118">
    <mergeCell ref="H3"/>
    <mergeCell ref="A73:K73"/>
    <mergeCell ref="J19:K19"/>
    <mergeCell ref="B20"/>
    <mergeCell ref="E16"/>
    <mergeCell ref="G16"/>
    <mergeCell ref="D14"/>
    <mergeCell ref="F14"/>
    <mergeCell ref="B12:C12"/>
    <mergeCell ref="C18"/>
    <mergeCell ref="E18"/>
    <mergeCell ref="H20"/>
    <mergeCell ref="E7:G7"/>
    <mergeCell ref="G17"/>
    <mergeCell ref="F21"/>
    <mergeCell ref="A2:K2"/>
    <mergeCell ref="A33:K33"/>
    <mergeCell ref="H21"/>
    <mergeCell ref="E19"/>
    <mergeCell ref="G19"/>
    <mergeCell ref="A22:K22"/>
    <mergeCell ref="J21:K21"/>
    <mergeCell ref="A53:K53"/>
    <mergeCell ref="B17"/>
    <mergeCell ref="D17"/>
    <mergeCell ref="A3"/>
    <mergeCell ref="I21"/>
    <mergeCell ref="H7"/>
    <mergeCell ref="H16"/>
    <mergeCell ref="B19"/>
    <mergeCell ref="G14"/>
    <mergeCell ref="A5"/>
    <mergeCell ref="I14"/>
    <mergeCell ref="D3"/>
    <mergeCell ref="B3:C3"/>
    <mergeCell ref="B11:C11"/>
    <mergeCell ref="D20"/>
    <mergeCell ref="A15"/>
    <mergeCell ref="C15"/>
    <mergeCell ref="J20:K20"/>
    <mergeCell ref="E17"/>
    <mergeCell ref="B21"/>
    <mergeCell ref="D21"/>
    <mergeCell ref="A7"/>
    <mergeCell ref="F15"/>
    <mergeCell ref="A16"/>
    <mergeCell ref="C16"/>
    <mergeCell ref="B14"/>
    <mergeCell ref="A8:K8"/>
    <mergeCell ref="G18"/>
    <mergeCell ref="I18"/>
    <mergeCell ref="A18"/>
    <mergeCell ref="D7"/>
    <mergeCell ref="D16"/>
    <mergeCell ref="A63:K63"/>
    <mergeCell ref="G5"/>
    <mergeCell ref="I5"/>
    <mergeCell ref="D18"/>
    <mergeCell ref="B7:C7"/>
    <mergeCell ref="G20"/>
    <mergeCell ref="I20"/>
    <mergeCell ref="A20"/>
    <mergeCell ref="H15"/>
    <mergeCell ref="I3:K3"/>
    <mergeCell ref="A1:K1"/>
    <mergeCell ref="H18"/>
    <mergeCell ref="E21"/>
    <mergeCell ref="G21"/>
    <mergeCell ref="I15"/>
    <mergeCell ref="D19"/>
    <mergeCell ref="F19"/>
    <mergeCell ref="F16"/>
    <mergeCell ref="C14"/>
    <mergeCell ref="E14"/>
    <mergeCell ref="J16:K16"/>
    <mergeCell ref="F20"/>
    <mergeCell ref="I16"/>
    <mergeCell ref="B9:C9"/>
    <mergeCell ref="A23:K23"/>
    <mergeCell ref="A4:K4"/>
    <mergeCell ref="A43:K43"/>
    <mergeCell ref="H19"/>
    <mergeCell ref="I7:K7"/>
    <mergeCell ref="I17"/>
    <mergeCell ref="A17"/>
    <mergeCell ref="C17"/>
    <mergeCell ref="J14:K14"/>
    <mergeCell ref="B15"/>
    <mergeCell ref="D15"/>
    <mergeCell ref="A10"/>
    <mergeCell ref="I19"/>
    <mergeCell ref="A19"/>
    <mergeCell ref="C19"/>
    <mergeCell ref="H14"/>
    <mergeCell ref="A6:K6"/>
    <mergeCell ref="A9"/>
    <mergeCell ref="J15:K15"/>
    <mergeCell ref="B16"/>
    <mergeCell ref="A11"/>
    <mergeCell ref="C5"/>
    <mergeCell ref="E5"/>
    <mergeCell ref="B18"/>
    <mergeCell ref="C20"/>
    <mergeCell ref="E20"/>
    <mergeCell ref="B10:C10"/>
    <mergeCell ref="E3:G3"/>
    <mergeCell ref="F18"/>
    <mergeCell ref="A12"/>
    <mergeCell ref="F17"/>
    <mergeCell ref="A21"/>
    <mergeCell ref="H17"/>
    <mergeCell ref="C21"/>
    <mergeCell ref="E15"/>
    <mergeCell ref="J18:K18"/>
    <mergeCell ref="G15"/>
    <mergeCell ref="A13:K13"/>
    <mergeCell ref="A14"/>
    <mergeCell ref="J17:K1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敵人數據卡 - 教團領袖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10" t="n"/>
    </row>
    <row r="2">
      <c r="A2" s="3" t="inlineStr">
        <is>
          <t>基本資訊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10" t="n"/>
    </row>
    <row r="3">
      <c r="A3" s="5" t="inlineStr">
        <is>
          <t>敵人名稱</t>
        </is>
      </c>
      <c r="B3" s="6" t="inlineStr">
        <is>
          <t>教團領袖</t>
        </is>
      </c>
      <c r="C3" s="10" t="n"/>
      <c r="D3" s="5" t="inlineStr">
        <is>
          <t>出場劇本</t>
        </is>
      </c>
      <c r="E3" s="6" t="inlineStr">
        <is>
          <t>劇本八</t>
        </is>
      </c>
      <c r="F3" s="9" t="n"/>
      <c r="G3" s="10" t="n"/>
      <c r="H3" s="5" t="inlineStr">
        <is>
          <t>威脅值</t>
        </is>
      </c>
      <c r="I3" s="6" t="n">
        <v>14</v>
      </c>
      <c r="J3" s="9" t="n"/>
      <c r="K3" s="10" t="n"/>
    </row>
    <row r="4">
      <c r="A4" s="3" t="inlineStr">
        <is>
          <t>五大屬性 [數值已輸入,修改黃色格]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10" t="n"/>
    </row>
    <row r="5">
      <c r="A5" s="5" t="inlineStr">
        <is>
          <t>體魄PHY</t>
        </is>
      </c>
      <c r="B5" s="7" t="n">
        <v>6</v>
      </c>
      <c r="C5" s="5" t="inlineStr">
        <is>
          <t>精準PRC</t>
        </is>
      </c>
      <c r="D5" s="7" t="n">
        <v>4</v>
      </c>
      <c r="E5" s="5" t="inlineStr">
        <is>
          <t>感知PER</t>
        </is>
      </c>
      <c r="F5" s="7" t="n">
        <v>8</v>
      </c>
      <c r="G5" s="5" t="inlineStr">
        <is>
          <t>技術TEC</t>
        </is>
      </c>
      <c r="H5" s="7" t="n">
        <v>7</v>
      </c>
      <c r="I5" s="5" t="inlineStr">
        <is>
          <t>膽魄CRG</t>
        </is>
      </c>
      <c r="J5" s="7" t="n">
        <v>10</v>
      </c>
    </row>
    <row r="6">
      <c r="A6" s="3" t="inlineStr">
        <is>
          <t>衍生屬性（自動計算）</t>
        </is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10" t="n"/>
    </row>
    <row r="7">
      <c r="A7" s="5" t="inlineStr">
        <is>
          <t>先攻值</t>
        </is>
      </c>
      <c r="B7" s="8">
        <f>G5+E5</f>
        <v/>
      </c>
      <c r="C7" s="10" t="n"/>
      <c r="D7" s="5" t="inlineStr">
        <is>
          <t>負重上限kg</t>
        </is>
      </c>
      <c r="E7" s="8">
        <f>C5*5</f>
        <v/>
      </c>
      <c r="F7" s="9" t="n"/>
      <c r="G7" s="10" t="n"/>
      <c r="H7" s="5" t="inlineStr">
        <is>
          <t>技能點參考</t>
        </is>
      </c>
      <c r="I7" s="8">
        <f>(I5+K5)*2</f>
        <v/>
      </c>
      <c r="J7" s="9" t="n"/>
      <c r="K7" s="10" t="n"/>
    </row>
    <row r="8">
      <c r="A8" s="3" t="inlineStr">
        <is>
          <t>技能等級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10" t="n"/>
    </row>
    <row r="9">
      <c r="A9" s="5" t="inlineStr">
        <is>
          <t>近戰</t>
        </is>
      </c>
      <c r="B9" s="6" t="n">
        <v>3</v>
      </c>
      <c r="C9" s="10" t="n"/>
    </row>
    <row r="10">
      <c r="A10" s="5" t="inlineStr">
        <is>
          <t>投擲</t>
        </is>
      </c>
      <c r="B10" s="6" t="n">
        <v>3</v>
      </c>
      <c r="C10" s="10" t="n"/>
    </row>
    <row r="11">
      <c r="A11" s="5" t="inlineStr">
        <is>
          <t>察覺</t>
        </is>
      </c>
      <c r="B11" s="6" t="n">
        <v>5</v>
      </c>
      <c r="C11" s="10" t="n"/>
    </row>
    <row r="12">
      <c r="A12" s="5" t="inlineStr">
        <is>
          <t>電子</t>
        </is>
      </c>
      <c r="B12" s="6" t="n">
        <v>5</v>
      </c>
      <c r="C12" s="10" t="n"/>
    </row>
    <row r="13">
      <c r="A13" s="5" t="inlineStr">
        <is>
          <t>意志</t>
        </is>
      </c>
      <c r="B13" s="6" t="n">
        <v>5</v>
      </c>
      <c r="C13" s="10" t="n"/>
    </row>
    <row r="14">
      <c r="A14" s="3" t="inlineStr">
        <is>
          <t>七部位 HP（自動計算）</t>
        </is>
      </c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10" t="n"/>
    </row>
    <row r="15">
      <c r="A15" s="5" t="inlineStr">
        <is>
          <t>部位</t>
        </is>
      </c>
      <c r="B15" s="6" t="inlineStr">
        <is>
          <t>最大HP</t>
        </is>
      </c>
      <c r="C15" s="5" t="inlineStr">
        <is>
          <t>當前HP</t>
        </is>
      </c>
      <c r="D15" s="6" t="inlineStr"/>
      <c r="E15" s="5" t="inlineStr">
        <is>
          <t>DR</t>
        </is>
      </c>
      <c r="F15" s="5" t="inlineStr">
        <is>
          <t>DR</t>
        </is>
      </c>
      <c r="G15" s="5" t="inlineStr">
        <is>
          <t>DR</t>
        </is>
      </c>
      <c r="H15" s="6" t="inlineStr"/>
      <c r="I15" s="5" t="inlineStr">
        <is>
          <t>受傷效果</t>
        </is>
      </c>
      <c r="J15" s="6" t="inlineStr"/>
      <c r="K15" s="10" t="n"/>
    </row>
    <row r="16">
      <c r="A16" s="5" t="inlineStr">
        <is>
          <t>頭部</t>
        </is>
      </c>
      <c r="B16" s="8">
        <f>C5+6</f>
        <v/>
      </c>
      <c r="C16" s="5" t="inlineStr"/>
      <c r="D16" s="6" t="inlineStr"/>
      <c r="E16" s="5" t="inlineStr"/>
      <c r="F16" s="6" t="inlineStr"/>
      <c r="G16" s="11" t="inlineStr">
        <is>
          <t>DR</t>
        </is>
      </c>
      <c r="H16" s="12" t="inlineStr">
        <is>
          <t>頭盔</t>
        </is>
      </c>
      <c r="I16" s="5" t="inlineStr">
        <is>
          <t>歸零=即死</t>
        </is>
      </c>
      <c r="J16" s="6" t="inlineStr">
        <is>
          <t>歸零=即死</t>
        </is>
      </c>
      <c r="K16" s="10" t="n"/>
    </row>
    <row r="17">
      <c r="A17" s="5" t="inlineStr">
        <is>
          <t>胸部</t>
        </is>
      </c>
      <c r="B17" s="8">
        <f>C5*2+10</f>
        <v/>
      </c>
      <c r="C17" s="5" t="inlineStr"/>
      <c r="D17" s="6" t="inlineStr"/>
      <c r="E17" s="5" t="inlineStr"/>
      <c r="F17" s="6" t="inlineStr"/>
      <c r="G17" s="11" t="inlineStr">
        <is>
          <t>DR</t>
        </is>
      </c>
      <c r="H17" s="12" t="inlineStr">
        <is>
          <t>防彈衣+背心</t>
        </is>
      </c>
      <c r="I17" s="5" t="inlineStr">
        <is>
          <t>歸零=瀕死(膽魄TN14/回合)</t>
        </is>
      </c>
      <c r="J17" s="6" t="inlineStr">
        <is>
          <t>歸零=瀕死(膽魄TN14/回合)</t>
        </is>
      </c>
      <c r="K17" s="10" t="n"/>
    </row>
    <row r="18">
      <c r="A18" s="5" t="inlineStr">
        <is>
          <t>腹部</t>
        </is>
      </c>
      <c r="B18" s="8">
        <f>C5+8</f>
        <v/>
      </c>
      <c r="C18" s="5" t="inlineStr"/>
      <c r="D18" s="6" t="inlineStr"/>
      <c r="E18" s="5" t="inlineStr"/>
      <c r="F18" s="6" t="inlineStr"/>
      <c r="G18" s="11" t="inlineStr">
        <is>
          <t>DR</t>
        </is>
      </c>
      <c r="H18" s="12" t="inlineStr">
        <is>
          <t>防彈衣+背心</t>
        </is>
      </c>
      <c r="I18" s="5" t="inlineStr">
        <is>
          <t>歸零=內出血(1HP/分)</t>
        </is>
      </c>
      <c r="J18" s="6" t="inlineStr">
        <is>
          <t>歸零=內出血(1HP/分)</t>
        </is>
      </c>
      <c r="K18" s="10" t="n"/>
    </row>
    <row r="19">
      <c r="A19" s="5" t="inlineStr">
        <is>
          <t>左臂</t>
        </is>
      </c>
      <c r="B19" s="8">
        <f>C5+4</f>
        <v/>
      </c>
      <c r="C19" s="5" t="inlineStr"/>
      <c r="D19" s="6" t="inlineStr"/>
      <c r="E19" s="5" t="inlineStr"/>
      <c r="F19" s="6" t="inlineStr"/>
      <c r="G19" s="11" t="inlineStr">
        <is>
          <t>DR</t>
        </is>
      </c>
      <c r="H19" s="12" t="inlineStr">
        <is>
          <t>手套</t>
        </is>
      </c>
      <c r="I19" s="5" t="inlineStr">
        <is>
          <t>歸零=永久失能</t>
        </is>
      </c>
      <c r="J19" s="6" t="inlineStr">
        <is>
          <t>歸零=永久失能</t>
        </is>
      </c>
      <c r="K19" s="10" t="n"/>
    </row>
    <row r="20">
      <c r="A20" s="5" t="inlineStr">
        <is>
          <t>右臂</t>
        </is>
      </c>
      <c r="B20" s="8">
        <f>C5+4</f>
        <v/>
      </c>
      <c r="C20" s="5" t="inlineStr"/>
      <c r="D20" s="6" t="inlineStr"/>
      <c r="E20" s="5" t="inlineStr"/>
      <c r="F20" s="6" t="inlineStr"/>
      <c r="G20" s="11" t="inlineStr">
        <is>
          <t>DR</t>
        </is>
      </c>
      <c r="H20" s="12" t="inlineStr">
        <is>
          <t>手套</t>
        </is>
      </c>
      <c r="I20" s="5" t="inlineStr">
        <is>
          <t>歸零=永久失能</t>
        </is>
      </c>
      <c r="J20" s="6" t="inlineStr">
        <is>
          <t>歸零=永久失能</t>
        </is>
      </c>
      <c r="K20" s="10" t="n"/>
    </row>
    <row r="21">
      <c r="A21" s="5" t="inlineStr">
        <is>
          <t>左腿</t>
        </is>
      </c>
      <c r="B21" s="8">
        <f>C5+5</f>
        <v/>
      </c>
      <c r="C21" s="5" t="inlineStr"/>
      <c r="D21" s="6" t="inlineStr"/>
      <c r="E21" s="5" t="inlineStr"/>
      <c r="F21" s="6" t="inlineStr"/>
      <c r="G21" s="11" t="inlineStr">
        <is>
          <t>DR</t>
        </is>
      </c>
      <c r="H21" s="12" t="inlineStr">
        <is>
          <t>軍靴</t>
        </is>
      </c>
      <c r="I21" s="5" t="inlineStr">
        <is>
          <t>歸零=倒地,不可行走</t>
        </is>
      </c>
      <c r="J21" s="6" t="inlineStr">
        <is>
          <t>歸零=倒地,不可行走</t>
        </is>
      </c>
      <c r="K21" s="10" t="n"/>
    </row>
    <row r="22">
      <c r="A22" s="5" t="inlineStr">
        <is>
          <t>右腿</t>
        </is>
      </c>
      <c r="B22" s="8">
        <f>C5+5</f>
        <v/>
      </c>
      <c r="C22" s="5" t="inlineStr"/>
      <c r="D22" s="6" t="inlineStr"/>
      <c r="E22" s="5" t="inlineStr"/>
      <c r="F22" s="6" t="inlineStr"/>
      <c r="G22" s="11" t="inlineStr">
        <is>
          <t>DR</t>
        </is>
      </c>
      <c r="H22" s="12" t="inlineStr">
        <is>
          <t>軍靴</t>
        </is>
      </c>
      <c r="I22" s="5" t="inlineStr">
        <is>
          <t>歸零=倒地,不可行走</t>
        </is>
      </c>
      <c r="J22" s="6" t="inlineStr">
        <is>
          <t>歸零=倒地,不可行走</t>
        </is>
      </c>
      <c r="K22" s="10" t="n"/>
    </row>
    <row r="23">
      <c r="A23" s="3" t="inlineStr">
        <is>
          <t>戰鬥數據</t>
        </is>
      </c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10" t="n"/>
    </row>
    <row r="24">
      <c r="A24" s="6" t="inlineStr">
        <is>
          <t>主攻擊: 裂隙權杖 3d6 近-中距</t>
        </is>
      </c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10" t="n"/>
    </row>
    <row r="25">
      <c r="C25" s="2" t="n"/>
    </row>
    <row r="26">
      <c r="D26" s="2" t="n"/>
    </row>
    <row r="27">
      <c r="E27" s="2" t="n"/>
    </row>
    <row r="28">
      <c r="F28" s="2" t="n"/>
    </row>
    <row r="29">
      <c r="G29" s="2" t="n"/>
    </row>
    <row r="30">
      <c r="H30" s="2" t="n"/>
    </row>
    <row r="31">
      <c r="I31" s="2" t="n"/>
    </row>
    <row r="32">
      <c r="J32" s="2" t="n"/>
    </row>
    <row r="33">
      <c r="K33" s="2" t="n"/>
    </row>
    <row r="34">
      <c r="A34" s="6" t="inlineStr">
        <is>
          <t>副攻擊: 心靈支配 膽魄TN20否則被控制1回合 中距</t>
        </is>
      </c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10" t="n"/>
    </row>
    <row r="35">
      <c r="C35" s="2" t="n"/>
    </row>
    <row r="36">
      <c r="D36" s="2" t="n"/>
    </row>
    <row r="37">
      <c r="E37" s="2" t="n"/>
    </row>
    <row r="38">
      <c r="F38" s="2" t="n"/>
    </row>
    <row r="39">
      <c r="G39" s="2" t="n"/>
    </row>
    <row r="40">
      <c r="H40" s="2" t="n"/>
    </row>
    <row r="41">
      <c r="I41" s="2" t="n"/>
    </row>
    <row r="42">
      <c r="J42" s="2" t="n"/>
    </row>
    <row r="43">
      <c r="K43" s="2" t="n"/>
    </row>
    <row r="44">
      <c r="A44" s="6" t="inlineStr">
        <is>
          <t>防具/DR: 全身DR1(帷幕祝福)+精神屏障</t>
        </is>
      </c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10" t="n"/>
    </row>
    <row r="45">
      <c r="C45" s="2" t="n"/>
    </row>
    <row r="46">
      <c r="D46" s="2" t="n"/>
    </row>
    <row r="47">
      <c r="E47" s="2" t="n"/>
    </row>
    <row r="48">
      <c r="F48" s="2" t="n"/>
    </row>
    <row r="49">
      <c r="G49" s="2" t="n"/>
    </row>
    <row r="50">
      <c r="H50" s="2" t="n"/>
    </row>
    <row r="51">
      <c r="I51" s="2" t="n"/>
    </row>
    <row r="52">
      <c r="J52" s="2" t="n"/>
    </row>
    <row r="53">
      <c r="K53" s="2" t="n"/>
    </row>
    <row r="54">
      <c r="A54" s="6" t="inlineStr">
        <is>
          <t>特殊能力: 三階段: (1)召喚深潛者; (2)HP&lt;60%時間停滯; (3)HP&lt;30%逃入核心區</t>
        </is>
      </c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10" t="n"/>
    </row>
    <row r="55">
      <c r="C55" s="2" t="n"/>
    </row>
    <row r="56">
      <c r="D56" s="2" t="n"/>
    </row>
    <row r="57">
      <c r="E57" s="2" t="n"/>
    </row>
    <row r="58">
      <c r="F58" s="2" t="n"/>
    </row>
    <row r="59">
      <c r="G59" s="2" t="n"/>
    </row>
    <row r="60">
      <c r="H60" s="2" t="n"/>
    </row>
    <row r="61">
      <c r="I61" s="2" t="n"/>
    </row>
    <row r="62">
      <c r="J62" s="2" t="n"/>
    </row>
    <row r="63">
      <c r="K63" s="2" t="n"/>
    </row>
    <row r="64">
      <c r="A64" s="6" t="inlineStr">
        <is>
          <t>行為模式: 狂熱領袖; 相信裂隙是神聖顯現; 為信仰戰鬥至死</t>
        </is>
      </c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10" t="n"/>
    </row>
    <row r="65">
      <c r="C65" s="2" t="n"/>
    </row>
    <row r="66">
      <c r="D66" s="2" t="n"/>
    </row>
    <row r="67">
      <c r="E67" s="2" t="n"/>
    </row>
    <row r="68">
      <c r="F68" s="2" t="n"/>
    </row>
    <row r="69">
      <c r="G69" s="2" t="n"/>
    </row>
    <row r="70">
      <c r="H70" s="2" t="n"/>
    </row>
    <row r="71">
      <c r="I71" s="2" t="n"/>
    </row>
    <row r="72">
      <c r="J72" s="2" t="n"/>
    </row>
    <row r="73">
      <c r="K73" s="2" t="n"/>
    </row>
    <row r="74">
      <c r="A74" s="6" t="inlineStr">
        <is>
          <t>戰利品: 裂隙權杖(金)+帷幕碎片(金)+教團典籍x3(紫)</t>
        </is>
      </c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10" t="n"/>
    </row>
    <row r="75">
      <c r="C75" s="2" t="n"/>
    </row>
    <row r="76">
      <c r="D76" s="2" t="n"/>
    </row>
    <row r="77">
      <c r="E77" s="2" t="n"/>
    </row>
    <row r="78">
      <c r="F78" s="2" t="n"/>
    </row>
    <row r="79">
      <c r="G79" s="2" t="n"/>
    </row>
    <row r="80">
      <c r="H80" s="2" t="n"/>
    </row>
    <row r="81">
      <c r="I81" s="2" t="n"/>
    </row>
    <row r="82">
      <c r="J82" s="2" t="n"/>
    </row>
    <row r="83">
      <c r="K83" s="2" t="n"/>
    </row>
  </sheetData>
  <mergeCells count="120">
    <mergeCell ref="A64:K64"/>
    <mergeCell ref="H3"/>
    <mergeCell ref="A24:K24"/>
    <mergeCell ref="J19:K19"/>
    <mergeCell ref="B20"/>
    <mergeCell ref="E16"/>
    <mergeCell ref="G16"/>
    <mergeCell ref="B12:C12"/>
    <mergeCell ref="C18"/>
    <mergeCell ref="E18"/>
    <mergeCell ref="A54:K54"/>
    <mergeCell ref="H20"/>
    <mergeCell ref="E7:G7"/>
    <mergeCell ref="B13:C13"/>
    <mergeCell ref="G17"/>
    <mergeCell ref="F21"/>
    <mergeCell ref="A2:K2"/>
    <mergeCell ref="H21"/>
    <mergeCell ref="E19"/>
    <mergeCell ref="G19"/>
    <mergeCell ref="I22"/>
    <mergeCell ref="J21:K21"/>
    <mergeCell ref="B17"/>
    <mergeCell ref="D17"/>
    <mergeCell ref="A3"/>
    <mergeCell ref="I21"/>
    <mergeCell ref="H7"/>
    <mergeCell ref="H16"/>
    <mergeCell ref="B19"/>
    <mergeCell ref="A5"/>
    <mergeCell ref="D3"/>
    <mergeCell ref="B3:C3"/>
    <mergeCell ref="A13"/>
    <mergeCell ref="B11:C11"/>
    <mergeCell ref="D20"/>
    <mergeCell ref="A15"/>
    <mergeCell ref="C15"/>
    <mergeCell ref="B22"/>
    <mergeCell ref="D22"/>
    <mergeCell ref="A74:K74"/>
    <mergeCell ref="J20:K20"/>
    <mergeCell ref="E17"/>
    <mergeCell ref="B21"/>
    <mergeCell ref="D21"/>
    <mergeCell ref="A7"/>
    <mergeCell ref="F15"/>
    <mergeCell ref="A16"/>
    <mergeCell ref="C16"/>
    <mergeCell ref="J22:K22"/>
    <mergeCell ref="A8:K8"/>
    <mergeCell ref="G18"/>
    <mergeCell ref="I18"/>
    <mergeCell ref="A18"/>
    <mergeCell ref="D7"/>
    <mergeCell ref="D16"/>
    <mergeCell ref="G5"/>
    <mergeCell ref="I5"/>
    <mergeCell ref="A34:K34"/>
    <mergeCell ref="A22"/>
    <mergeCell ref="D18"/>
    <mergeCell ref="B7:C7"/>
    <mergeCell ref="G20"/>
    <mergeCell ref="I20"/>
    <mergeCell ref="A20"/>
    <mergeCell ref="H15"/>
    <mergeCell ref="I3:K3"/>
    <mergeCell ref="A1:K1"/>
    <mergeCell ref="H18"/>
    <mergeCell ref="E22"/>
    <mergeCell ref="G22"/>
    <mergeCell ref="E21"/>
    <mergeCell ref="G21"/>
    <mergeCell ref="I15"/>
    <mergeCell ref="D19"/>
    <mergeCell ref="F19"/>
    <mergeCell ref="F16"/>
    <mergeCell ref="J16:K16"/>
    <mergeCell ref="F20"/>
    <mergeCell ref="I16"/>
    <mergeCell ref="B9:C9"/>
    <mergeCell ref="A14:K14"/>
    <mergeCell ref="A23:K23"/>
    <mergeCell ref="A4:K4"/>
    <mergeCell ref="H19"/>
    <mergeCell ref="I7:K7"/>
    <mergeCell ref="I17"/>
    <mergeCell ref="A17"/>
    <mergeCell ref="C17"/>
    <mergeCell ref="B15"/>
    <mergeCell ref="D15"/>
    <mergeCell ref="A10"/>
    <mergeCell ref="I19"/>
    <mergeCell ref="A19"/>
    <mergeCell ref="C19"/>
    <mergeCell ref="A6:K6"/>
    <mergeCell ref="A9"/>
    <mergeCell ref="J15:K15"/>
    <mergeCell ref="B16"/>
    <mergeCell ref="A11"/>
    <mergeCell ref="C5"/>
    <mergeCell ref="E5"/>
    <mergeCell ref="B18"/>
    <mergeCell ref="C20"/>
    <mergeCell ref="E20"/>
    <mergeCell ref="B10:C10"/>
    <mergeCell ref="E3:G3"/>
    <mergeCell ref="H22"/>
    <mergeCell ref="C22"/>
    <mergeCell ref="F18"/>
    <mergeCell ref="A12"/>
    <mergeCell ref="F17"/>
    <mergeCell ref="A21"/>
    <mergeCell ref="H17"/>
    <mergeCell ref="C21"/>
    <mergeCell ref="E15"/>
    <mergeCell ref="J18:K18"/>
    <mergeCell ref="G15"/>
    <mergeCell ref="A44:K44"/>
    <mergeCell ref="F22"/>
    <mergeCell ref="J17:K1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敵人數據卡 - 鐵壁科薩克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10" t="n"/>
    </row>
    <row r="2">
      <c r="A2" s="3" t="inlineStr">
        <is>
          <t>基本資訊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10" t="n"/>
    </row>
    <row r="3">
      <c r="A3" s="5" t="inlineStr">
        <is>
          <t>敵人名稱</t>
        </is>
      </c>
      <c r="B3" s="6" t="inlineStr">
        <is>
          <t>鐵壁科薩克</t>
        </is>
      </c>
      <c r="C3" s="10" t="n"/>
      <c r="D3" s="5" t="inlineStr">
        <is>
          <t>出場劇本</t>
        </is>
      </c>
      <c r="E3" s="6" t="inlineStr">
        <is>
          <t>劇本九</t>
        </is>
      </c>
      <c r="F3" s="9" t="n"/>
      <c r="G3" s="10" t="n"/>
      <c r="H3" s="5" t="inlineStr">
        <is>
          <t>威脅值</t>
        </is>
      </c>
      <c r="I3" s="6" t="n">
        <v>16</v>
      </c>
      <c r="J3" s="9" t="n"/>
      <c r="K3" s="10" t="n"/>
    </row>
    <row r="4">
      <c r="A4" s="3" t="inlineStr">
        <is>
          <t>五大屬性 [數值已輸入,修改黃色格]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10" t="n"/>
    </row>
    <row r="5">
      <c r="A5" s="5" t="inlineStr">
        <is>
          <t>體魄PHY</t>
        </is>
      </c>
      <c r="B5" s="7" t="n">
        <v>9</v>
      </c>
      <c r="C5" s="5" t="inlineStr">
        <is>
          <t>精準PRC</t>
        </is>
      </c>
      <c r="D5" s="7" t="n">
        <v>5</v>
      </c>
      <c r="E5" s="5" t="inlineStr">
        <is>
          <t>感知PER</t>
        </is>
      </c>
      <c r="F5" s="7" t="n">
        <v>4</v>
      </c>
      <c r="G5" s="5" t="inlineStr">
        <is>
          <t>技術TEC</t>
        </is>
      </c>
      <c r="H5" s="7" t="n">
        <v>3</v>
      </c>
      <c r="I5" s="5" t="inlineStr">
        <is>
          <t>膽魄CRG</t>
        </is>
      </c>
      <c r="J5" s="7" t="n">
        <v>8</v>
      </c>
    </row>
    <row r="6">
      <c r="A6" s="3" t="inlineStr">
        <is>
          <t>衍生屬性（自動計算）</t>
        </is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10" t="n"/>
    </row>
    <row r="7">
      <c r="A7" s="5" t="inlineStr">
        <is>
          <t>先攻值</t>
        </is>
      </c>
      <c r="B7" s="8">
        <f>G5+E5</f>
        <v/>
      </c>
      <c r="C7" s="10" t="n"/>
      <c r="D7" s="5" t="inlineStr">
        <is>
          <t>負重上限kg</t>
        </is>
      </c>
      <c r="E7" s="8">
        <f>C5*5</f>
        <v/>
      </c>
      <c r="F7" s="9" t="n"/>
      <c r="G7" s="10" t="n"/>
      <c r="H7" s="5" t="inlineStr">
        <is>
          <t>技能點參考</t>
        </is>
      </c>
      <c r="I7" s="8">
        <f>(I5+K5)*2</f>
        <v/>
      </c>
      <c r="J7" s="9" t="n"/>
      <c r="K7" s="10" t="n"/>
    </row>
    <row r="8">
      <c r="A8" s="3" t="inlineStr">
        <is>
          <t>技能等級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10" t="n"/>
    </row>
    <row r="9">
      <c r="A9" s="5" t="inlineStr">
        <is>
          <t>重型</t>
        </is>
      </c>
      <c r="B9" s="6" t="n">
        <v>4</v>
      </c>
      <c r="C9" s="10" t="n"/>
    </row>
    <row r="10">
      <c r="A10" s="5" t="inlineStr">
        <is>
          <t>近戰</t>
        </is>
      </c>
      <c r="B10" s="6" t="n">
        <v>5</v>
      </c>
      <c r="C10" s="10" t="n"/>
    </row>
    <row r="11">
      <c r="A11" s="5" t="inlineStr">
        <is>
          <t>意志</t>
        </is>
      </c>
      <c r="B11" s="6" t="n">
        <v>5</v>
      </c>
      <c r="C11" s="10" t="n"/>
    </row>
    <row r="12">
      <c r="A12" s="5" t="inlineStr">
        <is>
          <t>領導</t>
        </is>
      </c>
      <c r="B12" s="6" t="n">
        <v>4</v>
      </c>
      <c r="C12" s="10" t="n"/>
    </row>
    <row r="13">
      <c r="A13" s="5" t="inlineStr">
        <is>
          <t>威嚇</t>
        </is>
      </c>
      <c r="B13" s="6" t="n">
        <v>4</v>
      </c>
      <c r="C13" s="10" t="n"/>
    </row>
    <row r="14">
      <c r="A14" s="3" t="inlineStr">
        <is>
          <t>七部位 HP（自動計算）</t>
        </is>
      </c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10" t="n"/>
    </row>
    <row r="15">
      <c r="A15" s="5" t="inlineStr">
        <is>
          <t>部位</t>
        </is>
      </c>
      <c r="B15" s="6" t="inlineStr">
        <is>
          <t>最大HP</t>
        </is>
      </c>
      <c r="C15" s="5" t="inlineStr">
        <is>
          <t>當前HP</t>
        </is>
      </c>
      <c r="D15" s="6" t="inlineStr"/>
      <c r="E15" s="5" t="inlineStr">
        <is>
          <t>DR</t>
        </is>
      </c>
      <c r="F15" s="5" t="inlineStr">
        <is>
          <t>DR</t>
        </is>
      </c>
      <c r="G15" s="5" t="inlineStr">
        <is>
          <t>DR</t>
        </is>
      </c>
      <c r="H15" s="6" t="inlineStr"/>
      <c r="I15" s="5" t="inlineStr">
        <is>
          <t>受傷效果</t>
        </is>
      </c>
      <c r="J15" s="6" t="inlineStr"/>
      <c r="K15" s="10" t="n"/>
    </row>
    <row r="16">
      <c r="A16" s="5" t="inlineStr">
        <is>
          <t>頭部</t>
        </is>
      </c>
      <c r="B16" s="8">
        <f>C5+6</f>
        <v/>
      </c>
      <c r="C16" s="5" t="inlineStr"/>
      <c r="D16" s="6" t="inlineStr"/>
      <c r="E16" s="5" t="inlineStr"/>
      <c r="F16" s="6" t="inlineStr"/>
      <c r="G16" s="11" t="inlineStr">
        <is>
          <t>DR</t>
        </is>
      </c>
      <c r="H16" s="12" t="inlineStr">
        <is>
          <t>頭盔</t>
        </is>
      </c>
      <c r="I16" s="5" t="inlineStr">
        <is>
          <t>歸零=即死</t>
        </is>
      </c>
      <c r="J16" s="6" t="inlineStr">
        <is>
          <t>歸零=即死</t>
        </is>
      </c>
      <c r="K16" s="10" t="n"/>
    </row>
    <row r="17">
      <c r="A17" s="5" t="inlineStr">
        <is>
          <t>胸部</t>
        </is>
      </c>
      <c r="B17" s="8">
        <f>C5*2+10</f>
        <v/>
      </c>
      <c r="C17" s="5" t="inlineStr"/>
      <c r="D17" s="6" t="inlineStr"/>
      <c r="E17" s="5" t="inlineStr"/>
      <c r="F17" s="6" t="inlineStr"/>
      <c r="G17" s="11" t="inlineStr">
        <is>
          <t>DR</t>
        </is>
      </c>
      <c r="H17" s="12" t="inlineStr">
        <is>
          <t>防彈衣+背心</t>
        </is>
      </c>
      <c r="I17" s="5" t="inlineStr">
        <is>
          <t>歸零=瀕死(膽魄TN14/回合)</t>
        </is>
      </c>
      <c r="J17" s="6" t="inlineStr">
        <is>
          <t>歸零=瀕死(膽魄TN14/回合)</t>
        </is>
      </c>
      <c r="K17" s="10" t="n"/>
    </row>
    <row r="18">
      <c r="A18" s="5" t="inlineStr">
        <is>
          <t>腹部</t>
        </is>
      </c>
      <c r="B18" s="8">
        <f>C5+8</f>
        <v/>
      </c>
      <c r="C18" s="5" t="inlineStr"/>
      <c r="D18" s="6" t="inlineStr"/>
      <c r="E18" s="5" t="inlineStr"/>
      <c r="F18" s="6" t="inlineStr"/>
      <c r="G18" s="11" t="inlineStr">
        <is>
          <t>DR</t>
        </is>
      </c>
      <c r="H18" s="12" t="inlineStr">
        <is>
          <t>防彈衣+背心</t>
        </is>
      </c>
      <c r="I18" s="5" t="inlineStr">
        <is>
          <t>歸零=內出血(1HP/分)</t>
        </is>
      </c>
      <c r="J18" s="6" t="inlineStr">
        <is>
          <t>歸零=內出血(1HP/分)</t>
        </is>
      </c>
      <c r="K18" s="10" t="n"/>
    </row>
    <row r="19">
      <c r="A19" s="5" t="inlineStr">
        <is>
          <t>左臂</t>
        </is>
      </c>
      <c r="B19" s="8">
        <f>C5+4</f>
        <v/>
      </c>
      <c r="C19" s="5" t="inlineStr"/>
      <c r="D19" s="6" t="inlineStr"/>
      <c r="E19" s="5" t="inlineStr"/>
      <c r="F19" s="6" t="inlineStr"/>
      <c r="G19" s="11" t="inlineStr">
        <is>
          <t>DR</t>
        </is>
      </c>
      <c r="H19" s="12" t="inlineStr">
        <is>
          <t>手套</t>
        </is>
      </c>
      <c r="I19" s="5" t="inlineStr">
        <is>
          <t>歸零=永久失能</t>
        </is>
      </c>
      <c r="J19" s="6" t="inlineStr">
        <is>
          <t>歸零=永久失能</t>
        </is>
      </c>
      <c r="K19" s="10" t="n"/>
    </row>
    <row r="20">
      <c r="A20" s="5" t="inlineStr">
        <is>
          <t>右臂</t>
        </is>
      </c>
      <c r="B20" s="8">
        <f>C5+4</f>
        <v/>
      </c>
      <c r="C20" s="5" t="inlineStr"/>
      <c r="D20" s="6" t="inlineStr"/>
      <c r="E20" s="5" t="inlineStr"/>
      <c r="F20" s="6" t="inlineStr"/>
      <c r="G20" s="11" t="inlineStr">
        <is>
          <t>DR</t>
        </is>
      </c>
      <c r="H20" s="12" t="inlineStr">
        <is>
          <t>手套</t>
        </is>
      </c>
      <c r="I20" s="5" t="inlineStr">
        <is>
          <t>歸零=永久失能</t>
        </is>
      </c>
      <c r="J20" s="6" t="inlineStr">
        <is>
          <t>歸零=永久失能</t>
        </is>
      </c>
      <c r="K20" s="10" t="n"/>
    </row>
    <row r="21">
      <c r="A21" s="5" t="inlineStr">
        <is>
          <t>左腿</t>
        </is>
      </c>
      <c r="B21" s="8">
        <f>C5+5</f>
        <v/>
      </c>
      <c r="C21" s="5" t="inlineStr"/>
      <c r="D21" s="6" t="inlineStr"/>
      <c r="E21" s="5" t="inlineStr"/>
      <c r="F21" s="6" t="inlineStr"/>
      <c r="G21" s="11" t="inlineStr">
        <is>
          <t>DR</t>
        </is>
      </c>
      <c r="H21" s="12" t="inlineStr">
        <is>
          <t>軍靴</t>
        </is>
      </c>
      <c r="I21" s="5" t="inlineStr">
        <is>
          <t>歸零=倒地,不可行走</t>
        </is>
      </c>
      <c r="J21" s="6" t="inlineStr">
        <is>
          <t>歸零=倒地,不可行走</t>
        </is>
      </c>
      <c r="K21" s="10" t="n"/>
    </row>
    <row r="22">
      <c r="A22" s="5" t="inlineStr">
        <is>
          <t>右腿</t>
        </is>
      </c>
      <c r="B22" s="8">
        <f>C5+5</f>
        <v/>
      </c>
      <c r="C22" s="5" t="inlineStr"/>
      <c r="D22" s="6" t="inlineStr"/>
      <c r="E22" s="5" t="inlineStr"/>
      <c r="F22" s="6" t="inlineStr"/>
      <c r="G22" s="11" t="inlineStr">
        <is>
          <t>DR</t>
        </is>
      </c>
      <c r="H22" s="12" t="inlineStr">
        <is>
          <t>軍靴</t>
        </is>
      </c>
      <c r="I22" s="5" t="inlineStr">
        <is>
          <t>歸零=倒地,不可行走</t>
        </is>
      </c>
      <c r="J22" s="6" t="inlineStr">
        <is>
          <t>歸零=倒地,不可行走</t>
        </is>
      </c>
      <c r="K22" s="10" t="n"/>
    </row>
    <row r="23">
      <c r="A23" s="3" t="inlineStr">
        <is>
          <t>戰鬥數據</t>
        </is>
      </c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10" t="n"/>
    </row>
    <row r="24">
      <c r="A24" s="6" t="inlineStr">
        <is>
          <t>主攻擊: 重型突擊步槍 2d6全自動穿甲1 中-遠距</t>
        </is>
      </c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10" t="n"/>
    </row>
    <row r="25">
      <c r="C25" s="2" t="n"/>
    </row>
    <row r="26">
      <c r="D26" s="2" t="n"/>
    </row>
    <row r="27">
      <c r="E27" s="2" t="n"/>
    </row>
    <row r="28">
      <c r="F28" s="2" t="n"/>
    </row>
    <row r="29">
      <c r="G29" s="2" t="n"/>
    </row>
    <row r="30">
      <c r="H30" s="2" t="n"/>
    </row>
    <row r="31">
      <c r="I31" s="2" t="n"/>
    </row>
    <row r="32">
      <c r="J32" s="2" t="n"/>
    </row>
    <row r="33">
      <c r="K33" s="2" t="n"/>
    </row>
    <row r="34">
      <c r="A34" s="6" t="inlineStr">
        <is>
          <t>副攻擊: 戰術斧 1d8+9 近接</t>
        </is>
      </c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10" t="n"/>
    </row>
    <row r="35">
      <c r="C35" s="2" t="n"/>
    </row>
    <row r="36">
      <c r="D36" s="2" t="n"/>
    </row>
    <row r="37">
      <c r="E37" s="2" t="n"/>
    </row>
    <row r="38">
      <c r="F38" s="2" t="n"/>
    </row>
    <row r="39">
      <c r="G39" s="2" t="n"/>
    </row>
    <row r="40">
      <c r="H40" s="2" t="n"/>
    </row>
    <row r="41">
      <c r="I41" s="2" t="n"/>
    </row>
    <row r="42">
      <c r="J42" s="2" t="n"/>
    </row>
    <row r="43">
      <c r="K43" s="2" t="n"/>
    </row>
    <row r="44">
      <c r="A44" s="6" t="inlineStr">
        <is>
          <t>防具/DR: 頭DR1(重裝),全身DR1(全身重甲)</t>
        </is>
      </c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10" t="n"/>
    </row>
    <row r="45">
      <c r="C45" s="2" t="n"/>
    </row>
    <row r="46">
      <c r="D46" s="2" t="n"/>
    </row>
    <row r="47">
      <c r="E47" s="2" t="n"/>
    </row>
    <row r="48">
      <c r="F48" s="2" t="n"/>
    </row>
    <row r="49">
      <c r="G49" s="2" t="n"/>
    </row>
    <row r="50">
      <c r="H50" s="2" t="n"/>
    </row>
    <row r="51">
      <c r="I51" s="2" t="n"/>
    </row>
    <row r="52">
      <c r="J52" s="2" t="n"/>
    </row>
    <row r="53">
      <c r="K53" s="2" t="n"/>
    </row>
    <row r="54">
      <c r="A54" s="6" t="inlineStr">
        <is>
          <t>特殊能力: 三階段: (1)火力壓制+呼叫增援; (2)換斧衝鋒+士氣咆哮; (3)自爆裝置3回合倒數3d6/10m</t>
        </is>
      </c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10" t="n"/>
    </row>
    <row r="55">
      <c r="C55" s="2" t="n"/>
    </row>
    <row r="56">
      <c r="D56" s="2" t="n"/>
    </row>
    <row r="57">
      <c r="E57" s="2" t="n"/>
    </row>
    <row r="58">
      <c r="F58" s="2" t="n"/>
    </row>
    <row r="59">
      <c r="G59" s="2" t="n"/>
    </row>
    <row r="60">
      <c r="H60" s="2" t="n"/>
    </row>
    <row r="61">
      <c r="I61" s="2" t="n"/>
    </row>
    <row r="62">
      <c r="J62" s="2" t="n"/>
    </row>
    <row r="63">
      <c r="K63" s="2" t="n"/>
    </row>
    <row r="64">
      <c r="A64" s="6" t="inlineStr">
        <is>
          <t>行為模式: 鋼鐵兄弟會領袖; 不談判不撤退; 死戰到底</t>
        </is>
      </c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10" t="n"/>
    </row>
    <row r="65">
      <c r="C65" s="2" t="n"/>
    </row>
    <row r="66">
      <c r="D66" s="2" t="n"/>
    </row>
    <row r="67">
      <c r="E67" s="2" t="n"/>
    </row>
    <row r="68">
      <c r="F68" s="2" t="n"/>
    </row>
    <row r="69">
      <c r="G69" s="2" t="n"/>
    </row>
    <row r="70">
      <c r="H70" s="2" t="n"/>
    </row>
    <row r="71">
      <c r="I71" s="2" t="n"/>
    </row>
    <row r="72">
      <c r="J72" s="2" t="n"/>
    </row>
    <row r="73">
      <c r="K73" s="2" t="n"/>
    </row>
    <row r="74">
      <c r="A74" s="6" t="inlineStr">
        <is>
          <t>戰利品: 重型突擊步槍(金)+全身重甲(金)+兄弟會印記(傳說)</t>
        </is>
      </c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10" t="n"/>
    </row>
    <row r="75">
      <c r="C75" s="2" t="n"/>
    </row>
    <row r="76">
      <c r="D76" s="2" t="n"/>
    </row>
    <row r="77">
      <c r="E77" s="2" t="n"/>
    </row>
    <row r="78">
      <c r="F78" s="2" t="n"/>
    </row>
    <row r="79">
      <c r="G79" s="2" t="n"/>
    </row>
    <row r="80">
      <c r="H80" s="2" t="n"/>
    </row>
    <row r="81">
      <c r="I81" s="2" t="n"/>
    </row>
    <row r="82">
      <c r="J82" s="2" t="n"/>
    </row>
    <row r="83">
      <c r="K83" s="2" t="n"/>
    </row>
  </sheetData>
  <mergeCells count="120">
    <mergeCell ref="A64:K64"/>
    <mergeCell ref="H3"/>
    <mergeCell ref="A24:K24"/>
    <mergeCell ref="J19:K19"/>
    <mergeCell ref="B20"/>
    <mergeCell ref="E16"/>
    <mergeCell ref="G16"/>
    <mergeCell ref="B12:C12"/>
    <mergeCell ref="C18"/>
    <mergeCell ref="E18"/>
    <mergeCell ref="A54:K54"/>
    <mergeCell ref="H20"/>
    <mergeCell ref="E7:G7"/>
    <mergeCell ref="B13:C13"/>
    <mergeCell ref="G17"/>
    <mergeCell ref="F21"/>
    <mergeCell ref="A2:K2"/>
    <mergeCell ref="H21"/>
    <mergeCell ref="E19"/>
    <mergeCell ref="G19"/>
    <mergeCell ref="I22"/>
    <mergeCell ref="J21:K21"/>
    <mergeCell ref="B17"/>
    <mergeCell ref="D17"/>
    <mergeCell ref="A3"/>
    <mergeCell ref="I21"/>
    <mergeCell ref="H7"/>
    <mergeCell ref="H16"/>
    <mergeCell ref="B19"/>
    <mergeCell ref="A5"/>
    <mergeCell ref="D3"/>
    <mergeCell ref="B3:C3"/>
    <mergeCell ref="A13"/>
    <mergeCell ref="B11:C11"/>
    <mergeCell ref="D20"/>
    <mergeCell ref="A15"/>
    <mergeCell ref="C15"/>
    <mergeCell ref="B22"/>
    <mergeCell ref="D22"/>
    <mergeCell ref="A74:K74"/>
    <mergeCell ref="J20:K20"/>
    <mergeCell ref="E17"/>
    <mergeCell ref="B21"/>
    <mergeCell ref="D21"/>
    <mergeCell ref="A7"/>
    <mergeCell ref="F15"/>
    <mergeCell ref="A16"/>
    <mergeCell ref="C16"/>
    <mergeCell ref="J22:K22"/>
    <mergeCell ref="A8:K8"/>
    <mergeCell ref="G18"/>
    <mergeCell ref="I18"/>
    <mergeCell ref="A18"/>
    <mergeCell ref="D7"/>
    <mergeCell ref="D16"/>
    <mergeCell ref="G5"/>
    <mergeCell ref="I5"/>
    <mergeCell ref="A34:K34"/>
    <mergeCell ref="A22"/>
    <mergeCell ref="D18"/>
    <mergeCell ref="B7:C7"/>
    <mergeCell ref="G20"/>
    <mergeCell ref="I20"/>
    <mergeCell ref="A20"/>
    <mergeCell ref="H15"/>
    <mergeCell ref="I3:K3"/>
    <mergeCell ref="A1:K1"/>
    <mergeCell ref="H18"/>
    <mergeCell ref="E22"/>
    <mergeCell ref="G22"/>
    <mergeCell ref="E21"/>
    <mergeCell ref="G21"/>
    <mergeCell ref="I15"/>
    <mergeCell ref="D19"/>
    <mergeCell ref="F19"/>
    <mergeCell ref="F16"/>
    <mergeCell ref="J16:K16"/>
    <mergeCell ref="F20"/>
    <mergeCell ref="I16"/>
    <mergeCell ref="B9:C9"/>
    <mergeCell ref="A14:K14"/>
    <mergeCell ref="A23:K23"/>
    <mergeCell ref="A4:K4"/>
    <mergeCell ref="H19"/>
    <mergeCell ref="I7:K7"/>
    <mergeCell ref="I17"/>
    <mergeCell ref="A17"/>
    <mergeCell ref="C17"/>
    <mergeCell ref="B15"/>
    <mergeCell ref="D15"/>
    <mergeCell ref="A10"/>
    <mergeCell ref="I19"/>
    <mergeCell ref="A19"/>
    <mergeCell ref="C19"/>
    <mergeCell ref="A6:K6"/>
    <mergeCell ref="A9"/>
    <mergeCell ref="J15:K15"/>
    <mergeCell ref="B16"/>
    <mergeCell ref="A11"/>
    <mergeCell ref="C5"/>
    <mergeCell ref="E5"/>
    <mergeCell ref="B18"/>
    <mergeCell ref="C20"/>
    <mergeCell ref="E20"/>
    <mergeCell ref="B10:C10"/>
    <mergeCell ref="E3:G3"/>
    <mergeCell ref="H22"/>
    <mergeCell ref="C22"/>
    <mergeCell ref="F18"/>
    <mergeCell ref="A12"/>
    <mergeCell ref="F17"/>
    <mergeCell ref="A21"/>
    <mergeCell ref="H17"/>
    <mergeCell ref="C21"/>
    <mergeCell ref="E15"/>
    <mergeCell ref="J18:K18"/>
    <mergeCell ref="G15"/>
    <mergeCell ref="A44:K44"/>
    <mergeCell ref="F22"/>
    <mergeCell ref="J17:K1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敵人數據卡 - 傳送型變異體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10" t="n"/>
    </row>
    <row r="2">
      <c r="A2" s="3" t="inlineStr">
        <is>
          <t>基本資訊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10" t="n"/>
    </row>
    <row r="3">
      <c r="A3" s="5" t="inlineStr">
        <is>
          <t>敵人名稱</t>
        </is>
      </c>
      <c r="B3" s="6" t="inlineStr">
        <is>
          <t>傳送型變異體</t>
        </is>
      </c>
      <c r="C3" s="10" t="n"/>
      <c r="D3" s="5" t="inlineStr">
        <is>
          <t>出場劇本</t>
        </is>
      </c>
      <c r="E3" s="6" t="inlineStr">
        <is>
          <t>劇本十</t>
        </is>
      </c>
      <c r="F3" s="9" t="n"/>
      <c r="G3" s="10" t="n"/>
      <c r="H3" s="5" t="inlineStr">
        <is>
          <t>威脅值</t>
        </is>
      </c>
      <c r="I3" s="6" t="n">
        <v>11</v>
      </c>
      <c r="J3" s="9" t="n"/>
      <c r="K3" s="10" t="n"/>
    </row>
    <row r="4">
      <c r="A4" s="3" t="inlineStr">
        <is>
          <t>五大屬性 [數值已輸入,修改黃色格]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10" t="n"/>
    </row>
    <row r="5">
      <c r="A5" s="5" t="inlineStr">
        <is>
          <t>體魄PHY</t>
        </is>
      </c>
      <c r="B5" s="7" t="n">
        <v>6</v>
      </c>
      <c r="C5" s="5" t="inlineStr">
        <is>
          <t>精準PRC</t>
        </is>
      </c>
      <c r="D5" s="7" t="n">
        <v>4</v>
      </c>
      <c r="E5" s="5" t="inlineStr">
        <is>
          <t>感知PER</t>
        </is>
      </c>
      <c r="F5" s="7" t="n">
        <v>7</v>
      </c>
      <c r="G5" s="5" t="inlineStr">
        <is>
          <t>技術TEC</t>
        </is>
      </c>
      <c r="H5" s="7" t="n">
        <v>2</v>
      </c>
      <c r="I5" s="5" t="inlineStr">
        <is>
          <t>膽魄CRG</t>
        </is>
      </c>
      <c r="J5" s="7" t="n">
        <v>10</v>
      </c>
    </row>
    <row r="6">
      <c r="A6" s="3" t="inlineStr">
        <is>
          <t>衍生屬性（自動計算）</t>
        </is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10" t="n"/>
    </row>
    <row r="7">
      <c r="A7" s="5" t="inlineStr">
        <is>
          <t>先攻值</t>
        </is>
      </c>
      <c r="B7" s="8">
        <f>G5+E5</f>
        <v/>
      </c>
      <c r="C7" s="10" t="n"/>
      <c r="D7" s="5" t="inlineStr">
        <is>
          <t>負重上限kg</t>
        </is>
      </c>
      <c r="E7" s="8">
        <f>C5*5</f>
        <v/>
      </c>
      <c r="F7" s="9" t="n"/>
      <c r="G7" s="10" t="n"/>
      <c r="H7" s="5" t="inlineStr">
        <is>
          <t>技能點參考</t>
        </is>
      </c>
      <c r="I7" s="8">
        <f>(I5+K5)*2</f>
        <v/>
      </c>
      <c r="J7" s="9" t="n"/>
      <c r="K7" s="10" t="n"/>
    </row>
    <row r="8">
      <c r="A8" s="3" t="inlineStr">
        <is>
          <t>技能等級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10" t="n"/>
    </row>
    <row r="9">
      <c r="A9" s="5" t="inlineStr">
        <is>
          <t>近戰</t>
        </is>
      </c>
      <c r="B9" s="6" t="n">
        <v>3</v>
      </c>
      <c r="C9" s="10" t="n"/>
    </row>
    <row r="10">
      <c r="A10" s="5" t="inlineStr">
        <is>
          <t>投擲</t>
        </is>
      </c>
      <c r="B10" s="6" t="n">
        <v>2</v>
      </c>
      <c r="C10" s="10" t="n"/>
    </row>
    <row r="11">
      <c r="A11" s="5" t="inlineStr">
        <is>
          <t>潛行</t>
        </is>
      </c>
      <c r="B11" s="6" t="n">
        <v>4</v>
      </c>
      <c r="C11" s="10" t="n"/>
    </row>
    <row r="12">
      <c r="A12" s="5" t="inlineStr">
        <is>
          <t>意志</t>
        </is>
      </c>
      <c r="B12" s="6" t="n">
        <v>5</v>
      </c>
      <c r="C12" s="10" t="n"/>
    </row>
    <row r="13">
      <c r="A13" s="3" t="inlineStr">
        <is>
          <t>七部位 HP（自動計算）</t>
        </is>
      </c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10" t="n"/>
    </row>
    <row r="14">
      <c r="A14" s="5" t="inlineStr">
        <is>
          <t>部位</t>
        </is>
      </c>
      <c r="B14" s="6" t="inlineStr">
        <is>
          <t>最大HP</t>
        </is>
      </c>
      <c r="C14" s="5" t="inlineStr">
        <is>
          <t>當前HP</t>
        </is>
      </c>
      <c r="D14" s="6" t="inlineStr"/>
      <c r="E14" s="5" t="inlineStr">
        <is>
          <t>DR</t>
        </is>
      </c>
      <c r="F14" s="5" t="inlineStr">
        <is>
          <t>DR</t>
        </is>
      </c>
      <c r="G14" s="5" t="inlineStr">
        <is>
          <t>DR</t>
        </is>
      </c>
      <c r="H14" s="6" t="inlineStr"/>
      <c r="I14" s="5" t="inlineStr">
        <is>
          <t>受傷效果</t>
        </is>
      </c>
      <c r="J14" s="6" t="inlineStr"/>
      <c r="K14" s="10" t="n"/>
    </row>
    <row r="15">
      <c r="A15" s="5" t="inlineStr">
        <is>
          <t>頭部</t>
        </is>
      </c>
      <c r="B15" s="8">
        <f>C5+6</f>
        <v/>
      </c>
      <c r="C15" s="5" t="inlineStr"/>
      <c r="D15" s="6" t="inlineStr"/>
      <c r="E15" s="5" t="inlineStr"/>
      <c r="F15" s="6" t="inlineStr"/>
      <c r="G15" s="11" t="inlineStr">
        <is>
          <t>DR</t>
        </is>
      </c>
      <c r="H15" s="12" t="inlineStr">
        <is>
          <t>頭盔</t>
        </is>
      </c>
      <c r="I15" s="5" t="inlineStr">
        <is>
          <t>歸零=即死</t>
        </is>
      </c>
      <c r="J15" s="6" t="inlineStr">
        <is>
          <t>歸零=即死</t>
        </is>
      </c>
      <c r="K15" s="10" t="n"/>
    </row>
    <row r="16">
      <c r="A16" s="5" t="inlineStr">
        <is>
          <t>胸部</t>
        </is>
      </c>
      <c r="B16" s="8">
        <f>C5*2+10</f>
        <v/>
      </c>
      <c r="C16" s="5" t="inlineStr"/>
      <c r="D16" s="6" t="inlineStr"/>
      <c r="E16" s="5" t="inlineStr"/>
      <c r="F16" s="6" t="inlineStr"/>
      <c r="G16" s="11" t="inlineStr">
        <is>
          <t>DR</t>
        </is>
      </c>
      <c r="H16" s="12" t="inlineStr">
        <is>
          <t>防彈衣+背心</t>
        </is>
      </c>
      <c r="I16" s="5" t="inlineStr">
        <is>
          <t>歸零=瀕死(膽魄TN14/回合)</t>
        </is>
      </c>
      <c r="J16" s="6" t="inlineStr">
        <is>
          <t>歸零=瀕死(膽魄TN14/回合)</t>
        </is>
      </c>
      <c r="K16" s="10" t="n"/>
    </row>
    <row r="17">
      <c r="A17" s="5" t="inlineStr">
        <is>
          <t>腹部</t>
        </is>
      </c>
      <c r="B17" s="8">
        <f>C5+8</f>
        <v/>
      </c>
      <c r="C17" s="5" t="inlineStr"/>
      <c r="D17" s="6" t="inlineStr"/>
      <c r="E17" s="5" t="inlineStr"/>
      <c r="F17" s="6" t="inlineStr"/>
      <c r="G17" s="11" t="inlineStr">
        <is>
          <t>DR</t>
        </is>
      </c>
      <c r="H17" s="12" t="inlineStr">
        <is>
          <t>防彈衣+背心</t>
        </is>
      </c>
      <c r="I17" s="5" t="inlineStr">
        <is>
          <t>歸零=內出血(1HP/分)</t>
        </is>
      </c>
      <c r="J17" s="6" t="inlineStr">
        <is>
          <t>歸零=內出血(1HP/分)</t>
        </is>
      </c>
      <c r="K17" s="10" t="n"/>
    </row>
    <row r="18">
      <c r="A18" s="5" t="inlineStr">
        <is>
          <t>左臂</t>
        </is>
      </c>
      <c r="B18" s="8">
        <f>C5+4</f>
        <v/>
      </c>
      <c r="C18" s="5" t="inlineStr"/>
      <c r="D18" s="6" t="inlineStr"/>
      <c r="E18" s="5" t="inlineStr"/>
      <c r="F18" s="6" t="inlineStr"/>
      <c r="G18" s="11" t="inlineStr">
        <is>
          <t>DR</t>
        </is>
      </c>
      <c r="H18" s="12" t="inlineStr">
        <is>
          <t>手套</t>
        </is>
      </c>
      <c r="I18" s="5" t="inlineStr">
        <is>
          <t>歸零=永久失能</t>
        </is>
      </c>
      <c r="J18" s="6" t="inlineStr">
        <is>
          <t>歸零=永久失能</t>
        </is>
      </c>
      <c r="K18" s="10" t="n"/>
    </row>
    <row r="19">
      <c r="A19" s="5" t="inlineStr">
        <is>
          <t>右臂</t>
        </is>
      </c>
      <c r="B19" s="8">
        <f>C5+4</f>
        <v/>
      </c>
      <c r="C19" s="5" t="inlineStr"/>
      <c r="D19" s="6" t="inlineStr"/>
      <c r="E19" s="5" t="inlineStr"/>
      <c r="F19" s="6" t="inlineStr"/>
      <c r="G19" s="11" t="inlineStr">
        <is>
          <t>DR</t>
        </is>
      </c>
      <c r="H19" s="12" t="inlineStr">
        <is>
          <t>手套</t>
        </is>
      </c>
      <c r="I19" s="5" t="inlineStr">
        <is>
          <t>歸零=永久失能</t>
        </is>
      </c>
      <c r="J19" s="6" t="inlineStr">
        <is>
          <t>歸零=永久失能</t>
        </is>
      </c>
      <c r="K19" s="10" t="n"/>
    </row>
    <row r="20">
      <c r="A20" s="5" t="inlineStr">
        <is>
          <t>左腿</t>
        </is>
      </c>
      <c r="B20" s="8">
        <f>C5+5</f>
        <v/>
      </c>
      <c r="C20" s="5" t="inlineStr"/>
      <c r="D20" s="6" t="inlineStr"/>
      <c r="E20" s="5" t="inlineStr"/>
      <c r="F20" s="6" t="inlineStr"/>
      <c r="G20" s="11" t="inlineStr">
        <is>
          <t>DR</t>
        </is>
      </c>
      <c r="H20" s="12" t="inlineStr">
        <is>
          <t>軍靴</t>
        </is>
      </c>
      <c r="I20" s="5" t="inlineStr">
        <is>
          <t>歸零=倒地,不可行走</t>
        </is>
      </c>
      <c r="J20" s="6" t="inlineStr">
        <is>
          <t>歸零=倒地,不可行走</t>
        </is>
      </c>
      <c r="K20" s="10" t="n"/>
    </row>
    <row r="21">
      <c r="A21" s="5" t="inlineStr">
        <is>
          <t>右腿</t>
        </is>
      </c>
      <c r="B21" s="8">
        <f>C5+5</f>
        <v/>
      </c>
      <c r="C21" s="5" t="inlineStr"/>
      <c r="D21" s="6" t="inlineStr"/>
      <c r="E21" s="5" t="inlineStr"/>
      <c r="F21" s="6" t="inlineStr"/>
      <c r="G21" s="11" t="inlineStr">
        <is>
          <t>DR</t>
        </is>
      </c>
      <c r="H21" s="12" t="inlineStr">
        <is>
          <t>軍靴</t>
        </is>
      </c>
      <c r="I21" s="5" t="inlineStr">
        <is>
          <t>歸零=倒地,不可行走</t>
        </is>
      </c>
      <c r="J21" s="6" t="inlineStr">
        <is>
          <t>歸零=倒地,不可行走</t>
        </is>
      </c>
      <c r="K21" s="10" t="n"/>
    </row>
    <row r="22">
      <c r="A22" s="3" t="inlineStr">
        <is>
          <t>戰鬥數據</t>
        </is>
      </c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10" t="n"/>
    </row>
    <row r="23">
      <c r="A23" s="6" t="inlineStr">
        <is>
          <t>主攻擊: 次元爪 2d6+6 近接</t>
        </is>
      </c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10" t="n"/>
    </row>
    <row r="24">
      <c r="C24" s="2" t="n"/>
    </row>
    <row r="25">
      <c r="D25" s="2" t="n"/>
    </row>
    <row r="26">
      <c r="E26" s="2" t="n"/>
    </row>
    <row r="27">
      <c r="F27" s="2" t="n"/>
    </row>
    <row r="28">
      <c r="G28" s="2" t="n"/>
    </row>
    <row r="29">
      <c r="H29" s="2" t="n"/>
    </row>
    <row r="30">
      <c r="I30" s="2" t="n"/>
    </row>
    <row r="31">
      <c r="J31" s="2" t="n"/>
    </row>
    <row r="32">
      <c r="K32" s="2" t="n"/>
    </row>
    <row r="33">
      <c r="A33" s="6" t="inlineStr">
        <is>
          <t xml:space="preserve">副攻擊: </t>
        </is>
      </c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10" t="n"/>
    </row>
    <row r="34">
      <c r="C34" s="2" t="n"/>
    </row>
    <row r="35">
      <c r="D35" s="2" t="n"/>
    </row>
    <row r="36">
      <c r="E36" s="2" t="n"/>
    </row>
    <row r="37">
      <c r="F37" s="2" t="n"/>
    </row>
    <row r="38">
      <c r="G38" s="2" t="n"/>
    </row>
    <row r="39">
      <c r="H39" s="2" t="n"/>
    </row>
    <row r="40">
      <c r="I40" s="2" t="n"/>
    </row>
    <row r="41">
      <c r="J41" s="2" t="n"/>
    </row>
    <row r="42">
      <c r="K42" s="2" t="n"/>
    </row>
    <row r="43">
      <c r="A43" s="6" t="inlineStr">
        <is>
          <t>防具/DR: 全身DR1(異變甲殼)</t>
        </is>
      </c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10" t="n"/>
    </row>
    <row r="44">
      <c r="C44" s="2" t="n"/>
    </row>
    <row r="45">
      <c r="D45" s="2" t="n"/>
    </row>
    <row r="46">
      <c r="E46" s="2" t="n"/>
    </row>
    <row r="47">
      <c r="F47" s="2" t="n"/>
    </row>
    <row r="48">
      <c r="G48" s="2" t="n"/>
    </row>
    <row r="49">
      <c r="H49" s="2" t="n"/>
    </row>
    <row r="50">
      <c r="I50" s="2" t="n"/>
    </row>
    <row r="51">
      <c r="J51" s="2" t="n"/>
    </row>
    <row r="52">
      <c r="K52" s="2" t="n"/>
    </row>
    <row r="53">
      <c r="A53" s="6" t="inlineStr">
        <is>
          <t>特殊能力: 每回合可傳送1次(10m); 傳送後下次攻擊優勢; 被命中後50%傳送規避</t>
        </is>
      </c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10" t="n"/>
    </row>
    <row r="54">
      <c r="C54" s="2" t="n"/>
    </row>
    <row r="55">
      <c r="D55" s="2" t="n"/>
    </row>
    <row r="56">
      <c r="E56" s="2" t="n"/>
    </row>
    <row r="57">
      <c r="F57" s="2" t="n"/>
    </row>
    <row r="58">
      <c r="G58" s="2" t="n"/>
    </row>
    <row r="59">
      <c r="H59" s="2" t="n"/>
    </row>
    <row r="60">
      <c r="I60" s="2" t="n"/>
    </row>
    <row r="61">
      <c r="J61" s="2" t="n"/>
    </row>
    <row r="62">
      <c r="K62" s="2" t="n"/>
    </row>
    <row r="63">
      <c r="A63" s="6" t="inlineStr">
        <is>
          <t>行為模式: 不穩定傳送; 難以預測; 優先攻擊孤立目標</t>
        </is>
      </c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10" t="n"/>
    </row>
    <row r="64">
      <c r="C64" s="2" t="n"/>
    </row>
    <row r="65">
      <c r="D65" s="2" t="n"/>
    </row>
    <row r="66">
      <c r="E66" s="2" t="n"/>
    </row>
    <row r="67">
      <c r="F67" s="2" t="n"/>
    </row>
    <row r="68">
      <c r="G68" s="2" t="n"/>
    </row>
    <row r="69">
      <c r="H69" s="2" t="n"/>
    </row>
    <row r="70">
      <c r="I70" s="2" t="n"/>
    </row>
    <row r="71">
      <c r="J71" s="2" t="n"/>
    </row>
    <row r="72">
      <c r="K72" s="2" t="n"/>
    </row>
    <row r="73">
      <c r="A73" s="6" t="inlineStr">
        <is>
          <t>戰利品: 次元碎片(紫)</t>
        </is>
      </c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10" t="n"/>
    </row>
    <row r="74">
      <c r="C74" s="2" t="n"/>
    </row>
    <row r="75">
      <c r="D75" s="2" t="n"/>
    </row>
    <row r="76">
      <c r="E76" s="2" t="n"/>
    </row>
    <row r="77">
      <c r="F77" s="2" t="n"/>
    </row>
    <row r="78">
      <c r="G78" s="2" t="n"/>
    </row>
    <row r="79">
      <c r="H79" s="2" t="n"/>
    </row>
    <row r="80">
      <c r="I80" s="2" t="n"/>
    </row>
    <row r="81">
      <c r="J81" s="2" t="n"/>
    </row>
    <row r="82">
      <c r="K82" s="2" t="n"/>
    </row>
  </sheetData>
  <mergeCells count="118">
    <mergeCell ref="H3"/>
    <mergeCell ref="A73:K73"/>
    <mergeCell ref="J19:K19"/>
    <mergeCell ref="B20"/>
    <mergeCell ref="E16"/>
    <mergeCell ref="G16"/>
    <mergeCell ref="D14"/>
    <mergeCell ref="F14"/>
    <mergeCell ref="B12:C12"/>
    <mergeCell ref="C18"/>
    <mergeCell ref="E18"/>
    <mergeCell ref="H20"/>
    <mergeCell ref="E7:G7"/>
    <mergeCell ref="G17"/>
    <mergeCell ref="F21"/>
    <mergeCell ref="A2:K2"/>
    <mergeCell ref="A33:K33"/>
    <mergeCell ref="H21"/>
    <mergeCell ref="E19"/>
    <mergeCell ref="G19"/>
    <mergeCell ref="A22:K22"/>
    <mergeCell ref="J21:K21"/>
    <mergeCell ref="A53:K53"/>
    <mergeCell ref="B17"/>
    <mergeCell ref="D17"/>
    <mergeCell ref="A3"/>
    <mergeCell ref="I21"/>
    <mergeCell ref="H7"/>
    <mergeCell ref="H16"/>
    <mergeCell ref="B19"/>
    <mergeCell ref="G14"/>
    <mergeCell ref="A5"/>
    <mergeCell ref="I14"/>
    <mergeCell ref="D3"/>
    <mergeCell ref="B3:C3"/>
    <mergeCell ref="B11:C11"/>
    <mergeCell ref="D20"/>
    <mergeCell ref="A15"/>
    <mergeCell ref="C15"/>
    <mergeCell ref="J20:K20"/>
    <mergeCell ref="E17"/>
    <mergeCell ref="B21"/>
    <mergeCell ref="D21"/>
    <mergeCell ref="A7"/>
    <mergeCell ref="F15"/>
    <mergeCell ref="A16"/>
    <mergeCell ref="C16"/>
    <mergeCell ref="B14"/>
    <mergeCell ref="A8:K8"/>
    <mergeCell ref="G18"/>
    <mergeCell ref="I18"/>
    <mergeCell ref="A18"/>
    <mergeCell ref="D7"/>
    <mergeCell ref="D16"/>
    <mergeCell ref="A63:K63"/>
    <mergeCell ref="G5"/>
    <mergeCell ref="I5"/>
    <mergeCell ref="D18"/>
    <mergeCell ref="B7:C7"/>
    <mergeCell ref="G20"/>
    <mergeCell ref="I20"/>
    <mergeCell ref="A20"/>
    <mergeCell ref="H15"/>
    <mergeCell ref="I3:K3"/>
    <mergeCell ref="A1:K1"/>
    <mergeCell ref="H18"/>
    <mergeCell ref="E21"/>
    <mergeCell ref="G21"/>
    <mergeCell ref="I15"/>
    <mergeCell ref="D19"/>
    <mergeCell ref="F19"/>
    <mergeCell ref="F16"/>
    <mergeCell ref="C14"/>
    <mergeCell ref="E14"/>
    <mergeCell ref="J16:K16"/>
    <mergeCell ref="F20"/>
    <mergeCell ref="I16"/>
    <mergeCell ref="B9:C9"/>
    <mergeCell ref="A23:K23"/>
    <mergeCell ref="A4:K4"/>
    <mergeCell ref="A43:K43"/>
    <mergeCell ref="H19"/>
    <mergeCell ref="I7:K7"/>
    <mergeCell ref="I17"/>
    <mergeCell ref="A17"/>
    <mergeCell ref="C17"/>
    <mergeCell ref="J14:K14"/>
    <mergeCell ref="B15"/>
    <mergeCell ref="D15"/>
    <mergeCell ref="A10"/>
    <mergeCell ref="I19"/>
    <mergeCell ref="A19"/>
    <mergeCell ref="C19"/>
    <mergeCell ref="H14"/>
    <mergeCell ref="A6:K6"/>
    <mergeCell ref="A9"/>
    <mergeCell ref="J15:K15"/>
    <mergeCell ref="B16"/>
    <mergeCell ref="A11"/>
    <mergeCell ref="C5"/>
    <mergeCell ref="E5"/>
    <mergeCell ref="B18"/>
    <mergeCell ref="C20"/>
    <mergeCell ref="E20"/>
    <mergeCell ref="B10:C10"/>
    <mergeCell ref="E3:G3"/>
    <mergeCell ref="F18"/>
    <mergeCell ref="A12"/>
    <mergeCell ref="F17"/>
    <mergeCell ref="A21"/>
    <mergeCell ref="H17"/>
    <mergeCell ref="C21"/>
    <mergeCell ref="E15"/>
    <mergeCell ref="J18:K18"/>
    <mergeCell ref="G15"/>
    <mergeCell ref="A13:K13"/>
    <mergeCell ref="A14"/>
    <mergeCell ref="J17:K1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敵人數據卡 - 核心區變異體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10" t="n"/>
    </row>
    <row r="2">
      <c r="A2" s="3" t="inlineStr">
        <is>
          <t>基本資訊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10" t="n"/>
    </row>
    <row r="3">
      <c r="A3" s="5" t="inlineStr">
        <is>
          <t>敵人名稱</t>
        </is>
      </c>
      <c r="B3" s="6" t="inlineStr">
        <is>
          <t>核心區變異體</t>
        </is>
      </c>
      <c r="C3" s="10" t="n"/>
      <c r="D3" s="5" t="inlineStr">
        <is>
          <t>出場劇本</t>
        </is>
      </c>
      <c r="E3" s="6" t="inlineStr">
        <is>
          <t>劇本十</t>
        </is>
      </c>
      <c r="F3" s="9" t="n"/>
      <c r="G3" s="10" t="n"/>
      <c r="H3" s="5" t="inlineStr">
        <is>
          <t>威脅值</t>
        </is>
      </c>
      <c r="I3" s="6" t="n">
        <v>12</v>
      </c>
      <c r="J3" s="9" t="n"/>
      <c r="K3" s="10" t="n"/>
    </row>
    <row r="4">
      <c r="A4" s="3" t="inlineStr">
        <is>
          <t>五大屬性 [數值已輸入,修改黃色格]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10" t="n"/>
    </row>
    <row r="5">
      <c r="A5" s="5" t="inlineStr">
        <is>
          <t>體魄PHY</t>
        </is>
      </c>
      <c r="B5" s="7" t="n">
        <v>8</v>
      </c>
      <c r="C5" s="5" t="inlineStr">
        <is>
          <t>精準PRC</t>
        </is>
      </c>
      <c r="D5" s="7" t="n">
        <v>3</v>
      </c>
      <c r="E5" s="5" t="inlineStr">
        <is>
          <t>感知PER</t>
        </is>
      </c>
      <c r="F5" s="7" t="n">
        <v>6</v>
      </c>
      <c r="G5" s="5" t="inlineStr">
        <is>
          <t>技術TEC</t>
        </is>
      </c>
      <c r="H5" s="7" t="n">
        <v>2</v>
      </c>
      <c r="I5" s="5" t="inlineStr">
        <is>
          <t>膽魄CRG</t>
        </is>
      </c>
      <c r="J5" s="7" t="n">
        <v>10</v>
      </c>
    </row>
    <row r="6">
      <c r="A6" s="3" t="inlineStr">
        <is>
          <t>衍生屬性（自動計算）</t>
        </is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10" t="n"/>
    </row>
    <row r="7">
      <c r="A7" s="5" t="inlineStr">
        <is>
          <t>先攻值</t>
        </is>
      </c>
      <c r="B7" s="8">
        <f>G5+E5</f>
        <v/>
      </c>
      <c r="C7" s="10" t="n"/>
      <c r="D7" s="5" t="inlineStr">
        <is>
          <t>負重上限kg</t>
        </is>
      </c>
      <c r="E7" s="8">
        <f>C5*5</f>
        <v/>
      </c>
      <c r="F7" s="9" t="n"/>
      <c r="G7" s="10" t="n"/>
      <c r="H7" s="5" t="inlineStr">
        <is>
          <t>技能點參考</t>
        </is>
      </c>
      <c r="I7" s="8">
        <f>(I5+K5)*2</f>
        <v/>
      </c>
      <c r="J7" s="9" t="n"/>
      <c r="K7" s="10" t="n"/>
    </row>
    <row r="8">
      <c r="A8" s="3" t="inlineStr">
        <is>
          <t>技能等級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10" t="n"/>
    </row>
    <row r="9">
      <c r="A9" s="5" t="inlineStr">
        <is>
          <t>近戰</t>
        </is>
      </c>
      <c r="B9" s="6" t="n">
        <v>4</v>
      </c>
      <c r="C9" s="10" t="n"/>
    </row>
    <row r="10">
      <c r="A10" s="5" t="inlineStr">
        <is>
          <t>投擲</t>
        </is>
      </c>
      <c r="B10" s="6" t="n">
        <v>3</v>
      </c>
      <c r="C10" s="10" t="n"/>
    </row>
    <row r="11">
      <c r="A11" s="5" t="inlineStr">
        <is>
          <t>潛行</t>
        </is>
      </c>
      <c r="B11" s="6" t="n">
        <v>3</v>
      </c>
      <c r="C11" s="10" t="n"/>
    </row>
    <row r="12">
      <c r="A12" s="5" t="inlineStr">
        <is>
          <t>意志</t>
        </is>
      </c>
      <c r="B12" s="6" t="n">
        <v>5</v>
      </c>
      <c r="C12" s="10" t="n"/>
    </row>
    <row r="13">
      <c r="A13" s="3" t="inlineStr">
        <is>
          <t>七部位 HP（自動計算）</t>
        </is>
      </c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10" t="n"/>
    </row>
    <row r="14">
      <c r="A14" s="5" t="inlineStr">
        <is>
          <t>部位</t>
        </is>
      </c>
      <c r="B14" s="6" t="inlineStr">
        <is>
          <t>最大HP</t>
        </is>
      </c>
      <c r="C14" s="5" t="inlineStr">
        <is>
          <t>當前HP</t>
        </is>
      </c>
      <c r="D14" s="6" t="inlineStr"/>
      <c r="E14" s="5" t="inlineStr">
        <is>
          <t>DR</t>
        </is>
      </c>
      <c r="F14" s="5" t="inlineStr">
        <is>
          <t>DR</t>
        </is>
      </c>
      <c r="G14" s="5" t="inlineStr">
        <is>
          <t>DR</t>
        </is>
      </c>
      <c r="H14" s="6" t="inlineStr"/>
      <c r="I14" s="5" t="inlineStr">
        <is>
          <t>受傷效果</t>
        </is>
      </c>
      <c r="J14" s="6" t="inlineStr"/>
      <c r="K14" s="10" t="n"/>
    </row>
    <row r="15">
      <c r="A15" s="5" t="inlineStr">
        <is>
          <t>頭部</t>
        </is>
      </c>
      <c r="B15" s="8">
        <f>C5+6</f>
        <v/>
      </c>
      <c r="C15" s="5" t="inlineStr"/>
      <c r="D15" s="6" t="inlineStr"/>
      <c r="E15" s="5" t="inlineStr"/>
      <c r="F15" s="6" t="inlineStr"/>
      <c r="G15" s="11" t="inlineStr">
        <is>
          <t>DR</t>
        </is>
      </c>
      <c r="H15" s="12" t="inlineStr">
        <is>
          <t>頭盔</t>
        </is>
      </c>
      <c r="I15" s="5" t="inlineStr">
        <is>
          <t>歸零=即死</t>
        </is>
      </c>
      <c r="J15" s="6" t="inlineStr">
        <is>
          <t>歸零=即死</t>
        </is>
      </c>
      <c r="K15" s="10" t="n"/>
    </row>
    <row r="16">
      <c r="A16" s="5" t="inlineStr">
        <is>
          <t>胸部</t>
        </is>
      </c>
      <c r="B16" s="8">
        <f>C5*2+10</f>
        <v/>
      </c>
      <c r="C16" s="5" t="inlineStr"/>
      <c r="D16" s="6" t="inlineStr"/>
      <c r="E16" s="5" t="inlineStr"/>
      <c r="F16" s="6" t="inlineStr"/>
      <c r="G16" s="11" t="inlineStr">
        <is>
          <t>DR</t>
        </is>
      </c>
      <c r="H16" s="12" t="inlineStr">
        <is>
          <t>防彈衣+背心</t>
        </is>
      </c>
      <c r="I16" s="5" t="inlineStr">
        <is>
          <t>歸零=瀕死(膽魄TN14/回合)</t>
        </is>
      </c>
      <c r="J16" s="6" t="inlineStr">
        <is>
          <t>歸零=瀕死(膽魄TN14/回合)</t>
        </is>
      </c>
      <c r="K16" s="10" t="n"/>
    </row>
    <row r="17">
      <c r="A17" s="5" t="inlineStr">
        <is>
          <t>腹部</t>
        </is>
      </c>
      <c r="B17" s="8">
        <f>C5+8</f>
        <v/>
      </c>
      <c r="C17" s="5" t="inlineStr"/>
      <c r="D17" s="6" t="inlineStr"/>
      <c r="E17" s="5" t="inlineStr"/>
      <c r="F17" s="6" t="inlineStr"/>
      <c r="G17" s="11" t="inlineStr">
        <is>
          <t>DR</t>
        </is>
      </c>
      <c r="H17" s="12" t="inlineStr">
        <is>
          <t>防彈衣+背心</t>
        </is>
      </c>
      <c r="I17" s="5" t="inlineStr">
        <is>
          <t>歸零=內出血(1HP/分)</t>
        </is>
      </c>
      <c r="J17" s="6" t="inlineStr">
        <is>
          <t>歸零=內出血(1HP/分)</t>
        </is>
      </c>
      <c r="K17" s="10" t="n"/>
    </row>
    <row r="18">
      <c r="A18" s="5" t="inlineStr">
        <is>
          <t>左臂</t>
        </is>
      </c>
      <c r="B18" s="8">
        <f>C5+4</f>
        <v/>
      </c>
      <c r="C18" s="5" t="inlineStr"/>
      <c r="D18" s="6" t="inlineStr"/>
      <c r="E18" s="5" t="inlineStr"/>
      <c r="F18" s="6" t="inlineStr"/>
      <c r="G18" s="11" t="inlineStr">
        <is>
          <t>DR</t>
        </is>
      </c>
      <c r="H18" s="12" t="inlineStr">
        <is>
          <t>手套</t>
        </is>
      </c>
      <c r="I18" s="5" t="inlineStr">
        <is>
          <t>歸零=永久失能</t>
        </is>
      </c>
      <c r="J18" s="6" t="inlineStr">
        <is>
          <t>歸零=永久失能</t>
        </is>
      </c>
      <c r="K18" s="10" t="n"/>
    </row>
    <row r="19">
      <c r="A19" s="5" t="inlineStr">
        <is>
          <t>右臂</t>
        </is>
      </c>
      <c r="B19" s="8">
        <f>C5+4</f>
        <v/>
      </c>
      <c r="C19" s="5" t="inlineStr"/>
      <c r="D19" s="6" t="inlineStr"/>
      <c r="E19" s="5" t="inlineStr"/>
      <c r="F19" s="6" t="inlineStr"/>
      <c r="G19" s="11" t="inlineStr">
        <is>
          <t>DR</t>
        </is>
      </c>
      <c r="H19" s="12" t="inlineStr">
        <is>
          <t>手套</t>
        </is>
      </c>
      <c r="I19" s="5" t="inlineStr">
        <is>
          <t>歸零=永久失能</t>
        </is>
      </c>
      <c r="J19" s="6" t="inlineStr">
        <is>
          <t>歸零=永久失能</t>
        </is>
      </c>
      <c r="K19" s="10" t="n"/>
    </row>
    <row r="20">
      <c r="A20" s="5" t="inlineStr">
        <is>
          <t>左腿</t>
        </is>
      </c>
      <c r="B20" s="8">
        <f>C5+5</f>
        <v/>
      </c>
      <c r="C20" s="5" t="inlineStr"/>
      <c r="D20" s="6" t="inlineStr"/>
      <c r="E20" s="5" t="inlineStr"/>
      <c r="F20" s="6" t="inlineStr"/>
      <c r="G20" s="11" t="inlineStr">
        <is>
          <t>DR</t>
        </is>
      </c>
      <c r="H20" s="12" t="inlineStr">
        <is>
          <t>軍靴</t>
        </is>
      </c>
      <c r="I20" s="5" t="inlineStr">
        <is>
          <t>歸零=倒地,不可行走</t>
        </is>
      </c>
      <c r="J20" s="6" t="inlineStr">
        <is>
          <t>歸零=倒地,不可行走</t>
        </is>
      </c>
      <c r="K20" s="10" t="n"/>
    </row>
    <row r="21">
      <c r="A21" s="5" t="inlineStr">
        <is>
          <t>右腿</t>
        </is>
      </c>
      <c r="B21" s="8">
        <f>C5+5</f>
        <v/>
      </c>
      <c r="C21" s="5" t="inlineStr"/>
      <c r="D21" s="6" t="inlineStr"/>
      <c r="E21" s="5" t="inlineStr"/>
      <c r="F21" s="6" t="inlineStr"/>
      <c r="G21" s="11" t="inlineStr">
        <is>
          <t>DR</t>
        </is>
      </c>
      <c r="H21" s="12" t="inlineStr">
        <is>
          <t>軍靴</t>
        </is>
      </c>
      <c r="I21" s="5" t="inlineStr">
        <is>
          <t>歸零=倒地,不可行走</t>
        </is>
      </c>
      <c r="J21" s="6" t="inlineStr">
        <is>
          <t>歸零=倒地,不可行走</t>
        </is>
      </c>
      <c r="K21" s="10" t="n"/>
    </row>
    <row r="22">
      <c r="A22" s="3" t="inlineStr">
        <is>
          <t>戰鬥數據</t>
        </is>
      </c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10" t="n"/>
    </row>
    <row r="23">
      <c r="A23" s="6" t="inlineStr">
        <is>
          <t>主攻擊: 重力碾壓 2d8+8 近接</t>
        </is>
      </c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10" t="n"/>
    </row>
    <row r="24">
      <c r="C24" s="2" t="n"/>
    </row>
    <row r="25">
      <c r="D25" s="2" t="n"/>
    </row>
    <row r="26">
      <c r="E26" s="2" t="n"/>
    </row>
    <row r="27">
      <c r="F27" s="2" t="n"/>
    </row>
    <row r="28">
      <c r="G28" s="2" t="n"/>
    </row>
    <row r="29">
      <c r="H29" s="2" t="n"/>
    </row>
    <row r="30">
      <c r="I30" s="2" t="n"/>
    </row>
    <row r="31">
      <c r="J31" s="2" t="n"/>
    </row>
    <row r="32">
      <c r="K32" s="2" t="n"/>
    </row>
    <row r="33">
      <c r="A33" s="6" t="inlineStr">
        <is>
          <t>副攻擊: 重力投擲 1d8+3 遠距</t>
        </is>
      </c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10" t="n"/>
    </row>
    <row r="34">
      <c r="C34" s="2" t="n"/>
    </row>
    <row r="35">
      <c r="D35" s="2" t="n"/>
    </row>
    <row r="36">
      <c r="E36" s="2" t="n"/>
    </row>
    <row r="37">
      <c r="F37" s="2" t="n"/>
    </row>
    <row r="38">
      <c r="G38" s="2" t="n"/>
    </row>
    <row r="39">
      <c r="H39" s="2" t="n"/>
    </row>
    <row r="40">
      <c r="I40" s="2" t="n"/>
    </row>
    <row r="41">
      <c r="J41" s="2" t="n"/>
    </row>
    <row r="42">
      <c r="K42" s="2" t="n"/>
    </row>
    <row r="43">
      <c r="A43" s="6" t="inlineStr">
        <is>
          <t>防具/DR: 全身DR1(結晶化甲殼)</t>
        </is>
      </c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10" t="n"/>
    </row>
    <row r="44">
      <c r="C44" s="2" t="n"/>
    </row>
    <row r="45">
      <c r="D45" s="2" t="n"/>
    </row>
    <row r="46">
      <c r="E46" s="2" t="n"/>
    </row>
    <row r="47">
      <c r="F47" s="2" t="n"/>
    </row>
    <row r="48">
      <c r="G48" s="2" t="n"/>
    </row>
    <row r="49">
      <c r="H49" s="2" t="n"/>
    </row>
    <row r="50">
      <c r="I50" s="2" t="n"/>
    </row>
    <row r="51">
      <c r="J51" s="2" t="n"/>
    </row>
    <row r="52">
      <c r="K52" s="2" t="n"/>
    </row>
    <row r="53">
      <c r="A53" s="6" t="inlineStr">
        <is>
          <t>特殊能力: 重力場(5m內移動減半,不可衝刺); 死亡重力崩塌(3m,3d6)</t>
        </is>
      </c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10" t="n"/>
    </row>
    <row r="54">
      <c r="C54" s="2" t="n"/>
    </row>
    <row r="55">
      <c r="D55" s="2" t="n"/>
    </row>
    <row r="56">
      <c r="E56" s="2" t="n"/>
    </row>
    <row r="57">
      <c r="F57" s="2" t="n"/>
    </row>
    <row r="58">
      <c r="G58" s="2" t="n"/>
    </row>
    <row r="59">
      <c r="H59" s="2" t="n"/>
    </row>
    <row r="60">
      <c r="I60" s="2" t="n"/>
    </row>
    <row r="61">
      <c r="J61" s="2" t="n"/>
    </row>
    <row r="62">
      <c r="K62" s="2" t="n"/>
    </row>
    <row r="63">
      <c r="A63" s="6" t="inlineStr">
        <is>
          <t>行為模式: 守護核心區域; 對任何入侵者無差別攻擊</t>
        </is>
      </c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10" t="n"/>
    </row>
    <row r="64">
      <c r="C64" s="2" t="n"/>
    </row>
    <row r="65">
      <c r="D65" s="2" t="n"/>
    </row>
    <row r="66">
      <c r="E66" s="2" t="n"/>
    </row>
    <row r="67">
      <c r="F67" s="2" t="n"/>
    </row>
    <row r="68">
      <c r="G68" s="2" t="n"/>
    </row>
    <row r="69">
      <c r="H69" s="2" t="n"/>
    </row>
    <row r="70">
      <c r="I70" s="2" t="n"/>
    </row>
    <row r="71">
      <c r="J71" s="2" t="n"/>
    </row>
    <row r="72">
      <c r="K72" s="2" t="n"/>
    </row>
    <row r="73">
      <c r="A73" s="6" t="inlineStr">
        <is>
          <t>戰利品: 結晶碎片(紫~金)</t>
        </is>
      </c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10" t="n"/>
    </row>
    <row r="74">
      <c r="C74" s="2" t="n"/>
    </row>
    <row r="75">
      <c r="D75" s="2" t="n"/>
    </row>
    <row r="76">
      <c r="E76" s="2" t="n"/>
    </row>
    <row r="77">
      <c r="F77" s="2" t="n"/>
    </row>
    <row r="78">
      <c r="G78" s="2" t="n"/>
    </row>
    <row r="79">
      <c r="H79" s="2" t="n"/>
    </row>
    <row r="80">
      <c r="I80" s="2" t="n"/>
    </row>
    <row r="81">
      <c r="J81" s="2" t="n"/>
    </row>
    <row r="82">
      <c r="K82" s="2" t="n"/>
    </row>
  </sheetData>
  <mergeCells count="118">
    <mergeCell ref="H3"/>
    <mergeCell ref="A73:K73"/>
    <mergeCell ref="J19:K19"/>
    <mergeCell ref="B20"/>
    <mergeCell ref="E16"/>
    <mergeCell ref="G16"/>
    <mergeCell ref="D14"/>
    <mergeCell ref="F14"/>
    <mergeCell ref="B12:C12"/>
    <mergeCell ref="C18"/>
    <mergeCell ref="E18"/>
    <mergeCell ref="H20"/>
    <mergeCell ref="E7:G7"/>
    <mergeCell ref="G17"/>
    <mergeCell ref="F21"/>
    <mergeCell ref="A2:K2"/>
    <mergeCell ref="A33:K33"/>
    <mergeCell ref="H21"/>
    <mergeCell ref="E19"/>
    <mergeCell ref="G19"/>
    <mergeCell ref="A22:K22"/>
    <mergeCell ref="J21:K21"/>
    <mergeCell ref="A53:K53"/>
    <mergeCell ref="B17"/>
    <mergeCell ref="D17"/>
    <mergeCell ref="A3"/>
    <mergeCell ref="I21"/>
    <mergeCell ref="H7"/>
    <mergeCell ref="H16"/>
    <mergeCell ref="B19"/>
    <mergeCell ref="G14"/>
    <mergeCell ref="A5"/>
    <mergeCell ref="I14"/>
    <mergeCell ref="D3"/>
    <mergeCell ref="B3:C3"/>
    <mergeCell ref="B11:C11"/>
    <mergeCell ref="D20"/>
    <mergeCell ref="A15"/>
    <mergeCell ref="C15"/>
    <mergeCell ref="J20:K20"/>
    <mergeCell ref="E17"/>
    <mergeCell ref="B21"/>
    <mergeCell ref="D21"/>
    <mergeCell ref="A7"/>
    <mergeCell ref="F15"/>
    <mergeCell ref="A16"/>
    <mergeCell ref="C16"/>
    <mergeCell ref="B14"/>
    <mergeCell ref="A8:K8"/>
    <mergeCell ref="G18"/>
    <mergeCell ref="I18"/>
    <mergeCell ref="A18"/>
    <mergeCell ref="D7"/>
    <mergeCell ref="D16"/>
    <mergeCell ref="A63:K63"/>
    <mergeCell ref="G5"/>
    <mergeCell ref="I5"/>
    <mergeCell ref="D18"/>
    <mergeCell ref="B7:C7"/>
    <mergeCell ref="G20"/>
    <mergeCell ref="I20"/>
    <mergeCell ref="A20"/>
    <mergeCell ref="H15"/>
    <mergeCell ref="I3:K3"/>
    <mergeCell ref="A1:K1"/>
    <mergeCell ref="H18"/>
    <mergeCell ref="E21"/>
    <mergeCell ref="G21"/>
    <mergeCell ref="I15"/>
    <mergeCell ref="D19"/>
    <mergeCell ref="F19"/>
    <mergeCell ref="F16"/>
    <mergeCell ref="C14"/>
    <mergeCell ref="E14"/>
    <mergeCell ref="J16:K16"/>
    <mergeCell ref="F20"/>
    <mergeCell ref="I16"/>
    <mergeCell ref="B9:C9"/>
    <mergeCell ref="A23:K23"/>
    <mergeCell ref="A4:K4"/>
    <mergeCell ref="A43:K43"/>
    <mergeCell ref="H19"/>
    <mergeCell ref="I7:K7"/>
    <mergeCell ref="I17"/>
    <mergeCell ref="A17"/>
    <mergeCell ref="C17"/>
    <mergeCell ref="J14:K14"/>
    <mergeCell ref="B15"/>
    <mergeCell ref="D15"/>
    <mergeCell ref="A10"/>
    <mergeCell ref="I19"/>
    <mergeCell ref="A19"/>
    <mergeCell ref="C19"/>
    <mergeCell ref="H14"/>
    <mergeCell ref="A6:K6"/>
    <mergeCell ref="A9"/>
    <mergeCell ref="J15:K15"/>
    <mergeCell ref="B16"/>
    <mergeCell ref="A11"/>
    <mergeCell ref="C5"/>
    <mergeCell ref="E5"/>
    <mergeCell ref="B18"/>
    <mergeCell ref="C20"/>
    <mergeCell ref="E20"/>
    <mergeCell ref="B10:C10"/>
    <mergeCell ref="E3:G3"/>
    <mergeCell ref="F18"/>
    <mergeCell ref="A12"/>
    <mergeCell ref="F17"/>
    <mergeCell ref="A21"/>
    <mergeCell ref="H17"/>
    <mergeCell ref="C21"/>
    <mergeCell ref="E15"/>
    <mergeCell ref="J18:K18"/>
    <mergeCell ref="G15"/>
    <mergeCell ref="A13:K13"/>
    <mergeCell ref="A14"/>
    <mergeCell ref="J17:K17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敵人數據卡 - 維度守護者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10" t="n"/>
    </row>
    <row r="2">
      <c r="A2" s="3" t="inlineStr">
        <is>
          <t>基本資訊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10" t="n"/>
    </row>
    <row r="3">
      <c r="A3" s="5" t="inlineStr">
        <is>
          <t>敵人名稱</t>
        </is>
      </c>
      <c r="B3" s="6" t="inlineStr">
        <is>
          <t>維度守護者</t>
        </is>
      </c>
      <c r="C3" s="10" t="n"/>
      <c r="D3" s="5" t="inlineStr">
        <is>
          <t>出場劇本</t>
        </is>
      </c>
      <c r="E3" s="6" t="inlineStr">
        <is>
          <t>劇本十</t>
        </is>
      </c>
      <c r="F3" s="9" t="n"/>
      <c r="G3" s="10" t="n"/>
      <c r="H3" s="5" t="inlineStr">
        <is>
          <t>威脅值</t>
        </is>
      </c>
      <c r="I3" s="6" t="n">
        <v>20</v>
      </c>
      <c r="J3" s="9" t="n"/>
      <c r="K3" s="10" t="n"/>
    </row>
    <row r="4">
      <c r="A4" s="3" t="inlineStr">
        <is>
          <t>五大屬性 [數值已輸入,修改黃色格]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10" t="n"/>
    </row>
    <row r="5">
      <c r="A5" s="5" t="inlineStr">
        <is>
          <t>體魄PHY</t>
        </is>
      </c>
      <c r="B5" s="7" t="n">
        <v>10</v>
      </c>
      <c r="C5" s="5" t="inlineStr">
        <is>
          <t>精準PRC</t>
        </is>
      </c>
      <c r="D5" s="7" t="n">
        <v>5</v>
      </c>
      <c r="E5" s="5" t="inlineStr">
        <is>
          <t>感知PER</t>
        </is>
      </c>
      <c r="F5" s="7" t="n">
        <v>8</v>
      </c>
      <c r="G5" s="5" t="inlineStr">
        <is>
          <t>技術TEC</t>
        </is>
      </c>
      <c r="H5" s="7" t="n">
        <v>5</v>
      </c>
      <c r="I5" s="5" t="inlineStr">
        <is>
          <t>膽魄CRG</t>
        </is>
      </c>
      <c r="J5" s="7" t="n">
        <v>10</v>
      </c>
    </row>
    <row r="6">
      <c r="A6" s="3" t="inlineStr">
        <is>
          <t>衍生屬性（自動計算）</t>
        </is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10" t="n"/>
    </row>
    <row r="7">
      <c r="A7" s="5" t="inlineStr">
        <is>
          <t>先攻值</t>
        </is>
      </c>
      <c r="B7" s="8">
        <f>G5+E5</f>
        <v/>
      </c>
      <c r="C7" s="10" t="n"/>
      <c r="D7" s="5" t="inlineStr">
        <is>
          <t>負重上限kg</t>
        </is>
      </c>
      <c r="E7" s="8">
        <f>C5*5</f>
        <v/>
      </c>
      <c r="F7" s="9" t="n"/>
      <c r="G7" s="10" t="n"/>
      <c r="H7" s="5" t="inlineStr">
        <is>
          <t>技能點參考</t>
        </is>
      </c>
      <c r="I7" s="8">
        <f>(I5+K5)*2</f>
        <v/>
      </c>
      <c r="J7" s="9" t="n"/>
      <c r="K7" s="10" t="n"/>
    </row>
    <row r="8">
      <c r="A8" s="3" t="inlineStr">
        <is>
          <t>技能等級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10" t="n"/>
    </row>
    <row r="9">
      <c r="A9" s="5" t="inlineStr">
        <is>
          <t>近戰</t>
        </is>
      </c>
      <c r="B9" s="6" t="n">
        <v>5</v>
      </c>
      <c r="C9" s="10" t="n"/>
    </row>
    <row r="10">
      <c r="A10" s="5" t="inlineStr">
        <is>
          <t>投擲</t>
        </is>
      </c>
      <c r="B10" s="6" t="n">
        <v>4</v>
      </c>
      <c r="C10" s="10" t="n"/>
    </row>
    <row r="11">
      <c r="A11" s="5" t="inlineStr">
        <is>
          <t>察覺</t>
        </is>
      </c>
      <c r="B11" s="6" t="n">
        <v>5</v>
      </c>
      <c r="C11" s="10" t="n"/>
    </row>
    <row r="12">
      <c r="A12" s="5" t="inlineStr">
        <is>
          <t>意志</t>
        </is>
      </c>
      <c r="B12" s="6" t="n">
        <v>5</v>
      </c>
      <c r="C12" s="10" t="n"/>
    </row>
    <row r="13">
      <c r="A13" s="5" t="inlineStr">
        <is>
          <t>威嚇</t>
        </is>
      </c>
      <c r="B13" s="6" t="n">
        <v>5</v>
      </c>
      <c r="C13" s="10" t="n"/>
    </row>
    <row r="14">
      <c r="A14" s="3" t="inlineStr">
        <is>
          <t>七部位 HP（自動計算）</t>
        </is>
      </c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10" t="n"/>
    </row>
    <row r="15">
      <c r="A15" s="5" t="inlineStr">
        <is>
          <t>部位</t>
        </is>
      </c>
      <c r="B15" s="6" t="inlineStr">
        <is>
          <t>最大HP</t>
        </is>
      </c>
      <c r="C15" s="5" t="inlineStr">
        <is>
          <t>當前HP</t>
        </is>
      </c>
      <c r="D15" s="6" t="inlineStr"/>
      <c r="E15" s="5" t="inlineStr">
        <is>
          <t>DR</t>
        </is>
      </c>
      <c r="F15" s="5" t="inlineStr">
        <is>
          <t>DR</t>
        </is>
      </c>
      <c r="G15" s="5" t="inlineStr">
        <is>
          <t>DR</t>
        </is>
      </c>
      <c r="H15" s="6" t="inlineStr"/>
      <c r="I15" s="5" t="inlineStr">
        <is>
          <t>受傷效果</t>
        </is>
      </c>
      <c r="J15" s="6" t="inlineStr"/>
      <c r="K15" s="10" t="n"/>
    </row>
    <row r="16">
      <c r="A16" s="5" t="inlineStr">
        <is>
          <t>頭部</t>
        </is>
      </c>
      <c r="B16" s="8">
        <f>C5+6</f>
        <v/>
      </c>
      <c r="C16" s="5" t="inlineStr"/>
      <c r="D16" s="6" t="inlineStr"/>
      <c r="E16" s="5" t="inlineStr"/>
      <c r="F16" s="6" t="inlineStr"/>
      <c r="G16" s="11" t="inlineStr">
        <is>
          <t>DR</t>
        </is>
      </c>
      <c r="H16" s="12" t="inlineStr">
        <is>
          <t>頭盔</t>
        </is>
      </c>
      <c r="I16" s="5" t="inlineStr">
        <is>
          <t>歸零=即死</t>
        </is>
      </c>
      <c r="J16" s="6" t="inlineStr">
        <is>
          <t>歸零=即死</t>
        </is>
      </c>
      <c r="K16" s="10" t="n"/>
    </row>
    <row r="17">
      <c r="A17" s="5" t="inlineStr">
        <is>
          <t>胸部</t>
        </is>
      </c>
      <c r="B17" s="8">
        <f>C5*2+10</f>
        <v/>
      </c>
      <c r="C17" s="5" t="inlineStr"/>
      <c r="D17" s="6" t="inlineStr"/>
      <c r="E17" s="5" t="inlineStr"/>
      <c r="F17" s="6" t="inlineStr"/>
      <c r="G17" s="11" t="inlineStr">
        <is>
          <t>DR</t>
        </is>
      </c>
      <c r="H17" s="12" t="inlineStr">
        <is>
          <t>防彈衣+背心</t>
        </is>
      </c>
      <c r="I17" s="5" t="inlineStr">
        <is>
          <t>歸零=瀕死(膽魄TN14/回合)</t>
        </is>
      </c>
      <c r="J17" s="6" t="inlineStr">
        <is>
          <t>歸零=瀕死(膽魄TN14/回合)</t>
        </is>
      </c>
      <c r="K17" s="10" t="n"/>
    </row>
    <row r="18">
      <c r="A18" s="5" t="inlineStr">
        <is>
          <t>腹部</t>
        </is>
      </c>
      <c r="B18" s="8">
        <f>C5+8</f>
        <v/>
      </c>
      <c r="C18" s="5" t="inlineStr"/>
      <c r="D18" s="6" t="inlineStr"/>
      <c r="E18" s="5" t="inlineStr"/>
      <c r="F18" s="6" t="inlineStr"/>
      <c r="G18" s="11" t="inlineStr">
        <is>
          <t>DR</t>
        </is>
      </c>
      <c r="H18" s="12" t="inlineStr">
        <is>
          <t>防彈衣+背心</t>
        </is>
      </c>
      <c r="I18" s="5" t="inlineStr">
        <is>
          <t>歸零=內出血(1HP/分)</t>
        </is>
      </c>
      <c r="J18" s="6" t="inlineStr">
        <is>
          <t>歸零=內出血(1HP/分)</t>
        </is>
      </c>
      <c r="K18" s="10" t="n"/>
    </row>
    <row r="19">
      <c r="A19" s="5" t="inlineStr">
        <is>
          <t>左臂</t>
        </is>
      </c>
      <c r="B19" s="8">
        <f>C5+4</f>
        <v/>
      </c>
      <c r="C19" s="5" t="inlineStr"/>
      <c r="D19" s="6" t="inlineStr"/>
      <c r="E19" s="5" t="inlineStr"/>
      <c r="F19" s="6" t="inlineStr"/>
      <c r="G19" s="11" t="inlineStr">
        <is>
          <t>DR</t>
        </is>
      </c>
      <c r="H19" s="12" t="inlineStr">
        <is>
          <t>手套</t>
        </is>
      </c>
      <c r="I19" s="5" t="inlineStr">
        <is>
          <t>歸零=永久失能</t>
        </is>
      </c>
      <c r="J19" s="6" t="inlineStr">
        <is>
          <t>歸零=永久失能</t>
        </is>
      </c>
      <c r="K19" s="10" t="n"/>
    </row>
    <row r="20">
      <c r="A20" s="5" t="inlineStr">
        <is>
          <t>右臂</t>
        </is>
      </c>
      <c r="B20" s="8">
        <f>C5+4</f>
        <v/>
      </c>
      <c r="C20" s="5" t="inlineStr"/>
      <c r="D20" s="6" t="inlineStr"/>
      <c r="E20" s="5" t="inlineStr"/>
      <c r="F20" s="6" t="inlineStr"/>
      <c r="G20" s="11" t="inlineStr">
        <is>
          <t>DR</t>
        </is>
      </c>
      <c r="H20" s="12" t="inlineStr">
        <is>
          <t>手套</t>
        </is>
      </c>
      <c r="I20" s="5" t="inlineStr">
        <is>
          <t>歸零=永久失能</t>
        </is>
      </c>
      <c r="J20" s="6" t="inlineStr">
        <is>
          <t>歸零=永久失能</t>
        </is>
      </c>
      <c r="K20" s="10" t="n"/>
    </row>
    <row r="21">
      <c r="A21" s="5" t="inlineStr">
        <is>
          <t>左腿</t>
        </is>
      </c>
      <c r="B21" s="8">
        <f>C5+5</f>
        <v/>
      </c>
      <c r="C21" s="5" t="inlineStr"/>
      <c r="D21" s="6" t="inlineStr"/>
      <c r="E21" s="5" t="inlineStr"/>
      <c r="F21" s="6" t="inlineStr"/>
      <c r="G21" s="11" t="inlineStr">
        <is>
          <t>DR</t>
        </is>
      </c>
      <c r="H21" s="12" t="inlineStr">
        <is>
          <t>軍靴</t>
        </is>
      </c>
      <c r="I21" s="5" t="inlineStr">
        <is>
          <t>歸零=倒地,不可行走</t>
        </is>
      </c>
      <c r="J21" s="6" t="inlineStr">
        <is>
          <t>歸零=倒地,不可行走</t>
        </is>
      </c>
      <c r="K21" s="10" t="n"/>
    </row>
    <row r="22">
      <c r="A22" s="5" t="inlineStr">
        <is>
          <t>右腿</t>
        </is>
      </c>
      <c r="B22" s="8">
        <f>C5+5</f>
        <v/>
      </c>
      <c r="C22" s="5" t="inlineStr"/>
      <c r="D22" s="6" t="inlineStr"/>
      <c r="E22" s="5" t="inlineStr"/>
      <c r="F22" s="6" t="inlineStr"/>
      <c r="G22" s="11" t="inlineStr">
        <is>
          <t>DR</t>
        </is>
      </c>
      <c r="H22" s="12" t="inlineStr">
        <is>
          <t>軍靴</t>
        </is>
      </c>
      <c r="I22" s="5" t="inlineStr">
        <is>
          <t>歸零=倒地,不可行走</t>
        </is>
      </c>
      <c r="J22" s="6" t="inlineStr">
        <is>
          <t>歸零=倒地,不可行走</t>
        </is>
      </c>
      <c r="K22" s="10" t="n"/>
    </row>
    <row r="23">
      <c r="A23" s="3" t="inlineStr">
        <is>
          <t>戰鬥數據</t>
        </is>
      </c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10" t="n"/>
    </row>
    <row r="24">
      <c r="A24" s="6" t="inlineStr">
        <is>
          <t>主攻擊: 次元撕裂 3d8+10 近-中距</t>
        </is>
      </c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10" t="n"/>
    </row>
    <row r="25">
      <c r="C25" s="2" t="n"/>
    </row>
    <row r="26">
      <c r="D26" s="2" t="n"/>
    </row>
    <row r="27">
      <c r="E27" s="2" t="n"/>
    </row>
    <row r="28">
      <c r="F28" s="2" t="n"/>
    </row>
    <row r="29">
      <c r="G29" s="2" t="n"/>
    </row>
    <row r="30">
      <c r="H30" s="2" t="n"/>
    </row>
    <row r="31">
      <c r="I31" s="2" t="n"/>
    </row>
    <row r="32">
      <c r="J32" s="2" t="n"/>
    </row>
    <row r="33">
      <c r="K33" s="2" t="n"/>
    </row>
    <row r="34">
      <c r="A34" s="6" t="inlineStr">
        <is>
          <t>副攻擊: 維度投擲 膽魄TN23否則傳送30m 遠距</t>
        </is>
      </c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10" t="n"/>
    </row>
    <row r="35">
      <c r="C35" s="2" t="n"/>
    </row>
    <row r="36">
      <c r="D36" s="2" t="n"/>
    </row>
    <row r="37">
      <c r="E37" s="2" t="n"/>
    </row>
    <row r="38">
      <c r="F38" s="2" t="n"/>
    </row>
    <row r="39">
      <c r="G39" s="2" t="n"/>
    </row>
    <row r="40">
      <c r="H40" s="2" t="n"/>
    </row>
    <row r="41">
      <c r="I41" s="2" t="n"/>
    </row>
    <row r="42">
      <c r="J42" s="2" t="n"/>
    </row>
    <row r="43">
      <c r="K43" s="2" t="n"/>
    </row>
    <row r="44">
      <c r="A44" s="6" t="inlineStr">
        <is>
          <t>防具/DR: 全身DR1(維度護盾)</t>
        </is>
      </c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10" t="n"/>
    </row>
    <row r="45">
      <c r="C45" s="2" t="n"/>
    </row>
    <row r="46">
      <c r="D46" s="2" t="n"/>
    </row>
    <row r="47">
      <c r="E47" s="2" t="n"/>
    </row>
    <row r="48">
      <c r="F48" s="2" t="n"/>
    </row>
    <row r="49">
      <c r="G49" s="2" t="n"/>
    </row>
    <row r="50">
      <c r="H50" s="2" t="n"/>
    </row>
    <row r="51">
      <c r="I51" s="2" t="n"/>
    </row>
    <row r="52">
      <c r="J52" s="2" t="n"/>
    </row>
    <row r="53">
      <c r="K53" s="2" t="n"/>
    </row>
    <row r="54">
      <c r="A54" s="6" t="inlineStr">
        <is>
          <t>特殊能力: 四階段: (1)召喚變異體x2; (2)時間停滯每3回合; (3)每回合恢復1d6HP; (4)自毀模式全體2d6+膽魄TN20/回合</t>
        </is>
      </c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10" t="n"/>
    </row>
    <row r="55">
      <c r="C55" s="2" t="n"/>
    </row>
    <row r="56">
      <c r="D56" s="2" t="n"/>
    </row>
    <row r="57">
      <c r="E57" s="2" t="n"/>
    </row>
    <row r="58">
      <c r="F58" s="2" t="n"/>
    </row>
    <row r="59">
      <c r="G59" s="2" t="n"/>
    </row>
    <row r="60">
      <c r="H60" s="2" t="n"/>
    </row>
    <row r="61">
      <c r="I61" s="2" t="n"/>
    </row>
    <row r="62">
      <c r="J62" s="2" t="n"/>
    </row>
    <row r="63">
      <c r="K63" s="2" t="n"/>
    </row>
    <row r="64">
      <c r="A64" s="6" t="inlineStr">
        <is>
          <t>行為模式: 裂隙的終極守護者; 無談判可能; 不離開深層實驗室</t>
        </is>
      </c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10" t="n"/>
    </row>
    <row r="65">
      <c r="C65" s="2" t="n"/>
    </row>
    <row r="66">
      <c r="D66" s="2" t="n"/>
    </row>
    <row r="67">
      <c r="E67" s="2" t="n"/>
    </row>
    <row r="68">
      <c r="F68" s="2" t="n"/>
    </row>
    <row r="69">
      <c r="G69" s="2" t="n"/>
    </row>
    <row r="70">
      <c r="H70" s="2" t="n"/>
    </row>
    <row r="71">
      <c r="I71" s="2" t="n"/>
    </row>
    <row r="72">
      <c r="J72" s="2" t="n"/>
    </row>
    <row r="73">
      <c r="K73" s="2" t="n"/>
    </row>
    <row r="74">
      <c r="A74" s="6" t="inlineStr">
        <is>
          <t>戰利品: 維度核心(傳說)+裂隙數據(劇情關鍵)</t>
        </is>
      </c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10" t="n"/>
    </row>
    <row r="75">
      <c r="C75" s="2" t="n"/>
    </row>
    <row r="76">
      <c r="D76" s="2" t="n"/>
    </row>
    <row r="77">
      <c r="E77" s="2" t="n"/>
    </row>
    <row r="78">
      <c r="F78" s="2" t="n"/>
    </row>
    <row r="79">
      <c r="G79" s="2" t="n"/>
    </row>
    <row r="80">
      <c r="H80" s="2" t="n"/>
    </row>
    <row r="81">
      <c r="I81" s="2" t="n"/>
    </row>
    <row r="82">
      <c r="J82" s="2" t="n"/>
    </row>
    <row r="83">
      <c r="K83" s="2" t="n"/>
    </row>
  </sheetData>
  <mergeCells count="120">
    <mergeCell ref="A64:K64"/>
    <mergeCell ref="H3"/>
    <mergeCell ref="A24:K24"/>
    <mergeCell ref="J19:K19"/>
    <mergeCell ref="B20"/>
    <mergeCell ref="E16"/>
    <mergeCell ref="G16"/>
    <mergeCell ref="B12:C12"/>
    <mergeCell ref="C18"/>
    <mergeCell ref="E18"/>
    <mergeCell ref="A54:K54"/>
    <mergeCell ref="H20"/>
    <mergeCell ref="E7:G7"/>
    <mergeCell ref="B13:C13"/>
    <mergeCell ref="G17"/>
    <mergeCell ref="F21"/>
    <mergeCell ref="A2:K2"/>
    <mergeCell ref="H21"/>
    <mergeCell ref="E19"/>
    <mergeCell ref="G19"/>
    <mergeCell ref="I22"/>
    <mergeCell ref="J21:K21"/>
    <mergeCell ref="B17"/>
    <mergeCell ref="D17"/>
    <mergeCell ref="A3"/>
    <mergeCell ref="I21"/>
    <mergeCell ref="H7"/>
    <mergeCell ref="H16"/>
    <mergeCell ref="B19"/>
    <mergeCell ref="A5"/>
    <mergeCell ref="D3"/>
    <mergeCell ref="B3:C3"/>
    <mergeCell ref="A13"/>
    <mergeCell ref="B11:C11"/>
    <mergeCell ref="D20"/>
    <mergeCell ref="A15"/>
    <mergeCell ref="C15"/>
    <mergeCell ref="B22"/>
    <mergeCell ref="D22"/>
    <mergeCell ref="A74:K74"/>
    <mergeCell ref="J20:K20"/>
    <mergeCell ref="E17"/>
    <mergeCell ref="B21"/>
    <mergeCell ref="D21"/>
    <mergeCell ref="A7"/>
    <mergeCell ref="F15"/>
    <mergeCell ref="A16"/>
    <mergeCell ref="C16"/>
    <mergeCell ref="J22:K22"/>
    <mergeCell ref="A8:K8"/>
    <mergeCell ref="G18"/>
    <mergeCell ref="I18"/>
    <mergeCell ref="A18"/>
    <mergeCell ref="D7"/>
    <mergeCell ref="D16"/>
    <mergeCell ref="G5"/>
    <mergeCell ref="I5"/>
    <mergeCell ref="A34:K34"/>
    <mergeCell ref="A22"/>
    <mergeCell ref="D18"/>
    <mergeCell ref="B7:C7"/>
    <mergeCell ref="G20"/>
    <mergeCell ref="I20"/>
    <mergeCell ref="A20"/>
    <mergeCell ref="H15"/>
    <mergeCell ref="I3:K3"/>
    <mergeCell ref="A1:K1"/>
    <mergeCell ref="H18"/>
    <mergeCell ref="E22"/>
    <mergeCell ref="G22"/>
    <mergeCell ref="E21"/>
    <mergeCell ref="G21"/>
    <mergeCell ref="I15"/>
    <mergeCell ref="D19"/>
    <mergeCell ref="F19"/>
    <mergeCell ref="F16"/>
    <mergeCell ref="J16:K16"/>
    <mergeCell ref="F20"/>
    <mergeCell ref="I16"/>
    <mergeCell ref="B9:C9"/>
    <mergeCell ref="A14:K14"/>
    <mergeCell ref="A23:K23"/>
    <mergeCell ref="A4:K4"/>
    <mergeCell ref="H19"/>
    <mergeCell ref="I7:K7"/>
    <mergeCell ref="I17"/>
    <mergeCell ref="A17"/>
    <mergeCell ref="C17"/>
    <mergeCell ref="B15"/>
    <mergeCell ref="D15"/>
    <mergeCell ref="A10"/>
    <mergeCell ref="I19"/>
    <mergeCell ref="A19"/>
    <mergeCell ref="C19"/>
    <mergeCell ref="A6:K6"/>
    <mergeCell ref="A9"/>
    <mergeCell ref="J15:K15"/>
    <mergeCell ref="B16"/>
    <mergeCell ref="A11"/>
    <mergeCell ref="C5"/>
    <mergeCell ref="E5"/>
    <mergeCell ref="B18"/>
    <mergeCell ref="C20"/>
    <mergeCell ref="E20"/>
    <mergeCell ref="B10:C10"/>
    <mergeCell ref="E3:G3"/>
    <mergeCell ref="H22"/>
    <mergeCell ref="C22"/>
    <mergeCell ref="F18"/>
    <mergeCell ref="A12"/>
    <mergeCell ref="F17"/>
    <mergeCell ref="A21"/>
    <mergeCell ref="H17"/>
    <mergeCell ref="C21"/>
    <mergeCell ref="E15"/>
    <mergeCell ref="J18:K18"/>
    <mergeCell ref="G15"/>
    <mergeCell ref="A44:K44"/>
    <mergeCell ref="F22"/>
    <mergeCell ref="J17:K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2026-06-23T18:22:51Z</dcterms:created>
  <dcterms:modified xmlns:dcterms="http://purl.org/dc/terms/" xmlns:xsi="http://www.w3.org/2001/XMLSchema-instance" xsi:type="dcterms:W3CDTF">2026-06-23T19:19:46Z</dcterms:modified>
</cp:coreProperties>
</file>