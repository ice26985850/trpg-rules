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債主保鏢" sheetId="1" state="visible" r:id="rId1"/>
    <sheet xmlns:r="http://schemas.openxmlformats.org/officeDocument/2006/relationships" name="兄弟會追殺隊" sheetId="2" state="visible" r:id="rId2"/>
    <sheet xmlns:r="http://schemas.openxmlformats.org/officeDocument/2006/relationships" name="賞金獵人(強化)" sheetId="3" state="visible" r:id="rId3"/>
    <sheet xmlns:r="http://schemas.openxmlformats.org/officeDocument/2006/relationships" name="工業區變異巨獸" sheetId="4" state="visible" r:id="rId4"/>
    <sheet xmlns:r="http://schemas.openxmlformats.org/officeDocument/2006/relationships" name="QZAC鎮壓部隊" sheetId="5" state="visible" r:id="rId5"/>
    <sheet xmlns:r="http://schemas.openxmlformats.org/officeDocument/2006/relationships" name="下水道巨鼠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債主保鏢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債主保鏢</t>
        </is>
      </c>
      <c r="C3" s="11" t="n"/>
      <c r="D3" s="5" t="inlineStr">
        <is>
          <t>出場劇本/支線</t>
        </is>
      </c>
      <c r="E3" s="6" t="inlineStr">
        <is>
          <t>欠債者支線</t>
        </is>
      </c>
      <c r="F3" s="10" t="n"/>
      <c r="G3" s="11" t="n"/>
      <c r="H3" s="5" t="inlineStr">
        <is>
          <t>威脅值</t>
        </is>
      </c>
      <c r="I3" s="6" t="n">
        <v>6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3</v>
      </c>
      <c r="I5" s="5" t="inlineStr">
        <is>
          <t>膽魄CRG</t>
        </is>
      </c>
      <c r="J5" s="7" t="n">
        <v>6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槍械</t>
        </is>
      </c>
      <c r="B9" s="6" t="n">
        <v>3</v>
      </c>
      <c r="C9" s="11" t="n"/>
    </row>
    <row r="10">
      <c r="A10" s="5" t="inlineStr">
        <is>
          <t>近戰</t>
        </is>
      </c>
      <c r="B10" s="6" t="n">
        <v>3</v>
      </c>
      <c r="C10" s="11" t="n"/>
    </row>
    <row r="11">
      <c r="A11" s="5" t="inlineStr">
        <is>
          <t>察覺</t>
        </is>
      </c>
      <c r="B11" s="6" t="n">
        <v>2</v>
      </c>
      <c r="C11" s="11" t="n"/>
    </row>
    <row r="12">
      <c r="A12" s="5" t="inlineStr">
        <is>
          <t>意志</t>
        </is>
      </c>
      <c r="B12" s="6" t="n">
        <v>3</v>
      </c>
      <c r="C12" s="11" t="n"/>
    </row>
    <row r="13">
      <c r="A13" s="3" t="inlineStr">
        <is>
          <t>七部位HP(自動)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頭部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胸部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腹部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左臂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右臂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左腿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右腿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戰鬥數據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主攻擊: 軍用SMG 1d8 全自動 近-中距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副攻擊: 戰術刀 1d4+6 近接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防具DR: 頭DR1,胸DR1(軟質)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特殊能力: 保護債主優先; 若債主倒下則投降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行為模式: 寸步不離債主; 應對威脅迅速; 可被賄賂(說服TN17)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戰利品: SMG+彈藥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兄弟會追殺隊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兄弟會追殺隊</t>
        </is>
      </c>
      <c r="C3" s="11" t="n"/>
      <c r="D3" s="5" t="inlineStr">
        <is>
          <t>出場劇本/支線</t>
        </is>
      </c>
      <c r="E3" s="6" t="inlineStr">
        <is>
          <t>退伍軍人支線/叛徒支線</t>
        </is>
      </c>
      <c r="F3" s="10" t="n"/>
      <c r="G3" s="11" t="n"/>
      <c r="H3" s="5" t="inlineStr">
        <is>
          <t>威脅值</t>
        </is>
      </c>
      <c r="I3" s="6" t="n">
        <v>8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7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槍械</t>
        </is>
      </c>
      <c r="B9" s="6" t="n">
        <v>3</v>
      </c>
      <c r="C9" s="11" t="n"/>
    </row>
    <row r="10">
      <c r="A10" s="5" t="inlineStr">
        <is>
          <t>察覺</t>
        </is>
      </c>
      <c r="B10" s="6" t="n">
        <v>3</v>
      </c>
      <c r="C10" s="11" t="n"/>
    </row>
    <row r="11">
      <c r="A11" s="5" t="inlineStr">
        <is>
          <t>追跡</t>
        </is>
      </c>
      <c r="B11" s="6" t="n">
        <v>3</v>
      </c>
      <c r="C11" s="11" t="n"/>
    </row>
    <row r="12">
      <c r="A12" s="5" t="inlineStr">
        <is>
          <t>近戰</t>
        </is>
      </c>
      <c r="B12" s="6" t="n">
        <v>2</v>
      </c>
      <c r="C12" s="11" t="n"/>
    </row>
    <row r="13">
      <c r="A13" s="5" t="inlineStr">
        <is>
          <t>意志</t>
        </is>
      </c>
      <c r="B13" s="6" t="n">
        <v>4</v>
      </c>
      <c r="C13" s="11" t="n"/>
    </row>
    <row r="14">
      <c r="A14" s="3" t="inlineStr">
        <is>
          <t>七部位HP(自動)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頭部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胸部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腹部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左臂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右臂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左腿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右腿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戰鬥數據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主攻擊: 軍用突擊步槍 2d6 全自動 中-遠距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副攻擊: 戰術手槍 1d8 近-中距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防具DR: 頭DR1,全身DR1(硬質)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特殊能力: 追跡專精(追跡+3); 可無視天氣追蹤目標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行為模式: 專門追殺特定目標; 不與其他人交戰; 追到目標或死亡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戰利品: 硬質防彈衣+追蹤設備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賞金獵人(強化)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賞金獵人(強化)</t>
        </is>
      </c>
      <c r="C3" s="11" t="n"/>
      <c r="D3" s="5" t="inlineStr">
        <is>
          <t>出場劇本/支線</t>
        </is>
      </c>
      <c r="E3" s="6" t="inlineStr">
        <is>
          <t>欠債者支線/聲望敵對觸發</t>
        </is>
      </c>
      <c r="F3" s="10" t="n"/>
      <c r="G3" s="11" t="n"/>
      <c r="H3" s="5" t="inlineStr">
        <is>
          <t>威脅值</t>
        </is>
      </c>
      <c r="I3" s="6" t="n">
        <v>9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7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5</v>
      </c>
      <c r="I5" s="5" t="inlineStr">
        <is>
          <t>膽魄CRG</t>
        </is>
      </c>
      <c r="J5" s="7" t="n">
        <v>7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槍械</t>
        </is>
      </c>
      <c r="B9" s="6" t="n">
        <v>4</v>
      </c>
      <c r="C9" s="11" t="n"/>
    </row>
    <row r="10">
      <c r="A10" s="5" t="inlineStr">
        <is>
          <t>追跡</t>
        </is>
      </c>
      <c r="B10" s="6" t="n">
        <v>4</v>
      </c>
      <c r="C10" s="11" t="n"/>
    </row>
    <row r="11">
      <c r="A11" s="5" t="inlineStr">
        <is>
          <t>潛行</t>
        </is>
      </c>
      <c r="B11" s="6" t="n">
        <v>3</v>
      </c>
      <c r="C11" s="11" t="n"/>
    </row>
    <row r="12">
      <c r="A12" s="5" t="inlineStr">
        <is>
          <t>察覺</t>
        </is>
      </c>
      <c r="B12" s="6" t="n">
        <v>3</v>
      </c>
      <c r="C12" s="11" t="n"/>
    </row>
    <row r="13">
      <c r="A13" s="5" t="inlineStr">
        <is>
          <t>意志</t>
        </is>
      </c>
      <c r="B13" s="6" t="n">
        <v>3</v>
      </c>
      <c r="C13" s="11" t="n"/>
    </row>
    <row r="14">
      <c r="A14" s="3" t="inlineStr">
        <is>
          <t>七部位HP(自動)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頭部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胸部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腹部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左臂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右臂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左腿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右腿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戰鬥數據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主攻擊: DMR 1d10 半自動 中-遠距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副攻擊: 重型手槍 1d10 穿甲2 近-中距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防具DR: 頭DR1,胸腹DR1(硬質)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特殊能力: 賞金標記(1AP,標記目標+2命中10回合); 弱點分析(1回合觀察後+1d6)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行為模式: 確認目標→評估賞金→決定活捉或擊殺; 專業冷靜不帶私人情緒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戰利品: DMR(紫)+硬質防彈衣+賞金合約(敘事道具)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工業區變異巨獸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工業區變異巨獸</t>
        </is>
      </c>
      <c r="C3" s="11" t="n"/>
      <c r="D3" s="5" t="inlineStr">
        <is>
          <t>出場劇本/支線</t>
        </is>
      </c>
      <c r="E3" s="6" t="inlineStr">
        <is>
          <t>隨機遭遇(d100=100)</t>
        </is>
      </c>
      <c r="F3" s="10" t="n"/>
      <c r="G3" s="11" t="n"/>
      <c r="H3" s="5" t="inlineStr">
        <is>
          <t>威脅值</t>
        </is>
      </c>
      <c r="I3" s="6" t="n">
        <v>14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9</v>
      </c>
      <c r="C5" s="5" t="inlineStr">
        <is>
          <t>精準PRC</t>
        </is>
      </c>
      <c r="D5" s="7" t="n">
        <v>2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10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近戰</t>
        </is>
      </c>
      <c r="B9" s="6" t="n">
        <v>5</v>
      </c>
      <c r="C9" s="11" t="n"/>
    </row>
    <row r="10">
      <c r="A10" s="5" t="inlineStr">
        <is>
          <t>投擲</t>
        </is>
      </c>
      <c r="B10" s="6" t="n">
        <v>3</v>
      </c>
      <c r="C10" s="11" t="n"/>
    </row>
    <row r="11">
      <c r="A11" s="5" t="inlineStr">
        <is>
          <t>察覺</t>
        </is>
      </c>
      <c r="B11" s="6" t="n">
        <v>3</v>
      </c>
      <c r="C11" s="11" t="n"/>
    </row>
    <row r="12">
      <c r="A12" s="5" t="inlineStr">
        <is>
          <t>意志</t>
        </is>
      </c>
      <c r="B12" s="6" t="n">
        <v>5</v>
      </c>
      <c r="C12" s="11" t="n"/>
    </row>
    <row r="13">
      <c r="A13" s="3" t="inlineStr">
        <is>
          <t>七部位HP(自動)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頭部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胸部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腹部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左臂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右臂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左腿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右腿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戰鬥數據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主攻擊: 巨顎碾壓 2d10+9 近接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副攻擊: 尾擊 2d6+9+倒地 3m錐形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防具DR: 全身DR1(甲殼)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特殊能力: 咆哮(10m內膽魄TN20); HP&lt;30%狂暴(+2傷害,+1攻擊/回合); 死亡爆炸(5m,3d6酸液)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行為模式: 領地意識極強; 守護特定區域; 不會追擊超出領地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戰利品: 巨獸甲殼(金)+變異核心(金)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QZAC鎮壓部隊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QZAC鎮壓部隊</t>
        </is>
      </c>
      <c r="C3" s="11" t="n"/>
      <c r="D3" s="5" t="inlineStr">
        <is>
          <t>出場劇本/支線</t>
        </is>
      </c>
      <c r="E3" s="6" t="inlineStr">
        <is>
          <t>高聲望QZAC敵對/隨機遭遇極</t>
        </is>
      </c>
      <c r="F3" s="10" t="n"/>
      <c r="G3" s="11" t="n"/>
      <c r="H3" s="5" t="inlineStr">
        <is>
          <t>威脅值</t>
        </is>
      </c>
      <c r="I3" s="6" t="n">
        <v>10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5</v>
      </c>
      <c r="I5" s="5" t="inlineStr">
        <is>
          <t>膽魄CRG</t>
        </is>
      </c>
      <c r="J5" s="7" t="n">
        <v>8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槍械</t>
        </is>
      </c>
      <c r="B9" s="6" t="n">
        <v>4</v>
      </c>
      <c r="C9" s="11" t="n"/>
    </row>
    <row r="10">
      <c r="A10" s="5" t="inlineStr">
        <is>
          <t>重型</t>
        </is>
      </c>
      <c r="B10" s="6" t="n">
        <v>3</v>
      </c>
      <c r="C10" s="11" t="n"/>
    </row>
    <row r="11">
      <c r="A11" s="5" t="inlineStr">
        <is>
          <t>察覺</t>
        </is>
      </c>
      <c r="B11" s="6" t="n">
        <v>3</v>
      </c>
      <c r="C11" s="11" t="n"/>
    </row>
    <row r="12">
      <c r="A12" s="5" t="inlineStr">
        <is>
          <t>意志</t>
        </is>
      </c>
      <c r="B12" s="6" t="n">
        <v>4</v>
      </c>
      <c r="C12" s="11" t="n"/>
    </row>
    <row r="13">
      <c r="A13" s="5" t="inlineStr">
        <is>
          <t>領導</t>
        </is>
      </c>
      <c r="B13" s="6" t="n">
        <v>3</v>
      </c>
      <c r="C13" s="11" t="n"/>
    </row>
    <row r="14">
      <c r="A14" s="3" t="inlineStr">
        <is>
          <t>七部位HP(自動)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頭部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胸部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腹部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左臂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右臂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左腿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右腿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戰鬥數據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主攻擊: 重機槍 2d6 全自動穿甲2 中-遠距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副攻擊: 震撼彈 5m內膽魄TN17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防具DR: 頭DR1,全身DR1(陶瓷板)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特殊能力: 戰術協調(3+人同時開火時命中+2); 煙霧掩護(1AP製造煙幕)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行為模式: 執行鎮壓任務; 先警告後開火; 不談判; 不撤退(除非損失75%)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戰利品: 陶瓷板防彈衣(紫)+重機槍(紫)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敵人卡 - 下水道巨鼠王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名稱</t>
        </is>
      </c>
      <c r="B3" s="6" t="inlineStr">
        <is>
          <t>下水道巨鼠王</t>
        </is>
      </c>
      <c r="C3" s="11" t="n"/>
      <c r="D3" s="5" t="inlineStr">
        <is>
          <t>出場劇本/支線</t>
        </is>
      </c>
      <c r="E3" s="6" t="inlineStr">
        <is>
          <t>隨機遭遇(舊城區下水道)</t>
        </is>
      </c>
      <c r="F3" s="10" t="n"/>
      <c r="G3" s="11" t="n"/>
      <c r="H3" s="5" t="inlineStr">
        <is>
          <t>威脅值</t>
        </is>
      </c>
      <c r="I3" s="6" t="n">
        <v>7</v>
      </c>
      <c r="J3" s="10" t="n"/>
      <c r="K3" s="11" t="n"/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1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8</v>
      </c>
    </row>
    <row r="6">
      <c r="A6" s="3" t="inlineStr">
        <is>
          <t>衍生屬性(自動)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</t>
        </is>
      </c>
      <c r="E7" s="8">
        <f>C5*5</f>
        <v/>
      </c>
      <c r="F7" s="10" t="n"/>
      <c r="G7" s="11" t="n"/>
      <c r="H7" s="5" t="inlineStr">
        <is>
          <t>技能點參考</t>
        </is>
      </c>
      <c r="I7" s="8">
        <f>(I6+K6)*2</f>
        <v/>
      </c>
      <c r="J7" s="10" t="n"/>
      <c r="K7" s="11" t="n"/>
    </row>
    <row r="8">
      <c r="A8" s="3" t="inlineStr">
        <is>
          <t>技能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近戰</t>
        </is>
      </c>
      <c r="B9" s="6" t="n">
        <v>4</v>
      </c>
      <c r="C9" s="11" t="n"/>
    </row>
    <row r="10">
      <c r="A10" s="5" t="inlineStr">
        <is>
          <t>潛行</t>
        </is>
      </c>
      <c r="B10" s="6" t="n">
        <v>3</v>
      </c>
      <c r="C10" s="11" t="n"/>
    </row>
    <row r="11">
      <c r="A11" s="5" t="inlineStr">
        <is>
          <t>察覺</t>
        </is>
      </c>
      <c r="B11" s="6" t="n">
        <v>4</v>
      </c>
      <c r="C11" s="11" t="n"/>
    </row>
    <row r="12">
      <c r="A12" s="5" t="inlineStr">
        <is>
          <t>意志</t>
        </is>
      </c>
      <c r="B12" s="6" t="n">
        <v>4</v>
      </c>
      <c r="C12" s="11" t="n"/>
    </row>
    <row r="13">
      <c r="A13" s="3" t="inlineStr">
        <is>
          <t>七部位HP(自動)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頭部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胸部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腹部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左臂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右臂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左腿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右腿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戰鬥數據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主攻擊: 巨牙撕咬 1d10+5+感染 近接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副攻擊: 尾巴掃擊 1d6+倒地 2m半徑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防具DR: 全身DR1(厚皮)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特殊能力: 召喚鼠群(每2回合1d4變異鼠); 疾病光環(近接範圍內每回合體魄TN14否則感染)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行為模式: 潛伏在下水道深處; 被驚擾後狂暴追擊領地入侵者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戰利品: 鼠王皮(紫)+下水道鑰匙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2026-06-23T18:55:43Z</dcterms:created>
  <dcterms:modified xmlns:dcterms="http://purl.org/dc/terms/" xmlns:xsi="http://www.w3.org/2001/XMLSchema-instance" xsi:type="dcterms:W3CDTF">2026-06-23T19:19:46Z</dcterms:modified>
</cp:coreProperties>
</file>