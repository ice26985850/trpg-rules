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債主-維克多" sheetId="1" state="visible" r:id="rId1"/>
    <sheet xmlns:r="http://schemas.openxmlformats.org/officeDocument/2006/relationships" name="兄弟會叛徒-卡爾" sheetId="2" state="visible" r:id="rId2"/>
    <sheet xmlns:r="http://schemas.openxmlformats.org/officeDocument/2006/relationships" name="教團滲透者" sheetId="3" state="visible" r:id="rId3"/>
    <sheet xmlns:r="http://schemas.openxmlformats.org/officeDocument/2006/relationships" name="QZAC秘密偵察員" sheetId="4" state="visible" r:id="rId4"/>
    <sheet xmlns:r="http://schemas.openxmlformats.org/officeDocument/2006/relationships" name="廣播塔研究員-艾琳" sheetId="5" state="visible" r:id="rId5"/>
    <sheet xmlns:r="http://schemas.openxmlformats.org/officeDocument/2006/relationships" name="封鎖區孤兒-小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債主-維克多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債主-維克多</t>
        </is>
      </c>
      <c r="C3" s="10" t="n"/>
      <c r="D3" s="5" t="inlineStr">
        <is>
          <t>類型/勢力</t>
        </is>
      </c>
      <c r="E3" s="6" t="inlineStr">
        <is>
          <t>勢力NPC/走私者高層</t>
        </is>
      </c>
      <c r="F3" s="10" t="n"/>
      <c r="G3" s="5" t="inlineStr">
        <is>
          <t>定位</t>
        </is>
      </c>
      <c r="H3" s="6" t="inlineStr">
        <is>
          <t>欠債者支線Boss</t>
        </is>
      </c>
      <c r="I3" s="2" t="n"/>
    </row>
    <row r="4"/>
    <row r="5">
      <c r="A5" s="3" t="inlineStr">
        <is>
          <t>五大屬性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體魄</t>
        </is>
      </c>
      <c r="B6" s="7" t="n">
        <v>5</v>
      </c>
      <c r="C6" s="5" t="inlineStr">
        <is>
          <t>精準</t>
        </is>
      </c>
      <c r="D6" s="7" t="n">
        <v>4</v>
      </c>
      <c r="E6" s="5" t="inlineStr">
        <is>
          <t>感知</t>
        </is>
      </c>
      <c r="F6" s="7" t="n">
        <v>5</v>
      </c>
      <c r="G6" s="5" t="inlineStr">
        <is>
          <t>技術</t>
        </is>
      </c>
      <c r="H6" s="7" t="n">
        <v>6</v>
      </c>
      <c r="I6" s="5" t="inlineStr">
        <is>
          <t>膽魄</t>
        </is>
      </c>
      <c r="J6" s="7" t="n">
        <v>8</v>
      </c>
    </row>
    <row r="7">
      <c r="A7" s="3" t="inlineStr">
        <is>
          <t>技能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槍械</t>
        </is>
      </c>
      <c r="B8" s="6" t="n">
        <v>2</v>
      </c>
      <c r="C8" s="10" t="n"/>
    </row>
    <row r="9">
      <c r="A9" s="5" t="inlineStr">
        <is>
          <t>威嚇</t>
        </is>
      </c>
      <c r="B9" s="6" t="n">
        <v>4</v>
      </c>
      <c r="C9" s="10" t="n"/>
    </row>
    <row r="10">
      <c r="A10" s="5" t="inlineStr">
        <is>
          <t>說服</t>
        </is>
      </c>
      <c r="B10" s="6" t="n">
        <v>4</v>
      </c>
      <c r="C10" s="10" t="n"/>
    </row>
    <row r="11">
      <c r="A11" s="5" t="inlineStr">
        <is>
          <t>街頭智慧</t>
        </is>
      </c>
      <c r="B11" s="6" t="n">
        <v>4</v>
      </c>
      <c r="C11" s="10" t="n"/>
    </row>
    <row r="12">
      <c r="A12" s="3" t="inlineStr">
        <is>
          <t>七部位HP(自動)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5" t="inlineStr">
        <is>
          <t>頭部</t>
        </is>
      </c>
      <c r="B13" s="8">
        <f>C6+6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胸部</t>
        </is>
      </c>
      <c r="B14" s="8">
        <f>C6*2+10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腹部</t>
        </is>
      </c>
      <c r="B15" s="8">
        <f>C6+8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左臂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右臂</t>
        </is>
      </c>
      <c r="B17" s="8">
        <f>C6+4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左腿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5" t="inlineStr">
        <is>
          <t>右腿</t>
        </is>
      </c>
      <c r="B19" s="8">
        <f>C6+5</f>
        <v/>
      </c>
      <c r="C19" s="9" t="n"/>
      <c r="D19" s="10" t="n"/>
      <c r="E19" s="2" t="inlineStr"/>
      <c r="F19" s="2" t="n"/>
      <c r="G19" s="2" t="inlineStr"/>
      <c r="H19" s="2" t="n"/>
      <c r="I19" s="2" t="n"/>
    </row>
    <row r="20">
      <c r="A20" s="3" t="inlineStr">
        <is>
          <t>裝備與行為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武器: 重型手槍(1d10)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防具: 軟質防彈衣IIA(DR1)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特殊: 身邊總有2名保鏢; 可談判但從不讓步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6" t="inlineStr">
        <is>
          <t>行為: 定期派人催債; 如果玩家試圖賴帳，會雇賞金獵人追殺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</row>
    <row r="25">
      <c r="A25" s="5" t="inlineStr">
        <is>
          <t>先攻(自動)</t>
        </is>
      </c>
      <c r="B25" s="8">
        <f>G6+E6</f>
        <v/>
      </c>
      <c r="C25" s="9" t="n"/>
      <c r="D25" s="10" t="n"/>
      <c r="E25" s="5" t="inlineStr">
        <is>
          <t>威脅值</t>
        </is>
      </c>
      <c r="F25" s="6" t="n">
        <v>8</v>
      </c>
      <c r="G25" s="9" t="n"/>
      <c r="H25" s="9" t="n"/>
      <c r="I25" s="10" t="n"/>
    </row>
  </sheetData>
  <mergeCells count="45">
    <mergeCell ref="A7:I7"/>
    <mergeCell ref="A8"/>
    <mergeCell ref="B14:D14"/>
    <mergeCell ref="A17"/>
    <mergeCell ref="D3"/>
    <mergeCell ref="B3:C3"/>
    <mergeCell ref="B17:D17"/>
    <mergeCell ref="E25"/>
    <mergeCell ref="B13:D13"/>
    <mergeCell ref="A10"/>
    <mergeCell ref="A12:I12"/>
    <mergeCell ref="A13"/>
    <mergeCell ref="A19"/>
    <mergeCell ref="A21:I21"/>
    <mergeCell ref="B19:D19"/>
    <mergeCell ref="A2:I2"/>
    <mergeCell ref="A9"/>
    <mergeCell ref="B11:C11"/>
    <mergeCell ref="A5:I5"/>
    <mergeCell ref="I6"/>
    <mergeCell ref="A15"/>
    <mergeCell ref="A23:I23"/>
    <mergeCell ref="C6"/>
    <mergeCell ref="A22:I22"/>
    <mergeCell ref="B15:D15"/>
    <mergeCell ref="F25:I25"/>
    <mergeCell ref="B8:C8"/>
    <mergeCell ref="A11"/>
    <mergeCell ref="A20:I20"/>
    <mergeCell ref="A6"/>
    <mergeCell ref="B10:C10"/>
    <mergeCell ref="A25"/>
    <mergeCell ref="A16"/>
    <mergeCell ref="B9:C9"/>
    <mergeCell ref="B25:D25"/>
    <mergeCell ref="G6"/>
    <mergeCell ref="B16:D16"/>
    <mergeCell ref="A24:I24"/>
    <mergeCell ref="A18"/>
    <mergeCell ref="A3"/>
    <mergeCell ref="A1:I1"/>
    <mergeCell ref="B18:D18"/>
    <mergeCell ref="E6"/>
    <mergeCell ref="A1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兄弟會叛徒-卡爾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兄弟會叛徒-卡爾</t>
        </is>
      </c>
      <c r="C3" s="10" t="n"/>
      <c r="D3" s="5" t="inlineStr">
        <is>
          <t>類型/勢力</t>
        </is>
      </c>
      <c r="E3" s="6" t="inlineStr">
        <is>
          <t>勢力NPC/鋼鐵兄弟會</t>
        </is>
      </c>
      <c r="F3" s="10" t="n"/>
      <c r="G3" s="5" t="inlineStr">
        <is>
          <t>定位</t>
        </is>
      </c>
      <c r="H3" s="6" t="inlineStr">
        <is>
          <t>兄弟會叛徒支線觸發者</t>
        </is>
      </c>
      <c r="I3" s="2" t="n"/>
    </row>
    <row r="4"/>
    <row r="5">
      <c r="A5" s="3" t="inlineStr">
        <is>
          <t>五大屬性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體魄</t>
        </is>
      </c>
      <c r="B6" s="7" t="n">
        <v>5</v>
      </c>
      <c r="C6" s="5" t="inlineStr">
        <is>
          <t>精準</t>
        </is>
      </c>
      <c r="D6" s="7" t="n">
        <v>6</v>
      </c>
      <c r="E6" s="5" t="inlineStr">
        <is>
          <t>感知</t>
        </is>
      </c>
      <c r="F6" s="7" t="n">
        <v>5</v>
      </c>
      <c r="G6" s="5" t="inlineStr">
        <is>
          <t>技術</t>
        </is>
      </c>
      <c r="H6" s="7" t="n">
        <v>3</v>
      </c>
      <c r="I6" s="5" t="inlineStr">
        <is>
          <t>膽魄</t>
        </is>
      </c>
      <c r="J6" s="7" t="n">
        <v>4</v>
      </c>
    </row>
    <row r="7">
      <c r="A7" s="3" t="inlineStr">
        <is>
          <t>技能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槍械</t>
        </is>
      </c>
      <c r="B8" s="6" t="n">
        <v>3</v>
      </c>
      <c r="C8" s="10" t="n"/>
    </row>
    <row r="9">
      <c r="A9" s="5" t="inlineStr">
        <is>
          <t>察覺</t>
        </is>
      </c>
      <c r="B9" s="6" t="n">
        <v>2</v>
      </c>
      <c r="C9" s="10" t="n"/>
    </row>
    <row r="10">
      <c r="A10" s="3" t="inlineStr">
        <is>
          <t>七部位HP(自動)</t>
        </is>
      </c>
      <c r="B10" s="9" t="n"/>
      <c r="C10" s="9" t="n"/>
      <c r="D10" s="9" t="n"/>
      <c r="E10" s="9" t="n"/>
      <c r="F10" s="9" t="n"/>
      <c r="G10" s="9" t="n"/>
      <c r="H10" s="9" t="n"/>
      <c r="I10" s="10" t="n"/>
    </row>
    <row r="11">
      <c r="A11" s="5" t="inlineStr">
        <is>
          <t>頭部</t>
        </is>
      </c>
      <c r="B11" s="8">
        <f>C6+6</f>
        <v/>
      </c>
      <c r="C11" s="9" t="n"/>
      <c r="D11" s="10" t="n"/>
      <c r="E11" s="2" t="inlineStr"/>
      <c r="F11" s="2" t="n"/>
      <c r="G11" s="2" t="inlineStr"/>
      <c r="H11" s="2" t="n"/>
      <c r="I11" s="2" t="n"/>
    </row>
    <row r="12">
      <c r="A12" s="5" t="inlineStr">
        <is>
          <t>胸部</t>
        </is>
      </c>
      <c r="B12" s="8">
        <f>C6*2+10</f>
        <v/>
      </c>
      <c r="C12" s="9" t="n"/>
      <c r="D12" s="10" t="n"/>
      <c r="E12" s="2" t="inlineStr"/>
      <c r="F12" s="2" t="n"/>
      <c r="G12" s="2" t="inlineStr"/>
      <c r="H12" s="2" t="n"/>
      <c r="I12" s="2" t="n"/>
    </row>
    <row r="13">
      <c r="A13" s="5" t="inlineStr">
        <is>
          <t>腹部</t>
        </is>
      </c>
      <c r="B13" s="8">
        <f>C6+8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左臂</t>
        </is>
      </c>
      <c r="B14" s="8">
        <f>C6+4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右臂</t>
        </is>
      </c>
      <c r="B15" s="8">
        <f>C6+4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左腿</t>
        </is>
      </c>
      <c r="B16" s="8">
        <f>C6+5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右腿</t>
        </is>
      </c>
      <c r="B17" s="8">
        <f>C6+5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3" t="inlineStr">
        <is>
          <t>裝備與行為</t>
        </is>
      </c>
      <c r="B18" s="9" t="n"/>
      <c r="C18" s="9" t="n"/>
      <c r="D18" s="9" t="n"/>
      <c r="E18" s="9" t="n"/>
      <c r="F18" s="9" t="n"/>
      <c r="G18" s="9" t="n"/>
      <c r="H18" s="9" t="n"/>
      <c r="I18" s="10" t="n"/>
    </row>
    <row r="19">
      <c r="A19" s="6" t="inlineStr">
        <is>
          <t>武器: 軍用突擊步槍(2d6)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防具: 硬質防彈衣III(DR1)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特殊: 提供兄弟會內部情報; 可協助降低劇本九難度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行為: 表面上仍在兄弟會服役; 秘密聯繫外界女兒; 可暗中協助玩家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5" t="inlineStr">
        <is>
          <t>先攻(自動)</t>
        </is>
      </c>
      <c r="B23" s="8">
        <f>G6+E6</f>
        <v/>
      </c>
      <c r="C23" s="9" t="n"/>
      <c r="D23" s="10" t="n"/>
      <c r="E23" s="5" t="inlineStr">
        <is>
          <t>威脅值</t>
        </is>
      </c>
      <c r="F23" s="6" t="n">
        <v>5</v>
      </c>
      <c r="G23" s="9" t="n"/>
      <c r="H23" s="9" t="n"/>
      <c r="I23" s="10" t="n"/>
    </row>
  </sheetData>
  <mergeCells count="41">
    <mergeCell ref="A7:I7"/>
    <mergeCell ref="A8"/>
    <mergeCell ref="B11:D11"/>
    <mergeCell ref="B14:D14"/>
    <mergeCell ref="A17"/>
    <mergeCell ref="D3"/>
    <mergeCell ref="B23:D23"/>
    <mergeCell ref="B3:C3"/>
    <mergeCell ref="B17:D17"/>
    <mergeCell ref="B13:D13"/>
    <mergeCell ref="A18:I18"/>
    <mergeCell ref="A13"/>
    <mergeCell ref="A21:I21"/>
    <mergeCell ref="A2:I2"/>
    <mergeCell ref="A9"/>
    <mergeCell ref="A5:I5"/>
    <mergeCell ref="I6"/>
    <mergeCell ref="A15"/>
    <mergeCell ref="C6"/>
    <mergeCell ref="A22:I22"/>
    <mergeCell ref="B15:D15"/>
    <mergeCell ref="A11"/>
    <mergeCell ref="B8:C8"/>
    <mergeCell ref="A20:I20"/>
    <mergeCell ref="E23"/>
    <mergeCell ref="A6"/>
    <mergeCell ref="A19:I19"/>
    <mergeCell ref="A10:I10"/>
    <mergeCell ref="A16"/>
    <mergeCell ref="B9:C9"/>
    <mergeCell ref="G6"/>
    <mergeCell ref="B16:D16"/>
    <mergeCell ref="A12"/>
    <mergeCell ref="A3"/>
    <mergeCell ref="A1:I1"/>
    <mergeCell ref="E6"/>
    <mergeCell ref="B12:D12"/>
    <mergeCell ref="F23:I23"/>
    <mergeCell ref="A14"/>
    <mergeCell ref="E3:F3"/>
    <mergeCell ref="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教團滲透者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教團滲透者</t>
        </is>
      </c>
      <c r="C3" s="10" t="n"/>
      <c r="D3" s="5" t="inlineStr">
        <is>
          <t>類型/勢力</t>
        </is>
      </c>
      <c r="E3" s="6" t="inlineStr">
        <is>
          <t>勢力NPC/觀察者教團</t>
        </is>
      </c>
      <c r="F3" s="10" t="n"/>
      <c r="G3" s="5" t="inlineStr">
        <is>
          <t>定位</t>
        </is>
      </c>
      <c r="H3" s="6" t="inlineStr">
        <is>
          <t>變異體適應者支線</t>
        </is>
      </c>
      <c r="I3" s="2" t="n"/>
    </row>
    <row r="4"/>
    <row r="5">
      <c r="A5" s="3" t="inlineStr">
        <is>
          <t>五大屬性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體魄</t>
        </is>
      </c>
      <c r="B6" s="7" t="n">
        <v>4</v>
      </c>
      <c r="C6" s="5" t="inlineStr">
        <is>
          <t>精準</t>
        </is>
      </c>
      <c r="D6" s="7" t="n">
        <v>3</v>
      </c>
      <c r="E6" s="5" t="inlineStr">
        <is>
          <t>感知</t>
        </is>
      </c>
      <c r="F6" s="7" t="n">
        <v>6</v>
      </c>
      <c r="G6" s="5" t="inlineStr">
        <is>
          <t>技術</t>
        </is>
      </c>
      <c r="H6" s="7" t="n">
        <v>4</v>
      </c>
      <c r="I6" s="5" t="inlineStr">
        <is>
          <t>膽魄</t>
        </is>
      </c>
      <c r="J6" s="7" t="n">
        <v>9</v>
      </c>
    </row>
    <row r="7">
      <c r="A7" s="3" t="inlineStr">
        <is>
          <t>技能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察覺</t>
        </is>
      </c>
      <c r="B8" s="6" t="n">
        <v>4</v>
      </c>
      <c r="C8" s="10" t="n"/>
    </row>
    <row r="9">
      <c r="A9" s="5" t="inlineStr">
        <is>
          <t>說服</t>
        </is>
      </c>
      <c r="B9" s="6" t="n">
        <v>4</v>
      </c>
      <c r="C9" s="10" t="n"/>
    </row>
    <row r="10">
      <c r="A10" s="5" t="inlineStr">
        <is>
          <t>意志</t>
        </is>
      </c>
      <c r="B10" s="6" t="n">
        <v>5</v>
      </c>
      <c r="C10" s="10" t="n"/>
    </row>
    <row r="11">
      <c r="A11" s="5" t="inlineStr">
        <is>
          <t>潛行</t>
        </is>
      </c>
      <c r="B11" s="6" t="n">
        <v>3</v>
      </c>
      <c r="C11" s="10" t="n"/>
    </row>
    <row r="12">
      <c r="A12" s="3" t="inlineStr">
        <is>
          <t>七部位HP(自動)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5" t="inlineStr">
        <is>
          <t>頭部</t>
        </is>
      </c>
      <c r="B13" s="8">
        <f>C6+6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胸部</t>
        </is>
      </c>
      <c r="B14" s="8">
        <f>C6*2+10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腹部</t>
        </is>
      </c>
      <c r="B15" s="8">
        <f>C6+8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左臂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右臂</t>
        </is>
      </c>
      <c r="B17" s="8">
        <f>C6+4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左腿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5" t="inlineStr">
        <is>
          <t>右腿</t>
        </is>
      </c>
      <c r="B19" s="8">
        <f>C6+5</f>
        <v/>
      </c>
      <c r="C19" s="9" t="n"/>
      <c r="D19" s="10" t="n"/>
      <c r="E19" s="2" t="inlineStr"/>
      <c r="F19" s="2" t="n"/>
      <c r="G19" s="2" t="inlineStr"/>
      <c r="H19" s="2" t="n"/>
      <c r="I19" s="2" t="n"/>
    </row>
    <row r="20">
      <c r="A20" s="3" t="inlineStr">
        <is>
          <t>裝備與行為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武器: 儀式匕首(1d4+4)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防具: 儀式長袍(DR1)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特殊: 可感知變異體適應者的突變能量; 試圖招募/綁架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6" t="inlineStr">
        <is>
          <t>行為: 暗中跟蹤變異體適應者玩家; 在適當時機現身提出邀請; 拒絕則轉為敵對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</row>
    <row r="25">
      <c r="A25" s="5" t="inlineStr">
        <is>
          <t>先攻(自動)</t>
        </is>
      </c>
      <c r="B25" s="8">
        <f>G6+E6</f>
        <v/>
      </c>
      <c r="C25" s="9" t="n"/>
      <c r="D25" s="10" t="n"/>
      <c r="E25" s="5" t="inlineStr">
        <is>
          <t>威脅值</t>
        </is>
      </c>
      <c r="F25" s="6" t="n">
        <v>4</v>
      </c>
      <c r="G25" s="9" t="n"/>
      <c r="H25" s="9" t="n"/>
      <c r="I25" s="10" t="n"/>
    </row>
  </sheetData>
  <mergeCells count="45">
    <mergeCell ref="A7:I7"/>
    <mergeCell ref="A8"/>
    <mergeCell ref="B14:D14"/>
    <mergeCell ref="A17"/>
    <mergeCell ref="D3"/>
    <mergeCell ref="B3:C3"/>
    <mergeCell ref="B17:D17"/>
    <mergeCell ref="E25"/>
    <mergeCell ref="B13:D13"/>
    <mergeCell ref="A10"/>
    <mergeCell ref="A12:I12"/>
    <mergeCell ref="A13"/>
    <mergeCell ref="A19"/>
    <mergeCell ref="A21:I21"/>
    <mergeCell ref="B19:D19"/>
    <mergeCell ref="A2:I2"/>
    <mergeCell ref="A9"/>
    <mergeCell ref="B11:C11"/>
    <mergeCell ref="A5:I5"/>
    <mergeCell ref="I6"/>
    <mergeCell ref="A15"/>
    <mergeCell ref="A23:I23"/>
    <mergeCell ref="C6"/>
    <mergeCell ref="A22:I22"/>
    <mergeCell ref="B15:D15"/>
    <mergeCell ref="F25:I25"/>
    <mergeCell ref="B8:C8"/>
    <mergeCell ref="A11"/>
    <mergeCell ref="A20:I20"/>
    <mergeCell ref="A6"/>
    <mergeCell ref="B10:C10"/>
    <mergeCell ref="A25"/>
    <mergeCell ref="A16"/>
    <mergeCell ref="B9:C9"/>
    <mergeCell ref="B25:D25"/>
    <mergeCell ref="G6"/>
    <mergeCell ref="B16:D16"/>
    <mergeCell ref="A24:I24"/>
    <mergeCell ref="A18"/>
    <mergeCell ref="A3"/>
    <mergeCell ref="A1:I1"/>
    <mergeCell ref="B18:D18"/>
    <mergeCell ref="E6"/>
    <mergeCell ref="A14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QZAC秘密偵察員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QZAC秘密偵察員</t>
        </is>
      </c>
      <c r="C3" s="10" t="n"/>
      <c r="D3" s="5" t="inlineStr">
        <is>
          <t>類型/勢力</t>
        </is>
      </c>
      <c r="E3" s="6" t="inlineStr">
        <is>
          <t>勢力NPC/QZAC</t>
        </is>
      </c>
      <c r="F3" s="10" t="n"/>
      <c r="G3" s="5" t="inlineStr">
        <is>
          <t>定位</t>
        </is>
      </c>
      <c r="H3" s="6" t="inlineStr">
        <is>
          <t>隨機遭遇NPC</t>
        </is>
      </c>
      <c r="I3" s="2" t="n"/>
    </row>
    <row r="4"/>
    <row r="5">
      <c r="A5" s="3" t="inlineStr">
        <is>
          <t>五大屬性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體魄</t>
        </is>
      </c>
      <c r="B6" s="7" t="n">
        <v>5</v>
      </c>
      <c r="C6" s="5" t="inlineStr">
        <is>
          <t>精準</t>
        </is>
      </c>
      <c r="D6" s="7" t="n">
        <v>5</v>
      </c>
      <c r="E6" s="5" t="inlineStr">
        <is>
          <t>感知</t>
        </is>
      </c>
      <c r="F6" s="7" t="n">
        <v>7</v>
      </c>
      <c r="G6" s="5" t="inlineStr">
        <is>
          <t>技術</t>
        </is>
      </c>
      <c r="H6" s="7" t="n">
        <v>6</v>
      </c>
      <c r="I6" s="5" t="inlineStr">
        <is>
          <t>膽魄</t>
        </is>
      </c>
      <c r="J6" s="7" t="n">
        <v>6</v>
      </c>
    </row>
    <row r="7">
      <c r="A7" s="3" t="inlineStr">
        <is>
          <t>技能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槍械</t>
        </is>
      </c>
      <c r="B8" s="6" t="n">
        <v>3</v>
      </c>
      <c r="C8" s="10" t="n"/>
    </row>
    <row r="9">
      <c r="A9" s="5" t="inlineStr">
        <is>
          <t>察覺</t>
        </is>
      </c>
      <c r="B9" s="6" t="n">
        <v>4</v>
      </c>
      <c r="C9" s="10" t="n"/>
    </row>
    <row r="10">
      <c r="A10" s="5" t="inlineStr">
        <is>
          <t>潛行</t>
        </is>
      </c>
      <c r="B10" s="6" t="n">
        <v>3</v>
      </c>
      <c r="C10" s="10" t="n"/>
    </row>
    <row r="11">
      <c r="A11" s="5" t="inlineStr">
        <is>
          <t>電子</t>
        </is>
      </c>
      <c r="B11" s="6" t="n">
        <v>3</v>
      </c>
      <c r="C11" s="10" t="n"/>
    </row>
    <row r="12">
      <c r="A12" s="3" t="inlineStr">
        <is>
          <t>七部位HP(自動)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5" t="inlineStr">
        <is>
          <t>頭部</t>
        </is>
      </c>
      <c r="B13" s="8">
        <f>C6+6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胸部</t>
        </is>
      </c>
      <c r="B14" s="8">
        <f>C6*2+10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腹部</t>
        </is>
      </c>
      <c r="B15" s="8">
        <f>C6+8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左臂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右臂</t>
        </is>
      </c>
      <c r="B17" s="8">
        <f>C6+4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左腿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5" t="inlineStr">
        <is>
          <t>右腿</t>
        </is>
      </c>
      <c r="B19" s="8">
        <f>C6+5</f>
        <v/>
      </c>
      <c r="C19" s="9" t="n"/>
      <c r="D19" s="10" t="n"/>
      <c r="E19" s="2" t="inlineStr"/>
      <c r="F19" s="2" t="n"/>
      <c r="G19" s="2" t="inlineStr"/>
      <c r="H19" s="2" t="n"/>
      <c r="I19" s="2" t="n"/>
    </row>
    <row r="20">
      <c r="A20" s="3" t="inlineStr">
        <is>
          <t>裝備與行為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武器: 精準射手步槍(1d10)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防具: 軟質防彈衣IIA(DR1)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特殊: 可交易QZAC情報; 高聲望玩家可獲協助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6" t="inlineStr">
        <is>
          <t>行為: 偽裝成搜刮者; 監視特定區域; 發現玩家後先評估威脅再決定互動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</row>
    <row r="25">
      <c r="A25" s="5" t="inlineStr">
        <is>
          <t>先攻(自動)</t>
        </is>
      </c>
      <c r="B25" s="8">
        <f>G6+E6</f>
        <v/>
      </c>
      <c r="C25" s="9" t="n"/>
      <c r="D25" s="10" t="n"/>
      <c r="E25" s="5" t="inlineStr">
        <is>
          <t>威脅值</t>
        </is>
      </c>
      <c r="F25" s="6" t="n">
        <v>6</v>
      </c>
      <c r="G25" s="9" t="n"/>
      <c r="H25" s="9" t="n"/>
      <c r="I25" s="10" t="n"/>
    </row>
  </sheetData>
  <mergeCells count="45">
    <mergeCell ref="A7:I7"/>
    <mergeCell ref="A8"/>
    <mergeCell ref="B14:D14"/>
    <mergeCell ref="A17"/>
    <mergeCell ref="D3"/>
    <mergeCell ref="B3:C3"/>
    <mergeCell ref="B17:D17"/>
    <mergeCell ref="E25"/>
    <mergeCell ref="B13:D13"/>
    <mergeCell ref="A10"/>
    <mergeCell ref="A12:I12"/>
    <mergeCell ref="A13"/>
    <mergeCell ref="A19"/>
    <mergeCell ref="A21:I21"/>
    <mergeCell ref="B19:D19"/>
    <mergeCell ref="A2:I2"/>
    <mergeCell ref="A9"/>
    <mergeCell ref="B11:C11"/>
    <mergeCell ref="A5:I5"/>
    <mergeCell ref="I6"/>
    <mergeCell ref="A15"/>
    <mergeCell ref="A23:I23"/>
    <mergeCell ref="C6"/>
    <mergeCell ref="A22:I22"/>
    <mergeCell ref="B15:D15"/>
    <mergeCell ref="F25:I25"/>
    <mergeCell ref="B8:C8"/>
    <mergeCell ref="A11"/>
    <mergeCell ref="A20:I20"/>
    <mergeCell ref="A6"/>
    <mergeCell ref="B10:C10"/>
    <mergeCell ref="A25"/>
    <mergeCell ref="A16"/>
    <mergeCell ref="B9:C9"/>
    <mergeCell ref="B25:D25"/>
    <mergeCell ref="G6"/>
    <mergeCell ref="B16:D16"/>
    <mergeCell ref="A24:I24"/>
    <mergeCell ref="A18"/>
    <mergeCell ref="A3"/>
    <mergeCell ref="A1:I1"/>
    <mergeCell ref="B18:D18"/>
    <mergeCell ref="E6"/>
    <mergeCell ref="A14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廣播塔研究員-艾琳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廣播塔研究員-艾琳</t>
        </is>
      </c>
      <c r="C3" s="10" t="n"/>
      <c r="D3" s="5" t="inlineStr">
        <is>
          <t>類型/勢力</t>
        </is>
      </c>
      <c r="E3" s="6" t="inlineStr">
        <is>
          <t>NPC/時間泡受困者</t>
        </is>
      </c>
      <c r="F3" s="10" t="n"/>
      <c r="G3" s="5" t="inlineStr">
        <is>
          <t>定位</t>
        </is>
      </c>
      <c r="H3" s="6" t="inlineStr">
        <is>
          <t>封鎖區電台支線核心</t>
        </is>
      </c>
      <c r="I3" s="2" t="n"/>
    </row>
    <row r="4"/>
    <row r="5">
      <c r="A5" s="3" t="inlineStr">
        <is>
          <t>五大屬性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體魄</t>
        </is>
      </c>
      <c r="B6" s="7" t="n">
        <v>3</v>
      </c>
      <c r="C6" s="5" t="inlineStr">
        <is>
          <t>精準</t>
        </is>
      </c>
      <c r="D6" s="7" t="n">
        <v>3</v>
      </c>
      <c r="E6" s="5" t="inlineStr">
        <is>
          <t>感知</t>
        </is>
      </c>
      <c r="F6" s="7" t="n">
        <v>6</v>
      </c>
      <c r="G6" s="5" t="inlineStr">
        <is>
          <t>技術</t>
        </is>
      </c>
      <c r="H6" s="7" t="n">
        <v>8</v>
      </c>
      <c r="I6" s="5" t="inlineStr">
        <is>
          <t>膽魄</t>
        </is>
      </c>
      <c r="J6" s="7" t="n">
        <v>9</v>
      </c>
    </row>
    <row r="7">
      <c r="A7" s="3" t="inlineStr">
        <is>
          <t>技能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電子</t>
        </is>
      </c>
      <c r="B8" s="6" t="n">
        <v>5</v>
      </c>
      <c r="C8" s="10" t="n"/>
    </row>
    <row r="9">
      <c r="A9" s="5" t="inlineStr">
        <is>
          <t>急救</t>
        </is>
      </c>
      <c r="B9" s="6" t="n">
        <v>3</v>
      </c>
      <c r="C9" s="10" t="n"/>
    </row>
    <row r="10">
      <c r="A10" s="5" t="inlineStr">
        <is>
          <t>意志</t>
        </is>
      </c>
      <c r="B10" s="6" t="n">
        <v>5</v>
      </c>
      <c r="C10" s="10" t="n"/>
    </row>
    <row r="11">
      <c r="A11" s="3" t="inlineStr">
        <is>
          <t>七部位HP(自動)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5" t="inlineStr">
        <is>
          <t>頭部</t>
        </is>
      </c>
      <c r="B12" s="8">
        <f>C6+6</f>
        <v/>
      </c>
      <c r="C12" s="9" t="n"/>
      <c r="D12" s="10" t="n"/>
      <c r="E12" s="2" t="inlineStr"/>
      <c r="F12" s="2" t="n"/>
      <c r="G12" s="2" t="inlineStr"/>
      <c r="H12" s="2" t="n"/>
      <c r="I12" s="2" t="n"/>
    </row>
    <row r="13">
      <c r="A13" s="5" t="inlineStr">
        <is>
          <t>胸部</t>
        </is>
      </c>
      <c r="B13" s="8">
        <f>C6*2+10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腹部</t>
        </is>
      </c>
      <c r="B14" s="8">
        <f>C6+8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左臂</t>
        </is>
      </c>
      <c r="B15" s="8">
        <f>C6+4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右臂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左腿</t>
        </is>
      </c>
      <c r="B17" s="8">
        <f>C6+5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右腿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3" t="inlineStr">
        <is>
          <t>裝備與行為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武器: 無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防具: 無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特殊: 被困時間泡中三年; 持續廣播詩歌和密碼訊息; 若被救出=情報Lv.5級知識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行為: 無法自由行動(在時間泡內); 可透過無線電與玩家交談; 需要特定技術手段才能解救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5" t="inlineStr">
        <is>
          <t>先攻(自動)</t>
        </is>
      </c>
      <c r="B24" s="8">
        <f>G6+E6</f>
        <v/>
      </c>
      <c r="C24" s="9" t="n"/>
      <c r="D24" s="10" t="n"/>
      <c r="E24" s="5" t="inlineStr">
        <is>
          <t>威脅值</t>
        </is>
      </c>
      <c r="F24" s="6" t="n">
        <v>0</v>
      </c>
      <c r="G24" s="9" t="n"/>
      <c r="H24" s="9" t="n"/>
      <c r="I24" s="10" t="n"/>
    </row>
  </sheetData>
  <mergeCells count="43">
    <mergeCell ref="A7:I7"/>
    <mergeCell ref="A8"/>
    <mergeCell ref="B14:D14"/>
    <mergeCell ref="A17"/>
    <mergeCell ref="D3"/>
    <mergeCell ref="B3:C3"/>
    <mergeCell ref="B17:D17"/>
    <mergeCell ref="B13:D13"/>
    <mergeCell ref="A10"/>
    <mergeCell ref="A13"/>
    <mergeCell ref="A21:I21"/>
    <mergeCell ref="A2:I2"/>
    <mergeCell ref="A9"/>
    <mergeCell ref="A5:I5"/>
    <mergeCell ref="I6"/>
    <mergeCell ref="A15"/>
    <mergeCell ref="A23:I23"/>
    <mergeCell ref="A24"/>
    <mergeCell ref="C6"/>
    <mergeCell ref="A22:I22"/>
    <mergeCell ref="B15:D15"/>
    <mergeCell ref="E24"/>
    <mergeCell ref="B8:C8"/>
    <mergeCell ref="A20:I20"/>
    <mergeCell ref="B24:D24"/>
    <mergeCell ref="A6"/>
    <mergeCell ref="A19:I19"/>
    <mergeCell ref="B10:C10"/>
    <mergeCell ref="F24:I24"/>
    <mergeCell ref="A16"/>
    <mergeCell ref="B9:C9"/>
    <mergeCell ref="G6"/>
    <mergeCell ref="B16:D16"/>
    <mergeCell ref="A11:I11"/>
    <mergeCell ref="A12"/>
    <mergeCell ref="A18"/>
    <mergeCell ref="A3"/>
    <mergeCell ref="A1:I1"/>
    <mergeCell ref="B18:D18"/>
    <mergeCell ref="E6"/>
    <mergeCell ref="B12:D12"/>
    <mergeCell ref="A14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封鎖區孤兒-小安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封鎖區孤兒-小安</t>
        </is>
      </c>
      <c r="C3" s="10" t="n"/>
      <c r="D3" s="5" t="inlineStr">
        <is>
          <t>類型/勢力</t>
        </is>
      </c>
      <c r="E3" s="6" t="inlineStr">
        <is>
          <t>NPC/拾荒者同盟</t>
        </is>
      </c>
      <c r="F3" s="10" t="n"/>
      <c r="G3" s="5" t="inlineStr">
        <is>
          <t>定位</t>
        </is>
      </c>
      <c r="H3" s="6" t="inlineStr">
        <is>
          <t>封鎖區孩子支線</t>
        </is>
      </c>
      <c r="I3" s="2" t="n"/>
    </row>
    <row r="4"/>
    <row r="5">
      <c r="A5" s="3" t="inlineStr">
        <is>
          <t>五大屬性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體魄</t>
        </is>
      </c>
      <c r="B6" s="7" t="n">
        <v>1</v>
      </c>
      <c r="C6" s="5" t="inlineStr">
        <is>
          <t>精準</t>
        </is>
      </c>
      <c r="D6" s="7" t="n">
        <v>2</v>
      </c>
      <c r="E6" s="5" t="inlineStr">
        <is>
          <t>感知</t>
        </is>
      </c>
      <c r="F6" s="7" t="n">
        <v>4</v>
      </c>
      <c r="G6" s="5" t="inlineStr">
        <is>
          <t>技術</t>
        </is>
      </c>
      <c r="H6" s="7" t="n">
        <v>2</v>
      </c>
      <c r="I6" s="5" t="inlineStr">
        <is>
          <t>膽魄</t>
        </is>
      </c>
      <c r="J6" s="7" t="n">
        <v>7</v>
      </c>
    </row>
    <row r="7">
      <c r="A7" s="3" t="inlineStr">
        <is>
          <t>技能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潛行</t>
        </is>
      </c>
      <c r="B8" s="6" t="n">
        <v>3</v>
      </c>
      <c r="C8" s="10" t="n"/>
    </row>
    <row r="9">
      <c r="A9" s="5" t="inlineStr">
        <is>
          <t>生存</t>
        </is>
      </c>
      <c r="B9" s="6" t="n">
        <v>3</v>
      </c>
      <c r="C9" s="10" t="n"/>
    </row>
    <row r="10">
      <c r="A10" s="5" t="inlineStr">
        <is>
          <t>察覺</t>
        </is>
      </c>
      <c r="B10" s="6" t="n">
        <v>3</v>
      </c>
      <c r="C10" s="10" t="n"/>
    </row>
    <row r="11">
      <c r="A11" s="3" t="inlineStr">
        <is>
          <t>七部位HP(自動)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5" t="inlineStr">
        <is>
          <t>頭部</t>
        </is>
      </c>
      <c r="B12" s="8">
        <f>C6+6</f>
        <v/>
      </c>
      <c r="C12" s="9" t="n"/>
      <c r="D12" s="10" t="n"/>
      <c r="E12" s="2" t="inlineStr"/>
      <c r="F12" s="2" t="n"/>
      <c r="G12" s="2" t="inlineStr"/>
      <c r="H12" s="2" t="n"/>
      <c r="I12" s="2" t="n"/>
    </row>
    <row r="13">
      <c r="A13" s="5" t="inlineStr">
        <is>
          <t>胸部</t>
        </is>
      </c>
      <c r="B13" s="8">
        <f>C6*2+10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腹部</t>
        </is>
      </c>
      <c r="B14" s="8">
        <f>C6+8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左臂</t>
        </is>
      </c>
      <c r="B15" s="8">
        <f>C6+4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右臂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左腿</t>
        </is>
      </c>
      <c r="B17" s="8">
        <f>C6+5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右腿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3" t="inlineStr">
        <is>
          <t>裝備與行為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武器: 無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防具: 無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特殊: 送你幸運物(隨機金色); 所有拾荒者同盟聲望→崇拜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行為: 與一群孩子在廢墟中生存; 熟練躲避殘留體; 生了病需要工業區的特定藥物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5" t="inlineStr">
        <is>
          <t>先攻(自動)</t>
        </is>
      </c>
      <c r="B24" s="8">
        <f>G6+E6</f>
        <v/>
      </c>
      <c r="C24" s="9" t="n"/>
      <c r="D24" s="10" t="n"/>
      <c r="E24" s="5" t="inlineStr">
        <is>
          <t>威脅值</t>
        </is>
      </c>
      <c r="F24" s="6" t="n">
        <v>0</v>
      </c>
      <c r="G24" s="9" t="n"/>
      <c r="H24" s="9" t="n"/>
      <c r="I24" s="10" t="n"/>
    </row>
  </sheetData>
  <mergeCells count="43">
    <mergeCell ref="A7:I7"/>
    <mergeCell ref="A8"/>
    <mergeCell ref="B14:D14"/>
    <mergeCell ref="A17"/>
    <mergeCell ref="D3"/>
    <mergeCell ref="B3:C3"/>
    <mergeCell ref="B17:D17"/>
    <mergeCell ref="B13:D13"/>
    <mergeCell ref="A10"/>
    <mergeCell ref="A13"/>
    <mergeCell ref="A21:I21"/>
    <mergeCell ref="A2:I2"/>
    <mergeCell ref="A9"/>
    <mergeCell ref="A5:I5"/>
    <mergeCell ref="I6"/>
    <mergeCell ref="A15"/>
    <mergeCell ref="A23:I23"/>
    <mergeCell ref="A24"/>
    <mergeCell ref="C6"/>
    <mergeCell ref="A22:I22"/>
    <mergeCell ref="B15:D15"/>
    <mergeCell ref="E24"/>
    <mergeCell ref="B8:C8"/>
    <mergeCell ref="A20:I20"/>
    <mergeCell ref="B24:D24"/>
    <mergeCell ref="A6"/>
    <mergeCell ref="A19:I19"/>
    <mergeCell ref="B10:C10"/>
    <mergeCell ref="F24:I24"/>
    <mergeCell ref="A16"/>
    <mergeCell ref="B9:C9"/>
    <mergeCell ref="G6"/>
    <mergeCell ref="B16:D16"/>
    <mergeCell ref="A11:I11"/>
    <mergeCell ref="A12"/>
    <mergeCell ref="A18"/>
    <mergeCell ref="A3"/>
    <mergeCell ref="A1:I1"/>
    <mergeCell ref="B18:D18"/>
    <mergeCell ref="E6"/>
    <mergeCell ref="B12:D12"/>
    <mergeCell ref="A1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2026-06-23T18:55:43Z</dcterms:created>
  <dcterms:modified xmlns:dcterms="http://purl.org/dc/terms/" xmlns:xsi="http://www.w3.org/2001/XMLSchema-instance" xsi:type="dcterms:W3CDTF">2026-06-23T19:19:46Z</dcterms:modified>
</cp:coreProperties>
</file>