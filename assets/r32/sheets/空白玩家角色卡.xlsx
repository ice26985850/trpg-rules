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資訊" sheetId="1" state="visible" r:id="rId1"/>
    <sheet name="屬性與衍生" sheetId="2" state="visible" r:id="rId2"/>
    <sheet name="背景故事" sheetId="3" state="visible" r:id="rId3"/>
    <sheet name="間隙病追蹤" sheetId="4" state="visible" r:id="rId4"/>
    <sheet name="成長追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角色姓名</t>
        </is>
      </c>
      <c r="B1" s="2" t="n"/>
    </row>
    <row r="2">
      <c r="A2" s="1" t="inlineStr">
        <is>
          <t>玩家姓名</t>
        </is>
      </c>
      <c r="B2" s="2" t="n"/>
    </row>
    <row r="3">
      <c r="A3" s="1" t="inlineStr">
        <is>
          <t>年齡</t>
        </is>
      </c>
      <c r="B3" s="2" t="n"/>
    </row>
    <row r="4">
      <c r="A4" s="1" t="inlineStr">
        <is>
          <t>外觀描述</t>
        </is>
      </c>
      <c r="B4" s="2" t="n"/>
    </row>
    <row r="5">
      <c r="A5" s="1" t="inlineStr">
        <is>
          <t>起源類型</t>
        </is>
      </c>
      <c r="B5" s="2" t="n"/>
    </row>
    <row r="6">
      <c r="A6" s="1" t="inlineStr">
        <is>
          <t>背景修正屬性</t>
        </is>
      </c>
      <c r="B6" s="2" t="n"/>
    </row>
    <row r="7">
      <c r="A7" s="1" t="inlineStr">
        <is>
          <t>第一個門檻名稱</t>
        </is>
      </c>
      <c r="B7" s="2" t="n"/>
    </row>
    <row r="8">
      <c r="A8" s="1" t="inlineStr">
        <is>
          <t>門檻類型</t>
        </is>
      </c>
      <c r="B8" s="2" t="n"/>
    </row>
    <row r="9">
      <c r="A9" s="1" t="inlineStr">
        <is>
          <t>門檻難度等級（DC）</t>
        </is>
      </c>
      <c r="B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</cols>
  <sheetData>
    <row r="1">
      <c r="A1" s="3" t="inlineStr">
        <is>
          <t>項目</t>
        </is>
      </c>
      <c r="B1" s="3" t="inlineStr">
        <is>
          <t>數值</t>
        </is>
      </c>
      <c r="C1" s="3" t="inlineStr">
        <is>
          <t>備註（輸入區提示）</t>
        </is>
      </c>
    </row>
    <row r="2">
      <c r="A2" s="1" t="inlineStr">
        <is>
          <t>覺察</t>
        </is>
      </c>
      <c r="B2" s="2" t="n"/>
      <c r="C2" s="2" t="inlineStr">
        <is>
          <t>輸入 1-8</t>
        </is>
      </c>
    </row>
    <row r="3">
      <c r="A3" s="1" t="inlineStr">
        <is>
          <t>穿梭</t>
        </is>
      </c>
      <c r="B3" s="2" t="n"/>
      <c r="C3" s="2" t="inlineStr">
        <is>
          <t>輸入 1-8</t>
        </is>
      </c>
    </row>
    <row r="4">
      <c r="A4" s="1" t="inlineStr">
        <is>
          <t>拾遺</t>
        </is>
      </c>
      <c r="B4" s="2" t="n"/>
      <c r="C4" s="2" t="inlineStr">
        <is>
          <t>輸入 1-8</t>
        </is>
      </c>
    </row>
    <row r="5">
      <c r="A5" s="1" t="inlineStr">
        <is>
          <t>交涉</t>
        </is>
      </c>
      <c r="B5" s="2" t="n"/>
      <c r="C5" s="2" t="inlineStr">
        <is>
          <t>輸入 1-8</t>
        </is>
      </c>
    </row>
    <row r="6">
      <c r="A6" s="1" t="inlineStr">
        <is>
          <t>定錨</t>
        </is>
      </c>
      <c r="B6" s="2" t="n"/>
      <c r="C6" s="2" t="inlineStr">
        <is>
          <t>輸入 1-8</t>
        </is>
      </c>
    </row>
    <row r="7">
      <c r="A7" s="1" t="inlineStr">
        <is>
          <t>屬性總和</t>
        </is>
      </c>
      <c r="B7" s="2">
        <f>SUM(B2:B6)</f>
        <v/>
      </c>
      <c r="C7" s="2" t="inlineStr">
        <is>
          <t>應為25點 (不含背景修正)</t>
        </is>
      </c>
    </row>
    <row r="8">
      <c r="A8" s="1" t="inlineStr">
        <is>
          <t>背景修正</t>
        </is>
      </c>
      <c r="B8" s="2" t="n"/>
      <c r="C8" s="2" t="inlineStr">
        <is>
          <t>手動輸入 +1 至對應屬性（可達9）</t>
        </is>
      </c>
    </row>
    <row r="9">
      <c r="A9" s="2" t="n"/>
      <c r="B9" s="2" t="n"/>
      <c r="C9" s="2" t="n"/>
    </row>
    <row r="10">
      <c r="A10" s="1" t="inlineStr">
        <is>
          <t>═══ 衍生屬性 ═══</t>
        </is>
      </c>
      <c r="B10" s="2" t="n"/>
      <c r="C10" s="2" t="n"/>
    </row>
    <row r="11">
      <c r="A11" s="1" t="inlineStr">
        <is>
          <t>間隙耐力上限</t>
        </is>
      </c>
      <c r="B11" s="2">
        <f>B6*3+5</f>
        <v/>
      </c>
      <c r="C11" s="2" t="inlineStr">
        <is>
          <t>公式：定錨×3+5</t>
        </is>
      </c>
    </row>
    <row r="12">
      <c r="A12" s="1" t="inlineStr">
        <is>
          <t>當前間隙耐力</t>
        </is>
      </c>
      <c r="B12" s="2" t="n"/>
      <c r="C12" s="2" t="inlineStr">
        <is>
          <t>手動追蹤</t>
        </is>
      </c>
    </row>
    <row r="13">
      <c r="A13" s="1" t="inlineStr">
        <is>
          <t>門檻感知範圍(m)</t>
        </is>
      </c>
      <c r="B13" s="2">
        <f>B2*5</f>
        <v/>
      </c>
      <c r="C13" s="2" t="inlineStr">
        <is>
          <t>公式：覺察×5</t>
        </is>
      </c>
    </row>
    <row r="14">
      <c r="A14" s="1" t="inlineStr">
        <is>
          <t>間隙病閾值</t>
        </is>
      </c>
      <c r="B14" s="2">
        <f>B6*2+B3</f>
        <v/>
      </c>
      <c r="C14" s="2" t="inlineStr">
        <is>
          <t>公式：定錨×2+穿梭；d20+定錨 vs 閾值</t>
        </is>
      </c>
    </row>
    <row r="15">
      <c r="A15" s="1" t="inlineStr">
        <is>
          <t>先攻值</t>
        </is>
      </c>
      <c r="B15" s="2">
        <f>B2+B6</f>
        <v/>
      </c>
      <c r="C15" s="2" t="inlineStr">
        <is>
          <t>公式：覺察+定錨</t>
        </is>
      </c>
    </row>
    <row r="16">
      <c r="A16" s="1" t="inlineStr">
        <is>
          <t>殘留感知</t>
        </is>
      </c>
      <c r="B16" s="2">
        <f>B2+B4</f>
        <v/>
      </c>
      <c r="C16" s="2" t="inlineStr">
        <is>
          <t>公式：覺察+拾遺</t>
        </is>
      </c>
    </row>
    <row r="17">
      <c r="A17" s="1" t="inlineStr">
        <is>
          <t>意志防線</t>
        </is>
      </c>
      <c r="B17" s="2">
        <f>B6+B5</f>
        <v/>
      </c>
      <c r="C17" s="2" t="inlineStr">
        <is>
          <t>公式：定錨+交涉</t>
        </is>
      </c>
    </row>
    <row r="18">
      <c r="A18" s="2" t="n"/>
      <c r="B18" s="2" t="n"/>
      <c r="C18" s="2" t="n"/>
    </row>
    <row r="19">
      <c r="A19" s="1" t="inlineStr">
        <is>
          <t>持有定錨物?</t>
        </is>
      </c>
      <c r="B19" s="2" t="n"/>
      <c r="C19" s="2" t="inlineStr">
        <is>
          <t>是 → 間隙耐力上限+5（手動加至B11）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步驟一：第一次穿越</t>
        </is>
      </c>
      <c r="B1" s="2" t="inlineStr">
        <is>
          <t>描述你的起源故事與背景修正屬性</t>
        </is>
      </c>
    </row>
    <row r="2">
      <c r="A2" s="1" t="inlineStr">
        <is>
          <t>步驟三：第一個門檻</t>
        </is>
      </c>
      <c r="B2" s="2" t="inlineStr">
        <is>
          <t>描述地點、名字、類型（天然/人造/創傷/記憶，難度等級（DC） 8/12/15/18）</t>
        </is>
      </c>
    </row>
    <row r="3">
      <c r="A3" s="1" t="inlineStr">
        <is>
          <t>步驟四：定錨物</t>
        </is>
      </c>
      <c r="B3" s="2" t="inlineStr">
        <is>
          <t>描述物品 ☐已擁有 ☐未找到(已知) ☐未找到(未知)</t>
        </is>
      </c>
    </row>
    <row r="4">
      <c r="A4" s="1" t="inlineStr">
        <is>
          <t>步驟五：你丟過的東西</t>
        </is>
      </c>
      <c r="B4" s="2" t="inlineStr">
        <is>
          <t>描述物品、失去經過、為何重要</t>
        </is>
      </c>
    </row>
    <row r="5">
      <c r="A5" s="1" t="inlineStr">
        <is>
          <t>步驟六：間隙中的熟人</t>
        </is>
      </c>
      <c r="B5" s="2" t="inlineStr">
        <is>
          <t>類型/名字/關係/牠幫過你什麼</t>
        </is>
      </c>
    </row>
    <row r="6">
      <c r="A6" s="1" t="inlineStr">
        <is>
          <t>步驟七：不願再去的門檻</t>
        </is>
      </c>
      <c r="B6" s="2" t="inlineStr">
        <is>
          <t>描述地點、發生什麼、為何不願穿越（強制穿越 難度等級（DC） 20 定錨）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當前階段</t>
        </is>
      </c>
      <c r="B1" s="2" t="inlineStr">
        <is>
          <t>☐健康 ☐初期 ☐中期 ☐後期 ☐末期</t>
        </is>
      </c>
    </row>
    <row r="2">
      <c r="A2" s="1" t="inlineStr">
        <is>
          <t>間隙病閾值</t>
        </is>
      </c>
      <c r="B2" s="2">
        <f>屬性與衍生!B14</f>
        <v/>
      </c>
    </row>
    <row r="3">
      <c r="A3" s="1" t="inlineStr">
        <is>
          <t>檢定方式</t>
        </is>
      </c>
      <c r="B3" s="2" t="inlineStr">
        <is>
          <t>d20+定錨 vs 間隙病閾值；失敗則推進階段</t>
        </is>
      </c>
    </row>
    <row r="4">
      <c r="A4" s="1" t="inlineStr"/>
      <c r="B4" s="2" t="inlineStr"/>
    </row>
    <row r="5">
      <c r="A5" s="1" t="inlineStr">
        <is>
          <t>表層靜養天數</t>
        </is>
      </c>
      <c r="B5" s="2" t="inlineStr">
        <is>
          <t>____ / 7天（每日 難度等級（DC） 10 定錨）</t>
        </is>
      </c>
    </row>
    <row r="6">
      <c r="A6" s="1" t="inlineStr">
        <is>
          <t>惡化對抗優勢來源</t>
        </is>
      </c>
      <c r="B6" s="2" t="inlineStr">
        <is>
          <t>定錨物(被動) / 觸碰定錨物(主動1行動點（AP）） / 3+歸還印記(初期） / 5+歸還印記(中期以下)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1" t="inlineStr">
        <is>
          <t>歸還印記數量</t>
        </is>
      </c>
      <c r="B1" s="2" t="inlineStr">
        <is>
          <t>____ 個（層級：☐初印1 ☐熟印3 ☐深印5 ☐銘印7 ☐傳說10）</t>
        </is>
      </c>
    </row>
    <row r="2">
      <c r="A2" s="1" t="inlineStr">
        <is>
          <t>已知門檻數量</t>
        </is>
      </c>
      <c r="B2" s="2" t="inlineStr">
        <is>
          <t>____ 個（3個=串聯 / 5個=不迷路 / 10個=製圖師）</t>
        </is>
      </c>
    </row>
    <row r="3">
      <c r="A3" s="1" t="inlineStr">
        <is>
          <t>間隙熟人數量</t>
        </is>
      </c>
      <c r="B3" s="2" t="inlineStr">
        <is>
          <t>____ 位</t>
        </is>
      </c>
    </row>
    <row r="4">
      <c r="A4" s="1" t="inlineStr">
        <is>
          <t>已幫助過渡生物</t>
        </is>
      </c>
      <c r="B4" s="2" t="inlineStr">
        <is>
          <t>____ 位</t>
        </is>
      </c>
    </row>
    <row r="5">
      <c r="A5" s="1" t="inlineStr">
        <is>
          <t>成長里程碑記錄</t>
        </is>
      </c>
      <c r="B5" s="2" t="inlineStr">
        <is>
          <t>☐☐☐☐☐☐☐☐☐☐（每個=一次+1，上限=10−起始值）</t>
        </is>
      </c>
    </row>
    <row r="6">
      <c r="A6" s="1" t="inlineStr">
        <is>
          <t>定錨物</t>
        </is>
      </c>
      <c r="B6" s="2" t="inlineStr">
        <is>
          <t>☐已找到 ☐未找到</t>
        </is>
      </c>
    </row>
    <row r="7">
      <c r="A7" s="1" t="inlineStr">
        <is>
          <t>失物</t>
        </is>
      </c>
      <c r="B7" s="2" t="inlineStr">
        <is>
          <t>☐已找回 ☐未找回 ☐放棄</t>
        </is>
      </c>
    </row>
    <row r="8">
      <c r="A8" s="1" t="inlineStr">
        <is>
          <t>不願再去的門檻</t>
        </is>
      </c>
      <c r="B8" s="2" t="inlineStr">
        <is>
          <t>☐未面對 ☐站過門前 ☐已穿越（難度等級（DC）-2）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2026-06-26T12:50:32Z</dcterms:created>
  <dcterms:modified xsi:type="dcterms:W3CDTF">2026-07-18T08:23:11Z</dcterms:modified>
</cp:coreProperties>
</file>