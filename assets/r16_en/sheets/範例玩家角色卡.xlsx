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 Ming (Night Guard)" sheetId="1" state="visible" r:id="rId1"/>
    <sheet name="Xiao Yu (Delivery Worker)" sheetId="2" state="visible" r:id="rId2"/>
    <sheet name="Prof. Zhang (Grad Student)" sheetId="3" state="visible" r:id="rId3"/>
    <sheet name="Sister Wu (ER Nurse)" sheetId="4" state="visible" r:id="rId4"/>
    <sheet name="Lao Zhao (Warehouse Worke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b val="1"/>
      <color rgb="00FF0000"/>
      <sz val="11"/>
    </font>
    <font>
      <name val="Microsoft JhengHei"/>
      <b val="1"/>
      <sz val="11"/>
    </font>
    <font>
      <name val="Microsoft JhengHei"/>
      <color rgb="00666666"/>
      <sz val="9"/>
    </font>
    <font>
      <name val="Microsoft JhengHei"/>
      <b val="1"/>
      <sz val="9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Example Character: Li Ming (Night Guard)</t>
        </is>
      </c>
      <c r="B1" s="15" t="n"/>
      <c r="C1" s="15" t="n"/>
      <c r="D1" s="15" t="n"/>
      <c r="E1" s="15" t="n"/>
      <c r="F1" s="16" t="n"/>
    </row>
    <row r="2">
      <c r="A2" s="2" t="inlineStr">
        <is>
          <t>Basic Information</t>
        </is>
      </c>
      <c r="B2" s="15" t="n"/>
      <c r="C2" s="15" t="n"/>
      <c r="D2" s="15" t="n"/>
      <c r="E2" s="15" t="n"/>
      <c r="F2" s="16" t="n"/>
    </row>
    <row r="3">
      <c r="A3" s="3" t="inlineStr">
        <is>
          <t xml:space="preserve">Character Name: </t>
        </is>
      </c>
      <c r="B3" s="4" t="inlineStr">
        <is>
          <t>Li Ming</t>
        </is>
      </c>
      <c r="C3" s="3" t="inlineStr">
        <is>
          <t xml:space="preserve">Age: </t>
        </is>
      </c>
      <c r="D3" s="4" t="inlineStr">
        <is>
          <t>32</t>
        </is>
      </c>
      <c r="E3" s="3" t="inlineStr">
        <is>
          <t xml:space="preserve">Background: </t>
        </is>
      </c>
      <c r="F3" s="4" t="inlineStr">
        <is>
          <t>Night Guard</t>
        </is>
      </c>
      <c r="G3" t="inlineStr">
        <is>
          <t xml:space="preserve">Knowledge Value (KNO Value): </t>
        </is>
      </c>
    </row>
    <row r="4">
      <c r="A4" s="3" t="inlineStr">
        <is>
          <t xml:space="preserve">Pre-noclip Occupation: </t>
        </is>
      </c>
      <c r="B4" s="4" t="inlineStr">
        <is>
          <t>Night Guard</t>
        </is>
      </c>
      <c r="C4" s="3" t="inlineStr">
        <is>
          <t xml:space="preserve">Time in the Backrooms: </t>
        </is>
      </c>
      <c r="D4" s="4" t="inlineStr">
        <is>
          <t>Day One</t>
        </is>
      </c>
      <c r="E4" s="3" t="inlineStr">
        <is>
          <t xml:space="preserve">Current Milestone: </t>
        </is>
      </c>
      <c r="F4" s="4" t="inlineStr">
        <is>
          <t>The Awoken</t>
        </is>
      </c>
      <c r="G4" t="inlineStr">
        <is>
          <t>0 (Day One)</t>
        </is>
      </c>
    </row>
    <row r="5">
      <c r="G5" t="inlineStr">
        <is>
          <t>Determined by "Time in the Backrooms"; add to Backrooms Lore check</t>
        </is>
      </c>
    </row>
    <row r="6">
      <c r="A6" s="2" t="inlineStr">
        <is>
          <t>Five Attributes</t>
        </is>
      </c>
      <c r="B6" s="15" t="n"/>
      <c r="C6" s="15" t="n"/>
      <c r="D6" s="15" t="n"/>
      <c r="E6" s="15" t="n"/>
      <c r="F6" s="16" t="n"/>
    </row>
    <row r="7">
      <c r="A7" s="5" t="inlineStr">
        <is>
          <t>Attribute Name</t>
        </is>
      </c>
      <c r="B7" s="5" t="inlineStr">
        <is>
          <t>Attribute Value</t>
        </is>
      </c>
      <c r="C7" s="5" t="inlineStr">
        <is>
          <t>Attribute Bonus</t>
        </is>
      </c>
      <c r="D7" s="5" t="inlineStr">
        <is>
          <t>Attribute Name</t>
        </is>
      </c>
      <c r="E7" s="5" t="inlineStr">
        <is>
          <t>Attribute Value</t>
        </is>
      </c>
      <c r="F7" s="5" t="inlineStr">
        <is>
          <t>Attribute Bonus</t>
        </is>
      </c>
    </row>
    <row r="8">
      <c r="A8" s="3" t="inlineStr">
        <is>
          <t>Physique (PHY)</t>
        </is>
      </c>
      <c r="B8" s="4" t="n">
        <v>6</v>
      </c>
      <c r="C8" s="6">
        <f>B8</f>
        <v/>
      </c>
    </row>
    <row r="9">
      <c r="A9" s="3" t="inlineStr">
        <is>
          <t>Agility (AGI)</t>
        </is>
      </c>
      <c r="B9" s="4" t="n">
        <v>5</v>
      </c>
      <c r="C9" s="6">
        <f>B9</f>
        <v/>
      </c>
    </row>
    <row r="10">
      <c r="A10" s="3" t="inlineStr">
        <is>
          <t>Perception (PER)</t>
        </is>
      </c>
      <c r="B10" s="4" t="n">
        <v>7</v>
      </c>
      <c r="C10" s="6">
        <f>B10</f>
        <v/>
      </c>
    </row>
    <row r="11">
      <c r="A11" s="3" t="inlineStr">
        <is>
          <t>Sanity (SAN)</t>
        </is>
      </c>
      <c r="B11" s="4" t="n">
        <v>4</v>
      </c>
      <c r="C11" s="6">
        <f>B11</f>
        <v/>
      </c>
    </row>
    <row r="12">
      <c r="A12" s="3" t="inlineStr">
        <is>
          <t>Knowledge (KNO)</t>
        </is>
      </c>
      <c r="B12" s="4" t="n">
        <v>3</v>
      </c>
      <c r="C12" s="6">
        <f>B12</f>
        <v/>
      </c>
    </row>
    <row r="13">
      <c r="A13" s="3" t="inlineStr">
        <is>
          <t xml:space="preserve">Sum of Attributes: </t>
        </is>
      </c>
      <c r="B13" s="16" t="n"/>
      <c r="C13" s="7">
        <f>SUM(B8:B12)</f>
        <v/>
      </c>
    </row>
    <row r="14"/>
    <row r="15">
      <c r="A15" s="2" t="inlineStr">
        <is>
          <t>Derived Attributes (auto-calculated)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Hit Points (HP)</t>
        </is>
      </c>
      <c r="B16" s="8">
        <f>B8*2+5</f>
        <v/>
      </c>
      <c r="C16" s="9" t="inlineStr">
        <is>
          <t>Physique×2+5</t>
        </is>
      </c>
    </row>
    <row r="17">
      <c r="A17" s="3" t="inlineStr">
        <is>
          <t>Defense (DEF)</t>
        </is>
      </c>
      <c r="B17" s="8">
        <f>10+B9</f>
        <v/>
      </c>
      <c r="C17" s="9" t="inlineStr">
        <is>
          <t>10+Agility</t>
        </is>
      </c>
    </row>
    <row r="18">
      <c r="A18" s="3" t="inlineStr">
        <is>
          <t>Sanity Points (SP)</t>
        </is>
      </c>
      <c r="B18" s="8">
        <f>B11*3+10</f>
        <v/>
      </c>
      <c r="C18" s="9" t="inlineStr">
        <is>
          <t>Sanity×3+10</t>
        </is>
      </c>
    </row>
    <row r="19">
      <c r="A19" s="3" t="inlineStr">
        <is>
          <t>Carry Capacity (kg)</t>
        </is>
      </c>
      <c r="B19" s="8">
        <f>B8*2</f>
        <v/>
      </c>
      <c r="C19" s="9" t="inlineStr">
        <is>
          <t>Physique×2</t>
        </is>
      </c>
    </row>
    <row r="20">
      <c r="A20" s="3" t="inlineStr">
        <is>
          <t>Movement Speed (m/turn)</t>
        </is>
      </c>
      <c r="B20" s="8">
        <f>6+B9</f>
        <v/>
      </c>
      <c r="C20" s="9" t="inlineStr">
        <is>
          <t>6+Agility</t>
        </is>
      </c>
    </row>
    <row r="21">
      <c r="A21" s="3" t="inlineStr">
        <is>
          <t>Initiative Bonus</t>
        </is>
      </c>
      <c r="B21" s="8">
        <f>B9+B10</f>
        <v/>
      </c>
      <c r="C21" s="9" t="inlineStr">
        <is>
          <t>Agility+Perception</t>
        </is>
      </c>
    </row>
    <row r="22"/>
    <row r="23">
      <c r="A23" s="2" t="inlineStr">
        <is>
          <t>Skill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Skill</t>
        </is>
      </c>
      <c r="B24" s="10" t="inlineStr">
        <is>
          <t>Attribute</t>
        </is>
      </c>
      <c r="C24" s="10" t="inlineStr">
        <is>
          <t>Proficiency Tier</t>
        </is>
      </c>
      <c r="D24" s="10" t="inlineStr">
        <is>
          <t>Proficiency Bonus</t>
        </is>
      </c>
      <c r="E24" s="10" t="inlineStr">
        <is>
          <t>Total Skill Value</t>
        </is>
      </c>
      <c r="F24" s="10" t="inlineStr">
        <is>
          <t>Notes</t>
        </is>
      </c>
    </row>
    <row r="25">
      <c r="A25" s="3" t="inlineStr">
        <is>
          <t>Athletics</t>
        </is>
      </c>
      <c r="B25" s="11" t="n"/>
      <c r="C25" s="4" t="inlineStr">
        <is>
          <t>Untrained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Endurance</t>
        </is>
      </c>
      <c r="B26" s="11" t="n"/>
      <c r="C26" s="4" t="inlineStr">
        <is>
          <t>Trained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Might</t>
        </is>
      </c>
      <c r="B27" s="11" t="n"/>
      <c r="C27" s="4" t="inlineStr">
        <is>
          <t>Untrained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Stealth</t>
        </is>
      </c>
      <c r="B28" s="11" t="n"/>
      <c r="C28" s="4" t="inlineStr">
        <is>
          <t>Trained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Acrobatics</t>
        </is>
      </c>
      <c r="B29" s="11" t="n"/>
      <c r="C29" s="4" t="inlineStr">
        <is>
          <t>Untrained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Sleight of Hand</t>
        </is>
      </c>
      <c r="B30" s="11" t="n"/>
      <c r="C30" s="4" t="inlineStr">
        <is>
          <t>Untrained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Evasion</t>
        </is>
      </c>
      <c r="B31" s="11" t="n"/>
      <c r="C31" s="4" t="inlineStr">
        <is>
          <t>Untrained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Search</t>
        </is>
      </c>
      <c r="B32" s="11" t="n"/>
      <c r="C32" s="4" t="inlineStr">
        <is>
          <t>Expert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Track</t>
        </is>
      </c>
      <c r="B33" s="11" t="n"/>
      <c r="C33" s="4" t="inlineStr">
        <is>
          <t>Untrained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Insight</t>
        </is>
      </c>
      <c r="B34" s="11" t="n"/>
      <c r="C34" s="4" t="inlineStr">
        <is>
          <t>Trained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Danger Sense</t>
        </is>
      </c>
      <c r="B35" s="11" t="n"/>
      <c r="C35" s="4" t="inlineStr">
        <is>
          <t>Trained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Willpower</t>
        </is>
      </c>
      <c r="B36" s="11" t="n"/>
      <c r="C36" s="4" t="inlineStr">
        <is>
          <t>Untrained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Composure</t>
        </is>
      </c>
      <c r="B37" s="11" t="n"/>
      <c r="C37" s="4" t="inlineStr">
        <is>
          <t>Untrained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Meditation</t>
        </is>
      </c>
      <c r="B38" s="11" t="n"/>
      <c r="C38" s="4" t="inlineStr">
        <is>
          <t>Untrained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Backrooms Lore</t>
        </is>
      </c>
      <c r="B39" s="11" t="n"/>
      <c r="C39" s="4" t="inlineStr">
        <is>
          <t>Untrained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First Aid</t>
        </is>
      </c>
      <c r="B40" s="11" t="n"/>
      <c r="C40" s="4" t="inlineStr">
        <is>
          <t>Untrained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Crafting</t>
        </is>
      </c>
      <c r="B41" s="11" t="n"/>
      <c r="C41" s="4" t="inlineStr">
        <is>
          <t>Untrained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Spatial Memory</t>
        </is>
      </c>
      <c r="B42" s="11" t="n"/>
      <c r="C42" s="4" t="inlineStr">
        <is>
          <t>Trained</t>
        </is>
      </c>
      <c r="D42" s="6">
        <f>IF(C42="專精",5,IF(C42="受訓",3,0))</f>
        <v/>
      </c>
      <c r="E42" s="6">
        <f>B12+D42</f>
        <v/>
      </c>
    </row>
    <row r="43"/>
    <row r="44">
      <c r="A44" s="2" t="inlineStr">
        <is>
          <t>Equipment &amp; Items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Item Name</t>
        </is>
      </c>
      <c r="B45" s="5" t="inlineStr">
        <is>
          <t>Category</t>
        </is>
      </c>
      <c r="C45" s="5" t="inlineStr">
        <is>
          <t>Weight (kg)</t>
        </is>
      </c>
      <c r="D45" s="5" t="inlineStr">
        <is>
          <t>Quantity</t>
        </is>
      </c>
      <c r="E45" s="5" t="inlineStr">
        <is>
          <t>Effect</t>
        </is>
      </c>
      <c r="F45" s="5" t="inlineStr">
        <is>
          <t>Durability</t>
        </is>
      </c>
    </row>
    <row r="46">
      <c r="A46" s="12" t="inlineStr">
        <is>
          <t>Flashlight</t>
        </is>
      </c>
      <c r="B46" s="13" t="inlineStr">
        <is>
          <t>Light Source</t>
        </is>
      </c>
      <c r="C46" s="13" t="n">
        <v>0.5</v>
      </c>
      <c r="D46" s="13" t="n">
        <v>1</v>
      </c>
      <c r="E46" s="13" t="inlineStr">
        <is>
          <t>6-hour battery</t>
        </is>
      </c>
      <c r="F46" s="13" t="inlineStr">
        <is>
          <t>6h</t>
        </is>
      </c>
    </row>
    <row r="47">
      <c r="A47" s="12" t="inlineStr">
        <is>
          <t>Master Key</t>
        </is>
      </c>
      <c r="B47" s="13" t="inlineStr">
        <is>
          <t>Special</t>
        </is>
      </c>
      <c r="C47" s="13" t="n">
        <v>0.1</v>
      </c>
      <c r="D47" s="13" t="n">
        <v>1</v>
      </c>
      <c r="E47" s="13" t="inlineStr">
        <is>
          <t>Auto-opens simple locks DC 12 or below</t>
        </is>
      </c>
      <c r="F47" s="13" t="inlineStr">
        <is>
          <t>3 uses</t>
        </is>
      </c>
    </row>
    <row r="48">
      <c r="A48" s="12" t="inlineStr">
        <is>
          <t>Thermos</t>
        </is>
      </c>
      <c r="B48" s="13" t="inlineStr">
        <is>
          <t>Food</t>
        </is>
      </c>
      <c r="C48" s="13" t="n">
        <v>0.5</v>
      </c>
      <c r="D48" s="13" t="n">
        <v>1</v>
      </c>
      <c r="E48" s="13" t="inlineStr">
        <is>
          <t>Filled with coffee</t>
        </is>
      </c>
      <c r="F48" s="13" t="inlineStr">
        <is>
          <t>1 use</t>
        </is>
      </c>
    </row>
    <row r="49"/>
    <row r="50">
      <c r="A50" s="2" t="inlineStr">
        <is>
          <t>Resources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Almond Water</t>
        </is>
      </c>
      <c r="B51" s="4" t="n">
        <v>5</v>
      </c>
    </row>
    <row r="52">
      <c r="A52" s="3" t="inlineStr">
        <is>
          <t>Calorie</t>
        </is>
      </c>
      <c r="B52" s="4" t="n">
        <v>10</v>
      </c>
    </row>
    <row r="53"/>
    <row r="54">
      <c r="A54" s="2" t="inlineStr">
        <is>
          <t>Character Story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While patrolling an old office building at 3 a.m., Li Ming walked down an unusually long corridor — the door at the end opened not to the parking lot, but to the yellow cubicles of Level 0. He still has a wife and a five-year-old daughter; he must get back.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Example Character: Xiao Yu (Delivery Worker)</t>
        </is>
      </c>
      <c r="B1" s="15" t="n"/>
      <c r="C1" s="15" t="n"/>
      <c r="D1" s="15" t="n"/>
      <c r="E1" s="15" t="n"/>
      <c r="F1" s="16" t="n"/>
    </row>
    <row r="2">
      <c r="A2" s="2" t="inlineStr">
        <is>
          <t>Basic Information</t>
        </is>
      </c>
      <c r="B2" s="15" t="n"/>
      <c r="C2" s="15" t="n"/>
      <c r="D2" s="15" t="n"/>
      <c r="E2" s="15" t="n"/>
      <c r="F2" s="16" t="n"/>
    </row>
    <row r="3">
      <c r="A3" s="3" t="inlineStr">
        <is>
          <t xml:space="preserve">Character Name: </t>
        </is>
      </c>
      <c r="B3" s="4" t="inlineStr">
        <is>
          <t>Xiao Yu</t>
        </is>
      </c>
      <c r="C3" s="3" t="inlineStr">
        <is>
          <t xml:space="preserve">Age: </t>
        </is>
      </c>
      <c r="D3" s="4" t="inlineStr">
        <is>
          <t>24</t>
        </is>
      </c>
      <c r="E3" s="3" t="inlineStr">
        <is>
          <t xml:space="preserve">Background: </t>
        </is>
      </c>
      <c r="F3" s="4" t="inlineStr">
        <is>
          <t>Delivery Worker</t>
        </is>
      </c>
      <c r="G3" t="inlineStr">
        <is>
          <t xml:space="preserve">Knowledge Value (KNO Value): </t>
        </is>
      </c>
    </row>
    <row r="4">
      <c r="A4" s="3" t="inlineStr">
        <is>
          <t xml:space="preserve">Pre-noclip Occupation: </t>
        </is>
      </c>
      <c r="B4" s="4" t="inlineStr">
        <is>
          <t>Delivery Worker</t>
        </is>
      </c>
      <c r="C4" s="3" t="inlineStr">
        <is>
          <t xml:space="preserve">Time in the Backrooms: </t>
        </is>
      </c>
      <c r="D4" s="4" t="inlineStr">
        <is>
          <t>One Week</t>
        </is>
      </c>
      <c r="E4" s="3" t="inlineStr">
        <is>
          <t xml:space="preserve">Current Milestone: </t>
        </is>
      </c>
      <c r="F4" s="4" t="inlineStr">
        <is>
          <t>Survivor</t>
        </is>
      </c>
      <c r="G4" t="inlineStr">
        <is>
          <t>2 (One Week)</t>
        </is>
      </c>
    </row>
    <row r="5">
      <c r="G5" t="inlineStr">
        <is>
          <t>Determined by "Time in the Backrooms"; add to Backrooms Lore check</t>
        </is>
      </c>
    </row>
    <row r="6">
      <c r="A6" s="2" t="inlineStr">
        <is>
          <t>Five Attributes</t>
        </is>
      </c>
      <c r="B6" s="15" t="n"/>
      <c r="C6" s="15" t="n"/>
      <c r="D6" s="15" t="n"/>
      <c r="E6" s="15" t="n"/>
      <c r="F6" s="16" t="n"/>
    </row>
    <row r="7">
      <c r="A7" s="5" t="inlineStr">
        <is>
          <t>Attribute Name</t>
        </is>
      </c>
      <c r="B7" s="5" t="inlineStr">
        <is>
          <t>Attribute Value</t>
        </is>
      </c>
      <c r="C7" s="5" t="inlineStr">
        <is>
          <t>Attribute Bonus</t>
        </is>
      </c>
      <c r="D7" s="5" t="inlineStr">
        <is>
          <t>Attribute Name</t>
        </is>
      </c>
      <c r="E7" s="5" t="inlineStr">
        <is>
          <t>Attribute Value</t>
        </is>
      </c>
      <c r="F7" s="5" t="inlineStr">
        <is>
          <t>Attribute Bonus</t>
        </is>
      </c>
    </row>
    <row r="8">
      <c r="A8" s="3" t="inlineStr">
        <is>
          <t>Physique (PHY)</t>
        </is>
      </c>
      <c r="B8" s="4" t="n">
        <v>4</v>
      </c>
      <c r="C8" s="6">
        <f>B8</f>
        <v/>
      </c>
    </row>
    <row r="9">
      <c r="A9" s="3" t="inlineStr">
        <is>
          <t>Agility (AGI)</t>
        </is>
      </c>
      <c r="B9" s="4" t="n">
        <v>7</v>
      </c>
      <c r="C9" s="6">
        <f>B9</f>
        <v/>
      </c>
    </row>
    <row r="10">
      <c r="A10" s="3" t="inlineStr">
        <is>
          <t>Perception (PER)</t>
        </is>
      </c>
      <c r="B10" s="4" t="n">
        <v>6</v>
      </c>
      <c r="C10" s="6">
        <f>B10</f>
        <v/>
      </c>
    </row>
    <row r="11">
      <c r="A11" s="3" t="inlineStr">
        <is>
          <t>Sanity (SAN)</t>
        </is>
      </c>
      <c r="B11" s="4" t="n">
        <v>5</v>
      </c>
      <c r="C11" s="6">
        <f>B11</f>
        <v/>
      </c>
    </row>
    <row r="12">
      <c r="A12" s="3" t="inlineStr">
        <is>
          <t>Knowledge (KNO)</t>
        </is>
      </c>
      <c r="B12" s="4" t="n">
        <v>3</v>
      </c>
      <c r="C12" s="6">
        <f>B12</f>
        <v/>
      </c>
    </row>
    <row r="13">
      <c r="A13" s="3" t="inlineStr">
        <is>
          <t xml:space="preserve">Sum of Attributes: </t>
        </is>
      </c>
      <c r="B13" s="16" t="n"/>
      <c r="C13" s="7">
        <f>SUM(B8:B12)</f>
        <v/>
      </c>
    </row>
    <row r="14"/>
    <row r="15">
      <c r="A15" s="2" t="inlineStr">
        <is>
          <t>Derived Attributes (auto-calculated)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Hit Points (HP)</t>
        </is>
      </c>
      <c r="B16" s="8">
        <f>B8*2+5</f>
        <v/>
      </c>
      <c r="C16" s="9" t="inlineStr">
        <is>
          <t>Physique×2+5</t>
        </is>
      </c>
    </row>
    <row r="17">
      <c r="A17" s="3" t="inlineStr">
        <is>
          <t>Defense (DEF)</t>
        </is>
      </c>
      <c r="B17" s="8">
        <f>10+B9</f>
        <v/>
      </c>
      <c r="C17" s="9" t="inlineStr">
        <is>
          <t>10+Agility</t>
        </is>
      </c>
    </row>
    <row r="18">
      <c r="A18" s="3" t="inlineStr">
        <is>
          <t>Sanity Points (SP)</t>
        </is>
      </c>
      <c r="B18" s="8">
        <f>B11*3+10</f>
        <v/>
      </c>
      <c r="C18" s="9" t="inlineStr">
        <is>
          <t>Sanity×3+10</t>
        </is>
      </c>
    </row>
    <row r="19">
      <c r="A19" s="3" t="inlineStr">
        <is>
          <t>Carry Capacity (kg)</t>
        </is>
      </c>
      <c r="B19" s="8">
        <f>B8*2</f>
        <v/>
      </c>
      <c r="C19" s="9" t="inlineStr">
        <is>
          <t>Physique×2</t>
        </is>
      </c>
    </row>
    <row r="20">
      <c r="A20" s="3" t="inlineStr">
        <is>
          <t>Movement Speed (m/turn)</t>
        </is>
      </c>
      <c r="B20" s="8">
        <f>6+B9</f>
        <v/>
      </c>
      <c r="C20" s="9" t="inlineStr">
        <is>
          <t>6+Agility</t>
        </is>
      </c>
    </row>
    <row r="21">
      <c r="A21" s="3" t="inlineStr">
        <is>
          <t>Initiative Bonus</t>
        </is>
      </c>
      <c r="B21" s="8">
        <f>B9+B10</f>
        <v/>
      </c>
      <c r="C21" s="9" t="inlineStr">
        <is>
          <t>Agility+Perception</t>
        </is>
      </c>
    </row>
    <row r="22"/>
    <row r="23">
      <c r="A23" s="2" t="inlineStr">
        <is>
          <t>Skill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Skill</t>
        </is>
      </c>
      <c r="B24" s="10" t="inlineStr">
        <is>
          <t>Attribute</t>
        </is>
      </c>
      <c r="C24" s="10" t="inlineStr">
        <is>
          <t>Proficiency Tier</t>
        </is>
      </c>
      <c r="D24" s="10" t="inlineStr">
        <is>
          <t>Proficiency Bonus</t>
        </is>
      </c>
      <c r="E24" s="10" t="inlineStr">
        <is>
          <t>Total Skill Value</t>
        </is>
      </c>
      <c r="F24" s="10" t="inlineStr">
        <is>
          <t>Notes</t>
        </is>
      </c>
    </row>
    <row r="25">
      <c r="A25" s="3" t="inlineStr">
        <is>
          <t>Athletics</t>
        </is>
      </c>
      <c r="B25" s="11" t="n"/>
      <c r="C25" s="4" t="inlineStr">
        <is>
          <t>Trained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Endurance</t>
        </is>
      </c>
      <c r="B26" s="11" t="n"/>
      <c r="C26" s="4" t="inlineStr">
        <is>
          <t>Trained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Might</t>
        </is>
      </c>
      <c r="B27" s="11" t="n"/>
      <c r="C27" s="4" t="inlineStr">
        <is>
          <t>Untrained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Stealth</t>
        </is>
      </c>
      <c r="B28" s="11" t="n"/>
      <c r="C28" s="4" t="inlineStr">
        <is>
          <t>Trained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Acrobatics</t>
        </is>
      </c>
      <c r="B29" s="11" t="n"/>
      <c r="C29" s="4" t="inlineStr">
        <is>
          <t>Trained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Sleight of Hand</t>
        </is>
      </c>
      <c r="B30" s="11" t="n"/>
      <c r="C30" s="4" t="inlineStr">
        <is>
          <t>Untrained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Evasion</t>
        </is>
      </c>
      <c r="B31" s="11" t="n"/>
      <c r="C31" s="4" t="inlineStr">
        <is>
          <t>Untrained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Search</t>
        </is>
      </c>
      <c r="B32" s="11" t="n"/>
      <c r="C32" s="4" t="inlineStr">
        <is>
          <t>Trained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Track</t>
        </is>
      </c>
      <c r="B33" s="11" t="n"/>
      <c r="C33" s="4" t="inlineStr">
        <is>
          <t>Untrained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Insight</t>
        </is>
      </c>
      <c r="B34" s="11" t="n"/>
      <c r="C34" s="4" t="inlineStr">
        <is>
          <t>Untrained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Danger Sense</t>
        </is>
      </c>
      <c r="B35" s="11" t="n"/>
      <c r="C35" s="4" t="inlineStr">
        <is>
          <t>Untrained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Willpower</t>
        </is>
      </c>
      <c r="B36" s="11" t="n"/>
      <c r="C36" s="4" t="inlineStr">
        <is>
          <t>Untrained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Composure</t>
        </is>
      </c>
      <c r="B37" s="11" t="n"/>
      <c r="C37" s="4" t="inlineStr">
        <is>
          <t>Untrained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Meditation</t>
        </is>
      </c>
      <c r="B38" s="11" t="n"/>
      <c r="C38" s="4" t="inlineStr">
        <is>
          <t>Untrained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Backrooms Lore</t>
        </is>
      </c>
      <c r="B39" s="11" t="n"/>
      <c r="C39" s="4" t="inlineStr">
        <is>
          <t>Untrained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First Aid</t>
        </is>
      </c>
      <c r="B40" s="11" t="n"/>
      <c r="C40" s="4" t="inlineStr">
        <is>
          <t>Untrained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Crafting</t>
        </is>
      </c>
      <c r="B41" s="11" t="n"/>
      <c r="C41" s="4" t="inlineStr">
        <is>
          <t>Untrained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Spatial Memory</t>
        </is>
      </c>
      <c r="B42" s="11" t="n"/>
      <c r="C42" s="4" t="inlineStr">
        <is>
          <t>Expert</t>
        </is>
      </c>
      <c r="D42" s="6">
        <f>IF(C42="專精",5,IF(C42="受訓",3,0))</f>
        <v/>
      </c>
      <c r="E42" s="6">
        <f>B12+D42</f>
        <v/>
      </c>
    </row>
    <row r="43"/>
    <row r="44">
      <c r="A44" s="2" t="inlineStr">
        <is>
          <t>Equipment &amp; Items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Item Name</t>
        </is>
      </c>
      <c r="B45" s="5" t="inlineStr">
        <is>
          <t>Category</t>
        </is>
      </c>
      <c r="C45" s="5" t="inlineStr">
        <is>
          <t>Weight (kg)</t>
        </is>
      </c>
      <c r="D45" s="5" t="inlineStr">
        <is>
          <t>Quantity</t>
        </is>
      </c>
      <c r="E45" s="5" t="inlineStr">
        <is>
          <t>Effect</t>
        </is>
      </c>
      <c r="F45" s="5" t="inlineStr">
        <is>
          <t>Durability</t>
        </is>
      </c>
    </row>
    <row r="46">
      <c r="A46" s="12" t="inlineStr">
        <is>
          <t>Phone (as flashlight)</t>
        </is>
      </c>
      <c r="B46" s="13" t="inlineStr">
        <is>
          <t>Light Source</t>
        </is>
      </c>
      <c r="C46" s="13" t="n">
        <v>0.2</v>
      </c>
      <c r="D46" s="13" t="n">
        <v>1</v>
      </c>
      <c r="E46" s="13" t="inlineStr">
        <is>
          <t>2-hour battery</t>
        </is>
      </c>
      <c r="F46" s="13" t="inlineStr">
        <is>
          <t>2h</t>
        </is>
      </c>
    </row>
    <row r="47">
      <c r="A47" s="12" t="inlineStr">
        <is>
          <t>Large Backpack</t>
        </is>
      </c>
      <c r="B47" s="13" t="inlineStr">
        <is>
          <t>Special</t>
        </is>
      </c>
      <c r="C47" s="13" t="n">
        <v>0.5</v>
      </c>
      <c r="D47" s="13" t="n">
        <v>1</v>
      </c>
      <c r="E47" s="13" t="inlineStr">
        <is>
          <t>Carry Capacity +3kg</t>
        </is>
      </c>
      <c r="F47" s="13" t="inlineStr">
        <is>
          <t>—</t>
        </is>
      </c>
    </row>
    <row r="48">
      <c r="A48" s="12" t="inlineStr">
        <is>
          <t>Insulated Bag</t>
        </is>
      </c>
      <c r="B48" s="13" t="inlineStr">
        <is>
          <t>Food</t>
        </is>
      </c>
      <c r="C48" s="13" t="n">
        <v>0.3</v>
      </c>
      <c r="D48" s="13" t="n">
        <v>1</v>
      </c>
      <c r="E48" s="13" t="inlineStr">
        <is>
          <t>Contains food</t>
        </is>
      </c>
      <c r="F48" s="13" t="inlineStr">
        <is>
          <t>Restore 2 Calories</t>
        </is>
      </c>
    </row>
    <row r="49"/>
    <row r="50">
      <c r="A50" s="2" t="inlineStr">
        <is>
          <t>Resources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Almond Water</t>
        </is>
      </c>
      <c r="B51" s="4" t="n">
        <v>3</v>
      </c>
    </row>
    <row r="52">
      <c r="A52" s="3" t="inlineStr">
        <is>
          <t>Calorie</t>
        </is>
      </c>
      <c r="B52" s="4" t="n">
        <v>8</v>
      </c>
    </row>
    <row r="53"/>
    <row r="54">
      <c r="A54" s="2" t="inlineStr">
        <is>
          <t>Character Story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Delivering her last order, Xiao Yu's navigation took her down a shortcut not on any map. She rode through an alley — and the alley became the corridors of Level 0. She has been in the Backrooms for a week and found the M.E.G. outpost on Level 1. She doesn't know how much time has passed outside — has her roommate already called the police?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Example Character: Prof. Zhang (Grad Student)</t>
        </is>
      </c>
      <c r="B1" s="15" t="n"/>
      <c r="C1" s="15" t="n"/>
      <c r="D1" s="15" t="n"/>
      <c r="E1" s="15" t="n"/>
      <c r="F1" s="16" t="n"/>
    </row>
    <row r="2">
      <c r="A2" s="2" t="inlineStr">
        <is>
          <t>Basic Information</t>
        </is>
      </c>
      <c r="B2" s="15" t="n"/>
      <c r="C2" s="15" t="n"/>
      <c r="D2" s="15" t="n"/>
      <c r="E2" s="15" t="n"/>
      <c r="F2" s="16" t="n"/>
    </row>
    <row r="3">
      <c r="A3" s="3" t="inlineStr">
        <is>
          <t xml:space="preserve">Character Name: </t>
        </is>
      </c>
      <c r="B3" s="4" t="inlineStr">
        <is>
          <t>Zhang Zhiwen</t>
        </is>
      </c>
      <c r="C3" s="3" t="inlineStr">
        <is>
          <t xml:space="preserve">Age: </t>
        </is>
      </c>
      <c r="D3" s="4" t="inlineStr">
        <is>
          <t>28</t>
        </is>
      </c>
      <c r="E3" s="3" t="inlineStr">
        <is>
          <t xml:space="preserve">Background: </t>
        </is>
      </c>
      <c r="F3" s="4" t="inlineStr">
        <is>
          <t>Grad Student</t>
        </is>
      </c>
      <c r="G3" t="inlineStr">
        <is>
          <t xml:space="preserve">Knowledge Value (KNO Value): </t>
        </is>
      </c>
    </row>
    <row r="4">
      <c r="A4" s="3" t="inlineStr">
        <is>
          <t xml:space="preserve">Pre-noclip Occupation: </t>
        </is>
      </c>
      <c r="B4" s="4" t="inlineStr">
        <is>
          <t>Physics PhD Candidate</t>
        </is>
      </c>
      <c r="C4" s="3" t="inlineStr">
        <is>
          <t xml:space="preserve">Time in the Backrooms: </t>
        </is>
      </c>
      <c r="D4" s="4" t="inlineStr">
        <is>
          <t>One Month</t>
        </is>
      </c>
      <c r="E4" s="3" t="inlineStr">
        <is>
          <t xml:space="preserve">Current Milestone: </t>
        </is>
      </c>
      <c r="F4" s="4" t="inlineStr">
        <is>
          <t>Explorer</t>
        </is>
      </c>
      <c r="G4" t="inlineStr">
        <is>
          <t>4 (One Month)</t>
        </is>
      </c>
    </row>
    <row r="5">
      <c r="G5" t="inlineStr">
        <is>
          <t>Determined by "Time in the Backrooms"; add to Backrooms Lore check</t>
        </is>
      </c>
    </row>
    <row r="6">
      <c r="A6" s="2" t="inlineStr">
        <is>
          <t>Five Attributes</t>
        </is>
      </c>
      <c r="B6" s="15" t="n"/>
      <c r="C6" s="15" t="n"/>
      <c r="D6" s="15" t="n"/>
      <c r="E6" s="15" t="n"/>
      <c r="F6" s="16" t="n"/>
    </row>
    <row r="7">
      <c r="A7" s="5" t="inlineStr">
        <is>
          <t>Attribute Name</t>
        </is>
      </c>
      <c r="B7" s="5" t="inlineStr">
        <is>
          <t>Attribute Value</t>
        </is>
      </c>
      <c r="C7" s="5" t="inlineStr">
        <is>
          <t>Attribute Bonus</t>
        </is>
      </c>
      <c r="D7" s="5" t="inlineStr">
        <is>
          <t>Attribute Name</t>
        </is>
      </c>
      <c r="E7" s="5" t="inlineStr">
        <is>
          <t>Attribute Value</t>
        </is>
      </c>
      <c r="F7" s="5" t="inlineStr">
        <is>
          <t>Attribute Bonus</t>
        </is>
      </c>
    </row>
    <row r="8">
      <c r="A8" s="3" t="inlineStr">
        <is>
          <t>Physique (PHY)</t>
        </is>
      </c>
      <c r="B8" s="4" t="n">
        <v>3</v>
      </c>
      <c r="C8" s="6">
        <f>B8</f>
        <v/>
      </c>
    </row>
    <row r="9">
      <c r="A9" s="3" t="inlineStr">
        <is>
          <t>Agility (AGI)</t>
        </is>
      </c>
      <c r="B9" s="4" t="n">
        <v>4</v>
      </c>
      <c r="C9" s="6">
        <f>B9</f>
        <v/>
      </c>
    </row>
    <row r="10">
      <c r="A10" s="3" t="inlineStr">
        <is>
          <t>Perception (PER)</t>
        </is>
      </c>
      <c r="B10" s="4" t="n">
        <v>6</v>
      </c>
      <c r="C10" s="6">
        <f>B10</f>
        <v/>
      </c>
    </row>
    <row r="11">
      <c r="A11" s="3" t="inlineStr">
        <is>
          <t>Sanity (SAN)</t>
        </is>
      </c>
      <c r="B11" s="4" t="n">
        <v>7</v>
      </c>
      <c r="C11" s="6">
        <f>B11</f>
        <v/>
      </c>
    </row>
    <row r="12">
      <c r="A12" s="3" t="inlineStr">
        <is>
          <t>Knowledge (KNO)</t>
        </is>
      </c>
      <c r="B12" s="4" t="n">
        <v>5</v>
      </c>
      <c r="C12" s="6">
        <f>B12</f>
        <v/>
      </c>
    </row>
    <row r="13">
      <c r="A13" s="3" t="inlineStr">
        <is>
          <t xml:space="preserve">Sum of Attributes: </t>
        </is>
      </c>
      <c r="B13" s="16" t="n"/>
      <c r="C13" s="7">
        <f>SUM(B8:B12)</f>
        <v/>
      </c>
    </row>
    <row r="14"/>
    <row r="15">
      <c r="A15" s="2" t="inlineStr">
        <is>
          <t>Derived Attributes (auto-calculated)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Hit Points (HP)</t>
        </is>
      </c>
      <c r="B16" s="8">
        <f>B8*2+5</f>
        <v/>
      </c>
      <c r="C16" s="9" t="inlineStr">
        <is>
          <t>Physique×2+5</t>
        </is>
      </c>
    </row>
    <row r="17">
      <c r="A17" s="3" t="inlineStr">
        <is>
          <t>Defense (DEF)</t>
        </is>
      </c>
      <c r="B17" s="8">
        <f>10+B9</f>
        <v/>
      </c>
      <c r="C17" s="9" t="inlineStr">
        <is>
          <t>10+Agility</t>
        </is>
      </c>
    </row>
    <row r="18">
      <c r="A18" s="3" t="inlineStr">
        <is>
          <t>Sanity Points (SP)</t>
        </is>
      </c>
      <c r="B18" s="8">
        <f>B11*3+10</f>
        <v/>
      </c>
      <c r="C18" s="9" t="inlineStr">
        <is>
          <t>Sanity×3+10</t>
        </is>
      </c>
    </row>
    <row r="19">
      <c r="A19" s="3" t="inlineStr">
        <is>
          <t>Carry Capacity (kg)</t>
        </is>
      </c>
      <c r="B19" s="8">
        <f>B8*2</f>
        <v/>
      </c>
      <c r="C19" s="9" t="inlineStr">
        <is>
          <t>Physique×2</t>
        </is>
      </c>
    </row>
    <row r="20">
      <c r="A20" s="3" t="inlineStr">
        <is>
          <t>Movement Speed (m/turn)</t>
        </is>
      </c>
      <c r="B20" s="8">
        <f>6+B9</f>
        <v/>
      </c>
      <c r="C20" s="9" t="inlineStr">
        <is>
          <t>6+Agility</t>
        </is>
      </c>
    </row>
    <row r="21">
      <c r="A21" s="3" t="inlineStr">
        <is>
          <t>Initiative Bonus</t>
        </is>
      </c>
      <c r="B21" s="8">
        <f>B9+B10</f>
        <v/>
      </c>
      <c r="C21" s="9" t="inlineStr">
        <is>
          <t>Agility+Perception</t>
        </is>
      </c>
    </row>
    <row r="22"/>
    <row r="23">
      <c r="A23" s="2" t="inlineStr">
        <is>
          <t>Skill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Skill</t>
        </is>
      </c>
      <c r="B24" s="10" t="inlineStr">
        <is>
          <t>Attribute</t>
        </is>
      </c>
      <c r="C24" s="10" t="inlineStr">
        <is>
          <t>Proficiency Tier</t>
        </is>
      </c>
      <c r="D24" s="10" t="inlineStr">
        <is>
          <t>Proficiency Bonus</t>
        </is>
      </c>
      <c r="E24" s="10" t="inlineStr">
        <is>
          <t>Total Skill Value</t>
        </is>
      </c>
      <c r="F24" s="10" t="inlineStr">
        <is>
          <t>Notes</t>
        </is>
      </c>
    </row>
    <row r="25">
      <c r="A25" s="3" t="inlineStr">
        <is>
          <t>Athletics</t>
        </is>
      </c>
      <c r="B25" s="11" t="n"/>
      <c r="C25" s="4" t="inlineStr">
        <is>
          <t>Untrained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Endurance</t>
        </is>
      </c>
      <c r="B26" s="11" t="n"/>
      <c r="C26" s="4" t="inlineStr">
        <is>
          <t>Untrained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Might</t>
        </is>
      </c>
      <c r="B27" s="11" t="n"/>
      <c r="C27" s="4" t="inlineStr">
        <is>
          <t>Untrained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Stealth</t>
        </is>
      </c>
      <c r="B28" s="11" t="n"/>
      <c r="C28" s="4" t="inlineStr">
        <is>
          <t>Untrained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Acrobatics</t>
        </is>
      </c>
      <c r="B29" s="11" t="n"/>
      <c r="C29" s="4" t="inlineStr">
        <is>
          <t>Untrained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Sleight of Hand</t>
        </is>
      </c>
      <c r="B30" s="11" t="n"/>
      <c r="C30" s="4" t="inlineStr">
        <is>
          <t>Untrained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Evasion</t>
        </is>
      </c>
      <c r="B31" s="11" t="n"/>
      <c r="C31" s="4" t="inlineStr">
        <is>
          <t>Untrained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Search</t>
        </is>
      </c>
      <c r="B32" s="11" t="n"/>
      <c r="C32" s="4" t="inlineStr">
        <is>
          <t>Trained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Track</t>
        </is>
      </c>
      <c r="B33" s="11" t="n"/>
      <c r="C33" s="4" t="inlineStr">
        <is>
          <t>Untrained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Insight</t>
        </is>
      </c>
      <c r="B34" s="11" t="n"/>
      <c r="C34" s="4" t="inlineStr">
        <is>
          <t>Trained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Danger Sense</t>
        </is>
      </c>
      <c r="B35" s="11" t="n"/>
      <c r="C35" s="4" t="inlineStr">
        <is>
          <t>Untrained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Willpower</t>
        </is>
      </c>
      <c r="B36" s="11" t="n"/>
      <c r="C36" s="4" t="inlineStr">
        <is>
          <t>Trained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Composure</t>
        </is>
      </c>
      <c r="B37" s="11" t="n"/>
      <c r="C37" s="4" t="inlineStr">
        <is>
          <t>Untrained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Meditation</t>
        </is>
      </c>
      <c r="B38" s="11" t="n"/>
      <c r="C38" s="4" t="inlineStr">
        <is>
          <t>Trained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Backrooms Lore</t>
        </is>
      </c>
      <c r="B39" s="11" t="n"/>
      <c r="C39" s="4" t="inlineStr">
        <is>
          <t>Expert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First Aid</t>
        </is>
      </c>
      <c r="B40" s="11" t="n"/>
      <c r="C40" s="4" t="inlineStr">
        <is>
          <t>Untrained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Crafting</t>
        </is>
      </c>
      <c r="B41" s="11" t="n"/>
      <c r="C41" s="4" t="inlineStr">
        <is>
          <t>Trained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Spatial Memory</t>
        </is>
      </c>
      <c r="B42" s="11" t="n"/>
      <c r="C42" s="4" t="inlineStr">
        <is>
          <t>Untrained</t>
        </is>
      </c>
      <c r="D42" s="6">
        <f>IF(C42="專精",5,IF(C42="受訓",3,0))</f>
        <v/>
      </c>
      <c r="E42" s="6">
        <f>B12+D42</f>
        <v/>
      </c>
    </row>
    <row r="43"/>
    <row r="44">
      <c r="A44" s="2" t="inlineStr">
        <is>
          <t>Equipment &amp; Items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Item Name</t>
        </is>
      </c>
      <c r="B45" s="5" t="inlineStr">
        <is>
          <t>Category</t>
        </is>
      </c>
      <c r="C45" s="5" t="inlineStr">
        <is>
          <t>Weight (kg)</t>
        </is>
      </c>
      <c r="D45" s="5" t="inlineStr">
        <is>
          <t>Quantity</t>
        </is>
      </c>
      <c r="E45" s="5" t="inlineStr">
        <is>
          <t>Effect</t>
        </is>
      </c>
      <c r="F45" s="5" t="inlineStr">
        <is>
          <t>Durability</t>
        </is>
      </c>
    </row>
    <row r="46">
      <c r="A46" s="12" t="inlineStr">
        <is>
          <t>Notebook and pen</t>
        </is>
      </c>
      <c r="B46" s="13" t="inlineStr">
        <is>
          <t>Record</t>
        </is>
      </c>
      <c r="C46" s="13" t="n">
        <v>0.2</v>
      </c>
      <c r="D46" s="13" t="n">
        <v>1</v>
      </c>
      <c r="E46" s="13" t="inlineStr">
        <is>
          <t>Record log to restore SP</t>
        </is>
      </c>
      <c r="F46" s="13" t="inlineStr">
        <is>
          <t>—</t>
        </is>
      </c>
    </row>
    <row r="47">
      <c r="A47" s="12" t="inlineStr">
        <is>
          <t>Calculator</t>
        </is>
      </c>
      <c r="B47" s="13" t="inlineStr">
        <is>
          <t>Special</t>
        </is>
      </c>
      <c r="C47" s="13" t="n">
        <v>0.1</v>
      </c>
      <c r="D47" s="13" t="n">
        <v>1</v>
      </c>
      <c r="E47" s="13" t="inlineStr">
        <is>
          <t>Aids Knowledge checks +1</t>
        </is>
      </c>
      <c r="F47" s="13" t="inlineStr">
        <is>
          <t>—</t>
        </is>
      </c>
    </row>
    <row r="48">
      <c r="A48" s="12" t="inlineStr">
        <is>
          <t>Glow stick x3</t>
        </is>
      </c>
      <c r="B48" s="13" t="inlineStr">
        <is>
          <t>Light Source</t>
        </is>
      </c>
      <c r="C48" s="13" t="n">
        <v>0.1</v>
      </c>
      <c r="D48" s="13" t="n">
        <v>3</v>
      </c>
      <c r="E48" s="13" t="inlineStr">
        <is>
          <t>6 hours each</t>
        </is>
      </c>
      <c r="F48" s="13" t="inlineStr">
        <is>
          <t>6h</t>
        </is>
      </c>
    </row>
    <row r="49"/>
    <row r="50">
      <c r="A50" s="2" t="inlineStr">
        <is>
          <t>Resources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Almond Water</t>
        </is>
      </c>
      <c r="B51" s="4" t="n">
        <v>4</v>
      </c>
    </row>
    <row r="52">
      <c r="A52" s="3" t="inlineStr">
        <is>
          <t>Calorie</t>
        </is>
      </c>
      <c r="B52" s="4" t="n">
        <v>6</v>
      </c>
    </row>
    <row r="53"/>
    <row r="54">
      <c r="A54" s="2" t="inlineStr">
        <is>
          <t>Character Story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Zhang Zhiwen's thesis is "Theoretical Models of Non-Euclidean Space". Pulling an all-nighter in the lab, he walked through a door into Level 0. His theoretical knowledge proves unexpectedly useful in the Backrooms — he begins recording and studying its spatial distortions. He isn't sure he wants to go back — the Backrooms are the greatest scientific discovery of his life.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Example Character: Sister Wu (ER Nurse)</t>
        </is>
      </c>
      <c r="B1" s="15" t="n"/>
      <c r="C1" s="15" t="n"/>
      <c r="D1" s="15" t="n"/>
      <c r="E1" s="15" t="n"/>
      <c r="F1" s="16" t="n"/>
    </row>
    <row r="2">
      <c r="A2" s="2" t="inlineStr">
        <is>
          <t>Basic Information</t>
        </is>
      </c>
      <c r="B2" s="15" t="n"/>
      <c r="C2" s="15" t="n"/>
      <c r="D2" s="15" t="n"/>
      <c r="E2" s="15" t="n"/>
      <c r="F2" s="16" t="n"/>
    </row>
    <row r="3">
      <c r="A3" s="3" t="inlineStr">
        <is>
          <t xml:space="preserve">Character Name: </t>
        </is>
      </c>
      <c r="B3" s="4" t="inlineStr">
        <is>
          <t>Wu Shufen</t>
        </is>
      </c>
      <c r="C3" s="3" t="inlineStr">
        <is>
          <t xml:space="preserve">Age: </t>
        </is>
      </c>
      <c r="D3" s="4" t="inlineStr">
        <is>
          <t>42</t>
        </is>
      </c>
      <c r="E3" s="3" t="inlineStr">
        <is>
          <t xml:space="preserve">Background: </t>
        </is>
      </c>
      <c r="F3" s="4" t="inlineStr">
        <is>
          <t>ER Nurse</t>
        </is>
      </c>
      <c r="G3" t="inlineStr">
        <is>
          <t xml:space="preserve">Knowledge Value (KNO Value): </t>
        </is>
      </c>
    </row>
    <row r="4">
      <c r="A4" s="3" t="inlineStr">
        <is>
          <t xml:space="preserve">Pre-noclip Occupation: </t>
        </is>
      </c>
      <c r="B4" s="4" t="inlineStr">
        <is>
          <t>ER Head Nurse</t>
        </is>
      </c>
      <c r="C4" s="3" t="inlineStr">
        <is>
          <t xml:space="preserve">Time in the Backrooms: </t>
        </is>
      </c>
      <c r="D4" s="4" t="inlineStr">
        <is>
          <t>One Month</t>
        </is>
      </c>
      <c r="E4" s="3" t="inlineStr">
        <is>
          <t xml:space="preserve">Current Milestone: </t>
        </is>
      </c>
      <c r="F4" s="4" t="inlineStr">
        <is>
          <t>Adapted</t>
        </is>
      </c>
      <c r="G4" t="inlineStr">
        <is>
          <t>4 (One Month)</t>
        </is>
      </c>
    </row>
    <row r="5">
      <c r="G5" t="inlineStr">
        <is>
          <t>Determined by "Time in the Backrooms"; add to Backrooms Lore check</t>
        </is>
      </c>
    </row>
    <row r="6">
      <c r="A6" s="2" t="inlineStr">
        <is>
          <t>Five Attributes</t>
        </is>
      </c>
      <c r="B6" s="15" t="n"/>
      <c r="C6" s="15" t="n"/>
      <c r="D6" s="15" t="n"/>
      <c r="E6" s="15" t="n"/>
      <c r="F6" s="16" t="n"/>
    </row>
    <row r="7">
      <c r="A7" s="5" t="inlineStr">
        <is>
          <t>Attribute Name</t>
        </is>
      </c>
      <c r="B7" s="5" t="inlineStr">
        <is>
          <t>Attribute Value</t>
        </is>
      </c>
      <c r="C7" s="5" t="inlineStr">
        <is>
          <t>Attribute Bonus</t>
        </is>
      </c>
      <c r="D7" s="5" t="inlineStr">
        <is>
          <t>Attribute Name</t>
        </is>
      </c>
      <c r="E7" s="5" t="inlineStr">
        <is>
          <t>Attribute Value</t>
        </is>
      </c>
      <c r="F7" s="5" t="inlineStr">
        <is>
          <t>Attribute Bonus</t>
        </is>
      </c>
    </row>
    <row r="8">
      <c r="A8" s="3" t="inlineStr">
        <is>
          <t>Physique (PHY)</t>
        </is>
      </c>
      <c r="B8" s="4" t="n">
        <v>4</v>
      </c>
      <c r="C8" s="6">
        <f>B8</f>
        <v/>
      </c>
    </row>
    <row r="9">
      <c r="A9" s="3" t="inlineStr">
        <is>
          <t>Agility (AGI)</t>
        </is>
      </c>
      <c r="B9" s="4" t="n">
        <v>5</v>
      </c>
      <c r="C9" s="6">
        <f>B9</f>
        <v/>
      </c>
    </row>
    <row r="10">
      <c r="A10" s="3" t="inlineStr">
        <is>
          <t>Perception (PER)</t>
        </is>
      </c>
      <c r="B10" s="4" t="n">
        <v>6</v>
      </c>
      <c r="C10" s="6">
        <f>B10</f>
        <v/>
      </c>
    </row>
    <row r="11">
      <c r="A11" s="3" t="inlineStr">
        <is>
          <t>Sanity (SAN)</t>
        </is>
      </c>
      <c r="B11" s="4" t="n">
        <v>7</v>
      </c>
      <c r="C11" s="6">
        <f>B11</f>
        <v/>
      </c>
    </row>
    <row r="12">
      <c r="A12" s="3" t="inlineStr">
        <is>
          <t>Knowledge (KNO)</t>
        </is>
      </c>
      <c r="B12" s="4" t="n">
        <v>3</v>
      </c>
      <c r="C12" s="6">
        <f>B12</f>
        <v/>
      </c>
    </row>
    <row r="13">
      <c r="A13" s="3" t="inlineStr">
        <is>
          <t xml:space="preserve">Sum of Attributes: </t>
        </is>
      </c>
      <c r="B13" s="16" t="n"/>
      <c r="C13" s="7">
        <f>SUM(B8:B12)</f>
        <v/>
      </c>
    </row>
    <row r="14"/>
    <row r="15">
      <c r="A15" s="2" t="inlineStr">
        <is>
          <t>Derived Attributes (auto-calculated)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Hit Points (HP)</t>
        </is>
      </c>
      <c r="B16" s="8">
        <f>B8*2+5</f>
        <v/>
      </c>
      <c r="C16" s="9" t="inlineStr">
        <is>
          <t>Physique×2+5</t>
        </is>
      </c>
    </row>
    <row r="17">
      <c r="A17" s="3" t="inlineStr">
        <is>
          <t>Defense (DEF)</t>
        </is>
      </c>
      <c r="B17" s="8">
        <f>10+B9</f>
        <v/>
      </c>
      <c r="C17" s="9" t="inlineStr">
        <is>
          <t>10+Agility</t>
        </is>
      </c>
    </row>
    <row r="18">
      <c r="A18" s="3" t="inlineStr">
        <is>
          <t>Sanity Points (SP)</t>
        </is>
      </c>
      <c r="B18" s="8">
        <f>B11*3+10</f>
        <v/>
      </c>
      <c r="C18" s="9" t="inlineStr">
        <is>
          <t>Sanity×3+10</t>
        </is>
      </c>
    </row>
    <row r="19">
      <c r="A19" s="3" t="inlineStr">
        <is>
          <t>Carry Capacity (kg)</t>
        </is>
      </c>
      <c r="B19" s="8">
        <f>B8*2</f>
        <v/>
      </c>
      <c r="C19" s="9" t="inlineStr">
        <is>
          <t>Physique×2</t>
        </is>
      </c>
    </row>
    <row r="20">
      <c r="A20" s="3" t="inlineStr">
        <is>
          <t>Movement Speed (m/turn)</t>
        </is>
      </c>
      <c r="B20" s="8">
        <f>6+B9</f>
        <v/>
      </c>
      <c r="C20" s="9" t="inlineStr">
        <is>
          <t>6+Agility</t>
        </is>
      </c>
    </row>
    <row r="21">
      <c r="A21" s="3" t="inlineStr">
        <is>
          <t>Initiative Bonus</t>
        </is>
      </c>
      <c r="B21" s="8">
        <f>B9+B10</f>
        <v/>
      </c>
      <c r="C21" s="9" t="inlineStr">
        <is>
          <t>Agility+Perception</t>
        </is>
      </c>
    </row>
    <row r="22"/>
    <row r="23">
      <c r="A23" s="2" t="inlineStr">
        <is>
          <t>Skill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Skill</t>
        </is>
      </c>
      <c r="B24" s="10" t="inlineStr">
        <is>
          <t>Attribute</t>
        </is>
      </c>
      <c r="C24" s="10" t="inlineStr">
        <is>
          <t>Proficiency Tier</t>
        </is>
      </c>
      <c r="D24" s="10" t="inlineStr">
        <is>
          <t>Proficiency Bonus</t>
        </is>
      </c>
      <c r="E24" s="10" t="inlineStr">
        <is>
          <t>Total Skill Value</t>
        </is>
      </c>
      <c r="F24" s="10" t="inlineStr">
        <is>
          <t>Notes</t>
        </is>
      </c>
    </row>
    <row r="25">
      <c r="A25" s="3" t="inlineStr">
        <is>
          <t>Athletics</t>
        </is>
      </c>
      <c r="B25" s="11" t="n"/>
      <c r="C25" s="4" t="inlineStr">
        <is>
          <t>Untrained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Endurance</t>
        </is>
      </c>
      <c r="B26" s="11" t="n"/>
      <c r="C26" s="4" t="inlineStr">
        <is>
          <t>Trained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Might</t>
        </is>
      </c>
      <c r="B27" s="11" t="n"/>
      <c r="C27" s="4" t="inlineStr">
        <is>
          <t>Untrained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Stealth</t>
        </is>
      </c>
      <c r="B28" s="11" t="n"/>
      <c r="C28" s="4" t="inlineStr">
        <is>
          <t>Untrained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Acrobatics</t>
        </is>
      </c>
      <c r="B29" s="11" t="n"/>
      <c r="C29" s="4" t="inlineStr">
        <is>
          <t>Untrained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Sleight of Hand</t>
        </is>
      </c>
      <c r="B30" s="11" t="n"/>
      <c r="C30" s="4" t="inlineStr">
        <is>
          <t>Untrained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Evasion</t>
        </is>
      </c>
      <c r="B31" s="11" t="n"/>
      <c r="C31" s="4" t="inlineStr">
        <is>
          <t>Untrained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Search</t>
        </is>
      </c>
      <c r="B32" s="11" t="n"/>
      <c r="C32" s="4" t="inlineStr">
        <is>
          <t>Trained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Track</t>
        </is>
      </c>
      <c r="B33" s="11" t="n"/>
      <c r="C33" s="4" t="inlineStr">
        <is>
          <t>Untrained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Insight</t>
        </is>
      </c>
      <c r="B34" s="11" t="n"/>
      <c r="C34" s="4" t="inlineStr">
        <is>
          <t>Trained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Danger Sense</t>
        </is>
      </c>
      <c r="B35" s="11" t="n"/>
      <c r="C35" s="4" t="inlineStr">
        <is>
          <t>Untrained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Willpower</t>
        </is>
      </c>
      <c r="B36" s="11" t="n"/>
      <c r="C36" s="4" t="inlineStr">
        <is>
          <t>Trained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Composure</t>
        </is>
      </c>
      <c r="B37" s="11" t="n"/>
      <c r="C37" s="4" t="inlineStr">
        <is>
          <t>Trained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Meditation</t>
        </is>
      </c>
      <c r="B38" s="11" t="n"/>
      <c r="C38" s="4" t="inlineStr">
        <is>
          <t>Untrained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Backrooms Lore</t>
        </is>
      </c>
      <c r="B39" s="11" t="n"/>
      <c r="C39" s="4" t="inlineStr">
        <is>
          <t>Untrained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First Aid</t>
        </is>
      </c>
      <c r="B40" s="11" t="n"/>
      <c r="C40" s="4" t="inlineStr">
        <is>
          <t>Expert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Crafting</t>
        </is>
      </c>
      <c r="B41" s="11" t="n"/>
      <c r="C41" s="4" t="inlineStr">
        <is>
          <t>Untrained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Spatial Memory</t>
        </is>
      </c>
      <c r="B42" s="11" t="n"/>
      <c r="C42" s="4" t="inlineStr">
        <is>
          <t>Untrained</t>
        </is>
      </c>
      <c r="D42" s="6">
        <f>IF(C42="專精",5,IF(C42="受訓",3,0))</f>
        <v/>
      </c>
      <c r="E42" s="6">
        <f>B12+D42</f>
        <v/>
      </c>
    </row>
    <row r="43"/>
    <row r="44">
      <c r="A44" s="2" t="inlineStr">
        <is>
          <t>Equipment &amp; Items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Item Name</t>
        </is>
      </c>
      <c r="B45" s="5" t="inlineStr">
        <is>
          <t>Category</t>
        </is>
      </c>
      <c r="C45" s="5" t="inlineStr">
        <is>
          <t>Weight (kg)</t>
        </is>
      </c>
      <c r="D45" s="5" t="inlineStr">
        <is>
          <t>Quantity</t>
        </is>
      </c>
      <c r="E45" s="5" t="inlineStr">
        <is>
          <t>Effect</t>
        </is>
      </c>
      <c r="F45" s="5" t="inlineStr">
        <is>
          <t>Durability</t>
        </is>
      </c>
    </row>
    <row r="46">
      <c r="A46" s="12" t="inlineStr">
        <is>
          <t>First Aid Kit</t>
        </is>
      </c>
      <c r="B46" s="13" t="inlineStr">
        <is>
          <t>Medical</t>
        </is>
      </c>
      <c r="C46" s="13" t="n">
        <v>1</v>
      </c>
      <c r="D46" s="13" t="n">
        <v>1</v>
      </c>
      <c r="E46" s="13" t="inlineStr">
        <is>
          <t>Complete first aid supplies</t>
        </is>
      </c>
      <c r="F46" s="13" t="inlineStr">
        <is>
          <t>1 of each</t>
        </is>
      </c>
    </row>
    <row r="47">
      <c r="A47" s="12" t="inlineStr">
        <is>
          <t>Medical Gloves</t>
        </is>
      </c>
      <c r="B47" s="13" t="inlineStr">
        <is>
          <t>Protection</t>
        </is>
      </c>
      <c r="C47" s="13" t="n">
        <v>0.05</v>
      </c>
      <c r="D47" s="13" t="n">
        <v>2</v>
      </c>
      <c r="E47" s="13" t="inlineStr">
        <is>
          <t>Protects Hands</t>
        </is>
      </c>
      <c r="F47" s="13" t="inlineStr">
        <is>
          <t>—</t>
        </is>
      </c>
    </row>
    <row r="48">
      <c r="A48" s="12" t="inlineStr">
        <is>
          <t>Bandages</t>
        </is>
      </c>
      <c r="B48" s="13" t="inlineStr">
        <is>
          <t>Medical</t>
        </is>
      </c>
      <c r="C48" s="13" t="n">
        <v>0.2</v>
      </c>
      <c r="D48" s="13" t="n">
        <v>1</v>
      </c>
      <c r="E48" s="13" t="inlineStr">
        <is>
          <t>Restore 2D6 HP</t>
        </is>
      </c>
      <c r="F48" s="13" t="inlineStr">
        <is>
          <t>5 uses</t>
        </is>
      </c>
    </row>
    <row r="49"/>
    <row r="50">
      <c r="A50" s="2" t="inlineStr">
        <is>
          <t>Resources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Almond Water</t>
        </is>
      </c>
      <c r="B51" s="4" t="n">
        <v>2</v>
      </c>
    </row>
    <row r="52">
      <c r="A52" s="3" t="inlineStr">
        <is>
          <t>Calorie</t>
        </is>
      </c>
      <c r="B52" s="4" t="n">
        <v>7</v>
      </c>
    </row>
    <row r="53"/>
    <row r="54">
      <c r="A54" s="2" t="inlineStr">
        <is>
          <t>Character Story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After a 16-hour shift in the ER, Wu Shufen stepped into the staff lounge for a nap. She woke up on Level 0. She has a 17-year-old son in the outside world — she must return. But before that, she resolves to use her medical skills to help everyone she meets in the Backrooms.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Example Character: Lao Zhao (Warehouse Worker)</t>
        </is>
      </c>
      <c r="B1" s="15" t="n"/>
      <c r="C1" s="15" t="n"/>
      <c r="D1" s="15" t="n"/>
      <c r="E1" s="15" t="n"/>
      <c r="F1" s="16" t="n"/>
    </row>
    <row r="2">
      <c r="A2" s="2" t="inlineStr">
        <is>
          <t>Basic Information</t>
        </is>
      </c>
      <c r="B2" s="15" t="n"/>
      <c r="C2" s="15" t="n"/>
      <c r="D2" s="15" t="n"/>
      <c r="E2" s="15" t="n"/>
      <c r="F2" s="16" t="n"/>
    </row>
    <row r="3">
      <c r="A3" s="3" t="inlineStr">
        <is>
          <t xml:space="preserve">Character Name: </t>
        </is>
      </c>
      <c r="B3" s="4" t="inlineStr">
        <is>
          <t>Zhao Dayong</t>
        </is>
      </c>
      <c r="C3" s="3" t="inlineStr">
        <is>
          <t xml:space="preserve">Age: </t>
        </is>
      </c>
      <c r="D3" s="4" t="inlineStr">
        <is>
          <t>55</t>
        </is>
      </c>
      <c r="E3" s="3" t="inlineStr">
        <is>
          <t xml:space="preserve">Background: </t>
        </is>
      </c>
      <c r="F3" s="4" t="inlineStr">
        <is>
          <t>Warehouse Worker</t>
        </is>
      </c>
      <c r="G3" t="inlineStr">
        <is>
          <t xml:space="preserve">Knowledge Value (KNO Value): </t>
        </is>
      </c>
    </row>
    <row r="4">
      <c r="A4" s="3" t="inlineStr">
        <is>
          <t xml:space="preserve">Pre-noclip Occupation: </t>
        </is>
      </c>
      <c r="B4" s="4" t="inlineStr">
        <is>
          <t>Warehouse Manager</t>
        </is>
      </c>
      <c r="C4" s="3" t="inlineStr">
        <is>
          <t xml:space="preserve">Time in the Backrooms: </t>
        </is>
      </c>
      <c r="D4" s="4" t="inlineStr">
        <is>
          <t>Day One</t>
        </is>
      </c>
      <c r="E4" s="3" t="inlineStr">
        <is>
          <t xml:space="preserve">Current Milestone: </t>
        </is>
      </c>
      <c r="F4" s="4" t="inlineStr">
        <is>
          <t>The Awoken</t>
        </is>
      </c>
      <c r="G4" t="inlineStr">
        <is>
          <t>0 (Day One)</t>
        </is>
      </c>
    </row>
    <row r="5">
      <c r="G5" t="inlineStr">
        <is>
          <t>Determined by "Time in the Backrooms"; add to Backrooms Lore check</t>
        </is>
      </c>
    </row>
    <row r="6">
      <c r="A6" s="2" t="inlineStr">
        <is>
          <t>Five Attributes</t>
        </is>
      </c>
      <c r="B6" s="15" t="n"/>
      <c r="C6" s="15" t="n"/>
      <c r="D6" s="15" t="n"/>
      <c r="E6" s="15" t="n"/>
      <c r="F6" s="16" t="n"/>
    </row>
    <row r="7">
      <c r="A7" s="5" t="inlineStr">
        <is>
          <t>Attribute Name</t>
        </is>
      </c>
      <c r="B7" s="5" t="inlineStr">
        <is>
          <t>Attribute Value</t>
        </is>
      </c>
      <c r="C7" s="5" t="inlineStr">
        <is>
          <t>Attribute Bonus</t>
        </is>
      </c>
      <c r="D7" s="5" t="inlineStr">
        <is>
          <t>Attribute Name</t>
        </is>
      </c>
      <c r="E7" s="5" t="inlineStr">
        <is>
          <t>Attribute Value</t>
        </is>
      </c>
      <c r="F7" s="5" t="inlineStr">
        <is>
          <t>Attribute Bonus</t>
        </is>
      </c>
    </row>
    <row r="8">
      <c r="A8" s="3" t="inlineStr">
        <is>
          <t>Physique (PHY)</t>
        </is>
      </c>
      <c r="B8" s="4" t="n">
        <v>8</v>
      </c>
      <c r="C8" s="6">
        <f>B8</f>
        <v/>
      </c>
    </row>
    <row r="9">
      <c r="A9" s="3" t="inlineStr">
        <is>
          <t>Agility (AGI)</t>
        </is>
      </c>
      <c r="B9" s="4" t="n">
        <v>3</v>
      </c>
      <c r="C9" s="6">
        <f>B9</f>
        <v/>
      </c>
    </row>
    <row r="10">
      <c r="A10" s="3" t="inlineStr">
        <is>
          <t>Perception (PER)</t>
        </is>
      </c>
      <c r="B10" s="4" t="n">
        <v>4</v>
      </c>
      <c r="C10" s="6">
        <f>B10</f>
        <v/>
      </c>
    </row>
    <row r="11">
      <c r="A11" s="3" t="inlineStr">
        <is>
          <t>Sanity (SAN)</t>
        </is>
      </c>
      <c r="B11" s="4" t="n">
        <v>5</v>
      </c>
      <c r="C11" s="6">
        <f>B11</f>
        <v/>
      </c>
    </row>
    <row r="12">
      <c r="A12" s="3" t="inlineStr">
        <is>
          <t>Knowledge (KNO)</t>
        </is>
      </c>
      <c r="B12" s="4" t="n">
        <v>5</v>
      </c>
      <c r="C12" s="6">
        <f>B12</f>
        <v/>
      </c>
    </row>
    <row r="13">
      <c r="A13" s="3" t="inlineStr">
        <is>
          <t xml:space="preserve">Sum of Attributes: </t>
        </is>
      </c>
      <c r="B13" s="16" t="n"/>
      <c r="C13" s="7">
        <f>SUM(B8:B12)</f>
        <v/>
      </c>
    </row>
    <row r="14"/>
    <row r="15">
      <c r="A15" s="2" t="inlineStr">
        <is>
          <t>Derived Attributes (auto-calculated)</t>
        </is>
      </c>
      <c r="B15" s="15" t="n"/>
      <c r="C15" s="15" t="n"/>
      <c r="D15" s="15" t="n"/>
      <c r="E15" s="15" t="n"/>
      <c r="F15" s="16" t="n"/>
    </row>
    <row r="16">
      <c r="A16" s="3" t="inlineStr">
        <is>
          <t>Hit Points (HP)</t>
        </is>
      </c>
      <c r="B16" s="8">
        <f>B8*2+5</f>
        <v/>
      </c>
      <c r="C16" s="9" t="inlineStr">
        <is>
          <t>Physique×2+5</t>
        </is>
      </c>
    </row>
    <row r="17">
      <c r="A17" s="3" t="inlineStr">
        <is>
          <t>Defense (DEF)</t>
        </is>
      </c>
      <c r="B17" s="8">
        <f>10+B9</f>
        <v/>
      </c>
      <c r="C17" s="9" t="inlineStr">
        <is>
          <t>10+Agility</t>
        </is>
      </c>
    </row>
    <row r="18">
      <c r="A18" s="3" t="inlineStr">
        <is>
          <t>Sanity Points (SP)</t>
        </is>
      </c>
      <c r="B18" s="8">
        <f>B11*3+10</f>
        <v/>
      </c>
      <c r="C18" s="9" t="inlineStr">
        <is>
          <t>Sanity×3+10</t>
        </is>
      </c>
    </row>
    <row r="19">
      <c r="A19" s="3" t="inlineStr">
        <is>
          <t>Carry Capacity (kg)</t>
        </is>
      </c>
      <c r="B19" s="8">
        <f>B8*2</f>
        <v/>
      </c>
      <c r="C19" s="9" t="inlineStr">
        <is>
          <t>Physique×2</t>
        </is>
      </c>
    </row>
    <row r="20">
      <c r="A20" s="3" t="inlineStr">
        <is>
          <t>Movement Speed (m/turn)</t>
        </is>
      </c>
      <c r="B20" s="8">
        <f>6+B9</f>
        <v/>
      </c>
      <c r="C20" s="9" t="inlineStr">
        <is>
          <t>6+Agility</t>
        </is>
      </c>
    </row>
    <row r="21">
      <c r="A21" s="3" t="inlineStr">
        <is>
          <t>Initiative Bonus</t>
        </is>
      </c>
      <c r="B21" s="8">
        <f>B9+B10</f>
        <v/>
      </c>
      <c r="C21" s="9" t="inlineStr">
        <is>
          <t>Agility+Perception</t>
        </is>
      </c>
    </row>
    <row r="22"/>
    <row r="23">
      <c r="A23" s="2" t="inlineStr">
        <is>
          <t>Skill</t>
        </is>
      </c>
      <c r="B23" s="15" t="n"/>
      <c r="C23" s="15" t="n"/>
      <c r="D23" s="15" t="n"/>
      <c r="E23" s="15" t="n"/>
      <c r="F23" s="16" t="n"/>
    </row>
    <row r="24">
      <c r="A24" s="10" t="inlineStr">
        <is>
          <t>Skill</t>
        </is>
      </c>
      <c r="B24" s="10" t="inlineStr">
        <is>
          <t>Attribute</t>
        </is>
      </c>
      <c r="C24" s="10" t="inlineStr">
        <is>
          <t>Proficiency Tier</t>
        </is>
      </c>
      <c r="D24" s="10" t="inlineStr">
        <is>
          <t>Proficiency Bonus</t>
        </is>
      </c>
      <c r="E24" s="10" t="inlineStr">
        <is>
          <t>Total Skill Value</t>
        </is>
      </c>
      <c r="F24" s="10" t="inlineStr">
        <is>
          <t>Notes</t>
        </is>
      </c>
    </row>
    <row r="25">
      <c r="A25" s="3" t="inlineStr">
        <is>
          <t>Athletics</t>
        </is>
      </c>
      <c r="B25" s="11" t="n"/>
      <c r="C25" s="4" t="inlineStr">
        <is>
          <t>Trained</t>
        </is>
      </c>
      <c r="D25" s="6">
        <f>IF(C25="專精",5,IF(C25="受訓",3,0))</f>
        <v/>
      </c>
      <c r="E25" s="6">
        <f>B8+D25</f>
        <v/>
      </c>
    </row>
    <row r="26">
      <c r="A26" s="3" t="inlineStr">
        <is>
          <t>Endurance</t>
        </is>
      </c>
      <c r="B26" s="11" t="n"/>
      <c r="C26" s="4" t="inlineStr">
        <is>
          <t>Trained</t>
        </is>
      </c>
      <c r="D26" s="6">
        <f>IF(C26="專精",5,IF(C26="受訓",3,0))</f>
        <v/>
      </c>
      <c r="E26" s="6">
        <f>B8+D26</f>
        <v/>
      </c>
    </row>
    <row r="27">
      <c r="A27" s="3" t="inlineStr">
        <is>
          <t>Might</t>
        </is>
      </c>
      <c r="B27" s="11" t="n"/>
      <c r="C27" s="4" t="inlineStr">
        <is>
          <t>Expert</t>
        </is>
      </c>
      <c r="D27" s="6">
        <f>IF(C27="專精",5,IF(C27="受訓",3,0))</f>
        <v/>
      </c>
      <c r="E27" s="6">
        <f>B8+D27</f>
        <v/>
      </c>
    </row>
    <row r="28">
      <c r="A28" s="3" t="inlineStr">
        <is>
          <t>Stealth</t>
        </is>
      </c>
      <c r="B28" s="11" t="n"/>
      <c r="C28" s="4" t="inlineStr">
        <is>
          <t>Untrained</t>
        </is>
      </c>
      <c r="D28" s="6">
        <f>IF(C28="專精",5,IF(C28="受訓",3,0))</f>
        <v/>
      </c>
      <c r="E28" s="6">
        <f>B9+D28</f>
        <v/>
      </c>
    </row>
    <row r="29">
      <c r="A29" s="3" t="inlineStr">
        <is>
          <t>Acrobatics</t>
        </is>
      </c>
      <c r="B29" s="11" t="n"/>
      <c r="C29" s="4" t="inlineStr">
        <is>
          <t>Untrained</t>
        </is>
      </c>
      <c r="D29" s="6">
        <f>IF(C29="專精",5,IF(C29="受訓",3,0))</f>
        <v/>
      </c>
      <c r="E29" s="6">
        <f>B9+D29</f>
        <v/>
      </c>
    </row>
    <row r="30">
      <c r="A30" s="3" t="inlineStr">
        <is>
          <t>Sleight of Hand</t>
        </is>
      </c>
      <c r="B30" s="11" t="n"/>
      <c r="C30" s="4" t="inlineStr">
        <is>
          <t>Untrained</t>
        </is>
      </c>
      <c r="D30" s="6">
        <f>IF(C30="專精",5,IF(C30="受訓",3,0))</f>
        <v/>
      </c>
      <c r="E30" s="6">
        <f>B9+D30</f>
        <v/>
      </c>
    </row>
    <row r="31">
      <c r="A31" s="3" t="inlineStr">
        <is>
          <t>Evasion</t>
        </is>
      </c>
      <c r="B31" s="11" t="n"/>
      <c r="C31" s="4" t="inlineStr">
        <is>
          <t>Untrained</t>
        </is>
      </c>
      <c r="D31" s="6">
        <f>IF(C31="專精",5,IF(C31="受訓",3,0))</f>
        <v/>
      </c>
      <c r="E31" s="6">
        <f>B9+D31</f>
        <v/>
      </c>
    </row>
    <row r="32">
      <c r="A32" s="3" t="inlineStr">
        <is>
          <t>Search</t>
        </is>
      </c>
      <c r="B32" s="11" t="n"/>
      <c r="C32" s="4" t="inlineStr">
        <is>
          <t>Untrained</t>
        </is>
      </c>
      <c r="D32" s="6">
        <f>IF(C32="專精",5,IF(C32="受訓",3,0))</f>
        <v/>
      </c>
      <c r="E32" s="6">
        <f>B10+D32</f>
        <v/>
      </c>
    </row>
    <row r="33">
      <c r="A33" s="3" t="inlineStr">
        <is>
          <t>Track</t>
        </is>
      </c>
      <c r="B33" s="11" t="n"/>
      <c r="C33" s="4" t="inlineStr">
        <is>
          <t>Untrained</t>
        </is>
      </c>
      <c r="D33" s="6">
        <f>IF(C33="專精",5,IF(C33="受訓",3,0))</f>
        <v/>
      </c>
      <c r="E33" s="6">
        <f>B10+D33</f>
        <v/>
      </c>
    </row>
    <row r="34">
      <c r="A34" s="3" t="inlineStr">
        <is>
          <t>Insight</t>
        </is>
      </c>
      <c r="B34" s="11" t="n"/>
      <c r="C34" s="4" t="inlineStr">
        <is>
          <t>Untrained</t>
        </is>
      </c>
      <c r="D34" s="6">
        <f>IF(C34="專精",5,IF(C34="受訓",3,0))</f>
        <v/>
      </c>
      <c r="E34" s="6">
        <f>B10+D34</f>
        <v/>
      </c>
    </row>
    <row r="35">
      <c r="A35" s="3" t="inlineStr">
        <is>
          <t>Danger Sense</t>
        </is>
      </c>
      <c r="B35" s="11" t="n"/>
      <c r="C35" s="4" t="inlineStr">
        <is>
          <t>Untrained</t>
        </is>
      </c>
      <c r="D35" s="6">
        <f>IF(C35="專精",5,IF(C35="受訓",3,0))</f>
        <v/>
      </c>
      <c r="E35" s="6">
        <f>B10+D35</f>
        <v/>
      </c>
    </row>
    <row r="36">
      <c r="A36" s="3" t="inlineStr">
        <is>
          <t>Willpower</t>
        </is>
      </c>
      <c r="B36" s="11" t="n"/>
      <c r="C36" s="4" t="inlineStr">
        <is>
          <t>Trained</t>
        </is>
      </c>
      <c r="D36" s="6">
        <f>IF(C36="專精",5,IF(C36="受訓",3,0))</f>
        <v/>
      </c>
      <c r="E36" s="6">
        <f>B11+D36</f>
        <v/>
      </c>
    </row>
    <row r="37">
      <c r="A37" s="3" t="inlineStr">
        <is>
          <t>Composure</t>
        </is>
      </c>
      <c r="B37" s="11" t="n"/>
      <c r="C37" s="4" t="inlineStr">
        <is>
          <t>Untrained</t>
        </is>
      </c>
      <c r="D37" s="6">
        <f>IF(C37="專精",5,IF(C37="受訓",3,0))</f>
        <v/>
      </c>
      <c r="E37" s="6">
        <f>B11+D37</f>
        <v/>
      </c>
    </row>
    <row r="38">
      <c r="A38" s="3" t="inlineStr">
        <is>
          <t>Meditation</t>
        </is>
      </c>
      <c r="B38" s="11" t="n"/>
      <c r="C38" s="4" t="inlineStr">
        <is>
          <t>Untrained</t>
        </is>
      </c>
      <c r="D38" s="6">
        <f>IF(C38="專精",5,IF(C38="受訓",3,0))</f>
        <v/>
      </c>
      <c r="E38" s="6">
        <f>B11+D38</f>
        <v/>
      </c>
    </row>
    <row r="39">
      <c r="A39" s="3" t="inlineStr">
        <is>
          <t>Backrooms Lore</t>
        </is>
      </c>
      <c r="B39" s="11" t="n"/>
      <c r="C39" s="4" t="inlineStr">
        <is>
          <t>Trained</t>
        </is>
      </c>
      <c r="D39" s="6">
        <f>IF(C39="專精",5,IF(C39="受訓",3,0))</f>
        <v/>
      </c>
      <c r="E39" s="6">
        <f>B12+D39</f>
        <v/>
      </c>
    </row>
    <row r="40">
      <c r="A40" s="3" t="inlineStr">
        <is>
          <t>First Aid</t>
        </is>
      </c>
      <c r="B40" s="11" t="n"/>
      <c r="C40" s="4" t="inlineStr">
        <is>
          <t>Untrained</t>
        </is>
      </c>
      <c r="D40" s="6">
        <f>IF(C40="專精",5,IF(C40="受訓",3,0))</f>
        <v/>
      </c>
      <c r="E40" s="6">
        <f>B12+D40</f>
        <v/>
      </c>
    </row>
    <row r="41">
      <c r="A41" s="3" t="inlineStr">
        <is>
          <t>Crafting</t>
        </is>
      </c>
      <c r="B41" s="11" t="n"/>
      <c r="C41" s="4" t="inlineStr">
        <is>
          <t>Trained</t>
        </is>
      </c>
      <c r="D41" s="6">
        <f>IF(C41="專精",5,IF(C41="受訓",3,0))</f>
        <v/>
      </c>
      <c r="E41" s="6">
        <f>B12+D41</f>
        <v/>
      </c>
    </row>
    <row r="42">
      <c r="A42" s="3" t="inlineStr">
        <is>
          <t>Spatial Memory</t>
        </is>
      </c>
      <c r="B42" s="11" t="n"/>
      <c r="C42" s="4" t="inlineStr">
        <is>
          <t>Untrained</t>
        </is>
      </c>
      <c r="D42" s="6">
        <f>IF(C42="專精",5,IF(C42="受訓",3,0))</f>
        <v/>
      </c>
      <c r="E42" s="6">
        <f>B12+D42</f>
        <v/>
      </c>
    </row>
    <row r="43"/>
    <row r="44">
      <c r="A44" s="2" t="inlineStr">
        <is>
          <t>Equipment &amp; Items</t>
        </is>
      </c>
      <c r="B44" s="15" t="n"/>
      <c r="C44" s="15" t="n"/>
      <c r="D44" s="15" t="n"/>
      <c r="E44" s="15" t="n"/>
      <c r="F44" s="16" t="n"/>
    </row>
    <row r="45">
      <c r="A45" s="5" t="inlineStr">
        <is>
          <t>Item Name</t>
        </is>
      </c>
      <c r="B45" s="5" t="inlineStr">
        <is>
          <t>Category</t>
        </is>
      </c>
      <c r="C45" s="5" t="inlineStr">
        <is>
          <t>Weight (kg)</t>
        </is>
      </c>
      <c r="D45" s="5" t="inlineStr">
        <is>
          <t>Quantity</t>
        </is>
      </c>
      <c r="E45" s="5" t="inlineStr">
        <is>
          <t>Effect</t>
        </is>
      </c>
      <c r="F45" s="5" t="inlineStr">
        <is>
          <t>Durability</t>
        </is>
      </c>
    </row>
    <row r="46">
      <c r="A46" s="12" t="inlineStr">
        <is>
          <t>Work Gloves</t>
        </is>
      </c>
      <c r="B46" s="13" t="inlineStr">
        <is>
          <t>Protection</t>
        </is>
      </c>
      <c r="C46" s="13" t="n">
        <v>0.1</v>
      </c>
      <c r="D46" s="13" t="n">
        <v>1</v>
      </c>
      <c r="E46" s="13" t="inlineStr">
        <is>
          <t>Protects Hands</t>
        </is>
      </c>
      <c r="F46" s="13" t="inlineStr">
        <is>
          <t>—</t>
        </is>
      </c>
    </row>
    <row r="47">
      <c r="A47" s="12" t="inlineStr">
        <is>
          <t>Multi-tool Knife</t>
        </is>
      </c>
      <c r="B47" s="13" t="inlineStr">
        <is>
          <t>Tool</t>
        </is>
      </c>
      <c r="C47" s="13" t="n">
        <v>0.2</v>
      </c>
      <c r="D47" s="13" t="n">
        <v>1</v>
      </c>
      <c r="E47" s="13" t="inlineStr">
        <is>
          <t>Multi-purpose</t>
        </is>
      </c>
      <c r="F47" s="13" t="inlineStr">
        <is>
          <t>—</t>
        </is>
      </c>
    </row>
    <row r="48">
      <c r="A48" s="12" t="inlineStr">
        <is>
          <t>Hammer</t>
        </is>
      </c>
      <c r="B48" s="13" t="inlineStr">
        <is>
          <t>Weapon</t>
        </is>
      </c>
      <c r="C48" s="13" t="n">
        <v>1.5</v>
      </c>
      <c r="D48" s="13" t="n">
        <v>1</v>
      </c>
      <c r="E48" s="13" t="inlineStr">
        <is>
          <t>1D6 blunt</t>
        </is>
      </c>
      <c r="F48" s="13" t="inlineStr">
        <is>
          <t>—</t>
        </is>
      </c>
    </row>
    <row r="49"/>
    <row r="50">
      <c r="A50" s="2" t="inlineStr">
        <is>
          <t>Resources</t>
        </is>
      </c>
      <c r="B50" s="15" t="n"/>
      <c r="C50" s="15" t="n"/>
      <c r="D50" s="15" t="n"/>
      <c r="E50" s="15" t="n"/>
      <c r="F50" s="16" t="n"/>
    </row>
    <row r="51">
      <c r="A51" s="3" t="inlineStr">
        <is>
          <t>Almond Water</t>
        </is>
      </c>
      <c r="B51" s="4" t="n">
        <v>5</v>
      </c>
    </row>
    <row r="52">
      <c r="A52" s="3" t="inlineStr">
        <is>
          <t>Calorie</t>
        </is>
      </c>
      <c r="B52" s="4" t="n">
        <v>10</v>
      </c>
    </row>
    <row r="53"/>
    <row r="54">
      <c r="A54" s="2" t="inlineStr">
        <is>
          <t>Character Story</t>
        </is>
      </c>
      <c r="B54" s="15" t="n"/>
      <c r="C54" s="15" t="n"/>
      <c r="D54" s="15" t="n"/>
      <c r="E54" s="15" t="n"/>
      <c r="F54" s="16" t="n"/>
    </row>
    <row r="55">
      <c r="A55" s="14" t="inlineStr">
        <is>
          <t>On night shift at the warehouse, Lao Zhao went to check an old shelf no one ever used — the wall behind it felt wrong. He reached out to touch it — and the whole world flipped. It is his first day in the Backrooms. His daughter marries next month. He must survive and go back for the wedding.</t>
        </is>
      </c>
      <c r="B55" s="17" t="n"/>
      <c r="C55" s="17" t="n"/>
      <c r="D55" s="17" t="n"/>
      <c r="E55" s="17" t="n"/>
      <c r="F55" s="18" t="n"/>
    </row>
    <row r="56">
      <c r="A56" s="19" t="n"/>
      <c r="F56" s="20" t="n"/>
    </row>
    <row r="57">
      <c r="A57" s="21" t="n"/>
      <c r="B57" s="22" t="n"/>
      <c r="C57" s="22" t="n"/>
      <c r="D57" s="22" t="n"/>
      <c r="E57" s="22" t="n"/>
      <c r="F57" s="23" t="n"/>
    </row>
  </sheetData>
  <mergeCells count="10">
    <mergeCell ref="A2:F2"/>
    <mergeCell ref="A55:F57"/>
    <mergeCell ref="A54:F54"/>
    <mergeCell ref="A44:F44"/>
    <mergeCell ref="A1:F1"/>
    <mergeCell ref="A23:F23"/>
    <mergeCell ref="A6:F6"/>
    <mergeCell ref="A13:B13"/>
    <mergeCell ref="A50:F5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2026-08-09T18:06:15Z</dcterms:modified>
</cp:coreProperties>
</file>