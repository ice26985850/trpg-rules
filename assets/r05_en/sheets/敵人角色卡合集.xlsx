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Goblin Scout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Goblin Scout</t>
        </is>
      </c>
    </row>
    <row r="4">
      <c r="A4" s="12" t="n"/>
      <c r="D4" s="13" t="n"/>
      <c r="E4" s="3" t="inlineStr">
        <is>
          <t>Challenge Rating (CR)</t>
        </is>
      </c>
      <c r="F4" s="4" t="n">
        <v>1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0</v>
      </c>
    </row>
    <row r="10">
      <c r="E10" s="5" t="inlineStr">
        <is>
          <t>Movement (Squares)</t>
        </is>
      </c>
      <c r="F10" s="4" t="n">
        <v>4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Goblin Ear ×1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Short Spear: Hit +1, Damage 1d6+1 (Physical · Pierce)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Sneak Attack (Initiative +2), Escape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Social, Cowardly (flees at low HP)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Orc Warrior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Orc Warrior</t>
        </is>
      </c>
    </row>
    <row r="4">
      <c r="A4" s="12" t="n"/>
      <c r="D4" s="13" t="n"/>
      <c r="E4" s="3" t="inlineStr">
        <is>
          <t>Challenge Rating (CR)</t>
        </is>
      </c>
      <c r="F4" s="4" t="n">
        <v>3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10</v>
      </c>
    </row>
    <row r="10">
      <c r="E10" s="5" t="inlineStr">
        <is>
          <t>Movement (Squares)</t>
        </is>
      </c>
      <c r="F10" s="4" t="n">
        <v>4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Orc Fang ×1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Battle Axe: Hit +3, Damage 1d10+2 (Physical · Slash)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War Cry (self damage +10%, 1 turn)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Tough Hide (Physical DR 10%)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Dragonborn Guard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Dragonborn Guard</t>
        </is>
      </c>
    </row>
    <row r="4">
      <c r="A4" s="12" t="n"/>
      <c r="D4" s="13" t="n"/>
      <c r="E4" s="3" t="inlineStr">
        <is>
          <t>Challenge Rating (CR)</t>
        </is>
      </c>
      <c r="F4" s="4" t="n">
        <v>10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20</v>
      </c>
    </row>
    <row r="10">
      <c r="E10" s="5" t="inlineStr">
        <is>
          <t>Movement (Squares)</t>
        </is>
      </c>
      <c r="F10" s="4" t="n">
        <v>4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Dragon Scale ×2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Dragon Claw: Hit +5, Damage 2d6+3 (Physical); Dragon Breath (ready)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Scale Guard Stance (DR +10%), Flame Claw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Scale DR 20%, Heat Field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Necromancer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Necromancer</t>
        </is>
      </c>
    </row>
    <row r="4">
      <c r="A4" s="12" t="n"/>
      <c r="D4" s="13" t="n"/>
      <c r="E4" s="3" t="inlineStr">
        <is>
          <t>Challenge Rating (CR)</t>
        </is>
      </c>
      <c r="F4" s="4" t="n">
        <v>15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15</v>
      </c>
    </row>
    <row r="10">
      <c r="E10" s="5" t="inlineStr">
        <is>
          <t>Movement (Squares)</t>
        </is>
      </c>
      <c r="F10" s="4" t="n">
        <v>3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Soul Crystal ×1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Bone Staff: Hit +6, Damage 1d8+4 (Mystic · Shadow)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Death Wave (AOE Shadow), Summon Skeleton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Undead (Poison/Bleed immune), Shadow Resistance, etc.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Dragon General Ignes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Ignes Flamescale</t>
        </is>
      </c>
    </row>
    <row r="4">
      <c r="A4" s="12" t="n"/>
      <c r="D4" s="13" t="n"/>
      <c r="E4" s="3" t="inlineStr">
        <is>
          <t>Challenge Rating (CR)</t>
        </is>
      </c>
      <c r="F4" s="4" t="n">
        <v>30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30</v>
      </c>
    </row>
    <row r="10">
      <c r="E10" s="5" t="inlineStr">
        <is>
          <t>Movement (Squares)</t>
        </is>
      </c>
      <c r="F10" s="4" t="n">
        <v>5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Dragon General Reverse Scale (Legendary)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Dragon Claw/Breath: Hit +13, Damage 3d10+10 (Fire)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Dragon Breath (AOE Fire), Flying Charge, World-Ending Breath (Phase 3)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Scale DR 30%, Phase 66%/33% transition, Phase 3 Crit-vulnerable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Spirit General Morfana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Morfana Silencegrave</t>
        </is>
      </c>
    </row>
    <row r="4">
      <c r="A4" s="12" t="n"/>
      <c r="D4" s="13" t="n"/>
      <c r="E4" s="3" t="inlineStr">
        <is>
          <t>Challenge Rating (CR)</t>
        </is>
      </c>
      <c r="F4" s="4" t="n">
        <v>35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20</v>
      </c>
    </row>
    <row r="10">
      <c r="E10" s="5" t="inlineStr">
        <is>
          <t>Movement (Squares)</t>
        </is>
      </c>
      <c r="F10" s="4" t="n">
        <v>3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Silencegrave Scepter (Epic)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Necro Tentacle: Hit +15, Damage 2d12+8 (Mystic · Shadow)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Undead Summon, Life Siphon, Death Field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Undead, Phase 3 Lich Form (life coffin breakable), Crit-immune Core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Charm General Lilith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Lilith Seductive Shadow</t>
        </is>
      </c>
    </row>
    <row r="4">
      <c r="A4" s="12" t="n"/>
      <c r="D4" s="13" t="n"/>
      <c r="E4" s="3" t="inlineStr">
        <is>
          <t>Challenge Rating (CR)</t>
        </is>
      </c>
      <c r="F4" s="4" t="n">
        <v>30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15</v>
      </c>
    </row>
    <row r="10">
      <c r="E10" s="5" t="inlineStr">
        <is>
          <t>Movement (Squares)</t>
        </is>
      </c>
      <c r="F10" s="4" t="n">
        <v>4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Seductive Shadow Mask (Legendary)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Charm Whip: Hit +13, Damage 2d8+6 (Mystic · Psychic)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Illusion Dance (Charm 1-3 turns), Desire Bind, Inner Demon Split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Phase transition 66%/33%, Inner Demon Split trust crisis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Gel General Plum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Plum Gel</t>
        </is>
      </c>
    </row>
    <row r="4">
      <c r="A4" s="12" t="n"/>
      <c r="D4" s="13" t="n"/>
      <c r="E4" s="3" t="inlineStr">
        <is>
          <t>Challenge Rating (CR)</t>
        </is>
      </c>
      <c r="F4" s="4" t="n">
        <v>32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10</v>
      </c>
    </row>
    <row r="10">
      <c r="E10" s="5" t="inlineStr">
        <is>
          <t>Movement (Squares)</t>
        </is>
      </c>
      <c r="F10" s="4" t="n">
        <v>3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Pure Gel Core (Epic)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Acid Spray: Hit +14, Damage 2d10+8 (Elemental · Acid)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Split Multiply, Fusion Full-heal, Acid Corrosion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Split, Phase 3 Crystallize (Crit-immune + high DR), Bludgeon breaks crystal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Demon Lord Vercellia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Vercellia Nornheim</t>
        </is>
      </c>
    </row>
    <row r="4">
      <c r="A4" s="12" t="n"/>
      <c r="D4" s="13" t="n"/>
      <c r="E4" s="3" t="inlineStr">
        <is>
          <t>Challenge Rating (CR)</t>
        </is>
      </c>
      <c r="F4" s="4" t="n">
        <v>50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25</v>
      </c>
    </row>
    <row r="10">
      <c r="E10" s="5" t="inlineStr">
        <is>
          <t>Movement (Squares)</t>
        </is>
      </c>
      <c r="F10" s="4" t="n">
        <v>5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Demon Lord Sigil (Mythic)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Doom Palm: Hit +18, Damage 4d12+20 (Mystic)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Four Generals' Echo, Dominion Field, Four Elements Annihilation, Doom Judgment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Phase 66%/33%, Reconciliation route can recruit, Doom Judgment fatal countdown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Sheet — the Fifth, Jeno Gojo</t>
        </is>
      </c>
    </row>
    <row r="2"/>
    <row r="3">
      <c r="A3" s="2" t="inlineStr">
        <is>
          <t>Character Portrait</t>
        </is>
      </c>
      <c r="B3" s="10" t="n"/>
      <c r="C3" s="10" t="n"/>
      <c r="D3" s="11" t="n"/>
      <c r="E3" s="3" t="inlineStr">
        <is>
          <t>Name</t>
        </is>
      </c>
      <c r="F3" s="4" t="inlineStr">
        <is>
          <t>Jeno Gojo</t>
        </is>
      </c>
    </row>
    <row r="4">
      <c r="A4" s="12" t="n"/>
      <c r="D4" s="13" t="n"/>
      <c r="E4" s="3" t="inlineStr">
        <is>
          <t>Challenge Rating (CR)</t>
        </is>
      </c>
      <c r="F4" s="4" t="n">
        <v>48</v>
      </c>
    </row>
    <row r="5">
      <c r="A5" s="12" t="n"/>
      <c r="D5" s="13" t="n"/>
      <c r="E5" s="5" t="inlineStr">
        <is>
          <t>Health (HP)</t>
        </is>
      </c>
      <c r="F5" s="4">
        <f>FLOOR(40*(1+0.09*(F4-1)),1)</f>
        <v/>
      </c>
    </row>
    <row r="6">
      <c r="A6" s="14" t="n"/>
      <c r="B6" s="15" t="n"/>
      <c r="C6" s="15" t="n"/>
      <c r="D6" s="16" t="n"/>
      <c r="E6" s="5" t="inlineStr">
        <is>
          <t>Attack Bonus (ATK)</t>
        </is>
      </c>
      <c r="F6" s="4">
        <f>FLOOR(1+0.25*F4,1)</f>
        <v/>
      </c>
    </row>
    <row r="7">
      <c r="E7" s="5" t="inlineStr">
        <is>
          <t>Evasion (EVA)</t>
        </is>
      </c>
      <c r="F7" s="4">
        <f>10+FLOOR(0.3*F4,1)</f>
        <v/>
      </c>
    </row>
    <row r="8">
      <c r="E8" s="5" t="inlineStr">
        <is>
          <t>Damage/Hit</t>
        </is>
      </c>
      <c r="F8" s="4">
        <f>FLOOR(6+1.2*F4,1)</f>
        <v/>
      </c>
    </row>
    <row r="9">
      <c r="E9" s="5" t="inlineStr">
        <is>
          <t>Damage Reduction (DR)%</t>
        </is>
      </c>
      <c r="F9" s="4" t="n">
        <v>20</v>
      </c>
    </row>
    <row r="10">
      <c r="E10" s="5" t="inlineStr">
        <is>
          <t>Movement (Squares)</t>
        </is>
      </c>
      <c r="F10" s="4" t="n">
        <v>5</v>
      </c>
    </row>
    <row r="11">
      <c r="E11" s="5" t="inlineStr">
        <is>
          <t>Experience (EXP)</t>
        </is>
      </c>
      <c r="F11" s="4">
        <f>FLOOR(15*F4*(1+F4/15),1)</f>
        <v/>
      </c>
    </row>
    <row r="12">
      <c r="E12" s="5" t="inlineStr">
        <is>
          <t>Drop</t>
        </is>
      </c>
      <c r="F12" s="4" t="inlineStr">
        <is>
          <t>Traitor General's Last Will (Story)</t>
        </is>
      </c>
    </row>
    <row r="13"/>
    <row r="14"/>
    <row r="15">
      <c r="A15" s="6" t="inlineStr">
        <is>
          <t>Attack</t>
        </is>
      </c>
      <c r="B15" s="7" t="n"/>
      <c r="C15" s="7" t="n"/>
      <c r="D15" s="7" t="n"/>
      <c r="E15" s="7" t="n"/>
      <c r="F15" s="7" t="n"/>
      <c r="G15" s="7" t="n"/>
      <c r="H15" s="8" t="n"/>
    </row>
    <row r="16">
      <c r="A16" s="9" t="inlineStr">
        <is>
          <t>Replication Combat Art: Hit +17, Damage 3d10+15</t>
        </is>
      </c>
      <c r="B16" s="10" t="n"/>
      <c r="C16" s="10" t="n"/>
      <c r="D16" s="10" t="n"/>
      <c r="E16" s="10" t="n"/>
      <c r="F16" s="10" t="n"/>
      <c r="G16" s="10" t="n"/>
      <c r="H16" s="11" t="n"/>
    </row>
    <row r="17">
      <c r="A17" s="12" t="n"/>
      <c r="H17" s="13" t="n"/>
    </row>
    <row r="18">
      <c r="A18" s="12" t="n"/>
      <c r="H18" s="13" t="n"/>
    </row>
    <row r="19">
      <c r="A19" s="12" t="n"/>
      <c r="H19" s="13" t="n"/>
    </row>
    <row r="20">
      <c r="A20" s="14" t="n"/>
      <c r="B20" s="15" t="n"/>
      <c r="C20" s="15" t="n"/>
      <c r="D20" s="15" t="n"/>
      <c r="E20" s="15" t="n"/>
      <c r="F20" s="15" t="n"/>
      <c r="G20" s="15" t="n"/>
      <c r="H20" s="16" t="n"/>
    </row>
    <row r="21"/>
    <row r="22">
      <c r="A22" s="6" t="inlineStr">
        <is>
          <t>Skill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9" t="inlineStr">
        <is>
          <t>Tactical Mastery (high evasion), replicate ally skills, backstab crit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>
      <c r="A24" s="12" t="n"/>
      <c r="H24" s="13" t="n"/>
    </row>
    <row r="25">
      <c r="A25" s="12" t="n"/>
      <c r="H25" s="13" t="n"/>
    </row>
    <row r="26">
      <c r="A26" s="12" t="n"/>
      <c r="H26" s="13" t="n"/>
    </row>
    <row r="27">
      <c r="A27" s="12" t="n"/>
      <c r="H27" s="13" t="n"/>
    </row>
    <row r="28">
      <c r="A28" s="12" t="n"/>
      <c r="H28" s="13" t="n"/>
    </row>
    <row r="29">
      <c r="A29" s="12" t="n"/>
      <c r="H29" s="13" t="n"/>
    </row>
    <row r="30">
      <c r="A30" s="14" t="n"/>
      <c r="B30" s="15" t="n"/>
      <c r="C30" s="15" t="n"/>
      <c r="D30" s="15" t="n"/>
      <c r="E30" s="15" t="n"/>
      <c r="F30" s="15" t="n"/>
      <c r="G30" s="15" t="n"/>
      <c r="H30" s="16" t="n"/>
    </row>
    <row r="31"/>
    <row r="32">
      <c r="A32" s="6" t="inlineStr">
        <is>
          <t>Trait</t>
        </is>
      </c>
      <c r="B32" s="7" t="n"/>
      <c r="C32" s="7" t="n"/>
      <c r="D32" s="7" t="n"/>
      <c r="E32" s="7" t="n"/>
      <c r="F32" s="7" t="n"/>
      <c r="G32" s="7" t="n"/>
      <c r="H32" s="8" t="n"/>
    </row>
    <row r="33">
      <c r="A33" s="9" t="inlineStr">
        <is>
          <t>Phase 66%/33%, enough Influence Points → atone and assist, otherwise despair burst</t>
        </is>
      </c>
      <c r="B33" s="10" t="n"/>
      <c r="C33" s="10" t="n"/>
      <c r="D33" s="10" t="n"/>
      <c r="E33" s="10" t="n"/>
      <c r="F33" s="10" t="n"/>
      <c r="G33" s="10" t="n"/>
      <c r="H33" s="11" t="n"/>
    </row>
    <row r="34">
      <c r="A34" s="12" t="n"/>
      <c r="H34" s="13" t="n"/>
    </row>
    <row r="35">
      <c r="A35" s="12" t="n"/>
      <c r="H35" s="13" t="n"/>
    </row>
    <row r="36">
      <c r="A36" s="12" t="n"/>
      <c r="H36" s="13" t="n"/>
    </row>
    <row r="37">
      <c r="A37" s="12" t="n"/>
      <c r="H37" s="13" t="n"/>
    </row>
    <row r="38">
      <c r="A38" s="12" t="n"/>
      <c r="H38" s="13" t="n"/>
    </row>
    <row r="39">
      <c r="A39" s="12" t="n"/>
      <c r="H39" s="13" t="n"/>
    </row>
    <row r="40">
      <c r="A40" s="14" t="n"/>
      <c r="B40" s="15" t="n"/>
      <c r="C40" s="15" t="n"/>
      <c r="D40" s="15" t="n"/>
      <c r="E40" s="15" t="n"/>
      <c r="F40" s="15" t="n"/>
      <c r="G40" s="15" t="n"/>
      <c r="H40" s="16" t="n"/>
    </row>
  </sheetData>
  <mergeCells count="8">
    <mergeCell ref="A15:H15"/>
    <mergeCell ref="A16:H20"/>
    <mergeCell ref="A3:D6"/>
    <mergeCell ref="A23:H30"/>
    <mergeCell ref="A33:H40"/>
    <mergeCell ref="A1:H1"/>
    <mergeCell ref="A32:H3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2026-08-03T13:29:27Z</dcterms:created>
  <dcterms:modified xsi:type="dcterms:W3CDTF">2026-08-09T05:10:32Z</dcterms:modified>
</cp:coreProperties>
</file>