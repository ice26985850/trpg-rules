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ior" sheetId="1" state="visible" r:id="rId1"/>
    <sheet name="Monk" sheetId="2" state="visible" r:id="rId2"/>
    <sheet name="Mage" sheetId="3" state="visible" r:id="rId3"/>
    <sheet name="Cleric" sheetId="4" state="visible" r:id="rId4"/>
    <sheet name="Thief" sheetId="5" state="visible" r:id="rId5"/>
    <sheet name="Hunter" sheetId="6" state="visible" r:id="rId6"/>
    <sheet name="Danc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Warrior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Ryan</t>
        </is>
      </c>
    </row>
    <row r="4">
      <c r="D4" s="12" t="n"/>
      <c r="E4" t="inlineStr">
        <is>
          <t>Race</t>
        </is>
      </c>
      <c r="F4" t="inlineStr">
        <is>
          <t>Dwarf</t>
        </is>
      </c>
    </row>
    <row r="5">
      <c r="D5" s="12" t="n"/>
      <c r="E5" s="3" t="inlineStr">
        <is>
          <t>Class</t>
        </is>
      </c>
      <c r="F5" s="4" t="inlineStr">
        <is>
          <t>Warrior</t>
        </is>
      </c>
    </row>
    <row r="6">
      <c r="D6" s="12" t="n"/>
      <c r="E6" s="3" t="inlineStr">
        <is>
          <t>Origin Background</t>
        </is>
      </c>
      <c r="F6" s="4" t="inlineStr">
        <is>
          <t>Warrior Family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Gald Ironoath</t>
        </is>
      </c>
    </row>
    <row r="8">
      <c r="E8" s="3" t="inlineStr">
        <is>
          <t>Racial Trait</t>
        </is>
      </c>
      <c r="F8" s="4" t="inlineStr">
        <is>
          <t>Mountain Body: Poison/Disease damage ×0.5; all status resistance +5%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300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16</v>
      </c>
      <c r="C15" s="4">
        <f>INT((B15-10)/2)</f>
        <v/>
      </c>
    </row>
    <row r="16">
      <c r="A16" s="6" t="inlineStr">
        <is>
          <t>Constitution (CON)</t>
        </is>
      </c>
      <c r="B16" s="4" t="n">
        <v>16</v>
      </c>
      <c r="C16" s="4">
        <f>INT((B16-10)/2)</f>
        <v/>
      </c>
    </row>
    <row r="17">
      <c r="A17" s="6" t="inlineStr">
        <is>
          <t>Dexterity (DEX)</t>
        </is>
      </c>
      <c r="B17" s="4" t="n">
        <v>10</v>
      </c>
      <c r="C17" s="4">
        <f>INT((B17-10)/2)</f>
        <v/>
      </c>
    </row>
    <row r="18">
      <c r="A18" s="6" t="inlineStr">
        <is>
          <t>Magic (MAG)</t>
        </is>
      </c>
      <c r="B18" s="4" t="n">
        <v>8</v>
      </c>
      <c r="C18" s="4">
        <f>INT((B18-10)/2)</f>
        <v/>
      </c>
    </row>
    <row r="19">
      <c r="A19" s="6" t="inlineStr">
        <is>
          <t>Charisma (CHA)</t>
        </is>
      </c>
      <c r="B19" s="4" t="n">
        <v>10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60</v>
      </c>
    </row>
    <row r="23">
      <c r="A23" s="3" t="inlineStr">
        <is>
          <t>Health Growth</t>
        </is>
      </c>
      <c r="B23" s="4" t="n">
        <v>4</v>
      </c>
    </row>
    <row r="24">
      <c r="A24" s="3" t="inlineStr">
        <is>
          <t>Mana Class Bonus</t>
        </is>
      </c>
      <c r="B24" s="4" t="n">
        <v>0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Shield Bash</t>
        </is>
      </c>
      <c r="B36" s="4" t="n">
        <v>1</v>
      </c>
      <c r="C36" s="4" t="n">
        <v>1</v>
      </c>
      <c r="D36" s="4" t="n">
        <v>1</v>
      </c>
      <c r="E36" s="4" t="n">
        <v>0</v>
      </c>
      <c r="F36" s="7" t="inlineStr">
        <is>
          <t>Stun 1 turn</t>
        </is>
      </c>
    </row>
    <row r="37">
      <c r="A37" s="4" t="inlineStr">
        <is>
          <t>Iron Wall Stance</t>
        </is>
      </c>
      <c r="B37" s="4" t="n">
        <v>1</v>
      </c>
      <c r="C37" s="4" t="n">
        <v>1</v>
      </c>
      <c r="D37" s="4" t="n">
        <v>2</v>
      </c>
      <c r="E37" s="4" t="n">
        <v>0</v>
      </c>
      <c r="F37" s="7" t="inlineStr">
        <is>
          <t>DR 20%</t>
        </is>
      </c>
    </row>
    <row r="38">
      <c r="A38" s="4" t="inlineStr">
        <is>
          <t>Whirlwind Slash</t>
        </is>
      </c>
      <c r="B38" s="4" t="n">
        <v>1</v>
      </c>
      <c r="C38" s="4" t="n">
        <v>1</v>
      </c>
      <c r="D38" s="4" t="n">
        <v>3</v>
      </c>
      <c r="E38" s="4" t="n">
        <v>4</v>
      </c>
      <c r="F38" s="7" t="inlineStr">
        <is>
          <t>Area Effect (AOE)</t>
        </is>
      </c>
    </row>
    <row r="39">
      <c r="A39" s="4" t="inlineStr">
        <is>
          <t>Armor-breaking Strike</t>
        </is>
      </c>
      <c r="B39" s="4" t="n">
        <v>1</v>
      </c>
      <c r="C39" s="4" t="n">
        <v>1</v>
      </c>
      <c r="D39" s="4" t="n">
        <v>2</v>
      </c>
      <c r="E39" s="4" t="n">
        <v>3</v>
      </c>
      <c r="F39" s="7" t="inlineStr">
        <is>
          <t>Sunder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Longsword</t>
        </is>
      </c>
      <c r="B46" s="4" t="inlineStr">
        <is>
          <t>+1</t>
        </is>
      </c>
      <c r="C46" s="7" t="inlineStr">
        <is>
          <t>1d8+Strength</t>
        </is>
      </c>
      <c r="D46" s="16" t="n"/>
      <c r="E46" s="16" t="n"/>
      <c r="F46" s="17" t="n"/>
    </row>
    <row r="47">
      <c r="A47" s="6" t="inlineStr">
        <is>
          <t>Chainmail</t>
        </is>
      </c>
      <c r="B47" s="4" t="inlineStr"/>
      <c r="C47" s="7" t="inlineStr">
        <is>
          <t>Armor Class (AC) +3</t>
        </is>
      </c>
      <c r="D47" s="16" t="n"/>
      <c r="E47" s="16" t="n"/>
      <c r="F47" s="17" t="n"/>
    </row>
    <row r="48">
      <c r="A48" s="6" t="inlineStr">
        <is>
          <t>Iron Shield</t>
        </is>
      </c>
      <c r="B48" s="4" t="inlineStr"/>
      <c r="C48" s="7" t="inlineStr">
        <is>
          <t>Block +2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Monk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Ayase</t>
        </is>
      </c>
    </row>
    <row r="4">
      <c r="D4" s="12" t="n"/>
      <c r="E4" t="inlineStr">
        <is>
          <t>Race</t>
        </is>
      </c>
      <c r="F4" t="inlineStr">
        <is>
          <t>Orc</t>
        </is>
      </c>
    </row>
    <row r="5">
      <c r="D5" s="12" t="n"/>
      <c r="E5" s="3" t="inlineStr">
        <is>
          <t>Class</t>
        </is>
      </c>
      <c r="F5" s="4" t="inlineStr">
        <is>
          <t>Monk</t>
        </is>
      </c>
    </row>
    <row r="6">
      <c r="D6" s="12" t="n"/>
      <c r="E6" s="3" t="inlineStr">
        <is>
          <t>Origin Background</t>
        </is>
      </c>
      <c r="F6" s="4" t="inlineStr">
        <is>
          <t>Woodland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Satto Formless</t>
        </is>
      </c>
    </row>
    <row r="8">
      <c r="E8" s="3" t="inlineStr">
        <is>
          <t>Racial Trait</t>
        </is>
      </c>
      <c r="F8" s="4" t="inlineStr">
        <is>
          <t>Bestial Fury: when HP&lt;50%, next melee +25% and applies Sunder 1 turn (once per battle)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280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14</v>
      </c>
      <c r="C15" s="4">
        <f>INT((B15-10)/2)</f>
        <v/>
      </c>
    </row>
    <row r="16">
      <c r="A16" s="6" t="inlineStr">
        <is>
          <t>Constitution (CON)</t>
        </is>
      </c>
      <c r="B16" s="4" t="n">
        <v>14</v>
      </c>
      <c r="C16" s="4">
        <f>INT((B16-10)/2)</f>
        <v/>
      </c>
    </row>
    <row r="17">
      <c r="A17" s="6" t="inlineStr">
        <is>
          <t>Dexterity (DEX)</t>
        </is>
      </c>
      <c r="B17" s="4" t="n">
        <v>15</v>
      </c>
      <c r="C17" s="4">
        <f>INT((B17-10)/2)</f>
        <v/>
      </c>
    </row>
    <row r="18">
      <c r="A18" s="6" t="inlineStr">
        <is>
          <t>Magic (MAG)</t>
        </is>
      </c>
      <c r="B18" s="4" t="n">
        <v>8</v>
      </c>
      <c r="C18" s="4">
        <f>INT((B18-10)/2)</f>
        <v/>
      </c>
    </row>
    <row r="19">
      <c r="A19" s="6" t="inlineStr">
        <is>
          <t>Charisma (CHA)</t>
        </is>
      </c>
      <c r="B19" s="4" t="n">
        <v>10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58</v>
      </c>
    </row>
    <row r="23">
      <c r="A23" s="3" t="inlineStr">
        <is>
          <t>Health Growth</t>
        </is>
      </c>
      <c r="B23" s="4" t="n">
        <v>4</v>
      </c>
    </row>
    <row r="24">
      <c r="A24" s="3" t="inlineStr">
        <is>
          <t>Mana Class Bonus</t>
        </is>
      </c>
      <c r="B24" s="4" t="n">
        <v>8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Chain Palm</t>
        </is>
      </c>
      <c r="B36" s="4" t="n">
        <v>1</v>
      </c>
      <c r="C36" s="4" t="n">
        <v>1</v>
      </c>
      <c r="D36" s="4" t="n">
        <v>2</v>
      </c>
      <c r="E36" s="4" t="n">
        <v>2</v>
      </c>
      <c r="F36" s="7" t="inlineStr">
        <is>
          <t>MultiHit</t>
        </is>
      </c>
    </row>
    <row r="37">
      <c r="A37" s="4" t="inlineStr">
        <is>
          <t>Ki-burst Punch</t>
        </is>
      </c>
      <c r="B37" s="4" t="n">
        <v>1</v>
      </c>
      <c r="C37" s="4" t="n">
        <v>1</v>
      </c>
      <c r="D37" s="4" t="n">
        <v>3</v>
      </c>
      <c r="E37" s="4" t="n">
        <v>5</v>
      </c>
      <c r="F37" s="7" t="inlineStr">
        <is>
          <t>Knockback</t>
        </is>
      </c>
    </row>
    <row r="38">
      <c r="A38" s="4" t="inlineStr">
        <is>
          <t>Afterimage Step</t>
        </is>
      </c>
      <c r="B38" s="4" t="n">
        <v>1</v>
      </c>
      <c r="C38" s="4" t="n">
        <v>1</v>
      </c>
      <c r="D38" s="4" t="n">
        <v>1</v>
      </c>
      <c r="E38" s="4" t="n">
        <v>3</v>
      </c>
      <c r="F38" s="7" t="inlineStr">
        <is>
          <t>Evasion (EVA) +30%</t>
        </is>
      </c>
    </row>
    <row r="39">
      <c r="A39" s="4" t="inlineStr">
        <is>
          <t>Breaking Fist</t>
        </is>
      </c>
      <c r="B39" s="4" t="n">
        <v>1</v>
      </c>
      <c r="C39" s="4" t="n">
        <v>1</v>
      </c>
      <c r="D39" s="4" t="n">
        <v>2</v>
      </c>
      <c r="E39" s="4" t="n">
        <v>4</v>
      </c>
      <c r="F39" s="7" t="inlineStr">
        <is>
          <t>Sunder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Gauntlets</t>
        </is>
      </c>
      <c r="B46" s="4" t="inlineStr">
        <is>
          <t>+1</t>
        </is>
      </c>
      <c r="C46" s="7" t="inlineStr">
        <is>
          <t>1d6+Dexterity</t>
        </is>
      </c>
      <c r="D46" s="16" t="n"/>
      <c r="E46" s="16" t="n"/>
      <c r="F46" s="17" t="n"/>
    </row>
    <row r="47">
      <c r="A47" s="6" t="inlineStr">
        <is>
          <t>Leather Armor</t>
        </is>
      </c>
      <c r="B47" s="4" t="inlineStr"/>
      <c r="C47" s="7" t="inlineStr">
        <is>
          <t>Armor Class (AC) +2</t>
        </is>
      </c>
      <c r="D47" s="16" t="n"/>
      <c r="E47" s="16" t="n"/>
      <c r="F47" s="17" t="n"/>
    </row>
    <row r="48">
      <c r="A48" s="6" t="inlineStr"/>
      <c r="B48" s="4" t="inlineStr"/>
      <c r="C48" s="7" t="inlineStr"/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Mage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Mille</t>
        </is>
      </c>
    </row>
    <row r="4">
      <c r="D4" s="12" t="n"/>
      <c r="E4" t="inlineStr">
        <is>
          <t>Race</t>
        </is>
      </c>
      <c r="F4" t="inlineStr">
        <is>
          <t>Elf</t>
        </is>
      </c>
    </row>
    <row r="5">
      <c r="D5" s="12" t="n"/>
      <c r="E5" s="3" t="inlineStr">
        <is>
          <t>Class</t>
        </is>
      </c>
      <c r="F5" s="4" t="inlineStr">
        <is>
          <t>Mage</t>
        </is>
      </c>
    </row>
    <row r="6">
      <c r="D6" s="12" t="n"/>
      <c r="E6" s="3" t="inlineStr">
        <is>
          <t>Origin Background</t>
        </is>
      </c>
      <c r="F6" s="4" t="inlineStr">
        <is>
          <t>Scholar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Ruri Starhymn</t>
        </is>
      </c>
    </row>
    <row r="8">
      <c r="E8" s="3" t="inlineStr">
        <is>
          <t>Racial Trait</t>
        </is>
      </c>
      <c r="F8" s="4" t="inlineStr">
        <is>
          <t>Starhymn Blood: ranged range +1 square; Forest/Night Evasion (EVA) +2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260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8</v>
      </c>
      <c r="C15" s="4">
        <f>INT((B15-10)/2)</f>
        <v/>
      </c>
    </row>
    <row r="16">
      <c r="A16" s="6" t="inlineStr">
        <is>
          <t>Constitution (CON)</t>
        </is>
      </c>
      <c r="B16" s="4" t="n">
        <v>10</v>
      </c>
      <c r="C16" s="4">
        <f>INT((B16-10)/2)</f>
        <v/>
      </c>
    </row>
    <row r="17">
      <c r="A17" s="6" t="inlineStr">
        <is>
          <t>Dexterity (DEX)</t>
        </is>
      </c>
      <c r="B17" s="4" t="n">
        <v>13</v>
      </c>
      <c r="C17" s="4">
        <f>INT((B17-10)/2)</f>
        <v/>
      </c>
    </row>
    <row r="18">
      <c r="A18" s="6" t="inlineStr">
        <is>
          <t>Magic (MAG)</t>
        </is>
      </c>
      <c r="B18" s="4" t="n">
        <v>17</v>
      </c>
      <c r="C18" s="4">
        <f>INT((B18-10)/2)</f>
        <v/>
      </c>
    </row>
    <row r="19">
      <c r="A19" s="6" t="inlineStr">
        <is>
          <t>Charisma (CHA)</t>
        </is>
      </c>
      <c r="B19" s="4" t="n">
        <v>10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35</v>
      </c>
    </row>
    <row r="23">
      <c r="A23" s="3" t="inlineStr">
        <is>
          <t>Health Growth</t>
        </is>
      </c>
      <c r="B23" s="4" t="n">
        <v>2</v>
      </c>
    </row>
    <row r="24">
      <c r="A24" s="3" t="inlineStr">
        <is>
          <t>Mana Class Bonus</t>
        </is>
      </c>
      <c r="B24" s="4" t="n">
        <v>20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Fireball</t>
        </is>
      </c>
      <c r="B36" s="4" t="n">
        <v>1</v>
      </c>
      <c r="C36" s="4" t="n">
        <v>1</v>
      </c>
      <c r="D36" s="4" t="n">
        <v>2</v>
      </c>
      <c r="E36" s="4" t="n">
        <v>6</v>
      </c>
      <c r="F36" s="7" t="inlineStr">
        <is>
          <t>Burn</t>
        </is>
      </c>
    </row>
    <row r="37">
      <c r="A37" s="4" t="inlineStr">
        <is>
          <t>Frost Nova</t>
        </is>
      </c>
      <c r="B37" s="4" t="n">
        <v>1</v>
      </c>
      <c r="C37" s="4" t="n">
        <v>1</v>
      </c>
      <c r="D37" s="4" t="n">
        <v>3</v>
      </c>
      <c r="E37" s="4" t="n">
        <v>8</v>
      </c>
      <c r="F37" s="7" t="inlineStr">
        <is>
          <t>Chill Area Effect (AOE)</t>
        </is>
      </c>
    </row>
    <row r="38">
      <c r="A38" s="4" t="inlineStr">
        <is>
          <t>Lightning Chain</t>
        </is>
      </c>
      <c r="B38" s="4" t="n">
        <v>1</v>
      </c>
      <c r="C38" s="4" t="n">
        <v>1</v>
      </c>
      <c r="D38" s="4" t="n">
        <v>2</v>
      </c>
      <c r="E38" s="4" t="n">
        <v>7</v>
      </c>
      <c r="F38" s="7" t="inlineStr">
        <is>
          <t>Chain</t>
        </is>
      </c>
    </row>
    <row r="39">
      <c r="A39" s="4" t="inlineStr">
        <is>
          <t>Mana Surge</t>
        </is>
      </c>
      <c r="B39" s="4" t="n">
        <v>1</v>
      </c>
      <c r="C39" s="4" t="n">
        <v>1</v>
      </c>
      <c r="D39" s="4" t="n">
        <v>1</v>
      </c>
      <c r="E39" s="4" t="n">
        <v>0</v>
      </c>
      <c r="F39" s="7" t="inlineStr">
        <is>
          <t>Restore Mana Point (MP)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Staff</t>
        </is>
      </c>
      <c r="B46" s="4" t="inlineStr">
        <is>
          <t>+1</t>
        </is>
      </c>
      <c r="C46" s="7" t="inlineStr">
        <is>
          <t>Magic +1</t>
        </is>
      </c>
      <c r="D46" s="16" t="n"/>
      <c r="E46" s="16" t="n"/>
      <c r="F46" s="17" t="n"/>
    </row>
    <row r="47">
      <c r="A47" s="6" t="inlineStr">
        <is>
          <t>Robe</t>
        </is>
      </c>
      <c r="B47" s="4" t="inlineStr"/>
      <c r="C47" s="7" t="inlineStr">
        <is>
          <t>Armor Class (AC) +1</t>
        </is>
      </c>
      <c r="D47" s="16" t="n"/>
      <c r="E47" s="16" t="n"/>
      <c r="F47" s="17" t="n"/>
    </row>
    <row r="48">
      <c r="A48" s="6" t="inlineStr">
        <is>
          <t>Mana Charm</t>
        </is>
      </c>
      <c r="B48" s="4" t="inlineStr"/>
      <c r="C48" s="7" t="inlineStr">
        <is>
          <t>Mana Point (MP) +5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Cleric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Sera</t>
        </is>
      </c>
    </row>
    <row r="4">
      <c r="D4" s="12" t="n"/>
      <c r="E4" t="inlineStr">
        <is>
          <t>Race</t>
        </is>
      </c>
      <c r="F4" t="inlineStr">
        <is>
          <t>Human</t>
        </is>
      </c>
    </row>
    <row r="5">
      <c r="D5" s="12" t="n"/>
      <c r="E5" s="3" t="inlineStr">
        <is>
          <t>Class</t>
        </is>
      </c>
      <c r="F5" s="4" t="inlineStr">
        <is>
          <t>Cleric</t>
        </is>
      </c>
    </row>
    <row r="6">
      <c r="D6" s="12" t="n"/>
      <c r="E6" s="3" t="inlineStr">
        <is>
          <t>Origin Background</t>
        </is>
      </c>
      <c r="F6" s="4" t="inlineStr">
        <is>
          <t>Temple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Sephi Kindlight</t>
        </is>
      </c>
    </row>
    <row r="8">
      <c r="E8" s="3" t="inlineStr">
        <is>
          <t>Racial Trait</t>
        </is>
      </c>
      <c r="F8" s="4" t="inlineStr">
        <is>
          <t>Adapter: on threshold/level checks, 1 attribute counts as +1 (once per long rest)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270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10</v>
      </c>
      <c r="C15" s="4">
        <f>INT((B15-10)/2)</f>
        <v/>
      </c>
    </row>
    <row r="16">
      <c r="A16" s="6" t="inlineStr">
        <is>
          <t>Constitution (CON)</t>
        </is>
      </c>
      <c r="B16" s="4" t="n">
        <v>12</v>
      </c>
      <c r="C16" s="4">
        <f>INT((B16-10)/2)</f>
        <v/>
      </c>
    </row>
    <row r="17">
      <c r="A17" s="6" t="inlineStr">
        <is>
          <t>Dexterity (DEX)</t>
        </is>
      </c>
      <c r="B17" s="4" t="n">
        <v>10</v>
      </c>
      <c r="C17" s="4">
        <f>INT((B17-10)/2)</f>
        <v/>
      </c>
    </row>
    <row r="18">
      <c r="A18" s="6" t="inlineStr">
        <is>
          <t>Magic (MAG)</t>
        </is>
      </c>
      <c r="B18" s="4" t="n">
        <v>15</v>
      </c>
      <c r="C18" s="4">
        <f>INT((B18-10)/2)</f>
        <v/>
      </c>
    </row>
    <row r="19">
      <c r="A19" s="6" t="inlineStr">
        <is>
          <t>Charisma (CHA)</t>
        </is>
      </c>
      <c r="B19" s="4" t="n">
        <v>13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48</v>
      </c>
    </row>
    <row r="23">
      <c r="A23" s="3" t="inlineStr">
        <is>
          <t>Health Growth</t>
        </is>
      </c>
      <c r="B23" s="4" t="n">
        <v>3</v>
      </c>
    </row>
    <row r="24">
      <c r="A24" s="3" t="inlineStr">
        <is>
          <t>Mana Class Bonus</t>
        </is>
      </c>
      <c r="B24" s="4" t="n">
        <v>12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Healing Light</t>
        </is>
      </c>
      <c r="B36" s="4" t="n">
        <v>1</v>
      </c>
      <c r="C36" s="4" t="n">
        <v>1</v>
      </c>
      <c r="D36" s="4" t="n">
        <v>2</v>
      </c>
      <c r="E36" s="4" t="n">
        <v>6</v>
      </c>
      <c r="F36" s="7" t="inlineStr">
        <is>
          <t>Heal</t>
        </is>
      </c>
    </row>
    <row r="37">
      <c r="A37" s="4" t="inlineStr">
        <is>
          <t>Group Prayer</t>
        </is>
      </c>
      <c r="B37" s="4" t="n">
        <v>1</v>
      </c>
      <c r="C37" s="4" t="n">
        <v>1</v>
      </c>
      <c r="D37" s="4" t="n">
        <v>3</v>
      </c>
      <c r="E37" s="4" t="n">
        <v>10</v>
      </c>
      <c r="F37" s="7" t="inlineStr">
        <is>
          <t>Group Heal</t>
        </is>
      </c>
    </row>
    <row r="38">
      <c r="A38" s="4" t="inlineStr">
        <is>
          <t>Warding Aegis</t>
        </is>
      </c>
      <c r="B38" s="4" t="n">
        <v>1</v>
      </c>
      <c r="C38" s="4" t="n">
        <v>1</v>
      </c>
      <c r="D38" s="4" t="n">
        <v>2</v>
      </c>
      <c r="E38" s="4" t="n">
        <v>5</v>
      </c>
      <c r="F38" s="7" t="inlineStr">
        <is>
          <t>Shield</t>
        </is>
      </c>
    </row>
    <row r="39">
      <c r="A39" s="4" t="inlineStr">
        <is>
          <t>Purify</t>
        </is>
      </c>
      <c r="B39" s="4" t="n">
        <v>1</v>
      </c>
      <c r="C39" s="4" t="n">
        <v>1</v>
      </c>
      <c r="D39" s="4" t="n">
        <v>1</v>
      </c>
      <c r="E39" s="4" t="n">
        <v>4</v>
      </c>
      <c r="F39" s="7" t="inlineStr">
        <is>
          <t>Remove Status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Scepter</t>
        </is>
      </c>
      <c r="B46" s="4" t="inlineStr">
        <is>
          <t>+1</t>
        </is>
      </c>
      <c r="C46" s="7" t="inlineStr">
        <is>
          <t>Magic +1</t>
        </is>
      </c>
      <c r="D46" s="16" t="n"/>
      <c r="E46" s="16" t="n"/>
      <c r="F46" s="17" t="n"/>
    </row>
    <row r="47">
      <c r="A47" s="6" t="inlineStr">
        <is>
          <t>Vestment</t>
        </is>
      </c>
      <c r="B47" s="4" t="inlineStr"/>
      <c r="C47" s="7" t="inlineStr">
        <is>
          <t>Armor Class (AC) +1</t>
        </is>
      </c>
      <c r="D47" s="16" t="n"/>
      <c r="E47" s="16" t="n"/>
      <c r="F47" s="17" t="n"/>
    </row>
    <row r="48">
      <c r="A48" s="6" t="inlineStr">
        <is>
          <t>Holy Symbol</t>
        </is>
      </c>
      <c r="B48" s="4" t="inlineStr"/>
      <c r="C48" s="7" t="inlineStr">
        <is>
          <t>Heal +1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Thief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Kain</t>
        </is>
      </c>
    </row>
    <row r="4">
      <c r="D4" s="12" t="n"/>
      <c r="E4" t="inlineStr">
        <is>
          <t>Race</t>
        </is>
      </c>
      <c r="F4" t="inlineStr">
        <is>
          <t>Fairy</t>
        </is>
      </c>
    </row>
    <row r="5">
      <c r="D5" s="12" t="n"/>
      <c r="E5" s="3" t="inlineStr">
        <is>
          <t>Class</t>
        </is>
      </c>
      <c r="F5" s="4" t="inlineStr">
        <is>
          <t>Thief</t>
        </is>
      </c>
    </row>
    <row r="6">
      <c r="D6" s="12" t="n"/>
      <c r="E6" s="3" t="inlineStr">
        <is>
          <t>Origin Background</t>
        </is>
      </c>
      <c r="F6" s="4" t="inlineStr">
        <is>
          <t>Townsfolk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Night Sparrow Shadowstitch</t>
        </is>
      </c>
    </row>
    <row r="8">
      <c r="E8" s="3" t="inlineStr">
        <is>
          <t>Racial Trait</t>
        </is>
      </c>
      <c r="F8" s="4" t="inlineStr">
        <is>
          <t>Thin-wing Flight: movement +1, can cross terrain, Evasion (EVA) permanent +1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320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10</v>
      </c>
      <c r="C15" s="4">
        <f>INT((B15-10)/2)</f>
        <v/>
      </c>
    </row>
    <row r="16">
      <c r="A16" s="6" t="inlineStr">
        <is>
          <t>Constitution (CON)</t>
        </is>
      </c>
      <c r="B16" s="4" t="n">
        <v>11</v>
      </c>
      <c r="C16" s="4">
        <f>INT((B16-10)/2)</f>
        <v/>
      </c>
    </row>
    <row r="17">
      <c r="A17" s="6" t="inlineStr">
        <is>
          <t>Dexterity (DEX)</t>
        </is>
      </c>
      <c r="B17" s="4" t="n">
        <v>17</v>
      </c>
      <c r="C17" s="4">
        <f>INT((B17-10)/2)</f>
        <v/>
      </c>
    </row>
    <row r="18">
      <c r="A18" s="6" t="inlineStr">
        <is>
          <t>Magic (MAG)</t>
        </is>
      </c>
      <c r="B18" s="4" t="n">
        <v>8</v>
      </c>
      <c r="C18" s="4">
        <f>INT((B18-10)/2)</f>
        <v/>
      </c>
    </row>
    <row r="19">
      <c r="A19" s="6" t="inlineStr">
        <is>
          <t>Charisma (CHA)</t>
        </is>
      </c>
      <c r="B19" s="4" t="n">
        <v>11</v>
      </c>
      <c r="C19" s="4">
        <f>INT((B19-10)/2)</f>
        <v/>
      </c>
    </row>
    <row r="20">
      <c r="A20" s="6" t="inlineStr">
        <is>
          <t>Luck (LUK)</t>
        </is>
      </c>
      <c r="B20" s="4" t="n">
        <v>13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45</v>
      </c>
    </row>
    <row r="23">
      <c r="A23" s="3" t="inlineStr">
        <is>
          <t>Health Growth</t>
        </is>
      </c>
      <c r="B23" s="4" t="n">
        <v>3</v>
      </c>
    </row>
    <row r="24">
      <c r="A24" s="3" t="inlineStr">
        <is>
          <t>Mana Class Bonus</t>
        </is>
      </c>
      <c r="B24" s="4" t="n">
        <v>4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Backstab</t>
        </is>
      </c>
      <c r="B36" s="4" t="n">
        <v>1</v>
      </c>
      <c r="C36" s="4" t="n">
        <v>1</v>
      </c>
      <c r="D36" s="4" t="n">
        <v>2</v>
      </c>
      <c r="E36" s="4" t="n">
        <v>2</v>
      </c>
      <c r="F36" s="7" t="inlineStr">
        <is>
          <t>Flank/rear guaranteed crit</t>
        </is>
      </c>
    </row>
    <row r="37">
      <c r="A37" s="4" t="inlineStr">
        <is>
          <t>Smoke Bomb</t>
        </is>
      </c>
      <c r="B37" s="4" t="n">
        <v>1</v>
      </c>
      <c r="C37" s="4" t="n">
        <v>1</v>
      </c>
      <c r="D37" s="4" t="n">
        <v>1</v>
      </c>
      <c r="E37" s="4" t="n">
        <v>3</v>
      </c>
      <c r="F37" s="7" t="inlineStr">
        <is>
          <t>Evasion (EVA) -20%</t>
        </is>
      </c>
    </row>
    <row r="38">
      <c r="A38" s="4" t="inlineStr">
        <is>
          <t>Deadly Venom Blade</t>
        </is>
      </c>
      <c r="B38" s="4" t="n">
        <v>1</v>
      </c>
      <c r="C38" s="4" t="n">
        <v>1</v>
      </c>
      <c r="D38" s="4" t="n">
        <v>2</v>
      </c>
      <c r="E38" s="4" t="n">
        <v>4</v>
      </c>
      <c r="F38" s="7" t="inlineStr">
        <is>
          <t>Poison</t>
        </is>
      </c>
    </row>
    <row r="39">
      <c r="A39" s="4" t="inlineStr">
        <is>
          <t>Shadow Clone</t>
        </is>
      </c>
      <c r="B39" s="4" t="n">
        <v>1</v>
      </c>
      <c r="C39" s="4" t="n">
        <v>1</v>
      </c>
      <c r="D39" s="4" t="n">
        <v>3</v>
      </c>
      <c r="E39" s="4" t="n">
        <v>6</v>
      </c>
      <c r="F39" s="7" t="inlineStr">
        <is>
          <t>+1 Attack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Dagger</t>
        </is>
      </c>
      <c r="B46" s="4" t="inlineStr">
        <is>
          <t>+2</t>
        </is>
      </c>
      <c r="C46" s="7" t="inlineStr">
        <is>
          <t>1d6+Dexterity</t>
        </is>
      </c>
      <c r="D46" s="16" t="n"/>
      <c r="E46" s="16" t="n"/>
      <c r="F46" s="17" t="n"/>
    </row>
    <row r="47">
      <c r="A47" s="6" t="inlineStr">
        <is>
          <t>Leather Armor</t>
        </is>
      </c>
      <c r="B47" s="4" t="inlineStr"/>
      <c r="C47" s="7" t="inlineStr">
        <is>
          <t>Armor Class (AC) +2</t>
        </is>
      </c>
      <c r="D47" s="16" t="n"/>
      <c r="E47" s="16" t="n"/>
      <c r="F47" s="17" t="n"/>
    </row>
    <row r="48">
      <c r="A48" s="6" t="inlineStr"/>
      <c r="B48" s="4" t="inlineStr"/>
      <c r="C48" s="7" t="inlineStr"/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Hunter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Silva</t>
        </is>
      </c>
    </row>
    <row r="4">
      <c r="D4" s="12" t="n"/>
      <c r="E4" t="inlineStr">
        <is>
          <t>Race</t>
        </is>
      </c>
      <c r="F4" t="inlineStr">
        <is>
          <t>Elf</t>
        </is>
      </c>
    </row>
    <row r="5">
      <c r="D5" s="12" t="n"/>
      <c r="E5" s="3" t="inlineStr">
        <is>
          <t>Class</t>
        </is>
      </c>
      <c r="F5" s="4" t="inlineStr">
        <is>
          <t>Hunter</t>
        </is>
      </c>
    </row>
    <row r="6">
      <c r="D6" s="12" t="n"/>
      <c r="E6" s="3" t="inlineStr">
        <is>
          <t>Origin Background</t>
        </is>
      </c>
      <c r="F6" s="4" t="inlineStr">
        <is>
          <t>Woodland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Blue Wolf Windfade</t>
        </is>
      </c>
    </row>
    <row r="8">
      <c r="E8" s="3" t="inlineStr">
        <is>
          <t>Racial Trait</t>
        </is>
      </c>
      <c r="F8" s="4" t="inlineStr">
        <is>
          <t>Starhymn Blood: ranged range +1 square; Forest/Night Evasion (EVA) +2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290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10</v>
      </c>
      <c r="C15" s="4">
        <f>INT((B15-10)/2)</f>
        <v/>
      </c>
    </row>
    <row r="16">
      <c r="A16" s="6" t="inlineStr">
        <is>
          <t>Constitution (CON)</t>
        </is>
      </c>
      <c r="B16" s="4" t="n">
        <v>12</v>
      </c>
      <c r="C16" s="4">
        <f>INT((B16-10)/2)</f>
        <v/>
      </c>
    </row>
    <row r="17">
      <c r="A17" s="6" t="inlineStr">
        <is>
          <t>Dexterity (DEX)</t>
        </is>
      </c>
      <c r="B17" s="4" t="n">
        <v>16</v>
      </c>
      <c r="C17" s="4">
        <f>INT((B17-10)/2)</f>
        <v/>
      </c>
    </row>
    <row r="18">
      <c r="A18" s="6" t="inlineStr">
        <is>
          <t>Magic (MAG)</t>
        </is>
      </c>
      <c r="B18" s="4" t="n">
        <v>14</v>
      </c>
      <c r="C18" s="4">
        <f>INT((B18-10)/2)</f>
        <v/>
      </c>
    </row>
    <row r="19">
      <c r="A19" s="6" t="inlineStr">
        <is>
          <t>Charisma (CHA)</t>
        </is>
      </c>
      <c r="B19" s="4" t="n">
        <v>10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50</v>
      </c>
    </row>
    <row r="23">
      <c r="A23" s="3" t="inlineStr">
        <is>
          <t>Health Growth</t>
        </is>
      </c>
      <c r="B23" s="4" t="n">
        <v>3</v>
      </c>
    </row>
    <row r="24">
      <c r="A24" s="3" t="inlineStr">
        <is>
          <t>Mana Class Bonus</t>
        </is>
      </c>
      <c r="B24" s="4" t="n">
        <v>6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Precise Shot</t>
        </is>
      </c>
      <c r="B36" s="4" t="n">
        <v>1</v>
      </c>
      <c r="C36" s="4" t="n">
        <v>1</v>
      </c>
      <c r="D36" s="4" t="n">
        <v>2</v>
      </c>
      <c r="E36" s="4" t="n">
        <v>3</v>
      </c>
      <c r="F36" s="7" t="inlineStr">
        <is>
          <t>Ranged Single-target</t>
        </is>
      </c>
    </row>
    <row r="37">
      <c r="A37" s="4" t="inlineStr">
        <is>
          <t>Windfade Step</t>
        </is>
      </c>
      <c r="B37" s="4" t="n">
        <v>1</v>
      </c>
      <c r="C37" s="4" t="n">
        <v>1</v>
      </c>
      <c r="D37" s="4" t="n">
        <v>1</v>
      </c>
      <c r="E37" s="4" t="n">
        <v>3</v>
      </c>
      <c r="F37" s="7" t="inlineStr">
        <is>
          <t>Displacement</t>
        </is>
      </c>
    </row>
    <row r="38">
      <c r="A38" s="4" t="inlineStr">
        <is>
          <t>Trap</t>
        </is>
      </c>
      <c r="B38" s="4" t="n">
        <v>1</v>
      </c>
      <c r="C38" s="4" t="n">
        <v>1</v>
      </c>
      <c r="D38" s="4" t="n">
        <v>2</v>
      </c>
      <c r="E38" s="4" t="n">
        <v>4</v>
      </c>
      <c r="F38" s="7" t="inlineStr">
        <is>
          <t>Immobilize</t>
        </is>
      </c>
    </row>
    <row r="39">
      <c r="A39" s="4" t="inlineStr">
        <is>
          <t>Beast Taming</t>
        </is>
      </c>
      <c r="B39" s="4" t="n">
        <v>1</v>
      </c>
      <c r="C39" s="4" t="n">
        <v>1</v>
      </c>
      <c r="D39" s="4" t="n">
        <v>1</v>
      </c>
      <c r="E39" s="4" t="n">
        <v>2</v>
      </c>
      <c r="F39" s="7" t="inlineStr">
        <is>
          <t>Summon Support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Longbow</t>
        </is>
      </c>
      <c r="B46" s="4" t="inlineStr">
        <is>
          <t>+1</t>
        </is>
      </c>
      <c r="C46" s="7" t="inlineStr">
        <is>
          <t>1d8+Dexterity (Ranged)</t>
        </is>
      </c>
      <c r="D46" s="16" t="n"/>
      <c r="E46" s="16" t="n"/>
      <c r="F46" s="17" t="n"/>
    </row>
    <row r="47">
      <c r="A47" s="6" t="inlineStr">
        <is>
          <t>Light Leather Armor</t>
        </is>
      </c>
      <c r="B47" s="4" t="inlineStr"/>
      <c r="C47" s="7" t="inlineStr">
        <is>
          <t>DR 10% Physical</t>
        </is>
      </c>
      <c r="D47" s="16" t="n"/>
      <c r="E47" s="16" t="n"/>
      <c r="F47" s="17" t="n"/>
    </row>
    <row r="48">
      <c r="A48" s="6" t="inlineStr">
        <is>
          <t>Hunter's Cloak</t>
        </is>
      </c>
      <c r="B48" s="4" t="inlineStr"/>
      <c r="C48" s="7" t="inlineStr">
        <is>
          <t>Evasion (EVA) +1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 — Example · Dancer</t>
        </is>
      </c>
    </row>
    <row r="2"/>
    <row r="3">
      <c r="A3" s="12" t="n"/>
      <c r="D3" s="12" t="n"/>
      <c r="E3" s="3" t="inlineStr">
        <is>
          <t>Character Name</t>
        </is>
      </c>
      <c r="F3" s="4" t="inlineStr">
        <is>
          <t>Vera</t>
        </is>
      </c>
    </row>
    <row r="4">
      <c r="D4" s="12" t="n"/>
      <c r="E4" t="inlineStr">
        <is>
          <t>Race</t>
        </is>
      </c>
      <c r="F4" t="inlineStr">
        <is>
          <t>Demon</t>
        </is>
      </c>
    </row>
    <row r="5">
      <c r="D5" s="12" t="n"/>
      <c r="E5" s="3" t="inlineStr">
        <is>
          <t>Class</t>
        </is>
      </c>
      <c r="F5" s="4" t="inlineStr">
        <is>
          <t>Dancer</t>
        </is>
      </c>
    </row>
    <row r="6">
      <c r="D6" s="12" t="n"/>
      <c r="E6" s="3" t="inlineStr">
        <is>
          <t>Origin Background</t>
        </is>
      </c>
      <c r="F6" s="4" t="inlineStr">
        <is>
          <t>Townsfolk</t>
        </is>
      </c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>
        <is>
          <t>Ayane Rainbowecho</t>
        </is>
      </c>
    </row>
    <row r="8">
      <c r="E8" s="3" t="inlineStr">
        <is>
          <t>Racial Trait</t>
        </is>
      </c>
      <c r="F8" s="4" t="inlineStr">
        <is>
          <t>Darkflame Resistance: Shadow/Fire damage ×0.5; Charm/Fear resistance +10%</t>
        </is>
      </c>
    </row>
    <row r="9">
      <c r="E9" t="inlineStr">
        <is>
          <t>Character Level (CL)</t>
        </is>
      </c>
      <c r="F9" t="n">
        <v>5</v>
      </c>
    </row>
    <row r="10">
      <c r="E10" s="3" t="inlineStr">
        <is>
          <t>Class Level (ClassLv)</t>
        </is>
      </c>
      <c r="F10" s="4" t="n">
        <v>5</v>
      </c>
    </row>
    <row r="11">
      <c r="E11" s="3" t="inlineStr">
        <is>
          <t>Skill Points (SP) Remaining</t>
        </is>
      </c>
      <c r="F11" s="4" t="n">
        <v>20</v>
      </c>
    </row>
    <row r="12">
      <c r="E12" s="3" t="inlineStr">
        <is>
          <t>Gold (G)</t>
        </is>
      </c>
      <c r="F12" s="4" t="n">
        <v>270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8</v>
      </c>
      <c r="C15" s="4">
        <f>INT((B15-10)/2)</f>
        <v/>
      </c>
    </row>
    <row r="16">
      <c r="A16" s="6" t="inlineStr">
        <is>
          <t>Constitution (CON)</t>
        </is>
      </c>
      <c r="B16" s="4" t="n">
        <v>11</v>
      </c>
      <c r="C16" s="4">
        <f>INT((B16-10)/2)</f>
        <v/>
      </c>
    </row>
    <row r="17">
      <c r="A17" s="6" t="inlineStr">
        <is>
          <t>Dexterity (DEX)</t>
        </is>
      </c>
      <c r="B17" s="4" t="n">
        <v>12</v>
      </c>
      <c r="C17" s="4">
        <f>INT((B17-10)/2)</f>
        <v/>
      </c>
    </row>
    <row r="18">
      <c r="A18" s="6" t="inlineStr">
        <is>
          <t>Magic (MAG)</t>
        </is>
      </c>
      <c r="B18" s="4" t="n">
        <v>11</v>
      </c>
      <c r="C18" s="4">
        <f>INT((B18-10)/2)</f>
        <v/>
      </c>
    </row>
    <row r="19">
      <c r="A19" s="6" t="inlineStr">
        <is>
          <t>Charisma (CHA)</t>
        </is>
      </c>
      <c r="B19" s="4" t="n">
        <v>17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38</v>
      </c>
    </row>
    <row r="23">
      <c r="A23" s="3" t="inlineStr">
        <is>
          <t>Health Growth</t>
        </is>
      </c>
      <c r="B23" s="4" t="n">
        <v>2</v>
      </c>
    </row>
    <row r="24">
      <c r="A24" s="3" t="inlineStr">
        <is>
          <t>Mana Class Bonus</t>
        </is>
      </c>
      <c r="B24" s="4" t="n">
        <v>15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B22+(B23+C16)*(F9-1)</f>
        <v/>
      </c>
    </row>
    <row r="30">
      <c r="A30" s="6" t="inlineStr">
        <is>
          <t>Mana Point (MP) Maximum</t>
        </is>
      </c>
      <c r="B30" s="4">
        <f>10+B16*2+B24</f>
        <v/>
      </c>
    </row>
    <row r="31">
      <c r="A31" s="6" t="inlineStr">
        <is>
          <t>Action Point (AP) Maximum</t>
        </is>
      </c>
      <c r="B31" s="4">
        <f>2+FLOOR(B17/4,1)</f>
        <v/>
      </c>
    </row>
    <row r="32">
      <c r="A32" s="6" t="inlineStr">
        <is>
          <t>Evasion (EVA) Base</t>
        </is>
      </c>
      <c r="B32" s="4">
        <f>10+C17+B25+B26</f>
        <v/>
      </c>
    </row>
    <row r="33">
      <c r="A33" s="6" t="inlineStr">
        <is>
          <t>Hit Bonus (Melee) Base</t>
        </is>
      </c>
      <c r="B33" s="4">
        <f>C15+B27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>
        <is>
          <t>Battle Cheer</t>
        </is>
      </c>
      <c r="B36" s="4" t="n">
        <v>1</v>
      </c>
      <c r="C36" s="4" t="n">
        <v>1</v>
      </c>
      <c r="D36" s="4" t="n">
        <v>1</v>
      </c>
      <c r="E36" s="4" t="n">
        <v>2</v>
      </c>
      <c r="F36" s="7" t="inlineStr">
        <is>
          <t>Whole party ATK+10%</t>
        </is>
      </c>
    </row>
    <row r="37">
      <c r="A37" s="4" t="inlineStr">
        <is>
          <t>Healing Dance</t>
        </is>
      </c>
      <c r="B37" s="4" t="n">
        <v>1</v>
      </c>
      <c r="C37" s="4" t="n">
        <v>1</v>
      </c>
      <c r="D37" s="4" t="n">
        <v>2</v>
      </c>
      <c r="E37" s="4" t="n">
        <v>5</v>
      </c>
      <c r="F37" s="7" t="inlineStr">
        <is>
          <t>Restore HP</t>
        </is>
      </c>
    </row>
    <row r="38">
      <c r="A38" s="4" t="inlineStr">
        <is>
          <t>Warding Waltz</t>
        </is>
      </c>
      <c r="B38" s="4" t="n">
        <v>1</v>
      </c>
      <c r="C38" s="4" t="n">
        <v>1</v>
      </c>
      <c r="D38" s="4" t="n">
        <v>2</v>
      </c>
      <c r="E38" s="4" t="n">
        <v>4</v>
      </c>
      <c r="F38" s="7" t="inlineStr">
        <is>
          <t>Guard Aura</t>
        </is>
      </c>
    </row>
    <row r="39">
      <c r="A39" s="4" t="inlineStr">
        <is>
          <t>Charm Melody</t>
        </is>
      </c>
      <c r="B39" s="4" t="n">
        <v>1</v>
      </c>
      <c r="C39" s="4" t="n">
        <v>1</v>
      </c>
      <c r="D39" s="4" t="n">
        <v>2</v>
      </c>
      <c r="E39" s="4" t="n">
        <v>3</v>
      </c>
      <c r="F39" s="7" t="inlineStr">
        <is>
          <t>Fear</t>
        </is>
      </c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Bardic Harp</t>
        </is>
      </c>
      <c r="B46" s="4" t="inlineStr">
        <is>
          <t>+1</t>
        </is>
      </c>
      <c r="C46" s="7" t="inlineStr">
        <is>
          <t>Casting Medium (Charisma (CHA))</t>
        </is>
      </c>
      <c r="D46" s="16" t="n"/>
      <c r="E46" s="16" t="n"/>
      <c r="F46" s="17" t="n"/>
    </row>
    <row r="47">
      <c r="A47" s="6" t="inlineStr">
        <is>
          <t>Light Leather Armor</t>
        </is>
      </c>
      <c r="B47" s="4" t="inlineStr"/>
      <c r="C47" s="7" t="inlineStr">
        <is>
          <t>DR 10% Physical</t>
        </is>
      </c>
      <c r="D47" s="16" t="n"/>
      <c r="E47" s="16" t="n"/>
      <c r="F47" s="17" t="n"/>
    </row>
    <row r="48">
      <c r="A48" s="6" t="inlineStr">
        <is>
          <t>Dance Shoes</t>
        </is>
      </c>
      <c r="B48" s="4" t="inlineStr"/>
      <c r="C48" s="7" t="inlineStr">
        <is>
          <t>Evasion (EVA) +1</t>
        </is>
      </c>
      <c r="D48" s="16" t="n"/>
      <c r="E48" s="16" t="n"/>
      <c r="F48" s="17" t="n"/>
    </row>
    <row r="49">
      <c r="A49" s="6" t="inlineStr"/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2026-08-09T05:10:33Z</dcterms:modified>
</cp:coreProperties>
</file>