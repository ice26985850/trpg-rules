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erTRPG_BlankEnemySheet" sheetId="1" state="visible" r:id="rId1"/>
    <sheet name="V5 Flagship" sheetId="2" state="visible" r:id="rId2"/>
    <sheet name="V5 Special Forces" sheetId="3" state="visible" r:id="rId3"/>
    <sheet name="V5 Destroyer" sheetId="4" state="visible" r:id="rId4"/>
    <sheet name="&quot;Shadow Step&quot; Erwin" sheetId="5" state="visible" r:id="rId5"/>
    <sheet name="&quot;Oath Fist&quot; Carlo" sheetId="6" state="visible" r:id="rId6"/>
    <sheet name="Ancient Tear Sea Guardian" sheetId="7" state="visible" r:id="rId7"/>
    <sheet name="Judge" sheetId="8" state="visible" r:id="rId8"/>
    <sheet name="Brion Combat Mech" sheetId="9" state="visible" r:id="rId9"/>
    <sheet name="Brion Command Mech" sheetId="10" state="visible" r:id="rId10"/>
    <sheet name="Phantom Troupe · Combatant A" sheetId="11" state="visible" r:id="rId11"/>
    <sheet name="Phantom Troupe · Support" sheetId="12" state="visible" r:id="rId12"/>
    <sheet name="Phantom Guardian" sheetId="13" state="visible" r:id="rId13"/>
    <sheet name="Toba (Rookie Killer)" sheetId="14" state="visible" r:id="rId14"/>
    <sheet name="Poison Frog Swarm" sheetId="15" state="visible" r:id="rId15"/>
    <sheet name="Abyssal Fang Abisaru" sheetId="16" state="visible" r:id="rId16"/>
    <sheet name="Crystal Guardian Beast" sheetId="17" state="visible" r:id="rId17"/>
    <sheet name="Crystal Dragon" sheetId="18" state="visible" r:id="rId18"/>
    <sheet name="Ging's Core" sheetId="19" state="visible" r:id="rId19"/>
    <sheet name="Abisaru · Husk" sheetId="20" state="visible" r:id="rId20"/>
    <sheet name="Two-tailed Snake Helbe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222222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222222"/>
        <bgColor rgb="00222222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right/>
      <bottom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7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 Character Sheet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5" t="inlineStr">
        <is>
          <t>Challenge Rating (CR)</t>
        </is>
      </c>
      <c r="C4" s="5" t="inlineStr">
        <is>
          <t>Type (Mook / Mid-boss / Boss)</t>
        </is>
      </c>
      <c r="D4" s="5" t="inlineStr">
        <is>
          <t>XP Reward</t>
        </is>
      </c>
      <c r="E4" t="inlineStr">
        <is>
          <t>Note: The XP Reward field = EP value (for encounter building); character XP is in the Player Handbook 2-9</t>
        </is>
      </c>
    </row>
    <row r="5">
      <c r="A5" s="6" t="n"/>
      <c r="B5" s="7" t="n"/>
      <c r="C5" s="7" t="n"/>
      <c r="D5" s="7" t="n"/>
    </row>
    <row r="6"/>
    <row r="7">
      <c r="A7" s="2" t="inlineStr">
        <is>
          <t>Combat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  <c r="D8" s="8" t="inlineStr">
        <is>
          <t>Attributes</t>
        </is>
      </c>
      <c r="E8" s="8" t="inlineStr">
        <is>
          <t>Value</t>
        </is>
      </c>
      <c r="F8" s="8" t="inlineStr">
        <is>
          <t>Modifier</t>
        </is>
      </c>
    </row>
    <row r="9">
      <c r="A9" s="5" t="inlineStr">
        <is>
          <t>Constitution Constitution (CON)</t>
        </is>
      </c>
      <c r="B9" s="7" t="n">
        <v>10</v>
      </c>
      <c r="C9" s="9">
        <f>FLOOR.MATH((B9-10)/2)</f>
        <v/>
      </c>
      <c r="D9" s="5" t="inlineStr">
        <is>
          <t>Intelligence Intelligence (INT)</t>
        </is>
      </c>
      <c r="E9" s="7" t="n">
        <v>10</v>
      </c>
      <c r="F9" s="9">
        <f>FLOOR.MATH((E9-10)/2)</f>
        <v/>
      </c>
    </row>
    <row r="10">
      <c r="A10" s="5" t="inlineStr">
        <is>
          <t>Dexterity Dexterity (DEX)</t>
        </is>
      </c>
      <c r="B10" s="7" t="n">
        <v>10</v>
      </c>
      <c r="C10" s="9">
        <f>FLOOR.MATH((B10-10)/2)</f>
        <v/>
      </c>
      <c r="D10" s="5" t="inlineStr">
        <is>
          <t>Perception Perception (PER)</t>
        </is>
      </c>
      <c r="E10" s="7" t="n">
        <v>10</v>
      </c>
      <c r="F10" s="9">
        <f>FLOOR.MATH((E10-10)/2)</f>
        <v/>
      </c>
    </row>
    <row r="11">
      <c r="A11" s="5" t="inlineStr">
        <is>
          <t>Willpower Willpower (WIL)</t>
        </is>
      </c>
      <c r="B11" s="7" t="n">
        <v>10</v>
      </c>
      <c r="C11" s="9">
        <f>FLOOR.MATH((B11-10)/2)</f>
        <v/>
      </c>
      <c r="D11" s="5" t="inlineStr">
        <is>
          <t>Charisma Charisma (CHA)</t>
        </is>
      </c>
      <c r="E11" s="7" t="n">
        <v>10</v>
      </c>
      <c r="F11" s="9">
        <f>FLOOR.MATH((E11-10)/2)</f>
        <v/>
      </c>
    </row>
    <row r="12"/>
    <row r="13"/>
    <row r="14">
      <c r="A14" s="5" t="inlineStr">
        <is>
          <t>Hit Points (HP)</t>
        </is>
      </c>
      <c r="B14" s="7">
        <f>B9*5+10</f>
        <v/>
      </c>
      <c r="C14" s="5" t="inlineStr">
        <is>
          <t>Spirit Points (SP)</t>
        </is>
      </c>
      <c r="D14" s="7">
        <f>B11*5+10</f>
        <v/>
      </c>
      <c r="E14" s="5" t="inlineStr">
        <is>
          <t>Armor Class (AC)</t>
        </is>
      </c>
      <c r="F14" s="7">
        <f>10+C10</f>
        <v/>
      </c>
    </row>
    <row r="15">
      <c r="A15" s="5" t="inlineStr">
        <is>
          <t>Initiative</t>
        </is>
      </c>
      <c r="B15" s="7">
        <f>C10+F10</f>
        <v/>
      </c>
      <c r="C15" s="5" t="inlineStr">
        <is>
          <t>Nen Defense</t>
        </is>
      </c>
      <c r="D15" s="7">
        <f>C11</f>
        <v/>
      </c>
      <c r="E15" s="5" t="inlineStr">
        <is>
          <t>Movement</t>
        </is>
      </c>
      <c r="F15" s="7">
        <f>B10</f>
        <v/>
      </c>
    </row>
    <row r="16"/>
    <row r="17">
      <c r="A17" s="2" t="inlineStr">
        <is>
          <t>Attack</t>
        </is>
      </c>
      <c r="B17" s="3" t="n"/>
      <c r="C17" s="3" t="n"/>
      <c r="D17" s="3" t="n"/>
      <c r="E17" s="3" t="n"/>
      <c r="F17" s="4" t="n"/>
    </row>
    <row r="18">
      <c r="A18" s="8" t="inlineStr">
        <is>
          <t>Attack Name</t>
        </is>
      </c>
      <c r="B18" s="8" t="inlineStr">
        <is>
          <t>Hit Formula Components</t>
        </is>
      </c>
      <c r="C18" s="8" t="inlineStr">
        <is>
          <t>Damage Die</t>
        </is>
      </c>
      <c r="D18" s="8" t="inlineStr">
        <is>
          <t>Damage Attribute Modifier</t>
        </is>
      </c>
      <c r="E18" s="8" t="inlineStr">
        <is>
          <t>Total Damage (preview)</t>
        </is>
      </c>
      <c r="F18" s="8" t="inlineStr">
        <is>
          <t>Notes</t>
        </is>
      </c>
    </row>
    <row r="19">
      <c r="A19" s="6" t="n"/>
      <c r="B19" s="7" t="n"/>
      <c r="C19" s="7" t="n"/>
      <c r="D19" s="7" t="n"/>
      <c r="E19" s="7">
        <f>C19+D19</f>
        <v/>
      </c>
      <c r="F19" s="6" t="n"/>
    </row>
    <row r="20">
      <c r="A20" s="6" t="n"/>
      <c r="B20" s="7" t="n"/>
      <c r="C20" s="7" t="n"/>
      <c r="D20" s="7" t="n"/>
      <c r="E20" s="7">
        <f>C20+D20</f>
        <v/>
      </c>
      <c r="F20" s="6" t="n"/>
    </row>
    <row r="21">
      <c r="A21" s="6" t="n"/>
      <c r="B21" s="7" t="n"/>
      <c r="C21" s="7" t="n"/>
      <c r="D21" s="7" t="n"/>
      <c r="E21" s="7">
        <f>C21+D21</f>
        <v/>
      </c>
      <c r="F21" s="6" t="n"/>
    </row>
    <row r="22"/>
    <row r="23"/>
    <row r="24">
      <c r="A24" s="2" t="inlineStr">
        <is>
          <t>Special Ability / Nen Ability</t>
        </is>
      </c>
      <c r="B24" s="3" t="n"/>
      <c r="C24" s="3" t="n"/>
      <c r="D24" s="3" t="n"/>
      <c r="E24" s="3" t="n"/>
      <c r="F24" s="4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/>
    <row r="32">
      <c r="A32" s="2" t="inlineStr">
        <is>
          <t>Drop / Loot</t>
        </is>
      </c>
      <c r="B32" s="3" t="n"/>
      <c r="C32" s="3" t="n"/>
      <c r="D32" s="3" t="n"/>
      <c r="E32" s="3" t="n"/>
      <c r="F32" s="4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</sheetData>
  <mergeCells count="6">
    <mergeCell ref="A24:F24"/>
    <mergeCell ref="A1:F1"/>
    <mergeCell ref="A32:F32"/>
    <mergeCell ref="A17:F17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Hunter × Hunter TRPG Enemy: V5 Secret Fleet Flagship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Name</t>
        </is>
      </c>
      <c r="B4" s="6" t="inlineStr">
        <is>
          <t>V5 Secret Fleet Flagship</t>
        </is>
      </c>
    </row>
    <row r="5">
      <c r="A5" s="5" t="inlineStr">
        <is>
          <t>Challenge Rating (CR)</t>
        </is>
      </c>
      <c r="B5" s="6" t="inlineStr">
        <is>
          <t>15</t>
        </is>
      </c>
    </row>
    <row r="6">
      <c r="A6" s="5" t="inlineStr">
        <is>
          <t>Type</t>
        </is>
      </c>
      <c r="B6" s="6" t="inlineStr">
        <is>
          <t>Vehicle-type Boss</t>
        </is>
      </c>
    </row>
    <row r="7">
      <c r="A7" s="5" t="inlineStr">
        <is>
          <t>XP Reward</t>
        </is>
      </c>
      <c r="B7" s="6" t="inlineStr">
        <is>
          <t>500 Experience Points (XP)</t>
        </is>
      </c>
    </row>
    <row r="8">
      <c r="A8" s="2" t="inlineStr">
        <is>
          <t>Base Attributes (Hull)</t>
        </is>
      </c>
      <c r="B8" s="3" t="n"/>
      <c r="C8" s="3" t="n"/>
      <c r="D8" s="3" t="n"/>
      <c r="E8" s="3" t="n"/>
      <c r="F8" s="4" t="n"/>
    </row>
    <row r="9">
      <c r="A9" s="8" t="inlineStr">
        <is>
          <t>Attributes</t>
        </is>
      </c>
      <c r="B9" s="8" t="inlineStr">
        <is>
          <t>Value</t>
        </is>
      </c>
      <c r="C9" s="8" t="inlineStr">
        <is>
          <t>Modifier</t>
        </is>
      </c>
    </row>
    <row r="10">
      <c r="A10" s="5" t="inlineStr">
        <is>
          <t>Constitution Constitution (CON)</t>
        </is>
      </c>
      <c r="B10" s="7" t="n">
        <v>24</v>
      </c>
      <c r="C10" s="9">
        <f>FLOOR.MATH((B10-10)/2)</f>
        <v/>
      </c>
    </row>
    <row r="11">
      <c r="A11" s="5" t="inlineStr">
        <is>
          <t>Dexterity Dexterity (DEX)</t>
        </is>
      </c>
      <c r="B11" s="7" t="n">
        <v>6</v>
      </c>
      <c r="C11" s="9">
        <f>FLOOR.MATH((B11-10)/2)</f>
        <v/>
      </c>
    </row>
    <row r="12">
      <c r="A12" s="5" t="inlineStr">
        <is>
          <t>Perception Perception (PER)</t>
        </is>
      </c>
      <c r="B12" s="7" t="n">
        <v>18</v>
      </c>
      <c r="C12" s="9">
        <f>FLOOR.MATH((B12-10)/2)</f>
        <v/>
      </c>
    </row>
    <row r="13">
      <c r="A13" s="5" t="inlineStr">
        <is>
          <t>Intelligence Intelligence (INT)</t>
        </is>
      </c>
      <c r="B13" s="7" t="n">
        <v>14</v>
      </c>
      <c r="C13" s="9">
        <f>FLOOR.MATH((B13-10)/2)</f>
        <v/>
      </c>
    </row>
    <row r="14">
      <c r="A14" s="5" t="inlineStr">
        <is>
          <t>Willpower Willpower (WIL)</t>
        </is>
      </c>
      <c r="B14" s="7" t="n">
        <v>16</v>
      </c>
      <c r="C14" s="9">
        <f>FLOOR.MATH((B14-10)/2)</f>
        <v/>
      </c>
    </row>
    <row r="15">
      <c r="A15" s="5" t="inlineStr">
        <is>
          <t>Charisma Charisma (CHA)</t>
        </is>
      </c>
      <c r="B15" s="7" t="n">
        <v>8</v>
      </c>
      <c r="C15" s="9">
        <f>FLOOR.MATH((B15-10)/2)</f>
        <v/>
      </c>
    </row>
    <row r="16"/>
    <row r="17">
      <c r="A17" s="5" t="inlineStr">
        <is>
          <t>Hit Points (HP)</t>
        </is>
      </c>
      <c r="B17" s="7" t="n">
        <v>500</v>
      </c>
    </row>
    <row r="18">
      <c r="A18" s="5" t="inlineStr">
        <is>
          <t>Spirit Points (SP)</t>
        </is>
      </c>
      <c r="B18" s="7">
        <f>B14*5+50</f>
        <v/>
      </c>
    </row>
    <row r="19">
      <c r="A19" s="5" t="inlineStr">
        <is>
          <t>Armor Class (AC)</t>
        </is>
      </c>
      <c r="B19" s="7" t="n">
        <v>22</v>
      </c>
    </row>
    <row r="20">
      <c r="A20" s="5" t="inlineStr">
        <is>
          <t>Initiative (auto)</t>
        </is>
      </c>
      <c r="B20" s="7">
        <f>C10+F10</f>
        <v/>
      </c>
    </row>
    <row r="21">
      <c r="A21" s="5" t="inlineStr">
        <is>
          <t>Nen Defense (auto)</t>
        </is>
      </c>
      <c r="B21" s="7">
        <f>C14</f>
        <v/>
      </c>
    </row>
    <row r="22">
      <c r="A22" s="5" t="inlineStr">
        <is>
          <t>Movement</t>
        </is>
      </c>
      <c r="B22" s="7">
        <f>B10</f>
        <v/>
      </c>
    </row>
    <row r="23"/>
    <row r="24">
      <c r="A24" s="8" t="inlineStr">
        <is>
          <t>Attack Name</t>
        </is>
      </c>
      <c r="B24" s="8" t="inlineStr">
        <is>
          <t>Hit</t>
        </is>
      </c>
      <c r="C24" s="8" t="inlineStr">
        <is>
          <t>Damage Die</t>
        </is>
      </c>
      <c r="D24" s="8" t="inlineStr">
        <is>
          <t>Damage Modifier</t>
        </is>
      </c>
      <c r="E24" s="8" t="inlineStr">
        <is>
          <t>Total Damage</t>
        </is>
      </c>
      <c r="F24" s="8" t="inlineStr">
        <is>
          <t>Notes</t>
        </is>
      </c>
    </row>
    <row r="25">
      <c r="A25" s="6" t="inlineStr">
        <is>
          <t>Anti-Nen Cannon (Main Cannon)</t>
        </is>
      </c>
      <c r="B25" s="7" t="inlineStr">
        <is>
          <t>d20+12</t>
        </is>
      </c>
      <c r="C25" s="7" t="inlineStr">
        <is>
          <t>3d10</t>
        </is>
      </c>
      <c r="D25" s="7" t="n">
        <v>0</v>
      </c>
      <c r="E25" s="7">
        <f>C25+D25</f>
        <v/>
      </c>
      <c r="F25" s="6" t="inlineStr">
        <is>
          <t>Energy Damage Ignores Nen Defense 2-turn cooldown</t>
        </is>
      </c>
    </row>
    <row r="26">
      <c r="A26" s="6" t="inlineStr">
        <is>
          <t>Secondary Cannon ×4</t>
        </is>
      </c>
      <c r="B26" s="7" t="inlineStr">
        <is>
          <t>d20+8</t>
        </is>
      </c>
      <c r="C26" s="7" t="inlineStr">
        <is>
          <t>2d8</t>
        </is>
      </c>
      <c r="D26" s="7" t="n">
        <v>0</v>
      </c>
      <c r="E26" s="7">
        <f>C26+D26</f>
        <v/>
      </c>
      <c r="F26" s="6" t="inlineStr">
        <is>
          <t>Can attack 2 times per turn</t>
        </is>
      </c>
    </row>
    <row r="27"/>
    <row r="28">
      <c r="A28" s="6" t="inlineStr">
        <is>
          <t>Anti-Nen Field (Permanent): All Nen abilities within 200m range have SP cost ×3.</t>
        </is>
      </c>
      <c r="B28" s="3" t="n"/>
      <c r="C28" s="3" t="n"/>
      <c r="D28" s="3" t="n"/>
      <c r="E28" s="3" t="n"/>
      <c r="F28" s="4" t="n"/>
    </row>
    <row r="29">
      <c r="A29" s="6" t="inlineStr">
        <is>
          <t>Anti-Nen Shield: Immune to Nen attacks. Physical attacks work normally.</t>
        </is>
      </c>
      <c r="B29" s="3" t="n"/>
      <c r="C29" s="3" t="n"/>
      <c r="D29" s="3" t="n"/>
      <c r="E29" s="3" t="n"/>
      <c r="F29" s="4" t="n"/>
    </row>
    <row r="30">
      <c r="A30" s="6" t="inlineStr">
        <is>
          <t>Carries V5 Special Forces ×20 (CR3), can deploy 1d4 per turn.</t>
        </is>
      </c>
      <c r="B30" s="3" t="n"/>
      <c r="C30" s="3" t="n"/>
      <c r="D30" s="3" t="n"/>
      <c r="E30" s="3" t="n"/>
      <c r="F30" s="4" t="n"/>
    </row>
    <row r="31">
      <c r="A31" s="6" t="inlineStr">
        <is>
          <t>Weakness: Engine room (must infiltrate the ship and find the entrance via Perception DC20). After destroying the engine, AC -6, cannot move.</t>
        </is>
      </c>
      <c r="B31" s="3" t="n"/>
      <c r="C31" s="3" t="n"/>
      <c r="D31" s="3" t="n"/>
      <c r="E31" s="3" t="n"/>
      <c r="F31" s="4" t="n"/>
    </row>
    <row r="32"/>
    <row r="33">
      <c r="A33" s="2" t="inlineStr">
        <is>
          <t>Drop</t>
        </is>
      </c>
      <c r="B33" s="3" t="n"/>
      <c r="C33" s="3" t="n"/>
      <c r="D33" s="3" t="n"/>
      <c r="E33" s="3" t="n"/>
      <c r="F33" s="4" t="n"/>
    </row>
    <row r="34">
      <c r="A34" s="6" t="inlineStr">
        <is>
          <t>V5 Anti-Nen Technology Blueprint, V5 Top Secret Files</t>
        </is>
      </c>
      <c r="B34" s="3" t="n"/>
      <c r="C34" s="3" t="n"/>
      <c r="D34" s="3" t="n"/>
      <c r="E34" s="3" t="n"/>
      <c r="F34" s="4" t="n"/>
    </row>
  </sheetData>
  <mergeCells count="9">
    <mergeCell ref="A33:F33"/>
    <mergeCell ref="A28:F28"/>
    <mergeCell ref="A1:F1"/>
    <mergeCell ref="A8:F8"/>
    <mergeCell ref="A31:F31"/>
    <mergeCell ref="A34:F34"/>
    <mergeCell ref="A3:F3"/>
    <mergeCell ref="A30:F30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Hunter × Hunter TRPG Enemy: V5 Special Forces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Name</t>
        </is>
      </c>
      <c r="B4" s="6" t="inlineStr">
        <is>
          <t>V5 Special Forces</t>
        </is>
      </c>
    </row>
    <row r="5">
      <c r="A5" s="5" t="inlineStr">
        <is>
          <t>Challenge Rating (CR)</t>
        </is>
      </c>
      <c r="B5" s="6" t="inlineStr">
        <is>
          <t>3</t>
        </is>
      </c>
    </row>
    <row r="6">
      <c r="A6" s="5" t="inlineStr">
        <is>
          <t>Type</t>
        </is>
      </c>
      <c r="B6" s="6" t="inlineStr">
        <is>
          <t>Mook-level (Squad Unit)</t>
        </is>
      </c>
    </row>
    <row r="7">
      <c r="A7" s="5" t="inlineStr">
        <is>
          <t>XP Reward</t>
        </is>
      </c>
      <c r="B7" s="6" t="inlineStr">
        <is>
          <t>50 Experience Points (XP) / each</t>
        </is>
      </c>
    </row>
    <row r="8">
      <c r="A8" s="2" t="inlineStr">
        <is>
          <t>Base Attributes</t>
        </is>
      </c>
      <c r="B8" s="3" t="n"/>
      <c r="C8" s="3" t="n"/>
      <c r="D8" s="3" t="n"/>
      <c r="E8" s="3" t="n"/>
      <c r="F8" s="4" t="n"/>
    </row>
    <row r="9">
      <c r="A9" s="8" t="inlineStr">
        <is>
          <t>Attributes</t>
        </is>
      </c>
      <c r="B9" s="8" t="inlineStr">
        <is>
          <t>Value</t>
        </is>
      </c>
      <c r="C9" s="8" t="inlineStr">
        <is>
          <t>Modifier</t>
        </is>
      </c>
    </row>
    <row r="10">
      <c r="A10" s="5" t="inlineStr">
        <is>
          <t>Constitution Constitution (CON)</t>
        </is>
      </c>
      <c r="B10" s="7" t="n">
        <v>14</v>
      </c>
      <c r="C10" s="9">
        <f>FLOOR.MATH((B10-10)/2)</f>
        <v/>
      </c>
    </row>
    <row r="11">
      <c r="A11" s="5" t="inlineStr">
        <is>
          <t>Dexterity Dexterity (DEX)</t>
        </is>
      </c>
      <c r="B11" s="7" t="n">
        <v>14</v>
      </c>
      <c r="C11" s="9">
        <f>FLOOR.MATH((B11-10)/2)</f>
        <v/>
      </c>
    </row>
    <row r="12">
      <c r="A12" s="5" t="inlineStr">
        <is>
          <t>Perception Perception (PER)</t>
        </is>
      </c>
      <c r="B12" s="7" t="n">
        <v>12</v>
      </c>
      <c r="C12" s="9">
        <f>FLOOR.MATH((B12-10)/2)</f>
        <v/>
      </c>
    </row>
    <row r="13">
      <c r="A13" s="5" t="inlineStr">
        <is>
          <t>Intelligence Intelligence (INT)</t>
        </is>
      </c>
      <c r="B13" s="7" t="n">
        <v>10</v>
      </c>
      <c r="C13" s="9">
        <f>FLOOR.MATH((B13-10)/2)</f>
        <v/>
      </c>
    </row>
    <row r="14">
      <c r="A14" s="5" t="inlineStr">
        <is>
          <t>Willpower Willpower (WIL)</t>
        </is>
      </c>
      <c r="B14" s="7" t="n">
        <v>12</v>
      </c>
      <c r="C14" s="9">
        <f>FLOOR.MATH((B14-10)/2)</f>
        <v/>
      </c>
    </row>
    <row r="15">
      <c r="A15" s="5" t="inlineStr">
        <is>
          <t>Charisma Charisma (CHA)</t>
        </is>
      </c>
      <c r="B15" s="7" t="n">
        <v>8</v>
      </c>
      <c r="C15" s="9">
        <f>FLOOR.MATH((B15-10)/2)</f>
        <v/>
      </c>
    </row>
    <row r="16"/>
    <row r="17">
      <c r="A17" s="5" t="inlineStr">
        <is>
          <t>Hit Points (HP)</t>
        </is>
      </c>
      <c r="B17" s="7" t="n">
        <v>50</v>
      </c>
    </row>
    <row r="18">
      <c r="A18" s="5" t="inlineStr">
        <is>
          <t>Spirit Points (SP)</t>
        </is>
      </c>
      <c r="B18" s="7">
        <f>B14*5+10</f>
        <v/>
      </c>
    </row>
    <row r="19">
      <c r="A19" s="5" t="inlineStr">
        <is>
          <t>Armor Class (AC)</t>
        </is>
      </c>
      <c r="B19" s="7" t="n">
        <v>14</v>
      </c>
    </row>
    <row r="20">
      <c r="A20" s="5" t="inlineStr">
        <is>
          <t>Initiative (auto)</t>
        </is>
      </c>
      <c r="B20" s="7">
        <f>C10+F10</f>
        <v/>
      </c>
    </row>
    <row r="21">
      <c r="A21" s="5" t="inlineStr">
        <is>
          <t>Nen Defense (auto)</t>
        </is>
      </c>
      <c r="B21" s="7">
        <f>C14</f>
        <v/>
      </c>
    </row>
    <row r="22">
      <c r="A22" s="5" t="inlineStr">
        <is>
          <t>Movement</t>
        </is>
      </c>
      <c r="B22" s="7">
        <f>B10</f>
        <v/>
      </c>
    </row>
    <row r="23"/>
    <row r="24">
      <c r="A24" s="8" t="inlineStr">
        <is>
          <t>Attack Name</t>
        </is>
      </c>
      <c r="B24" s="8" t="inlineStr">
        <is>
          <t>Hit</t>
        </is>
      </c>
      <c r="C24" s="8" t="inlineStr">
        <is>
          <t>Damage Die</t>
        </is>
      </c>
      <c r="D24" s="8" t="inlineStr">
        <is>
          <t>Damage Modifier</t>
        </is>
      </c>
      <c r="E24" s="8" t="inlineStr">
        <is>
          <t>Total Damage</t>
        </is>
      </c>
      <c r="F24" s="8" t="inlineStr">
        <is>
          <t>Notes</t>
        </is>
      </c>
    </row>
    <row r="25">
      <c r="A25" s="6" t="inlineStr">
        <is>
          <t>Anti-Nen Rifle</t>
        </is>
      </c>
      <c r="B25" s="7" t="inlineStr">
        <is>
          <t>d20+5</t>
        </is>
      </c>
      <c r="C25" s="7" t="inlineStr">
        <is>
          <t>2d6</t>
        </is>
      </c>
      <c r="D25" s="7" t="n">
        <v>0</v>
      </c>
      <c r="E25" s="7">
        <f>C25+D25</f>
        <v/>
      </c>
      <c r="F25" s="6" t="inlineStr">
        <is>
          <t>Ignores Nen Defense Range 50m</t>
        </is>
      </c>
    </row>
    <row r="26">
      <c r="A26" s="6" t="inlineStr">
        <is>
          <t>Melee Combat</t>
        </is>
      </c>
      <c r="B26" s="7" t="inlineStr">
        <is>
          <t>d20+4</t>
        </is>
      </c>
      <c r="C26" s="7" t="inlineStr">
        <is>
          <t>1d6</t>
        </is>
      </c>
      <c r="D26" s="7" t="n">
        <v>2</v>
      </c>
      <c r="E26" s="7">
        <f>C26+D26</f>
        <v/>
      </c>
      <c r="F26" s="6" t="inlineStr">
        <is>
          <t>Dexterity Modifier</t>
        </is>
      </c>
    </row>
    <row r="27"/>
    <row r="28">
      <c r="A28" s="6" t="inlineStr">
        <is>
          <t>Squad Tactics: When 3 or more are present simultaneously, attacks gain advantage.</t>
        </is>
      </c>
      <c r="B28" s="3" t="n"/>
      <c r="C28" s="3" t="n"/>
      <c r="D28" s="3" t="n"/>
      <c r="E28" s="3" t="n"/>
      <c r="F28" s="4" t="n"/>
    </row>
    <row r="29">
      <c r="A29" s="6" t="inlineStr">
        <is>
          <t>Anti-Nen Equipment: Wears Anti-Nen Armor (resistant to Nen attacks).</t>
        </is>
      </c>
      <c r="B29" s="3" t="n"/>
      <c r="C29" s="3" t="n"/>
      <c r="D29" s="3" t="n"/>
      <c r="E29" s="3" t="n"/>
      <c r="F29" s="4" t="n"/>
    </row>
    <row r="30">
      <c r="A30" s="6" t="inlineStr">
        <is>
          <t>No Nen abilities—pure tech unit.</t>
        </is>
      </c>
      <c r="B30" s="3" t="n"/>
      <c r="C30" s="3" t="n"/>
      <c r="D30" s="3" t="n"/>
      <c r="E30" s="3" t="n"/>
      <c r="F30" s="4" t="n"/>
    </row>
    <row r="31"/>
    <row r="32">
      <c r="A32" s="2" t="inlineStr">
        <is>
          <t>Drop</t>
        </is>
      </c>
      <c r="B32" s="3" t="n"/>
      <c r="C32" s="3" t="n"/>
      <c r="D32" s="3" t="n"/>
      <c r="E32" s="3" t="n"/>
      <c r="F32" s="4" t="n"/>
    </row>
    <row r="33">
      <c r="A33" s="6" t="inlineStr">
        <is>
          <t>Anti-Nen Rifle (usable by players: 2d6 damage Ignores Nen Defense Range 50m), Anti-Nen Armor Fragment</t>
        </is>
      </c>
      <c r="B33" s="3" t="n"/>
      <c r="C33" s="3" t="n"/>
      <c r="D33" s="3" t="n"/>
      <c r="E33" s="3" t="n"/>
      <c r="F33" s="4" t="n"/>
    </row>
  </sheetData>
  <mergeCells count="8">
    <mergeCell ref="A33:F33"/>
    <mergeCell ref="A28:F28"/>
    <mergeCell ref="A1:F1"/>
    <mergeCell ref="A32:F32"/>
    <mergeCell ref="A8:F8"/>
    <mergeCell ref="A3:F3"/>
    <mergeCell ref="A30:F30"/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Hunter × Hunter TRPG Enemy: V5 Destroyer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Name</t>
        </is>
      </c>
      <c r="B4" s="6" t="inlineStr">
        <is>
          <t>V5 Destroyer</t>
        </is>
      </c>
    </row>
    <row r="5">
      <c r="A5" s="5" t="inlineStr">
        <is>
          <t>Challenge Rating (CR)</t>
        </is>
      </c>
      <c r="B5" s="6" t="inlineStr">
        <is>
          <t>10 (5 ships total)</t>
        </is>
      </c>
    </row>
    <row r="6">
      <c r="A6" s="5" t="inlineStr">
        <is>
          <t>Type</t>
        </is>
      </c>
      <c r="B6" s="6" t="inlineStr">
        <is>
          <t>Vehicle-type Mid-boss</t>
        </is>
      </c>
    </row>
    <row r="7">
      <c r="A7" s="5" t="inlineStr">
        <is>
          <t>XP Reward</t>
        </is>
      </c>
      <c r="B7" s="6" t="inlineStr">
        <is>
          <t>250 Experience Points (XP) / ship</t>
        </is>
      </c>
    </row>
    <row r="8">
      <c r="A8" s="2" t="inlineStr">
        <is>
          <t>Base Attributes</t>
        </is>
      </c>
      <c r="B8" s="3" t="n"/>
      <c r="C8" s="3" t="n"/>
      <c r="D8" s="3" t="n"/>
      <c r="E8" s="3" t="n"/>
      <c r="F8" s="4" t="n"/>
    </row>
    <row r="9">
      <c r="A9" s="8" t="inlineStr">
        <is>
          <t>Attributes</t>
        </is>
      </c>
      <c r="B9" s="8" t="inlineStr">
        <is>
          <t>Value</t>
        </is>
      </c>
      <c r="C9" s="8" t="inlineStr">
        <is>
          <t>Modifier</t>
        </is>
      </c>
    </row>
    <row r="10">
      <c r="A10" s="5" t="inlineStr">
        <is>
          <t>Constitution Constitution (CON)</t>
        </is>
      </c>
      <c r="B10" s="7" t="n">
        <v>20</v>
      </c>
      <c r="C10" s="9">
        <f>FLOOR.MATH((B10-10)/2)</f>
        <v/>
      </c>
    </row>
    <row r="11">
      <c r="A11" s="5" t="inlineStr">
        <is>
          <t>Dexterity Dexterity (DEX)</t>
        </is>
      </c>
      <c r="B11" s="7" t="n">
        <v>8</v>
      </c>
      <c r="C11" s="9">
        <f>FLOOR.MATH((B11-10)/2)</f>
        <v/>
      </c>
    </row>
    <row r="12">
      <c r="A12" s="5" t="inlineStr">
        <is>
          <t>Perception Perception (PER)</t>
        </is>
      </c>
      <c r="B12" s="7" t="n">
        <v>14</v>
      </c>
      <c r="C12" s="9">
        <f>FLOOR.MATH((B12-10)/2)</f>
        <v/>
      </c>
    </row>
    <row r="13">
      <c r="A13" s="5" t="inlineStr">
        <is>
          <t>Intelligence Intelligence (INT)</t>
        </is>
      </c>
      <c r="B13" s="7" t="n">
        <v>8</v>
      </c>
      <c r="C13" s="9">
        <f>FLOOR.MATH((B13-10)/2)</f>
        <v/>
      </c>
    </row>
    <row r="14">
      <c r="A14" s="5" t="inlineStr">
        <is>
          <t>Willpower Willpower (WIL)</t>
        </is>
      </c>
      <c r="B14" s="7" t="n">
        <v>10</v>
      </c>
      <c r="C14" s="9">
        <f>FLOOR.MATH((B14-10)/2)</f>
        <v/>
      </c>
    </row>
    <row r="15">
      <c r="A15" s="5" t="inlineStr">
        <is>
          <t>Charisma Charisma (CHA)</t>
        </is>
      </c>
      <c r="B15" s="7" t="n">
        <v>4</v>
      </c>
      <c r="C15" s="9">
        <f>FLOOR.MATH((B15-10)/2)</f>
        <v/>
      </c>
    </row>
    <row r="16"/>
    <row r="17">
      <c r="A17" s="5" t="inlineStr">
        <is>
          <t>Hit Points (HP)</t>
        </is>
      </c>
      <c r="B17" s="7" t="n">
        <v>250</v>
      </c>
    </row>
    <row r="18">
      <c r="A18" s="5" t="inlineStr">
        <is>
          <t>Spirit Points (SP)</t>
        </is>
      </c>
      <c r="B18" s="7">
        <f>B14*5+20</f>
        <v/>
      </c>
    </row>
    <row r="19">
      <c r="A19" s="5" t="inlineStr">
        <is>
          <t>Armor Class (AC)</t>
        </is>
      </c>
      <c r="B19" s="7" t="n">
        <v>18</v>
      </c>
    </row>
    <row r="20">
      <c r="A20" s="5" t="inlineStr">
        <is>
          <t>Initiative (auto)</t>
        </is>
      </c>
      <c r="B20" s="7">
        <f>C10+F10</f>
        <v/>
      </c>
    </row>
    <row r="21">
      <c r="A21" s="5" t="inlineStr">
        <is>
          <t>Nen Defense (auto)</t>
        </is>
      </c>
      <c r="B21" s="7">
        <f>C14</f>
        <v/>
      </c>
    </row>
    <row r="22">
      <c r="A22" s="5" t="inlineStr">
        <is>
          <t>Movement</t>
        </is>
      </c>
      <c r="B22" s="7">
        <f>B10</f>
        <v/>
      </c>
    </row>
    <row r="23"/>
    <row r="24">
      <c r="A24" s="8" t="inlineStr">
        <is>
          <t>Attack Name</t>
        </is>
      </c>
      <c r="B24" s="8" t="inlineStr">
        <is>
          <t>Hit</t>
        </is>
      </c>
      <c r="C24" s="8" t="inlineStr">
        <is>
          <t>Damage Die</t>
        </is>
      </c>
      <c r="D24" s="8" t="inlineStr">
        <is>
          <t>Damage Modifier</t>
        </is>
      </c>
      <c r="E24" s="8" t="inlineStr">
        <is>
          <t>Total Damage</t>
        </is>
      </c>
      <c r="F24" s="8" t="inlineStr">
        <is>
          <t>Notes</t>
        </is>
      </c>
    </row>
    <row r="25">
      <c r="A25" s="6" t="inlineStr">
        <is>
          <t>Anti-Nen Cannon</t>
        </is>
      </c>
      <c r="B25" s="7" t="inlineStr">
        <is>
          <t>d20+9</t>
        </is>
      </c>
      <c r="C25" s="7" t="inlineStr">
        <is>
          <t>3d10</t>
        </is>
      </c>
      <c r="D25" s="7" t="n">
        <v>0</v>
      </c>
      <c r="E25" s="7">
        <f>C25+D25</f>
        <v/>
      </c>
      <c r="F25" s="6" t="inlineStr">
        <is>
          <t>Energy Damage Ignores Nen Defense</t>
        </is>
      </c>
    </row>
    <row r="26"/>
    <row r="27">
      <c r="A27" s="6" t="inlineStr">
        <is>
          <t>Anti-Nen Field (Support-type): SP cost ×2 within 100m range.</t>
        </is>
      </c>
      <c r="B27" s="3" t="n"/>
      <c r="C27" s="3" t="n"/>
      <c r="D27" s="3" t="n"/>
      <c r="E27" s="3" t="n"/>
      <c r="F27" s="4" t="n"/>
    </row>
    <row r="28">
      <c r="A28" s="6" t="inlineStr">
        <is>
          <t>Carries V5 Special Forces ×10 (CR3).</t>
        </is>
      </c>
      <c r="B28" s="3" t="n"/>
      <c r="C28" s="3" t="n"/>
      <c r="D28" s="3" t="n"/>
      <c r="E28" s="3" t="n"/>
      <c r="F28" s="4" t="n"/>
    </row>
    <row r="29">
      <c r="A29" s="6" t="inlineStr">
        <is>
          <t>Weakness: After engine room destroyed, AC -4.</t>
        </is>
      </c>
      <c r="B29" s="3" t="n"/>
      <c r="C29" s="3" t="n"/>
      <c r="D29" s="3" t="n"/>
      <c r="E29" s="3" t="n"/>
      <c r="F29" s="4" t="n"/>
    </row>
    <row r="30"/>
    <row r="31">
      <c r="A31" s="2" t="inlineStr">
        <is>
          <t>Drop</t>
        </is>
      </c>
      <c r="B31" s="3" t="n"/>
      <c r="C31" s="3" t="n"/>
      <c r="D31" s="3" t="n"/>
      <c r="E31" s="3" t="n"/>
      <c r="F31" s="4" t="n"/>
    </row>
    <row r="32">
      <c r="A32" s="6" t="inlineStr">
        <is>
          <t>V5 Anti-Nen Technology Fragment, Military Communication Device</t>
        </is>
      </c>
      <c r="B32" s="3" t="n"/>
      <c r="C32" s="3" t="n"/>
      <c r="D32" s="3" t="n"/>
      <c r="E32" s="3" t="n"/>
      <c r="F32" s="4" t="n"/>
    </row>
  </sheetData>
  <mergeCells count="8">
    <mergeCell ref="A28:F28"/>
    <mergeCell ref="A1:F1"/>
    <mergeCell ref="A32:F32"/>
    <mergeCell ref="A27:F27"/>
    <mergeCell ref="A8:F8"/>
    <mergeCell ref="A31:F31"/>
    <mergeCell ref="A3:F3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Enemy: "Shadow Step" Erwin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6" t="inlineStr">
        <is>
          <t>"Shadow Step" Erwin</t>
        </is>
      </c>
      <c r="C4" s="5" t="inlineStr">
        <is>
          <t>Challenge Rating (CR)</t>
        </is>
      </c>
      <c r="D4" s="7" t="inlineStr">
        <is>
          <t>1</t>
        </is>
      </c>
    </row>
    <row r="5">
      <c r="A5" s="5" t="inlineStr">
        <is>
          <t>Type</t>
        </is>
      </c>
      <c r="B5" s="6" t="inlineStr">
        <is>
          <t>Mid-boss-level (Semifinal Opponent)</t>
        </is>
      </c>
    </row>
    <row r="6"/>
    <row r="7">
      <c r="A7" s="2" t="inlineStr">
        <is>
          <t>Base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</row>
    <row r="9">
      <c r="A9" s="5" t="inlineStr">
        <is>
          <t>Constitution</t>
        </is>
      </c>
      <c r="B9" s="7" t="n">
        <v>12</v>
      </c>
      <c r="C9" s="9">
        <f>FLOOR.MATH((B9-10)/2)</f>
        <v/>
      </c>
    </row>
    <row r="10">
      <c r="A10" s="5" t="inlineStr">
        <is>
          <t>Dexterity</t>
        </is>
      </c>
      <c r="B10" s="7" t="n">
        <v>16</v>
      </c>
      <c r="C10" s="9">
        <f>FLOOR.MATH((B10-10)/2)</f>
        <v/>
      </c>
    </row>
    <row r="11">
      <c r="A11" s="5" t="inlineStr">
        <is>
          <t>Perception</t>
        </is>
      </c>
      <c r="B11" s="7" t="n">
        <v>13</v>
      </c>
      <c r="C11" s="9">
        <f>FLOOR.MATH((B11-10)/2)</f>
        <v/>
      </c>
    </row>
    <row r="12">
      <c r="A12" s="5" t="inlineStr">
        <is>
          <t>Intelligence</t>
        </is>
      </c>
      <c r="B12" s="7" t="n">
        <v>10</v>
      </c>
      <c r="C12" s="9">
        <f>FLOOR.MATH((B12-10)/2)</f>
        <v/>
      </c>
    </row>
    <row r="13">
      <c r="A13" s="5" t="inlineStr">
        <is>
          <t>Willpower</t>
        </is>
      </c>
      <c r="B13" s="7" t="n">
        <v>12</v>
      </c>
      <c r="C13" s="9">
        <f>FLOOR.MATH((B13-10)/2)</f>
        <v/>
      </c>
    </row>
    <row r="14">
      <c r="A14" s="5" t="inlineStr">
        <is>
          <t>Charisma</t>
        </is>
      </c>
      <c r="B14" s="7" t="n">
        <v>10</v>
      </c>
      <c r="C14" s="9">
        <f>FLOOR.MATH((B14-10)/2)</f>
        <v/>
      </c>
    </row>
    <row r="15">
      <c r="A15" s="2" t="inlineStr">
        <is>
          <t>Combat Values</t>
        </is>
      </c>
      <c r="B15" s="3" t="n"/>
      <c r="C15" s="3" t="n"/>
      <c r="D15" s="3" t="n"/>
      <c r="E15" s="3" t="n"/>
      <c r="F15" s="4" t="n"/>
    </row>
    <row r="16">
      <c r="A16" s="5" t="inlineStr">
        <is>
          <t>Hit Points (HP)</t>
        </is>
      </c>
      <c r="B16" s="7" t="n">
        <v>50</v>
      </c>
      <c r="C16" s="5" t="inlineStr">
        <is>
          <t>Spirit Points (SP) (auto)</t>
        </is>
      </c>
      <c r="D16" s="7">
        <f>B14*5+10</f>
        <v/>
      </c>
    </row>
    <row r="17">
      <c r="A17" s="5" t="inlineStr">
        <is>
          <t>Armor Class (AC)</t>
        </is>
      </c>
      <c r="B17" s="7" t="n">
        <v>13</v>
      </c>
      <c r="C17" s="5" t="inlineStr">
        <is>
          <t>Initiative (auto)</t>
        </is>
      </c>
      <c r="D17" s="7">
        <f>C9+C10</f>
        <v/>
      </c>
    </row>
    <row r="18">
      <c r="A18" s="5" t="inlineStr">
        <is>
          <t>Nen Defense (auto)</t>
        </is>
      </c>
      <c r="B18" s="7">
        <f>C14</f>
        <v/>
      </c>
      <c r="C18" s="5" t="inlineStr">
        <is>
          <t>Movement</t>
        </is>
      </c>
      <c r="D18" s="7">
        <f>B9</f>
        <v/>
      </c>
    </row>
    <row r="19"/>
    <row r="20">
      <c r="A20" s="2" t="inlineStr">
        <is>
          <t>Attack</t>
        </is>
      </c>
      <c r="B20" s="3" t="n"/>
      <c r="C20" s="3" t="n"/>
      <c r="D20" s="3" t="n"/>
      <c r="E20" s="3" t="n"/>
      <c r="F20" s="4" t="n"/>
    </row>
    <row r="21">
      <c r="A21" s="8" t="inlineStr">
        <is>
          <t>Attack Name</t>
        </is>
      </c>
      <c r="B21" s="8" t="inlineStr">
        <is>
          <t>Hit Bonus</t>
        </is>
      </c>
      <c r="C21" s="8" t="inlineStr">
        <is>
          <t>Damage Die</t>
        </is>
      </c>
      <c r="D21" s="8" t="inlineStr">
        <is>
          <t>Damage Modifier</t>
        </is>
      </c>
      <c r="E21" s="8" t="inlineStr">
        <is>
          <t>Total Damage</t>
        </is>
      </c>
      <c r="F21" s="8" t="inlineStr">
        <is>
          <t>Notes</t>
        </is>
      </c>
    </row>
    <row r="22">
      <c r="A22" s="6" t="inlineStr">
        <is>
          <t>Short Sword</t>
        </is>
      </c>
      <c r="B22" s="7" t="inlineStr">
        <is>
          <t>+5</t>
        </is>
      </c>
      <c r="C22" s="7" t="inlineStr">
        <is>
          <t>1d6</t>
        </is>
      </c>
      <c r="D22" s="7" t="n">
        <v>3</v>
      </c>
      <c r="E22" s="7">
        <f>C22+D22</f>
        <v/>
      </c>
      <c r="F22" s="6" t="inlineStr">
        <is>
          <t>Dexterity Modifier</t>
        </is>
      </c>
    </row>
    <row r="23"/>
    <row r="24">
      <c r="A24" s="2" t="inlineStr">
        <is>
          <t>Special Ability</t>
        </is>
      </c>
      <c r="B24" s="3" t="n"/>
      <c r="C24" s="3" t="n"/>
      <c r="D24" s="3" t="n"/>
      <c r="E24" s="3" t="n"/>
      <c r="F24" s="4" t="n"/>
    </row>
    <row r="25">
      <c r="A25" s="6" t="inlineStr">
        <is>
          <t>Shadow Step (Emission SP2): Consumes a move action to teleport 5m, next attack +2 to hit.</t>
        </is>
      </c>
      <c r="B25" s="3" t="n"/>
      <c r="C25" s="3" t="n"/>
      <c r="D25" s="3" t="n"/>
      <c r="E25" s="3" t="n"/>
      <c r="F25" s="4" t="n"/>
    </row>
    <row r="26">
      <c r="A26" s="6" t="inlineStr">
        <is>
          <t>Tactics: Hit-and-run, use obstacles. Conservative when SP drops below 10.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Drop / Loot</t>
        </is>
      </c>
      <c r="B28" s="3" t="n"/>
      <c r="C28" s="3" t="n"/>
      <c r="D28" s="3" t="n"/>
      <c r="E28" s="3" t="n"/>
      <c r="F28" s="4" t="n"/>
    </row>
    <row r="29">
      <c r="A29" s="6" t="inlineStr">
        <is>
          <t>Shadow Step Tactics Notes</t>
        </is>
      </c>
      <c r="B29" s="3" t="n"/>
      <c r="C29" s="3" t="n"/>
      <c r="D29" s="3" t="n"/>
      <c r="E29" s="3" t="n"/>
      <c r="F29" s="4" t="n"/>
    </row>
  </sheetData>
  <mergeCells count="10">
    <mergeCell ref="A24:F24"/>
    <mergeCell ref="A28:F28"/>
    <mergeCell ref="A3:F3"/>
    <mergeCell ref="A1:F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Enemy: "Oath Fist" Carlo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6" t="inlineStr">
        <is>
          <t>"Oath Fist" Carlo</t>
        </is>
      </c>
      <c r="C4" s="5" t="inlineStr">
        <is>
          <t>Challenge Rating (CR)</t>
        </is>
      </c>
      <c r="D4" s="7" t="inlineStr">
        <is>
          <t>2</t>
        </is>
      </c>
    </row>
    <row r="5">
      <c r="A5" s="5" t="inlineStr">
        <is>
          <t>Type</t>
        </is>
      </c>
      <c r="B5" s="6" t="inlineStr">
        <is>
          <t>Mid-boss-level (Final Opponent)</t>
        </is>
      </c>
    </row>
    <row r="6"/>
    <row r="7">
      <c r="A7" s="2" t="inlineStr">
        <is>
          <t>Base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</row>
    <row r="9">
      <c r="A9" s="5" t="inlineStr">
        <is>
          <t>Constitution</t>
        </is>
      </c>
      <c r="B9" s="7" t="n">
        <v>17</v>
      </c>
      <c r="C9" s="9">
        <f>FLOOR.MATH((B9-10)/2)</f>
        <v/>
      </c>
    </row>
    <row r="10">
      <c r="A10" s="5" t="inlineStr">
        <is>
          <t>Dexterity</t>
        </is>
      </c>
      <c r="B10" s="7" t="n">
        <v>13</v>
      </c>
      <c r="C10" s="9">
        <f>FLOOR.MATH((B10-10)/2)</f>
        <v/>
      </c>
    </row>
    <row r="11">
      <c r="A11" s="5" t="inlineStr">
        <is>
          <t>Perception</t>
        </is>
      </c>
      <c r="B11" s="7" t="n">
        <v>10</v>
      </c>
      <c r="C11" s="9">
        <f>FLOOR.MATH((B11-10)/2)</f>
        <v/>
      </c>
    </row>
    <row r="12">
      <c r="A12" s="5" t="inlineStr">
        <is>
          <t>Intelligence</t>
        </is>
      </c>
      <c r="B12" s="7" t="n">
        <v>8</v>
      </c>
      <c r="C12" s="9">
        <f>FLOOR.MATH((B12-10)/2)</f>
        <v/>
      </c>
    </row>
    <row r="13">
      <c r="A13" s="5" t="inlineStr">
        <is>
          <t>Willpower</t>
        </is>
      </c>
      <c r="B13" s="7" t="n">
        <v>14</v>
      </c>
      <c r="C13" s="9">
        <f>FLOOR.MATH((B13-10)/2)</f>
        <v/>
      </c>
    </row>
    <row r="14">
      <c r="A14" s="5" t="inlineStr">
        <is>
          <t>Charisma</t>
        </is>
      </c>
      <c r="B14" s="7" t="n">
        <v>10</v>
      </c>
      <c r="C14" s="9">
        <f>FLOOR.MATH((B14-10)/2)</f>
        <v/>
      </c>
    </row>
    <row r="15">
      <c r="A15" s="2" t="inlineStr">
        <is>
          <t>Combat Values</t>
        </is>
      </c>
      <c r="B15" s="3" t="n"/>
      <c r="C15" s="3" t="n"/>
      <c r="D15" s="3" t="n"/>
      <c r="E15" s="3" t="n"/>
      <c r="F15" s="4" t="n"/>
    </row>
    <row r="16">
      <c r="A16" s="5" t="inlineStr">
        <is>
          <t>Hit Points (HP)</t>
        </is>
      </c>
      <c r="B16" s="7" t="n">
        <v>70</v>
      </c>
      <c r="C16" s="5" t="inlineStr">
        <is>
          <t>Spirit Points (SP) (auto)</t>
        </is>
      </c>
      <c r="D16" s="7">
        <f>B14*5+10</f>
        <v/>
      </c>
    </row>
    <row r="17">
      <c r="A17" s="5" t="inlineStr">
        <is>
          <t>Armor Class (AC)</t>
        </is>
      </c>
      <c r="B17" s="7" t="n">
        <v>12</v>
      </c>
      <c r="C17" s="5" t="inlineStr">
        <is>
          <t>Initiative (auto)</t>
        </is>
      </c>
      <c r="D17" s="7">
        <f>C9+C10</f>
        <v/>
      </c>
    </row>
    <row r="18">
      <c r="A18" s="5" t="inlineStr">
        <is>
          <t>Nen Defense (auto)</t>
        </is>
      </c>
      <c r="B18" s="7">
        <f>C14</f>
        <v/>
      </c>
      <c r="C18" s="5" t="inlineStr">
        <is>
          <t>Movement</t>
        </is>
      </c>
      <c r="D18" s="7">
        <f>B9</f>
        <v/>
      </c>
    </row>
    <row r="19"/>
    <row r="20">
      <c r="A20" s="2" t="inlineStr">
        <is>
          <t>Attack</t>
        </is>
      </c>
      <c r="B20" s="3" t="n"/>
      <c r="C20" s="3" t="n"/>
      <c r="D20" s="3" t="n"/>
      <c r="E20" s="3" t="n"/>
      <c r="F20" s="4" t="n"/>
    </row>
    <row r="21">
      <c r="A21" s="8" t="inlineStr">
        <is>
          <t>Attack Name</t>
        </is>
      </c>
      <c r="B21" s="8" t="inlineStr">
        <is>
          <t>Hit Bonus</t>
        </is>
      </c>
      <c r="C21" s="8" t="inlineStr">
        <is>
          <t>Damage Die</t>
        </is>
      </c>
      <c r="D21" s="8" t="inlineStr">
        <is>
          <t>Damage Modifier</t>
        </is>
      </c>
      <c r="E21" s="8" t="inlineStr">
        <is>
          <t>Total Damage</t>
        </is>
      </c>
      <c r="F21" s="8" t="inlineStr">
        <is>
          <t>Notes</t>
        </is>
      </c>
    </row>
    <row r="22">
      <c r="A22" s="6" t="inlineStr">
        <is>
          <t>Normal Punch</t>
        </is>
      </c>
      <c r="B22" s="7" t="inlineStr">
        <is>
          <t>+4</t>
        </is>
      </c>
      <c r="C22" s="7" t="inlineStr">
        <is>
          <t>1d8</t>
        </is>
      </c>
      <c r="D22" s="7" t="n">
        <v>3</v>
      </c>
      <c r="E22" s="7">
        <f>C22+D22</f>
        <v/>
      </c>
      <c r="F22" s="6" t="inlineStr">
        <is>
          <t>Constitution Modifier</t>
        </is>
      </c>
    </row>
    <row r="23">
      <c r="A23" s="6" t="inlineStr">
        <is>
          <t>Oath Fist</t>
        </is>
      </c>
      <c r="B23" s="7" t="inlineStr">
        <is>
          <t>+4</t>
        </is>
      </c>
      <c r="C23" s="7" t="inlineStr">
        <is>
          <t>3d6</t>
        </is>
      </c>
      <c r="D23" s="7" t="n">
        <v>3</v>
      </c>
      <c r="E23" s="7">
        <f>C23+D23</f>
        <v/>
      </c>
      <c r="F23" s="6" t="inlineStr">
        <is>
          <t>Ignores 50% Nen Defense 3 times/day</t>
        </is>
      </c>
    </row>
    <row r="24"/>
    <row r="25">
      <c r="A25" s="2" t="inlineStr">
        <is>
          <t>Special Ability</t>
        </is>
      </c>
      <c r="B25" s="3" t="n"/>
      <c r="C25" s="3" t="n"/>
      <c r="D25" s="3" t="n"/>
      <c r="E25" s="3" t="n"/>
      <c r="F25" s="4" t="n"/>
    </row>
    <row r="26">
      <c r="A26" s="6" t="inlineStr">
        <is>
          <t>Oath Fist (Enhancement SP3 BP4/4): 3 times/day +1 Binding Pledge points (BP), after use cannot move for 1 turn +1 Binding Pledge points (BP), if opponent surrenders must stop or lose Nen ability +2 Binding Pledge points (BP). +2d6 (2 Binding Pledge points (BP)), ignore half Nen Defense (2 Binding Pledge points (BP)).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Drop / Loot</t>
        </is>
      </c>
      <c r="B28" s="3" t="n"/>
      <c r="C28" s="3" t="n"/>
      <c r="D28" s="3" t="n"/>
      <c r="E28" s="3" t="n"/>
      <c r="F28" s="4" t="n"/>
    </row>
    <row r="29">
      <c r="A29" s="6" t="inlineStr">
        <is>
          <t>Oath Fist Training Notes</t>
        </is>
      </c>
      <c r="B29" s="3" t="n"/>
      <c r="C29" s="3" t="n"/>
      <c r="D29" s="3" t="n"/>
      <c r="E29" s="3" t="n"/>
      <c r="F29" s="4" t="n"/>
    </row>
  </sheetData>
  <mergeCells count="9">
    <mergeCell ref="A28:F28"/>
    <mergeCell ref="A3:F3"/>
    <mergeCell ref="A1:F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Enemy: Ancient Tear Sea Guardian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6" t="inlineStr">
        <is>
          <t>Ancient Tear Sea Guardian</t>
        </is>
      </c>
      <c r="C4" s="5" t="inlineStr">
        <is>
          <t>Challenge Rating (CR)</t>
        </is>
      </c>
      <c r="D4" s="7" t="inlineStr">
        <is>
          <t>12</t>
        </is>
      </c>
    </row>
    <row r="5">
      <c r="A5" s="5" t="inlineStr">
        <is>
          <t>Type</t>
        </is>
      </c>
      <c r="B5" s="6" t="inlineStr">
        <is>
          <t>Boss-level</t>
        </is>
      </c>
    </row>
    <row r="6"/>
    <row r="7">
      <c r="A7" s="2" t="inlineStr">
        <is>
          <t>Base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</row>
    <row r="9">
      <c r="A9" s="5" t="inlineStr">
        <is>
          <t>Constitution</t>
        </is>
      </c>
      <c r="B9" s="7" t="n">
        <v>18</v>
      </c>
      <c r="C9" s="9">
        <f>FLOOR.MATH((B9-10)/2)</f>
        <v/>
      </c>
    </row>
    <row r="10">
      <c r="A10" s="5" t="inlineStr">
        <is>
          <t>Dexterity</t>
        </is>
      </c>
      <c r="B10" s="7" t="n">
        <v>14</v>
      </c>
      <c r="C10" s="9">
        <f>FLOOR.MATH((B10-10)/2)</f>
        <v/>
      </c>
    </row>
    <row r="11">
      <c r="A11" s="5" t="inlineStr">
        <is>
          <t>Perception</t>
        </is>
      </c>
      <c r="B11" s="7" t="n">
        <v>16</v>
      </c>
      <c r="C11" s="9">
        <f>FLOOR.MATH((B11-10)/2)</f>
        <v/>
      </c>
    </row>
    <row r="12">
      <c r="A12" s="5" t="inlineStr">
        <is>
          <t>Intelligence</t>
        </is>
      </c>
      <c r="B12" s="7" t="n">
        <v>12</v>
      </c>
      <c r="C12" s="9">
        <f>FLOOR.MATH((B12-10)/2)</f>
        <v/>
      </c>
    </row>
    <row r="13">
      <c r="A13" s="5" t="inlineStr">
        <is>
          <t>Willpower</t>
        </is>
      </c>
      <c r="B13" s="7" t="n">
        <v>18</v>
      </c>
      <c r="C13" s="9">
        <f>FLOOR.MATH((B13-10)/2)</f>
        <v/>
      </c>
    </row>
    <row r="14">
      <c r="A14" s="5" t="inlineStr">
        <is>
          <t>Charisma</t>
        </is>
      </c>
      <c r="B14" s="7" t="n">
        <v>10</v>
      </c>
      <c r="C14" s="9">
        <f>FLOOR.MATH((B14-10)/2)</f>
        <v/>
      </c>
    </row>
    <row r="15">
      <c r="A15" s="2" t="inlineStr">
        <is>
          <t>Combat Values</t>
        </is>
      </c>
      <c r="B15" s="3" t="n"/>
      <c r="C15" s="3" t="n"/>
      <c r="D15" s="3" t="n"/>
      <c r="E15" s="3" t="n"/>
      <c r="F15" s="4" t="n"/>
    </row>
    <row r="16">
      <c r="A16" s="5" t="inlineStr">
        <is>
          <t>Hit Points (HP)</t>
        </is>
      </c>
      <c r="B16" s="7" t="n">
        <v>180</v>
      </c>
      <c r="C16" s="5" t="inlineStr">
        <is>
          <t>Spirit Points (SP) (auto)</t>
        </is>
      </c>
      <c r="D16" s="7">
        <f>B14*5+10</f>
        <v/>
      </c>
    </row>
    <row r="17">
      <c r="A17" s="5" t="inlineStr">
        <is>
          <t>Armor Class (AC)</t>
        </is>
      </c>
      <c r="B17" s="7" t="n">
        <v>15</v>
      </c>
      <c r="C17" s="5" t="inlineStr">
        <is>
          <t>Initiative (auto)</t>
        </is>
      </c>
      <c r="D17" s="7">
        <f>C9+C10</f>
        <v/>
      </c>
    </row>
    <row r="18">
      <c r="A18" s="5" t="inlineStr">
        <is>
          <t>Nen Defense (auto)</t>
        </is>
      </c>
      <c r="B18" s="7">
        <f>C14</f>
        <v/>
      </c>
      <c r="C18" s="5" t="inlineStr">
        <is>
          <t>Movement</t>
        </is>
      </c>
      <c r="D18" s="7">
        <f>B9</f>
        <v/>
      </c>
    </row>
    <row r="19"/>
    <row r="20">
      <c r="A20" s="2" t="inlineStr">
        <is>
          <t>Attack</t>
        </is>
      </c>
      <c r="B20" s="3" t="n"/>
      <c r="C20" s="3" t="n"/>
      <c r="D20" s="3" t="n"/>
      <c r="E20" s="3" t="n"/>
      <c r="F20" s="4" t="n"/>
    </row>
    <row r="21">
      <c r="A21" s="8" t="inlineStr">
        <is>
          <t>Attack Name</t>
        </is>
      </c>
      <c r="B21" s="8" t="inlineStr">
        <is>
          <t>Hit Bonus</t>
        </is>
      </c>
      <c r="C21" s="8" t="inlineStr">
        <is>
          <t>Damage Die</t>
        </is>
      </c>
      <c r="D21" s="8" t="inlineStr">
        <is>
          <t>Damage Modifier</t>
        </is>
      </c>
      <c r="E21" s="8" t="inlineStr">
        <is>
          <t>Total Damage</t>
        </is>
      </c>
      <c r="F21" s="8" t="inlineStr">
        <is>
          <t>Notes</t>
        </is>
      </c>
    </row>
    <row r="22">
      <c r="A22" s="6" t="inlineStr">
        <is>
          <t>Emotional Shockwave</t>
        </is>
      </c>
      <c r="B22" s="7" t="inlineStr">
        <is>
          <t>+7</t>
        </is>
      </c>
      <c r="C22" s="7" t="inlineStr">
        <is>
          <t>3d8</t>
        </is>
      </c>
      <c r="D22" s="7" t="n">
        <v>4</v>
      </c>
      <c r="E22" s="7">
        <f>C22+D22</f>
        <v/>
      </c>
      <c r="F22" s="6" t="inlineStr">
        <is>
          <t>Nen Damage Fortitude DC18 or triggers emotional materialization</t>
        </is>
      </c>
    </row>
    <row r="23"/>
    <row r="24">
      <c r="A24" s="2" t="inlineStr">
        <is>
          <t>Special Ability</t>
        </is>
      </c>
      <c r="B24" s="3" t="n"/>
      <c r="C24" s="3" t="n"/>
      <c r="D24" s="3" t="n"/>
      <c r="E24" s="3" t="n"/>
      <c r="F24" s="4" t="n"/>
    </row>
    <row r="25">
      <c r="A25" s="6" t="inlineStr">
        <is>
          <t>Liquid Form: Physical attacks have disadvantage.</t>
        </is>
      </c>
      <c r="B25" s="3" t="n"/>
      <c r="C25" s="3" t="n"/>
      <c r="D25" s="3" t="n"/>
      <c r="E25" s="3" t="n"/>
      <c r="F25" s="4" t="n"/>
    </row>
    <row r="26">
      <c r="A26" s="6" t="inlineStr">
        <is>
          <t>Emotional Link: The guardian's attributes change with the PC's current emotion (Sadness → Attack +2, Calm → Armor Class (AC) -3).</t>
        </is>
      </c>
      <c r="B26" s="3" t="n"/>
      <c r="C26" s="3" t="n"/>
      <c r="D26" s="3" t="n"/>
      <c r="E26" s="3" t="n"/>
      <c r="F26" s="4" t="n"/>
    </row>
    <row r="27">
      <c r="A27" s="6" t="inlineStr">
        <is>
          <t>Range Limit: Cannot leave the Tear Sea area.</t>
        </is>
      </c>
      <c r="B27" s="3" t="n"/>
      <c r="C27" s="3" t="n"/>
      <c r="D27" s="3" t="n"/>
      <c r="E27" s="3" t="n"/>
      <c r="F27" s="4" t="n"/>
    </row>
    <row r="28"/>
    <row r="29">
      <c r="A29" s="2" t="inlineStr">
        <is>
          <t>Drop / Loot</t>
        </is>
      </c>
      <c r="B29" s="3" t="n"/>
      <c r="C29" s="3" t="n"/>
      <c r="D29" s="3" t="n"/>
      <c r="E29" s="3" t="n"/>
      <c r="F29" s="4" t="n"/>
    </row>
    <row r="30">
      <c r="A30" s="6" t="inlineStr">
        <is>
          <t>Emotion Crystal ×2</t>
        </is>
      </c>
      <c r="B30" s="3" t="n"/>
      <c r="C30" s="3" t="n"/>
      <c r="D30" s="3" t="n"/>
      <c r="E30" s="3" t="n"/>
      <c r="F30" s="4" t="n"/>
    </row>
  </sheetData>
  <mergeCells count="11">
    <mergeCell ref="A24:F24"/>
    <mergeCell ref="A3:F3"/>
    <mergeCell ref="A1:F1"/>
    <mergeCell ref="A27:F27"/>
    <mergeCell ref="A15:F15"/>
    <mergeCell ref="A26:F26"/>
    <mergeCell ref="A30:F30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Hunter × Hunter TRPG Enemy: Judge (Afterimage of the First Civilization)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Name</t>
        </is>
      </c>
      <c r="B4" s="6" t="inlineStr">
        <is>
          <t>Judge (Afterimage of the First Civilization)</t>
        </is>
      </c>
    </row>
    <row r="5">
      <c r="A5" s="5" t="inlineStr">
        <is>
          <t>Challenge Rating (CR)</t>
        </is>
      </c>
      <c r="B5" s="6" t="inlineStr">
        <is>
          <t>20</t>
        </is>
      </c>
    </row>
    <row r="6">
      <c r="A6" s="5" t="inlineStr">
        <is>
          <t>Type</t>
        </is>
      </c>
      <c r="B6" s="6" t="inlineStr">
        <is>
          <t>Ultimate Boss (Not Must-Fight)</t>
        </is>
      </c>
    </row>
    <row r="7">
      <c r="A7" s="5" t="inlineStr">
        <is>
          <t>XP Reward</t>
        </is>
      </c>
      <c r="B7" s="6" t="inlineStr">
        <is>
          <t>500 Experience Points (XP) (if defeated)</t>
        </is>
      </c>
    </row>
    <row r="8">
      <c r="A8" s="2" t="inlineStr">
        <is>
          <t>Base Attributes</t>
        </is>
      </c>
      <c r="B8" s="3" t="n"/>
      <c r="C8" s="3" t="n"/>
      <c r="D8" s="3" t="n"/>
      <c r="E8" s="3" t="n"/>
      <c r="F8" s="4" t="n"/>
    </row>
    <row r="9">
      <c r="A9" s="8" t="inlineStr">
        <is>
          <t>Attributes</t>
        </is>
      </c>
      <c r="B9" s="8" t="inlineStr">
        <is>
          <t>Value</t>
        </is>
      </c>
      <c r="C9" s="8" t="inlineStr">
        <is>
          <t>Modifier</t>
        </is>
      </c>
    </row>
    <row r="10">
      <c r="A10" s="5" t="inlineStr">
        <is>
          <t>Constitution Constitution (CON)</t>
        </is>
      </c>
      <c r="B10" s="7" t="n">
        <v>22</v>
      </c>
      <c r="C10" s="9">
        <f>FLOOR.MATH((B10-10)/2)</f>
        <v/>
      </c>
    </row>
    <row r="11">
      <c r="A11" s="5" t="inlineStr">
        <is>
          <t>Dexterity Dexterity (DEX)</t>
        </is>
      </c>
      <c r="B11" s="7" t="n">
        <v>18</v>
      </c>
      <c r="C11" s="9">
        <f>FLOOR.MATH((B11-10)/2)</f>
        <v/>
      </c>
    </row>
    <row r="12">
      <c r="A12" s="5" t="inlineStr">
        <is>
          <t>Perception Perception (PER)</t>
        </is>
      </c>
      <c r="B12" s="7" t="n">
        <v>24</v>
      </c>
      <c r="C12" s="9">
        <f>FLOOR.MATH((B12-10)/2)</f>
        <v/>
      </c>
    </row>
    <row r="13">
      <c r="A13" s="5" t="inlineStr">
        <is>
          <t>Intelligence Intelligence (INT)</t>
        </is>
      </c>
      <c r="B13" s="7" t="n">
        <v>28</v>
      </c>
      <c r="C13" s="9">
        <f>FLOOR.MATH((B13-10)/2)</f>
        <v/>
      </c>
    </row>
    <row r="14">
      <c r="A14" s="5" t="inlineStr">
        <is>
          <t>Willpower Willpower (WIL)</t>
        </is>
      </c>
      <c r="B14" s="7" t="n">
        <v>26</v>
      </c>
      <c r="C14" s="9">
        <f>FLOOR.MATH((B14-10)/2)</f>
        <v/>
      </c>
    </row>
    <row r="15">
      <c r="A15" s="5" t="inlineStr">
        <is>
          <t>Charisma Charisma (CHA)</t>
        </is>
      </c>
      <c r="B15" s="7" t="n">
        <v>20</v>
      </c>
      <c r="C15" s="9">
        <f>FLOOR.MATH((B15-10)/2)</f>
        <v/>
      </c>
    </row>
    <row r="16"/>
    <row r="17">
      <c r="A17" s="2" t="inlineStr">
        <is>
          <t>Combat Values (Three Phases)</t>
        </is>
      </c>
      <c r="B17" s="3" t="n"/>
      <c r="C17" s="3" t="n"/>
      <c r="D17" s="3" t="n"/>
      <c r="E17" s="3" t="n"/>
      <c r="F17" s="4" t="n"/>
    </row>
    <row r="18">
      <c r="A18" s="5" t="inlineStr">
        <is>
          <t>Hit Points (HP) (Total)</t>
        </is>
      </c>
      <c r="B18" s="7" t="n">
        <v>400</v>
      </c>
    </row>
    <row r="19">
      <c r="A19" s="5" t="inlineStr">
        <is>
          <t>Spirit Points (SP) (auto)</t>
        </is>
      </c>
      <c r="B19" s="7">
        <f>B14*5+10</f>
        <v/>
      </c>
    </row>
    <row r="20">
      <c r="A20" s="5" t="inlineStr">
        <is>
          <t>Armor Class (AC)</t>
        </is>
      </c>
      <c r="B20" s="7" t="n">
        <v>24</v>
      </c>
    </row>
    <row r="21">
      <c r="A21" s="5" t="inlineStr">
        <is>
          <t>Initiative (auto)</t>
        </is>
      </c>
      <c r="B21" s="7">
        <f>C10+F10</f>
        <v/>
      </c>
    </row>
    <row r="22"/>
    <row r="23">
      <c r="A23" s="2" t="inlineStr">
        <is>
          <t>Three-Phase Mechanism</t>
        </is>
      </c>
      <c r="B23" s="3" t="n"/>
      <c r="C23" s="3" t="n"/>
      <c r="D23" s="3" t="n"/>
      <c r="E23" s="3" t="n"/>
      <c r="F23" s="4" t="n"/>
    </row>
    <row r="24">
      <c r="A24" s="6" t="inlineStr">
        <is>
          <t>Phase 1 (HP 100%~66%): Arbitration of Light—the Judge uses First Civilization light-energy attacks, d20+14 to hit, 4d10 energy damage. 2 attacks per turn.</t>
        </is>
      </c>
      <c r="B24" s="3" t="n"/>
      <c r="C24" s="3" t="n"/>
      <c r="D24" s="3" t="n"/>
      <c r="E24" s="3" t="n"/>
      <c r="F24" s="4" t="n"/>
    </row>
    <row r="25">
      <c r="A25" s="6" t="inlineStr">
        <is>
          <t>Phase 2 (HP 66%~33%): Gravity Domain—the Judge expands a gravity field; all within range have halved Movement, each turn Fortitude DC 22 or fall prone. Attacks become 3/turn.</t>
        </is>
      </c>
      <c r="B25" s="3" t="n"/>
      <c r="C25" s="3" t="n"/>
      <c r="D25" s="3" t="n"/>
      <c r="E25" s="3" t="n"/>
      <c r="F25" s="4" t="n"/>
    </row>
    <row r="26">
      <c r="A26" s="6" t="inlineStr">
        <is>
          <t>Phase 3 (HP 33%~0%): Judgment Termination—the Judge releases the First Civilization's ultimate weapon: Spatial Severance. Range 30m, Reflex DC 25 or 5d12 force-field damage. Requires 2-turn cooldown after use.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Special Mechanism</t>
        </is>
      </c>
      <c r="B28" s="3" t="n"/>
      <c r="C28" s="3" t="n"/>
      <c r="D28" s="3" t="n"/>
      <c r="E28" s="3" t="n"/>
      <c r="F28" s="4" t="n"/>
    </row>
    <row r="29">
      <c r="A29" s="6" t="inlineStr">
        <is>
          <t>The Judge is not a must-fight enemy. Dialogue judgment is the main gameplay content.</t>
        </is>
      </c>
      <c r="B29" s="3" t="n"/>
      <c r="C29" s="3" t="n"/>
      <c r="D29" s="3" t="n"/>
      <c r="E29" s="3" t="n"/>
      <c r="F29" s="4" t="n"/>
    </row>
    <row r="30">
      <c r="A30" s="6" t="inlineStr">
        <is>
          <t>The Judge only enters combat mode if the PCs initiate an attack. PCs may cease fighting at any turn.</t>
        </is>
      </c>
      <c r="B30" s="3" t="n"/>
      <c r="C30" s="3" t="n"/>
      <c r="D30" s="3" t="n"/>
      <c r="E30" s="3" t="n"/>
      <c r="F30" s="4" t="n"/>
    </row>
    <row r="31"/>
    <row r="32">
      <c r="A32" s="2" t="inlineStr">
        <is>
          <t>Drop</t>
        </is>
      </c>
      <c r="B32" s="3" t="n"/>
      <c r="C32" s="3" t="n"/>
      <c r="D32" s="3" t="n"/>
      <c r="E32" s="3" t="n"/>
      <c r="F32" s="4" t="n"/>
    </row>
    <row r="33">
      <c r="A33" s="6" t="inlineStr">
        <is>
          <t>First Civilization Omniscience Crystal (Ultimate Question once), Experience Points (XP) 100 (dialogue passed) / 500 (defeated)</t>
        </is>
      </c>
      <c r="B33" s="3" t="n"/>
      <c r="C33" s="3" t="n"/>
      <c r="D33" s="3" t="n"/>
      <c r="E33" s="3" t="n"/>
      <c r="F33" s="4" t="n"/>
    </row>
  </sheetData>
  <mergeCells count="13">
    <mergeCell ref="A24:F24"/>
    <mergeCell ref="A33:F33"/>
    <mergeCell ref="A28:F28"/>
    <mergeCell ref="A3:F3"/>
    <mergeCell ref="A1:F1"/>
    <mergeCell ref="A23:F23"/>
    <mergeCell ref="A32:F32"/>
    <mergeCell ref="A8:F8"/>
    <mergeCell ref="A17:F17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Hunter × Hunter TRPG Enemy: Brion Combat-type Mech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Name</t>
        </is>
      </c>
      <c r="B4" s="6" t="inlineStr">
        <is>
          <t>Brion Combat-type Mech</t>
        </is>
      </c>
    </row>
    <row r="5">
      <c r="A5" s="5" t="inlineStr">
        <is>
          <t>Challenge Rating (CR)</t>
        </is>
      </c>
      <c r="B5" s="6" t="inlineStr">
        <is>
          <t>8</t>
        </is>
      </c>
    </row>
    <row r="6">
      <c r="A6" s="5" t="inlineStr">
        <is>
          <t>Type</t>
        </is>
      </c>
      <c r="B6" s="6" t="inlineStr">
        <is>
          <t>Mid-boss-level (Autonomous Weapon)</t>
        </is>
      </c>
    </row>
    <row r="7">
      <c r="A7" s="5" t="inlineStr">
        <is>
          <t>XP Reward</t>
        </is>
      </c>
      <c r="B7" s="6" t="inlineStr">
        <is>
          <t>200 Experience Points (XP)</t>
        </is>
      </c>
    </row>
    <row r="8">
      <c r="A8" s="2" t="inlineStr">
        <is>
          <t>Base Attributes</t>
        </is>
      </c>
      <c r="B8" s="3" t="n"/>
      <c r="C8" s="3" t="n"/>
      <c r="D8" s="3" t="n"/>
      <c r="E8" s="3" t="n"/>
      <c r="F8" s="4" t="n"/>
    </row>
    <row r="9">
      <c r="A9" s="8" t="inlineStr">
        <is>
          <t>Attributes</t>
        </is>
      </c>
      <c r="B9" s="8" t="inlineStr">
        <is>
          <t>Value</t>
        </is>
      </c>
      <c r="C9" s="8" t="inlineStr">
        <is>
          <t>Modifier</t>
        </is>
      </c>
    </row>
    <row r="10">
      <c r="A10" s="5" t="inlineStr">
        <is>
          <t>Constitution Constitution (CON)</t>
        </is>
      </c>
      <c r="B10" s="7" t="n">
        <v>18</v>
      </c>
      <c r="C10" s="9">
        <f>FLOOR.MATH((B10-10)/2)</f>
        <v/>
      </c>
    </row>
    <row r="11">
      <c r="A11" s="5" t="inlineStr">
        <is>
          <t>Dexterity Dexterity (DEX)</t>
        </is>
      </c>
      <c r="B11" s="7" t="n">
        <v>14</v>
      </c>
      <c r="C11" s="9">
        <f>FLOOR.MATH((B11-10)/2)</f>
        <v/>
      </c>
    </row>
    <row r="12">
      <c r="A12" s="5" t="inlineStr">
        <is>
          <t>Perception Perception (PER)</t>
        </is>
      </c>
      <c r="B12" s="7" t="n">
        <v>16</v>
      </c>
      <c r="C12" s="9">
        <f>FLOOR.MATH((B12-10)/2)</f>
        <v/>
      </c>
    </row>
    <row r="13">
      <c r="A13" s="5" t="inlineStr">
        <is>
          <t>Intelligence Intelligence (INT)</t>
        </is>
      </c>
      <c r="B13" s="7" t="n">
        <v>2</v>
      </c>
      <c r="C13" s="9">
        <f>FLOOR.MATH((B13-10)/2)</f>
        <v/>
      </c>
    </row>
    <row r="14">
      <c r="A14" s="5" t="inlineStr">
        <is>
          <t>Willpower Willpower (WIL)</t>
        </is>
      </c>
      <c r="B14" s="7" t="n">
        <v>10</v>
      </c>
      <c r="C14" s="9">
        <f>FLOOR.MATH((B14-10)/2)</f>
        <v/>
      </c>
    </row>
    <row r="15">
      <c r="A15" s="5" t="inlineStr">
        <is>
          <t>Charisma Charisma (CHA)</t>
        </is>
      </c>
      <c r="B15" s="7" t="n">
        <v>1</v>
      </c>
      <c r="C15" s="9">
        <f>FLOOR.MATH((B15-10)/2)</f>
        <v/>
      </c>
    </row>
    <row r="16"/>
    <row r="17">
      <c r="A17" s="5" t="inlineStr">
        <is>
          <t>Hit Points (HP)</t>
        </is>
      </c>
      <c r="B17" s="7" t="n">
        <v>100</v>
      </c>
    </row>
    <row r="18">
      <c r="A18" s="5" t="inlineStr">
        <is>
          <t>Spirit Points (SP)</t>
        </is>
      </c>
      <c r="B18" s="7">
        <f>B14*5+10</f>
        <v/>
      </c>
    </row>
    <row r="19">
      <c r="A19" s="5" t="inlineStr">
        <is>
          <t>Armor Class (AC)</t>
        </is>
      </c>
      <c r="B19" s="7" t="n">
        <v>20</v>
      </c>
    </row>
    <row r="20">
      <c r="A20" s="5" t="inlineStr">
        <is>
          <t>Initiative (auto)</t>
        </is>
      </c>
      <c r="B20" s="7">
        <f>C10+F10</f>
        <v/>
      </c>
    </row>
    <row r="21">
      <c r="A21" s="5" t="inlineStr">
        <is>
          <t>Nen Defense (auto)</t>
        </is>
      </c>
      <c r="B21" s="7">
        <f>C14</f>
        <v/>
      </c>
    </row>
    <row r="22">
      <c r="A22" s="5" t="inlineStr">
        <is>
          <t>Movement</t>
        </is>
      </c>
      <c r="B22" s="7">
        <f>B10</f>
        <v/>
      </c>
    </row>
    <row r="23"/>
    <row r="24">
      <c r="A24" s="8" t="inlineStr">
        <is>
          <t>Attack Name</t>
        </is>
      </c>
      <c r="B24" s="8" t="inlineStr">
        <is>
          <t>Hit</t>
        </is>
      </c>
      <c r="C24" s="8" t="inlineStr">
        <is>
          <t>Damage Die</t>
        </is>
      </c>
      <c r="D24" s="8" t="inlineStr">
        <is>
          <t>Damage Modifier</t>
        </is>
      </c>
      <c r="E24" s="8" t="inlineStr">
        <is>
          <t>Total Damage</t>
        </is>
      </c>
      <c r="F24" s="8" t="inlineStr">
        <is>
          <t>Notes</t>
        </is>
      </c>
    </row>
    <row r="25">
      <c r="A25" s="6" t="inlineStr">
        <is>
          <t>Energy Ray</t>
        </is>
      </c>
      <c r="B25" s="7" t="inlineStr">
        <is>
          <t>d20+9</t>
        </is>
      </c>
      <c r="C25" s="7" t="inlineStr">
        <is>
          <t>3d8</t>
        </is>
      </c>
      <c r="D25" s="7" t="n">
        <v>0</v>
      </c>
      <c r="E25" s="7">
        <f>C25+D25</f>
        <v/>
      </c>
      <c r="F25" s="6" t="inlineStr">
        <is>
          <t>Energy Damage Ignores Physical Armor</t>
        </is>
      </c>
    </row>
    <row r="26"/>
    <row r="27">
      <c r="A27" s="6" t="inlineStr">
        <is>
          <t>Alloy Armor: Physical attack damage reduced by -5.</t>
        </is>
      </c>
      <c r="B27" s="3" t="n"/>
      <c r="C27" s="3" t="n"/>
      <c r="D27" s="3" t="n"/>
      <c r="E27" s="3" t="n"/>
      <c r="F27" s="4" t="n"/>
    </row>
    <row r="28">
      <c r="A28" s="6" t="inlineStr">
        <is>
          <t>Weakness: Electric attacks deal double damage.</t>
        </is>
      </c>
      <c r="B28" s="3" t="n"/>
      <c r="C28" s="3" t="n"/>
      <c r="D28" s="3" t="n"/>
      <c r="E28" s="3" t="n"/>
      <c r="F28" s="4" t="n"/>
    </row>
    <row r="29">
      <c r="A29" s="6" t="inlineStr">
        <is>
          <t>Hack: Intelligence DC22 can paralyze it for 1d4 turns.</t>
        </is>
      </c>
      <c r="B29" s="3" t="n"/>
      <c r="C29" s="3" t="n"/>
      <c r="D29" s="3" t="n"/>
      <c r="E29" s="3" t="n"/>
      <c r="F29" s="4" t="n"/>
    </row>
    <row r="30">
      <c r="A30" s="6" t="inlineStr">
        <is>
          <t>Mindless: Immune to all mental status effects.</t>
        </is>
      </c>
      <c r="B30" s="3" t="n"/>
      <c r="C30" s="3" t="n"/>
      <c r="D30" s="3" t="n"/>
      <c r="E30" s="3" t="n"/>
      <c r="F30" s="4" t="n"/>
    </row>
    <row r="31"/>
    <row r="32">
      <c r="A32" s="2" t="inlineStr">
        <is>
          <t>Drop</t>
        </is>
      </c>
      <c r="B32" s="3" t="n"/>
      <c r="C32" s="3" t="n"/>
      <c r="D32" s="3" t="n"/>
      <c r="E32" s="3" t="n"/>
      <c r="F32" s="4" t="n"/>
    </row>
    <row r="33">
      <c r="A33" s="6" t="inlineStr">
        <is>
          <t>Brion Alloy Fragment (Legendary armor material), Experience Points (XP) 200</t>
        </is>
      </c>
      <c r="B33" s="3" t="n"/>
      <c r="C33" s="3" t="n"/>
      <c r="D33" s="3" t="n"/>
      <c r="E33" s="3" t="n"/>
      <c r="F33" s="4" t="n"/>
    </row>
  </sheetData>
  <mergeCells count="9">
    <mergeCell ref="A33:F33"/>
    <mergeCell ref="A28:F28"/>
    <mergeCell ref="A1:F1"/>
    <mergeCell ref="A32:F32"/>
    <mergeCell ref="A27:F27"/>
    <mergeCell ref="A8:F8"/>
    <mergeCell ref="A3:F3"/>
    <mergeCell ref="A30:F30"/>
    <mergeCell ref="A29:F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Hunter × Hunter TRPG Enemy: Brion Command-type Mech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Name</t>
        </is>
      </c>
      <c r="B4" s="6" t="inlineStr">
        <is>
          <t>Brion Command-type Mech</t>
        </is>
      </c>
    </row>
    <row r="5">
      <c r="A5" s="5" t="inlineStr">
        <is>
          <t>Challenge Rating (CR)</t>
        </is>
      </c>
      <c r="B5" s="6" t="inlineStr">
        <is>
          <t>12</t>
        </is>
      </c>
    </row>
    <row r="6">
      <c r="A6" s="5" t="inlineStr">
        <is>
          <t>Type</t>
        </is>
      </c>
      <c r="B6" s="6" t="inlineStr">
        <is>
          <t>Boss-level (Command Core)</t>
        </is>
      </c>
    </row>
    <row r="7">
      <c r="A7" s="5" t="inlineStr">
        <is>
          <t>XP Reward</t>
        </is>
      </c>
      <c r="B7" s="6" t="inlineStr">
        <is>
          <t>350 Experience Points (XP)</t>
        </is>
      </c>
    </row>
    <row r="8">
      <c r="A8" s="2" t="inlineStr">
        <is>
          <t>Base Attributes</t>
        </is>
      </c>
      <c r="B8" s="3" t="n"/>
      <c r="C8" s="3" t="n"/>
      <c r="D8" s="3" t="n"/>
      <c r="E8" s="3" t="n"/>
      <c r="F8" s="4" t="n"/>
    </row>
    <row r="9">
      <c r="A9" s="8" t="inlineStr">
        <is>
          <t>Attributes</t>
        </is>
      </c>
      <c r="B9" s="8" t="inlineStr">
        <is>
          <t>Value</t>
        </is>
      </c>
      <c r="C9" s="8" t="inlineStr">
        <is>
          <t>Modifier</t>
        </is>
      </c>
    </row>
    <row r="10">
      <c r="A10" s="5" t="inlineStr">
        <is>
          <t>Constitution Constitution (CON)</t>
        </is>
      </c>
      <c r="B10" s="7" t="n">
        <v>20</v>
      </c>
      <c r="C10" s="9">
        <f>FLOOR.MATH((B10-10)/2)</f>
        <v/>
      </c>
    </row>
    <row r="11">
      <c r="A11" s="5" t="inlineStr">
        <is>
          <t>Dexterity Dexterity (DEX)</t>
        </is>
      </c>
      <c r="B11" s="7" t="n">
        <v>12</v>
      </c>
      <c r="C11" s="9">
        <f>FLOOR.MATH((B11-10)/2)</f>
        <v/>
      </c>
    </row>
    <row r="12">
      <c r="A12" s="5" t="inlineStr">
        <is>
          <t>Perception Perception (PER)</t>
        </is>
      </c>
      <c r="B12" s="7" t="n">
        <v>20</v>
      </c>
      <c r="C12" s="9">
        <f>FLOOR.MATH((B12-10)/2)</f>
        <v/>
      </c>
    </row>
    <row r="13">
      <c r="A13" s="5" t="inlineStr">
        <is>
          <t>Intelligence Intelligence (INT)</t>
        </is>
      </c>
      <c r="B13" s="7" t="n">
        <v>10</v>
      </c>
      <c r="C13" s="9">
        <f>FLOOR.MATH((B13-10)/2)</f>
        <v/>
      </c>
    </row>
    <row r="14">
      <c r="A14" s="5" t="inlineStr">
        <is>
          <t>Willpower Willpower (WIL)</t>
        </is>
      </c>
      <c r="B14" s="7" t="n">
        <v>16</v>
      </c>
      <c r="C14" s="9">
        <f>FLOOR.MATH((B14-10)/2)</f>
        <v/>
      </c>
    </row>
    <row r="15">
      <c r="A15" s="5" t="inlineStr">
        <is>
          <t>Charisma Charisma (CHA)</t>
        </is>
      </c>
      <c r="B15" s="7" t="n">
        <v>1</v>
      </c>
      <c r="C15" s="9">
        <f>FLOOR.MATH((B15-10)/2)</f>
        <v/>
      </c>
    </row>
    <row r="16"/>
    <row r="17">
      <c r="A17" s="5" t="inlineStr">
        <is>
          <t>Hit Points (HP)</t>
        </is>
      </c>
      <c r="B17" s="7" t="n">
        <v>200</v>
      </c>
    </row>
    <row r="18">
      <c r="A18" s="5" t="inlineStr">
        <is>
          <t>Spirit Points (SP)</t>
        </is>
      </c>
      <c r="B18" s="7">
        <f>B14*5+20</f>
        <v/>
      </c>
    </row>
    <row r="19">
      <c r="A19" s="5" t="inlineStr">
        <is>
          <t>Armor Class (AC)</t>
        </is>
      </c>
      <c r="B19" s="7" t="n">
        <v>22</v>
      </c>
    </row>
    <row r="20">
      <c r="A20" s="5" t="inlineStr">
        <is>
          <t>Initiative (auto)</t>
        </is>
      </c>
      <c r="B20" s="7">
        <f>C10+F10</f>
        <v/>
      </c>
    </row>
    <row r="21">
      <c r="A21" s="5" t="inlineStr">
        <is>
          <t>Nen Defense (auto)</t>
        </is>
      </c>
      <c r="B21" s="7">
        <f>C14</f>
        <v/>
      </c>
    </row>
    <row r="22">
      <c r="A22" s="5" t="inlineStr">
        <is>
          <t>Movement</t>
        </is>
      </c>
      <c r="B22" s="7">
        <f>B10</f>
        <v/>
      </c>
    </row>
    <row r="23"/>
    <row r="24">
      <c r="A24" s="8" t="inlineStr">
        <is>
          <t>Attack Name</t>
        </is>
      </c>
      <c r="B24" s="8" t="inlineStr">
        <is>
          <t>Hit</t>
        </is>
      </c>
      <c r="C24" s="8" t="inlineStr">
        <is>
          <t>Damage Die</t>
        </is>
      </c>
      <c r="D24" s="8" t="inlineStr">
        <is>
          <t>Damage Modifier</t>
        </is>
      </c>
      <c r="E24" s="8" t="inlineStr">
        <is>
          <t>Total Damage</t>
        </is>
      </c>
      <c r="F24" s="8" t="inlineStr">
        <is>
          <t>Notes</t>
        </is>
      </c>
    </row>
    <row r="25">
      <c r="A25" s="6" t="inlineStr">
        <is>
          <t>Enhanced Energy Ray</t>
        </is>
      </c>
      <c r="B25" s="7" t="inlineStr">
        <is>
          <t>d20+11</t>
        </is>
      </c>
      <c r="C25" s="7" t="inlineStr">
        <is>
          <t>4d8</t>
        </is>
      </c>
      <c r="D25" s="7" t="n">
        <v>0</v>
      </c>
      <c r="E25" s="7">
        <f>C25+D25</f>
        <v/>
      </c>
      <c r="F25" s="6" t="inlineStr">
        <is>
          <t>Energy Damage Ignores Physical Armor</t>
        </is>
      </c>
    </row>
    <row r="26"/>
    <row r="27">
      <c r="A27" s="6" t="inlineStr">
        <is>
          <t>Command Coordination: Each turn can grant 1 other mech an extra attack.</t>
        </is>
      </c>
      <c r="B27" s="3" t="n"/>
      <c r="C27" s="3" t="n"/>
      <c r="D27" s="3" t="n"/>
      <c r="E27" s="3" t="n"/>
      <c r="F27" s="4" t="n"/>
    </row>
    <row r="28">
      <c r="A28" s="6" t="inlineStr">
        <is>
          <t>Enhanced Shield: Automatically recovers 10 Hit Points (HP) each turn.</t>
        </is>
      </c>
      <c r="B28" s="3" t="n"/>
      <c r="C28" s="3" t="n"/>
      <c r="D28" s="3" t="n"/>
      <c r="E28" s="3" t="n"/>
      <c r="F28" s="4" t="n"/>
    </row>
    <row r="29">
      <c r="A29" s="6" t="inlineStr">
        <is>
          <t>Weakness: The console is beside the command core—input the shutdown code (Intelligence + Nen Knowledge DC25 + 3 people pressing switches simultaneously) to shut down all mechs.</t>
        </is>
      </c>
      <c r="B29" s="3" t="n"/>
      <c r="C29" s="3" t="n"/>
      <c r="D29" s="3" t="n"/>
      <c r="E29" s="3" t="n"/>
      <c r="F29" s="4" t="n"/>
    </row>
    <row r="30">
      <c r="A30" s="6" t="inlineStr">
        <is>
          <t>Alloy Armor: Physical attack damage reduced by -5.</t>
        </is>
      </c>
      <c r="B30" s="3" t="n"/>
      <c r="C30" s="3" t="n"/>
      <c r="D30" s="3" t="n"/>
      <c r="E30" s="3" t="n"/>
      <c r="F30" s="4" t="n"/>
    </row>
    <row r="31">
      <c r="A31" s="6" t="inlineStr">
        <is>
          <t>Mindless: Immune to all mental status effects.</t>
        </is>
      </c>
      <c r="B31" s="3" t="n"/>
      <c r="C31" s="3" t="n"/>
      <c r="D31" s="3" t="n"/>
      <c r="E31" s="3" t="n"/>
      <c r="F31" s="4" t="n"/>
    </row>
    <row r="32"/>
    <row r="33">
      <c r="A33" s="2" t="inlineStr">
        <is>
          <t>Drop</t>
        </is>
      </c>
      <c r="B33" s="3" t="n"/>
      <c r="C33" s="3" t="n"/>
      <c r="D33" s="3" t="n"/>
      <c r="E33" s="3" t="n"/>
      <c r="F33" s="4" t="n"/>
    </row>
    <row r="34">
      <c r="A34" s="6" t="inlineStr">
        <is>
          <t>Brion Control Core (summons CR4 scout mech, upkeep SP3/turn), Experience Points (XP) 350</t>
        </is>
      </c>
      <c r="B34" s="3" t="n"/>
      <c r="C34" s="3" t="n"/>
      <c r="D34" s="3" t="n"/>
      <c r="E34" s="3" t="n"/>
      <c r="F34" s="4" t="n"/>
    </row>
  </sheetData>
  <mergeCells count="10">
    <mergeCell ref="A33:F33"/>
    <mergeCell ref="A28:F28"/>
    <mergeCell ref="A1:F1"/>
    <mergeCell ref="A27:F27"/>
    <mergeCell ref="A8:F8"/>
    <mergeCell ref="A31:F31"/>
    <mergeCell ref="A34:F34"/>
    <mergeCell ref="A3:F3"/>
    <mergeCell ref="A30:F30"/>
    <mergeCell ref="A29:F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Enemy: Phantom Troupe · Combatant A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6" t="inlineStr">
        <is>
          <t>Phantom Troupe · Combatant A</t>
        </is>
      </c>
      <c r="C4" s="5" t="inlineStr">
        <is>
          <t>Challenge Rating (CR)</t>
        </is>
      </c>
      <c r="D4" s="7" t="inlineStr">
        <is>
          <t>6</t>
        </is>
      </c>
    </row>
    <row r="5">
      <c r="A5" s="5" t="inlineStr">
        <is>
          <t>Type</t>
        </is>
      </c>
      <c r="B5" s="6" t="inlineStr">
        <is>
          <t>Mid-boss-level (Troupe Outer Member)</t>
        </is>
      </c>
    </row>
    <row r="6"/>
    <row r="7">
      <c r="A7" s="2" t="inlineStr">
        <is>
          <t>Base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</row>
    <row r="9">
      <c r="A9" s="5" t="inlineStr">
        <is>
          <t>Constitution</t>
        </is>
      </c>
      <c r="B9" s="7" t="n">
        <v>16</v>
      </c>
      <c r="C9" s="9">
        <f>FLOOR.MATH((B9-10)/2)</f>
        <v/>
      </c>
    </row>
    <row r="10">
      <c r="A10" s="5" t="inlineStr">
        <is>
          <t>Dexterity</t>
        </is>
      </c>
      <c r="B10" s="7" t="n">
        <v>15</v>
      </c>
      <c r="C10" s="9">
        <f>FLOOR.MATH((B10-10)/2)</f>
        <v/>
      </c>
    </row>
    <row r="11">
      <c r="A11" s="5" t="inlineStr">
        <is>
          <t>Perception</t>
        </is>
      </c>
      <c r="B11" s="7" t="n">
        <v>12</v>
      </c>
      <c r="C11" s="9">
        <f>FLOOR.MATH((B11-10)/2)</f>
        <v/>
      </c>
    </row>
    <row r="12">
      <c r="A12" s="5" t="inlineStr">
        <is>
          <t>Intelligence</t>
        </is>
      </c>
      <c r="B12" s="7" t="n">
        <v>10</v>
      </c>
      <c r="C12" s="9">
        <f>FLOOR.MATH((B12-10)/2)</f>
        <v/>
      </c>
    </row>
    <row r="13">
      <c r="A13" s="5" t="inlineStr">
        <is>
          <t>Willpower</t>
        </is>
      </c>
      <c r="B13" s="7" t="n">
        <v>14</v>
      </c>
      <c r="C13" s="9">
        <f>FLOOR.MATH((B13-10)/2)</f>
        <v/>
      </c>
    </row>
    <row r="14">
      <c r="A14" s="5" t="inlineStr">
        <is>
          <t>Charisma</t>
        </is>
      </c>
      <c r="B14" s="7" t="n">
        <v>8</v>
      </c>
      <c r="C14" s="9">
        <f>FLOOR.MATH((B14-10)/2)</f>
        <v/>
      </c>
    </row>
    <row r="15">
      <c r="A15" s="2" t="inlineStr">
        <is>
          <t>Combat Values</t>
        </is>
      </c>
      <c r="B15" s="3" t="n"/>
      <c r="C15" s="3" t="n"/>
      <c r="D15" s="3" t="n"/>
      <c r="E15" s="3" t="n"/>
      <c r="F15" s="4" t="n"/>
    </row>
    <row r="16">
      <c r="A16" s="5" t="inlineStr">
        <is>
          <t>Hit Points (HP)</t>
        </is>
      </c>
      <c r="B16" s="7" t="n">
        <v>110</v>
      </c>
      <c r="C16" s="5" t="inlineStr">
        <is>
          <t>Spirit Points (SP) (auto)</t>
        </is>
      </c>
      <c r="D16" s="7">
        <f>B14*5+10</f>
        <v/>
      </c>
    </row>
    <row r="17">
      <c r="A17" s="5" t="inlineStr">
        <is>
          <t>Armor Class (AC)</t>
        </is>
      </c>
      <c r="B17" s="7" t="n">
        <v>16</v>
      </c>
      <c r="C17" s="5" t="inlineStr">
        <is>
          <t>Initiative (auto)</t>
        </is>
      </c>
      <c r="D17" s="7">
        <f>C9+C10</f>
        <v/>
      </c>
    </row>
    <row r="18">
      <c r="A18" s="5" t="inlineStr">
        <is>
          <t>Nen Defense (auto)</t>
        </is>
      </c>
      <c r="B18" s="7">
        <f>C14</f>
        <v/>
      </c>
      <c r="C18" s="5" t="inlineStr">
        <is>
          <t>Movement</t>
        </is>
      </c>
      <c r="D18" s="7">
        <f>B9</f>
        <v/>
      </c>
    </row>
    <row r="19"/>
    <row r="20">
      <c r="A20" s="2" t="inlineStr">
        <is>
          <t>Attack</t>
        </is>
      </c>
      <c r="B20" s="3" t="n"/>
      <c r="C20" s="3" t="n"/>
      <c r="D20" s="3" t="n"/>
      <c r="E20" s="3" t="n"/>
      <c r="F20" s="4" t="n"/>
    </row>
    <row r="21">
      <c r="A21" s="8" t="inlineStr">
        <is>
          <t>Attack Name</t>
        </is>
      </c>
      <c r="B21" s="8" t="inlineStr">
        <is>
          <t>Hit Bonus</t>
        </is>
      </c>
      <c r="C21" s="8" t="inlineStr">
        <is>
          <t>Damage Die</t>
        </is>
      </c>
      <c r="D21" s="8" t="inlineStr">
        <is>
          <t>Damage Modifier</t>
        </is>
      </c>
      <c r="E21" s="8" t="inlineStr">
        <is>
          <t>Total Damage</t>
        </is>
      </c>
      <c r="F21" s="8" t="inlineStr">
        <is>
          <t>Notes</t>
        </is>
      </c>
    </row>
    <row r="22">
      <c r="A22" s="6" t="inlineStr">
        <is>
          <t>Nen Blade</t>
        </is>
      </c>
      <c r="B22" s="7" t="inlineStr">
        <is>
          <t>+6</t>
        </is>
      </c>
      <c r="C22" s="7" t="inlineStr">
        <is>
          <t>2d8</t>
        </is>
      </c>
      <c r="D22" s="7" t="n">
        <v>2</v>
      </c>
      <c r="E22" s="7">
        <f>C22+D22</f>
        <v/>
      </c>
      <c r="F22" s="6" t="inlineStr">
        <is>
          <t>Willpower Modifier</t>
        </is>
      </c>
    </row>
    <row r="23"/>
    <row r="24">
      <c r="A24" s="2" t="inlineStr">
        <is>
          <t>Special Ability</t>
        </is>
      </c>
      <c r="B24" s="3" t="n"/>
      <c r="C24" s="3" t="n"/>
      <c r="D24" s="3" t="n"/>
      <c r="E24" s="3" t="n"/>
      <c r="F24" s="4" t="n"/>
    </row>
    <row r="25">
      <c r="A25" s="6" t="inlineStr">
        <is>
          <t>Troupe Combatant (Enhancement): Excels at frontal suppression.</t>
        </is>
      </c>
      <c r="B25" s="3" t="n"/>
      <c r="C25" s="3" t="n"/>
      <c r="D25" s="3" t="n"/>
      <c r="E25" s="3" t="n"/>
      <c r="F25" s="4" t="n"/>
    </row>
    <row r="26">
      <c r="A26" s="6" t="inlineStr">
        <is>
          <t>Will actively report to Troupe HQ upon encountering Hunters (does not linger in battle).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Drop / Loot</t>
        </is>
      </c>
      <c r="B28" s="3" t="n"/>
      <c r="C28" s="3" t="n"/>
      <c r="D28" s="3" t="n"/>
      <c r="E28" s="3" t="n"/>
      <c r="F28" s="4" t="n"/>
    </row>
    <row r="29">
      <c r="A29" s="6" t="inlineStr">
        <is>
          <t>Troupe Communication Device, Heart of Darkness (Quest Item)</t>
        </is>
      </c>
      <c r="B29" s="3" t="n"/>
      <c r="C29" s="3" t="n"/>
      <c r="D29" s="3" t="n"/>
      <c r="E29" s="3" t="n"/>
      <c r="F29" s="4" t="n"/>
    </row>
  </sheetData>
  <mergeCells count="10">
    <mergeCell ref="A24:F24"/>
    <mergeCell ref="A28:F28"/>
    <mergeCell ref="A3:F3"/>
    <mergeCell ref="A1:F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Enemy: Phantom Troupe · Support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6" t="inlineStr">
        <is>
          <t>Phantom Troupe · Support</t>
        </is>
      </c>
      <c r="C4" s="5" t="inlineStr">
        <is>
          <t>Challenge Rating (CR)</t>
        </is>
      </c>
      <c r="D4" s="7" t="inlineStr">
        <is>
          <t>4</t>
        </is>
      </c>
    </row>
    <row r="5">
      <c r="A5" s="5" t="inlineStr">
        <is>
          <t>Type</t>
        </is>
      </c>
      <c r="B5" s="6" t="inlineStr">
        <is>
          <t>Mid-boss-level</t>
        </is>
      </c>
    </row>
    <row r="6"/>
    <row r="7">
      <c r="A7" s="2" t="inlineStr">
        <is>
          <t>Base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</row>
    <row r="9">
      <c r="A9" s="5" t="inlineStr">
        <is>
          <t>Constitution</t>
        </is>
      </c>
      <c r="B9" s="7" t="n">
        <v>13</v>
      </c>
      <c r="C9" s="9">
        <f>FLOOR.MATH((B9-10)/2)</f>
        <v/>
      </c>
    </row>
    <row r="10">
      <c r="A10" s="5" t="inlineStr">
        <is>
          <t>Dexterity</t>
        </is>
      </c>
      <c r="B10" s="7" t="n">
        <v>16</v>
      </c>
      <c r="C10" s="9">
        <f>FLOOR.MATH((B10-10)/2)</f>
        <v/>
      </c>
    </row>
    <row r="11">
      <c r="A11" s="5" t="inlineStr">
        <is>
          <t>Perception</t>
        </is>
      </c>
      <c r="B11" s="7" t="n">
        <v>14</v>
      </c>
      <c r="C11" s="9">
        <f>FLOOR.MATH((B11-10)/2)</f>
        <v/>
      </c>
    </row>
    <row r="12">
      <c r="A12" s="5" t="inlineStr">
        <is>
          <t>Intelligence</t>
        </is>
      </c>
      <c r="B12" s="7" t="n">
        <v>12</v>
      </c>
      <c r="C12" s="9">
        <f>FLOOR.MATH((B12-10)/2)</f>
        <v/>
      </c>
    </row>
    <row r="13">
      <c r="A13" s="5" t="inlineStr">
        <is>
          <t>Willpower</t>
        </is>
      </c>
      <c r="B13" s="7" t="n">
        <v>13</v>
      </c>
      <c r="C13" s="9">
        <f>FLOOR.MATH((B13-10)/2)</f>
        <v/>
      </c>
    </row>
    <row r="14">
      <c r="A14" s="5" t="inlineStr">
        <is>
          <t>Charisma</t>
        </is>
      </c>
      <c r="B14" s="7" t="n">
        <v>10</v>
      </c>
      <c r="C14" s="9">
        <f>FLOOR.MATH((B14-10)/2)</f>
        <v/>
      </c>
    </row>
    <row r="15">
      <c r="A15" s="2" t="inlineStr">
        <is>
          <t>Combat Values</t>
        </is>
      </c>
      <c r="B15" s="3" t="n"/>
      <c r="C15" s="3" t="n"/>
      <c r="D15" s="3" t="n"/>
      <c r="E15" s="3" t="n"/>
      <c r="F15" s="4" t="n"/>
    </row>
    <row r="16">
      <c r="A16" s="5" t="inlineStr">
        <is>
          <t>Hit Points (HP)</t>
        </is>
      </c>
      <c r="B16" s="7" t="n">
        <v>80</v>
      </c>
      <c r="C16" s="5" t="inlineStr">
        <is>
          <t>Spirit Points (SP) (auto)</t>
        </is>
      </c>
      <c r="D16" s="7">
        <f>B14*5+10</f>
        <v/>
      </c>
    </row>
    <row r="17">
      <c r="A17" s="5" t="inlineStr">
        <is>
          <t>Armor Class (AC)</t>
        </is>
      </c>
      <c r="B17" s="7" t="n">
        <v>14</v>
      </c>
      <c r="C17" s="5" t="inlineStr">
        <is>
          <t>Initiative (auto)</t>
        </is>
      </c>
      <c r="D17" s="7">
        <f>C9+C10</f>
        <v/>
      </c>
    </row>
    <row r="18">
      <c r="A18" s="5" t="inlineStr">
        <is>
          <t>Nen Defense (auto)</t>
        </is>
      </c>
      <c r="B18" s="7">
        <f>C14</f>
        <v/>
      </c>
      <c r="C18" s="5" t="inlineStr">
        <is>
          <t>Movement</t>
        </is>
      </c>
      <c r="D18" s="7">
        <f>B9</f>
        <v/>
      </c>
    </row>
    <row r="19"/>
    <row r="20">
      <c r="A20" s="2" t="inlineStr">
        <is>
          <t>Attack</t>
        </is>
      </c>
      <c r="B20" s="3" t="n"/>
      <c r="C20" s="3" t="n"/>
      <c r="D20" s="3" t="n"/>
      <c r="E20" s="3" t="n"/>
      <c r="F20" s="4" t="n"/>
    </row>
    <row r="21">
      <c r="A21" s="8" t="inlineStr">
        <is>
          <t>Attack Name</t>
        </is>
      </c>
      <c r="B21" s="8" t="inlineStr">
        <is>
          <t>Hit Bonus</t>
        </is>
      </c>
      <c r="C21" s="8" t="inlineStr">
        <is>
          <t>Damage Die</t>
        </is>
      </c>
      <c r="D21" s="8" t="inlineStr">
        <is>
          <t>Damage Modifier</t>
        </is>
      </c>
      <c r="E21" s="8" t="inlineStr">
        <is>
          <t>Total Damage</t>
        </is>
      </c>
      <c r="F21" s="8" t="inlineStr">
        <is>
          <t>Notes</t>
        </is>
      </c>
    </row>
    <row r="22">
      <c r="A22" s="6" t="inlineStr">
        <is>
          <t>Twin Daggers</t>
        </is>
      </c>
      <c r="B22" s="7" t="inlineStr">
        <is>
          <t>+6</t>
        </is>
      </c>
      <c r="C22" s="7" t="inlineStr">
        <is>
          <t>1d6</t>
        </is>
      </c>
      <c r="D22" s="7" t="n">
        <v>3</v>
      </c>
      <c r="E22" s="7">
        <f>C22+D22</f>
        <v/>
      </c>
      <c r="F22" s="6" t="inlineStr">
        <is>
          <t>Dexterity Modifier Can attack 2 times/turn</t>
        </is>
      </c>
    </row>
    <row r="23"/>
    <row r="24">
      <c r="A24" s="2" t="inlineStr">
        <is>
          <t>Special Ability</t>
        </is>
      </c>
      <c r="B24" s="3" t="n"/>
      <c r="C24" s="3" t="n"/>
      <c r="D24" s="3" t="n"/>
      <c r="E24" s="3" t="n"/>
      <c r="F24" s="4" t="n"/>
    </row>
    <row r="25">
      <c r="A25" s="6" t="inlineStr">
        <is>
          <t>Secure retreat routes. Use smoke bombs and Nen traps for area control.</t>
        </is>
      </c>
      <c r="B25" s="3" t="n"/>
      <c r="C25" s="3" t="n"/>
      <c r="D25" s="3" t="n"/>
      <c r="E25" s="3" t="n"/>
      <c r="F25" s="4" t="n"/>
    </row>
    <row r="26">
      <c r="A26" s="6" t="inlineStr">
        <is>
          <t>If Combatant A is suppressed, will call for reinforcements (battle must be resolved within 3 turns).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Drop / Loot</t>
        </is>
      </c>
      <c r="B28" s="3" t="n"/>
      <c r="C28" s="3" t="n"/>
      <c r="D28" s="3" t="n"/>
      <c r="E28" s="3" t="n"/>
      <c r="F28" s="4" t="n"/>
    </row>
    <row r="29">
      <c r="A29" s="6" t="inlineStr">
        <is>
          <t>Smoke Bomb ×3, Escape Map</t>
        </is>
      </c>
      <c r="B29" s="3" t="n"/>
      <c r="C29" s="3" t="n"/>
      <c r="D29" s="3" t="n"/>
      <c r="E29" s="3" t="n"/>
      <c r="F29" s="4" t="n"/>
    </row>
  </sheetData>
  <mergeCells count="10">
    <mergeCell ref="A24:F24"/>
    <mergeCell ref="A28:F28"/>
    <mergeCell ref="A3:F3"/>
    <mergeCell ref="A1:F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Hunter × Hunter TRPG Enemy: Phantom Guardian (Proof Guardian Special)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Name</t>
        </is>
      </c>
      <c r="B4" s="6" t="inlineStr">
        <is>
          <t>Phantom Guardian</t>
        </is>
      </c>
    </row>
    <row r="5">
      <c r="A5" s="5" t="inlineStr">
        <is>
          <t>Challenge Rating (CR)</t>
        </is>
      </c>
      <c r="B5" s="6" t="inlineStr">
        <is>
          <t>6 (2 appear simultaneously)</t>
        </is>
      </c>
    </row>
    <row r="6">
      <c r="A6" s="5" t="inlineStr">
        <is>
          <t>Type</t>
        </is>
      </c>
      <c r="B6" s="6" t="inlineStr">
        <is>
          <t>Boss-level Summon</t>
        </is>
      </c>
    </row>
    <row r="7">
      <c r="A7" s="5" t="inlineStr">
        <is>
          <t>XP Reward</t>
        </is>
      </c>
      <c r="B7" s="6" t="inlineStr">
        <is>
          <t>150 Experience Points (XP) each</t>
        </is>
      </c>
    </row>
    <row r="8">
      <c r="A8" s="2" t="inlineStr">
        <is>
          <t>Base Attributes</t>
        </is>
      </c>
      <c r="B8" s="3" t="n"/>
      <c r="C8" s="3" t="n"/>
      <c r="D8" s="3" t="n"/>
      <c r="E8" s="3" t="n"/>
      <c r="F8" s="4" t="n"/>
    </row>
    <row r="9">
      <c r="A9" s="8" t="inlineStr">
        <is>
          <t>Attributes</t>
        </is>
      </c>
      <c r="B9" s="8" t="inlineStr">
        <is>
          <t>Value</t>
        </is>
      </c>
      <c r="C9" s="8" t="inlineStr">
        <is>
          <t>Modifier</t>
        </is>
      </c>
    </row>
    <row r="10">
      <c r="A10" s="5" t="inlineStr">
        <is>
          <t>Constitution Constitution (CON)</t>
        </is>
      </c>
      <c r="B10" s="7" t="n">
        <v>14</v>
      </c>
      <c r="C10" s="9">
        <f>FLOOR.MATH((B10-10)/2)</f>
        <v/>
      </c>
    </row>
    <row r="11">
      <c r="A11" s="5" t="inlineStr">
        <is>
          <t>Dexterity Dexterity (DEX)</t>
        </is>
      </c>
      <c r="B11" s="7" t="n">
        <v>16</v>
      </c>
      <c r="C11" s="9">
        <f>FLOOR.MATH((B11-10)/2)</f>
        <v/>
      </c>
    </row>
    <row r="12">
      <c r="A12" s="5" t="inlineStr">
        <is>
          <t>Perception Perception (PER)</t>
        </is>
      </c>
      <c r="B12" s="7" t="n">
        <v>12</v>
      </c>
      <c r="C12" s="9">
        <f>FLOOR.MATH((B12-10)/2)</f>
        <v/>
      </c>
    </row>
    <row r="13">
      <c r="A13" s="5" t="inlineStr">
        <is>
          <t>Intelligence Intelligence (INT)</t>
        </is>
      </c>
      <c r="B13" s="7" t="n">
        <v>6</v>
      </c>
      <c r="C13" s="9">
        <f>FLOOR.MATH((B13-10)/2)</f>
        <v/>
      </c>
    </row>
    <row r="14">
      <c r="A14" s="5" t="inlineStr">
        <is>
          <t>Willpower Willpower (WIL)</t>
        </is>
      </c>
      <c r="B14" s="7" t="n">
        <v>16</v>
      </c>
      <c r="C14" s="9">
        <f>FLOOR.MATH((B14-10)/2)</f>
        <v/>
      </c>
    </row>
    <row r="15">
      <c r="A15" s="5" t="inlineStr">
        <is>
          <t>Charisma Charisma (CHA)</t>
        </is>
      </c>
      <c r="B15" s="7" t="n">
        <v>2</v>
      </c>
      <c r="C15" s="9">
        <f>FLOOR.MATH((B15-10)/2)</f>
        <v/>
      </c>
    </row>
    <row r="16"/>
    <row r="17">
      <c r="A17" s="2" t="inlineStr">
        <is>
          <t>Combat Values</t>
        </is>
      </c>
      <c r="B17" s="3" t="n"/>
      <c r="C17" s="3" t="n"/>
      <c r="D17" s="3" t="n"/>
      <c r="E17" s="3" t="n"/>
      <c r="F17" s="4" t="n"/>
    </row>
    <row r="18">
      <c r="A18" s="5" t="inlineStr">
        <is>
          <t>Hit Points (HP)</t>
        </is>
      </c>
      <c r="B18" s="7" t="n">
        <v>80</v>
      </c>
    </row>
    <row r="19">
      <c r="A19" s="5" t="inlineStr">
        <is>
          <t>Spirit Points (SP) (auto)</t>
        </is>
      </c>
      <c r="B19" s="7">
        <f>B14*5+10</f>
        <v/>
      </c>
    </row>
    <row r="20">
      <c r="A20" s="5" t="inlineStr">
        <is>
          <t>Armor Class (AC)</t>
        </is>
      </c>
      <c r="B20" s="7" t="n">
        <v>14</v>
      </c>
    </row>
    <row r="21">
      <c r="A21" s="5" t="inlineStr">
        <is>
          <t>Initiative (auto)</t>
        </is>
      </c>
      <c r="B21" s="7">
        <f>C10+F10</f>
        <v/>
      </c>
    </row>
    <row r="22">
      <c r="A22" s="5" t="inlineStr">
        <is>
          <t>Nen Defense (auto)</t>
        </is>
      </c>
      <c r="B22" s="7">
        <f>C14</f>
        <v/>
      </c>
    </row>
    <row r="23">
      <c r="A23" s="5" t="inlineStr">
        <is>
          <t>Movement</t>
        </is>
      </c>
      <c r="B23" s="7">
        <f>B10</f>
        <v/>
      </c>
    </row>
    <row r="24"/>
    <row r="25">
      <c r="A25" s="2" t="inlineStr">
        <is>
          <t>Attack</t>
        </is>
      </c>
      <c r="B25" s="3" t="n"/>
      <c r="C25" s="3" t="n"/>
      <c r="D25" s="3" t="n"/>
      <c r="E25" s="3" t="n"/>
      <c r="F25" s="4" t="n"/>
    </row>
    <row r="26">
      <c r="A26" s="8" t="inlineStr">
        <is>
          <t>Name</t>
        </is>
      </c>
      <c r="B26" s="8" t="inlineStr">
        <is>
          <t>Hit</t>
        </is>
      </c>
      <c r="C26" s="8" t="inlineStr">
        <is>
          <t>Damage Die</t>
        </is>
      </c>
      <c r="D26" s="8" t="inlineStr">
        <is>
          <t>Damage Modifier</t>
        </is>
      </c>
      <c r="E26" s="8" t="inlineStr">
        <is>
          <t>Total Damage</t>
        </is>
      </c>
      <c r="F26" s="8" t="inlineStr">
        <is>
          <t>Notes</t>
        </is>
      </c>
    </row>
    <row r="27">
      <c r="A27" s="6" t="inlineStr">
        <is>
          <t>Phantom Impact</t>
        </is>
      </c>
      <c r="B27" s="7" t="inlineStr">
        <is>
          <t>d20+7</t>
        </is>
      </c>
      <c r="C27" s="7" t="inlineStr">
        <is>
          <t>2d8</t>
        </is>
      </c>
      <c r="D27" s="7" t="n">
        <v>0</v>
      </c>
      <c r="E27" s="7">
        <f>C27+D27</f>
        <v/>
      </c>
      <c r="F27" s="6" t="inlineStr">
        <is>
          <t>Nen Damage Ignores Physical Armor</t>
        </is>
      </c>
    </row>
    <row r="28"/>
    <row r="29">
      <c r="A29" s="2" t="inlineStr">
        <is>
          <t>Special Ability</t>
        </is>
      </c>
      <c r="B29" s="3" t="n"/>
      <c r="C29" s="3" t="n"/>
      <c r="D29" s="3" t="n"/>
      <c r="E29" s="3" t="n"/>
      <c r="F29" s="4" t="n"/>
    </row>
    <row r="30">
      <c r="A30" s="6" t="inlineStr">
        <is>
          <t>Physical Immunity: Physical attacks are ineffective against the Phantom Guardian. Only Nen attacks or Nen abilities can deal damage.</t>
        </is>
      </c>
      <c r="B30" s="3" t="n"/>
      <c r="C30" s="3" t="n"/>
      <c r="D30" s="3" t="n"/>
      <c r="E30" s="3" t="n"/>
      <c r="F30" s="4" t="n"/>
    </row>
    <row r="31">
      <c r="A31" s="6" t="inlineStr">
        <is>
          <t>Target Lock: Only attacks the PC "chosen" by the Gate (one confronting memory fragments in the Proof link), does not actively attack other PCs.</t>
        </is>
      </c>
      <c r="B31" s="3" t="n"/>
      <c r="C31" s="3" t="n"/>
      <c r="D31" s="3" t="n"/>
      <c r="E31" s="3" t="n"/>
      <c r="F31" s="4" t="n"/>
    </row>
    <row r="32">
      <c r="A32" s="6" t="inlineStr">
        <is>
          <t>Pincer Attack: 2 Phantom Guardians attack the same target simultaneously from both sides. If intercepted, one continues attacking the original target while the other turns to the interceptor.</t>
        </is>
      </c>
      <c r="B32" s="3" t="n"/>
      <c r="C32" s="3" t="n"/>
      <c r="D32" s="3" t="n"/>
      <c r="E32" s="3" t="n"/>
      <c r="F32" s="4" t="n"/>
    </row>
    <row r="33">
      <c r="A33" s="6" t="inlineStr">
        <is>
          <t>Mindless: Immune to all mental status effects (Frightened / Confused / Charmed).</t>
        </is>
      </c>
      <c r="B33" s="3" t="n"/>
      <c r="C33" s="3" t="n"/>
      <c r="D33" s="3" t="n"/>
      <c r="E33" s="3" t="n"/>
      <c r="F33" s="4" t="n"/>
    </row>
    <row r="34"/>
    <row r="35">
      <c r="A35" s="2" t="inlineStr">
        <is>
          <t>Drop / Loot</t>
        </is>
      </c>
      <c r="B35" s="3" t="n"/>
      <c r="C35" s="3" t="n"/>
      <c r="D35" s="3" t="n"/>
      <c r="E35" s="3" t="n"/>
      <c r="F35" s="4" t="n"/>
    </row>
    <row r="36">
      <c r="A36" s="6" t="inlineStr">
        <is>
          <t>None. The Phantom Guardian dissipates into light points after being defeated.</t>
        </is>
      </c>
      <c r="B36" s="3" t="n"/>
      <c r="C36" s="3" t="n"/>
      <c r="D36" s="3" t="n"/>
      <c r="E36" s="3" t="n"/>
      <c r="F36" s="4" t="n"/>
    </row>
  </sheetData>
  <mergeCells count="12">
    <mergeCell ref="A33:F33"/>
    <mergeCell ref="A36:F36"/>
    <mergeCell ref="A1:F1"/>
    <mergeCell ref="A32:F32"/>
    <mergeCell ref="A8:F8"/>
    <mergeCell ref="A31:F31"/>
    <mergeCell ref="A17:F17"/>
    <mergeCell ref="A35:F35"/>
    <mergeCell ref="A3:F3"/>
    <mergeCell ref="A30:F30"/>
    <mergeCell ref="A29:F29"/>
    <mergeCell ref="A25:F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Enemy: Toba (Rookie Killer)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6" t="inlineStr">
        <is>
          <t>Toba (Rookie Killer)</t>
        </is>
      </c>
      <c r="C4" s="5" t="inlineStr">
        <is>
          <t>Challenge Rating (CR)</t>
        </is>
      </c>
      <c r="D4" s="7" t="inlineStr">
        <is>
          <t>1/4</t>
        </is>
      </c>
    </row>
    <row r="5">
      <c r="A5" s="5" t="inlineStr">
        <is>
          <t>Type</t>
        </is>
      </c>
      <c r="B5" s="6" t="inlineStr">
        <is>
          <t>Mook-level</t>
        </is>
      </c>
    </row>
    <row r="6"/>
    <row r="7">
      <c r="A7" s="2" t="inlineStr">
        <is>
          <t>Base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</row>
    <row r="9">
      <c r="A9" s="5" t="inlineStr">
        <is>
          <t>Constitution</t>
        </is>
      </c>
      <c r="B9" s="7" t="n">
        <v>10</v>
      </c>
      <c r="C9" s="9">
        <f>FLOOR.MATH((B9-10)/2)</f>
        <v/>
      </c>
    </row>
    <row r="10">
      <c r="A10" s="5" t="inlineStr">
        <is>
          <t>Dexterity</t>
        </is>
      </c>
      <c r="B10" s="7" t="n">
        <v>12</v>
      </c>
      <c r="C10" s="9">
        <f>FLOOR.MATH((B10-10)/2)</f>
        <v/>
      </c>
    </row>
    <row r="11">
      <c r="A11" s="5" t="inlineStr">
        <is>
          <t>Perception</t>
        </is>
      </c>
      <c r="B11" s="7" t="n">
        <v>14</v>
      </c>
      <c r="C11" s="9">
        <f>FLOOR.MATH((B11-10)/2)</f>
        <v/>
      </c>
    </row>
    <row r="12">
      <c r="A12" s="5" t="inlineStr">
        <is>
          <t>Intelligence</t>
        </is>
      </c>
      <c r="B12" s="7" t="n">
        <v>12</v>
      </c>
      <c r="C12" s="9">
        <f>FLOOR.MATH((B12-10)/2)</f>
        <v/>
      </c>
    </row>
    <row r="13">
      <c r="A13" s="5" t="inlineStr">
        <is>
          <t>Willpower</t>
        </is>
      </c>
      <c r="B13" s="7" t="n">
        <v>8</v>
      </c>
      <c r="C13" s="9">
        <f>FLOOR.MATH((B13-10)/2)</f>
        <v/>
      </c>
    </row>
    <row r="14">
      <c r="A14" s="5" t="inlineStr">
        <is>
          <t>Charisma</t>
        </is>
      </c>
      <c r="B14" s="7" t="n">
        <v>14</v>
      </c>
      <c r="C14" s="9">
        <f>FLOOR.MATH((B14-10)/2)</f>
        <v/>
      </c>
    </row>
    <row r="15">
      <c r="A15" s="2" t="inlineStr">
        <is>
          <t>Combat Values</t>
        </is>
      </c>
      <c r="B15" s="3" t="n"/>
      <c r="C15" s="3" t="n"/>
      <c r="D15" s="3" t="n"/>
      <c r="E15" s="3" t="n"/>
      <c r="F15" s="4" t="n"/>
    </row>
    <row r="16">
      <c r="A16" s="5" t="inlineStr">
        <is>
          <t>Hit Points (HP)</t>
        </is>
      </c>
      <c r="B16" s="7" t="n">
        <v>20</v>
      </c>
      <c r="C16" s="5" t="inlineStr">
        <is>
          <t>Spirit Points (SP) (auto)</t>
        </is>
      </c>
      <c r="D16" s="7">
        <f>B14*5+10</f>
        <v/>
      </c>
    </row>
    <row r="17">
      <c r="A17" s="5" t="inlineStr">
        <is>
          <t>Armor Class (AC)</t>
        </is>
      </c>
      <c r="B17" s="7" t="n">
        <v>10</v>
      </c>
      <c r="C17" s="5" t="inlineStr">
        <is>
          <t>Initiative (auto)</t>
        </is>
      </c>
      <c r="D17" s="7">
        <f>C9+C10</f>
        <v/>
      </c>
    </row>
    <row r="18">
      <c r="A18" s="5" t="inlineStr">
        <is>
          <t>Nen Defense (auto)</t>
        </is>
      </c>
      <c r="B18" s="7">
        <f>C14</f>
        <v/>
      </c>
      <c r="C18" s="5" t="inlineStr">
        <is>
          <t>Movement</t>
        </is>
      </c>
      <c r="D18" s="7">
        <f>B9</f>
        <v/>
      </c>
    </row>
    <row r="19"/>
    <row r="20">
      <c r="A20" s="2" t="inlineStr">
        <is>
          <t>Attack</t>
        </is>
      </c>
      <c r="B20" s="3" t="n"/>
      <c r="C20" s="3" t="n"/>
      <c r="D20" s="3" t="n"/>
      <c r="E20" s="3" t="n"/>
      <c r="F20" s="4" t="n"/>
    </row>
    <row r="21">
      <c r="A21" s="8" t="inlineStr">
        <is>
          <t>Attack Name</t>
        </is>
      </c>
      <c r="B21" s="8" t="inlineStr">
        <is>
          <t>Hit Bonus</t>
        </is>
      </c>
      <c r="C21" s="8" t="inlineStr">
        <is>
          <t>Damage Die</t>
        </is>
      </c>
      <c r="D21" s="8" t="inlineStr">
        <is>
          <t>Damage Modifier</t>
        </is>
      </c>
      <c r="E21" s="8" t="inlineStr">
        <is>
          <t>Total Damage</t>
        </is>
      </c>
      <c r="F21" s="8" t="inlineStr">
        <is>
          <t>Notes</t>
        </is>
      </c>
    </row>
    <row r="22">
      <c r="A22" s="6" t="inlineStr">
        <is>
          <t>Throws Lime</t>
        </is>
      </c>
      <c r="B22" s="7" t="inlineStr">
        <is>
          <t>+2</t>
        </is>
      </c>
      <c r="C22" s="7" t="inlineStr">
        <is>
          <t>1d4</t>
        </is>
      </c>
      <c r="D22" s="7" t="n">
        <v>0</v>
      </c>
      <c r="E22" s="7">
        <f>C22+D22</f>
        <v/>
      </c>
      <c r="F22" s="6" t="inlineStr">
        <is>
          <t>Blind DC12</t>
        </is>
      </c>
    </row>
    <row r="23"/>
    <row r="24">
      <c r="A24" s="2" t="inlineStr">
        <is>
          <t>Special Ability</t>
        </is>
      </c>
      <c r="B24" s="3" t="n"/>
      <c r="C24" s="3" t="n"/>
      <c r="D24" s="3" t="n"/>
      <c r="E24" s="3" t="n"/>
      <c r="F24" s="4" t="n"/>
    </row>
    <row r="25">
      <c r="A25" s="6" t="inlineStr">
        <is>
          <t>Rookie Killer: Gains advantage on Deception checks against rookie examinees (Deception +4).</t>
        </is>
      </c>
      <c r="B25" s="3" t="n"/>
      <c r="C25" s="3" t="n"/>
      <c r="D25" s="3" t="n"/>
      <c r="E25" s="3" t="n"/>
      <c r="F25" s="4" t="n"/>
    </row>
    <row r="26"/>
    <row r="27">
      <c r="A27" s="2" t="inlineStr">
        <is>
          <t>Drop / Loot</t>
        </is>
      </c>
      <c r="B27" s="3" t="n"/>
      <c r="C27" s="3" t="n"/>
      <c r="D27" s="3" t="n"/>
      <c r="E27" s="3" t="n"/>
      <c r="F27" s="4" t="n"/>
    </row>
    <row r="28">
      <c r="A28" s="6" t="inlineStr">
        <is>
          <t>Juice ×3 (actually laxatives)</t>
        </is>
      </c>
      <c r="B28" s="3" t="n"/>
      <c r="C28" s="3" t="n"/>
      <c r="D28" s="3" t="n"/>
      <c r="E28" s="3" t="n"/>
      <c r="F28" s="4" t="n"/>
    </row>
  </sheetData>
  <mergeCells count="9">
    <mergeCell ref="A24:F24"/>
    <mergeCell ref="A28:F28"/>
    <mergeCell ref="A1:F1"/>
    <mergeCell ref="A27:F27"/>
    <mergeCell ref="A3:F3"/>
    <mergeCell ref="A20:F20"/>
    <mergeCell ref="A15:F15"/>
    <mergeCell ref="A7:F7"/>
    <mergeCell ref="A25:F2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Enemy: Poison Frog Swarm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6" t="inlineStr">
        <is>
          <t>Poison Frog Swarm</t>
        </is>
      </c>
      <c r="C4" s="5" t="inlineStr">
        <is>
          <t>Challenge Rating (CR)</t>
        </is>
      </c>
      <c r="D4" s="7" t="inlineStr">
        <is>
          <t>1/4</t>
        </is>
      </c>
    </row>
    <row r="5">
      <c r="A5" s="5" t="inlineStr">
        <is>
          <t>Type</t>
        </is>
      </c>
      <c r="B5" s="6" t="inlineStr">
        <is>
          <t>Mook-level ×3</t>
        </is>
      </c>
    </row>
    <row r="6"/>
    <row r="7">
      <c r="A7" s="2" t="inlineStr">
        <is>
          <t>Base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</row>
    <row r="9">
      <c r="A9" s="5" t="inlineStr">
        <is>
          <t>Constitution</t>
        </is>
      </c>
      <c r="B9" s="7" t="n">
        <v>8</v>
      </c>
      <c r="C9" s="9">
        <f>FLOOR.MATH((B9-10)/2)</f>
        <v/>
      </c>
    </row>
    <row r="10">
      <c r="A10" s="5" t="inlineStr">
        <is>
          <t>Dexterity</t>
        </is>
      </c>
      <c r="B10" s="7" t="n">
        <v>14</v>
      </c>
      <c r="C10" s="9">
        <f>FLOOR.MATH((B10-10)/2)</f>
        <v/>
      </c>
    </row>
    <row r="11">
      <c r="A11" s="5" t="inlineStr">
        <is>
          <t>Perception</t>
        </is>
      </c>
      <c r="B11" s="7" t="n">
        <v>12</v>
      </c>
      <c r="C11" s="9">
        <f>FLOOR.MATH((B11-10)/2)</f>
        <v/>
      </c>
    </row>
    <row r="12">
      <c r="A12" s="5" t="inlineStr">
        <is>
          <t>Intelligence</t>
        </is>
      </c>
      <c r="B12" s="7" t="n">
        <v>2</v>
      </c>
      <c r="C12" s="9">
        <f>FLOOR.MATH((B12-10)/2)</f>
        <v/>
      </c>
    </row>
    <row r="13">
      <c r="A13" s="5" t="inlineStr">
        <is>
          <t>Willpower</t>
        </is>
      </c>
      <c r="B13" s="7" t="n">
        <v>6</v>
      </c>
      <c r="C13" s="9">
        <f>FLOOR.MATH((B13-10)/2)</f>
        <v/>
      </c>
    </row>
    <row r="14">
      <c r="A14" s="5" t="inlineStr">
        <is>
          <t>Charisma</t>
        </is>
      </c>
      <c r="B14" s="7" t="n">
        <v>2</v>
      </c>
      <c r="C14" s="9">
        <f>FLOOR.MATH((B14-10)/2)</f>
        <v/>
      </c>
    </row>
    <row r="15">
      <c r="A15" s="2" t="inlineStr">
        <is>
          <t>Combat Values</t>
        </is>
      </c>
      <c r="B15" s="3" t="n"/>
      <c r="C15" s="3" t="n"/>
      <c r="D15" s="3" t="n"/>
      <c r="E15" s="3" t="n"/>
      <c r="F15" s="4" t="n"/>
    </row>
    <row r="16">
      <c r="A16" s="5" t="inlineStr">
        <is>
          <t>Hit Points (HP)</t>
        </is>
      </c>
      <c r="B16" s="7" t="n">
        <v>15</v>
      </c>
      <c r="C16" s="5" t="inlineStr">
        <is>
          <t>Spirit Points (SP) (auto)</t>
        </is>
      </c>
      <c r="D16" s="7">
        <f>B14*5+10</f>
        <v/>
      </c>
    </row>
    <row r="17">
      <c r="A17" s="5" t="inlineStr">
        <is>
          <t>Armor Class (AC)</t>
        </is>
      </c>
      <c r="B17" s="7" t="n">
        <v>11</v>
      </c>
      <c r="C17" s="5" t="inlineStr">
        <is>
          <t>Initiative (auto)</t>
        </is>
      </c>
      <c r="D17" s="7">
        <f>C9+C10</f>
        <v/>
      </c>
    </row>
    <row r="18">
      <c r="A18" s="5" t="inlineStr">
        <is>
          <t>Nen Defense (auto)</t>
        </is>
      </c>
      <c r="B18" s="7">
        <f>C14</f>
        <v/>
      </c>
      <c r="C18" s="5" t="inlineStr">
        <is>
          <t>Movement</t>
        </is>
      </c>
      <c r="D18" s="7">
        <f>B9</f>
        <v/>
      </c>
    </row>
    <row r="19"/>
    <row r="20">
      <c r="A20" s="2" t="inlineStr">
        <is>
          <t>Attack</t>
        </is>
      </c>
      <c r="B20" s="3" t="n"/>
      <c r="C20" s="3" t="n"/>
      <c r="D20" s="3" t="n"/>
      <c r="E20" s="3" t="n"/>
      <c r="F20" s="4" t="n"/>
    </row>
    <row r="21">
      <c r="A21" s="8" t="inlineStr">
        <is>
          <t>Attack Name</t>
        </is>
      </c>
      <c r="B21" s="8" t="inlineStr">
        <is>
          <t>Hit Bonus</t>
        </is>
      </c>
      <c r="C21" s="8" t="inlineStr">
        <is>
          <t>Damage Die</t>
        </is>
      </c>
      <c r="D21" s="8" t="inlineStr">
        <is>
          <t>Damage Modifier</t>
        </is>
      </c>
      <c r="E21" s="8" t="inlineStr">
        <is>
          <t>Total Damage</t>
        </is>
      </c>
      <c r="F21" s="8" t="inlineStr">
        <is>
          <t>Notes</t>
        </is>
      </c>
    </row>
    <row r="22">
      <c r="A22" s="6" t="inlineStr">
        <is>
          <t>Poison Tongue</t>
        </is>
      </c>
      <c r="B22" s="7" t="inlineStr">
        <is>
          <t>+3</t>
        </is>
      </c>
      <c r="C22" s="7" t="inlineStr">
        <is>
          <t>1d4</t>
        </is>
      </c>
      <c r="D22" s="7" t="n">
        <v>0</v>
      </c>
      <c r="E22" s="7">
        <f>C22+D22</f>
        <v/>
      </c>
      <c r="F22" s="6" t="inlineStr">
        <is>
          <t>Poisoned Lv.1 Fortitude DC12</t>
        </is>
      </c>
    </row>
    <row r="23"/>
    <row r="24">
      <c r="A24" s="2" t="inlineStr">
        <is>
          <t>Special Ability</t>
        </is>
      </c>
      <c r="B24" s="3" t="n"/>
      <c r="C24" s="3" t="n"/>
      <c r="D24" s="3" t="n"/>
      <c r="E24" s="3" t="n"/>
      <c r="F24" s="4" t="n"/>
    </row>
    <row r="25">
      <c r="A25" s="6" t="inlineStr">
        <is>
          <t>Swarm Tactics: When 3 or more are present simultaneously, attacks gain advantage.</t>
        </is>
      </c>
      <c r="B25" s="3" t="n"/>
      <c r="C25" s="3" t="n"/>
      <c r="D25" s="3" t="n"/>
      <c r="E25" s="3" t="n"/>
      <c r="F25" s="4" t="n"/>
    </row>
    <row r="26"/>
    <row r="27">
      <c r="A27" s="2" t="inlineStr">
        <is>
          <t>Drop / Loot</t>
        </is>
      </c>
      <c r="B27" s="3" t="n"/>
      <c r="C27" s="3" t="n"/>
      <c r="D27" s="3" t="n"/>
      <c r="E27" s="3" t="n"/>
      <c r="F27" s="4" t="n"/>
    </row>
    <row r="28">
      <c r="A28" s="6" t="inlineStr">
        <is>
          <t>Poison Frog Gland (can craft antitoxin)</t>
        </is>
      </c>
      <c r="B28" s="3" t="n"/>
      <c r="C28" s="3" t="n"/>
      <c r="D28" s="3" t="n"/>
      <c r="E28" s="3" t="n"/>
      <c r="F28" s="4" t="n"/>
    </row>
  </sheetData>
  <mergeCells count="9">
    <mergeCell ref="A24:F24"/>
    <mergeCell ref="A28:F28"/>
    <mergeCell ref="A1:F1"/>
    <mergeCell ref="A27:F27"/>
    <mergeCell ref="A3:F3"/>
    <mergeCell ref="A20:F20"/>
    <mergeCell ref="A15:F15"/>
    <mergeCell ref="A7:F7"/>
    <mergeCell ref="A25:F2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Enemy: Abyssal Fang Abisaru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6" t="inlineStr">
        <is>
          <t>Abyssal Fang Abisaru</t>
        </is>
      </c>
      <c r="C4" s="5" t="inlineStr">
        <is>
          <t>Challenge Rating (CR)</t>
        </is>
      </c>
      <c r="D4" s="7" t="inlineStr">
        <is>
          <t>10</t>
        </is>
      </c>
    </row>
    <row r="5">
      <c r="A5" s="5" t="inlineStr">
        <is>
          <t>Type</t>
        </is>
      </c>
      <c r="B5" s="6" t="inlineStr">
        <is>
          <t>Boss-level (Body Part System)</t>
        </is>
      </c>
    </row>
    <row r="6"/>
    <row r="7">
      <c r="A7" s="2" t="inlineStr">
        <is>
          <t>Base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</row>
    <row r="9">
      <c r="A9" s="5" t="inlineStr">
        <is>
          <t>Constitution</t>
        </is>
      </c>
      <c r="B9" s="7" t="n">
        <v>20</v>
      </c>
      <c r="C9" s="9">
        <f>FLOOR.MATH((B9-10)/2)</f>
        <v/>
      </c>
    </row>
    <row r="10">
      <c r="A10" s="5" t="inlineStr">
        <is>
          <t>Dexterity</t>
        </is>
      </c>
      <c r="B10" s="7" t="n">
        <v>10</v>
      </c>
      <c r="C10" s="9">
        <f>FLOOR.MATH((B10-10)/2)</f>
        <v/>
      </c>
    </row>
    <row r="11">
      <c r="A11" s="5" t="inlineStr">
        <is>
          <t>Perception</t>
        </is>
      </c>
      <c r="B11" s="7" t="n">
        <v>16</v>
      </c>
      <c r="C11" s="9">
        <f>FLOOR.MATH((B11-10)/2)</f>
        <v/>
      </c>
    </row>
    <row r="12">
      <c r="A12" s="5" t="inlineStr">
        <is>
          <t>Intelligence</t>
        </is>
      </c>
      <c r="B12" s="7" t="n">
        <v>6</v>
      </c>
      <c r="C12" s="9">
        <f>FLOOR.MATH((B12-10)/2)</f>
        <v/>
      </c>
    </row>
    <row r="13">
      <c r="A13" s="5" t="inlineStr">
        <is>
          <t>Willpower</t>
        </is>
      </c>
      <c r="B13" s="7" t="n">
        <v>18</v>
      </c>
      <c r="C13" s="9">
        <f>FLOOR.MATH((B13-10)/2)</f>
        <v/>
      </c>
    </row>
    <row r="14">
      <c r="A14" s="5" t="inlineStr">
        <is>
          <t>Charisma</t>
        </is>
      </c>
      <c r="B14" s="7" t="n">
        <v>4</v>
      </c>
      <c r="C14" s="9">
        <f>FLOOR.MATH((B14-10)/2)</f>
        <v/>
      </c>
    </row>
    <row r="15">
      <c r="A15" s="2" t="inlineStr">
        <is>
          <t>Combat Values</t>
        </is>
      </c>
      <c r="B15" s="3" t="n"/>
      <c r="C15" s="3" t="n"/>
      <c r="D15" s="3" t="n"/>
      <c r="E15" s="3" t="n"/>
      <c r="F15" s="4" t="n"/>
    </row>
    <row r="16">
      <c r="A16" s="5" t="inlineStr">
        <is>
          <t>Hit Points (HP)</t>
        </is>
      </c>
      <c r="B16" s="7" t="n">
        <v>220</v>
      </c>
      <c r="C16" s="5" t="inlineStr">
        <is>
          <t>Spirit Points (SP) (auto)</t>
        </is>
      </c>
      <c r="D16" s="7">
        <f>B14*5+10</f>
        <v/>
      </c>
    </row>
    <row r="17">
      <c r="A17" s="5" t="inlineStr">
        <is>
          <t>Armor Class (AC)</t>
        </is>
      </c>
      <c r="B17" s="7" t="n">
        <v>17</v>
      </c>
      <c r="C17" s="5" t="inlineStr">
        <is>
          <t>Initiative (auto)</t>
        </is>
      </c>
      <c r="D17" s="7">
        <f>C9+C10</f>
        <v/>
      </c>
    </row>
    <row r="18">
      <c r="A18" s="5" t="inlineStr">
        <is>
          <t>Nen Defense (auto)</t>
        </is>
      </c>
      <c r="B18" s="7">
        <f>C14</f>
        <v/>
      </c>
      <c r="C18" s="5" t="inlineStr">
        <is>
          <t>Movement</t>
        </is>
      </c>
      <c r="D18" s="7">
        <f>B9</f>
        <v/>
      </c>
    </row>
    <row r="19"/>
    <row r="20">
      <c r="A20" s="2" t="inlineStr">
        <is>
          <t>Attack</t>
        </is>
      </c>
      <c r="B20" s="3" t="n"/>
      <c r="C20" s="3" t="n"/>
      <c r="D20" s="3" t="n"/>
      <c r="E20" s="3" t="n"/>
      <c r="F20" s="4" t="n"/>
    </row>
    <row r="21">
      <c r="A21" s="8" t="inlineStr">
        <is>
          <t>Attack Name</t>
        </is>
      </c>
      <c r="B21" s="8" t="inlineStr">
        <is>
          <t>Hit Bonus</t>
        </is>
      </c>
      <c r="C21" s="8" t="inlineStr">
        <is>
          <t>Damage Die</t>
        </is>
      </c>
      <c r="D21" s="8" t="inlineStr">
        <is>
          <t>Damage Modifier</t>
        </is>
      </c>
      <c r="E21" s="8" t="inlineStr">
        <is>
          <t>Total Damage</t>
        </is>
      </c>
      <c r="F21" s="8" t="inlineStr">
        <is>
          <t>Notes</t>
        </is>
      </c>
    </row>
    <row r="22">
      <c r="A22" s="6" t="inlineStr">
        <is>
          <t>Tentacle ×4</t>
        </is>
      </c>
      <c r="B22" s="7" t="inlineStr">
        <is>
          <t>+7</t>
        </is>
      </c>
      <c r="C22" s="7" t="inlineStr">
        <is>
          <t>1d10</t>
        </is>
      </c>
      <c r="D22" s="7" t="n">
        <v>5</v>
      </c>
      <c r="E22" s="7">
        <f>C22+D22</f>
        <v/>
      </c>
      <c r="F22" s="6" t="inlineStr">
        <is>
          <t>Constitution Modifier 2-4 attacks per turn</t>
        </is>
      </c>
    </row>
    <row r="23">
      <c r="A23" s="6" t="inlineStr">
        <is>
          <t>Absorb</t>
        </is>
      </c>
      <c r="B23" s="7" t="inlineStr">
        <is>
          <t>+5</t>
        </is>
      </c>
      <c r="C23" s="7" t="inlineStr">
        <is>
          <t>1d4 (Spirit Points (SP))</t>
        </is>
      </c>
      <c r="D23" s="7" t="n">
        <v>0</v>
      </c>
      <c r="E23" s="7">
        <f>C23+D23</f>
        <v/>
      </c>
      <c r="F23" s="6" t="inlineStr">
        <is>
          <t>On hit, target loses 1d4 Spirit Points (SP); Abisaru recovers equal HP</t>
        </is>
      </c>
    </row>
    <row r="24"/>
    <row r="25">
      <c r="A25" s="2" t="inlineStr">
        <is>
          <t>Special Ability</t>
        </is>
      </c>
      <c r="B25" s="3" t="n"/>
      <c r="C25" s="3" t="n"/>
      <c r="D25" s="3" t="n"/>
      <c r="E25" s="3" t="n"/>
      <c r="F25" s="4" t="n"/>
    </row>
    <row r="26">
      <c r="A26" s="6" t="inlineStr">
        <is>
          <t>Body Part System: Main body (HP100, AC17), Tentacles ×4 (each HP30, AC15), Absorbing Maw (HP50, AC13), Sensory Antenna (HP20, AC18).</t>
        </is>
      </c>
      <c r="B26" s="3" t="n"/>
      <c r="C26" s="3" t="n"/>
      <c r="D26" s="3" t="n"/>
      <c r="E26" s="3" t="n"/>
      <c r="F26" s="4" t="n"/>
    </row>
    <row r="27">
      <c r="A27" s="6" t="inlineStr">
        <is>
          <t>Weakness: Sulfur (extra 2d6 fire damage).</t>
        </is>
      </c>
      <c r="B27" s="3" t="n"/>
      <c r="C27" s="3" t="n"/>
      <c r="D27" s="3" t="n"/>
      <c r="E27" s="3" t="n"/>
      <c r="F27" s="4" t="n"/>
    </row>
    <row r="28">
      <c r="A28" s="6" t="inlineStr">
        <is>
          <t>Three Phases: Lurking (tentacle attack) → Awakening (4 attacks/turn + husk) → Frenzy (absorb effect + Movement 20m).</t>
        </is>
      </c>
      <c r="B28" s="3" t="n"/>
      <c r="C28" s="3" t="n"/>
      <c r="D28" s="3" t="n"/>
      <c r="E28" s="3" t="n"/>
      <c r="F28" s="4" t="n"/>
    </row>
    <row r="29">
      <c r="A29" s="6" t="inlineStr">
        <is>
          <t>Husk Generation: Spits out the husk of a creature absorbed one turn earlier (CR1/2 × d4) as mooks.</t>
        </is>
      </c>
      <c r="B29" s="3" t="n"/>
      <c r="C29" s="3" t="n"/>
      <c r="D29" s="3" t="n"/>
      <c r="E29" s="3" t="n"/>
      <c r="F29" s="4" t="n"/>
    </row>
    <row r="30"/>
    <row r="31">
      <c r="A31" s="2" t="inlineStr">
        <is>
          <t>Drop / Loot</t>
        </is>
      </c>
      <c r="B31" s="3" t="n"/>
      <c r="C31" s="3" t="n"/>
      <c r="D31" s="3" t="n"/>
      <c r="E31" s="3" t="n"/>
      <c r="F31" s="4" t="n"/>
    </row>
    <row r="32">
      <c r="A32" s="6" t="inlineStr">
        <is>
          <t>Crystal Core (Nen equipment material), Sulfur Crystal ×2, Stone Tablet engraved with unknown text (points to Dark Continent coordinates)</t>
        </is>
      </c>
      <c r="B32" s="3" t="n"/>
      <c r="C32" s="3" t="n"/>
      <c r="D32" s="3" t="n"/>
      <c r="E32" s="3" t="n"/>
      <c r="F32" s="4" t="n"/>
    </row>
  </sheetData>
  <mergeCells count="12">
    <mergeCell ref="A28:F28"/>
    <mergeCell ref="A3:F3"/>
    <mergeCell ref="A1:F1"/>
    <mergeCell ref="A32:F32"/>
    <mergeCell ref="A27:F27"/>
    <mergeCell ref="A31:F3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Enemy: Crystal Guardian Beast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6" t="inlineStr">
        <is>
          <t>Crystal Guardian Beast</t>
        </is>
      </c>
      <c r="C4" s="5" t="inlineStr">
        <is>
          <t>Challenge Rating (CR)</t>
        </is>
      </c>
      <c r="D4" s="7" t="inlineStr">
        <is>
          <t>10</t>
        </is>
      </c>
    </row>
    <row r="5">
      <c r="A5" s="5" t="inlineStr">
        <is>
          <t>Type</t>
        </is>
      </c>
      <c r="B5" s="6" t="inlineStr">
        <is>
          <t>Boss-level</t>
        </is>
      </c>
    </row>
    <row r="6"/>
    <row r="7">
      <c r="A7" s="2" t="inlineStr">
        <is>
          <t>Base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</row>
    <row r="9">
      <c r="A9" s="5" t="inlineStr">
        <is>
          <t>Constitution</t>
        </is>
      </c>
      <c r="B9" s="7" t="n">
        <v>16</v>
      </c>
      <c r="C9" s="9">
        <f>FLOOR.MATH((B9-10)/2)</f>
        <v/>
      </c>
    </row>
    <row r="10">
      <c r="A10" s="5" t="inlineStr">
        <is>
          <t>Dexterity</t>
        </is>
      </c>
      <c r="B10" s="7" t="n">
        <v>16</v>
      </c>
      <c r="C10" s="9">
        <f>FLOOR.MATH((B10-10)/2)</f>
        <v/>
      </c>
    </row>
    <row r="11">
      <c r="A11" s="5" t="inlineStr">
        <is>
          <t>Perception</t>
        </is>
      </c>
      <c r="B11" s="7" t="n">
        <v>14</v>
      </c>
      <c r="C11" s="9">
        <f>FLOOR.MATH((B11-10)/2)</f>
        <v/>
      </c>
    </row>
    <row r="12">
      <c r="A12" s="5" t="inlineStr">
        <is>
          <t>Intelligence</t>
        </is>
      </c>
      <c r="B12" s="7" t="n">
        <v>4</v>
      </c>
      <c r="C12" s="9">
        <f>FLOOR.MATH((B12-10)/2)</f>
        <v/>
      </c>
    </row>
    <row r="13">
      <c r="A13" s="5" t="inlineStr">
        <is>
          <t>Willpower</t>
        </is>
      </c>
      <c r="B13" s="7" t="n">
        <v>14</v>
      </c>
      <c r="C13" s="9">
        <f>FLOOR.MATH((B13-10)/2)</f>
        <v/>
      </c>
    </row>
    <row r="14">
      <c r="A14" s="5" t="inlineStr">
        <is>
          <t>Charisma</t>
        </is>
      </c>
      <c r="B14" s="7" t="n">
        <v>4</v>
      </c>
      <c r="C14" s="9">
        <f>FLOOR.MATH((B14-10)/2)</f>
        <v/>
      </c>
    </row>
    <row r="15">
      <c r="A15" s="2" t="inlineStr">
        <is>
          <t>Combat Values</t>
        </is>
      </c>
      <c r="B15" s="3" t="n"/>
      <c r="C15" s="3" t="n"/>
      <c r="D15" s="3" t="n"/>
      <c r="E15" s="3" t="n"/>
      <c r="F15" s="4" t="n"/>
    </row>
    <row r="16">
      <c r="A16" s="5" t="inlineStr">
        <is>
          <t>Hit Points (HP)</t>
        </is>
      </c>
      <c r="B16" s="7" t="n">
        <v>120</v>
      </c>
      <c r="C16" s="5" t="inlineStr">
        <is>
          <t>Spirit Points (SP) (auto)</t>
        </is>
      </c>
      <c r="D16" s="7">
        <f>B14*5+10</f>
        <v/>
      </c>
    </row>
    <row r="17">
      <c r="A17" s="5" t="inlineStr">
        <is>
          <t>Armor Class (AC)</t>
        </is>
      </c>
      <c r="B17" s="7" t="n">
        <v>18</v>
      </c>
      <c r="C17" s="5" t="inlineStr">
        <is>
          <t>Initiative (auto)</t>
        </is>
      </c>
      <c r="D17" s="7">
        <f>C9+C10</f>
        <v/>
      </c>
    </row>
    <row r="18">
      <c r="A18" s="5" t="inlineStr">
        <is>
          <t>Nen Defense (auto)</t>
        </is>
      </c>
      <c r="B18" s="7">
        <f>C14</f>
        <v/>
      </c>
      <c r="C18" s="5" t="inlineStr">
        <is>
          <t>Movement</t>
        </is>
      </c>
      <c r="D18" s="7">
        <f>B9</f>
        <v/>
      </c>
    </row>
    <row r="19"/>
    <row r="20">
      <c r="A20" s="2" t="inlineStr">
        <is>
          <t>Attack</t>
        </is>
      </c>
      <c r="B20" s="3" t="n"/>
      <c r="C20" s="3" t="n"/>
      <c r="D20" s="3" t="n"/>
      <c r="E20" s="3" t="n"/>
      <c r="F20" s="4" t="n"/>
    </row>
    <row r="21">
      <c r="A21" s="8" t="inlineStr">
        <is>
          <t>Attack Name</t>
        </is>
      </c>
      <c r="B21" s="8" t="inlineStr">
        <is>
          <t>Hit Bonus</t>
        </is>
      </c>
      <c r="C21" s="8" t="inlineStr">
        <is>
          <t>Damage Die</t>
        </is>
      </c>
      <c r="D21" s="8" t="inlineStr">
        <is>
          <t>Damage Modifier</t>
        </is>
      </c>
      <c r="E21" s="8" t="inlineStr">
        <is>
          <t>Total Damage</t>
        </is>
      </c>
      <c r="F21" s="8" t="inlineStr">
        <is>
          <t>Notes</t>
        </is>
      </c>
    </row>
    <row r="22">
      <c r="A22" s="6" t="inlineStr">
        <is>
          <t>Crystal Shard Scatter</t>
        </is>
      </c>
      <c r="B22" s="7" t="inlineStr">
        <is>
          <t>Reflex DC17</t>
        </is>
      </c>
      <c r="C22" s="7" t="inlineStr">
        <is>
          <t>3d8</t>
        </is>
      </c>
      <c r="D22" s="7" t="n">
        <v>0</v>
      </c>
      <c r="E22" s="7">
        <f>C22+D22</f>
        <v/>
      </c>
      <c r="F22" s="6" t="inlineStr">
        <is>
          <t>Range 10m Reflex DC17 half damage</t>
        </is>
      </c>
    </row>
    <row r="23"/>
    <row r="24">
      <c r="A24" s="2" t="inlineStr">
        <is>
          <t>Special Ability</t>
        </is>
      </c>
      <c r="B24" s="3" t="n"/>
      <c r="C24" s="3" t="n"/>
      <c r="D24" s="3" t="n"/>
      <c r="E24" s="3" t="n"/>
      <c r="F24" s="4" t="n"/>
    </row>
    <row r="25">
      <c r="A25" s="6" t="inlineStr">
        <is>
          <t>Crystal Burst: When taking physical damage, deals 1d6 reflected damage to the attacker.</t>
        </is>
      </c>
      <c r="B25" s="3" t="n"/>
      <c r="C25" s="3" t="n"/>
      <c r="D25" s="3" t="n"/>
      <c r="E25" s="3" t="n"/>
      <c r="F25" s="4" t="n"/>
    </row>
    <row r="26"/>
    <row r="27">
      <c r="A27" s="2" t="inlineStr">
        <is>
          <t>Drop / Loot</t>
        </is>
      </c>
      <c r="B27" s="3" t="n"/>
      <c r="C27" s="3" t="n"/>
      <c r="D27" s="3" t="n"/>
      <c r="E27" s="3" t="n"/>
      <c r="F27" s="4" t="n"/>
    </row>
    <row r="28">
      <c r="A28" s="6" t="inlineStr">
        <is>
          <t>Memory Crystal Shard (Consumable: Can ask the GM one question; the answer is true but not necessarily complete)</t>
        </is>
      </c>
      <c r="B28" s="3" t="n"/>
      <c r="C28" s="3" t="n"/>
      <c r="D28" s="3" t="n"/>
      <c r="E28" s="3" t="n"/>
      <c r="F28" s="4" t="n"/>
    </row>
  </sheetData>
  <mergeCells count="9">
    <mergeCell ref="A24:F24"/>
    <mergeCell ref="A28:F28"/>
    <mergeCell ref="A1:F1"/>
    <mergeCell ref="A27:F27"/>
    <mergeCell ref="A3:F3"/>
    <mergeCell ref="A20:F20"/>
    <mergeCell ref="A15:F15"/>
    <mergeCell ref="A7:F7"/>
    <mergeCell ref="A25:F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Enemy: Crystal Dragon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6" t="inlineStr">
        <is>
          <t>Crystal Dragon</t>
        </is>
      </c>
      <c r="C4" s="5" t="inlineStr">
        <is>
          <t>Challenge Rating (CR)</t>
        </is>
      </c>
      <c r="D4" s="7" t="inlineStr">
        <is>
          <t>13</t>
        </is>
      </c>
    </row>
    <row r="5">
      <c r="A5" s="5" t="inlineStr">
        <is>
          <t>Type</t>
        </is>
      </c>
      <c r="B5" s="6" t="inlineStr">
        <is>
          <t>Boss-level</t>
        </is>
      </c>
    </row>
    <row r="6"/>
    <row r="7">
      <c r="A7" s="2" t="inlineStr">
        <is>
          <t>Base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</row>
    <row r="9">
      <c r="A9" s="5" t="inlineStr">
        <is>
          <t>Constitution</t>
        </is>
      </c>
      <c r="B9" s="7" t="n">
        <v>20</v>
      </c>
      <c r="C9" s="9">
        <f>FLOOR.MATH((B9-10)/2)</f>
        <v/>
      </c>
    </row>
    <row r="10">
      <c r="A10" s="5" t="inlineStr">
        <is>
          <t>Dexterity</t>
        </is>
      </c>
      <c r="B10" s="7" t="n">
        <v>12</v>
      </c>
      <c r="C10" s="9">
        <f>FLOOR.MATH((B10-10)/2)</f>
        <v/>
      </c>
    </row>
    <row r="11">
      <c r="A11" s="5" t="inlineStr">
        <is>
          <t>Perception</t>
        </is>
      </c>
      <c r="B11" s="7" t="n">
        <v>14</v>
      </c>
      <c r="C11" s="9">
        <f>FLOOR.MATH((B11-10)/2)</f>
        <v/>
      </c>
    </row>
    <row r="12">
      <c r="A12" s="5" t="inlineStr">
        <is>
          <t>Intelligence</t>
        </is>
      </c>
      <c r="B12" s="7" t="n">
        <v>8</v>
      </c>
      <c r="C12" s="9">
        <f>FLOOR.MATH((B12-10)/2)</f>
        <v/>
      </c>
    </row>
    <row r="13">
      <c r="A13" s="5" t="inlineStr">
        <is>
          <t>Willpower</t>
        </is>
      </c>
      <c r="B13" s="7" t="n">
        <v>20</v>
      </c>
      <c r="C13" s="9">
        <f>FLOOR.MATH((B13-10)/2)</f>
        <v/>
      </c>
    </row>
    <row r="14">
      <c r="A14" s="5" t="inlineStr">
        <is>
          <t>Charisma</t>
        </is>
      </c>
      <c r="B14" s="7" t="n">
        <v>6</v>
      </c>
      <c r="C14" s="9">
        <f>FLOOR.MATH((B14-10)/2)</f>
        <v/>
      </c>
    </row>
    <row r="15">
      <c r="A15" s="2" t="inlineStr">
        <is>
          <t>Combat Values</t>
        </is>
      </c>
      <c r="B15" s="3" t="n"/>
      <c r="C15" s="3" t="n"/>
      <c r="D15" s="3" t="n"/>
      <c r="E15" s="3" t="n"/>
      <c r="F15" s="4" t="n"/>
    </row>
    <row r="16">
      <c r="A16" s="5" t="inlineStr">
        <is>
          <t>Hit Points (HP)</t>
        </is>
      </c>
      <c r="B16" s="7" t="n">
        <v>250</v>
      </c>
      <c r="C16" s="5" t="inlineStr">
        <is>
          <t>Spirit Points (SP) (auto)</t>
        </is>
      </c>
      <c r="D16" s="7">
        <f>B14*5+10</f>
        <v/>
      </c>
    </row>
    <row r="17">
      <c r="A17" s="5" t="inlineStr">
        <is>
          <t>Armor Class (AC)</t>
        </is>
      </c>
      <c r="B17" s="7" t="n">
        <v>20</v>
      </c>
      <c r="C17" s="5" t="inlineStr">
        <is>
          <t>Initiative (auto)</t>
        </is>
      </c>
      <c r="D17" s="7">
        <f>C9+C10</f>
        <v/>
      </c>
    </row>
    <row r="18">
      <c r="A18" s="5" t="inlineStr">
        <is>
          <t>Nen Defense (auto)</t>
        </is>
      </c>
      <c r="B18" s="7">
        <f>C14</f>
        <v/>
      </c>
      <c r="C18" s="5" t="inlineStr">
        <is>
          <t>Movement</t>
        </is>
      </c>
      <c r="D18" s="7">
        <f>B9</f>
        <v/>
      </c>
    </row>
    <row r="19"/>
    <row r="20">
      <c r="A20" s="2" t="inlineStr">
        <is>
          <t>Attack</t>
        </is>
      </c>
      <c r="B20" s="3" t="n"/>
      <c r="C20" s="3" t="n"/>
      <c r="D20" s="3" t="n"/>
      <c r="E20" s="3" t="n"/>
      <c r="F20" s="4" t="n"/>
    </row>
    <row r="21">
      <c r="A21" s="8" t="inlineStr">
        <is>
          <t>Attack Name</t>
        </is>
      </c>
      <c r="B21" s="8" t="inlineStr">
        <is>
          <t>Hit Bonus</t>
        </is>
      </c>
      <c r="C21" s="8" t="inlineStr">
        <is>
          <t>Damage Die</t>
        </is>
      </c>
      <c r="D21" s="8" t="inlineStr">
        <is>
          <t>Damage Modifier</t>
        </is>
      </c>
      <c r="E21" s="8" t="inlineStr">
        <is>
          <t>Total Damage</t>
        </is>
      </c>
      <c r="F21" s="8" t="inlineStr">
        <is>
          <t>Notes</t>
        </is>
      </c>
    </row>
    <row r="22">
      <c r="A22" s="6" t="inlineStr">
        <is>
          <t>Crystal Claw</t>
        </is>
      </c>
      <c r="B22" s="7" t="inlineStr">
        <is>
          <t>+8</t>
        </is>
      </c>
      <c r="C22" s="7" t="inlineStr">
        <is>
          <t>2d10</t>
        </is>
      </c>
      <c r="D22" s="7" t="n">
        <v>5</v>
      </c>
      <c r="E22" s="7">
        <f>C22+D22</f>
        <v/>
      </c>
      <c r="F22" s="6" t="inlineStr">
        <is>
          <t>Constitution Modifier</t>
        </is>
      </c>
    </row>
    <row r="23">
      <c r="A23" s="6" t="inlineStr">
        <is>
          <t>Crystallization Ray</t>
        </is>
      </c>
      <c r="B23" s="7" t="inlineStr">
        <is>
          <t>Reflex DC20</t>
        </is>
      </c>
      <c r="C23" s="7" t="inlineStr">
        <is>
          <t>(Crystallization)</t>
        </is>
      </c>
      <c r="D23" s="7" t="n">
        <v>0</v>
      </c>
      <c r="E23" s="7">
        <f>C23+D23</f>
        <v/>
      </c>
      <c r="F23" s="6" t="inlineStr">
        <is>
          <t>Straight line 30m Fortitude DC20 or 2 crystallization progress, 2-turn cooldown</t>
        </is>
      </c>
    </row>
    <row r="24"/>
    <row r="25">
      <c r="A25" s="2" t="inlineStr">
        <is>
          <t>Special Ability</t>
        </is>
      </c>
      <c r="B25" s="3" t="n"/>
      <c r="C25" s="3" t="n"/>
      <c r="D25" s="3" t="n"/>
      <c r="E25" s="3" t="n"/>
      <c r="F25" s="4" t="n"/>
    </row>
    <row r="26">
      <c r="A26" s="6" t="inlineStr">
        <is>
          <t>Weakness: No resistance to fire damage.</t>
        </is>
      </c>
      <c r="B26" s="3" t="n"/>
      <c r="C26" s="3" t="n"/>
      <c r="D26" s="3" t="n"/>
      <c r="E26" s="3" t="n"/>
      <c r="F26" s="4" t="n"/>
    </row>
    <row r="27">
      <c r="A27" s="6" t="inlineStr">
        <is>
          <t>Crystallization Reflect: When taking physical damage, deals 1d6 reflected damage to the attacker.</t>
        </is>
      </c>
      <c r="B27" s="3" t="n"/>
      <c r="C27" s="3" t="n"/>
      <c r="D27" s="3" t="n"/>
      <c r="E27" s="3" t="n"/>
      <c r="F27" s="4" t="n"/>
    </row>
    <row r="28"/>
    <row r="29">
      <c r="A29" s="2" t="inlineStr">
        <is>
          <t>Drop / Loot</t>
        </is>
      </c>
      <c r="B29" s="3" t="n"/>
      <c r="C29" s="3" t="n"/>
      <c r="D29" s="3" t="n"/>
      <c r="E29" s="3" t="n"/>
      <c r="F29" s="4" t="n"/>
    </row>
    <row r="30">
      <c r="A30" s="6" t="inlineStr">
        <is>
          <t>Reverse Crystal Flower (fully cures Crystallization disease + 12hr immunity)</t>
        </is>
      </c>
      <c r="B30" s="3" t="n"/>
      <c r="C30" s="3" t="n"/>
      <c r="D30" s="3" t="n"/>
      <c r="E30" s="3" t="n"/>
      <c r="F30" s="4" t="n"/>
    </row>
  </sheetData>
  <mergeCells count="10">
    <mergeCell ref="A3:F3"/>
    <mergeCell ref="A1:F1"/>
    <mergeCell ref="A27:F27"/>
    <mergeCell ref="A15:F15"/>
    <mergeCell ref="A26:F26"/>
    <mergeCell ref="A30:F30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Hunter × Hunter TRPG Enemy: Ging's Core (Plant Weapon)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Name</t>
        </is>
      </c>
      <c r="B4" s="6" t="inlineStr">
        <is>
          <t>Ging's Core</t>
        </is>
      </c>
    </row>
    <row r="5">
      <c r="A5" s="5" t="inlineStr">
        <is>
          <t>Challenge Rating (CR)</t>
        </is>
      </c>
      <c r="B5" s="6" t="inlineStr">
        <is>
          <t>14</t>
        </is>
      </c>
    </row>
    <row r="6">
      <c r="A6" s="5" t="inlineStr">
        <is>
          <t>Type</t>
        </is>
      </c>
      <c r="B6" s="6" t="inlineStr">
        <is>
          <t>Boss-level (Body Part System)</t>
        </is>
      </c>
    </row>
    <row r="7">
      <c r="A7" s="5" t="inlineStr">
        <is>
          <t>XP Reward</t>
        </is>
      </c>
      <c r="B7" s="6" t="inlineStr">
        <is>
          <t>400 Experience Points (XP)</t>
        </is>
      </c>
    </row>
    <row r="8">
      <c r="A8" s="2" t="inlineStr">
        <is>
          <t>Base Attributes</t>
        </is>
      </c>
      <c r="B8" s="3" t="n"/>
      <c r="C8" s="3" t="n"/>
      <c r="D8" s="3" t="n"/>
      <c r="E8" s="3" t="n"/>
      <c r="F8" s="4" t="n"/>
    </row>
    <row r="9">
      <c r="A9" s="8" t="inlineStr">
        <is>
          <t>Attributes</t>
        </is>
      </c>
      <c r="B9" s="8" t="inlineStr">
        <is>
          <t>Value</t>
        </is>
      </c>
      <c r="C9" s="8" t="inlineStr">
        <is>
          <t>Modifier</t>
        </is>
      </c>
    </row>
    <row r="10">
      <c r="A10" s="5" t="inlineStr">
        <is>
          <t>Constitution Constitution (CON)</t>
        </is>
      </c>
      <c r="B10" s="7" t="n">
        <v>20</v>
      </c>
      <c r="C10" s="9">
        <f>FLOOR.MATH((B10-10)/2)</f>
        <v/>
      </c>
    </row>
    <row r="11">
      <c r="A11" s="5" t="inlineStr">
        <is>
          <t>Dexterity Dexterity (DEX)</t>
        </is>
      </c>
      <c r="B11" s="7" t="n">
        <v>12</v>
      </c>
      <c r="C11" s="9">
        <f>FLOOR.MATH((B11-10)/2)</f>
        <v/>
      </c>
    </row>
    <row r="12">
      <c r="A12" s="5" t="inlineStr">
        <is>
          <t>Perception Perception (PER)</t>
        </is>
      </c>
      <c r="B12" s="7" t="n">
        <v>18</v>
      </c>
      <c r="C12" s="9">
        <f>FLOOR.MATH((B12-10)/2)</f>
        <v/>
      </c>
    </row>
    <row r="13">
      <c r="A13" s="5" t="inlineStr">
        <is>
          <t>Intelligence Intelligence (INT)</t>
        </is>
      </c>
      <c r="B13" s="7" t="n">
        <v>4</v>
      </c>
      <c r="C13" s="9">
        <f>FLOOR.MATH((B13-10)/2)</f>
        <v/>
      </c>
    </row>
    <row r="14">
      <c r="A14" s="5" t="inlineStr">
        <is>
          <t>Willpower Willpower (WIL)</t>
        </is>
      </c>
      <c r="B14" s="7" t="n">
        <v>16</v>
      </c>
      <c r="C14" s="9">
        <f>FLOOR.MATH((B14-10)/2)</f>
        <v/>
      </c>
    </row>
    <row r="15">
      <c r="A15" s="5" t="inlineStr">
        <is>
          <t>Charisma Charisma (CHA)</t>
        </is>
      </c>
      <c r="B15" s="7" t="n">
        <v>2</v>
      </c>
      <c r="C15" s="9">
        <f>FLOOR.MATH((B15-10)/2)</f>
        <v/>
      </c>
    </row>
    <row r="16"/>
    <row r="17">
      <c r="A17" s="2" t="inlineStr">
        <is>
          <t>Body Part System</t>
        </is>
      </c>
      <c r="B17" s="3" t="n"/>
      <c r="C17" s="3" t="n"/>
      <c r="D17" s="3" t="n"/>
      <c r="E17" s="3" t="n"/>
      <c r="F17" s="4" t="n"/>
    </row>
    <row r="18">
      <c r="A18" s="5" t="inlineStr">
        <is>
          <t>Core</t>
        </is>
      </c>
      <c r="B18" s="7" t="inlineStr">
        <is>
          <t>Hit Points (HP): 300</t>
        </is>
      </c>
      <c r="C18" s="7" t="inlineStr">
        <is>
          <t>Armor Class (AC): 18</t>
        </is>
      </c>
      <c r="D18" s="6" t="inlineStr">
        <is>
          <t>Dies when destroyed</t>
        </is>
      </c>
    </row>
    <row r="19">
      <c r="A19" s="5" t="inlineStr">
        <is>
          <t>Root System ×6</t>
        </is>
      </c>
      <c r="B19" s="7" t="inlineStr">
        <is>
          <t>Hit Points (HP): 50 each</t>
        </is>
      </c>
      <c r="C19" s="7" t="inlineStr">
        <is>
          <t>Armor Class (AC): 16</t>
        </is>
      </c>
      <c r="D19" s="6" t="inlineStr">
        <is>
          <t>After all destroyed, Core AC -4, cannot recover</t>
        </is>
      </c>
    </row>
    <row r="20"/>
    <row r="21"/>
    <row r="22">
      <c r="A22" s="8" t="inlineStr">
        <is>
          <t>Attack Name</t>
        </is>
      </c>
      <c r="B22" s="8" t="inlineStr">
        <is>
          <t>Hit</t>
        </is>
      </c>
      <c r="C22" s="8" t="inlineStr">
        <is>
          <t>Damage Die</t>
        </is>
      </c>
      <c r="D22" s="8" t="inlineStr">
        <is>
          <t>Damage Modifier</t>
        </is>
      </c>
      <c r="E22" s="8" t="inlineStr">
        <is>
          <t>Total Damage</t>
        </is>
      </c>
      <c r="F22" s="8" t="inlineStr">
        <is>
          <t>Notes</t>
        </is>
      </c>
    </row>
    <row r="23">
      <c r="A23" s="6" t="inlineStr">
        <is>
          <t>Vine Lash (×3/turn)</t>
        </is>
      </c>
      <c r="B23" s="7" t="inlineStr">
        <is>
          <t>d20+10</t>
        </is>
      </c>
      <c r="C23" s="7" t="inlineStr">
        <is>
          <t>2d8</t>
        </is>
      </c>
      <c r="D23" s="7" t="n">
        <v>5</v>
      </c>
      <c r="E23" s="7">
        <f>C23+D23</f>
        <v/>
      </c>
      <c r="F23" s="6" t="inlineStr">
        <is>
          <t>Piercing 3 attacks per turn</t>
        </is>
      </c>
    </row>
    <row r="24"/>
    <row r="25">
      <c r="A25" s="6" t="inlineStr">
        <is>
          <t>Learning Mechanic: Each turn analyzes the PC's attack type; that type's resistance +2 (max +6).</t>
        </is>
      </c>
      <c r="B25" s="3" t="n"/>
      <c r="C25" s="3" t="n"/>
      <c r="D25" s="3" t="n"/>
      <c r="E25" s="3" t="n"/>
      <c r="F25" s="4" t="n"/>
    </row>
    <row r="26">
      <c r="A26" s="6" t="inlineStr">
        <is>
          <t>Targeted Defense: From turn 3, grows targeted defense structures.</t>
        </is>
      </c>
      <c r="B26" s="3" t="n"/>
      <c r="C26" s="3" t="n"/>
      <c r="D26" s="3" t="n"/>
      <c r="E26" s="3" t="n"/>
      <c r="F26" s="4" t="n"/>
    </row>
    <row r="27">
      <c r="A27" s="6" t="inlineStr">
        <is>
          <t>Mimic Nen Ability: From turn 4, mimics the PC's nascent Nen ability (SP cost doubled).</t>
        </is>
      </c>
      <c r="B27" s="3" t="n"/>
      <c r="C27" s="3" t="n"/>
      <c r="D27" s="3" t="n"/>
      <c r="E27" s="3" t="n"/>
      <c r="F27" s="4" t="n"/>
    </row>
    <row r="28">
      <c r="A28" s="6" t="inlineStr">
        <is>
          <t>Spore Mark: Automatically marks all creatures entering the domain. Can be cleared with Nen ability DC20 or Zetsu for 10 minutes.</t>
        </is>
      </c>
      <c r="B28" s="3" t="n"/>
      <c r="C28" s="3" t="n"/>
      <c r="D28" s="3" t="n"/>
      <c r="E28" s="3" t="n"/>
      <c r="F28" s="4" t="n"/>
    </row>
    <row r="29">
      <c r="A29" s="6" t="inlineStr">
        <is>
          <t>Weakness: Cannot learn attacks it has never seen; after clearing spores, needs 1 turn to re-analyze.</t>
        </is>
      </c>
      <c r="B29" s="3" t="n"/>
      <c r="C29" s="3" t="n"/>
      <c r="D29" s="3" t="n"/>
      <c r="E29" s="3" t="n"/>
      <c r="F29" s="4" t="n"/>
    </row>
    <row r="30"/>
    <row r="31">
      <c r="A31" s="2" t="inlineStr">
        <is>
          <t>Drop</t>
        </is>
      </c>
      <c r="B31" s="3" t="n"/>
      <c r="C31" s="3" t="n"/>
      <c r="D31" s="3" t="n"/>
      <c r="E31" s="3" t="n"/>
      <c r="F31" s="4" t="n"/>
    </row>
    <row r="32">
      <c r="A32" s="6" t="inlineStr">
        <is>
          <t>Ging's Seed (after planting, grows a defense barrier in 1 hour, +3 AC to all for 24hr), Experience Points (XP) 30-40</t>
        </is>
      </c>
      <c r="B32" s="3" t="n"/>
      <c r="C32" s="3" t="n"/>
      <c r="D32" s="3" t="n"/>
      <c r="E32" s="3" t="n"/>
      <c r="F32" s="4" t="n"/>
    </row>
  </sheetData>
  <mergeCells count="11">
    <mergeCell ref="A28:F28"/>
    <mergeCell ref="A3:F3"/>
    <mergeCell ref="A1:F1"/>
    <mergeCell ref="A32:F32"/>
    <mergeCell ref="A27:F27"/>
    <mergeCell ref="A8:F8"/>
    <mergeCell ref="A31:F31"/>
    <mergeCell ref="A17:F17"/>
    <mergeCell ref="A26:F26"/>
    <mergeCell ref="A29:F29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Enemy: Abisaru · Husk</t>
        </is>
      </c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Enemy Name</t>
        </is>
      </c>
      <c r="B4" s="6" t="inlineStr">
        <is>
          <t>Abisaru · Husk</t>
        </is>
      </c>
      <c r="C4" s="5" t="inlineStr">
        <is>
          <t>Challenge Rating (CR)</t>
        </is>
      </c>
      <c r="D4" s="7" t="inlineStr">
        <is>
          <t>1/2</t>
        </is>
      </c>
    </row>
    <row r="5">
      <c r="A5" s="5" t="inlineStr">
        <is>
          <t>Type</t>
        </is>
      </c>
      <c r="B5" s="6" t="inlineStr">
        <is>
          <t>Mook-level (Summon)</t>
        </is>
      </c>
    </row>
    <row r="6"/>
    <row r="7">
      <c r="A7" s="2" t="inlineStr">
        <is>
          <t>Base Attributes</t>
        </is>
      </c>
      <c r="B7" s="3" t="n"/>
      <c r="C7" s="3" t="n"/>
      <c r="D7" s="3" t="n"/>
      <c r="E7" s="3" t="n"/>
      <c r="F7" s="4" t="n"/>
    </row>
    <row r="8">
      <c r="A8" s="8" t="inlineStr">
        <is>
          <t>Attributes</t>
        </is>
      </c>
      <c r="B8" s="8" t="inlineStr">
        <is>
          <t>Value</t>
        </is>
      </c>
      <c r="C8" s="8" t="inlineStr">
        <is>
          <t>Modifier</t>
        </is>
      </c>
    </row>
    <row r="9">
      <c r="A9" s="5" t="inlineStr">
        <is>
          <t>Constitution</t>
        </is>
      </c>
      <c r="B9" s="7" t="n">
        <v>12</v>
      </c>
      <c r="C9" s="9">
        <f>FLOOR.MATH((B9-10)/2)</f>
        <v/>
      </c>
    </row>
    <row r="10">
      <c r="A10" s="5" t="inlineStr">
        <is>
          <t>Dexterity</t>
        </is>
      </c>
      <c r="B10" s="7" t="n">
        <v>8</v>
      </c>
      <c r="C10" s="9">
        <f>FLOOR.MATH((B10-10)/2)</f>
        <v/>
      </c>
    </row>
    <row r="11">
      <c r="A11" s="5" t="inlineStr">
        <is>
          <t>Perception</t>
        </is>
      </c>
      <c r="B11" s="7" t="n">
        <v>4</v>
      </c>
      <c r="C11" s="9">
        <f>FLOOR.MATH((B11-10)/2)</f>
        <v/>
      </c>
    </row>
    <row r="12">
      <c r="A12" s="5" t="inlineStr">
        <is>
          <t>Intelligence</t>
        </is>
      </c>
      <c r="B12" s="7" t="n">
        <v>1</v>
      </c>
      <c r="C12" s="9">
        <f>FLOOR.MATH((B12-10)/2)</f>
        <v/>
      </c>
    </row>
    <row r="13">
      <c r="A13" s="5" t="inlineStr">
        <is>
          <t>Willpower</t>
        </is>
      </c>
      <c r="B13" s="7" t="n">
        <v>4</v>
      </c>
      <c r="C13" s="9">
        <f>FLOOR.MATH((B13-10)/2)</f>
        <v/>
      </c>
    </row>
    <row r="14">
      <c r="A14" s="5" t="inlineStr">
        <is>
          <t>Charisma</t>
        </is>
      </c>
      <c r="B14" s="7" t="n">
        <v>1</v>
      </c>
      <c r="C14" s="9">
        <f>FLOOR.MATH((B14-10)/2)</f>
        <v/>
      </c>
    </row>
    <row r="15">
      <c r="A15" s="2" t="inlineStr">
        <is>
          <t>Combat Values</t>
        </is>
      </c>
      <c r="B15" s="3" t="n"/>
      <c r="C15" s="3" t="n"/>
      <c r="D15" s="3" t="n"/>
      <c r="E15" s="3" t="n"/>
      <c r="F15" s="4" t="n"/>
    </row>
    <row r="16">
      <c r="A16" s="5" t="inlineStr">
        <is>
          <t>Hit Points (HP)</t>
        </is>
      </c>
      <c r="B16" s="7" t="n">
        <v>25</v>
      </c>
      <c r="C16" s="5" t="inlineStr">
        <is>
          <t>Spirit Points (SP) (auto)</t>
        </is>
      </c>
      <c r="D16" s="7">
        <f>B14*5+10</f>
        <v/>
      </c>
    </row>
    <row r="17">
      <c r="A17" s="5" t="inlineStr">
        <is>
          <t>Armor Class (AC)</t>
        </is>
      </c>
      <c r="B17" s="7" t="n">
        <v>10</v>
      </c>
      <c r="C17" s="5" t="inlineStr">
        <is>
          <t>Initiative (auto)</t>
        </is>
      </c>
      <c r="D17" s="7">
        <f>C9+C10</f>
        <v/>
      </c>
    </row>
    <row r="18">
      <c r="A18" s="5" t="inlineStr">
        <is>
          <t>Nen Defense (auto)</t>
        </is>
      </c>
      <c r="B18" s="7">
        <f>C14</f>
        <v/>
      </c>
      <c r="C18" s="5" t="inlineStr">
        <is>
          <t>Movement</t>
        </is>
      </c>
      <c r="D18" s="7">
        <f>B9</f>
        <v/>
      </c>
    </row>
    <row r="19"/>
    <row r="20">
      <c r="A20" s="2" t="inlineStr">
        <is>
          <t>Attack</t>
        </is>
      </c>
      <c r="B20" s="3" t="n"/>
      <c r="C20" s="3" t="n"/>
      <c r="D20" s="3" t="n"/>
      <c r="E20" s="3" t="n"/>
      <c r="F20" s="4" t="n"/>
    </row>
    <row r="21">
      <c r="A21" s="8" t="inlineStr">
        <is>
          <t>Attack Name</t>
        </is>
      </c>
      <c r="B21" s="8" t="inlineStr">
        <is>
          <t>Hit Bonus</t>
        </is>
      </c>
      <c r="C21" s="8" t="inlineStr">
        <is>
          <t>Damage Die</t>
        </is>
      </c>
      <c r="D21" s="8" t="inlineStr">
        <is>
          <t>Damage Modifier</t>
        </is>
      </c>
      <c r="E21" s="8" t="inlineStr">
        <is>
          <t>Total Damage</t>
        </is>
      </c>
      <c r="F21" s="8" t="inlineStr">
        <is>
          <t>Notes</t>
        </is>
      </c>
    </row>
    <row r="22">
      <c r="A22" s="6" t="inlineStr">
        <is>
          <t>Slam</t>
        </is>
      </c>
      <c r="B22" s="7" t="inlineStr">
        <is>
          <t>+1</t>
        </is>
      </c>
      <c r="C22" s="7" t="inlineStr">
        <is>
          <t>1d6</t>
        </is>
      </c>
      <c r="D22" s="7" t="n">
        <v>1</v>
      </c>
      <c r="E22" s="7">
        <f>C22+D22</f>
        <v/>
      </c>
      <c r="F22" s="6" t="inlineStr">
        <is>
          <t>Slow Movement</t>
        </is>
      </c>
    </row>
    <row r="23"/>
    <row r="24">
      <c r="A24" s="2" t="inlineStr">
        <is>
          <t>Special Ability</t>
        </is>
      </c>
      <c r="B24" s="3" t="n"/>
      <c r="C24" s="3" t="n"/>
      <c r="D24" s="3" t="n"/>
      <c r="E24" s="3" t="n"/>
      <c r="F24" s="4" t="n"/>
    </row>
    <row r="25">
      <c r="A25" s="6" t="inlineStr">
        <is>
          <t>Residual Nen Field: Released upon destruction; within range, Willpower DC12 or Frightened Lv.1.</t>
        </is>
      </c>
      <c r="B25" s="3" t="n"/>
      <c r="C25" s="3" t="n"/>
      <c r="D25" s="3" t="n"/>
      <c r="E25" s="3" t="n"/>
      <c r="F25" s="4" t="n"/>
    </row>
    <row r="26">
      <c r="A26" s="6" t="inlineStr">
        <is>
          <t>Quantity: Generated d4 per turn during Abisaru's Awakening phase.</t>
        </is>
      </c>
      <c r="B26" s="3" t="n"/>
      <c r="C26" s="3" t="n"/>
      <c r="D26" s="3" t="n"/>
      <c r="E26" s="3" t="n"/>
      <c r="F26" s="4" t="n"/>
    </row>
    <row r="27"/>
    <row r="28">
      <c r="A28" s="2" t="inlineStr">
        <is>
          <t>Drop / Loot</t>
        </is>
      </c>
      <c r="B28" s="3" t="n"/>
      <c r="C28" s="3" t="n"/>
      <c r="D28" s="3" t="n"/>
      <c r="E28" s="3" t="n"/>
      <c r="F28" s="4" t="n"/>
    </row>
    <row r="29">
      <c r="A29" s="6" t="inlineStr">
        <is>
          <t>None</t>
        </is>
      </c>
      <c r="B29" s="3" t="n"/>
      <c r="C29" s="3" t="n"/>
      <c r="D29" s="3" t="n"/>
      <c r="E29" s="3" t="n"/>
      <c r="F29" s="4" t="n"/>
    </row>
  </sheetData>
  <mergeCells count="10">
    <mergeCell ref="A24:F24"/>
    <mergeCell ref="A28:F28"/>
    <mergeCell ref="A3:F3"/>
    <mergeCell ref="A1:F1"/>
    <mergeCell ref="A15:F15"/>
    <mergeCell ref="A26:F26"/>
    <mergeCell ref="A20:F20"/>
    <mergeCell ref="A29:F29"/>
    <mergeCell ref="A7:F7"/>
    <mergeCell ref="A25:F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Hunter × Hunter TRPG Enemy: Two-tailed Snake Helbel</t>
        </is>
      </c>
      <c r="B1" s="3" t="n"/>
      <c r="C1" s="3" t="n"/>
      <c r="D1" s="3" t="n"/>
      <c r="E1" s="3" t="n"/>
      <c r="F1" s="4" t="n"/>
    </row>
    <row r="2"/>
    <row r="3">
      <c r="A3" s="2" t="inlineStr">
        <is>
          <t>Basic Information</t>
        </is>
      </c>
      <c r="B3" s="3" t="n"/>
      <c r="C3" s="3" t="n"/>
      <c r="D3" s="3" t="n"/>
      <c r="E3" s="3" t="n"/>
      <c r="F3" s="4" t="n"/>
    </row>
    <row r="4">
      <c r="A4" s="5" t="inlineStr">
        <is>
          <t>Name</t>
        </is>
      </c>
      <c r="B4" s="6" t="inlineStr">
        <is>
          <t>Two-tailed Snake Helbel</t>
        </is>
      </c>
    </row>
    <row r="5">
      <c r="A5" s="5" t="inlineStr">
        <is>
          <t>Challenge Rating (CR)</t>
        </is>
      </c>
      <c r="B5" s="6" t="inlineStr">
        <is>
          <t>18</t>
        </is>
      </c>
    </row>
    <row r="6">
      <c r="A6" s="5" t="inlineStr">
        <is>
          <t>Type</t>
        </is>
      </c>
      <c r="B6" s="6" t="inlineStr">
        <is>
          <t>Legendary (Body Part System Subjugation)</t>
        </is>
      </c>
    </row>
    <row r="7">
      <c r="A7" s="5" t="inlineStr">
        <is>
          <t>XP Reward</t>
        </is>
      </c>
      <c r="B7" s="6" t="inlineStr">
        <is>
          <t>800 Experience Points (XP)</t>
        </is>
      </c>
    </row>
    <row r="8">
      <c r="A8" s="2" t="inlineStr">
        <is>
          <t>Base Attributes</t>
        </is>
      </c>
      <c r="B8" s="3" t="n"/>
      <c r="C8" s="3" t="n"/>
      <c r="D8" s="3" t="n"/>
      <c r="E8" s="3" t="n"/>
      <c r="F8" s="4" t="n"/>
    </row>
    <row r="9">
      <c r="A9" s="8" t="inlineStr">
        <is>
          <t>Attributes</t>
        </is>
      </c>
      <c r="B9" s="8" t="inlineStr">
        <is>
          <t>Value</t>
        </is>
      </c>
      <c r="C9" s="8" t="inlineStr">
        <is>
          <t>Modifier</t>
        </is>
      </c>
    </row>
    <row r="10">
      <c r="A10" s="5" t="inlineStr">
        <is>
          <t>Constitution Constitution (CON)</t>
        </is>
      </c>
      <c r="B10" s="7" t="n">
        <v>24</v>
      </c>
      <c r="C10" s="9">
        <f>FLOOR.MATH((B10-10)/2)</f>
        <v/>
      </c>
    </row>
    <row r="11">
      <c r="A11" s="5" t="inlineStr">
        <is>
          <t>Dexterity Dexterity (DEX)</t>
        </is>
      </c>
      <c r="B11" s="7" t="n">
        <v>16</v>
      </c>
      <c r="C11" s="9">
        <f>FLOOR.MATH((B11-10)/2)</f>
        <v/>
      </c>
    </row>
    <row r="12">
      <c r="A12" s="5" t="inlineStr">
        <is>
          <t>Perception Perception (PER)</t>
        </is>
      </c>
      <c r="B12" s="7" t="n">
        <v>14</v>
      </c>
      <c r="C12" s="9">
        <f>FLOOR.MATH((B12-10)/2)</f>
        <v/>
      </c>
    </row>
    <row r="13">
      <c r="A13" s="5" t="inlineStr">
        <is>
          <t>Intelligence Intelligence (INT)</t>
        </is>
      </c>
      <c r="B13" s="7" t="n">
        <v>6</v>
      </c>
      <c r="C13" s="9">
        <f>FLOOR.MATH((B13-10)/2)</f>
        <v/>
      </c>
    </row>
    <row r="14">
      <c r="A14" s="5" t="inlineStr">
        <is>
          <t>Willpower Willpower (WIL)</t>
        </is>
      </c>
      <c r="B14" s="7" t="n">
        <v>12</v>
      </c>
      <c r="C14" s="9">
        <f>FLOOR.MATH((B14-10)/2)</f>
        <v/>
      </c>
    </row>
    <row r="15">
      <c r="A15" s="5" t="inlineStr">
        <is>
          <t>Charisma Charisma (CHA)</t>
        </is>
      </c>
      <c r="B15" s="7" t="n">
        <v>2</v>
      </c>
      <c r="C15" s="9">
        <f>FLOOR.MATH((B15-10)/2)</f>
        <v/>
      </c>
    </row>
    <row r="16"/>
    <row r="17">
      <c r="A17" s="2" t="inlineStr">
        <is>
          <t>Body Part System (Total HP 500)</t>
        </is>
      </c>
      <c r="B17" s="3" t="n"/>
      <c r="C17" s="3" t="n"/>
      <c r="D17" s="3" t="n"/>
      <c r="E17" s="3" t="n"/>
      <c r="F17" s="4" t="n"/>
    </row>
    <row r="18">
      <c r="A18" s="5" t="inlineStr">
        <is>
          <t>Head</t>
        </is>
      </c>
      <c r="B18" s="7" t="inlineStr">
        <is>
          <t>Hit Points (HP): 200</t>
        </is>
      </c>
      <c r="C18" s="7" t="inlineStr">
        <is>
          <t>Armor Class (AC): 22</t>
        </is>
      </c>
      <c r="D18" s="6" t="inlineStr">
        <is>
          <t>Cannot devour after destroyed</t>
        </is>
      </c>
    </row>
    <row r="19">
      <c r="A19" s="5" t="inlineStr">
        <is>
          <t>Body (Core)</t>
        </is>
      </c>
      <c r="B19" s="7" t="inlineStr">
        <is>
          <t>Hit Points (HP): 300</t>
        </is>
      </c>
      <c r="C19" s="7" t="inlineStr">
        <is>
          <t>Armor Class (AC): 20</t>
        </is>
      </c>
      <c r="D19" s="6" t="inlineStr">
        <is>
          <t>Dies when destroyed</t>
        </is>
      </c>
    </row>
    <row r="20">
      <c r="A20" s="5" t="inlineStr">
        <is>
          <t>Left Tail (Material Digestion)</t>
        </is>
      </c>
      <c r="B20" s="7" t="inlineStr">
        <is>
          <t>Hit Points (HP): 120</t>
        </is>
      </c>
      <c r="C20" s="7" t="inlineStr">
        <is>
          <t>Armor Class (AC): 18</t>
        </is>
      </c>
      <c r="D20" s="6" t="inlineStr">
        <is>
          <t>Physical resistance disappears after destroyed</t>
        </is>
      </c>
    </row>
    <row r="21">
      <c r="A21" s="5" t="inlineStr">
        <is>
          <t>Right Tail (Nen Digestion)</t>
        </is>
      </c>
      <c r="B21" s="7" t="inlineStr">
        <is>
          <t>Hit Points (HP): 120</t>
        </is>
      </c>
      <c r="C21" s="7" t="inlineStr">
        <is>
          <t>Armor Class (AC): 18</t>
        </is>
      </c>
      <c r="D21" s="6" t="inlineStr">
        <is>
          <t>Nen attack resistance disappears after destroyed</t>
        </is>
      </c>
    </row>
    <row r="22"/>
    <row r="23">
      <c r="A23" s="8" t="inlineStr">
        <is>
          <t>Attack Name</t>
        </is>
      </c>
      <c r="B23" s="8" t="inlineStr">
        <is>
          <t>Hit</t>
        </is>
      </c>
      <c r="C23" s="8" t="inlineStr">
        <is>
          <t>Damage Die</t>
        </is>
      </c>
      <c r="D23" s="8" t="inlineStr">
        <is>
          <t>Damage Modifier</t>
        </is>
      </c>
      <c r="E23" s="8" t="inlineStr">
        <is>
          <t>Total Damage</t>
        </is>
      </c>
      <c r="F23" s="8" t="inlineStr">
        <is>
          <t>Notes</t>
        </is>
      </c>
    </row>
    <row r="24">
      <c r="A24" s="6" t="inlineStr">
        <is>
          <t>Devour (Head)</t>
        </is>
      </c>
      <c r="B24" s="7" t="inlineStr">
        <is>
          <t>d20+12</t>
        </is>
      </c>
      <c r="C24" s="7" t="inlineStr">
        <is>
          <t>4d10</t>
        </is>
      </c>
      <c r="D24" s="7" t="n">
        <v>7</v>
      </c>
      <c r="E24" s="7">
        <f>C24+D24</f>
        <v/>
      </c>
      <c r="F24" s="6" t="inlineStr">
        <is>
          <t>Fortitude DC22 or be swallowed (4d6 acid per turn)</t>
        </is>
      </c>
    </row>
    <row r="25">
      <c r="A25" s="6" t="inlineStr">
        <is>
          <t>Tail Sweep (Both Tails Range 20m)</t>
        </is>
      </c>
      <c r="B25" s="7" t="inlineStr">
        <is>
          <t>d20+10</t>
        </is>
      </c>
      <c r="C25" s="7" t="inlineStr">
        <is>
          <t>3d10</t>
        </is>
      </c>
      <c r="D25" s="7" t="n">
        <v>7</v>
      </c>
      <c r="E25" s="7">
        <f>C25+D25</f>
        <v/>
      </c>
      <c r="F25" s="6" t="inlineStr">
        <is>
          <t>Reflex DC18 half</t>
        </is>
      </c>
    </row>
    <row r="26">
      <c r="A26" s="6" t="inlineStr">
        <is>
          <t>Nen Absorb (Right Tail Range 30m)</t>
        </is>
      </c>
      <c r="B26" s="7" t="inlineStr">
        <is>
          <t>Auto Hit</t>
        </is>
      </c>
      <c r="C26" s="7" t="inlineStr">
        <is>
          <t>Spirit Points (SP) -2d6</t>
        </is>
      </c>
      <c r="D26" s="7" t="n">
        <v>0</v>
      </c>
      <c r="E26" s="7">
        <f>C26+D26</f>
        <v/>
      </c>
      <c r="F26" s="6" t="inlineStr">
        <is>
          <t>Helbel recovers equal HP</t>
        </is>
      </c>
    </row>
    <row r="27"/>
    <row r="28">
      <c r="A28" s="6" t="inlineStr">
        <is>
          <t>3 actions per turn (choose from the above attacks).</t>
        </is>
      </c>
      <c r="B28" s="3" t="n"/>
      <c r="C28" s="3" t="n"/>
      <c r="D28" s="3" t="n"/>
      <c r="E28" s="3" t="n"/>
      <c r="F28" s="4" t="n"/>
    </row>
    <row r="29">
      <c r="A29" s="6" t="inlineStr">
        <is>
          <t>Weakness: During slumber, AC -4, Initiative -5.</t>
        </is>
      </c>
      <c r="B29" s="3" t="n"/>
      <c r="C29" s="3" t="n"/>
      <c r="D29" s="3" t="n"/>
      <c r="E29" s="3" t="n"/>
      <c r="F29" s="4" t="n"/>
    </row>
    <row r="30">
      <c r="A30" s="6" t="inlineStr">
        <is>
          <t>Twin-tail Link Nerve (Perception DC20): When attacking both tails simultaneously, damage ×1.5.</t>
        </is>
      </c>
      <c r="B30" s="3" t="n"/>
      <c r="C30" s="3" t="n"/>
      <c r="D30" s="3" t="n"/>
      <c r="E30" s="3" t="n"/>
      <c r="F30" s="4" t="n"/>
    </row>
    <row r="31">
      <c r="A31" s="6" t="inlineStr">
        <is>
          <t>Scale Armor: Physical attack damage reduced by -5.</t>
        </is>
      </c>
      <c r="B31" s="3" t="n"/>
      <c r="C31" s="3" t="n"/>
      <c r="D31" s="3" t="n"/>
      <c r="E31" s="3" t="n"/>
      <c r="F31" s="4" t="n"/>
    </row>
    <row r="32"/>
    <row r="33">
      <c r="A33" s="2" t="inlineStr">
        <is>
          <t>Drop</t>
        </is>
      </c>
      <c r="B33" s="3" t="n"/>
      <c r="C33" s="3" t="n"/>
      <c r="D33" s="3" t="n"/>
      <c r="E33" s="3" t="n"/>
      <c r="F33" s="4" t="n"/>
    </row>
    <row r="34">
      <c r="A34" s="6" t="inlineStr">
        <is>
          <t>Helbel Scale ×10 (AC+3 Nen Defense+2 armor material), Twin-tail Crystal (Absorption-type Nen equipment material), Experience Points (XP) 60-80</t>
        </is>
      </c>
      <c r="B34" s="3" t="n"/>
      <c r="C34" s="3" t="n"/>
      <c r="D34" s="3" t="n"/>
      <c r="E34" s="3" t="n"/>
      <c r="F34" s="4" t="n"/>
    </row>
  </sheetData>
  <mergeCells count="10">
    <mergeCell ref="A33:F33"/>
    <mergeCell ref="A28:F28"/>
    <mergeCell ref="A1:F1"/>
    <mergeCell ref="A8:F8"/>
    <mergeCell ref="A31:F31"/>
    <mergeCell ref="A17:F17"/>
    <mergeCell ref="A34:F34"/>
    <mergeCell ref="A3:F3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2026-06-21T15:45:35Z</dcterms:created>
  <dcterms:modified xsi:type="dcterms:W3CDTF">2026-08-10T13:21:11Z</dcterms:modified>
</cp:coreProperties>
</file>