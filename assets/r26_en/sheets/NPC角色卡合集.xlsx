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nterTRPG_BlankNPCSheet" sheetId="1" state="visible" r:id="rId1"/>
    <sheet name="&quot;Gatekeeper&quot; Ong" sheetId="2" state="visible" r:id="rId2"/>
    <sheet name="&quot;Wolf Smoke&quot; Vald" sheetId="3" state="visible" r:id="rId3"/>
    <sheet name="Undead Kalvi" sheetId="4" state="visible" r:id="rId4"/>
    <sheet name="Nasibi Hui-Guorou" sheetId="5" state="visible" r:id="rId5"/>
    <sheet name="Cheadle (Zodiac·Dog)" sheetId="6" state="visible" r:id="rId6"/>
    <sheet name="Edmond Ray" sheetId="7" state="visible" r:id="rId7"/>
    <sheet name="NPC Companion Template" sheetId="8" state="visible" r:id="rId8"/>
  </sheets>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name val="Arial"/>
      <b val="1"/>
      <color rgb="00222222"/>
      <sz val="16"/>
    </font>
    <font>
      <name val="Arial"/>
      <b val="1"/>
      <color rgb="00FFFFFF"/>
      <sz val="12"/>
    </font>
    <font>
      <name val="Arial"/>
      <b val="1"/>
      <sz val="10"/>
    </font>
    <font>
      <name val="Arial"/>
      <sz val="10"/>
    </font>
  </fonts>
  <fills count="4">
    <fill>
      <patternFill/>
    </fill>
    <fill>
      <patternFill patternType="gray125"/>
    </fill>
    <fill>
      <patternFill patternType="solid">
        <fgColor rgb="00444444"/>
        <bgColor rgb="00444444"/>
      </patternFill>
    </fill>
    <fill>
      <patternFill patternType="solid">
        <fgColor rgb="00222222"/>
        <bgColor rgb="00222222"/>
      </patternFill>
    </fill>
  </fills>
  <borders count="13">
    <border>
      <left/>
      <right/>
      <top/>
      <bottom/>
      <diagonal/>
    </border>
    <border/>
    <border>
      <left style="thin"/>
      <right style="thin"/>
      <top style="thin"/>
      <bottom style="thin"/>
    </border>
    <border>
      <left/>
      <right/>
      <top style="thin"/>
      <bottom style="thin"/>
      <diagonal/>
    </border>
    <border>
      <left/>
      <right style="thin"/>
      <top style="thin"/>
      <bottom style="thin"/>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right/>
      <bottom/>
    </border>
  </borders>
  <cellStyleXfs count="1">
    <xf numFmtId="0" fontId="0" fillId="0" borderId="0"/>
  </cellStyleXfs>
  <cellXfs count="20">
    <xf numFmtId="0" fontId="0" fillId="0" borderId="0" pivotButton="0" quotePrefix="0" xfId="0"/>
    <xf numFmtId="0" fontId="1" fillId="0" borderId="12" applyAlignment="1" pivotButton="0" quotePrefix="0" xfId="0">
      <alignment horizontal="center" vertical="center" wrapText="1"/>
    </xf>
    <xf numFmtId="0" fontId="2" fillId="2" borderId="2" applyAlignment="1" pivotButton="0" quotePrefix="0" xfId="0">
      <alignment horizontal="center" vertical="center" wrapText="1"/>
    </xf>
    <xf numFmtId="0" fontId="0" fillId="0" borderId="3" pivotButton="0" quotePrefix="0" xfId="0"/>
    <xf numFmtId="0" fontId="0" fillId="0" borderId="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3" fillId="3" borderId="2" applyAlignment="1" pivotButton="0" quotePrefix="0" xfId="0">
      <alignment horizontal="center" vertical="center" wrapText="1"/>
    </xf>
    <xf numFmtId="0" fontId="4" fillId="0" borderId="2" applyAlignment="1" pivotButton="0" quotePrefix="0" xfId="0">
      <alignment horizontal="center" vertical="center" wrapText="1"/>
    </xf>
    <xf numFmtId="164" fontId="4"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1" fillId="0" borderId="2" applyAlignment="1" pivotButton="0" quotePrefix="0" xfId="0">
      <alignment horizontal="center" vertical="center" wrapText="1"/>
    </xf>
    <xf numFmtId="0" fontId="0" fillId="2" borderId="2"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Hunter × Hunter TRPG Non-Player Character (NPC) Character Sheet</t>
        </is>
      </c>
    </row>
    <row r="2"/>
    <row r="3">
      <c r="A3" s="2" t="inlineStr">
        <is>
          <t>Basic Data</t>
        </is>
      </c>
      <c r="B3" s="3" t="n"/>
      <c r="C3" s="3" t="n"/>
      <c r="D3" s="3" t="n"/>
      <c r="E3" s="3" t="n"/>
      <c r="F3" s="4" t="n"/>
    </row>
    <row r="4">
      <c r="A4" s="5" t="inlineStr">
        <is>
          <t>Name</t>
        </is>
      </c>
      <c r="B4" s="6" t="n"/>
      <c r="C4" s="5" t="inlineStr">
        <is>
          <t>Identity / Profession</t>
        </is>
      </c>
      <c r="D4" s="6" t="n"/>
      <c r="E4" s="5" t="inlineStr">
        <is>
          <t>Alignment</t>
        </is>
      </c>
      <c r="F4" s="6" t="n"/>
    </row>
    <row r="5"/>
    <row r="6">
      <c r="A6" s="2" t="inlineStr">
        <is>
          <t>Base Attributes</t>
        </is>
      </c>
      <c r="B6" s="3" t="n"/>
      <c r="C6" s="3" t="n"/>
      <c r="D6" s="3" t="n"/>
      <c r="E6" s="3" t="n"/>
      <c r="F6" s="4" t="n"/>
    </row>
    <row r="7">
      <c r="A7" s="7" t="inlineStr">
        <is>
          <t>Attributes</t>
        </is>
      </c>
      <c r="B7" s="7" t="inlineStr">
        <is>
          <t>Value</t>
        </is>
      </c>
      <c r="C7" s="7" t="inlineStr">
        <is>
          <t>Modifier</t>
        </is>
      </c>
    </row>
    <row r="8">
      <c r="A8" s="5" t="inlineStr">
        <is>
          <t>Constitution Constitution (CON)</t>
        </is>
      </c>
      <c r="B8" s="8" t="n">
        <v>10</v>
      </c>
      <c r="C8" s="9">
        <f>FLOOR.MATH((B8-10)/2)</f>
        <v/>
      </c>
    </row>
    <row r="9">
      <c r="A9" s="5" t="inlineStr">
        <is>
          <t>Dexterity Dexterity (DEX)</t>
        </is>
      </c>
      <c r="B9" s="8" t="n">
        <v>10</v>
      </c>
      <c r="C9" s="9">
        <f>FLOOR.MATH((B9-10)/2)</f>
        <v/>
      </c>
    </row>
    <row r="10">
      <c r="A10" s="5" t="inlineStr">
        <is>
          <t>Perception Perception (PER)</t>
        </is>
      </c>
      <c r="B10" s="8" t="n">
        <v>10</v>
      </c>
      <c r="C10" s="9">
        <f>FLOOR.MATH((B10-10)/2)</f>
        <v/>
      </c>
    </row>
    <row r="11">
      <c r="A11" s="5" t="inlineStr">
        <is>
          <t>Intelligence Intelligence (INT)</t>
        </is>
      </c>
      <c r="B11" s="8" t="n">
        <v>10</v>
      </c>
      <c r="C11" s="9">
        <f>FLOOR.MATH((B11-10)/2)</f>
        <v/>
      </c>
    </row>
    <row r="12">
      <c r="A12" s="5" t="inlineStr">
        <is>
          <t>Willpower Willpower (WIL)</t>
        </is>
      </c>
      <c r="B12" s="8" t="n">
        <v>10</v>
      </c>
      <c r="C12" s="9">
        <f>FLOOR.MATH((B12-10)/2)</f>
        <v/>
      </c>
    </row>
    <row r="13">
      <c r="A13" s="5" t="inlineStr">
        <is>
          <t>Charisma Charisma (CHA)</t>
        </is>
      </c>
      <c r="B13" s="8" t="n">
        <v>10</v>
      </c>
      <c r="C13" s="9">
        <f>FLOOR.MATH((B13-10)/2)</f>
        <v/>
      </c>
    </row>
    <row r="14"/>
    <row r="15">
      <c r="A15" s="2" t="inlineStr">
        <is>
          <t>Derived Attributes</t>
        </is>
      </c>
      <c r="B15" s="3" t="n"/>
      <c r="C15" s="3" t="n"/>
      <c r="D15" s="3" t="n"/>
      <c r="E15" s="3" t="n"/>
      <c r="F15" s="4" t="n"/>
    </row>
    <row r="16">
      <c r="A16" s="5" t="inlineStr">
        <is>
          <t>Hit Points (HP)</t>
        </is>
      </c>
      <c r="B16" s="8">
        <f>B8*5+10</f>
        <v/>
      </c>
    </row>
    <row r="17">
      <c r="A17" s="5" t="inlineStr">
        <is>
          <t>Spirit Points (SP)</t>
        </is>
      </c>
      <c r="B17" s="8">
        <f>B12*5+10</f>
        <v/>
      </c>
    </row>
    <row r="18">
      <c r="A18" s="5" t="inlineStr">
        <is>
          <t>Armor Class (AC)</t>
        </is>
      </c>
      <c r="B18" s="8">
        <f>10+C9</f>
        <v/>
      </c>
    </row>
    <row r="19">
      <c r="A19" s="5" t="inlineStr">
        <is>
          <t>Initiative</t>
        </is>
      </c>
      <c r="B19" s="8">
        <f>C9+C10</f>
        <v/>
      </c>
    </row>
    <row r="20">
      <c r="A20" s="5" t="inlineStr">
        <is>
          <t>Nen Defense</t>
        </is>
      </c>
      <c r="B20" s="8">
        <f>C12</f>
        <v/>
      </c>
    </row>
    <row r="21">
      <c r="A21" s="5" t="inlineStr">
        <is>
          <t>Challenge Rating (CR)</t>
        </is>
      </c>
      <c r="B21" s="8" t="n"/>
    </row>
    <row r="22"/>
    <row r="23">
      <c r="A23" s="2" t="inlineStr">
        <is>
          <t>Nen Abilities &amp; Special Skills</t>
        </is>
      </c>
      <c r="B23" s="3" t="n"/>
      <c r="C23" s="3" t="n"/>
      <c r="D23" s="3" t="n"/>
      <c r="E23" s="3" t="n"/>
      <c r="F23" s="4" t="n"/>
    </row>
    <row r="24">
      <c r="A24" s="7" t="inlineStr">
        <is>
          <t>Name</t>
        </is>
      </c>
      <c r="B24" s="7" t="inlineStr">
        <is>
          <t>Spirit Points (SP)</t>
        </is>
      </c>
      <c r="C24" s="7" t="inlineStr">
        <is>
          <t>Effect</t>
        </is>
      </c>
    </row>
    <row r="25">
      <c r="A25" s="6" t="n"/>
      <c r="B25" s="6" t="n"/>
      <c r="C25" s="6" t="n"/>
    </row>
    <row r="26">
      <c r="A26" s="6" t="n"/>
      <c r="B26" s="6" t="n"/>
      <c r="C26" s="6" t="n"/>
    </row>
    <row r="27">
      <c r="A27" s="6" t="n"/>
      <c r="B27" s="6" t="n"/>
      <c r="C27" s="6" t="n"/>
    </row>
    <row r="28">
      <c r="A28" s="6" t="n"/>
      <c r="B28" s="6" t="n"/>
      <c r="C28" s="6" t="n"/>
    </row>
    <row r="29"/>
    <row r="30">
      <c r="A30" s="2" t="inlineStr">
        <is>
          <t>Notes</t>
        </is>
      </c>
      <c r="B30" s="3" t="n"/>
      <c r="C30" s="3" t="n"/>
      <c r="D30" s="3" t="n"/>
      <c r="E30" s="3" t="n"/>
      <c r="F30" s="4" t="n"/>
    </row>
    <row r="31">
      <c r="A31" s="6" t="n"/>
      <c r="B31" s="10" t="n"/>
      <c r="C31" s="10" t="n"/>
      <c r="D31" s="10" t="n"/>
      <c r="E31" s="10" t="n"/>
      <c r="F31" s="11" t="n"/>
    </row>
    <row r="32">
      <c r="A32" s="12" t="n"/>
      <c r="F32" s="13" t="n"/>
    </row>
    <row r="33">
      <c r="A33" s="12" t="n"/>
      <c r="F33" s="13" t="n"/>
    </row>
    <row r="34">
      <c r="A34" s="14" t="n"/>
      <c r="B34" s="15" t="n"/>
      <c r="C34" s="15" t="n"/>
      <c r="D34" s="15" t="n"/>
      <c r="E34" s="15" t="n"/>
      <c r="F34" s="16" t="n"/>
    </row>
  </sheetData>
  <mergeCells count="7">
    <mergeCell ref="A3:F3"/>
    <mergeCell ref="A1:F1"/>
    <mergeCell ref="A23:F23"/>
    <mergeCell ref="A6:F6"/>
    <mergeCell ref="A31:F34"/>
    <mergeCell ref="A30:F30"/>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Hunter × Hunter TRPG Non-Player Character (NPC): "Gatekeeper" Ong</t>
        </is>
      </c>
    </row>
    <row r="2"/>
    <row r="3">
      <c r="A3" s="2" t="inlineStr">
        <is>
          <t>Basic Data</t>
        </is>
      </c>
      <c r="B3" s="3" t="n"/>
      <c r="C3" s="3" t="n"/>
      <c r="D3" s="3" t="n"/>
      <c r="E3" s="3" t="n"/>
      <c r="F3" s="4" t="n"/>
    </row>
    <row r="4">
      <c r="A4" s="5" t="inlineStr">
        <is>
          <t>Name</t>
        </is>
      </c>
      <c r="B4" s="6" t="inlineStr">
        <is>
          <t>"Gatekeeper" Ong</t>
        </is>
      </c>
    </row>
    <row r="5">
      <c r="A5" s="5" t="inlineStr">
        <is>
          <t>Identity</t>
        </is>
      </c>
      <c r="B5" s="6" t="inlineStr">
        <is>
          <t>Hermit of Lake Mobius / Gatekeeper of the Dark Continent</t>
        </is>
      </c>
    </row>
    <row r="6">
      <c r="A6" s="5" t="inlineStr">
        <is>
          <t>Alignment</t>
        </is>
      </c>
      <c r="B6" s="6" t="inlineStr">
        <is>
          <t>None (Independent)</t>
        </is>
      </c>
    </row>
    <row r="7">
      <c r="A7" s="5" t="inlineStr">
        <is>
          <t>Challenge Rating (CR)</t>
        </is>
      </c>
      <c r="B7" s="6" t="n">
        <v>14</v>
      </c>
    </row>
    <row r="8"/>
    <row r="9">
      <c r="A9" s="2" t="inlineStr">
        <is>
          <t>Base Attributes</t>
        </is>
      </c>
      <c r="B9" s="3" t="n"/>
      <c r="C9" s="3" t="n"/>
      <c r="D9" s="3" t="n"/>
      <c r="E9" s="3" t="n"/>
      <c r="F9" s="4" t="n"/>
    </row>
    <row r="10">
      <c r="A10" s="7" t="inlineStr">
        <is>
          <t>Attributes</t>
        </is>
      </c>
      <c r="B10" s="7" t="inlineStr">
        <is>
          <t>Value</t>
        </is>
      </c>
      <c r="C10" s="7" t="inlineStr">
        <is>
          <t>Modifier</t>
        </is>
      </c>
    </row>
    <row r="11">
      <c r="A11" s="5" t="inlineStr">
        <is>
          <t>Constitution Constitution (CON)</t>
        </is>
      </c>
      <c r="B11" s="8" t="n">
        <v>14</v>
      </c>
      <c r="C11" s="9">
        <f>FLOOR.MATH((B11-10)/2)</f>
        <v/>
      </c>
    </row>
    <row r="12">
      <c r="A12" s="5" t="inlineStr">
        <is>
          <t>Dexterity Dexterity (DEX)</t>
        </is>
      </c>
      <c r="B12" s="8" t="n">
        <v>10</v>
      </c>
      <c r="C12" s="9">
        <f>FLOOR.MATH((B12-10)/2)</f>
        <v/>
      </c>
    </row>
    <row r="13">
      <c r="A13" s="5" t="inlineStr">
        <is>
          <t>Perception Perception (PER)</t>
        </is>
      </c>
      <c r="B13" s="8" t="n">
        <v>20</v>
      </c>
      <c r="C13" s="9">
        <f>FLOOR.MATH((B13-10)/2)</f>
        <v/>
      </c>
    </row>
    <row r="14">
      <c r="A14" s="5" t="inlineStr">
        <is>
          <t>Intelligence Intelligence (INT)</t>
        </is>
      </c>
      <c r="B14" s="8" t="n">
        <v>18</v>
      </c>
      <c r="C14" s="9">
        <f>FLOOR.MATH((B14-10)/2)</f>
        <v/>
      </c>
    </row>
    <row r="15">
      <c r="A15" s="5" t="inlineStr">
        <is>
          <t>Willpower Willpower (WIL)</t>
        </is>
      </c>
      <c r="B15" s="8" t="n">
        <v>20</v>
      </c>
      <c r="C15" s="9">
        <f>FLOOR.MATH((B15-10)/2)</f>
        <v/>
      </c>
    </row>
    <row r="16">
      <c r="A16" s="5" t="inlineStr">
        <is>
          <t>Charisma Charisma (CHA)</t>
        </is>
      </c>
      <c r="B16" s="8" t="n">
        <v>14</v>
      </c>
      <c r="C16" s="9">
        <f>FLOOR.MATH((B16-10)/2)</f>
        <v/>
      </c>
    </row>
    <row r="17">
      <c r="A17" s="2" t="inlineStr">
        <is>
          <t>Derived Attributes (auto-calculated)</t>
        </is>
      </c>
      <c r="B17" s="3" t="n"/>
      <c r="C17" s="3" t="n"/>
      <c r="D17" s="3" t="n"/>
      <c r="E17" s="3" t="n"/>
      <c r="F17" s="4" t="n"/>
    </row>
    <row r="18">
      <c r="A18" s="5" t="inlineStr">
        <is>
          <t>Hit Points (HP)</t>
        </is>
      </c>
      <c r="B18" s="8">
        <f>B10*5+10</f>
        <v/>
      </c>
    </row>
    <row r="19">
      <c r="A19" s="5" t="inlineStr">
        <is>
          <t>Spirit Points (SP)</t>
        </is>
      </c>
      <c r="B19" s="8">
        <f>B14*5+10</f>
        <v/>
      </c>
    </row>
    <row r="20">
      <c r="A20" s="5" t="inlineStr">
        <is>
          <t>Armor Class (AC)</t>
        </is>
      </c>
      <c r="B20" s="8">
        <f>10+C11</f>
        <v/>
      </c>
    </row>
    <row r="21">
      <c r="A21" s="5" t="inlineStr">
        <is>
          <t>Initiative</t>
        </is>
      </c>
      <c r="B21" s="8">
        <f>C11+C12</f>
        <v/>
      </c>
    </row>
    <row r="22">
      <c r="A22" s="5" t="inlineStr">
        <is>
          <t>Nen Defense</t>
        </is>
      </c>
      <c r="B22" s="8">
        <f>C14</f>
        <v/>
      </c>
    </row>
    <row r="23">
      <c r="A23" s="5" t="inlineStr">
        <is>
          <t>Movement</t>
        </is>
      </c>
      <c r="B23" s="8">
        <f>B11</f>
        <v/>
      </c>
    </row>
    <row r="24"/>
    <row r="25">
      <c r="A25" s="2" t="inlineStr">
        <is>
          <t>Special Ability</t>
        </is>
      </c>
      <c r="B25" s="3" t="n"/>
      <c r="C25" s="3" t="n"/>
      <c r="D25" s="3" t="n"/>
      <c r="E25" s="3" t="n"/>
      <c r="F25" s="4" t="n"/>
    </row>
    <row r="26">
      <c r="A26" s="5" t="inlineStr">
        <is>
          <t>Gate Guardian (Specialization)</t>
        </is>
      </c>
      <c r="B26" s="8" t="inlineStr">
        <is>
          <t>Spirit Points (SP) 10</t>
        </is>
      </c>
      <c r="C26" s="6" t="inlineStr">
        <is>
          <t>Can temporarily close or open the "Gate" of the Dark Continent. After use, cooldown of 1 month. Oath: must not leave Lake Mobius during the gatekeeping period.</t>
        </is>
      </c>
      <c r="D26" s="3" t="n"/>
      <c r="E26" s="3" t="n"/>
      <c r="F26" s="4" t="n"/>
    </row>
    <row r="27">
      <c r="A27" s="5" t="inlineStr">
        <is>
          <t>Scale Bestowal</t>
        </is>
      </c>
      <c r="B27" s="8" t="inlineStr">
        <is>
          <t>Spirit Points (SP) 3</t>
        </is>
      </c>
      <c r="C27" s="6" t="inlineStr">
        <is>
          <t>Detaches a guardian scale from itself; the holder's next Survival check in the Dark Continent automatically succeeds. Only one can exist at a time.</t>
        </is>
      </c>
      <c r="D27" s="3" t="n"/>
      <c r="E27" s="3" t="n"/>
      <c r="F27" s="4" t="n"/>
    </row>
  </sheetData>
  <mergeCells count="7">
    <mergeCell ref="A3:F3"/>
    <mergeCell ref="A1:F1"/>
    <mergeCell ref="C26:F26"/>
    <mergeCell ref="A9:F9"/>
    <mergeCell ref="A17:F17"/>
    <mergeCell ref="C27:F27"/>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Hunter × Hunter TRPG Non-Player Character (NPC): "Wolf Smoke" Vald</t>
        </is>
      </c>
    </row>
    <row r="2"/>
    <row r="3">
      <c r="A3" s="2" t="inlineStr">
        <is>
          <t>Basic Data</t>
        </is>
      </c>
      <c r="B3" s="3" t="n"/>
      <c r="C3" s="3" t="n"/>
      <c r="D3" s="3" t="n"/>
      <c r="E3" s="3" t="n"/>
      <c r="F3" s="4" t="n"/>
    </row>
    <row r="4">
      <c r="A4" s="5" t="inlineStr">
        <is>
          <t>Name</t>
        </is>
      </c>
      <c r="B4" s="6" t="inlineStr">
        <is>
          <t>"Wolf Smoke" Vald</t>
        </is>
      </c>
    </row>
    <row r="5">
      <c r="A5" s="5" t="inlineStr">
        <is>
          <t>Identity</t>
        </is>
      </c>
      <c r="B5" s="6" t="inlineStr">
        <is>
          <t>200th Floor Master of Heavens Arena</t>
        </is>
      </c>
    </row>
    <row r="6">
      <c r="A6" s="5" t="inlineStr">
        <is>
          <t>Alignment</t>
        </is>
      </c>
      <c r="B6" s="6" t="inlineStr">
        <is>
          <t>Heavens Arena</t>
        </is>
      </c>
    </row>
    <row r="7">
      <c r="A7" s="5" t="inlineStr">
        <is>
          <t>Challenge Rating (CR)</t>
        </is>
      </c>
      <c r="B7" s="6" t="n">
        <v>8</v>
      </c>
    </row>
    <row r="8"/>
    <row r="9">
      <c r="A9" s="2" t="inlineStr">
        <is>
          <t>Base Attributes</t>
        </is>
      </c>
      <c r="B9" s="3" t="n"/>
      <c r="C9" s="3" t="n"/>
      <c r="D9" s="3" t="n"/>
      <c r="E9" s="3" t="n"/>
      <c r="F9" s="4" t="n"/>
    </row>
    <row r="10">
      <c r="A10" s="7" t="inlineStr">
        <is>
          <t>Attributes</t>
        </is>
      </c>
      <c r="B10" s="7" t="inlineStr">
        <is>
          <t>Value</t>
        </is>
      </c>
      <c r="C10" s="7" t="inlineStr">
        <is>
          <t>Modifier</t>
        </is>
      </c>
    </row>
    <row r="11">
      <c r="A11" s="5" t="inlineStr">
        <is>
          <t>Constitution Constitution (CON)</t>
        </is>
      </c>
      <c r="B11" s="8" t="n">
        <v>16</v>
      </c>
      <c r="C11" s="9">
        <f>FLOOR.MATH((B11-10)/2)</f>
        <v/>
      </c>
    </row>
    <row r="12">
      <c r="A12" s="5" t="inlineStr">
        <is>
          <t>Dexterity Dexterity (DEX)</t>
        </is>
      </c>
      <c r="B12" s="8" t="n">
        <v>16</v>
      </c>
      <c r="C12" s="9">
        <f>FLOOR.MATH((B12-10)/2)</f>
        <v/>
      </c>
    </row>
    <row r="13">
      <c r="A13" s="5" t="inlineStr">
        <is>
          <t>Perception Perception (PER)</t>
        </is>
      </c>
      <c r="B13" s="8" t="n">
        <v>12</v>
      </c>
      <c r="C13" s="9">
        <f>FLOOR.MATH((B13-10)/2)</f>
        <v/>
      </c>
    </row>
    <row r="14">
      <c r="A14" s="5" t="inlineStr">
        <is>
          <t>Intelligence Intelligence (INT)</t>
        </is>
      </c>
      <c r="B14" s="8" t="n">
        <v>10</v>
      </c>
      <c r="C14" s="9">
        <f>FLOOR.MATH((B14-10)/2)</f>
        <v/>
      </c>
    </row>
    <row r="15">
      <c r="A15" s="5" t="inlineStr">
        <is>
          <t>Willpower Willpower (WIL)</t>
        </is>
      </c>
      <c r="B15" s="8" t="n">
        <v>18</v>
      </c>
      <c r="C15" s="9">
        <f>FLOOR.MATH((B15-10)/2)</f>
        <v/>
      </c>
    </row>
    <row r="16">
      <c r="A16" s="5" t="inlineStr">
        <is>
          <t>Charisma Charisma (CHA)</t>
        </is>
      </c>
      <c r="B16" s="8" t="n">
        <v>12</v>
      </c>
      <c r="C16" s="9">
        <f>FLOOR.MATH((B16-10)/2)</f>
        <v/>
      </c>
    </row>
    <row r="17">
      <c r="A17" s="2" t="inlineStr">
        <is>
          <t>Derived Attributes (auto-calculated)</t>
        </is>
      </c>
      <c r="B17" s="3" t="n"/>
      <c r="C17" s="3" t="n"/>
      <c r="D17" s="3" t="n"/>
      <c r="E17" s="3" t="n"/>
      <c r="F17" s="4" t="n"/>
    </row>
    <row r="18">
      <c r="A18" s="5" t="inlineStr">
        <is>
          <t>Hit Points (HP)</t>
        </is>
      </c>
      <c r="B18" s="8">
        <f>B10*5+10</f>
        <v/>
      </c>
    </row>
    <row r="19">
      <c r="A19" s="5" t="inlineStr">
        <is>
          <t>Spirit Points (SP)</t>
        </is>
      </c>
      <c r="B19" s="8">
        <f>B14*5+10</f>
        <v/>
      </c>
    </row>
    <row r="20">
      <c r="A20" s="5" t="inlineStr">
        <is>
          <t>Armor Class (AC)</t>
        </is>
      </c>
      <c r="B20" s="8">
        <f>10+C11</f>
        <v/>
      </c>
    </row>
    <row r="21">
      <c r="A21" s="5" t="inlineStr">
        <is>
          <t>Initiative</t>
        </is>
      </c>
      <c r="B21" s="8">
        <f>C11+C12</f>
        <v/>
      </c>
    </row>
    <row r="22">
      <c r="A22" s="5" t="inlineStr">
        <is>
          <t>Nen Defense</t>
        </is>
      </c>
      <c r="B22" s="8">
        <f>C14</f>
        <v/>
      </c>
    </row>
    <row r="23">
      <c r="A23" s="5" t="inlineStr">
        <is>
          <t>Movement</t>
        </is>
      </c>
      <c r="B23" s="8">
        <f>B11</f>
        <v/>
      </c>
    </row>
    <row r="24"/>
    <row r="25">
      <c r="A25" s="2" t="inlineStr">
        <is>
          <t>Special Ability</t>
        </is>
      </c>
      <c r="B25" s="3" t="n"/>
      <c r="C25" s="3" t="n"/>
      <c r="D25" s="3" t="n"/>
      <c r="E25" s="3" t="n"/>
      <c r="F25" s="4" t="n"/>
    </row>
    <row r="26">
      <c r="A26" s="5" t="inlineStr">
        <is>
          <t>Wolf Smoke (Emission)</t>
        </is>
      </c>
      <c r="B26" s="8" t="inlineStr">
        <is>
          <t>Spirit Points (SP) 8</t>
        </is>
      </c>
      <c r="C26" s="6" t="inlineStr">
        <is>
          <t>Releases dense Nen smoke; all targets within 10m take 3d6 Nen damage per turn + Fortitude DC16 or Paralyzed. Restriction: +2 Binding Pledge points (BP) only inside the arena, +2 Binding Pledge points (BP) if no other Emission-type for 1hr after use. BP balance = 6/6.</t>
        </is>
      </c>
      <c r="D26" s="3" t="n"/>
      <c r="E26" s="3" t="n"/>
      <c r="F26" s="4" t="n"/>
    </row>
  </sheetData>
  <mergeCells count="6">
    <mergeCell ref="A1:F1"/>
    <mergeCell ref="C26:F26"/>
    <mergeCell ref="A9:F9"/>
    <mergeCell ref="A17:F17"/>
    <mergeCell ref="A3:F3"/>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7" t="inlineStr">
        <is>
          <t>Hunter × Hunter TRPG Non-Player Character (NPC): Undead Kalvi</t>
        </is>
      </c>
      <c r="B1" s="3" t="n"/>
      <c r="C1" s="3" t="n"/>
      <c r="D1" s="3" t="n"/>
      <c r="E1" s="3" t="n"/>
      <c r="F1" s="4" t="n"/>
    </row>
    <row r="2"/>
    <row r="3">
      <c r="A3" s="2" t="inlineStr">
        <is>
          <t>Basic Data</t>
        </is>
      </c>
      <c r="B3" s="3" t="n"/>
      <c r="C3" s="3" t="n"/>
      <c r="D3" s="3" t="n"/>
      <c r="E3" s="3" t="n"/>
      <c r="F3" s="4" t="n"/>
    </row>
    <row r="4">
      <c r="A4" s="5" t="inlineStr">
        <is>
          <t>Name</t>
        </is>
      </c>
      <c r="B4" s="6" t="inlineStr">
        <is>
          <t>Kalvi</t>
        </is>
      </c>
    </row>
    <row r="5">
      <c r="A5" s="5" t="inlineStr">
        <is>
          <t>Identity</t>
        </is>
      </c>
      <c r="B5" s="6" t="inlineStr">
        <is>
          <t>Last survivor of the Eld Civilization / Undead</t>
        </is>
      </c>
    </row>
    <row r="6">
      <c r="A6" s="5" t="inlineStr">
        <is>
          <t>Alignment</t>
        </is>
      </c>
      <c r="B6" s="6" t="inlineStr">
        <is>
          <t>Neutral (Cooperative)</t>
        </is>
      </c>
    </row>
    <row r="7">
      <c r="A7" s="5" t="inlineStr">
        <is>
          <t>Challenge Rating (CR)</t>
        </is>
      </c>
      <c r="B7" s="6" t="inlineStr">
        <is>
          <t>12</t>
        </is>
      </c>
    </row>
    <row r="8"/>
    <row r="9">
      <c r="A9" s="2" t="inlineStr">
        <is>
          <t>Base Attributes</t>
        </is>
      </c>
      <c r="B9" s="3" t="n"/>
      <c r="C9" s="3" t="n"/>
      <c r="D9" s="3" t="n"/>
      <c r="E9" s="3" t="n"/>
      <c r="F9" s="4" t="n"/>
    </row>
    <row r="10">
      <c r="A10" s="7" t="inlineStr">
        <is>
          <t>Attributes</t>
        </is>
      </c>
      <c r="B10" s="7" t="inlineStr">
        <is>
          <t>Value</t>
        </is>
      </c>
      <c r="C10" s="7" t="inlineStr">
        <is>
          <t>Modifier</t>
        </is>
      </c>
    </row>
    <row r="11">
      <c r="A11" s="5" t="inlineStr">
        <is>
          <t>Constitution Constitution (CON)</t>
        </is>
      </c>
      <c r="B11" s="8" t="n">
        <v>17</v>
      </c>
      <c r="C11" s="9">
        <f>FLOOR.MATH((B11-10)/2)</f>
        <v/>
      </c>
    </row>
    <row r="12">
      <c r="A12" s="5" t="inlineStr">
        <is>
          <t>Dexterity Dexterity (DEX)</t>
        </is>
      </c>
      <c r="B12" s="8" t="n">
        <v>12</v>
      </c>
      <c r="C12" s="9">
        <f>FLOOR.MATH((B12-10)/2)</f>
        <v/>
      </c>
    </row>
    <row r="13">
      <c r="A13" s="5" t="inlineStr">
        <is>
          <t>Perception Perception (PER)</t>
        </is>
      </c>
      <c r="B13" s="8" t="n">
        <v>18</v>
      </c>
      <c r="C13" s="9">
        <f>FLOOR.MATH((B13-10)/2)</f>
        <v/>
      </c>
    </row>
    <row r="14">
      <c r="A14" s="5" t="inlineStr">
        <is>
          <t>Intelligence Intelligence (INT)</t>
        </is>
      </c>
      <c r="B14" s="8" t="n">
        <v>20</v>
      </c>
      <c r="C14" s="9">
        <f>FLOOR.MATH((B14-10)/2)</f>
        <v/>
      </c>
    </row>
    <row r="15">
      <c r="A15" s="5" t="inlineStr">
        <is>
          <t>Willpower Willpower (WIL)</t>
        </is>
      </c>
      <c r="B15" s="8" t="n">
        <v>20</v>
      </c>
      <c r="C15" s="9">
        <f>FLOOR.MATH((B15-10)/2)</f>
        <v/>
      </c>
    </row>
    <row r="16">
      <c r="A16" s="5" t="inlineStr">
        <is>
          <t>Charisma Charisma (CHA)</t>
        </is>
      </c>
      <c r="B16" s="8" t="n">
        <v>14</v>
      </c>
      <c r="C16" s="9">
        <f>FLOOR.MATH((B16-10)/2)</f>
        <v/>
      </c>
    </row>
    <row r="17"/>
    <row r="18">
      <c r="A18" s="5" t="inlineStr">
        <is>
          <t>Hit Points (HP)</t>
        </is>
      </c>
      <c r="B18" s="8" t="n">
        <v>150</v>
      </c>
    </row>
    <row r="19">
      <c r="A19" s="5" t="inlineStr">
        <is>
          <t>Spirit Points (SP)</t>
        </is>
      </c>
      <c r="B19" s="8">
        <f>B14*5+30</f>
        <v/>
      </c>
    </row>
    <row r="20">
      <c r="A20" s="5" t="inlineStr">
        <is>
          <t>Armor Class (AC)</t>
        </is>
      </c>
      <c r="B20" s="8" t="n">
        <v>16</v>
      </c>
    </row>
    <row r="21">
      <c r="A21" s="5" t="inlineStr">
        <is>
          <t>Initiative (auto)</t>
        </is>
      </c>
      <c r="B21" s="8">
        <f>C10+F10</f>
        <v/>
      </c>
    </row>
    <row r="22">
      <c r="A22" s="5" t="inlineStr">
        <is>
          <t>Nen Defense (auto)</t>
        </is>
      </c>
      <c r="B22" s="8">
        <f>C14</f>
        <v/>
      </c>
    </row>
    <row r="23">
      <c r="A23" s="5" t="inlineStr">
        <is>
          <t>Movement</t>
        </is>
      </c>
      <c r="B23" s="8">
        <f>B10</f>
        <v/>
      </c>
    </row>
    <row r="24"/>
    <row r="25">
      <c r="A25" s="6" t="inlineStr">
        <is>
          <t>Absorption Touch (SP3): d20+8 to hit, 2d8 Nen damage, recovers equal HP on hit.</t>
        </is>
      </c>
      <c r="B25" s="3" t="n"/>
      <c r="C25" s="3" t="n"/>
      <c r="D25" s="3" t="n"/>
      <c r="E25" s="3" t="n"/>
      <c r="F25" s="4" t="n"/>
    </row>
    <row r="26">
      <c r="A26" s="6" t="inlineStr">
        <is>
          <t>Undead trait: After HP drops to 0, automatically recovers to 1 Hit Point (HP) after 1d4 turns. Only way to destroy: Eld Reversal Ritual.</t>
        </is>
      </c>
      <c r="B26" s="3" t="n"/>
      <c r="C26" s="3" t="n"/>
      <c r="D26" s="3" t="n"/>
      <c r="E26" s="3" t="n"/>
      <c r="F26" s="4" t="n"/>
    </row>
    <row r="27">
      <c r="A27" s="6" t="inlineStr">
        <is>
          <t>Reversal Ritual (SP10): Can reverse a creature's Zob Disease infection (requires the PC to prove themselves).</t>
        </is>
      </c>
      <c r="B27" s="3" t="n"/>
      <c r="C27" s="3" t="n"/>
      <c r="D27" s="3" t="n"/>
      <c r="E27" s="3" t="n"/>
      <c r="F27" s="4" t="n"/>
    </row>
    <row r="28">
      <c r="A28" s="6" t="inlineStr">
        <is>
          <t>Three thousand years of loneliness: Insight checks against him are ineffective (he has seen all lies).</t>
        </is>
      </c>
      <c r="B28" s="3" t="n"/>
      <c r="C28" s="3" t="n"/>
      <c r="D28" s="3" t="n"/>
      <c r="E28" s="3" t="n"/>
      <c r="F28" s="4" t="n"/>
    </row>
    <row r="29">
      <c r="A29" s="6" t="inlineStr">
        <is>
          <t>Dialogue priority: Kalvi is not a must-fight NPC. He desires conversation over combat.</t>
        </is>
      </c>
      <c r="B29" s="3" t="n"/>
      <c r="C29" s="3" t="n"/>
      <c r="D29" s="3" t="n"/>
      <c r="E29" s="3" t="n"/>
      <c r="F29" s="4" t="n"/>
    </row>
    <row r="30"/>
    <row r="31">
      <c r="A31" s="2" t="inlineStr">
        <is>
          <t>Notes</t>
        </is>
      </c>
      <c r="B31" s="3" t="n"/>
      <c r="C31" s="3" t="n"/>
      <c r="D31" s="3" t="n"/>
      <c r="E31" s="3" t="n"/>
      <c r="F31" s="4" t="n"/>
    </row>
    <row r="32">
      <c r="A32" s="6" t="inlineStr">
        <is>
          <t>Kalvi is the core NPC of Scenario 6. He is the sole source of the Zob Disease cure. PCs can earn his trust through three trials: "Reject Immortality," "Heal rather than destroy the refugees," and "Communal Meal."</t>
        </is>
      </c>
      <c r="B32" s="10" t="n"/>
      <c r="C32" s="10" t="n"/>
      <c r="D32" s="10" t="n"/>
      <c r="E32" s="10" t="n"/>
      <c r="F32" s="11" t="n"/>
    </row>
    <row r="33">
      <c r="A33" s="12" t="n"/>
      <c r="F33" s="13" t="n"/>
    </row>
    <row r="34">
      <c r="A34" s="14" t="n"/>
      <c r="B34" s="15" t="n"/>
      <c r="C34" s="15" t="n"/>
      <c r="D34" s="15" t="n"/>
      <c r="E34" s="15" t="n"/>
      <c r="F34" s="16" t="n"/>
    </row>
  </sheetData>
  <mergeCells count="10">
    <mergeCell ref="A32:F34"/>
    <mergeCell ref="A28:F28"/>
    <mergeCell ref="A3:F3"/>
    <mergeCell ref="A1:F1"/>
    <mergeCell ref="A9:F9"/>
    <mergeCell ref="A27:F27"/>
    <mergeCell ref="A31:F31"/>
    <mergeCell ref="A26:F26"/>
    <mergeCell ref="A29:F29"/>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7" t="inlineStr">
        <is>
          <t>Hunter × Hunter TRPG Non-Player Character (NPC): Nasibi Hui-Guorou (Kakin King)</t>
        </is>
      </c>
      <c r="B1" s="3" t="n"/>
      <c r="C1" s="3" t="n"/>
      <c r="D1" s="3" t="n"/>
      <c r="E1" s="3" t="n"/>
      <c r="F1" s="4" t="n"/>
    </row>
    <row r="2"/>
    <row r="3">
      <c r="A3" s="2" t="inlineStr">
        <is>
          <t>Basic Data</t>
        </is>
      </c>
      <c r="B3" s="3" t="n"/>
      <c r="C3" s="3" t="n"/>
      <c r="D3" s="3" t="n"/>
      <c r="E3" s="3" t="n"/>
      <c r="F3" s="4" t="n"/>
    </row>
    <row r="4">
      <c r="A4" s="5" t="inlineStr">
        <is>
          <t>Name</t>
        </is>
      </c>
      <c r="B4" s="6" t="inlineStr">
        <is>
          <t>Nasibi Hui-Guorou</t>
        </is>
      </c>
    </row>
    <row r="5">
      <c r="A5" s="5" t="inlineStr">
        <is>
          <t>Identity</t>
        </is>
      </c>
      <c r="B5" s="6" t="inlineStr">
        <is>
          <t>Current King of the Kakin Kingdom</t>
        </is>
      </c>
    </row>
    <row r="6">
      <c r="A6" s="5" t="inlineStr">
        <is>
          <t>Alignment</t>
        </is>
      </c>
      <c r="B6" s="6" t="inlineStr">
        <is>
          <t>Kakin Kingdom (Persuadable)</t>
        </is>
      </c>
    </row>
    <row r="7">
      <c r="A7" s="5" t="inlineStr">
        <is>
          <t>Challenge Rating (CR)</t>
        </is>
      </c>
      <c r="B7" s="6" t="inlineStr">
        <is>
          <t>10</t>
        </is>
      </c>
    </row>
    <row r="8"/>
    <row r="9">
      <c r="A9" s="2" t="inlineStr">
        <is>
          <t>Base Attributes</t>
        </is>
      </c>
      <c r="B9" s="3" t="n"/>
      <c r="C9" s="3" t="n"/>
      <c r="D9" s="3" t="n"/>
      <c r="E9" s="3" t="n"/>
      <c r="F9" s="4" t="n"/>
    </row>
    <row r="10">
      <c r="A10" s="7" t="inlineStr">
        <is>
          <t>Attributes</t>
        </is>
      </c>
      <c r="B10" s="7" t="inlineStr">
        <is>
          <t>Value</t>
        </is>
      </c>
      <c r="C10" s="7" t="inlineStr">
        <is>
          <t>Modifier</t>
        </is>
      </c>
    </row>
    <row r="11">
      <c r="A11" s="5" t="inlineStr">
        <is>
          <t>Constitution Constitution (CON)</t>
        </is>
      </c>
      <c r="B11" s="8" t="n">
        <v>14</v>
      </c>
      <c r="C11" s="9">
        <f>FLOOR.MATH((B11-10)/2)</f>
        <v/>
      </c>
    </row>
    <row r="12">
      <c r="A12" s="5" t="inlineStr">
        <is>
          <t>Dexterity Dexterity (DEX)</t>
        </is>
      </c>
      <c r="B12" s="8" t="n">
        <v>10</v>
      </c>
      <c r="C12" s="9">
        <f>FLOOR.MATH((B12-10)/2)</f>
        <v/>
      </c>
    </row>
    <row r="13">
      <c r="A13" s="5" t="inlineStr">
        <is>
          <t>Perception Perception (PER)</t>
        </is>
      </c>
      <c r="B13" s="8" t="n">
        <v>18</v>
      </c>
      <c r="C13" s="9">
        <f>FLOOR.MATH((B13-10)/2)</f>
        <v/>
      </c>
    </row>
    <row r="14">
      <c r="A14" s="5" t="inlineStr">
        <is>
          <t>Intelligence Intelligence (INT)</t>
        </is>
      </c>
      <c r="B14" s="8" t="n">
        <v>16</v>
      </c>
      <c r="C14" s="9">
        <f>FLOOR.MATH((B14-10)/2)</f>
        <v/>
      </c>
    </row>
    <row r="15">
      <c r="A15" s="5" t="inlineStr">
        <is>
          <t>Willpower Willpower (WIL)</t>
        </is>
      </c>
      <c r="B15" s="8" t="n">
        <v>20</v>
      </c>
      <c r="C15" s="9">
        <f>FLOOR.MATH((B15-10)/2)</f>
        <v/>
      </c>
    </row>
    <row r="16">
      <c r="A16" s="5" t="inlineStr">
        <is>
          <t>Charisma Charisma (CHA)</t>
        </is>
      </c>
      <c r="B16" s="8" t="n">
        <v>22</v>
      </c>
      <c r="C16" s="9">
        <f>FLOOR.MATH((B16-10)/2)</f>
        <v/>
      </c>
    </row>
    <row r="17"/>
    <row r="18">
      <c r="A18" s="5" t="inlineStr">
        <is>
          <t>Hit Points (HP)</t>
        </is>
      </c>
      <c r="B18" s="8" t="n">
        <v>85</v>
      </c>
    </row>
    <row r="19">
      <c r="A19" s="5" t="inlineStr">
        <is>
          <t>Spirit Points (SP)</t>
        </is>
      </c>
      <c r="B19" s="8">
        <f>B14*5+30</f>
        <v/>
      </c>
    </row>
    <row r="20">
      <c r="A20" s="5" t="inlineStr">
        <is>
          <t>Armor Class (AC)</t>
        </is>
      </c>
      <c r="B20" s="8" t="n">
        <v>14</v>
      </c>
    </row>
    <row r="21">
      <c r="A21" s="5" t="inlineStr">
        <is>
          <t>Initiative (auto)</t>
        </is>
      </c>
      <c r="B21" s="8">
        <f>C10+F10</f>
        <v/>
      </c>
    </row>
    <row r="22">
      <c r="A22" s="5" t="inlineStr">
        <is>
          <t>Nen Defense (auto)</t>
        </is>
      </c>
      <c r="B22" s="8">
        <f>C14</f>
        <v/>
      </c>
    </row>
    <row r="23">
      <c r="A23" s="5" t="inlineStr">
        <is>
          <t>Movement</t>
        </is>
      </c>
      <c r="B23" s="8">
        <f>B10</f>
        <v/>
      </c>
    </row>
    <row r="24"/>
    <row r="25">
      <c r="A25" s="6" t="inlineStr">
        <is>
          <t>Vessel holder: The Kakin King holds the "Vessel"—an ancient Dark Continent relic that judges the value of "Proof."</t>
        </is>
      </c>
      <c r="B25" s="3" t="n"/>
      <c r="C25" s="3" t="n"/>
      <c r="D25" s="3" t="n"/>
      <c r="E25" s="3" t="n"/>
      <c r="F25" s="4" t="n"/>
    </row>
    <row r="26">
      <c r="A26" s="6" t="inlineStr">
        <is>
          <t>Nen Ability: Royal Authority (Specialization)—power granted by the Vessel. Can force all princes to obey the verdict at the succession ceremony.</t>
        </is>
      </c>
      <c r="B26" s="3" t="n"/>
      <c r="C26" s="3" t="n"/>
      <c r="D26" s="3" t="n"/>
      <c r="E26" s="3" t="n"/>
      <c r="F26" s="4" t="n"/>
    </row>
    <row r="27">
      <c r="A27" s="6" t="inlineStr">
        <is>
          <t>Cruel but not ruthless: Nasibi follows tradition but can be persuaded. Persuasion DC25 can change the royal succession rules.</t>
        </is>
      </c>
      <c r="B27" s="3" t="n"/>
      <c r="C27" s="3" t="n"/>
      <c r="D27" s="3" t="n"/>
      <c r="E27" s="3" t="n"/>
      <c r="F27" s="4" t="n"/>
    </row>
    <row r="28">
      <c r="A28" s="6" t="inlineStr">
        <is>
          <t>If persuasion fails: He will insist on tradition—"The Vessel's judgment cannot be defied."</t>
        </is>
      </c>
      <c r="B28" s="3" t="n"/>
      <c r="C28" s="3" t="n"/>
      <c r="D28" s="3" t="n"/>
      <c r="E28" s="3" t="n"/>
      <c r="F28" s="4" t="n"/>
    </row>
    <row r="29"/>
    <row r="30">
      <c r="A30" s="2" t="inlineStr">
        <is>
          <t>Notes</t>
        </is>
      </c>
      <c r="B30" s="3" t="n"/>
      <c r="C30" s="3" t="n"/>
      <c r="D30" s="3" t="n"/>
      <c r="E30" s="3" t="n"/>
      <c r="F30" s="4" t="n"/>
    </row>
    <row r="31">
      <c r="A31" s="6" t="inlineStr">
        <is>
          <t>Nasibi is the key NPC of Scenario 7's "All Survivors" route. Persuading him is the most direct solution (DC25). PCs can lower the DC by collecting evidence that "the Vessel is a Dark Continent relic" (each piece of evidence -2).</t>
        </is>
      </c>
      <c r="B31" s="10" t="n"/>
      <c r="C31" s="10" t="n"/>
      <c r="D31" s="10" t="n"/>
      <c r="E31" s="10" t="n"/>
      <c r="F31" s="11" t="n"/>
    </row>
    <row r="32">
      <c r="A32" s="12" t="n"/>
      <c r="F32" s="13" t="n"/>
    </row>
    <row r="33">
      <c r="A33" s="14" t="n"/>
      <c r="B33" s="15" t="n"/>
      <c r="C33" s="15" t="n"/>
      <c r="D33" s="15" t="n"/>
      <c r="E33" s="15" t="n"/>
      <c r="F33" s="16" t="n"/>
    </row>
  </sheetData>
  <mergeCells count="9">
    <mergeCell ref="A28:F28"/>
    <mergeCell ref="A31:F33"/>
    <mergeCell ref="A3:F3"/>
    <mergeCell ref="A1:F1"/>
    <mergeCell ref="A9:F9"/>
    <mergeCell ref="A27:F27"/>
    <mergeCell ref="A26:F26"/>
    <mergeCell ref="A30:F30"/>
    <mergeCell ref="A25:F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Hunter × Hunter TRPG Non-Player Character (NPC): Cheadle (Zodiac·Dog)</t>
        </is>
      </c>
    </row>
    <row r="2"/>
    <row r="3">
      <c r="A3" s="2" t="inlineStr">
        <is>
          <t>Basic Data</t>
        </is>
      </c>
      <c r="B3" s="3" t="n"/>
      <c r="C3" s="3" t="n"/>
      <c r="D3" s="3" t="n"/>
      <c r="E3" s="3" t="n"/>
      <c r="F3" s="4" t="n"/>
    </row>
    <row r="4">
      <c r="A4" s="5" t="inlineStr">
        <is>
          <t>Name</t>
        </is>
      </c>
      <c r="B4" s="6" t="inlineStr">
        <is>
          <t>Cheadle (Zodiac·Dog)</t>
        </is>
      </c>
    </row>
    <row r="5">
      <c r="A5" s="5" t="inlineStr">
        <is>
          <t>Identity</t>
        </is>
      </c>
      <c r="B5" s="6" t="inlineStr">
        <is>
          <t>Leader of the Hunter Association reformists / 288th Exam Chief Examiner</t>
        </is>
      </c>
    </row>
    <row r="6">
      <c r="A6" s="5" t="inlineStr">
        <is>
          <t>Alignment</t>
        </is>
      </c>
      <c r="B6" s="6" t="inlineStr">
        <is>
          <t>Hunter Association · Reformists</t>
        </is>
      </c>
    </row>
    <row r="7">
      <c r="A7" s="5" t="inlineStr">
        <is>
          <t>Challenge Rating (CR)</t>
        </is>
      </c>
      <c r="B7" s="6" t="n">
        <v>8</v>
      </c>
    </row>
    <row r="8"/>
    <row r="9">
      <c r="A9" s="2" t="inlineStr">
        <is>
          <t>Base Attributes</t>
        </is>
      </c>
      <c r="B9" s="3" t="n"/>
      <c r="C9" s="3" t="n"/>
      <c r="D9" s="3" t="n"/>
      <c r="E9" s="3" t="n"/>
      <c r="F9" s="4" t="n"/>
    </row>
    <row r="10">
      <c r="A10" s="7" t="inlineStr">
        <is>
          <t>Attributes</t>
        </is>
      </c>
      <c r="B10" s="7" t="inlineStr">
        <is>
          <t>Value</t>
        </is>
      </c>
      <c r="C10" s="7" t="inlineStr">
        <is>
          <t>Modifier</t>
        </is>
      </c>
    </row>
    <row r="11">
      <c r="A11" s="5" t="inlineStr">
        <is>
          <t>Constitution Constitution (CON)</t>
        </is>
      </c>
      <c r="B11" s="8" t="n">
        <v>12</v>
      </c>
      <c r="C11" s="9">
        <f>FLOOR.MATH((B11-10)/2)</f>
        <v/>
      </c>
    </row>
    <row r="12">
      <c r="A12" s="5" t="inlineStr">
        <is>
          <t>Dexterity Dexterity (DEX)</t>
        </is>
      </c>
      <c r="B12" s="8" t="n">
        <v>14</v>
      </c>
      <c r="C12" s="9">
        <f>FLOOR.MATH((B12-10)/2)</f>
        <v/>
      </c>
    </row>
    <row r="13">
      <c r="A13" s="5" t="inlineStr">
        <is>
          <t>Perception Perception (PER)</t>
        </is>
      </c>
      <c r="B13" s="8" t="n">
        <v>18</v>
      </c>
      <c r="C13" s="9">
        <f>FLOOR.MATH((B13-10)/2)</f>
        <v/>
      </c>
    </row>
    <row r="14">
      <c r="A14" s="5" t="inlineStr">
        <is>
          <t>Intelligence Intelligence (INT)</t>
        </is>
      </c>
      <c r="B14" s="8" t="n">
        <v>20</v>
      </c>
      <c r="C14" s="9">
        <f>FLOOR.MATH((B14-10)/2)</f>
        <v/>
      </c>
    </row>
    <row r="15">
      <c r="A15" s="5" t="inlineStr">
        <is>
          <t>Willpower Willpower (WIL)</t>
        </is>
      </c>
      <c r="B15" s="8" t="n">
        <v>16</v>
      </c>
      <c r="C15" s="9">
        <f>FLOOR.MATH((B15-10)/2)</f>
        <v/>
      </c>
    </row>
    <row r="16">
      <c r="A16" s="5" t="inlineStr">
        <is>
          <t>Charisma Charisma (CHA)</t>
        </is>
      </c>
      <c r="B16" s="8" t="n">
        <v>16</v>
      </c>
      <c r="C16" s="9">
        <f>FLOOR.MATH((B16-10)/2)</f>
        <v/>
      </c>
    </row>
    <row r="17">
      <c r="A17" s="2" t="inlineStr">
        <is>
          <t>Derived Attributes (auto-calculated)</t>
        </is>
      </c>
      <c r="B17" s="3" t="n"/>
      <c r="C17" s="3" t="n"/>
      <c r="D17" s="3" t="n"/>
      <c r="E17" s="3" t="n"/>
      <c r="F17" s="4" t="n"/>
    </row>
    <row r="18">
      <c r="A18" s="5" t="inlineStr">
        <is>
          <t>Hit Points (HP)</t>
        </is>
      </c>
      <c r="B18" s="8">
        <f>B10*5+10</f>
        <v/>
      </c>
    </row>
    <row r="19">
      <c r="A19" s="5" t="inlineStr">
        <is>
          <t>Spirit Points (SP)</t>
        </is>
      </c>
      <c r="B19" s="8">
        <f>B14*5+10</f>
        <v/>
      </c>
    </row>
    <row r="20">
      <c r="A20" s="5" t="inlineStr">
        <is>
          <t>Armor Class (AC)</t>
        </is>
      </c>
      <c r="B20" s="8">
        <f>10+C11</f>
        <v/>
      </c>
    </row>
    <row r="21">
      <c r="A21" s="5" t="inlineStr">
        <is>
          <t>Initiative</t>
        </is>
      </c>
      <c r="B21" s="8">
        <f>C11+C12</f>
        <v/>
      </c>
    </row>
    <row r="22">
      <c r="A22" s="5" t="inlineStr">
        <is>
          <t>Nen Defense</t>
        </is>
      </c>
      <c r="B22" s="8">
        <f>C14</f>
        <v/>
      </c>
    </row>
    <row r="23">
      <c r="A23" s="5" t="inlineStr">
        <is>
          <t>Movement</t>
        </is>
      </c>
      <c r="B23" s="8">
        <f>B11</f>
        <v/>
      </c>
    </row>
    <row r="24"/>
    <row r="25">
      <c r="A25" s="2" t="inlineStr">
        <is>
          <t>Special Ability</t>
        </is>
      </c>
      <c r="B25" s="3" t="n"/>
      <c r="C25" s="3" t="n"/>
      <c r="D25" s="3" t="n"/>
      <c r="E25" s="3" t="n"/>
      <c r="F25" s="4" t="n"/>
    </row>
    <row r="26">
      <c r="A26" s="5" t="inlineStr">
        <is>
          <t>Clairvoyance (Specialization)</t>
        </is>
      </c>
      <c r="B26" s="8" t="inlineStr">
        <is>
          <t>Spirit Points (SP) 4</t>
        </is>
      </c>
      <c r="C26" s="6" t="inlineStr">
        <is>
          <t>Can see the progress of the Hunter Exam from anywhere. Range: global. Limitation: Only effective for exams where she serves as Chief Examiner.</t>
        </is>
      </c>
      <c r="D26" s="3" t="n"/>
      <c r="E26" s="3" t="n"/>
      <c r="F26" s="4" t="n"/>
    </row>
    <row r="27">
      <c r="A27" s="5" t="inlineStr">
        <is>
          <t>Tactical Simulation</t>
        </is>
      </c>
      <c r="B27" s="8" t="inlineStr">
        <is>
          <t>Spirit Points (SP) 0</t>
        </is>
      </c>
      <c r="C27" s="6" t="inlineStr">
        <is>
          <t>At the start of each turn, make an Intelligence (Tactics) DC15 check; on success, predict an enemy action and gain corresponding advantage.</t>
        </is>
      </c>
      <c r="D27" s="3" t="n"/>
      <c r="E27" s="3" t="n"/>
      <c r="F27" s="4" t="n"/>
    </row>
  </sheetData>
  <mergeCells count="7">
    <mergeCell ref="A3:F3"/>
    <mergeCell ref="A1:F1"/>
    <mergeCell ref="C26:F26"/>
    <mergeCell ref="A9:F9"/>
    <mergeCell ref="A17:F17"/>
    <mergeCell ref="C27:F27"/>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7" t="inlineStr">
        <is>
          <t>Hunter × Hunter TRPG Non-Player Character (NPC): Edmond Ray (V5 Commander)</t>
        </is>
      </c>
      <c r="B1" s="3" t="n"/>
      <c r="C1" s="3" t="n"/>
      <c r="D1" s="3" t="n"/>
      <c r="E1" s="3" t="n"/>
      <c r="F1" s="4" t="n"/>
    </row>
    <row r="2"/>
    <row r="3">
      <c r="A3" s="2" t="inlineStr">
        <is>
          <t>Basic Data</t>
        </is>
      </c>
      <c r="B3" s="3" t="n"/>
      <c r="C3" s="3" t="n"/>
      <c r="D3" s="3" t="n"/>
      <c r="E3" s="3" t="n"/>
      <c r="F3" s="4" t="n"/>
    </row>
    <row r="4">
      <c r="A4" s="5" t="inlineStr">
        <is>
          <t>Name</t>
        </is>
      </c>
      <c r="B4" s="6" t="inlineStr">
        <is>
          <t>Edmond Ray</t>
        </is>
      </c>
    </row>
    <row r="5">
      <c r="A5" s="5" t="inlineStr">
        <is>
          <t>Identity</t>
        </is>
      </c>
      <c r="B5" s="6" t="inlineStr">
        <is>
          <t>V5 Secret Fleet Commander-in-Chief / Former V5 Pact of Silence Enforcer</t>
        </is>
      </c>
    </row>
    <row r="6">
      <c r="A6" s="5" t="inlineStr">
        <is>
          <t>Alignment</t>
        </is>
      </c>
      <c r="B6" s="6" t="inlineStr">
        <is>
          <t>V5 (Persuadable to defect)</t>
        </is>
      </c>
    </row>
    <row r="7">
      <c r="A7" s="5" t="inlineStr">
        <is>
          <t>Challenge Rating (CR)</t>
        </is>
      </c>
      <c r="B7" s="6" t="inlineStr">
        <is>
          <t>6 (Personal combat power)</t>
        </is>
      </c>
    </row>
    <row r="8"/>
    <row r="9">
      <c r="A9" s="2" t="inlineStr">
        <is>
          <t>Base Attributes</t>
        </is>
      </c>
      <c r="B9" s="3" t="n"/>
      <c r="C9" s="3" t="n"/>
      <c r="D9" s="3" t="n"/>
      <c r="E9" s="3" t="n"/>
      <c r="F9" s="4" t="n"/>
    </row>
    <row r="10">
      <c r="A10" s="7" t="inlineStr">
        <is>
          <t>Attributes</t>
        </is>
      </c>
      <c r="B10" s="7" t="inlineStr">
        <is>
          <t>Value</t>
        </is>
      </c>
      <c r="C10" s="7" t="inlineStr">
        <is>
          <t>Modifier</t>
        </is>
      </c>
    </row>
    <row r="11">
      <c r="A11" s="5" t="inlineStr">
        <is>
          <t>Constitution Constitution (CON)</t>
        </is>
      </c>
      <c r="B11" s="8" t="n">
        <v>12</v>
      </c>
      <c r="C11" s="9">
        <f>FLOOR.MATH((B11-10)/2)</f>
        <v/>
      </c>
    </row>
    <row r="12">
      <c r="A12" s="5" t="inlineStr">
        <is>
          <t>Dexterity Dexterity (DEX)</t>
        </is>
      </c>
      <c r="B12" s="8" t="n">
        <v>10</v>
      </c>
      <c r="C12" s="9">
        <f>FLOOR.MATH((B12-10)/2)</f>
        <v/>
      </c>
    </row>
    <row r="13">
      <c r="A13" s="5" t="inlineStr">
        <is>
          <t>Perception Perception (PER)</t>
        </is>
      </c>
      <c r="B13" s="8" t="n">
        <v>16</v>
      </c>
      <c r="C13" s="9">
        <f>FLOOR.MATH((B13-10)/2)</f>
        <v/>
      </c>
    </row>
    <row r="14">
      <c r="A14" s="5" t="inlineStr">
        <is>
          <t>Intelligence Intelligence (INT)</t>
        </is>
      </c>
      <c r="B14" s="8" t="n">
        <v>18</v>
      </c>
      <c r="C14" s="9">
        <f>FLOOR.MATH((B14-10)/2)</f>
        <v/>
      </c>
    </row>
    <row r="15">
      <c r="A15" s="5" t="inlineStr">
        <is>
          <t>Willpower Willpower (WIL)</t>
        </is>
      </c>
      <c r="B15" s="8" t="n">
        <v>16</v>
      </c>
      <c r="C15" s="9">
        <f>FLOOR.MATH((B15-10)/2)</f>
        <v/>
      </c>
    </row>
    <row r="16">
      <c r="A16" s="5" t="inlineStr">
        <is>
          <t>Charisma Charisma (CHA)</t>
        </is>
      </c>
      <c r="B16" s="8" t="n">
        <v>18</v>
      </c>
      <c r="C16" s="9">
        <f>FLOOR.MATH((B16-10)/2)</f>
        <v/>
      </c>
    </row>
    <row r="17"/>
    <row r="18">
      <c r="A18" s="5" t="inlineStr">
        <is>
          <t>Hit Points (HP)</t>
        </is>
      </c>
      <c r="B18" s="8" t="n">
        <v>65</v>
      </c>
    </row>
    <row r="19">
      <c r="A19" s="5" t="inlineStr">
        <is>
          <t>Spirit Points (SP)</t>
        </is>
      </c>
      <c r="B19" s="8">
        <f>B14*5+20</f>
        <v/>
      </c>
    </row>
    <row r="20">
      <c r="A20" s="5" t="inlineStr">
        <is>
          <t>Armor Class (AC)</t>
        </is>
      </c>
      <c r="B20" s="8" t="n">
        <v>12</v>
      </c>
    </row>
    <row r="21">
      <c r="A21" s="5" t="inlineStr">
        <is>
          <t>Initiative (auto)</t>
        </is>
      </c>
      <c r="B21" s="8">
        <f>C10+F10</f>
        <v/>
      </c>
    </row>
    <row r="22">
      <c r="A22" s="5" t="inlineStr">
        <is>
          <t>Nen Defense (auto)</t>
        </is>
      </c>
      <c r="B22" s="8">
        <f>C14</f>
        <v/>
      </c>
    </row>
    <row r="23">
      <c r="A23" s="5" t="inlineStr">
        <is>
          <t>Movement</t>
        </is>
      </c>
      <c r="B23" s="8">
        <f>B10</f>
        <v/>
      </c>
    </row>
    <row r="24"/>
    <row r="25">
      <c r="A25" s="6" t="inlineStr">
        <is>
          <t>Edmond's personal combat power is not strong (CR6). His true strength is fleet command.</t>
        </is>
      </c>
      <c r="B25" s="3" t="n"/>
      <c r="C25" s="3" t="n"/>
      <c r="D25" s="3" t="n"/>
      <c r="E25" s="3" t="n"/>
      <c r="F25" s="4" t="n"/>
    </row>
    <row r="26">
      <c r="A26" s="6" t="inlineStr">
        <is>
          <t>Politician: Gains advantage on Persuasion checks against PCs (he has spent his life at the negotiation table).</t>
        </is>
      </c>
      <c r="B26" s="3" t="n"/>
      <c r="C26" s="3" t="n"/>
      <c r="D26" s="3" t="n"/>
      <c r="E26" s="3" t="n"/>
      <c r="F26" s="4" t="n"/>
    </row>
    <row r="27">
      <c r="A27" s="6" t="inlineStr">
        <is>
          <t>Despair, not evil: He is not a villain—he truly believes the Dark Continent is humanity's only hope. He can be persuaded.</t>
        </is>
      </c>
      <c r="B27" s="3" t="n"/>
      <c r="C27" s="3" t="n"/>
      <c r="D27" s="3" t="n"/>
      <c r="E27" s="3" t="n"/>
      <c r="F27" s="4" t="n"/>
    </row>
    <row r="28">
      <c r="A28" s="6" t="inlineStr">
        <is>
          <t>Persuasion route (GM reference): PCs must demonstrate "the Dark Continent is not a resource but a living ecosystem" + "the true nature of the Five Calamities" + "propose a new agreement plan." At least two of the three must be completed.</t>
        </is>
      </c>
      <c r="B28" s="3" t="n"/>
      <c r="C28" s="3" t="n"/>
      <c r="D28" s="3" t="n"/>
      <c r="E28" s="3" t="n"/>
      <c r="F28" s="4" t="n"/>
    </row>
    <row r="29">
      <c r="A29" s="6" t="inlineStr">
        <is>
          <t>If persuasion succeeds: Edmond orders the fleet to retreat and becomes the PCs' secret ally within V5.</t>
        </is>
      </c>
      <c r="B29" s="3" t="n"/>
      <c r="C29" s="3" t="n"/>
      <c r="D29" s="3" t="n"/>
      <c r="E29" s="3" t="n"/>
      <c r="F29" s="4" t="n"/>
    </row>
    <row r="30"/>
    <row r="31">
      <c r="A31" s="2" t="inlineStr">
        <is>
          <t>Notes</t>
        </is>
      </c>
      <c r="B31" s="3" t="n"/>
      <c r="C31" s="3" t="n"/>
      <c r="D31" s="3" t="n"/>
      <c r="E31" s="3" t="n"/>
      <c r="F31" s="4" t="n"/>
    </row>
    <row r="32">
      <c r="A32" s="6" t="inlineStr">
        <is>
          <t>Edmond is the core NPC of Scenario 10. His presence is to make "The Choice at the Gate" not merely armed conflict—but a showdown of diplomacy and conviction.</t>
        </is>
      </c>
      <c r="B32" s="10" t="n"/>
      <c r="C32" s="10" t="n"/>
      <c r="D32" s="10" t="n"/>
      <c r="E32" s="10" t="n"/>
      <c r="F32" s="11" t="n"/>
    </row>
    <row r="33">
      <c r="A33" s="12" t="n"/>
      <c r="F33" s="13" t="n"/>
    </row>
    <row r="34">
      <c r="A34" s="14" t="n"/>
      <c r="B34" s="15" t="n"/>
      <c r="C34" s="15" t="n"/>
      <c r="D34" s="15" t="n"/>
      <c r="E34" s="15" t="n"/>
      <c r="F34" s="16" t="n"/>
    </row>
  </sheetData>
  <mergeCells count="10">
    <mergeCell ref="A32:F34"/>
    <mergeCell ref="A28:F28"/>
    <mergeCell ref="A3:F3"/>
    <mergeCell ref="A1:F1"/>
    <mergeCell ref="A9:F9"/>
    <mergeCell ref="A27:F27"/>
    <mergeCell ref="A31:F31"/>
    <mergeCell ref="A26:F26"/>
    <mergeCell ref="A29:F29"/>
    <mergeCell ref="A25:F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8" customWidth="1" min="1" max="1"/>
    <col width="12" customWidth="1" min="2" max="2"/>
    <col width="12" customWidth="1" min="3" max="3"/>
    <col width="14" customWidth="1" min="4" max="4"/>
    <col width="14" customWidth="1" min="5" max="5"/>
    <col width="14" customWidth="1" min="6" max="6"/>
  </cols>
  <sheetData>
    <row r="1">
      <c r="A1" s="17" t="inlineStr">
        <is>
          <t>Hunter × Hunter TRPG NPC Companion Template (for Solo Mode)</t>
        </is>
      </c>
      <c r="B1" s="3" t="n"/>
      <c r="C1" s="3" t="n"/>
      <c r="D1" s="3" t="n"/>
      <c r="E1" s="3" t="n"/>
      <c r="F1" s="4" t="n"/>
    </row>
    <row r="2"/>
    <row r="3">
      <c r="A3" s="2" t="inlineStr">
        <is>
          <t>Basic Data</t>
        </is>
      </c>
      <c r="B3" s="3" t="n"/>
      <c r="C3" s="3" t="n"/>
      <c r="D3" s="3" t="n"/>
      <c r="E3" s="3" t="n"/>
      <c r="F3" s="4" t="n"/>
    </row>
    <row r="4">
      <c r="A4" s="5" t="inlineStr">
        <is>
          <t>Companion Name</t>
        </is>
      </c>
      <c r="B4" s="6" t="inlineStr">
        <is>
          <t>________</t>
        </is>
      </c>
    </row>
    <row r="5">
      <c r="A5" s="5" t="inlineStr">
        <is>
          <t>Type (Combat / Defense / Support / Intelligence / Interference)</t>
        </is>
      </c>
      <c r="B5" s="6" t="inlineStr">
        <is>
          <t>________</t>
        </is>
      </c>
    </row>
    <row r="6">
      <c r="A6" s="5" t="inlineStr">
        <is>
          <t>Challenge Rating (CR)</t>
        </is>
      </c>
      <c r="B6" s="6" t="inlineStr">
        <is>
          <t>By PC Stage</t>
        </is>
      </c>
    </row>
    <row r="7">
      <c r="A7" s="5" t="inlineStr">
        <is>
          <t>Nen Ability</t>
        </is>
      </c>
      <c r="B7" s="6" t="inlineStr">
        <is>
          <t>________</t>
        </is>
      </c>
    </row>
    <row r="8"/>
    <row r="9">
      <c r="A9" s="2" t="inlineStr">
        <is>
          <t>Base Attributes</t>
        </is>
      </c>
      <c r="B9" s="3" t="n"/>
      <c r="C9" s="3" t="n"/>
      <c r="D9" s="3" t="n"/>
      <c r="E9" s="3" t="n"/>
      <c r="F9" s="4" t="n"/>
    </row>
    <row r="10">
      <c r="A10" s="7" t="inlineStr">
        <is>
          <t>Attributes</t>
        </is>
      </c>
      <c r="B10" s="7" t="inlineStr">
        <is>
          <t>Value</t>
        </is>
      </c>
      <c r="C10" s="7" t="inlineStr">
        <is>
          <t>Modifier</t>
        </is>
      </c>
    </row>
    <row r="11">
      <c r="A11" s="5" t="inlineStr">
        <is>
          <t>Constitution Constitution (CON)</t>
        </is>
      </c>
      <c r="B11" s="8" t="n">
        <v>10</v>
      </c>
      <c r="C11" s="9">
        <f>FLOOR.MATH((B11-10)/2)</f>
        <v/>
      </c>
    </row>
    <row r="12">
      <c r="A12" s="5" t="inlineStr">
        <is>
          <t>Dexterity Dexterity (DEX)</t>
        </is>
      </c>
      <c r="B12" s="8" t="n">
        <v>12</v>
      </c>
      <c r="C12" s="9">
        <f>FLOOR.MATH((B12-10)/2)</f>
        <v/>
      </c>
    </row>
    <row r="13">
      <c r="A13" s="5" t="inlineStr">
        <is>
          <t>Perception Perception (PER)</t>
        </is>
      </c>
      <c r="B13" s="8" t="n">
        <v>12</v>
      </c>
      <c r="C13" s="9">
        <f>FLOOR.MATH((B13-10)/2)</f>
        <v/>
      </c>
    </row>
    <row r="14">
      <c r="A14" s="5" t="inlineStr">
        <is>
          <t>Intelligence Intelligence (INT)</t>
        </is>
      </c>
      <c r="B14" s="8" t="n">
        <v>10</v>
      </c>
      <c r="C14" s="9">
        <f>FLOOR.MATH((B14-10)/2)</f>
        <v/>
      </c>
    </row>
    <row r="15">
      <c r="A15" s="5" t="inlineStr">
        <is>
          <t>Willpower Willpower (WIL)</t>
        </is>
      </c>
      <c r="B15" s="8" t="n">
        <v>10</v>
      </c>
      <c r="C15" s="9">
        <f>FLOOR.MATH((B15-10)/2)</f>
        <v/>
      </c>
    </row>
    <row r="16">
      <c r="A16" s="5" t="inlineStr">
        <is>
          <t>Charisma Charisma (CHA)</t>
        </is>
      </c>
      <c r="B16" s="8" t="n">
        <v>10</v>
      </c>
      <c r="C16" s="9">
        <f>FLOOR.MATH((B16-10)/2)</f>
        <v/>
      </c>
    </row>
    <row r="17"/>
    <row r="18">
      <c r="A18" s="2" t="inlineStr">
        <is>
          <t>Combat Values (auto-calculated)</t>
        </is>
      </c>
      <c r="B18" s="3" t="n"/>
      <c r="C18" s="3" t="n"/>
      <c r="D18" s="3" t="n"/>
      <c r="E18" s="3" t="n"/>
      <c r="F18" s="4" t="n"/>
    </row>
    <row r="19">
      <c r="A19" s="5" t="inlineStr">
        <is>
          <t>Hit Points (HP)</t>
        </is>
      </c>
      <c r="B19" s="8">
        <f>B10*5+10</f>
        <v/>
      </c>
    </row>
    <row r="20">
      <c r="A20" s="5" t="inlineStr">
        <is>
          <t>Spirit Points (SP)</t>
        </is>
      </c>
      <c r="B20" s="8">
        <f>B14*5+10</f>
        <v/>
      </c>
    </row>
    <row r="21">
      <c r="A21" s="5" t="inlineStr">
        <is>
          <t>Armor Class (AC)</t>
        </is>
      </c>
      <c r="B21" s="8">
        <f>10+C11</f>
        <v/>
      </c>
    </row>
    <row r="22">
      <c r="A22" s="5" t="inlineStr">
        <is>
          <t>Initiative</t>
        </is>
      </c>
      <c r="B22" s="8">
        <f>C11+C12</f>
        <v/>
      </c>
    </row>
    <row r="23"/>
    <row r="24">
      <c r="A24" s="2" t="inlineStr">
        <is>
          <t>Skill Proficiency (enter bonus: 0/2/4/6)</t>
        </is>
      </c>
      <c r="B24" s="3" t="n"/>
      <c r="C24" s="3" t="n"/>
      <c r="D24" s="3" t="n"/>
      <c r="E24" s="3" t="n"/>
      <c r="F24" s="4" t="n"/>
    </row>
    <row r="25">
      <c r="A25" s="6" t="inlineStr">
        <is>
          <t>Endurance</t>
        </is>
      </c>
      <c r="B25" s="8" t="inlineStr"/>
      <c r="D25" s="6" t="inlineStr">
        <is>
          <t>Survival</t>
        </is>
      </c>
      <c r="E25" s="8" t="inlineStr"/>
    </row>
    <row r="26">
      <c r="A26" s="6" t="inlineStr">
        <is>
          <t>Athletics</t>
        </is>
      </c>
      <c r="B26" s="8" t="inlineStr"/>
      <c r="D26" s="6" t="inlineStr">
        <is>
          <t>Melee (STR)</t>
        </is>
      </c>
      <c r="E26" s="8" t="inlineStr"/>
    </row>
    <row r="27">
      <c r="A27" s="6" t="inlineStr">
        <is>
          <t>Stealth</t>
        </is>
      </c>
      <c r="B27" s="8" t="inlineStr"/>
      <c r="D27" s="6" t="inlineStr">
        <is>
          <t>Acrobatics</t>
        </is>
      </c>
      <c r="E27" s="8" t="inlineStr"/>
    </row>
    <row r="28">
      <c r="A28" s="6" t="inlineStr">
        <is>
          <t>Sleight of Hand</t>
        </is>
      </c>
      <c r="B28" s="8" t="inlineStr"/>
      <c r="D28" s="6" t="inlineStr">
        <is>
          <t>Marksmanship</t>
        </is>
      </c>
      <c r="E28" s="8" t="inlineStr"/>
    </row>
    <row r="29">
      <c r="A29" s="6" t="inlineStr">
        <is>
          <t>Melee (DEX)</t>
        </is>
      </c>
      <c r="B29" s="8" t="inlineStr"/>
      <c r="D29" s="6" t="inlineStr">
        <is>
          <t>Perception</t>
        </is>
      </c>
      <c r="E29" s="8" t="inlineStr"/>
    </row>
    <row r="30">
      <c r="A30" s="6" t="inlineStr">
        <is>
          <t>Tracking</t>
        </is>
      </c>
      <c r="B30" s="8" t="inlineStr"/>
      <c r="D30" s="6" t="inlineStr">
        <is>
          <t>Insight</t>
        </is>
      </c>
      <c r="E30" s="8" t="inlineStr"/>
    </row>
    <row r="31">
      <c r="A31" s="6" t="inlineStr">
        <is>
          <t>Nen Sense</t>
        </is>
      </c>
      <c r="B31" s="8" t="inlineStr"/>
      <c r="D31" s="6" t="inlineStr">
        <is>
          <t>Nen Knowledge</t>
        </is>
      </c>
      <c r="E31" s="8" t="inlineStr"/>
    </row>
    <row r="32">
      <c r="A32" s="6" t="inlineStr">
        <is>
          <t>Investigation</t>
        </is>
      </c>
      <c r="B32" s="8" t="inlineStr"/>
      <c r="D32" s="6" t="inlineStr">
        <is>
          <t>Medicine</t>
        </is>
      </c>
      <c r="E32" s="8" t="inlineStr"/>
    </row>
    <row r="33">
      <c r="A33" s="6" t="inlineStr">
        <is>
          <t>Tactics</t>
        </is>
      </c>
      <c r="B33" s="8" t="inlineStr"/>
      <c r="D33" s="6" t="inlineStr">
        <is>
          <t>Nen Attack (Man)</t>
        </is>
      </c>
      <c r="E33" s="8" t="inlineStr"/>
    </row>
    <row r="34">
      <c r="A34" s="6" t="inlineStr">
        <is>
          <t>Nen Control</t>
        </is>
      </c>
      <c r="B34" s="8" t="inlineStr"/>
      <c r="D34" s="6" t="inlineStr">
        <is>
          <t>Concentration</t>
        </is>
      </c>
      <c r="E34" s="8" t="inlineStr"/>
    </row>
    <row r="35">
      <c r="A35" s="6" t="inlineStr">
        <is>
          <t>Courage</t>
        </is>
      </c>
      <c r="B35" s="8" t="inlineStr"/>
      <c r="D35" s="6" t="inlineStr">
        <is>
          <t>Oath</t>
        </is>
      </c>
      <c r="E35" s="8" t="inlineStr"/>
    </row>
    <row r="36">
      <c r="A36" s="6" t="inlineStr">
        <is>
          <t>Nen Attack (Dir)</t>
        </is>
      </c>
      <c r="B36" s="8" t="inlineStr"/>
      <c r="D36" s="6" t="inlineStr">
        <is>
          <t>Persuasion</t>
        </is>
      </c>
      <c r="E36" s="8" t="inlineStr"/>
    </row>
    <row r="37">
      <c r="A37" s="6" t="inlineStr">
        <is>
          <t>Deception</t>
        </is>
      </c>
      <c r="B37" s="8" t="inlineStr"/>
      <c r="D37" s="6" t="inlineStr">
        <is>
          <t>Intimidation</t>
        </is>
      </c>
      <c r="E37" s="8" t="inlineStr"/>
    </row>
    <row r="38">
      <c r="A38" s="6" t="inlineStr">
        <is>
          <t>Leadership</t>
        </is>
      </c>
      <c r="B38" s="8" t="inlineStr"/>
    </row>
    <row r="39"/>
    <row r="40">
      <c r="A40" s="2" t="inlineStr">
        <is>
          <t>Nen Ability</t>
        </is>
      </c>
      <c r="B40" s="3" t="n"/>
      <c r="C40" s="3" t="n"/>
      <c r="D40" s="3" t="n"/>
      <c r="E40" s="3" t="n"/>
      <c r="F40" s="4" t="n"/>
    </row>
    <row r="41">
      <c r="A41" s="5" t="inlineStr">
        <is>
          <t>Name</t>
        </is>
      </c>
      <c r="B41" s="6" t="inlineStr"/>
      <c r="C41" s="5" t="inlineStr">
        <is>
          <t>SP Cost</t>
        </is>
      </c>
      <c r="D41" s="8" t="inlineStr"/>
    </row>
    <row r="42">
      <c r="A42" s="6" t="inlineStr">
        <is>
          <t>Effect:</t>
        </is>
      </c>
      <c r="B42" s="3" t="n"/>
      <c r="C42" s="3" t="n"/>
      <c r="D42" s="3" t="n"/>
      <c r="E42" s="3" t="n"/>
      <c r="F42" s="4" t="n"/>
    </row>
    <row r="43"/>
    <row r="44">
      <c r="A44" s="6" t="inlineStr">
        <is>
          <t>Note: The companion has only 1 standard action per turn (no move / minor / reaction), and initiative is fixed after the PC.</t>
        </is>
      </c>
    </row>
  </sheetData>
  <mergeCells count="7">
    <mergeCell ref="A24:F24"/>
    <mergeCell ref="A42:F42"/>
    <mergeCell ref="A1:F1"/>
    <mergeCell ref="A9:F9"/>
    <mergeCell ref="A40:F40"/>
    <mergeCell ref="A18:F18"/>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2026-06-21T15:45:36Z</dcterms:created>
  <dcterms:modified xsi:type="dcterms:W3CDTF">2026-08-10T13:21:10Z</dcterms:modified>
</cp:coreProperties>
</file>