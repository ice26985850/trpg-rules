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O Main NPC" sheetId="1" state="visible" r:id="rId1"/>
    <sheet name="Solo Player NPC Compan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ffffff"/>
      <sz val="11"/>
    </font>
    <font>
      <name val="Microsoft JhengHei"/>
      <color rgb="001a1a1a"/>
      <sz val="10"/>
    </font>
    <font>
      <name val="Microsoft JhengHei"/>
      <color rgb="001a5276"/>
      <sz val="10"/>
    </font>
    <font>
      <name val="Microsoft JhengHei"/>
      <b val="1"/>
      <color rgb="001a1a1a"/>
      <sz val="9"/>
    </font>
    <font>
      <name val="Microsoft JhengHei"/>
      <b val="1"/>
      <color rgb="001a1a1a"/>
      <sz val="10"/>
    </font>
    <font>
      <name val="Microsoft JhengHei"/>
      <color rgb="001a1a1a"/>
      <sz val="9"/>
    </font>
    <font>
      <name val="Microsoft JhengHei"/>
      <color rgb="007f8c8d"/>
      <sz val="9"/>
    </font>
    <font>
      <name val="Microsoft JhengHei"/>
      <i val="1"/>
      <color rgb="001e3a5f"/>
      <sz val="9"/>
    </font>
    <font>
      <name val="Microsoft JhengHei"/>
      <color rgb="007f8c8d"/>
      <sz val="8"/>
    </font>
  </fonts>
  <fills count="9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c5282"/>
        <bgColor rgb="002c5282"/>
      </patternFill>
    </fill>
    <fill>
      <patternFill patternType="solid">
        <fgColor rgb="00ffffff"/>
        <bgColor rgb="00ffffff"/>
      </patternFill>
    </fill>
    <fill>
      <patternFill patternType="solid">
        <fgColor rgb="008e44ad"/>
        <bgColor rgb="008e44ad"/>
      </patternFill>
    </fill>
    <fill>
      <patternFill patternType="solid">
        <fgColor rgb="00fff9c4"/>
        <bgColor rgb="00fff9c4"/>
      </patternFill>
    </fill>
    <fill>
      <patternFill patternType="solid">
        <fgColor rgb="00f0f2f5"/>
        <bgColor rgb="00f0f2f5"/>
      </patternFill>
    </fill>
    <fill>
      <patternFill patternType="solid">
        <fgColor rgb="001abc9c"/>
        <bgColor rgb="001abc9c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2" customWidth="1" min="11" max="11"/>
    <col width="20" customWidth="1" min="12" max="12"/>
  </cols>
  <sheetData>
    <row r="1" ht="28" customHeight="1">
      <c r="A1" s="1" t="inlineStr">
        <is>
          <t>SAO Main NPC — NPC Character Card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7" t="n"/>
    </row>
    <row r="2" ht="22" customHeight="1">
      <c r="A2" s="3" t="inlineStr">
        <is>
          <t>Name</t>
        </is>
      </c>
      <c r="B2" s="3" t="inlineStr">
        <is>
          <t>Lv</t>
        </is>
      </c>
      <c r="C2" s="3" t="inlineStr">
        <is>
          <t>HP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HIT</t>
        </is>
      </c>
      <c r="G2" s="3" t="inlineStr">
        <is>
          <t>EVA</t>
        </is>
      </c>
      <c r="H2" s="3" t="inlineStr">
        <is>
          <t>SPD</t>
        </is>
      </c>
      <c r="I2" s="3" t="inlineStr">
        <is>
          <t>Weapon</t>
        </is>
      </c>
      <c r="J2" s="3" t="inlineStr">
        <is>
          <t>Role</t>
        </is>
      </c>
      <c r="K2" s="3" t="inlineStr">
        <is>
          <t>Faction</t>
        </is>
      </c>
      <c r="L2" s="3" t="inlineStr">
        <is>
          <t>Notes</t>
        </is>
      </c>
    </row>
    <row r="3" ht="20" customHeight="1">
      <c r="A3" s="4" t="inlineStr">
        <is>
          <t>Kirito</t>
        </is>
      </c>
      <c r="B3" s="4" t="inlineStr">
        <is>
          <t>96</t>
        </is>
      </c>
      <c r="C3" s="5">
        <f>20*8+96*2</f>
        <v/>
      </c>
      <c r="D3" s="4" t="inlineStr">
        <is>
          <t>180</t>
        </is>
      </c>
      <c r="E3" s="4" t="inlineStr">
        <is>
          <t>120</t>
        </is>
      </c>
      <c r="F3" s="5">
        <f>18*2+22</f>
        <v/>
      </c>
      <c r="G3" s="5">
        <f>22*2</f>
        <v/>
      </c>
      <c r="H3" s="4" t="inlineStr">
        <is>
          <t>88</t>
        </is>
      </c>
      <c r="I3" s="4" t="inlineStr">
        <is>
          <t>Elucidator + Dark Repulsor</t>
        </is>
      </c>
      <c r="J3" s="4" t="inlineStr">
        <is>
          <t>Dual Blades</t>
        </is>
      </c>
      <c r="K3" s="4" t="inlineStr">
        <is>
          <t>Solo</t>
        </is>
      </c>
      <c r="L3" s="4" t="inlineStr">
        <is>
          <t>Unique Skill: Dual Blades</t>
        </is>
      </c>
    </row>
    <row r="4" ht="20" customHeight="1">
      <c r="A4" s="4" t="inlineStr">
        <is>
          <t>Asuna</t>
        </is>
      </c>
      <c r="B4" s="4" t="inlineStr">
        <is>
          <t>94</t>
        </is>
      </c>
      <c r="C4" s="5">
        <f>18*8+94*2</f>
        <v/>
      </c>
      <c r="D4" s="4" t="inlineStr">
        <is>
          <t>155</t>
        </is>
      </c>
      <c r="E4" s="4" t="inlineStr">
        <is>
          <t>100</t>
        </is>
      </c>
      <c r="F4" s="5">
        <f>18*2+22</f>
        <v/>
      </c>
      <c r="G4" s="5">
        <f>22*2</f>
        <v/>
      </c>
      <c r="H4" s="4" t="inlineStr">
        <is>
          <t>92</t>
        </is>
      </c>
      <c r="I4" s="4" t="inlineStr">
        <is>
          <t>Lambent Light</t>
        </is>
      </c>
      <c r="J4" s="4" t="inlineStr">
        <is>
          <t>KoB Vice-Commander</t>
        </is>
      </c>
      <c r="K4" s="4" t="inlineStr">
        <is>
          <t>KoB</t>
        </is>
      </c>
      <c r="L4" s="4" t="inlineStr">
        <is>
          <t>Title: Flash</t>
        </is>
      </c>
    </row>
    <row r="5" ht="20" customHeight="1">
      <c r="A5" s="4" t="inlineStr">
        <is>
          <t>Klein</t>
        </is>
      </c>
      <c r="B5" s="4" t="inlineStr">
        <is>
          <t>75</t>
        </is>
      </c>
      <c r="C5" s="5">
        <f>16*8+75*2</f>
        <v/>
      </c>
      <c r="D5" s="4" t="inlineStr">
        <is>
          <t>130</t>
        </is>
      </c>
      <c r="E5" s="4" t="inlineStr">
        <is>
          <t>85</t>
        </is>
      </c>
      <c r="F5" s="5">
        <f>16*2+16</f>
        <v/>
      </c>
      <c r="G5" s="5">
        <f>16*2</f>
        <v/>
      </c>
      <c r="H5" s="4" t="inlineStr">
        <is>
          <t>72</t>
        </is>
      </c>
      <c r="I5" s="4" t="inlineStr">
        <is>
          <t>Katana</t>
        </is>
      </c>
      <c r="J5" s="4" t="inlineStr">
        <is>
          <t>Fuurinkazan Commander</t>
        </is>
      </c>
      <c r="K5" s="4" t="inlineStr">
        <is>
          <t>Fuurinkazan</t>
        </is>
      </c>
      <c r="L5" s="4" t="inlineStr">
        <is>
          <t>Passionate and Loyal</t>
        </is>
      </c>
    </row>
    <row r="6" ht="20" customHeight="1">
      <c r="A6" s="4" t="inlineStr">
        <is>
          <t>Heathcliff</t>
        </is>
      </c>
      <c r="B6" s="4" t="inlineStr">
        <is>
          <t>96</t>
        </is>
      </c>
      <c r="C6" s="5">
        <f>30*8+96*2</f>
        <v/>
      </c>
      <c r="D6" s="4" t="inlineStr">
        <is>
          <t>220</t>
        </is>
      </c>
      <c r="E6" s="4" t="inlineStr">
        <is>
          <t>180</t>
        </is>
      </c>
      <c r="F6" s="5">
        <f>22*2+20</f>
        <v/>
      </c>
      <c r="G6" s="5">
        <f>20*2</f>
        <v/>
      </c>
      <c r="H6" s="4" t="inlineStr">
        <is>
          <t>88</t>
        </is>
      </c>
      <c r="I6" s="4" t="inlineStr">
        <is>
          <t>Holy Sword</t>
        </is>
      </c>
      <c r="J6" s="4" t="inlineStr">
        <is>
          <t>KoB Commander = Kayaba</t>
        </is>
      </c>
      <c r="K6" s="4" t="inlineStr">
        <is>
          <t>Final Boss</t>
        </is>
      </c>
      <c r="L6" s="4" t="inlineStr">
        <is>
          <t>GM Privilege</t>
        </is>
      </c>
    </row>
    <row r="7" ht="20" customHeight="1">
      <c r="A7" s="4" t="inlineStr">
        <is>
          <t>Argo</t>
        </is>
      </c>
      <c r="B7" s="4" t="inlineStr">
        <is>
          <t>30</t>
        </is>
      </c>
      <c r="C7" s="5">
        <f>10*8+30*2</f>
        <v/>
      </c>
      <c r="D7" s="4" t="inlineStr">
        <is>
          <t>45</t>
        </is>
      </c>
      <c r="E7" s="4" t="inlineStr">
        <is>
          <t>30</t>
        </is>
      </c>
      <c r="F7" s="5">
        <f>14*2+16</f>
        <v/>
      </c>
      <c r="G7" s="5">
        <f>16*2</f>
        <v/>
      </c>
      <c r="H7" s="4" t="inlineStr">
        <is>
          <t>60</t>
        </is>
      </c>
      <c r="I7" s="4" t="inlineStr">
        <is>
          <t>Short Sword</t>
        </is>
      </c>
      <c r="J7" s="4" t="inlineStr">
        <is>
          <t>Information Broker</t>
        </is>
      </c>
      <c r="K7" s="4" t="inlineStr">
        <is>
          <t>Neutral</t>
        </is>
      </c>
      <c r="L7" s="4" t="inlineStr">
        <is>
          <t>Author of the Clearer's Guide</t>
        </is>
      </c>
    </row>
    <row r="8" ht="20" customHeight="1">
      <c r="A8" s="4" t="inlineStr">
        <is>
          <t>Agil</t>
        </is>
      </c>
      <c r="B8" s="4" t="inlineStr">
        <is>
          <t>70</t>
        </is>
      </c>
      <c r="C8" s="5">
        <f>20*8+70*2</f>
        <v/>
      </c>
      <c r="D8" s="4" t="inlineStr">
        <is>
          <t>140</t>
        </is>
      </c>
      <c r="E8" s="4" t="inlineStr">
        <is>
          <t>90</t>
        </is>
      </c>
      <c r="F8" s="5">
        <f>12*2+12</f>
        <v/>
      </c>
      <c r="G8" s="5">
        <f>12*2</f>
        <v/>
      </c>
      <c r="H8" s="4" t="inlineStr">
        <is>
          <t>55</t>
        </is>
      </c>
      <c r="I8" s="4" t="inlineStr">
        <is>
          <t>Axe</t>
        </is>
      </c>
      <c r="J8" s="4" t="inlineStr">
        <is>
          <t>Merchant / Axe User</t>
        </is>
      </c>
      <c r="K8" s="4" t="inlineStr">
        <is>
          <t>Independent</t>
        </is>
      </c>
      <c r="L8" s="4" t="inlineStr">
        <is>
          <t>Information &amp; Supply Support</t>
        </is>
      </c>
    </row>
  </sheetData>
  <mergeCells count="85">
    <mergeCell ref="I8"/>
    <mergeCell ref="A4"/>
    <mergeCell ref="H3"/>
    <mergeCell ref="C7"/>
    <mergeCell ref="J3"/>
    <mergeCell ref="B6"/>
    <mergeCell ref="E7"/>
    <mergeCell ref="H5"/>
    <mergeCell ref="B4"/>
    <mergeCell ref="G2"/>
    <mergeCell ref="I2"/>
    <mergeCell ref="H4"/>
    <mergeCell ref="A6"/>
    <mergeCell ref="H6"/>
    <mergeCell ref="J6"/>
    <mergeCell ref="G6"/>
    <mergeCell ref="B8"/>
    <mergeCell ref="L8"/>
    <mergeCell ref="A3"/>
    <mergeCell ref="E6"/>
    <mergeCell ref="H7"/>
    <mergeCell ref="J7"/>
    <mergeCell ref="K8"/>
    <mergeCell ref="A5"/>
    <mergeCell ref="D3"/>
    <mergeCell ref="G4"/>
    <mergeCell ref="I4"/>
    <mergeCell ref="K7"/>
    <mergeCell ref="J2"/>
    <mergeCell ref="B5"/>
    <mergeCell ref="D5"/>
    <mergeCell ref="K4"/>
    <mergeCell ref="J5"/>
    <mergeCell ref="E8"/>
    <mergeCell ref="G8"/>
    <mergeCell ref="F3"/>
    <mergeCell ref="A7"/>
    <mergeCell ref="L5"/>
    <mergeCell ref="G3"/>
    <mergeCell ref="J4"/>
    <mergeCell ref="I3"/>
    <mergeCell ref="L4"/>
    <mergeCell ref="D7"/>
    <mergeCell ref="A2"/>
    <mergeCell ref="C2"/>
    <mergeCell ref="E2"/>
    <mergeCell ref="G5"/>
    <mergeCell ref="I5"/>
    <mergeCell ref="D8"/>
    <mergeCell ref="H8"/>
    <mergeCell ref="J8"/>
    <mergeCell ref="I6"/>
    <mergeCell ref="L2"/>
    <mergeCell ref="C6"/>
    <mergeCell ref="F6"/>
    <mergeCell ref="C4"/>
    <mergeCell ref="E4"/>
    <mergeCell ref="L3"/>
    <mergeCell ref="D6"/>
    <mergeCell ref="G7"/>
    <mergeCell ref="I7"/>
    <mergeCell ref="K2"/>
    <mergeCell ref="A8"/>
    <mergeCell ref="D4"/>
    <mergeCell ref="C8"/>
    <mergeCell ref="L6"/>
    <mergeCell ref="K6"/>
    <mergeCell ref="K3"/>
    <mergeCell ref="C3"/>
    <mergeCell ref="F4"/>
    <mergeCell ref="E3"/>
    <mergeCell ref="B7"/>
    <mergeCell ref="L7"/>
    <mergeCell ref="B3"/>
    <mergeCell ref="K5"/>
    <mergeCell ref="C5"/>
    <mergeCell ref="E5"/>
    <mergeCell ref="F7"/>
    <mergeCell ref="B2"/>
    <mergeCell ref="D2"/>
    <mergeCell ref="F5"/>
    <mergeCell ref="F8"/>
    <mergeCell ref="F2"/>
    <mergeCell ref="H2"/>
    <mergeCell ref="A1:L1"/>
  </mergeCells>
  <pageMargins left="0.75" right="0.75" top="1" bottom="1" header="0.5" footer="0.5"/>
  <pageSetup orientation="landscape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7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  <col width="10" customWidth="1" min="11" max="11"/>
    <col width="12" customWidth="1" min="12" max="12"/>
    <col width="22" customWidth="1" min="13" max="13"/>
    <col width="22" customWidth="1" min="14" max="14"/>
  </cols>
  <sheetData>
    <row r="1" ht="30" customHeight="1">
      <c r="A1" s="8" t="inlineStr">
        <is>
          <t>SAO TRPG — Solo Player NPC Companion Card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7" t="n"/>
    </row>
    <row r="2" ht="22" customHeight="1">
      <c r="A2" s="9" t="inlineStr">
        <is>
          <t>▶ This page is for 1-Player + 1-GM solo mode. After changing the player's Lv, all values auto-update. Personality keywords are for GM roleplay reference.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4" customHeight="1">
      <c r="A3" s="10" t="inlineStr">
        <is>
          <t>Player Current Lv →</t>
        </is>
      </c>
      <c r="B3" s="7" t="n"/>
      <c r="C3" s="11" t="inlineStr"/>
      <c r="D3" s="12" t="inlineStr">
        <is>
          <t>(Enter the player's level here; companion stats below are calculated automatically)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6" customHeight="1">
      <c r="A4" s="13" t="inlineStr">
        <is>
          <t>#</t>
        </is>
      </c>
      <c r="B4" s="13" t="inlineStr">
        <is>
          <t>Companion Name</t>
        </is>
      </c>
      <c r="C4" s="13" t="inlineStr">
        <is>
          <t>Type</t>
        </is>
      </c>
      <c r="D4" s="13" t="inlineStr">
        <is>
          <t>Lv</t>
        </is>
      </c>
      <c r="E4" s="13" t="inlineStr">
        <is>
          <t>HP</t>
        </is>
      </c>
      <c r="F4" s="13" t="inlineStr">
        <is>
          <t>ATK</t>
        </is>
      </c>
      <c r="G4" s="13" t="inlineStr">
        <is>
          <t>DEF</t>
        </is>
      </c>
      <c r="H4" s="13" t="inlineStr">
        <is>
          <t>HIT</t>
        </is>
      </c>
      <c r="I4" s="13" t="inlineStr">
        <is>
          <t>EVA</t>
        </is>
      </c>
      <c r="J4" s="13" t="inlineStr">
        <is>
          <t>SPD</t>
        </is>
      </c>
      <c r="K4" s="13" t="inlineStr">
        <is>
          <t>Weapon</t>
        </is>
      </c>
      <c r="L4" s="13" t="inlineStr">
        <is>
          <t>Special Ability (Combat)</t>
        </is>
      </c>
      <c r="M4" s="13" t="inlineStr">
        <is>
          <t>Personality Keywords</t>
        </is>
      </c>
      <c r="N4" s="13" t="inlineStr">
        <is>
          <t>Join Timing</t>
        </is>
      </c>
    </row>
    <row r="5" ht="42" customHeight="1">
      <c r="A5" s="11" t="inlineStr">
        <is>
          <t>1</t>
        </is>
      </c>
      <c r="B5" s="11" t="inlineStr">
        <is>
          <t>Klein</t>
        </is>
      </c>
      <c r="C5" s="11" t="inlineStr">
        <is>
          <t>Story Companion</t>
        </is>
      </c>
      <c r="D5" s="14">
        <f>$C$3</f>
        <v/>
      </c>
      <c r="E5" s="14">
        <f>16*8 + $C$3*2</f>
        <v/>
      </c>
      <c r="F5" s="14">
        <f>STR+武器ATK</f>
        <v/>
      </c>
      <c r="G5" s="14">
        <f>12 + $C$3/5</f>
        <v/>
      </c>
      <c r="H5" s="14">
        <f>14*2 + 16</f>
        <v/>
      </c>
      <c r="I5" s="14">
        <f>16*2</f>
        <v/>
      </c>
      <c r="J5" s="14">
        <f>16</f>
        <v/>
      </c>
      <c r="K5" s="11" t="inlineStr">
        <is>
          <t>Katana (ATK + $C$3/3)</t>
        </is>
      </c>
      <c r="L5" s="15" t="inlineStr">
        <is>
          <t>Iai Slash ATK×1.8, Recovery Lag 1 | Morale Boost All Allies ATK+5 (2 turns, CD3)</t>
        </is>
      </c>
      <c r="M5" s="15" t="inlineStr">
        <is>
          <t>Passionate, loyal, ruggedly reliable</t>
        </is>
      </c>
      <c r="N5" s="15" t="inlineStr">
        <is>
          <t>Available from Lv.1</t>
        </is>
      </c>
    </row>
    <row r="6" ht="42" customHeight="1">
      <c r="A6" s="11" t="inlineStr">
        <is>
          <t>2</t>
        </is>
      </c>
      <c r="B6" s="11" t="inlineStr">
        <is>
          <t>Asuna</t>
        </is>
      </c>
      <c r="C6" s="11" t="inlineStr">
        <is>
          <t>Story Companion</t>
        </is>
      </c>
      <c r="D6" s="14">
        <f>$C$3</f>
        <v/>
      </c>
      <c r="E6" s="14">
        <f>18*8 + $C$3*2</f>
        <v/>
      </c>
      <c r="F6" s="14">
        <f>細劍ATK</f>
        <v/>
      </c>
      <c r="G6" s="14">
        <f>15 + $C$3/5</f>
        <v/>
      </c>
      <c r="H6" s="14">
        <f>18*2 + 22</f>
        <v/>
      </c>
      <c r="I6" s="14">
        <f>22*2</f>
        <v/>
      </c>
      <c r="J6" s="14">
        <f>22</f>
        <v/>
      </c>
      <c r="K6" s="11" t="inlineStr">
        <is>
          <t>Lambent Light (ATK + $C$3/2 + 5)</t>
        </is>
      </c>
      <c r="L6" s="15" t="inlineStr">
        <is>
          <t>Lambent Thrust ATK×2.0, HIT+15, Recovery Lag 1 | High-Speed Switch Take hits in place of player (2x per battle)</t>
        </is>
      </c>
      <c r="M6" s="15" t="inlineStr">
        <is>
          <t>Calm, efficient, gentle yet strong</t>
        </is>
      </c>
      <c r="N6" s="15" t="inlineStr">
        <is>
          <t>Unlocked at Lv.25 (Story)</t>
        </is>
      </c>
    </row>
    <row r="7" ht="42" customHeight="1">
      <c r="A7" s="11" t="inlineStr">
        <is>
          <t>3</t>
        </is>
      </c>
      <c r="B7" s="11" t="inlineStr">
        <is>
          <t>Agil</t>
        </is>
      </c>
      <c r="C7" s="11" t="inlineStr">
        <is>
          <t>Story Companion</t>
        </is>
      </c>
      <c r="D7" s="14">
        <f>$C$3</f>
        <v/>
      </c>
      <c r="E7" s="14">
        <f>20*8 + $C$3*2</f>
        <v/>
      </c>
      <c r="F7" s="14">
        <f>戰斧ATK</f>
        <v/>
      </c>
      <c r="G7" s="14">
        <f>18 + $C$3/4</f>
        <v/>
      </c>
      <c r="H7" s="14">
        <f>12*2 + 12</f>
        <v/>
      </c>
      <c r="I7" s="14">
        <f>12*2 - 5</f>
        <v/>
      </c>
      <c r="J7" s="14">
        <f>12</f>
        <v/>
      </c>
      <c r="K7" s="11" t="inlineStr">
        <is>
          <t>Axe (ATK + $C$3/2)</t>
        </is>
      </c>
      <c r="L7" s="15" t="inlineStr">
        <is>
          <t>Earth Crusher ATK×2.5, Area, Recovery Lag 2 | Iron Wall Take hits in place of player (1x per battle, DEF×2)</t>
        </is>
      </c>
      <c r="M7" s="15" t="inlineStr">
        <is>
          <t>Composed, reliable, a fatherly presence</t>
        </is>
      </c>
      <c r="N7" s="15" t="inlineStr">
        <is>
          <t>Recruitable anytime Lv.1-70</t>
        </is>
      </c>
    </row>
    <row r="8" ht="36" customHeight="1">
      <c r="A8" s="11" t="inlineStr">
        <is>
          <t>4</t>
        </is>
      </c>
      <c r="B8" s="11" t="inlineStr">
        <is>
          <t>Lisbeth</t>
        </is>
      </c>
      <c r="C8" s="11" t="inlineStr">
        <is>
          <t>Logistics Companion</t>
        </is>
      </c>
      <c r="D8" s="14">
        <f>$C$3 - 5</f>
        <v/>
      </c>
      <c r="E8" s="14">
        <f>14*8 + ($C$3-5)*2</f>
        <v/>
      </c>
      <c r="F8" s="14">
        <f>錘ATK</f>
        <v/>
      </c>
      <c r="G8" s="14">
        <f>10 + $C$3/6</f>
        <v/>
      </c>
      <c r="H8" s="14">
        <f>10*2 + 10</f>
        <v/>
      </c>
      <c r="I8" s="14">
        <f>10*2 - 5</f>
        <v/>
      </c>
      <c r="J8" s="14">
        <f>10</f>
        <v/>
      </c>
      <c r="K8" s="11" t="inlineStr">
        <is>
          <t>War Hammer (ATK + ($C$3-5)/3)</t>
        </is>
      </c>
      <c r="L8" s="15" t="inlineStr">
        <is>
          <t>Crushing Strike ATK×1.8, Stun | Weapon Enhance Player weapon +5 ATK temporarily before battle (1 battle)</t>
        </is>
      </c>
      <c r="M8" s="15" t="inlineStr">
        <is>
          <t>Cheerful, bright, masterful craftswoman</t>
        </is>
      </c>
      <c r="N8" s="15" t="inlineStr">
        <is>
          <t>Unlocked at Lv.15 (Story)</t>
        </is>
      </c>
    </row>
    <row r="9" ht="36" customHeight="1">
      <c r="A9" s="11" t="inlineStr">
        <is>
          <t>5</t>
        </is>
      </c>
      <c r="B9" s="11" t="inlineStr">
        <is>
          <t>Argo</t>
        </is>
      </c>
      <c r="C9" s="11" t="inlineStr">
        <is>
          <t>Information Companion</t>
        </is>
      </c>
      <c r="D9" s="14">
        <f>$C$3 - 3</f>
        <v/>
      </c>
      <c r="E9" s="14">
        <f>10*8 + ($C$3-3)*2</f>
        <v/>
      </c>
      <c r="F9" s="14">
        <f>短劍ATK</f>
        <v/>
      </c>
      <c r="G9" s="14">
        <f>8 + $C$3/6</f>
        <v/>
      </c>
      <c r="H9" s="14">
        <f>16*2 + 18</f>
        <v/>
      </c>
      <c r="I9" s="14">
        <f>18*2 + 10</f>
        <v/>
      </c>
      <c r="J9" s="14">
        <f>18</f>
        <v/>
      </c>
      <c r="K9" s="11" t="inlineStr">
        <is>
          <t>Short Sword (ATK + ($C$3-3)/4)</t>
        </is>
      </c>
      <c r="L9" s="15" t="inlineStr">
        <is>
          <t>Weakness Insight All allies deal ×1.2 damage to that monster (1x per battle) | Smoke Retreat All allies EVA+20 (for escape)</t>
        </is>
      </c>
      <c r="M9" s="15" t="inlineStr">
        <is>
          <t>Sharp, slightly cunning, information is power</t>
        </is>
      </c>
      <c r="N9" s="15" t="inlineStr">
        <is>
          <t>Recruitable Lv.1-40</t>
        </is>
      </c>
    </row>
    <row r="10" ht="36" customHeight="1">
      <c r="A10" s="11" t="inlineStr">
        <is>
          <t>6</t>
        </is>
      </c>
      <c r="B10" s="11" t="inlineStr">
        <is>
          <t>Keita</t>
        </is>
      </c>
      <c r="C10" s="11" t="inlineStr">
        <is>
          <t>Story Companion</t>
        </is>
      </c>
      <c r="D10" s="14">
        <f>$C$3 - 5</f>
        <v/>
      </c>
      <c r="E10" s="14">
        <f>12*8 + ($C$3-5)*2</f>
        <v/>
      </c>
      <c r="F10" s="14">
        <f>單手劍ATK</f>
        <v/>
      </c>
      <c r="G10" s="14">
        <f>10 + $C$3/6</f>
        <v/>
      </c>
      <c r="H10" s="14">
        <f>12*2 + 14</f>
        <v/>
      </c>
      <c r="I10" s="14">
        <f>14*2</f>
        <v/>
      </c>
      <c r="J10" s="14">
        <f>14</f>
        <v/>
      </c>
      <c r="K10" s="11" t="inlineStr">
        <is>
          <t>One-Handed Sword (ATK + ($C$3-5)/3)</t>
        </is>
      </c>
      <c r="L10" s="15" t="inlineStr">
        <is>
          <t>Combo Attack On Switch HIT+5, ATK×1.1 | Cover Take one hit in place of player (1x per battle)</t>
        </is>
      </c>
      <c r="M10" s="15" t="inlineStr">
        <is>
          <t>Gentle, trusting, somewhat naive</t>
        </is>
      </c>
      <c r="N10" s="15" t="inlineStr">
        <is>
          <t>Lv.15-27 Moonlit Black Cats story</t>
        </is>
      </c>
    </row>
    <row r="11"/>
    <row r="12">
      <c r="A12" s="16" t="inlineStr">
        <is>
          <t>Companion Type Notes: Story Companion = joins automatically in the story | Logistics Companion = provides buffs without fighting | Information Companion = provides buffs and tactical support</t>
        </is>
      </c>
    </row>
  </sheetData>
  <mergeCells count="4">
    <mergeCell ref="A12:N12"/>
    <mergeCell ref="A3:B3"/>
    <mergeCell ref="A2:N2"/>
    <mergeCell ref="A1:N1"/>
  </mergeCells>
  <pageMargins left="0.75" right="0.75" top="1" bottom="1" header="0.5" footer="0.5"/>
  <pageSetup orientation="landscape" paperSize="8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2026-06-20T17:16:45Z</dcterms:created>
  <dcterms:modified xsi:type="dcterms:W3CDTF">2026-08-08T16:22:14Z</dcterms:modified>
</cp:coreProperties>
</file>