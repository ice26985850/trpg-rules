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Main Enem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color rgb="001a1a1a"/>
      <sz val="10"/>
    </font>
    <font>
      <name val="Microsoft JhengHei"/>
      <color rgb="001a5276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5282"/>
        <bgColor rgb="002c528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22" customWidth="1" min="12" max="12"/>
  </cols>
  <sheetData>
    <row r="1" ht="28" customHeight="1">
      <c r="A1" s="1" t="inlineStr">
        <is>
          <t>SAO Main Enemies — Enemy Character Card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7" t="n"/>
    </row>
    <row r="2" ht="22" customHeight="1">
      <c r="A2" s="3" t="inlineStr">
        <is>
          <t>#</t>
        </is>
      </c>
      <c r="B2" s="3" t="inlineStr">
        <is>
          <t>Name</t>
        </is>
      </c>
      <c r="C2" s="3" t="inlineStr">
        <is>
          <t>Type</t>
        </is>
      </c>
      <c r="D2" s="3" t="inlineStr">
        <is>
          <t>Lv</t>
        </is>
      </c>
      <c r="E2" s="3" t="inlineStr">
        <is>
          <t>HP (Formula)</t>
        </is>
      </c>
      <c r="F2" s="3" t="inlineStr">
        <is>
          <t>ATK</t>
        </is>
      </c>
      <c r="G2" s="3" t="inlineStr">
        <is>
          <t>DEF</t>
        </is>
      </c>
      <c r="H2" s="3" t="inlineStr">
        <is>
          <t>HIT (Formula)</t>
        </is>
      </c>
      <c r="I2" s="3" t="inlineStr">
        <is>
          <t>EVA (Formula)</t>
        </is>
      </c>
      <c r="J2" s="3" t="inlineStr">
        <is>
          <t>SPD</t>
        </is>
      </c>
      <c r="K2" s="3" t="inlineStr">
        <is>
          <t>EXP (Formula)</t>
        </is>
      </c>
      <c r="L2" s="3" t="inlineStr">
        <is>
          <t>Special / Drop</t>
        </is>
      </c>
    </row>
    <row r="3" ht="18" customHeight="1">
      <c r="A3" s="4" t="inlineStr">
        <is>
          <t>1</t>
        </is>
      </c>
      <c r="B3" s="4" t="inlineStr">
        <is>
          <t>Frenzied Boar</t>
        </is>
      </c>
      <c r="C3" s="4" t="inlineStr">
        <is>
          <t>Beast</t>
        </is>
      </c>
      <c r="D3" s="4" t="inlineStr">
        <is>
          <t>2</t>
        </is>
      </c>
      <c r="E3" s="4" t="inlineStr">
        <is>
          <t>30</t>
        </is>
      </c>
      <c r="F3" s="4" t="inlineStr">
        <is>
          <t>7</t>
        </is>
      </c>
      <c r="G3" s="4" t="inlineStr">
        <is>
          <t>6</t>
        </is>
      </c>
      <c r="H3" s="4" t="inlineStr">
        <is>
          <t>26</t>
        </is>
      </c>
      <c r="I3" s="4" t="inlineStr">
        <is>
          <t>15</t>
        </is>
      </c>
      <c r="J3" s="4" t="inlineStr">
        <is>
          <t>20</t>
        </is>
      </c>
      <c r="K3" s="5">
        <f>2*15</f>
        <v/>
      </c>
      <c r="L3" s="4" t="inlineStr">
        <is>
          <t>Floor 1, Charge</t>
        </is>
      </c>
    </row>
    <row r="4" ht="18" customHeight="1">
      <c r="A4" s="4" t="inlineStr">
        <is>
          <t>2</t>
        </is>
      </c>
      <c r="B4" s="4" t="inlineStr">
        <is>
          <t>Giant Wolf</t>
        </is>
      </c>
      <c r="C4" s="4" t="inlineStr">
        <is>
          <t>Beast</t>
        </is>
      </c>
      <c r="D4" s="4" t="inlineStr">
        <is>
          <t>3</t>
        </is>
      </c>
      <c r="E4" s="4" t="inlineStr">
        <is>
          <t>45</t>
        </is>
      </c>
      <c r="F4" s="4" t="inlineStr">
        <is>
          <t>8</t>
        </is>
      </c>
      <c r="G4" s="4" t="inlineStr">
        <is>
          <t>7</t>
        </is>
      </c>
      <c r="H4" s="4" t="inlineStr">
        <is>
          <t>26</t>
        </is>
      </c>
      <c r="I4" s="4" t="inlineStr">
        <is>
          <t>16</t>
        </is>
      </c>
      <c r="J4" s="4" t="inlineStr">
        <is>
          <t>21</t>
        </is>
      </c>
      <c r="K4" s="5">
        <f>3*15</f>
        <v/>
      </c>
      <c r="L4" s="4" t="inlineStr">
        <is>
          <t>Floor 1, Pack</t>
        </is>
      </c>
    </row>
    <row r="5" ht="18" customHeight="1">
      <c r="A5" s="4" t="inlineStr">
        <is>
          <t>3</t>
        </is>
      </c>
      <c r="B5" s="4" t="inlineStr">
        <is>
          <t>Kobold Patroller</t>
        </is>
      </c>
      <c r="C5" s="4" t="inlineStr">
        <is>
          <t>Half-Beast</t>
        </is>
      </c>
      <c r="D5" s="4" t="inlineStr">
        <is>
          <t>5</t>
        </is>
      </c>
      <c r="E5" s="4" t="inlineStr">
        <is>
          <t>75</t>
        </is>
      </c>
      <c r="F5" s="4" t="inlineStr">
        <is>
          <t>11</t>
        </is>
      </c>
      <c r="G5" s="4" t="inlineStr">
        <is>
          <t>9</t>
        </is>
      </c>
      <c r="H5" s="4" t="inlineStr">
        <is>
          <t>27</t>
        </is>
      </c>
      <c r="I5" s="4" t="inlineStr">
        <is>
          <t>16</t>
        </is>
      </c>
      <c r="J5" s="4" t="inlineStr">
        <is>
          <t>22</t>
        </is>
      </c>
      <c r="K5" s="5">
        <f>5*15</f>
        <v/>
      </c>
      <c r="L5" s="4" t="inlineStr">
        <is>
          <t>Floor 1 Maze</t>
        </is>
      </c>
    </row>
    <row r="6" ht="18" customHeight="1">
      <c r="A6" s="4" t="inlineStr">
        <is>
          <t>4</t>
        </is>
      </c>
      <c r="B6" s="4" t="inlineStr">
        <is>
          <t>Kobold Guard (Elite)</t>
        </is>
      </c>
      <c r="C6" s="4" t="inlineStr">
        <is>
          <t>Half-Beast</t>
        </is>
      </c>
      <c r="D6" s="4" t="inlineStr">
        <is>
          <t>6</t>
        </is>
      </c>
      <c r="E6" s="4" t="inlineStr">
        <is>
          <t>90</t>
        </is>
      </c>
      <c r="F6" s="4" t="inlineStr">
        <is>
          <t>12</t>
        </is>
      </c>
      <c r="G6" s="4" t="inlineStr">
        <is>
          <t>10</t>
        </is>
      </c>
      <c r="H6" s="4" t="inlineStr">
        <is>
          <t>28</t>
        </is>
      </c>
      <c r="I6" s="4" t="inlineStr">
        <is>
          <t>17</t>
        </is>
      </c>
      <c r="J6" s="4" t="inlineStr">
        <is>
          <t>22</t>
        </is>
      </c>
      <c r="K6" s="5">
        <f>6*15</f>
        <v/>
      </c>
      <c r="L6" s="4" t="inlineStr">
        <is>
          <t>Elite, Shield Bash</t>
        </is>
      </c>
    </row>
    <row r="7" ht="18" customHeight="1">
      <c r="A7" s="4" t="inlineStr">
        <is>
          <t>5</t>
        </is>
      </c>
      <c r="B7" s="4" t="inlineStr">
        <is>
          <t>Rock Bull</t>
        </is>
      </c>
      <c r="C7" s="4" t="inlineStr">
        <is>
          <t>Beast</t>
        </is>
      </c>
      <c r="D7" s="4" t="inlineStr">
        <is>
          <t>8</t>
        </is>
      </c>
      <c r="E7" s="4" t="inlineStr">
        <is>
          <t>120</t>
        </is>
      </c>
      <c r="F7" s="4" t="inlineStr">
        <is>
          <t>14</t>
        </is>
      </c>
      <c r="G7" s="4" t="inlineStr">
        <is>
          <t>12</t>
        </is>
      </c>
      <c r="H7" s="4" t="inlineStr">
        <is>
          <t>29</t>
        </is>
      </c>
      <c r="I7" s="4" t="inlineStr">
        <is>
          <t>17</t>
        </is>
      </c>
      <c r="J7" s="4" t="inlineStr">
        <is>
          <t>23</t>
        </is>
      </c>
      <c r="K7" s="5">
        <f>8*15</f>
        <v/>
      </c>
      <c r="L7" s="4" t="inlineStr">
        <is>
          <t>Floor 2</t>
        </is>
      </c>
    </row>
    <row r="8" ht="18" customHeight="1">
      <c r="A8" s="4" t="inlineStr">
        <is>
          <t>6</t>
        </is>
      </c>
      <c r="B8" s="4" t="inlineStr">
        <is>
          <t>Gargoyle</t>
        </is>
      </c>
      <c r="C8" s="4" t="inlineStr">
        <is>
          <t>Magic</t>
        </is>
      </c>
      <c r="D8" s="4" t="inlineStr">
        <is>
          <t>12</t>
        </is>
      </c>
      <c r="E8" s="4" t="inlineStr">
        <is>
          <t>180</t>
        </is>
      </c>
      <c r="F8" s="4" t="inlineStr">
        <is>
          <t>19</t>
        </is>
      </c>
      <c r="G8" s="4" t="inlineStr">
        <is>
          <t>15</t>
        </is>
      </c>
      <c r="H8" s="4" t="inlineStr">
        <is>
          <t>31</t>
        </is>
      </c>
      <c r="I8" s="4" t="inlineStr">
        <is>
          <t>19</t>
        </is>
      </c>
      <c r="J8" s="4" t="inlineStr">
        <is>
          <t>24</t>
        </is>
      </c>
      <c r="K8" s="5">
        <f>12*15</f>
        <v/>
      </c>
      <c r="L8" s="4" t="inlineStr">
        <is>
          <t>Floor 5</t>
        </is>
      </c>
    </row>
    <row r="9" ht="18" customHeight="1">
      <c r="A9" s="4" t="inlineStr">
        <is>
          <t>7</t>
        </is>
      </c>
      <c r="B9" s="4" t="inlineStr">
        <is>
          <t>Ruins Guardian (Elite)</t>
        </is>
      </c>
      <c r="C9" s="4" t="inlineStr">
        <is>
          <t>Armed</t>
        </is>
      </c>
      <c r="D9" s="4" t="inlineStr">
        <is>
          <t>15</t>
        </is>
      </c>
      <c r="E9" s="4" t="inlineStr">
        <is>
          <t>225</t>
        </is>
      </c>
      <c r="F9" s="4" t="inlineStr">
        <is>
          <t>23</t>
        </is>
      </c>
      <c r="G9" s="4" t="inlineStr">
        <is>
          <t>18</t>
        </is>
      </c>
      <c r="H9" s="4" t="inlineStr">
        <is>
          <t>32</t>
        </is>
      </c>
      <c r="I9" s="4" t="inlineStr">
        <is>
          <t>20</t>
        </is>
      </c>
      <c r="J9" s="4" t="inlineStr">
        <is>
          <t>26</t>
        </is>
      </c>
      <c r="K9" s="5">
        <f>15*15</f>
        <v/>
      </c>
      <c r="L9" s="4" t="inlineStr">
        <is>
          <t>Floor 5 Elite</t>
        </is>
      </c>
    </row>
    <row r="10" ht="18" customHeight="1">
      <c r="A10" s="4" t="inlineStr">
        <is>
          <t>8</t>
        </is>
      </c>
      <c r="B10" s="4" t="inlineStr">
        <is>
          <t>Fairy</t>
        </is>
      </c>
      <c r="C10" s="4" t="inlineStr">
        <is>
          <t>Magic</t>
        </is>
      </c>
      <c r="D10" s="4" t="inlineStr">
        <is>
          <t>28</t>
        </is>
      </c>
      <c r="E10" s="4" t="inlineStr">
        <is>
          <t>420</t>
        </is>
      </c>
      <c r="F10" s="4" t="inlineStr">
        <is>
          <t>38</t>
        </is>
      </c>
      <c r="G10" s="4" t="inlineStr">
        <is>
          <t>30</t>
        </is>
      </c>
      <c r="H10" s="4" t="inlineStr">
        <is>
          <t>39</t>
        </is>
      </c>
      <c r="I10" s="4" t="inlineStr">
        <is>
          <t>24</t>
        </is>
      </c>
      <c r="J10" s="4" t="inlineStr">
        <is>
          <t>31</t>
        </is>
      </c>
      <c r="K10" s="5">
        <f>28*15</f>
        <v/>
      </c>
      <c r="L10" s="4" t="inlineStr">
        <is>
          <t>Floor 22, Flying</t>
        </is>
      </c>
    </row>
    <row r="11" ht="18" customHeight="1">
      <c r="A11" s="4" t="inlineStr">
        <is>
          <t>9</t>
        </is>
      </c>
      <c r="B11" s="4" t="inlineStr">
        <is>
          <t>Demon Eye</t>
        </is>
      </c>
      <c r="C11" s="4" t="inlineStr">
        <is>
          <t>Magic</t>
        </is>
      </c>
      <c r="D11" s="4" t="inlineStr">
        <is>
          <t>72</t>
        </is>
      </c>
      <c r="E11" s="4" t="inlineStr">
        <is>
          <t>1800</t>
        </is>
      </c>
      <c r="F11" s="4" t="inlineStr">
        <is>
          <t>91</t>
        </is>
      </c>
      <c r="G11" s="4" t="inlineStr">
        <is>
          <t>69</t>
        </is>
      </c>
      <c r="H11" s="4" t="inlineStr">
        <is>
          <t>61</t>
        </is>
      </c>
      <c r="I11" s="4" t="inlineStr">
        <is>
          <t>40</t>
        </is>
      </c>
      <c r="J11" s="4" t="inlineStr">
        <is>
          <t>48</t>
        </is>
      </c>
      <c r="K11" s="5">
        <f>72*15</f>
        <v/>
      </c>
      <c r="L11" s="4" t="inlineStr">
        <is>
          <t>Floor 74, Paralyzing Gaze</t>
        </is>
      </c>
    </row>
    <row r="12" ht="18" customHeight="1">
      <c r="A12" s="4" t="inlineStr">
        <is>
          <t>10</t>
        </is>
      </c>
      <c r="B12" s="4" t="inlineStr">
        <is>
          <t>Skeleton Warrior</t>
        </is>
      </c>
      <c r="C12" s="4" t="inlineStr">
        <is>
          <t>Immortal</t>
        </is>
      </c>
      <c r="D12" s="4" t="inlineStr">
        <is>
          <t>74</t>
        </is>
      </c>
      <c r="E12" s="4" t="inlineStr">
        <is>
          <t>1850</t>
        </is>
      </c>
      <c r="F12" s="4" t="inlineStr">
        <is>
          <t>93</t>
        </is>
      </c>
      <c r="G12" s="4" t="inlineStr">
        <is>
          <t>71</t>
        </is>
      </c>
      <c r="H12" s="4" t="inlineStr">
        <is>
          <t>62</t>
        </is>
      </c>
      <c r="I12" s="4" t="inlineStr">
        <is>
          <t>40</t>
        </is>
      </c>
      <c r="J12" s="4" t="inlineStr">
        <is>
          <t>49</t>
        </is>
      </c>
      <c r="K12" s="5">
        <f>74*15</f>
        <v/>
      </c>
      <c r="L12" s="4" t="inlineStr">
        <is>
          <t>Floor 75, Poison/Bleed Immunity</t>
        </is>
      </c>
    </row>
  </sheetData>
  <mergeCells count="133">
    <mergeCell ref="D12"/>
    <mergeCell ref="L9"/>
    <mergeCell ref="I8"/>
    <mergeCell ref="D9"/>
    <mergeCell ref="A4"/>
    <mergeCell ref="F9"/>
    <mergeCell ref="H3"/>
    <mergeCell ref="C7"/>
    <mergeCell ref="J3"/>
    <mergeCell ref="B6"/>
    <mergeCell ref="E7"/>
    <mergeCell ref="I10"/>
    <mergeCell ref="L11"/>
    <mergeCell ref="K10"/>
    <mergeCell ref="H5"/>
    <mergeCell ref="B4"/>
    <mergeCell ref="G2"/>
    <mergeCell ref="I2"/>
    <mergeCell ref="H4"/>
    <mergeCell ref="K9"/>
    <mergeCell ref="A6"/>
    <mergeCell ref="F12"/>
    <mergeCell ref="H6"/>
    <mergeCell ref="J6"/>
    <mergeCell ref="K11"/>
    <mergeCell ref="G6"/>
    <mergeCell ref="C9"/>
    <mergeCell ref="B8"/>
    <mergeCell ref="E9"/>
    <mergeCell ref="L8"/>
    <mergeCell ref="A3"/>
    <mergeCell ref="I12"/>
    <mergeCell ref="K12"/>
    <mergeCell ref="E6"/>
    <mergeCell ref="H7"/>
    <mergeCell ref="C11"/>
    <mergeCell ref="J7"/>
    <mergeCell ref="B10"/>
    <mergeCell ref="K8"/>
    <mergeCell ref="E11"/>
    <mergeCell ref="L10"/>
    <mergeCell ref="A5"/>
    <mergeCell ref="B9"/>
    <mergeCell ref="D3"/>
    <mergeCell ref="G4"/>
    <mergeCell ref="I4"/>
    <mergeCell ref="K7"/>
    <mergeCell ref="J2"/>
    <mergeCell ref="B5"/>
    <mergeCell ref="D5"/>
    <mergeCell ref="K4"/>
    <mergeCell ref="F11"/>
    <mergeCell ref="J5"/>
    <mergeCell ref="E8"/>
    <mergeCell ref="H9"/>
    <mergeCell ref="G8"/>
    <mergeCell ref="J9"/>
    <mergeCell ref="B12"/>
    <mergeCell ref="L12"/>
    <mergeCell ref="F3"/>
    <mergeCell ref="A7"/>
    <mergeCell ref="C10"/>
    <mergeCell ref="E10"/>
    <mergeCell ref="G10"/>
    <mergeCell ref="L5"/>
    <mergeCell ref="G3"/>
    <mergeCell ref="J4"/>
    <mergeCell ref="I3"/>
    <mergeCell ref="L4"/>
    <mergeCell ref="D7"/>
    <mergeCell ref="A2"/>
    <mergeCell ref="C2"/>
    <mergeCell ref="E2"/>
    <mergeCell ref="G5"/>
    <mergeCell ref="I5"/>
    <mergeCell ref="D8"/>
    <mergeCell ref="H8"/>
    <mergeCell ref="J8"/>
    <mergeCell ref="E12"/>
    <mergeCell ref="G12"/>
    <mergeCell ref="I6"/>
    <mergeCell ref="L2"/>
    <mergeCell ref="C6"/>
    <mergeCell ref="H10"/>
    <mergeCell ref="F6"/>
    <mergeCell ref="J10"/>
    <mergeCell ref="C4"/>
    <mergeCell ref="E4"/>
    <mergeCell ref="L3"/>
    <mergeCell ref="D6"/>
    <mergeCell ref="G7"/>
    <mergeCell ref="I7"/>
    <mergeCell ref="B11"/>
    <mergeCell ref="D11"/>
    <mergeCell ref="K2"/>
    <mergeCell ref="A8"/>
    <mergeCell ref="D4"/>
    <mergeCell ref="C8"/>
    <mergeCell ref="H12"/>
    <mergeCell ref="J12"/>
    <mergeCell ref="L6"/>
    <mergeCell ref="A10"/>
    <mergeCell ref="K6"/>
    <mergeCell ref="G9"/>
    <mergeCell ref="I9"/>
    <mergeCell ref="K3"/>
    <mergeCell ref="A9"/>
    <mergeCell ref="C3"/>
    <mergeCell ref="F4"/>
    <mergeCell ref="E3"/>
    <mergeCell ref="B7"/>
    <mergeCell ref="L7"/>
    <mergeCell ref="D10"/>
    <mergeCell ref="G11"/>
    <mergeCell ref="F10"/>
    <mergeCell ref="B3"/>
    <mergeCell ref="K5"/>
    <mergeCell ref="A11"/>
    <mergeCell ref="I11"/>
    <mergeCell ref="C5"/>
    <mergeCell ref="E5"/>
    <mergeCell ref="F7"/>
    <mergeCell ref="B2"/>
    <mergeCell ref="D2"/>
    <mergeCell ref="F5"/>
    <mergeCell ref="F8"/>
    <mergeCell ref="A12"/>
    <mergeCell ref="F2"/>
    <mergeCell ref="C12"/>
    <mergeCell ref="H2"/>
    <mergeCell ref="A1:L1"/>
    <mergeCell ref="H11"/>
    <mergeCell ref="J11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2026-06-20T17:16:45Z</dcterms:created>
  <dcterms:modified xsi:type="dcterms:W3CDTF">2026-08-08T16:22:15Z</dcterms:modified>
</cp:coreProperties>
</file>