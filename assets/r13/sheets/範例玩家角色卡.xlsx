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凡人1_維克托·哈爾" sheetId="1" state="visible" r:id="rId1"/>
    <sheet name="凡人2_艾琳·瓦爾" sheetId="2" state="visible" r:id="rId2"/>
    <sheet name="凡人3_卡爾文·暗影" sheetId="3" state="visible" r:id="rId3"/>
    <sheet name="凡人4_伊利亞·虛空" sheetId="4" state="visible" r:id="rId4"/>
    <sheet name="凡人5_馬庫斯·灰" sheetId="5" state="visible" r:id="rId5"/>
    <sheet name="凡人6_格蕾塔·科爾" sheetId="6" state="visible" r:id="rId6"/>
    <sheet name="凡人7_托拜厄斯·鏽" sheetId="7" state="visible" r:id="rId7"/>
    <sheet name="阿斯塔特1_兄長 賽維林" sheetId="8" state="visible" r:id="rId8"/>
    <sheet name="阿斯塔特2_兄長 鐵心" sheetId="9" state="visible" r:id="rId9"/>
    <sheet name="阿斯塔特3_兄長 影行者" sheetId="10" state="visible" r:id="rId10"/>
    <sheet name="阿斯塔特4_兄長 狼嚎" sheetId="11" state="visible" r:id="rId11"/>
    <sheet name="阿斯塔特5_兄長 亞茲拉爾" sheetId="12" state="visible" r:id="rId12"/>
    <sheet name="阿斯塔特6_兄長 費魯斯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6"/>
    </font>
    <font>
      <name val="Arial"/>
      <b val="1"/>
      <sz val="10"/>
    </font>
    <font>
      <name val="Arial"/>
      <b val="1"/>
      <color rgb="00FFFFFF"/>
      <sz val="12"/>
    </font>
    <font>
      <name val="Arial"/>
      <sz val="10"/>
    </font>
    <font>
      <name val="Arial"/>
      <i val="1"/>
      <sz val="9"/>
    </font>
  </fonts>
  <fills count="6">
    <fill>
      <patternFill/>
    </fill>
    <fill>
      <patternFill patternType="gray125"/>
    </fill>
    <fill>
      <patternFill patternType="solid">
        <fgColor rgb="00434343"/>
        <bgColor rgb="00434343"/>
      </patternFill>
    </fill>
    <fill>
      <patternFill patternType="solid">
        <fgColor rgb="00FFF2CC"/>
        <bgColor rgb="00FFF2CC"/>
      </patternFill>
    </fill>
    <fill>
      <patternFill patternType="solid">
        <fgColor rgb="00666666"/>
        <bgColor rgb="00666666"/>
      </patternFill>
    </fill>
    <fill>
      <patternFill patternType="solid">
        <fgColor rgb="00D9EAD3"/>
        <bgColor rgb="00D9EAD3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6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帝國棄子 TRPG — 維克托·哈爾</t>
        </is>
      </c>
      <c r="B1" s="9" t="n"/>
      <c r="C1" s="9" t="n"/>
      <c r="D1" s="9" t="n"/>
      <c r="E1" s="9" t="n"/>
      <c r="F1" s="9" t="n"/>
      <c r="G1" s="9" t="n"/>
      <c r="H1" s="10" t="n"/>
    </row>
    <row r="2"/>
    <row r="3">
      <c r="A3" s="3" t="inlineStr">
        <is>
          <t>角色名稱</t>
        </is>
      </c>
      <c r="B3" s="4" t="inlineStr">
        <is>
          <t>維克托·哈爾</t>
        </is>
      </c>
      <c r="C3" s="3" t="inlineStr">
        <is>
          <t>前身職業</t>
        </is>
      </c>
      <c r="D3" s="4" t="inlineStr">
        <is>
          <t>星界軍退伍兵</t>
        </is>
      </c>
      <c r="E3" s="3" t="inlineStr">
        <is>
          <t>罪名</t>
        </is>
      </c>
      <c r="F3" s="4" t="inlineStr">
        <is>
          <t>逃兵</t>
        </is>
      </c>
    </row>
    <row r="4"/>
    <row r="5">
      <c r="A5" s="5" t="inlineStr">
        <is>
          <t>五大屬性（數值 1-5）</t>
        </is>
      </c>
      <c r="B5" s="9" t="n"/>
      <c r="C5" s="9" t="n"/>
      <c r="D5" s="9" t="n"/>
      <c r="E5" s="9" t="n"/>
      <c r="F5" s="9" t="n"/>
      <c r="G5" s="9" t="n"/>
      <c r="H5" s="10" t="n"/>
    </row>
    <row r="6">
      <c r="A6" s="3" t="inlineStr">
        <is>
          <t>信仰</t>
        </is>
      </c>
      <c r="B6" s="4" t="n">
        <v>2</v>
      </c>
      <c r="C6" s="3" t="inlineStr"/>
    </row>
    <row r="7">
      <c r="A7" s="3" t="inlineStr">
        <is>
          <t>體魄</t>
        </is>
      </c>
      <c r="B7" s="4" t="n">
        <v>4</v>
      </c>
      <c r="C7" s="3" t="inlineStr"/>
    </row>
    <row r="8">
      <c r="A8" s="3" t="inlineStr">
        <is>
          <t>心智</t>
        </is>
      </c>
      <c r="B8" s="4" t="n">
        <v>2</v>
      </c>
      <c r="C8" s="3" t="inlineStr"/>
    </row>
    <row r="9">
      <c r="A9" s="3" t="inlineStr">
        <is>
          <t>技藝</t>
        </is>
      </c>
      <c r="B9" s="4" t="n">
        <v>4</v>
      </c>
      <c r="C9" s="3" t="inlineStr"/>
    </row>
    <row r="10">
      <c r="A10" s="3" t="inlineStr">
        <is>
          <t>命運</t>
        </is>
      </c>
      <c r="B10" s="4" t="n">
        <v>3</v>
      </c>
      <c r="C10" s="3" t="inlineStr"/>
    </row>
    <row r="11"/>
    <row r="12">
      <c r="A12" s="5" t="inlineStr">
        <is>
          <t>衍生屬性（自動計算）</t>
        </is>
      </c>
      <c r="B12" s="9" t="n"/>
      <c r="C12" s="9" t="n"/>
      <c r="D12" s="9" t="n"/>
      <c r="E12" s="9" t="n"/>
      <c r="F12" s="9" t="n"/>
      <c r="G12" s="9" t="n"/>
      <c r="H12" s="10" t="n"/>
    </row>
    <row r="13"/>
    <row r="14">
      <c r="A14" s="3" t="inlineStr">
        <is>
          <t>生命值（HP）（生命值）</t>
        </is>
      </c>
      <c r="B14" s="7">
        <f>B7*4+5</f>
        <v/>
      </c>
      <c r="C14" s="3" t="inlineStr">
        <is>
          <t>當前 生命值（HP）</t>
        </is>
      </c>
      <c r="D14" s="4" t="n"/>
    </row>
    <row r="15">
      <c r="A15" s="3" t="inlineStr">
        <is>
          <t>信仰池</t>
        </is>
      </c>
      <c r="B15" s="7">
        <f>B6*3+5</f>
        <v/>
      </c>
      <c r="C15" s="3" t="inlineStr">
        <is>
          <t>當前信仰</t>
        </is>
      </c>
      <c r="D15" s="4" t="n"/>
    </row>
    <row r="16">
      <c r="A16" s="3" t="inlineStr">
        <is>
          <t>腐化值（0-100）</t>
        </is>
      </c>
      <c r="B16" s="4" t="n"/>
      <c r="C16" s="3" t="inlineStr">
        <is>
          <t>創傷上限</t>
        </is>
      </c>
      <c r="D16" s="7">
        <f>B8*2+3</f>
        <v/>
      </c>
    </row>
    <row r="17">
      <c r="A17" s="3" t="inlineStr">
        <is>
          <t>防禦值</t>
        </is>
      </c>
      <c r="B17" s="7">
        <f>ROUNDUP(B9/2,0)+G27</f>
        <v/>
      </c>
      <c r="C17" s="3" t="inlineStr">
        <is>
          <t>先攻基礎</t>
        </is>
      </c>
      <c r="D17" s="7">
        <f>B8+B9</f>
        <v/>
      </c>
    </row>
    <row r="18">
      <c r="A18" s="3" t="inlineStr">
        <is>
          <t>移動速度(m)</t>
        </is>
      </c>
      <c r="B18" s="7">
        <f>6+B7/2</f>
        <v/>
      </c>
      <c r="C18" s="3" t="inlineStr">
        <is>
          <t>負重上限(kg)</t>
        </is>
      </c>
      <c r="D18" s="7">
        <f>B7*10+20</f>
        <v/>
      </c>
    </row>
    <row r="19">
      <c r="A19" s="3" t="inlineStr">
        <is>
          <t>心靈護盾</t>
        </is>
      </c>
      <c r="B19" s="7">
        <f>B8+B6/2</f>
        <v/>
      </c>
      <c r="C19" s="3" t="inlineStr">
        <is>
          <t>命運點</t>
        </is>
      </c>
      <c r="D19" s="7">
        <f>B10</f>
        <v/>
      </c>
    </row>
    <row r="20">
      <c r="A20" s="3" t="inlineStr">
        <is>
          <t>生命值（HP） 健康 &gt;75%</t>
        </is>
      </c>
      <c r="B20" s="7">
        <f>B7*4+5</f>
        <v/>
      </c>
      <c r="C20" s="3" t="inlineStr">
        <is>
          <t>重傷 &lt;50%</t>
        </is>
      </c>
      <c r="D20" s="7">
        <f>ROUND((B7*4+5)/2,0)</f>
        <v/>
      </c>
    </row>
    <row r="21">
      <c r="A21" s="3" t="inlineStr">
        <is>
          <t>輕傷 &lt;75%</t>
        </is>
      </c>
      <c r="B21" s="7">
        <f>ROUND((B7*4+5)*0.75,0)</f>
        <v/>
      </c>
      <c r="C21" s="3" t="inlineStr">
        <is>
          <t>瀕死 &lt;25%</t>
        </is>
      </c>
      <c r="D21" s="7">
        <f>ROUND((B7*4+5)*0.25,0)</f>
        <v/>
      </c>
    </row>
    <row r="22"/>
    <row r="23">
      <c r="A23" s="5" t="inlineStr">
        <is>
          <t>武器裝備</t>
        </is>
      </c>
      <c r="B23" s="9" t="n"/>
      <c r="C23" s="9" t="n"/>
      <c r="D23" s="9" t="n"/>
      <c r="E23" s="9" t="n"/>
      <c r="F23" s="9" t="n"/>
      <c r="G23" s="9" t="n"/>
      <c r="H23" s="10" t="n"/>
    </row>
    <row r="24">
      <c r="A24" s="3" t="inlineStr">
        <is>
          <t>主武器名稱</t>
        </is>
      </c>
      <c r="B24" s="4" t="n"/>
      <c r="C24" s="3" t="inlineStr">
        <is>
          <t>基礎傷害</t>
        </is>
      </c>
      <c r="D24" s="4" t="n"/>
    </row>
    <row r="25">
      <c r="A25" s="3" t="inlineStr">
        <is>
          <t>傷害類型</t>
        </is>
      </c>
      <c r="B25" s="4" t="n"/>
      <c r="C25" s="3" t="inlineStr">
        <is>
          <t>彈匣容量</t>
        </is>
      </c>
      <c r="D25" s="4" t="n"/>
    </row>
    <row r="26">
      <c r="A26" s="3" t="inlineStr">
        <is>
          <t>副武器名稱</t>
        </is>
      </c>
      <c r="B26" s="4" t="n"/>
      <c r="C26" s="3" t="inlineStr">
        <is>
          <t>基礎傷害</t>
        </is>
      </c>
      <c r="D26" s="4" t="n"/>
    </row>
    <row r="27">
      <c r="A27" s="3" t="inlineStr">
        <is>
          <t>護甲名稱</t>
        </is>
      </c>
      <c r="B27" s="4" t="n"/>
      <c r="C27" s="3" t="inlineStr">
        <is>
          <t>護甲值（AR） 彈道</t>
        </is>
      </c>
      <c r="D27" s="4" t="n"/>
    </row>
    <row r="28">
      <c r="A28" s="3" t="inlineStr">
        <is>
          <t>護甲值（AR） 能量</t>
        </is>
      </c>
      <c r="B28" s="4" t="n"/>
      <c r="C28" s="3" t="inlineStr">
        <is>
          <t>護甲值（AR） 爆炸</t>
        </is>
      </c>
      <c r="D28" s="4" t="n"/>
    </row>
    <row r="29">
      <c r="A29" s="3" t="inlineStr">
        <is>
          <t>護甲值（AR） 撕裂</t>
        </is>
      </c>
      <c r="B29" s="4" t="n"/>
      <c r="C29" s="3" t="inlineStr">
        <is>
          <t>護甲值（AR） 火焰</t>
        </is>
      </c>
      <c r="D29" s="4" t="n"/>
    </row>
    <row r="30">
      <c r="A30" s="3" t="inlineStr">
        <is>
          <t>護甲防禦加值</t>
        </is>
      </c>
      <c r="B30" s="4" t="n"/>
    </row>
    <row r="31">
      <c r="A31" s="3" t="inlineStr">
        <is>
          <t>近戰攻擊 目標值（TN）</t>
        </is>
      </c>
      <c r="B31" s="7">
        <f>B7*10</f>
        <v/>
      </c>
      <c r="C31" s="3" t="inlineStr">
        <is>
          <t>遠程攻擊 目標值（TN）</t>
        </is>
      </c>
      <c r="D31" s="7">
        <f>B9*10</f>
        <v/>
      </c>
    </row>
    <row r="32"/>
    <row r="33">
      <c r="A33" s="5" t="inlineStr">
        <is>
          <t>技能（U=未受訓0 / T=受訓+10 / E=專家+20 / M=大師+30）</t>
        </is>
      </c>
      <c r="B33" s="9" t="n"/>
      <c r="C33" s="9" t="n"/>
      <c r="D33" s="9" t="n"/>
      <c r="E33" s="9" t="n"/>
      <c r="F33" s="9" t="n"/>
      <c r="G33" s="9" t="n"/>
      <c r="H33" s="10" t="n"/>
    </row>
    <row r="34">
      <c r="A34" s="3" t="inlineStr">
        <is>
          <t>技能名稱</t>
        </is>
      </c>
      <c r="B34" s="3" t="inlineStr">
        <is>
          <t>等級(U/T/E/M)</t>
        </is>
      </c>
      <c r="C34" s="3" t="inlineStr">
        <is>
          <t>加值</t>
        </is>
      </c>
      <c r="D34" s="3" t="inlineStr">
        <is>
          <t>主要屬性 目標值（TN）</t>
        </is>
      </c>
      <c r="E34" s="3" t="inlineStr">
        <is>
          <t>技能TN(標準)</t>
        </is>
      </c>
    </row>
    <row r="35">
      <c r="A35" s="8" t="inlineStr">
        <is>
          <t>運動(Athletics)</t>
        </is>
      </c>
      <c r="B35" s="4" t="n"/>
      <c r="C35" s="7">
        <f>IF(B35="T",10,IF(B35="E",20,IF(B35="M",30,0)))</f>
        <v/>
      </c>
      <c r="D35" s="7">
        <f>B7*10</f>
        <v/>
      </c>
      <c r="E35" s="7">
        <f>D35+C35</f>
        <v/>
      </c>
    </row>
    <row r="36">
      <c r="A36" s="8" t="inlineStr">
        <is>
          <t>近戰(Weapon Skill)</t>
        </is>
      </c>
      <c r="B36" s="4" t="n"/>
      <c r="C36" s="7">
        <f>IF(B36="T",10,IF(B36="E",20,IF(B36="M",30,0)))</f>
        <v/>
      </c>
      <c r="D36" s="7">
        <f>B7*10</f>
        <v/>
      </c>
      <c r="E36" s="7">
        <f>D36+C36</f>
        <v/>
      </c>
    </row>
    <row r="37">
      <c r="A37" s="8" t="inlineStr">
        <is>
          <t>堅韌(Endurance)</t>
        </is>
      </c>
      <c r="B37" s="4" t="n"/>
      <c r="C37" s="7">
        <f>IF(B37="T",10,IF(B37="E",20,IF(B37="M",30,0)))</f>
        <v/>
      </c>
      <c r="D37" s="7">
        <f>B7*10</f>
        <v/>
      </c>
      <c r="E37" s="7">
        <f>D37+C37</f>
        <v/>
      </c>
    </row>
    <row r="38">
      <c r="A38" s="8" t="inlineStr">
        <is>
          <t>警覺(Awareness)</t>
        </is>
      </c>
      <c r="B38" s="4" t="n"/>
      <c r="C38" s="7">
        <f>IF(B38="T",10,IF(B38="E",20,IF(B38="M",30,0)))</f>
        <v/>
      </c>
      <c r="D38" s="7">
        <f>B8*10</f>
        <v/>
      </c>
      <c r="E38" s="7">
        <f>D38+C38</f>
        <v/>
      </c>
    </row>
    <row r="39">
      <c r="A39" s="8" t="inlineStr">
        <is>
          <t>調查(Investigation)</t>
        </is>
      </c>
      <c r="B39" s="4" t="n"/>
      <c r="C39" s="7">
        <f>IF(B39="T",10,IF(B39="E",20,IF(B39="M",30,0)))</f>
        <v/>
      </c>
      <c r="D39" s="7">
        <f>B8*10</f>
        <v/>
      </c>
      <c r="E39" s="7">
        <f>D39+C39</f>
        <v/>
      </c>
    </row>
    <row r="40">
      <c r="A40" s="8" t="inlineStr">
        <is>
          <t>學識(Lore)</t>
        </is>
      </c>
      <c r="B40" s="4" t="n"/>
      <c r="C40" s="7">
        <f>IF(B40="T",10,IF(B40="E",20,IF(B40="M",30,0)))</f>
        <v/>
      </c>
      <c r="D40" s="7">
        <f>B8*10</f>
        <v/>
      </c>
      <c r="E40" s="7">
        <f>D40+C40</f>
        <v/>
      </c>
    </row>
    <row r="41">
      <c r="A41" s="8" t="inlineStr">
        <is>
          <t>醫療(Medicae)</t>
        </is>
      </c>
      <c r="B41" s="4" t="n"/>
      <c r="C41" s="7">
        <f>IF(B41="T",10,IF(B41="E",20,IF(B41="M",30,0)))</f>
        <v/>
      </c>
      <c r="D41" s="7">
        <f>B8*10</f>
        <v/>
      </c>
      <c r="E41" s="7">
        <f>D41+C41</f>
        <v/>
      </c>
    </row>
    <row r="42">
      <c r="A42" s="8" t="inlineStr">
        <is>
          <t>靈能感知(Psyniscience)</t>
        </is>
      </c>
      <c r="B42" s="4" t="n"/>
      <c r="C42" s="7">
        <f>IF(B42="T",10,IF(B42="E",20,IF(B42="M",30,0)))</f>
        <v/>
      </c>
      <c r="D42" s="7">
        <f>B6*10</f>
        <v/>
      </c>
      <c r="E42" s="7">
        <f>D42+C42</f>
        <v/>
      </c>
    </row>
    <row r="43">
      <c r="A43" s="8" t="inlineStr">
        <is>
          <t>佈道(Oratory)</t>
        </is>
      </c>
      <c r="B43" s="4" t="n"/>
      <c r="C43" s="7">
        <f>IF(B43="T",10,IF(B43="E",20,IF(B43="M",30,0)))</f>
        <v/>
      </c>
      <c r="D43" s="7">
        <f>B6*10</f>
        <v/>
      </c>
      <c r="E43" s="7">
        <f>D43+C43</f>
        <v/>
      </c>
    </row>
    <row r="44">
      <c r="A44" s="8" t="inlineStr">
        <is>
          <t>遠程射擊(Ballistic)</t>
        </is>
      </c>
      <c r="B44" s="4" t="n"/>
      <c r="C44" s="7">
        <f>IF(B44="T",10,IF(B44="E",20,IF(B44="M",30,0)))</f>
        <v/>
      </c>
      <c r="D44" s="7">
        <f>B9*10</f>
        <v/>
      </c>
      <c r="E44" s="7">
        <f>D44+C44</f>
        <v/>
      </c>
    </row>
    <row r="45">
      <c r="A45" s="8" t="inlineStr">
        <is>
          <t>技術(Tech-Use)</t>
        </is>
      </c>
      <c r="B45" s="4" t="n"/>
      <c r="C45" s="7">
        <f>IF(B45="T",10,IF(B45="E",20,IF(B45="M",30,0)))</f>
        <v/>
      </c>
      <c r="D45" s="7">
        <f>B9*10</f>
        <v/>
      </c>
      <c r="E45" s="7">
        <f>D45+C45</f>
        <v/>
      </c>
    </row>
    <row r="46">
      <c r="A46" s="8" t="inlineStr">
        <is>
          <t>潛行(Stealth)</t>
        </is>
      </c>
      <c r="B46" s="4" t="n"/>
      <c r="C46" s="7">
        <f>IF(B46="T",10,IF(B46="E",20,IF(B46="M",30,0)))</f>
        <v/>
      </c>
      <c r="D46" s="7">
        <f>B9*10</f>
        <v/>
      </c>
      <c r="E46" s="7">
        <f>D46+C46</f>
        <v/>
      </c>
    </row>
    <row r="47">
      <c r="A47" s="8" t="inlineStr">
        <is>
          <t>指揮(Command)</t>
        </is>
      </c>
      <c r="B47" s="4" t="n"/>
      <c r="C47" s="7">
        <f>IF(B47="T",10,IF(B47="E",20,IF(B47="M",30,0)))</f>
        <v/>
      </c>
      <c r="D47" s="7">
        <f>B10*10</f>
        <v/>
      </c>
      <c r="E47" s="7">
        <f>D47+C47</f>
        <v/>
      </c>
    </row>
    <row r="48">
      <c r="A48" s="8" t="inlineStr">
        <is>
          <t>欺瞞(Deceive)</t>
        </is>
      </c>
      <c r="B48" s="4" t="n"/>
      <c r="C48" s="7">
        <f>IF(B48="T",10,IF(B48="E",20,IF(B48="M",30,0)))</f>
        <v/>
      </c>
      <c r="D48" s="7">
        <f>B10*10</f>
        <v/>
      </c>
      <c r="E48" s="7">
        <f>D48+C48</f>
        <v/>
      </c>
    </row>
    <row r="49"/>
    <row r="50">
      <c r="A50" s="5" t="inlineStr">
        <is>
          <t>判詞與底線</t>
        </is>
      </c>
      <c r="B50" s="9" t="n"/>
      <c r="C50" s="9" t="n"/>
      <c r="D50" s="9" t="n"/>
      <c r="E50" s="9" t="n"/>
      <c r="F50" s="9" t="n"/>
      <c r="G50" s="9" t="n"/>
      <c r="H50" s="10" t="n"/>
    </row>
    <row r="51">
      <c r="A51" s="3" t="inlineStr">
        <is>
          <t>判詞特殊能力</t>
        </is>
      </c>
      <c r="B51" s="4" t="n"/>
      <c r="C51" s="9" t="n"/>
      <c r="D51" s="9" t="n"/>
      <c r="E51" s="9" t="n"/>
      <c r="F51" s="10" t="n"/>
    </row>
    <row r="52"/>
    <row r="53">
      <c r="A53" s="3" t="inlineStr">
        <is>
          <t>贖罪條件</t>
        </is>
      </c>
      <c r="B53" s="4" t="n"/>
      <c r="C53" s="9" t="n"/>
      <c r="D53" s="9" t="n"/>
      <c r="E53" s="9" t="n"/>
      <c r="F53" s="10" t="n"/>
    </row>
    <row r="54"/>
    <row r="55">
      <c r="A55" s="3" t="inlineStr">
        <is>
          <t>我的底線 (Red Line)</t>
        </is>
      </c>
      <c r="B55" s="4" t="n"/>
      <c r="C55" s="9" t="n"/>
      <c r="D55" s="9" t="n"/>
      <c r="E55" s="9" t="n"/>
      <c r="F55" s="10" t="n"/>
    </row>
    <row r="56"/>
    <row r="57">
      <c r="A57" s="3" t="inlineStr">
        <is>
          <t>個人裝備/物品</t>
        </is>
      </c>
      <c r="B57" s="4" t="n"/>
      <c r="C57" s="9" t="n"/>
      <c r="D57" s="9" t="n"/>
      <c r="E57" s="9" t="n"/>
      <c r="F57" s="10" t="n"/>
    </row>
    <row r="58"/>
    <row r="59">
      <c r="A59" s="3" t="inlineStr">
        <is>
          <t>帝皇/混沌印記</t>
        </is>
      </c>
      <c r="B59" s="4" t="n"/>
      <c r="C59" s="9" t="n"/>
      <c r="D59" s="9" t="n"/>
      <c r="E59" s="9" t="n"/>
      <c r="F59" s="10" t="n"/>
    </row>
    <row r="60"/>
    <row r="61">
      <c r="A61" s="11" t="inlineStr">
        <is>
          <t>背景：曾是帝國衛隊中士，在一次混沌攻勢前撤退導致連隊全滅。用剩下的日子來證明自己不是懦夫。</t>
        </is>
      </c>
      <c r="H61" s="12" t="n"/>
    </row>
    <row r="62">
      <c r="A62" s="14" t="n"/>
      <c r="B62" s="13" t="n"/>
      <c r="C62" s="13" t="n"/>
      <c r="D62" s="13" t="n"/>
      <c r="E62" s="13" t="n"/>
      <c r="F62" s="13" t="n"/>
      <c r="G62" s="13" t="n"/>
      <c r="H62" s="14" t="n"/>
    </row>
    <row r="63">
      <c r="A63" s="15" t="inlineStr">
        <is>
          <t>• TN上限=95：任何檢定TN不得超過95（96-00永遠失敗）</t>
        </is>
      </c>
    </row>
    <row r="64">
      <c r="A64" s="15" t="inlineStr">
        <is>
          <t>• 信仰歸零→「靈魂的黑夜」：立即信念危機、無法使用信仰、每日腐化+1</t>
        </is>
      </c>
    </row>
    <row r="65">
      <c r="A65" s="15" t="inlineStr">
        <is>
          <t>• 創傷：單次傷害超過創傷上限時觸發（輕微/中等/重創/致命）</t>
        </is>
      </c>
    </row>
    <row r="66">
      <c r="A66" s="15" t="inlineStr">
        <is>
          <t>• 醫療包：恢復 2d6 生命值（HP）。每次任務小隊共享 3 次使用。軍需官購買 15 帝皇幣（TG）（限購 2）</t>
        </is>
      </c>
    </row>
    <row r="67">
      <c r="A67" s="15" t="inlineStr">
        <is>
          <t>• 生命值（HP） 狀態：健康&gt;75% / 輕傷50-75% / 重傷25-50%(物理劣勢) / 瀕死&lt;25%</t>
        </is>
      </c>
    </row>
    <row r="68">
      <c r="A68" s="15" t="inlineStr">
        <is>
          <t>• 任務間恢復：HP自動回滿、信仰恢復 1d6+信仰值、腐化不自動降低</t>
        </is>
      </c>
    </row>
    <row r="69">
      <c r="A69" s="15" t="inlineStr">
        <is>
          <t>• 彈藥配給：每人 2 彈匣。額外彈匣 15 帝皇幣（TG）。搜刮：技藝檢定（標準）</t>
        </is>
      </c>
    </row>
    <row r="70">
      <c r="A70" s="15" t="inlineStr">
        <is>
          <t>• 環境傷害：見 GM 指南——火焰/墜落/毒氣/輻射/真空 速查表</t>
        </is>
      </c>
    </row>
  </sheetData>
  <mergeCells count="21">
    <mergeCell ref="A67:H67"/>
    <mergeCell ref="B59:F59"/>
    <mergeCell ref="A64:H64"/>
    <mergeCell ref="A1:H1"/>
    <mergeCell ref="A70:H70"/>
    <mergeCell ref="A69:H69"/>
    <mergeCell ref="A65:H65"/>
    <mergeCell ref="A66:H66"/>
    <mergeCell ref="B57:F57"/>
    <mergeCell ref="A12:H12"/>
    <mergeCell ref="A50:H50"/>
    <mergeCell ref="B53:F53"/>
    <mergeCell ref="A33:H33"/>
    <mergeCell ref="A5:H5"/>
    <mergeCell ref="A23:H23"/>
    <mergeCell ref="A61:H62"/>
    <mergeCell ref="A62:H62"/>
    <mergeCell ref="B55:F55"/>
    <mergeCell ref="A63:H63"/>
    <mergeCell ref="B51:F51"/>
    <mergeCell ref="A68:H6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帝國棄子 TRPG — 艾琳·瓦爾</t>
        </is>
      </c>
      <c r="B1" s="9" t="n"/>
      <c r="C1" s="9" t="n"/>
      <c r="D1" s="9" t="n"/>
      <c r="E1" s="9" t="n"/>
      <c r="F1" s="9" t="n"/>
      <c r="G1" s="9" t="n"/>
      <c r="H1" s="10" t="n"/>
    </row>
    <row r="2"/>
    <row r="3">
      <c r="A3" s="3" t="inlineStr">
        <is>
          <t>角色名稱</t>
        </is>
      </c>
      <c r="B3" s="4" t="inlineStr">
        <is>
          <t>艾琳·瓦爾</t>
        </is>
      </c>
      <c r="C3" s="3" t="inlineStr">
        <is>
          <t>前身職業</t>
        </is>
      </c>
      <c r="D3" s="4" t="inlineStr">
        <is>
          <t>國教助祭</t>
        </is>
      </c>
      <c r="E3" s="3" t="inlineStr">
        <is>
          <t>罪名</t>
        </is>
      </c>
      <c r="F3" s="4" t="inlineStr">
        <is>
          <t>異端</t>
        </is>
      </c>
    </row>
    <row r="4"/>
    <row r="5">
      <c r="A5" s="5" t="inlineStr">
        <is>
          <t>五大屬性（數值 1-5）</t>
        </is>
      </c>
      <c r="B5" s="9" t="n"/>
      <c r="C5" s="9" t="n"/>
      <c r="D5" s="9" t="n"/>
      <c r="E5" s="9" t="n"/>
      <c r="F5" s="9" t="n"/>
      <c r="G5" s="9" t="n"/>
      <c r="H5" s="10" t="n"/>
    </row>
    <row r="6">
      <c r="A6" s="3" t="inlineStr">
        <is>
          <t>信仰</t>
        </is>
      </c>
      <c r="B6" s="4" t="n">
        <v>5</v>
      </c>
      <c r="C6" s="3" t="inlineStr"/>
    </row>
    <row r="7">
      <c r="A7" s="3" t="inlineStr">
        <is>
          <t>體魄</t>
        </is>
      </c>
      <c r="B7" s="4" t="n">
        <v>2</v>
      </c>
      <c r="C7" s="3" t="inlineStr"/>
    </row>
    <row r="8">
      <c r="A8" s="3" t="inlineStr">
        <is>
          <t>心智</t>
        </is>
      </c>
      <c r="B8" s="4" t="n">
        <v>3</v>
      </c>
      <c r="C8" s="3" t="inlineStr"/>
    </row>
    <row r="9">
      <c r="A9" s="3" t="inlineStr">
        <is>
          <t>技藝</t>
        </is>
      </c>
      <c r="B9" s="4" t="n">
        <v>2</v>
      </c>
      <c r="C9" s="3" t="inlineStr"/>
    </row>
    <row r="10">
      <c r="A10" s="3" t="inlineStr">
        <is>
          <t>命運</t>
        </is>
      </c>
      <c r="B10" s="4" t="n">
        <v>3</v>
      </c>
      <c r="C10" s="3" t="inlineStr"/>
    </row>
    <row r="11"/>
    <row r="12">
      <c r="A12" s="5" t="inlineStr">
        <is>
          <t>衍生屬性（自動計算）</t>
        </is>
      </c>
      <c r="B12" s="9" t="n"/>
      <c r="C12" s="9" t="n"/>
      <c r="D12" s="9" t="n"/>
      <c r="E12" s="9" t="n"/>
      <c r="F12" s="9" t="n"/>
      <c r="G12" s="9" t="n"/>
      <c r="H12" s="10" t="n"/>
    </row>
    <row r="13"/>
    <row r="14">
      <c r="A14" s="3" t="inlineStr">
        <is>
          <t>生命值（HP）（生命值）</t>
        </is>
      </c>
      <c r="B14" s="7">
        <f>B7*4+5</f>
        <v/>
      </c>
      <c r="C14" s="3" t="inlineStr">
        <is>
          <t>當前 生命值（HP）</t>
        </is>
      </c>
      <c r="D14" s="4" t="n"/>
    </row>
    <row r="15">
      <c r="A15" s="3" t="inlineStr">
        <is>
          <t>信仰池</t>
        </is>
      </c>
      <c r="B15" s="7">
        <f>B6*3+5</f>
        <v/>
      </c>
      <c r="C15" s="3" t="inlineStr">
        <is>
          <t>當前信仰</t>
        </is>
      </c>
      <c r="D15" s="4" t="n"/>
    </row>
    <row r="16">
      <c r="A16" s="3" t="inlineStr">
        <is>
          <t>腐化值（0-100）</t>
        </is>
      </c>
      <c r="B16" s="4" t="n"/>
      <c r="C16" s="3" t="inlineStr">
        <is>
          <t>創傷上限</t>
        </is>
      </c>
      <c r="D16" s="7">
        <f>B8*2+3</f>
        <v/>
      </c>
    </row>
    <row r="17">
      <c r="A17" s="3" t="inlineStr">
        <is>
          <t>防禦值</t>
        </is>
      </c>
      <c r="B17" s="7">
        <f>ROUNDUP(B9/2,0)+G27</f>
        <v/>
      </c>
      <c r="C17" s="3" t="inlineStr">
        <is>
          <t>先攻基礎</t>
        </is>
      </c>
      <c r="D17" s="7">
        <f>B8+B9</f>
        <v/>
      </c>
    </row>
    <row r="18">
      <c r="A18" s="3" t="inlineStr">
        <is>
          <t>移動速度(m)</t>
        </is>
      </c>
      <c r="B18" s="7">
        <f>6+B7/2</f>
        <v/>
      </c>
      <c r="C18" s="3" t="inlineStr">
        <is>
          <t>負重上限(kg)</t>
        </is>
      </c>
      <c r="D18" s="7">
        <f>B7*10+20</f>
        <v/>
      </c>
    </row>
    <row r="19">
      <c r="A19" s="3" t="inlineStr">
        <is>
          <t>心靈護盾</t>
        </is>
      </c>
      <c r="B19" s="7">
        <f>B8+B6/2</f>
        <v/>
      </c>
      <c r="C19" s="3" t="inlineStr">
        <is>
          <t>命運點</t>
        </is>
      </c>
      <c r="D19" s="7">
        <f>B10</f>
        <v/>
      </c>
    </row>
    <row r="20">
      <c r="A20" s="3" t="inlineStr">
        <is>
          <t>生命值（HP） 健康 &gt;75%</t>
        </is>
      </c>
      <c r="B20" s="7">
        <f>B7*4+5</f>
        <v/>
      </c>
      <c r="C20" s="3" t="inlineStr">
        <is>
          <t>重傷 &lt;50%</t>
        </is>
      </c>
      <c r="D20" s="7">
        <f>ROUND((B7*4+5)/2,0)</f>
        <v/>
      </c>
    </row>
    <row r="21">
      <c r="A21" s="3" t="inlineStr">
        <is>
          <t>輕傷 &lt;75%</t>
        </is>
      </c>
      <c r="B21" s="7">
        <f>ROUND((B7*4+5)*0.75,0)</f>
        <v/>
      </c>
      <c r="C21" s="3" t="inlineStr">
        <is>
          <t>瀕死 &lt;25%</t>
        </is>
      </c>
      <c r="D21" s="7">
        <f>ROUND((B7*4+5)*0.25,0)</f>
        <v/>
      </c>
    </row>
    <row r="22"/>
    <row r="23">
      <c r="A23" s="5" t="inlineStr">
        <is>
          <t>武器裝備</t>
        </is>
      </c>
      <c r="B23" s="9" t="n"/>
      <c r="C23" s="9" t="n"/>
      <c r="D23" s="9" t="n"/>
      <c r="E23" s="9" t="n"/>
      <c r="F23" s="9" t="n"/>
      <c r="G23" s="9" t="n"/>
      <c r="H23" s="10" t="n"/>
    </row>
    <row r="24">
      <c r="A24" s="3" t="inlineStr">
        <is>
          <t>主武器名稱</t>
        </is>
      </c>
      <c r="B24" s="4" t="n"/>
      <c r="C24" s="3" t="inlineStr">
        <is>
          <t>基礎傷害</t>
        </is>
      </c>
      <c r="D24" s="4" t="n"/>
    </row>
    <row r="25">
      <c r="A25" s="3" t="inlineStr">
        <is>
          <t>傷害類型</t>
        </is>
      </c>
      <c r="B25" s="4" t="n"/>
      <c r="C25" s="3" t="inlineStr">
        <is>
          <t>彈匣容量</t>
        </is>
      </c>
      <c r="D25" s="4" t="n"/>
    </row>
    <row r="26">
      <c r="A26" s="3" t="inlineStr">
        <is>
          <t>副武器名稱</t>
        </is>
      </c>
      <c r="B26" s="4" t="n"/>
      <c r="C26" s="3" t="inlineStr">
        <is>
          <t>基礎傷害</t>
        </is>
      </c>
      <c r="D26" s="4" t="n"/>
    </row>
    <row r="27">
      <c r="A27" s="3" t="inlineStr">
        <is>
          <t>護甲名稱</t>
        </is>
      </c>
      <c r="B27" s="4" t="n"/>
      <c r="C27" s="3" t="inlineStr">
        <is>
          <t>護甲值（AR） 彈道</t>
        </is>
      </c>
      <c r="D27" s="4" t="n"/>
    </row>
    <row r="28">
      <c r="A28" s="3" t="inlineStr">
        <is>
          <t>護甲值（AR） 能量</t>
        </is>
      </c>
      <c r="B28" s="4" t="n"/>
      <c r="C28" s="3" t="inlineStr">
        <is>
          <t>護甲值（AR） 爆炸</t>
        </is>
      </c>
      <c r="D28" s="4" t="n"/>
    </row>
    <row r="29">
      <c r="A29" s="3" t="inlineStr">
        <is>
          <t>護甲值（AR） 撕裂</t>
        </is>
      </c>
      <c r="B29" s="4" t="n"/>
      <c r="C29" s="3" t="inlineStr">
        <is>
          <t>護甲值（AR） 火焰</t>
        </is>
      </c>
      <c r="D29" s="4" t="n"/>
    </row>
    <row r="30">
      <c r="A30" s="3" t="inlineStr">
        <is>
          <t>護甲防禦加值</t>
        </is>
      </c>
      <c r="B30" s="4" t="n"/>
    </row>
    <row r="31">
      <c r="A31" s="3" t="inlineStr">
        <is>
          <t>近戰攻擊 目標值（TN）</t>
        </is>
      </c>
      <c r="B31" s="7">
        <f>B7*10</f>
        <v/>
      </c>
      <c r="C31" s="3" t="inlineStr">
        <is>
          <t>遠程攻擊 目標值（TN）</t>
        </is>
      </c>
      <c r="D31" s="7">
        <f>B9*10</f>
        <v/>
      </c>
    </row>
    <row r="32"/>
    <row r="33">
      <c r="A33" s="5" t="inlineStr">
        <is>
          <t>技能（U=未受訓0 / T=受訓+10 / E=專家+20 / M=大師+30）</t>
        </is>
      </c>
      <c r="B33" s="9" t="n"/>
      <c r="C33" s="9" t="n"/>
      <c r="D33" s="9" t="n"/>
      <c r="E33" s="9" t="n"/>
      <c r="F33" s="9" t="n"/>
      <c r="G33" s="9" t="n"/>
      <c r="H33" s="10" t="n"/>
    </row>
    <row r="34">
      <c r="A34" s="3" t="inlineStr">
        <is>
          <t>技能名稱</t>
        </is>
      </c>
      <c r="B34" s="3" t="inlineStr">
        <is>
          <t>等級(U/T/E/M)</t>
        </is>
      </c>
      <c r="C34" s="3" t="inlineStr">
        <is>
          <t>加值</t>
        </is>
      </c>
      <c r="D34" s="3" t="inlineStr">
        <is>
          <t>主要屬性 目標值（TN）</t>
        </is>
      </c>
      <c r="E34" s="3" t="inlineStr">
        <is>
          <t>技能TN(標準)</t>
        </is>
      </c>
    </row>
    <row r="35">
      <c r="A35" s="8" t="inlineStr">
        <is>
          <t>運動(Athletics)</t>
        </is>
      </c>
      <c r="B35" s="4" t="n"/>
      <c r="C35" s="7">
        <f>IF(B35="T",10,IF(B35="E",20,IF(B35="M",30,0)))</f>
        <v/>
      </c>
      <c r="D35" s="7">
        <f>B7*10</f>
        <v/>
      </c>
      <c r="E35" s="7">
        <f>D35+C35</f>
        <v/>
      </c>
    </row>
    <row r="36">
      <c r="A36" s="8" t="inlineStr">
        <is>
          <t>近戰(Weapon Skill)</t>
        </is>
      </c>
      <c r="B36" s="4" t="n"/>
      <c r="C36" s="7">
        <f>IF(B36="T",10,IF(B36="E",20,IF(B36="M",30,0)))</f>
        <v/>
      </c>
      <c r="D36" s="7">
        <f>B7*10</f>
        <v/>
      </c>
      <c r="E36" s="7">
        <f>D36+C36</f>
        <v/>
      </c>
    </row>
    <row r="37">
      <c r="A37" s="8" t="inlineStr">
        <is>
          <t>堅韌(Endurance)</t>
        </is>
      </c>
      <c r="B37" s="4" t="n"/>
      <c r="C37" s="7">
        <f>IF(B37="T",10,IF(B37="E",20,IF(B37="M",30,0)))</f>
        <v/>
      </c>
      <c r="D37" s="7">
        <f>B7*10</f>
        <v/>
      </c>
      <c r="E37" s="7">
        <f>D37+C37</f>
        <v/>
      </c>
    </row>
    <row r="38">
      <c r="A38" s="8" t="inlineStr">
        <is>
          <t>警覺(Awareness)</t>
        </is>
      </c>
      <c r="B38" s="4" t="n"/>
      <c r="C38" s="7">
        <f>IF(B38="T",10,IF(B38="E",20,IF(B38="M",30,0)))</f>
        <v/>
      </c>
      <c r="D38" s="7">
        <f>B8*10</f>
        <v/>
      </c>
      <c r="E38" s="7">
        <f>D38+C38</f>
        <v/>
      </c>
    </row>
    <row r="39">
      <c r="A39" s="8" t="inlineStr">
        <is>
          <t>調查(Investigation)</t>
        </is>
      </c>
      <c r="B39" s="4" t="n"/>
      <c r="C39" s="7">
        <f>IF(B39="T",10,IF(B39="E",20,IF(B39="M",30,0)))</f>
        <v/>
      </c>
      <c r="D39" s="7">
        <f>B8*10</f>
        <v/>
      </c>
      <c r="E39" s="7">
        <f>D39+C39</f>
        <v/>
      </c>
    </row>
    <row r="40">
      <c r="A40" s="8" t="inlineStr">
        <is>
          <t>學識(Lore)</t>
        </is>
      </c>
      <c r="B40" s="4" t="n"/>
      <c r="C40" s="7">
        <f>IF(B40="T",10,IF(B40="E",20,IF(B40="M",30,0)))</f>
        <v/>
      </c>
      <c r="D40" s="7">
        <f>B8*10</f>
        <v/>
      </c>
      <c r="E40" s="7">
        <f>D40+C40</f>
        <v/>
      </c>
    </row>
    <row r="41">
      <c r="A41" s="8" t="inlineStr">
        <is>
          <t>醫療(Medicae)</t>
        </is>
      </c>
      <c r="B41" s="4" t="n"/>
      <c r="C41" s="7">
        <f>IF(B41="T",10,IF(B41="E",20,IF(B41="M",30,0)))</f>
        <v/>
      </c>
      <c r="D41" s="7">
        <f>B8*10</f>
        <v/>
      </c>
      <c r="E41" s="7">
        <f>D41+C41</f>
        <v/>
      </c>
    </row>
    <row r="42">
      <c r="A42" s="8" t="inlineStr">
        <is>
          <t>靈能感知(Psyniscience)</t>
        </is>
      </c>
      <c r="B42" s="4" t="n"/>
      <c r="C42" s="7">
        <f>IF(B42="T",10,IF(B42="E",20,IF(B42="M",30,0)))</f>
        <v/>
      </c>
      <c r="D42" s="7">
        <f>B6*10</f>
        <v/>
      </c>
      <c r="E42" s="7">
        <f>D42+C42</f>
        <v/>
      </c>
    </row>
    <row r="43">
      <c r="A43" s="8" t="inlineStr">
        <is>
          <t>佈道(Oratory)</t>
        </is>
      </c>
      <c r="B43" s="4" t="n"/>
      <c r="C43" s="7">
        <f>IF(B43="T",10,IF(B43="E",20,IF(B43="M",30,0)))</f>
        <v/>
      </c>
      <c r="D43" s="7">
        <f>B6*10</f>
        <v/>
      </c>
      <c r="E43" s="7">
        <f>D43+C43</f>
        <v/>
      </c>
    </row>
    <row r="44">
      <c r="A44" s="8" t="inlineStr">
        <is>
          <t>遠程射擊(Ballistic)</t>
        </is>
      </c>
      <c r="B44" s="4" t="n"/>
      <c r="C44" s="7">
        <f>IF(B44="T",10,IF(B44="E",20,IF(B44="M",30,0)))</f>
        <v/>
      </c>
      <c r="D44" s="7">
        <f>B9*10</f>
        <v/>
      </c>
      <c r="E44" s="7">
        <f>D44+C44</f>
        <v/>
      </c>
    </row>
    <row r="45">
      <c r="A45" s="8" t="inlineStr">
        <is>
          <t>技術(Tech-Use)</t>
        </is>
      </c>
      <c r="B45" s="4" t="n"/>
      <c r="C45" s="7">
        <f>IF(B45="T",10,IF(B45="E",20,IF(B45="M",30,0)))</f>
        <v/>
      </c>
      <c r="D45" s="7">
        <f>B9*10</f>
        <v/>
      </c>
      <c r="E45" s="7">
        <f>D45+C45</f>
        <v/>
      </c>
    </row>
    <row r="46">
      <c r="A46" s="8" t="inlineStr">
        <is>
          <t>潛行(Stealth)</t>
        </is>
      </c>
      <c r="B46" s="4" t="n"/>
      <c r="C46" s="7">
        <f>IF(B46="T",10,IF(B46="E",20,IF(B46="M",30,0)))</f>
        <v/>
      </c>
      <c r="D46" s="7">
        <f>B9*10</f>
        <v/>
      </c>
      <c r="E46" s="7">
        <f>D46+C46</f>
        <v/>
      </c>
    </row>
    <row r="47">
      <c r="A47" s="8" t="inlineStr">
        <is>
          <t>指揮(Command)</t>
        </is>
      </c>
      <c r="B47" s="4" t="n"/>
      <c r="C47" s="7">
        <f>IF(B47="T",10,IF(B47="E",20,IF(B47="M",30,0)))</f>
        <v/>
      </c>
      <c r="D47" s="7">
        <f>B10*10</f>
        <v/>
      </c>
      <c r="E47" s="7">
        <f>D47+C47</f>
        <v/>
      </c>
    </row>
    <row r="48">
      <c r="A48" s="8" t="inlineStr">
        <is>
          <t>欺瞞(Deceive)</t>
        </is>
      </c>
      <c r="B48" s="4" t="n"/>
      <c r="C48" s="7">
        <f>IF(B48="T",10,IF(B48="E",20,IF(B48="M",30,0)))</f>
        <v/>
      </c>
      <c r="D48" s="7">
        <f>B10*10</f>
        <v/>
      </c>
      <c r="E48" s="7">
        <f>D48+C48</f>
        <v/>
      </c>
    </row>
    <row r="49"/>
    <row r="50">
      <c r="A50" s="5" t="inlineStr">
        <is>
          <t>判詞與底線</t>
        </is>
      </c>
      <c r="B50" s="9" t="n"/>
      <c r="C50" s="9" t="n"/>
      <c r="D50" s="9" t="n"/>
      <c r="E50" s="9" t="n"/>
      <c r="F50" s="9" t="n"/>
      <c r="G50" s="9" t="n"/>
      <c r="H50" s="10" t="n"/>
    </row>
    <row r="51">
      <c r="A51" s="3" t="inlineStr">
        <is>
          <t>判詞特殊能力</t>
        </is>
      </c>
      <c r="B51" s="4" t="n"/>
      <c r="C51" s="9" t="n"/>
      <c r="D51" s="9" t="n"/>
      <c r="E51" s="9" t="n"/>
      <c r="F51" s="10" t="n"/>
    </row>
    <row r="52"/>
    <row r="53">
      <c r="A53" s="3" t="inlineStr">
        <is>
          <t>贖罪條件</t>
        </is>
      </c>
      <c r="B53" s="4" t="n"/>
      <c r="C53" s="9" t="n"/>
      <c r="D53" s="9" t="n"/>
      <c r="E53" s="9" t="n"/>
      <c r="F53" s="10" t="n"/>
    </row>
    <row r="54"/>
    <row r="55">
      <c r="A55" s="3" t="inlineStr">
        <is>
          <t>我的底線 (Red Line)</t>
        </is>
      </c>
      <c r="B55" s="4" t="n"/>
      <c r="C55" s="9" t="n"/>
      <c r="D55" s="9" t="n"/>
      <c r="E55" s="9" t="n"/>
      <c r="F55" s="10" t="n"/>
    </row>
    <row r="56"/>
    <row r="57">
      <c r="A57" s="3" t="inlineStr">
        <is>
          <t>個人裝備/物品</t>
        </is>
      </c>
      <c r="B57" s="4" t="n"/>
      <c r="C57" s="9" t="n"/>
      <c r="D57" s="9" t="n"/>
      <c r="E57" s="9" t="n"/>
      <c r="F57" s="10" t="n"/>
    </row>
    <row r="58"/>
    <row r="59">
      <c r="A59" s="3" t="inlineStr">
        <is>
          <t>帝皇/混沌印記</t>
        </is>
      </c>
      <c r="B59" s="4" t="n"/>
      <c r="C59" s="9" t="n"/>
      <c r="D59" s="9" t="n"/>
      <c r="E59" s="9" t="n"/>
      <c r="F59" s="10" t="n"/>
    </row>
    <row r="60"/>
    <row r="61">
      <c r="A61" s="11" t="inlineStr">
        <is>
          <t>背景：她說帝皇不僅坐在黃金王座上，也活在每個信徒的心中。國教說這是異端——但她仍然相信。</t>
        </is>
      </c>
      <c r="H61" s="12" t="n"/>
    </row>
    <row r="62">
      <c r="A62" s="14" t="n"/>
      <c r="B62" s="13" t="n"/>
      <c r="C62" s="13" t="n"/>
      <c r="D62" s="13" t="n"/>
      <c r="E62" s="13" t="n"/>
      <c r="F62" s="13" t="n"/>
      <c r="G62" s="13" t="n"/>
      <c r="H62" s="14" t="n"/>
    </row>
    <row r="63">
      <c r="A63" s="15" t="inlineStr">
        <is>
          <t>• TN上限=95：任何檢定TN不得超過95（96-00永遠失敗）</t>
        </is>
      </c>
    </row>
    <row r="64">
      <c r="A64" s="15" t="inlineStr">
        <is>
          <t>• 信仰歸零→「靈魂的黑夜」：立即信念危機、無法使用信仰、每日腐化+1</t>
        </is>
      </c>
    </row>
    <row r="65">
      <c r="A65" s="15" t="inlineStr">
        <is>
          <t>• 創傷：單次傷害超過創傷上限時觸發（輕微/中等/重創/致命）</t>
        </is>
      </c>
    </row>
    <row r="66">
      <c r="A66" s="15" t="inlineStr">
        <is>
          <t>• 醫療包：恢復 2d6 生命值（HP）。每次任務小隊共享 3 次使用。軍需官購買 15 帝皇幣（TG）（限購 2）</t>
        </is>
      </c>
    </row>
    <row r="67">
      <c r="A67" s="15" t="inlineStr">
        <is>
          <t>• 生命值（HP） 狀態：健康&gt;75% / 輕傷50-75% / 重傷25-50%(物理劣勢) / 瀕死&lt;25%</t>
        </is>
      </c>
    </row>
    <row r="68">
      <c r="A68" s="15" t="inlineStr">
        <is>
          <t>• 任務間恢復：HP自動回滿、信仰恢復 1d6+信仰值、腐化不自動降低</t>
        </is>
      </c>
    </row>
    <row r="69">
      <c r="A69" s="15" t="inlineStr">
        <is>
          <t>• 彈藥配給：每人 2 彈匣。額外彈匣 15 帝皇幣（TG）。搜刮：技藝檢定（標準）</t>
        </is>
      </c>
    </row>
    <row r="70">
      <c r="A70" s="15" t="inlineStr">
        <is>
          <t>• 環境傷害：見 GM 指南——火焰/墜落/毒氣/輻射/真空 速查表</t>
        </is>
      </c>
    </row>
  </sheetData>
  <mergeCells count="21">
    <mergeCell ref="A67:H67"/>
    <mergeCell ref="B59:F59"/>
    <mergeCell ref="A64:H64"/>
    <mergeCell ref="A1:H1"/>
    <mergeCell ref="A70:H70"/>
    <mergeCell ref="A69:H69"/>
    <mergeCell ref="A65:H65"/>
    <mergeCell ref="A66:H66"/>
    <mergeCell ref="B57:F57"/>
    <mergeCell ref="A12:H12"/>
    <mergeCell ref="A50:H50"/>
    <mergeCell ref="B53:F53"/>
    <mergeCell ref="A33:H33"/>
    <mergeCell ref="A5:H5"/>
    <mergeCell ref="A23:H23"/>
    <mergeCell ref="A61:H62"/>
    <mergeCell ref="A62:H62"/>
    <mergeCell ref="B55:F55"/>
    <mergeCell ref="A63:H63"/>
    <mergeCell ref="B51:F51"/>
    <mergeCell ref="A68:H6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帝國棄子 TRPG — 卡爾文·暗影</t>
        </is>
      </c>
      <c r="B1" s="9" t="n"/>
      <c r="C1" s="9" t="n"/>
      <c r="D1" s="9" t="n"/>
      <c r="E1" s="9" t="n"/>
      <c r="F1" s="9" t="n"/>
      <c r="G1" s="9" t="n"/>
      <c r="H1" s="10" t="n"/>
    </row>
    <row r="2"/>
    <row r="3">
      <c r="A3" s="3" t="inlineStr">
        <is>
          <t>角色名稱</t>
        </is>
      </c>
      <c r="B3" s="4" t="inlineStr">
        <is>
          <t>卡爾文·暗影</t>
        </is>
      </c>
      <c r="C3" s="3" t="inlineStr">
        <is>
          <t>前身職業</t>
        </is>
      </c>
      <c r="D3" s="4" t="inlineStr">
        <is>
          <t>巢都幫派成員</t>
        </is>
      </c>
      <c r="E3" s="3" t="inlineStr">
        <is>
          <t>罪名</t>
        </is>
      </c>
      <c r="F3" s="4" t="inlineStr">
        <is>
          <t>竊賊</t>
        </is>
      </c>
    </row>
    <row r="4"/>
    <row r="5">
      <c r="A5" s="5" t="inlineStr">
        <is>
          <t>五大屬性（數值 1-5）</t>
        </is>
      </c>
      <c r="B5" s="9" t="n"/>
      <c r="C5" s="9" t="n"/>
      <c r="D5" s="9" t="n"/>
      <c r="E5" s="9" t="n"/>
      <c r="F5" s="9" t="n"/>
      <c r="G5" s="9" t="n"/>
      <c r="H5" s="10" t="n"/>
    </row>
    <row r="6">
      <c r="A6" s="3" t="inlineStr">
        <is>
          <t>信仰</t>
        </is>
      </c>
      <c r="B6" s="4" t="n">
        <v>2</v>
      </c>
      <c r="C6" s="3" t="inlineStr"/>
    </row>
    <row r="7">
      <c r="A7" s="3" t="inlineStr">
        <is>
          <t>體魄</t>
        </is>
      </c>
      <c r="B7" s="4" t="n">
        <v>3</v>
      </c>
      <c r="C7" s="3" t="inlineStr"/>
    </row>
    <row r="8">
      <c r="A8" s="3" t="inlineStr">
        <is>
          <t>心智</t>
        </is>
      </c>
      <c r="B8" s="4" t="n">
        <v>3</v>
      </c>
      <c r="C8" s="3" t="inlineStr"/>
    </row>
    <row r="9">
      <c r="A9" s="3" t="inlineStr">
        <is>
          <t>技藝</t>
        </is>
      </c>
      <c r="B9" s="4" t="n">
        <v>4</v>
      </c>
      <c r="C9" s="3" t="inlineStr"/>
    </row>
    <row r="10">
      <c r="A10" s="3" t="inlineStr">
        <is>
          <t>命運</t>
        </is>
      </c>
      <c r="B10" s="4" t="n">
        <v>3</v>
      </c>
      <c r="C10" s="3" t="inlineStr"/>
    </row>
    <row r="11"/>
    <row r="12">
      <c r="A12" s="5" t="inlineStr">
        <is>
          <t>衍生屬性（自動計算）</t>
        </is>
      </c>
      <c r="B12" s="9" t="n"/>
      <c r="C12" s="9" t="n"/>
      <c r="D12" s="9" t="n"/>
      <c r="E12" s="9" t="n"/>
      <c r="F12" s="9" t="n"/>
      <c r="G12" s="9" t="n"/>
      <c r="H12" s="10" t="n"/>
    </row>
    <row r="13"/>
    <row r="14">
      <c r="A14" s="3" t="inlineStr">
        <is>
          <t>生命值（HP）（生命值）</t>
        </is>
      </c>
      <c r="B14" s="7">
        <f>B7*4+5</f>
        <v/>
      </c>
      <c r="C14" s="3" t="inlineStr">
        <is>
          <t>當前 生命值（HP）</t>
        </is>
      </c>
      <c r="D14" s="4" t="n"/>
    </row>
    <row r="15">
      <c r="A15" s="3" t="inlineStr">
        <is>
          <t>信仰池</t>
        </is>
      </c>
      <c r="B15" s="7">
        <f>B6*3+5</f>
        <v/>
      </c>
      <c r="C15" s="3" t="inlineStr">
        <is>
          <t>當前信仰</t>
        </is>
      </c>
      <c r="D15" s="4" t="n"/>
    </row>
    <row r="16">
      <c r="A16" s="3" t="inlineStr">
        <is>
          <t>腐化值（0-100）</t>
        </is>
      </c>
      <c r="B16" s="4" t="n"/>
      <c r="C16" s="3" t="inlineStr">
        <is>
          <t>創傷上限</t>
        </is>
      </c>
      <c r="D16" s="7">
        <f>B8*2+3</f>
        <v/>
      </c>
    </row>
    <row r="17">
      <c r="A17" s="3" t="inlineStr">
        <is>
          <t>防禦值</t>
        </is>
      </c>
      <c r="B17" s="7">
        <f>ROUNDUP(B9/2,0)+G27</f>
        <v/>
      </c>
      <c r="C17" s="3" t="inlineStr">
        <is>
          <t>先攻基礎</t>
        </is>
      </c>
      <c r="D17" s="7">
        <f>B8+B9</f>
        <v/>
      </c>
    </row>
    <row r="18">
      <c r="A18" s="3" t="inlineStr">
        <is>
          <t>移動速度(m)</t>
        </is>
      </c>
      <c r="B18" s="7">
        <f>6+B7/2</f>
        <v/>
      </c>
      <c r="C18" s="3" t="inlineStr">
        <is>
          <t>負重上限(kg)</t>
        </is>
      </c>
      <c r="D18" s="7">
        <f>B7*10+20</f>
        <v/>
      </c>
    </row>
    <row r="19">
      <c r="A19" s="3" t="inlineStr">
        <is>
          <t>心靈護盾</t>
        </is>
      </c>
      <c r="B19" s="7">
        <f>B8+B6/2</f>
        <v/>
      </c>
      <c r="C19" s="3" t="inlineStr">
        <is>
          <t>命運點</t>
        </is>
      </c>
      <c r="D19" s="7">
        <f>B10</f>
        <v/>
      </c>
    </row>
    <row r="20">
      <c r="A20" s="3" t="inlineStr">
        <is>
          <t>生命值（HP） 健康 &gt;75%</t>
        </is>
      </c>
      <c r="B20" s="7">
        <f>B7*4+5</f>
        <v/>
      </c>
      <c r="C20" s="3" t="inlineStr">
        <is>
          <t>重傷 &lt;50%</t>
        </is>
      </c>
      <c r="D20" s="7">
        <f>ROUND((B7*4+5)/2,0)</f>
        <v/>
      </c>
    </row>
    <row r="21">
      <c r="A21" s="3" t="inlineStr">
        <is>
          <t>輕傷 &lt;75%</t>
        </is>
      </c>
      <c r="B21" s="7">
        <f>ROUND((B7*4+5)*0.75,0)</f>
        <v/>
      </c>
      <c r="C21" s="3" t="inlineStr">
        <is>
          <t>瀕死 &lt;25%</t>
        </is>
      </c>
      <c r="D21" s="7">
        <f>ROUND((B7*4+5)*0.25,0)</f>
        <v/>
      </c>
    </row>
    <row r="22"/>
    <row r="23">
      <c r="A23" s="5" t="inlineStr">
        <is>
          <t>武器裝備</t>
        </is>
      </c>
      <c r="B23" s="9" t="n"/>
      <c r="C23" s="9" t="n"/>
      <c r="D23" s="9" t="n"/>
      <c r="E23" s="9" t="n"/>
      <c r="F23" s="9" t="n"/>
      <c r="G23" s="9" t="n"/>
      <c r="H23" s="10" t="n"/>
    </row>
    <row r="24">
      <c r="A24" s="3" t="inlineStr">
        <is>
          <t>主武器名稱</t>
        </is>
      </c>
      <c r="B24" s="4" t="n"/>
      <c r="C24" s="3" t="inlineStr">
        <is>
          <t>基礎傷害</t>
        </is>
      </c>
      <c r="D24" s="4" t="n"/>
    </row>
    <row r="25">
      <c r="A25" s="3" t="inlineStr">
        <is>
          <t>傷害類型</t>
        </is>
      </c>
      <c r="B25" s="4" t="n"/>
      <c r="C25" s="3" t="inlineStr">
        <is>
          <t>彈匣容量</t>
        </is>
      </c>
      <c r="D25" s="4" t="n"/>
    </row>
    <row r="26">
      <c r="A26" s="3" t="inlineStr">
        <is>
          <t>副武器名稱</t>
        </is>
      </c>
      <c r="B26" s="4" t="n"/>
      <c r="C26" s="3" t="inlineStr">
        <is>
          <t>基礎傷害</t>
        </is>
      </c>
      <c r="D26" s="4" t="n"/>
    </row>
    <row r="27">
      <c r="A27" s="3" t="inlineStr">
        <is>
          <t>護甲名稱</t>
        </is>
      </c>
      <c r="B27" s="4" t="n"/>
      <c r="C27" s="3" t="inlineStr">
        <is>
          <t>護甲值（AR） 彈道</t>
        </is>
      </c>
      <c r="D27" s="4" t="n"/>
    </row>
    <row r="28">
      <c r="A28" s="3" t="inlineStr">
        <is>
          <t>護甲值（AR） 能量</t>
        </is>
      </c>
      <c r="B28" s="4" t="n"/>
      <c r="C28" s="3" t="inlineStr">
        <is>
          <t>護甲值（AR） 爆炸</t>
        </is>
      </c>
      <c r="D28" s="4" t="n"/>
    </row>
    <row r="29">
      <c r="A29" s="3" t="inlineStr">
        <is>
          <t>護甲值（AR） 撕裂</t>
        </is>
      </c>
      <c r="B29" s="4" t="n"/>
      <c r="C29" s="3" t="inlineStr">
        <is>
          <t>護甲值（AR） 火焰</t>
        </is>
      </c>
      <c r="D29" s="4" t="n"/>
    </row>
    <row r="30">
      <c r="A30" s="3" t="inlineStr">
        <is>
          <t>護甲防禦加值</t>
        </is>
      </c>
      <c r="B30" s="4" t="n"/>
    </row>
    <row r="31">
      <c r="A31" s="3" t="inlineStr">
        <is>
          <t>近戰攻擊 目標值（TN）</t>
        </is>
      </c>
      <c r="B31" s="7">
        <f>B7*10</f>
        <v/>
      </c>
      <c r="C31" s="3" t="inlineStr">
        <is>
          <t>遠程攻擊 目標值（TN）</t>
        </is>
      </c>
      <c r="D31" s="7">
        <f>B9*10</f>
        <v/>
      </c>
    </row>
    <row r="32"/>
    <row r="33">
      <c r="A33" s="5" t="inlineStr">
        <is>
          <t>技能（U=未受訓0 / T=受訓+10 / E=專家+20 / M=大師+30）</t>
        </is>
      </c>
      <c r="B33" s="9" t="n"/>
      <c r="C33" s="9" t="n"/>
      <c r="D33" s="9" t="n"/>
      <c r="E33" s="9" t="n"/>
      <c r="F33" s="9" t="n"/>
      <c r="G33" s="9" t="n"/>
      <c r="H33" s="10" t="n"/>
    </row>
    <row r="34">
      <c r="A34" s="3" t="inlineStr">
        <is>
          <t>技能名稱</t>
        </is>
      </c>
      <c r="B34" s="3" t="inlineStr">
        <is>
          <t>等級(U/T/E/M)</t>
        </is>
      </c>
      <c r="C34" s="3" t="inlineStr">
        <is>
          <t>加值</t>
        </is>
      </c>
      <c r="D34" s="3" t="inlineStr">
        <is>
          <t>主要屬性 目標值（TN）</t>
        </is>
      </c>
      <c r="E34" s="3" t="inlineStr">
        <is>
          <t>技能TN(標準)</t>
        </is>
      </c>
    </row>
    <row r="35">
      <c r="A35" s="8" t="inlineStr">
        <is>
          <t>運動(Athletics)</t>
        </is>
      </c>
      <c r="B35" s="4" t="n"/>
      <c r="C35" s="7">
        <f>IF(B35="T",10,IF(B35="E",20,IF(B35="M",30,0)))</f>
        <v/>
      </c>
      <c r="D35" s="7">
        <f>B7*10</f>
        <v/>
      </c>
      <c r="E35" s="7">
        <f>D35+C35</f>
        <v/>
      </c>
    </row>
    <row r="36">
      <c r="A36" s="8" t="inlineStr">
        <is>
          <t>近戰(Weapon Skill)</t>
        </is>
      </c>
      <c r="B36" s="4" t="n"/>
      <c r="C36" s="7">
        <f>IF(B36="T",10,IF(B36="E",20,IF(B36="M",30,0)))</f>
        <v/>
      </c>
      <c r="D36" s="7">
        <f>B7*10</f>
        <v/>
      </c>
      <c r="E36" s="7">
        <f>D36+C36</f>
        <v/>
      </c>
    </row>
    <row r="37">
      <c r="A37" s="8" t="inlineStr">
        <is>
          <t>堅韌(Endurance)</t>
        </is>
      </c>
      <c r="B37" s="4" t="n"/>
      <c r="C37" s="7">
        <f>IF(B37="T",10,IF(B37="E",20,IF(B37="M",30,0)))</f>
        <v/>
      </c>
      <c r="D37" s="7">
        <f>B7*10</f>
        <v/>
      </c>
      <c r="E37" s="7">
        <f>D37+C37</f>
        <v/>
      </c>
    </row>
    <row r="38">
      <c r="A38" s="8" t="inlineStr">
        <is>
          <t>警覺(Awareness)</t>
        </is>
      </c>
      <c r="B38" s="4" t="n"/>
      <c r="C38" s="7">
        <f>IF(B38="T",10,IF(B38="E",20,IF(B38="M",30,0)))</f>
        <v/>
      </c>
      <c r="D38" s="7">
        <f>B8*10</f>
        <v/>
      </c>
      <c r="E38" s="7">
        <f>D38+C38</f>
        <v/>
      </c>
    </row>
    <row r="39">
      <c r="A39" s="8" t="inlineStr">
        <is>
          <t>調查(Investigation)</t>
        </is>
      </c>
      <c r="B39" s="4" t="n"/>
      <c r="C39" s="7">
        <f>IF(B39="T",10,IF(B39="E",20,IF(B39="M",30,0)))</f>
        <v/>
      </c>
      <c r="D39" s="7">
        <f>B8*10</f>
        <v/>
      </c>
      <c r="E39" s="7">
        <f>D39+C39</f>
        <v/>
      </c>
    </row>
    <row r="40">
      <c r="A40" s="8" t="inlineStr">
        <is>
          <t>學識(Lore)</t>
        </is>
      </c>
      <c r="B40" s="4" t="n"/>
      <c r="C40" s="7">
        <f>IF(B40="T",10,IF(B40="E",20,IF(B40="M",30,0)))</f>
        <v/>
      </c>
      <c r="D40" s="7">
        <f>B8*10</f>
        <v/>
      </c>
      <c r="E40" s="7">
        <f>D40+C40</f>
        <v/>
      </c>
    </row>
    <row r="41">
      <c r="A41" s="8" t="inlineStr">
        <is>
          <t>醫療(Medicae)</t>
        </is>
      </c>
      <c r="B41" s="4" t="n"/>
      <c r="C41" s="7">
        <f>IF(B41="T",10,IF(B41="E",20,IF(B41="M",30,0)))</f>
        <v/>
      </c>
      <c r="D41" s="7">
        <f>B8*10</f>
        <v/>
      </c>
      <c r="E41" s="7">
        <f>D41+C41</f>
        <v/>
      </c>
    </row>
    <row r="42">
      <c r="A42" s="8" t="inlineStr">
        <is>
          <t>靈能感知(Psyniscience)</t>
        </is>
      </c>
      <c r="B42" s="4" t="n"/>
      <c r="C42" s="7">
        <f>IF(B42="T",10,IF(B42="E",20,IF(B42="M",30,0)))</f>
        <v/>
      </c>
      <c r="D42" s="7">
        <f>B6*10</f>
        <v/>
      </c>
      <c r="E42" s="7">
        <f>D42+C42</f>
        <v/>
      </c>
    </row>
    <row r="43">
      <c r="A43" s="8" t="inlineStr">
        <is>
          <t>佈道(Oratory)</t>
        </is>
      </c>
      <c r="B43" s="4" t="n"/>
      <c r="C43" s="7">
        <f>IF(B43="T",10,IF(B43="E",20,IF(B43="M",30,0)))</f>
        <v/>
      </c>
      <c r="D43" s="7">
        <f>B6*10</f>
        <v/>
      </c>
      <c r="E43" s="7">
        <f>D43+C43</f>
        <v/>
      </c>
    </row>
    <row r="44">
      <c r="A44" s="8" t="inlineStr">
        <is>
          <t>遠程射擊(Ballistic)</t>
        </is>
      </c>
      <c r="B44" s="4" t="n"/>
      <c r="C44" s="7">
        <f>IF(B44="T",10,IF(B44="E",20,IF(B44="M",30,0)))</f>
        <v/>
      </c>
      <c r="D44" s="7">
        <f>B9*10</f>
        <v/>
      </c>
      <c r="E44" s="7">
        <f>D44+C44</f>
        <v/>
      </c>
    </row>
    <row r="45">
      <c r="A45" s="8" t="inlineStr">
        <is>
          <t>技術(Tech-Use)</t>
        </is>
      </c>
      <c r="B45" s="4" t="n"/>
      <c r="C45" s="7">
        <f>IF(B45="T",10,IF(B45="E",20,IF(B45="M",30,0)))</f>
        <v/>
      </c>
      <c r="D45" s="7">
        <f>B9*10</f>
        <v/>
      </c>
      <c r="E45" s="7">
        <f>D45+C45</f>
        <v/>
      </c>
    </row>
    <row r="46">
      <c r="A46" s="8" t="inlineStr">
        <is>
          <t>潛行(Stealth)</t>
        </is>
      </c>
      <c r="B46" s="4" t="n"/>
      <c r="C46" s="7">
        <f>IF(B46="T",10,IF(B46="E",20,IF(B46="M",30,0)))</f>
        <v/>
      </c>
      <c r="D46" s="7">
        <f>B9*10</f>
        <v/>
      </c>
      <c r="E46" s="7">
        <f>D46+C46</f>
        <v/>
      </c>
    </row>
    <row r="47">
      <c r="A47" s="8" t="inlineStr">
        <is>
          <t>指揮(Command)</t>
        </is>
      </c>
      <c r="B47" s="4" t="n"/>
      <c r="C47" s="7">
        <f>IF(B47="T",10,IF(B47="E",20,IF(B47="M",30,0)))</f>
        <v/>
      </c>
      <c r="D47" s="7">
        <f>B10*10</f>
        <v/>
      </c>
      <c r="E47" s="7">
        <f>D47+C47</f>
        <v/>
      </c>
    </row>
    <row r="48">
      <c r="A48" s="8" t="inlineStr">
        <is>
          <t>欺瞞(Deceive)</t>
        </is>
      </c>
      <c r="B48" s="4" t="n"/>
      <c r="C48" s="7">
        <f>IF(B48="T",10,IF(B48="E",20,IF(B48="M",30,0)))</f>
        <v/>
      </c>
      <c r="D48" s="7">
        <f>B10*10</f>
        <v/>
      </c>
      <c r="E48" s="7">
        <f>D48+C48</f>
        <v/>
      </c>
    </row>
    <row r="49"/>
    <row r="50">
      <c r="A50" s="5" t="inlineStr">
        <is>
          <t>判詞與底線</t>
        </is>
      </c>
      <c r="B50" s="9" t="n"/>
      <c r="C50" s="9" t="n"/>
      <c r="D50" s="9" t="n"/>
      <c r="E50" s="9" t="n"/>
      <c r="F50" s="9" t="n"/>
      <c r="G50" s="9" t="n"/>
      <c r="H50" s="10" t="n"/>
    </row>
    <row r="51">
      <c r="A51" s="3" t="inlineStr">
        <is>
          <t>判詞特殊能力</t>
        </is>
      </c>
      <c r="B51" s="4" t="n"/>
      <c r="C51" s="9" t="n"/>
      <c r="D51" s="9" t="n"/>
      <c r="E51" s="9" t="n"/>
      <c r="F51" s="10" t="n"/>
    </row>
    <row r="52"/>
    <row r="53">
      <c r="A53" s="3" t="inlineStr">
        <is>
          <t>贖罪條件</t>
        </is>
      </c>
      <c r="B53" s="4" t="n"/>
      <c r="C53" s="9" t="n"/>
      <c r="D53" s="9" t="n"/>
      <c r="E53" s="9" t="n"/>
      <c r="F53" s="10" t="n"/>
    </row>
    <row r="54"/>
    <row r="55">
      <c r="A55" s="3" t="inlineStr">
        <is>
          <t>我的底線 (Red Line)</t>
        </is>
      </c>
      <c r="B55" s="4" t="n"/>
      <c r="C55" s="9" t="n"/>
      <c r="D55" s="9" t="n"/>
      <c r="E55" s="9" t="n"/>
      <c r="F55" s="10" t="n"/>
    </row>
    <row r="56"/>
    <row r="57">
      <c r="A57" s="3" t="inlineStr">
        <is>
          <t>個人裝備/物品</t>
        </is>
      </c>
      <c r="B57" s="4" t="n"/>
      <c r="C57" s="9" t="n"/>
      <c r="D57" s="9" t="n"/>
      <c r="E57" s="9" t="n"/>
      <c r="F57" s="10" t="n"/>
    </row>
    <row r="58"/>
    <row r="59">
      <c r="A59" s="3" t="inlineStr">
        <is>
          <t>帝皇/混沌印記</t>
        </is>
      </c>
      <c r="B59" s="4" t="n"/>
      <c r="C59" s="9" t="n"/>
      <c r="D59" s="9" t="n"/>
      <c r="E59" s="9" t="n"/>
      <c r="F59" s="10" t="n"/>
    </row>
    <row r="60"/>
    <row r="61">
      <c r="A61" s="11" t="inlineStr">
        <is>
          <t>背景：偷了一件審判庭封印物——不是為了利益，是為了阻止審判官用它做某件可怕的事。</t>
        </is>
      </c>
      <c r="H61" s="12" t="n"/>
    </row>
    <row r="62">
      <c r="A62" s="14" t="n"/>
      <c r="B62" s="13" t="n"/>
      <c r="C62" s="13" t="n"/>
      <c r="D62" s="13" t="n"/>
      <c r="E62" s="13" t="n"/>
      <c r="F62" s="13" t="n"/>
      <c r="G62" s="13" t="n"/>
      <c r="H62" s="14" t="n"/>
    </row>
    <row r="63">
      <c r="A63" s="15" t="inlineStr">
        <is>
          <t>• TN上限=95：任何檢定TN不得超過95（96-00永遠失敗）</t>
        </is>
      </c>
    </row>
    <row r="64">
      <c r="A64" s="15" t="inlineStr">
        <is>
          <t>• 信仰歸零→「靈魂的黑夜」：立即信念危機、無法使用信仰、每日腐化+1</t>
        </is>
      </c>
    </row>
    <row r="65">
      <c r="A65" s="15" t="inlineStr">
        <is>
          <t>• 創傷：單次傷害超過創傷上限時觸發（輕微/中等/重創/致命）</t>
        </is>
      </c>
    </row>
    <row r="66">
      <c r="A66" s="15" t="inlineStr">
        <is>
          <t>• 醫療包：恢復 2d6 生命值（HP）。每次任務小隊共享 3 次使用。軍需官購買 15 帝皇幣（TG）（限購 2）</t>
        </is>
      </c>
    </row>
    <row r="67">
      <c r="A67" s="15" t="inlineStr">
        <is>
          <t>• 生命值（HP） 狀態：健康&gt;75% / 輕傷50-75% / 重傷25-50%(物理劣勢) / 瀕死&lt;25%</t>
        </is>
      </c>
    </row>
    <row r="68">
      <c r="A68" s="15" t="inlineStr">
        <is>
          <t>• 任務間恢復：HP自動回滿、信仰恢復 1d6+信仰值、腐化不自動降低</t>
        </is>
      </c>
    </row>
    <row r="69">
      <c r="A69" s="15" t="inlineStr">
        <is>
          <t>• 彈藥配給：每人 2 彈匣。額外彈匣 15 帝皇幣（TG）。搜刮：技藝檢定（標準）</t>
        </is>
      </c>
    </row>
    <row r="70">
      <c r="A70" s="15" t="inlineStr">
        <is>
          <t>• 環境傷害：見 GM 指南——火焰/墜落/毒氣/輻射/真空 速查表</t>
        </is>
      </c>
    </row>
  </sheetData>
  <mergeCells count="21">
    <mergeCell ref="A67:H67"/>
    <mergeCell ref="B59:F59"/>
    <mergeCell ref="A64:H64"/>
    <mergeCell ref="A1:H1"/>
    <mergeCell ref="A70:H70"/>
    <mergeCell ref="A69:H69"/>
    <mergeCell ref="A65:H65"/>
    <mergeCell ref="A66:H66"/>
    <mergeCell ref="B57:F57"/>
    <mergeCell ref="A12:H12"/>
    <mergeCell ref="A50:H50"/>
    <mergeCell ref="B53:F53"/>
    <mergeCell ref="A33:H33"/>
    <mergeCell ref="A5:H5"/>
    <mergeCell ref="A23:H23"/>
    <mergeCell ref="A61:H62"/>
    <mergeCell ref="A62:H62"/>
    <mergeCell ref="B55:F55"/>
    <mergeCell ref="A63:H63"/>
    <mergeCell ref="B51:F51"/>
    <mergeCell ref="A68:H6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帝國棄子 TRPG — 伊利亞·虛空</t>
        </is>
      </c>
      <c r="B1" s="9" t="n"/>
      <c r="C1" s="9" t="n"/>
      <c r="D1" s="9" t="n"/>
      <c r="E1" s="9" t="n"/>
      <c r="F1" s="9" t="n"/>
      <c r="G1" s="9" t="n"/>
      <c r="H1" s="10" t="n"/>
    </row>
    <row r="2"/>
    <row r="3">
      <c r="A3" s="3" t="inlineStr">
        <is>
          <t>角色名稱</t>
        </is>
      </c>
      <c r="B3" s="4" t="inlineStr">
        <is>
          <t>伊利亞·虛空</t>
        </is>
      </c>
      <c r="C3" s="3" t="inlineStr">
        <is>
          <t>前身職業</t>
        </is>
      </c>
      <c r="D3" s="4" t="inlineStr">
        <is>
          <t>商船隊員</t>
        </is>
      </c>
      <c r="E3" s="3" t="inlineStr">
        <is>
          <t>罪名</t>
        </is>
      </c>
      <c r="F3" s="4" t="inlineStr">
        <is>
          <t>靈能者</t>
        </is>
      </c>
    </row>
    <row r="4"/>
    <row r="5">
      <c r="A5" s="5" t="inlineStr">
        <is>
          <t>五大屬性（數值 1-5）</t>
        </is>
      </c>
      <c r="B5" s="9" t="n"/>
      <c r="C5" s="9" t="n"/>
      <c r="D5" s="9" t="n"/>
      <c r="E5" s="9" t="n"/>
      <c r="F5" s="9" t="n"/>
      <c r="G5" s="9" t="n"/>
      <c r="H5" s="10" t="n"/>
    </row>
    <row r="6">
      <c r="A6" s="3" t="inlineStr">
        <is>
          <t>信仰</t>
        </is>
      </c>
      <c r="B6" s="4" t="n">
        <v>3</v>
      </c>
      <c r="C6" s="3" t="inlineStr"/>
    </row>
    <row r="7">
      <c r="A7" s="3" t="inlineStr">
        <is>
          <t>體魄</t>
        </is>
      </c>
      <c r="B7" s="4" t="n">
        <v>2</v>
      </c>
      <c r="C7" s="3" t="inlineStr"/>
    </row>
    <row r="8">
      <c r="A8" s="3" t="inlineStr">
        <is>
          <t>心智</t>
        </is>
      </c>
      <c r="B8" s="4" t="n">
        <v>4</v>
      </c>
      <c r="C8" s="3" t="inlineStr"/>
    </row>
    <row r="9">
      <c r="A9" s="3" t="inlineStr">
        <is>
          <t>技藝</t>
        </is>
      </c>
      <c r="B9" s="4" t="n">
        <v>3</v>
      </c>
      <c r="C9" s="3" t="inlineStr"/>
    </row>
    <row r="10">
      <c r="A10" s="3" t="inlineStr">
        <is>
          <t>命運</t>
        </is>
      </c>
      <c r="B10" s="4" t="n">
        <v>3</v>
      </c>
      <c r="C10" s="3" t="inlineStr"/>
    </row>
    <row r="11"/>
    <row r="12">
      <c r="A12" s="5" t="inlineStr">
        <is>
          <t>衍生屬性（自動計算）</t>
        </is>
      </c>
      <c r="B12" s="9" t="n"/>
      <c r="C12" s="9" t="n"/>
      <c r="D12" s="9" t="n"/>
      <c r="E12" s="9" t="n"/>
      <c r="F12" s="9" t="n"/>
      <c r="G12" s="9" t="n"/>
      <c r="H12" s="10" t="n"/>
    </row>
    <row r="13"/>
    <row r="14">
      <c r="A14" s="3" t="inlineStr">
        <is>
          <t>生命值（HP）（生命值）</t>
        </is>
      </c>
      <c r="B14" s="7">
        <f>B7*4+5</f>
        <v/>
      </c>
      <c r="C14" s="3" t="inlineStr">
        <is>
          <t>當前 生命值（HP）</t>
        </is>
      </c>
      <c r="D14" s="4" t="n"/>
    </row>
    <row r="15">
      <c r="A15" s="3" t="inlineStr">
        <is>
          <t>信仰池</t>
        </is>
      </c>
      <c r="B15" s="7">
        <f>B6*3+5</f>
        <v/>
      </c>
      <c r="C15" s="3" t="inlineStr">
        <is>
          <t>當前信仰</t>
        </is>
      </c>
      <c r="D15" s="4" t="n"/>
    </row>
    <row r="16">
      <c r="A16" s="3" t="inlineStr">
        <is>
          <t>腐化值（0-100）</t>
        </is>
      </c>
      <c r="B16" s="4" t="n"/>
      <c r="C16" s="3" t="inlineStr">
        <is>
          <t>創傷上限</t>
        </is>
      </c>
      <c r="D16" s="7">
        <f>B8*2+3</f>
        <v/>
      </c>
    </row>
    <row r="17">
      <c r="A17" s="3" t="inlineStr">
        <is>
          <t>防禦值</t>
        </is>
      </c>
      <c r="B17" s="7">
        <f>ROUNDUP(B9/2,0)+G27</f>
        <v/>
      </c>
      <c r="C17" s="3" t="inlineStr">
        <is>
          <t>先攻基礎</t>
        </is>
      </c>
      <c r="D17" s="7">
        <f>B8+B9</f>
        <v/>
      </c>
    </row>
    <row r="18">
      <c r="A18" s="3" t="inlineStr">
        <is>
          <t>移動速度(m)</t>
        </is>
      </c>
      <c r="B18" s="7">
        <f>6+B7/2</f>
        <v/>
      </c>
      <c r="C18" s="3" t="inlineStr">
        <is>
          <t>負重上限(kg)</t>
        </is>
      </c>
      <c r="D18" s="7">
        <f>B7*10+20</f>
        <v/>
      </c>
    </row>
    <row r="19">
      <c r="A19" s="3" t="inlineStr">
        <is>
          <t>心靈護盾</t>
        </is>
      </c>
      <c r="B19" s="7">
        <f>B8+B6/2</f>
        <v/>
      </c>
      <c r="C19" s="3" t="inlineStr">
        <is>
          <t>命運點</t>
        </is>
      </c>
      <c r="D19" s="7">
        <f>B10</f>
        <v/>
      </c>
    </row>
    <row r="20">
      <c r="A20" s="3" t="inlineStr">
        <is>
          <t>生命值（HP） 健康 &gt;75%</t>
        </is>
      </c>
      <c r="B20" s="7">
        <f>B7*4+5</f>
        <v/>
      </c>
      <c r="C20" s="3" t="inlineStr">
        <is>
          <t>重傷 &lt;50%</t>
        </is>
      </c>
      <c r="D20" s="7">
        <f>ROUND((B7*4+5)/2,0)</f>
        <v/>
      </c>
    </row>
    <row r="21">
      <c r="A21" s="3" t="inlineStr">
        <is>
          <t>輕傷 &lt;75%</t>
        </is>
      </c>
      <c r="B21" s="7">
        <f>ROUND((B7*4+5)*0.75,0)</f>
        <v/>
      </c>
      <c r="C21" s="3" t="inlineStr">
        <is>
          <t>瀕死 &lt;25%</t>
        </is>
      </c>
      <c r="D21" s="7">
        <f>ROUND((B7*4+5)*0.25,0)</f>
        <v/>
      </c>
    </row>
    <row r="22"/>
    <row r="23">
      <c r="A23" s="5" t="inlineStr">
        <is>
          <t>武器裝備</t>
        </is>
      </c>
      <c r="B23" s="9" t="n"/>
      <c r="C23" s="9" t="n"/>
      <c r="D23" s="9" t="n"/>
      <c r="E23" s="9" t="n"/>
      <c r="F23" s="9" t="n"/>
      <c r="G23" s="9" t="n"/>
      <c r="H23" s="10" t="n"/>
    </row>
    <row r="24">
      <c r="A24" s="3" t="inlineStr">
        <is>
          <t>主武器名稱</t>
        </is>
      </c>
      <c r="B24" s="4" t="n"/>
      <c r="C24" s="3" t="inlineStr">
        <is>
          <t>基礎傷害</t>
        </is>
      </c>
      <c r="D24" s="4" t="n"/>
    </row>
    <row r="25">
      <c r="A25" s="3" t="inlineStr">
        <is>
          <t>傷害類型</t>
        </is>
      </c>
      <c r="B25" s="4" t="n"/>
      <c r="C25" s="3" t="inlineStr">
        <is>
          <t>彈匣容量</t>
        </is>
      </c>
      <c r="D25" s="4" t="n"/>
    </row>
    <row r="26">
      <c r="A26" s="3" t="inlineStr">
        <is>
          <t>副武器名稱</t>
        </is>
      </c>
      <c r="B26" s="4" t="n"/>
      <c r="C26" s="3" t="inlineStr">
        <is>
          <t>基礎傷害</t>
        </is>
      </c>
      <c r="D26" s="4" t="n"/>
    </row>
    <row r="27">
      <c r="A27" s="3" t="inlineStr">
        <is>
          <t>護甲名稱</t>
        </is>
      </c>
      <c r="B27" s="4" t="n"/>
      <c r="C27" s="3" t="inlineStr">
        <is>
          <t>護甲值（AR） 彈道</t>
        </is>
      </c>
      <c r="D27" s="4" t="n"/>
    </row>
    <row r="28">
      <c r="A28" s="3" t="inlineStr">
        <is>
          <t>護甲值（AR） 能量</t>
        </is>
      </c>
      <c r="B28" s="4" t="n"/>
      <c r="C28" s="3" t="inlineStr">
        <is>
          <t>護甲值（AR） 爆炸</t>
        </is>
      </c>
      <c r="D28" s="4" t="n"/>
    </row>
    <row r="29">
      <c r="A29" s="3" t="inlineStr">
        <is>
          <t>護甲值（AR） 撕裂</t>
        </is>
      </c>
      <c r="B29" s="4" t="n"/>
      <c r="C29" s="3" t="inlineStr">
        <is>
          <t>護甲值（AR） 火焰</t>
        </is>
      </c>
      <c r="D29" s="4" t="n"/>
    </row>
    <row r="30">
      <c r="A30" s="3" t="inlineStr">
        <is>
          <t>護甲防禦加值</t>
        </is>
      </c>
      <c r="B30" s="4" t="n"/>
    </row>
    <row r="31">
      <c r="A31" s="3" t="inlineStr">
        <is>
          <t>近戰攻擊 目標值（TN）</t>
        </is>
      </c>
      <c r="B31" s="7">
        <f>B7*10</f>
        <v/>
      </c>
      <c r="C31" s="3" t="inlineStr">
        <is>
          <t>遠程攻擊 目標值（TN）</t>
        </is>
      </c>
      <c r="D31" s="7">
        <f>B9*10</f>
        <v/>
      </c>
    </row>
    <row r="32"/>
    <row r="33">
      <c r="A33" s="5" t="inlineStr">
        <is>
          <t>技能（U=未受訓0 / T=受訓+10 / E=專家+20 / M=大師+30）</t>
        </is>
      </c>
      <c r="B33" s="9" t="n"/>
      <c r="C33" s="9" t="n"/>
      <c r="D33" s="9" t="n"/>
      <c r="E33" s="9" t="n"/>
      <c r="F33" s="9" t="n"/>
      <c r="G33" s="9" t="n"/>
      <c r="H33" s="10" t="n"/>
    </row>
    <row r="34">
      <c r="A34" s="3" t="inlineStr">
        <is>
          <t>技能名稱</t>
        </is>
      </c>
      <c r="B34" s="3" t="inlineStr">
        <is>
          <t>等級(U/T/E/M)</t>
        </is>
      </c>
      <c r="C34" s="3" t="inlineStr">
        <is>
          <t>加值</t>
        </is>
      </c>
      <c r="D34" s="3" t="inlineStr">
        <is>
          <t>主要屬性 目標值（TN）</t>
        </is>
      </c>
      <c r="E34" s="3" t="inlineStr">
        <is>
          <t>技能TN(標準)</t>
        </is>
      </c>
    </row>
    <row r="35">
      <c r="A35" s="8" t="inlineStr">
        <is>
          <t>運動(Athletics)</t>
        </is>
      </c>
      <c r="B35" s="4" t="n"/>
      <c r="C35" s="7">
        <f>IF(B35="T",10,IF(B35="E",20,IF(B35="M",30,0)))</f>
        <v/>
      </c>
      <c r="D35" s="7">
        <f>B7*10</f>
        <v/>
      </c>
      <c r="E35" s="7">
        <f>D35+C35</f>
        <v/>
      </c>
    </row>
    <row r="36">
      <c r="A36" s="8" t="inlineStr">
        <is>
          <t>近戰(Weapon Skill)</t>
        </is>
      </c>
      <c r="B36" s="4" t="n"/>
      <c r="C36" s="7">
        <f>IF(B36="T",10,IF(B36="E",20,IF(B36="M",30,0)))</f>
        <v/>
      </c>
      <c r="D36" s="7">
        <f>B7*10</f>
        <v/>
      </c>
      <c r="E36" s="7">
        <f>D36+C36</f>
        <v/>
      </c>
    </row>
    <row r="37">
      <c r="A37" s="8" t="inlineStr">
        <is>
          <t>堅韌(Endurance)</t>
        </is>
      </c>
      <c r="B37" s="4" t="n"/>
      <c r="C37" s="7">
        <f>IF(B37="T",10,IF(B37="E",20,IF(B37="M",30,0)))</f>
        <v/>
      </c>
      <c r="D37" s="7">
        <f>B7*10</f>
        <v/>
      </c>
      <c r="E37" s="7">
        <f>D37+C37</f>
        <v/>
      </c>
    </row>
    <row r="38">
      <c r="A38" s="8" t="inlineStr">
        <is>
          <t>警覺(Awareness)</t>
        </is>
      </c>
      <c r="B38" s="4" t="n"/>
      <c r="C38" s="7">
        <f>IF(B38="T",10,IF(B38="E",20,IF(B38="M",30,0)))</f>
        <v/>
      </c>
      <c r="D38" s="7">
        <f>B8*10</f>
        <v/>
      </c>
      <c r="E38" s="7">
        <f>D38+C38</f>
        <v/>
      </c>
    </row>
    <row r="39">
      <c r="A39" s="8" t="inlineStr">
        <is>
          <t>調查(Investigation)</t>
        </is>
      </c>
      <c r="B39" s="4" t="n"/>
      <c r="C39" s="7">
        <f>IF(B39="T",10,IF(B39="E",20,IF(B39="M",30,0)))</f>
        <v/>
      </c>
      <c r="D39" s="7">
        <f>B8*10</f>
        <v/>
      </c>
      <c r="E39" s="7">
        <f>D39+C39</f>
        <v/>
      </c>
    </row>
    <row r="40">
      <c r="A40" s="8" t="inlineStr">
        <is>
          <t>學識(Lore)</t>
        </is>
      </c>
      <c r="B40" s="4" t="n"/>
      <c r="C40" s="7">
        <f>IF(B40="T",10,IF(B40="E",20,IF(B40="M",30,0)))</f>
        <v/>
      </c>
      <c r="D40" s="7">
        <f>B8*10</f>
        <v/>
      </c>
      <c r="E40" s="7">
        <f>D40+C40</f>
        <v/>
      </c>
    </row>
    <row r="41">
      <c r="A41" s="8" t="inlineStr">
        <is>
          <t>醫療(Medicae)</t>
        </is>
      </c>
      <c r="B41" s="4" t="n"/>
      <c r="C41" s="7">
        <f>IF(B41="T",10,IF(B41="E",20,IF(B41="M",30,0)))</f>
        <v/>
      </c>
      <c r="D41" s="7">
        <f>B8*10</f>
        <v/>
      </c>
      <c r="E41" s="7">
        <f>D41+C41</f>
        <v/>
      </c>
    </row>
    <row r="42">
      <c r="A42" s="8" t="inlineStr">
        <is>
          <t>靈能感知(Psyniscience)</t>
        </is>
      </c>
      <c r="B42" s="4" t="n"/>
      <c r="C42" s="7">
        <f>IF(B42="T",10,IF(B42="E",20,IF(B42="M",30,0)))</f>
        <v/>
      </c>
      <c r="D42" s="7">
        <f>B6*10</f>
        <v/>
      </c>
      <c r="E42" s="7">
        <f>D42+C42</f>
        <v/>
      </c>
    </row>
    <row r="43">
      <c r="A43" s="8" t="inlineStr">
        <is>
          <t>佈道(Oratory)</t>
        </is>
      </c>
      <c r="B43" s="4" t="n"/>
      <c r="C43" s="7">
        <f>IF(B43="T",10,IF(B43="E",20,IF(B43="M",30,0)))</f>
        <v/>
      </c>
      <c r="D43" s="7">
        <f>B6*10</f>
        <v/>
      </c>
      <c r="E43" s="7">
        <f>D43+C43</f>
        <v/>
      </c>
    </row>
    <row r="44">
      <c r="A44" s="8" t="inlineStr">
        <is>
          <t>遠程射擊(Ballistic)</t>
        </is>
      </c>
      <c r="B44" s="4" t="n"/>
      <c r="C44" s="7">
        <f>IF(B44="T",10,IF(B44="E",20,IF(B44="M",30,0)))</f>
        <v/>
      </c>
      <c r="D44" s="7">
        <f>B9*10</f>
        <v/>
      </c>
      <c r="E44" s="7">
        <f>D44+C44</f>
        <v/>
      </c>
    </row>
    <row r="45">
      <c r="A45" s="8" t="inlineStr">
        <is>
          <t>技術(Tech-Use)</t>
        </is>
      </c>
      <c r="B45" s="4" t="n"/>
      <c r="C45" s="7">
        <f>IF(B45="T",10,IF(B45="E",20,IF(B45="M",30,0)))</f>
        <v/>
      </c>
      <c r="D45" s="7">
        <f>B9*10</f>
        <v/>
      </c>
      <c r="E45" s="7">
        <f>D45+C45</f>
        <v/>
      </c>
    </row>
    <row r="46">
      <c r="A46" s="8" t="inlineStr">
        <is>
          <t>潛行(Stealth)</t>
        </is>
      </c>
      <c r="B46" s="4" t="n"/>
      <c r="C46" s="7">
        <f>IF(B46="T",10,IF(B46="E",20,IF(B46="M",30,0)))</f>
        <v/>
      </c>
      <c r="D46" s="7">
        <f>B9*10</f>
        <v/>
      </c>
      <c r="E46" s="7">
        <f>D46+C46</f>
        <v/>
      </c>
    </row>
    <row r="47">
      <c r="A47" s="8" t="inlineStr">
        <is>
          <t>指揮(Command)</t>
        </is>
      </c>
      <c r="B47" s="4" t="n"/>
      <c r="C47" s="7">
        <f>IF(B47="T",10,IF(B47="E",20,IF(B47="M",30,0)))</f>
        <v/>
      </c>
      <c r="D47" s="7">
        <f>B10*10</f>
        <v/>
      </c>
      <c r="E47" s="7">
        <f>D47+C47</f>
        <v/>
      </c>
    </row>
    <row r="48">
      <c r="A48" s="8" t="inlineStr">
        <is>
          <t>欺瞞(Deceive)</t>
        </is>
      </c>
      <c r="B48" s="4" t="n"/>
      <c r="C48" s="7">
        <f>IF(B48="T",10,IF(B48="E",20,IF(B48="M",30,0)))</f>
        <v/>
      </c>
      <c r="D48" s="7">
        <f>B10*10</f>
        <v/>
      </c>
      <c r="E48" s="7">
        <f>D48+C48</f>
        <v/>
      </c>
    </row>
    <row r="49"/>
    <row r="50">
      <c r="A50" s="5" t="inlineStr">
        <is>
          <t>判詞與底線</t>
        </is>
      </c>
      <c r="B50" s="9" t="n"/>
      <c r="C50" s="9" t="n"/>
      <c r="D50" s="9" t="n"/>
      <c r="E50" s="9" t="n"/>
      <c r="F50" s="9" t="n"/>
      <c r="G50" s="9" t="n"/>
      <c r="H50" s="10" t="n"/>
    </row>
    <row r="51">
      <c r="A51" s="3" t="inlineStr">
        <is>
          <t>判詞特殊能力</t>
        </is>
      </c>
      <c r="B51" s="4" t="n"/>
      <c r="C51" s="9" t="n"/>
      <c r="D51" s="9" t="n"/>
      <c r="E51" s="9" t="n"/>
      <c r="F51" s="10" t="n"/>
    </row>
    <row r="52"/>
    <row r="53">
      <c r="A53" s="3" t="inlineStr">
        <is>
          <t>贖罪條件</t>
        </is>
      </c>
      <c r="B53" s="4" t="n"/>
      <c r="C53" s="9" t="n"/>
      <c r="D53" s="9" t="n"/>
      <c r="E53" s="9" t="n"/>
      <c r="F53" s="10" t="n"/>
    </row>
    <row r="54"/>
    <row r="55">
      <c r="A55" s="3" t="inlineStr">
        <is>
          <t>我的底線 (Red Line)</t>
        </is>
      </c>
      <c r="B55" s="4" t="n"/>
      <c r="C55" s="9" t="n"/>
      <c r="D55" s="9" t="n"/>
      <c r="E55" s="9" t="n"/>
      <c r="F55" s="10" t="n"/>
    </row>
    <row r="56"/>
    <row r="57">
      <c r="A57" s="3" t="inlineStr">
        <is>
          <t>個人裝備/物品</t>
        </is>
      </c>
      <c r="B57" s="4" t="n"/>
      <c r="C57" s="9" t="n"/>
      <c r="D57" s="9" t="n"/>
      <c r="E57" s="9" t="n"/>
      <c r="F57" s="10" t="n"/>
    </row>
    <row r="58"/>
    <row r="59">
      <c r="A59" s="3" t="inlineStr">
        <is>
          <t>帝皇/混沌印記</t>
        </is>
      </c>
      <c r="B59" s="4" t="n"/>
      <c r="C59" s="9" t="n"/>
      <c r="D59" s="9" t="n"/>
      <c r="E59" s="9" t="n"/>
      <c r="F59" s="10" t="n"/>
    </row>
    <row r="60"/>
    <row r="61">
      <c r="A61" s="11" t="inlineStr">
        <is>
          <t>背景：未登記靈能者。能聽到亞空間的聲音。審判庭給了他一個選擇：靈魂綁定，或為帝國服務。</t>
        </is>
      </c>
      <c r="H61" s="12" t="n"/>
    </row>
    <row r="62">
      <c r="A62" s="14" t="n"/>
      <c r="B62" s="13" t="n"/>
      <c r="C62" s="13" t="n"/>
      <c r="D62" s="13" t="n"/>
      <c r="E62" s="13" t="n"/>
      <c r="F62" s="13" t="n"/>
      <c r="G62" s="13" t="n"/>
      <c r="H62" s="14" t="n"/>
    </row>
    <row r="63">
      <c r="A63" s="15" t="inlineStr">
        <is>
          <t>• TN上限=95：任何檢定TN不得超過95（96-00永遠失敗）</t>
        </is>
      </c>
    </row>
    <row r="64">
      <c r="A64" s="15" t="inlineStr">
        <is>
          <t>• 信仰歸零→「靈魂的黑夜」：立即信念危機、無法使用信仰、每日腐化+1</t>
        </is>
      </c>
    </row>
    <row r="65">
      <c r="A65" s="15" t="inlineStr">
        <is>
          <t>• 創傷：單次傷害超過創傷上限時觸發（輕微/中等/重創/致命）</t>
        </is>
      </c>
    </row>
    <row r="66">
      <c r="A66" s="15" t="inlineStr">
        <is>
          <t>• 醫療包：恢復 2d6 生命值（HP）。每次任務小隊共享 3 次使用。軍需官購買 15 帝皇幣（TG）（限購 2）</t>
        </is>
      </c>
    </row>
    <row r="67">
      <c r="A67" s="15" t="inlineStr">
        <is>
          <t>• 生命值（HP） 狀態：健康&gt;75% / 輕傷50-75% / 重傷25-50%(物理劣勢) / 瀕死&lt;25%</t>
        </is>
      </c>
    </row>
    <row r="68">
      <c r="A68" s="15" t="inlineStr">
        <is>
          <t>• 任務間恢復：HP自動回滿、信仰恢復 1d6+信仰值、腐化不自動降低</t>
        </is>
      </c>
    </row>
    <row r="69">
      <c r="A69" s="15" t="inlineStr">
        <is>
          <t>• 彈藥配給：每人 2 彈匣。額外彈匣 15 帝皇幣（TG）。搜刮：技藝檢定（標準）</t>
        </is>
      </c>
    </row>
    <row r="70">
      <c r="A70" s="15" t="inlineStr">
        <is>
          <t>• 環境傷害：見 GM 指南——火焰/墜落/毒氣/輻射/真空 速查表</t>
        </is>
      </c>
    </row>
  </sheetData>
  <mergeCells count="21">
    <mergeCell ref="A67:H67"/>
    <mergeCell ref="B59:F59"/>
    <mergeCell ref="A64:H64"/>
    <mergeCell ref="A1:H1"/>
    <mergeCell ref="A70:H70"/>
    <mergeCell ref="A69:H69"/>
    <mergeCell ref="A65:H65"/>
    <mergeCell ref="A66:H66"/>
    <mergeCell ref="B57:F57"/>
    <mergeCell ref="A12:H12"/>
    <mergeCell ref="A50:H50"/>
    <mergeCell ref="B53:F53"/>
    <mergeCell ref="A33:H33"/>
    <mergeCell ref="A5:H5"/>
    <mergeCell ref="A23:H23"/>
    <mergeCell ref="A61:H62"/>
    <mergeCell ref="A62:H62"/>
    <mergeCell ref="B55:F55"/>
    <mergeCell ref="A63:H63"/>
    <mergeCell ref="B51:F51"/>
    <mergeCell ref="A68:H6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帝國棄子 TRPG — 馬庫斯·灰</t>
        </is>
      </c>
      <c r="B1" s="9" t="n"/>
      <c r="C1" s="9" t="n"/>
      <c r="D1" s="9" t="n"/>
      <c r="E1" s="9" t="n"/>
      <c r="F1" s="9" t="n"/>
      <c r="G1" s="9" t="n"/>
      <c r="H1" s="10" t="n"/>
    </row>
    <row r="2"/>
    <row r="3">
      <c r="A3" s="3" t="inlineStr">
        <is>
          <t>角色名稱</t>
        </is>
      </c>
      <c r="B3" s="4" t="inlineStr">
        <is>
          <t>馬庫斯·灰</t>
        </is>
      </c>
      <c r="C3" s="3" t="inlineStr">
        <is>
          <t>前身職業</t>
        </is>
      </c>
      <c r="D3" s="4" t="inlineStr">
        <is>
          <t>貴族管家</t>
        </is>
      </c>
      <c r="E3" s="3" t="inlineStr">
        <is>
          <t>罪名</t>
        </is>
      </c>
      <c r="F3" s="4" t="inlineStr">
        <is>
          <t>叛徒</t>
        </is>
      </c>
    </row>
    <row r="4"/>
    <row r="5">
      <c r="A5" s="5" t="inlineStr">
        <is>
          <t>五大屬性（數值 1-5）</t>
        </is>
      </c>
      <c r="B5" s="9" t="n"/>
      <c r="C5" s="9" t="n"/>
      <c r="D5" s="9" t="n"/>
      <c r="E5" s="9" t="n"/>
      <c r="F5" s="9" t="n"/>
      <c r="G5" s="9" t="n"/>
      <c r="H5" s="10" t="n"/>
    </row>
    <row r="6">
      <c r="A6" s="3" t="inlineStr">
        <is>
          <t>信仰</t>
        </is>
      </c>
      <c r="B6" s="4" t="n">
        <v>3</v>
      </c>
      <c r="C6" s="3" t="inlineStr"/>
    </row>
    <row r="7">
      <c r="A7" s="3" t="inlineStr">
        <is>
          <t>體魄</t>
        </is>
      </c>
      <c r="B7" s="4" t="n">
        <v>3</v>
      </c>
      <c r="C7" s="3" t="inlineStr"/>
    </row>
    <row r="8">
      <c r="A8" s="3" t="inlineStr">
        <is>
          <t>心智</t>
        </is>
      </c>
      <c r="B8" s="4" t="n">
        <v>4</v>
      </c>
      <c r="C8" s="3" t="inlineStr"/>
    </row>
    <row r="9">
      <c r="A9" s="3" t="inlineStr">
        <is>
          <t>技藝</t>
        </is>
      </c>
      <c r="B9" s="4" t="n">
        <v>2</v>
      </c>
      <c r="C9" s="3" t="inlineStr"/>
    </row>
    <row r="10">
      <c r="A10" s="3" t="inlineStr">
        <is>
          <t>命運</t>
        </is>
      </c>
      <c r="B10" s="4" t="n">
        <v>3</v>
      </c>
      <c r="C10" s="3" t="inlineStr"/>
    </row>
    <row r="11"/>
    <row r="12">
      <c r="A12" s="5" t="inlineStr">
        <is>
          <t>衍生屬性（自動計算）</t>
        </is>
      </c>
      <c r="B12" s="9" t="n"/>
      <c r="C12" s="9" t="n"/>
      <c r="D12" s="9" t="n"/>
      <c r="E12" s="9" t="n"/>
      <c r="F12" s="9" t="n"/>
      <c r="G12" s="9" t="n"/>
      <c r="H12" s="10" t="n"/>
    </row>
    <row r="13"/>
    <row r="14">
      <c r="A14" s="3" t="inlineStr">
        <is>
          <t>生命值（HP）（生命值）</t>
        </is>
      </c>
      <c r="B14" s="7">
        <f>B7*4+5</f>
        <v/>
      </c>
      <c r="C14" s="3" t="inlineStr">
        <is>
          <t>當前 生命值（HP）</t>
        </is>
      </c>
      <c r="D14" s="4" t="n"/>
    </row>
    <row r="15">
      <c r="A15" s="3" t="inlineStr">
        <is>
          <t>信仰池</t>
        </is>
      </c>
      <c r="B15" s="7">
        <f>B6*3+5</f>
        <v/>
      </c>
      <c r="C15" s="3" t="inlineStr">
        <is>
          <t>當前信仰</t>
        </is>
      </c>
      <c r="D15" s="4" t="n"/>
    </row>
    <row r="16">
      <c r="A16" s="3" t="inlineStr">
        <is>
          <t>腐化值（0-100）</t>
        </is>
      </c>
      <c r="B16" s="4" t="n"/>
      <c r="C16" s="3" t="inlineStr">
        <is>
          <t>創傷上限</t>
        </is>
      </c>
      <c r="D16" s="7">
        <f>B8*2+3</f>
        <v/>
      </c>
    </row>
    <row r="17">
      <c r="A17" s="3" t="inlineStr">
        <is>
          <t>防禦值</t>
        </is>
      </c>
      <c r="B17" s="7">
        <f>ROUNDUP(B9/2,0)+G27</f>
        <v/>
      </c>
      <c r="C17" s="3" t="inlineStr">
        <is>
          <t>先攻基礎</t>
        </is>
      </c>
      <c r="D17" s="7">
        <f>B8+B9</f>
        <v/>
      </c>
    </row>
    <row r="18">
      <c r="A18" s="3" t="inlineStr">
        <is>
          <t>移動速度(m)</t>
        </is>
      </c>
      <c r="B18" s="7">
        <f>6+B7/2</f>
        <v/>
      </c>
      <c r="C18" s="3" t="inlineStr">
        <is>
          <t>負重上限(kg)</t>
        </is>
      </c>
      <c r="D18" s="7">
        <f>B7*10+20</f>
        <v/>
      </c>
    </row>
    <row r="19">
      <c r="A19" s="3" t="inlineStr">
        <is>
          <t>心靈護盾</t>
        </is>
      </c>
      <c r="B19" s="7">
        <f>B8+B6/2</f>
        <v/>
      </c>
      <c r="C19" s="3" t="inlineStr">
        <is>
          <t>命運點</t>
        </is>
      </c>
      <c r="D19" s="7">
        <f>B10</f>
        <v/>
      </c>
    </row>
    <row r="20">
      <c r="A20" s="3" t="inlineStr">
        <is>
          <t>生命值（HP） 健康 &gt;75%</t>
        </is>
      </c>
      <c r="B20" s="7">
        <f>B7*4+5</f>
        <v/>
      </c>
      <c r="C20" s="3" t="inlineStr">
        <is>
          <t>重傷 &lt;50%</t>
        </is>
      </c>
      <c r="D20" s="7">
        <f>ROUND((B7*4+5)/2,0)</f>
        <v/>
      </c>
    </row>
    <row r="21">
      <c r="A21" s="3" t="inlineStr">
        <is>
          <t>輕傷 &lt;75%</t>
        </is>
      </c>
      <c r="B21" s="7">
        <f>ROUND((B7*4+5)*0.75,0)</f>
        <v/>
      </c>
      <c r="C21" s="3" t="inlineStr">
        <is>
          <t>瀕死 &lt;25%</t>
        </is>
      </c>
      <c r="D21" s="7">
        <f>ROUND((B7*4+5)*0.25,0)</f>
        <v/>
      </c>
    </row>
    <row r="22"/>
    <row r="23">
      <c r="A23" s="5" t="inlineStr">
        <is>
          <t>武器裝備</t>
        </is>
      </c>
      <c r="B23" s="9" t="n"/>
      <c r="C23" s="9" t="n"/>
      <c r="D23" s="9" t="n"/>
      <c r="E23" s="9" t="n"/>
      <c r="F23" s="9" t="n"/>
      <c r="G23" s="9" t="n"/>
      <c r="H23" s="10" t="n"/>
    </row>
    <row r="24">
      <c r="A24" s="3" t="inlineStr">
        <is>
          <t>主武器名稱</t>
        </is>
      </c>
      <c r="B24" s="4" t="n"/>
      <c r="C24" s="3" t="inlineStr">
        <is>
          <t>基礎傷害</t>
        </is>
      </c>
      <c r="D24" s="4" t="n"/>
    </row>
    <row r="25">
      <c r="A25" s="3" t="inlineStr">
        <is>
          <t>傷害類型</t>
        </is>
      </c>
      <c r="B25" s="4" t="n"/>
      <c r="C25" s="3" t="inlineStr">
        <is>
          <t>彈匣容量</t>
        </is>
      </c>
      <c r="D25" s="4" t="n"/>
    </row>
    <row r="26">
      <c r="A26" s="3" t="inlineStr">
        <is>
          <t>副武器名稱</t>
        </is>
      </c>
      <c r="B26" s="4" t="n"/>
      <c r="C26" s="3" t="inlineStr">
        <is>
          <t>基礎傷害</t>
        </is>
      </c>
      <c r="D26" s="4" t="n"/>
    </row>
    <row r="27">
      <c r="A27" s="3" t="inlineStr">
        <is>
          <t>護甲名稱</t>
        </is>
      </c>
      <c r="B27" s="4" t="n"/>
      <c r="C27" s="3" t="inlineStr">
        <is>
          <t>護甲值（AR） 彈道</t>
        </is>
      </c>
      <c r="D27" s="4" t="n"/>
    </row>
    <row r="28">
      <c r="A28" s="3" t="inlineStr">
        <is>
          <t>護甲值（AR） 能量</t>
        </is>
      </c>
      <c r="B28" s="4" t="n"/>
      <c r="C28" s="3" t="inlineStr">
        <is>
          <t>護甲值（AR） 爆炸</t>
        </is>
      </c>
      <c r="D28" s="4" t="n"/>
    </row>
    <row r="29">
      <c r="A29" s="3" t="inlineStr">
        <is>
          <t>護甲值（AR） 撕裂</t>
        </is>
      </c>
      <c r="B29" s="4" t="n"/>
      <c r="C29" s="3" t="inlineStr">
        <is>
          <t>護甲值（AR） 火焰</t>
        </is>
      </c>
      <c r="D29" s="4" t="n"/>
    </row>
    <row r="30">
      <c r="A30" s="3" t="inlineStr">
        <is>
          <t>護甲防禦加值</t>
        </is>
      </c>
      <c r="B30" s="4" t="n"/>
    </row>
    <row r="31">
      <c r="A31" s="3" t="inlineStr">
        <is>
          <t>近戰攻擊 目標值（TN）</t>
        </is>
      </c>
      <c r="B31" s="7">
        <f>B7*10</f>
        <v/>
      </c>
      <c r="C31" s="3" t="inlineStr">
        <is>
          <t>遠程攻擊 目標值（TN）</t>
        </is>
      </c>
      <c r="D31" s="7">
        <f>B9*10</f>
        <v/>
      </c>
    </row>
    <row r="32"/>
    <row r="33">
      <c r="A33" s="5" t="inlineStr">
        <is>
          <t>技能（U=未受訓0 / T=受訓+10 / E=專家+20 / M=大師+30）</t>
        </is>
      </c>
      <c r="B33" s="9" t="n"/>
      <c r="C33" s="9" t="n"/>
      <c r="D33" s="9" t="n"/>
      <c r="E33" s="9" t="n"/>
      <c r="F33" s="9" t="n"/>
      <c r="G33" s="9" t="n"/>
      <c r="H33" s="10" t="n"/>
    </row>
    <row r="34">
      <c r="A34" s="3" t="inlineStr">
        <is>
          <t>技能名稱</t>
        </is>
      </c>
      <c r="B34" s="3" t="inlineStr">
        <is>
          <t>等級(U/T/E/M)</t>
        </is>
      </c>
      <c r="C34" s="3" t="inlineStr">
        <is>
          <t>加值</t>
        </is>
      </c>
      <c r="D34" s="3" t="inlineStr">
        <is>
          <t>主要屬性 目標值（TN）</t>
        </is>
      </c>
      <c r="E34" s="3" t="inlineStr">
        <is>
          <t>技能TN(標準)</t>
        </is>
      </c>
    </row>
    <row r="35">
      <c r="A35" s="8" t="inlineStr">
        <is>
          <t>運動(Athletics)</t>
        </is>
      </c>
      <c r="B35" s="4" t="n"/>
      <c r="C35" s="7">
        <f>IF(B35="T",10,IF(B35="E",20,IF(B35="M",30,0)))</f>
        <v/>
      </c>
      <c r="D35" s="7">
        <f>B7*10</f>
        <v/>
      </c>
      <c r="E35" s="7">
        <f>D35+C35</f>
        <v/>
      </c>
    </row>
    <row r="36">
      <c r="A36" s="8" t="inlineStr">
        <is>
          <t>近戰(Weapon Skill)</t>
        </is>
      </c>
      <c r="B36" s="4" t="n"/>
      <c r="C36" s="7">
        <f>IF(B36="T",10,IF(B36="E",20,IF(B36="M",30,0)))</f>
        <v/>
      </c>
      <c r="D36" s="7">
        <f>B7*10</f>
        <v/>
      </c>
      <c r="E36" s="7">
        <f>D36+C36</f>
        <v/>
      </c>
    </row>
    <row r="37">
      <c r="A37" s="8" t="inlineStr">
        <is>
          <t>堅韌(Endurance)</t>
        </is>
      </c>
      <c r="B37" s="4" t="n"/>
      <c r="C37" s="7">
        <f>IF(B37="T",10,IF(B37="E",20,IF(B37="M",30,0)))</f>
        <v/>
      </c>
      <c r="D37" s="7">
        <f>B7*10</f>
        <v/>
      </c>
      <c r="E37" s="7">
        <f>D37+C37</f>
        <v/>
      </c>
    </row>
    <row r="38">
      <c r="A38" s="8" t="inlineStr">
        <is>
          <t>警覺(Awareness)</t>
        </is>
      </c>
      <c r="B38" s="4" t="n"/>
      <c r="C38" s="7">
        <f>IF(B38="T",10,IF(B38="E",20,IF(B38="M",30,0)))</f>
        <v/>
      </c>
      <c r="D38" s="7">
        <f>B8*10</f>
        <v/>
      </c>
      <c r="E38" s="7">
        <f>D38+C38</f>
        <v/>
      </c>
    </row>
    <row r="39">
      <c r="A39" s="8" t="inlineStr">
        <is>
          <t>調查(Investigation)</t>
        </is>
      </c>
      <c r="B39" s="4" t="n"/>
      <c r="C39" s="7">
        <f>IF(B39="T",10,IF(B39="E",20,IF(B39="M",30,0)))</f>
        <v/>
      </c>
      <c r="D39" s="7">
        <f>B8*10</f>
        <v/>
      </c>
      <c r="E39" s="7">
        <f>D39+C39</f>
        <v/>
      </c>
    </row>
    <row r="40">
      <c r="A40" s="8" t="inlineStr">
        <is>
          <t>學識(Lore)</t>
        </is>
      </c>
      <c r="B40" s="4" t="n"/>
      <c r="C40" s="7">
        <f>IF(B40="T",10,IF(B40="E",20,IF(B40="M",30,0)))</f>
        <v/>
      </c>
      <c r="D40" s="7">
        <f>B8*10</f>
        <v/>
      </c>
      <c r="E40" s="7">
        <f>D40+C40</f>
        <v/>
      </c>
    </row>
    <row r="41">
      <c r="A41" s="8" t="inlineStr">
        <is>
          <t>醫療(Medicae)</t>
        </is>
      </c>
      <c r="B41" s="4" t="n"/>
      <c r="C41" s="7">
        <f>IF(B41="T",10,IF(B41="E",20,IF(B41="M",30,0)))</f>
        <v/>
      </c>
      <c r="D41" s="7">
        <f>B8*10</f>
        <v/>
      </c>
      <c r="E41" s="7">
        <f>D41+C41</f>
        <v/>
      </c>
    </row>
    <row r="42">
      <c r="A42" s="8" t="inlineStr">
        <is>
          <t>靈能感知(Psyniscience)</t>
        </is>
      </c>
      <c r="B42" s="4" t="n"/>
      <c r="C42" s="7">
        <f>IF(B42="T",10,IF(B42="E",20,IF(B42="M",30,0)))</f>
        <v/>
      </c>
      <c r="D42" s="7">
        <f>B6*10</f>
        <v/>
      </c>
      <c r="E42" s="7">
        <f>D42+C42</f>
        <v/>
      </c>
    </row>
    <row r="43">
      <c r="A43" s="8" t="inlineStr">
        <is>
          <t>佈道(Oratory)</t>
        </is>
      </c>
      <c r="B43" s="4" t="n"/>
      <c r="C43" s="7">
        <f>IF(B43="T",10,IF(B43="E",20,IF(B43="M",30,0)))</f>
        <v/>
      </c>
      <c r="D43" s="7">
        <f>B6*10</f>
        <v/>
      </c>
      <c r="E43" s="7">
        <f>D43+C43</f>
        <v/>
      </c>
    </row>
    <row r="44">
      <c r="A44" s="8" t="inlineStr">
        <is>
          <t>遠程射擊(Ballistic)</t>
        </is>
      </c>
      <c r="B44" s="4" t="n"/>
      <c r="C44" s="7">
        <f>IF(B44="T",10,IF(B44="E",20,IF(B44="M",30,0)))</f>
        <v/>
      </c>
      <c r="D44" s="7">
        <f>B9*10</f>
        <v/>
      </c>
      <c r="E44" s="7">
        <f>D44+C44</f>
        <v/>
      </c>
    </row>
    <row r="45">
      <c r="A45" s="8" t="inlineStr">
        <is>
          <t>技術(Tech-Use)</t>
        </is>
      </c>
      <c r="B45" s="4" t="n"/>
      <c r="C45" s="7">
        <f>IF(B45="T",10,IF(B45="E",20,IF(B45="M",30,0)))</f>
        <v/>
      </c>
      <c r="D45" s="7">
        <f>B9*10</f>
        <v/>
      </c>
      <c r="E45" s="7">
        <f>D45+C45</f>
        <v/>
      </c>
    </row>
    <row r="46">
      <c r="A46" s="8" t="inlineStr">
        <is>
          <t>潛行(Stealth)</t>
        </is>
      </c>
      <c r="B46" s="4" t="n"/>
      <c r="C46" s="7">
        <f>IF(B46="T",10,IF(B46="E",20,IF(B46="M",30,0)))</f>
        <v/>
      </c>
      <c r="D46" s="7">
        <f>B9*10</f>
        <v/>
      </c>
      <c r="E46" s="7">
        <f>D46+C46</f>
        <v/>
      </c>
    </row>
    <row r="47">
      <c r="A47" s="8" t="inlineStr">
        <is>
          <t>指揮(Command)</t>
        </is>
      </c>
      <c r="B47" s="4" t="n"/>
      <c r="C47" s="7">
        <f>IF(B47="T",10,IF(B47="E",20,IF(B47="M",30,0)))</f>
        <v/>
      </c>
      <c r="D47" s="7">
        <f>B10*10</f>
        <v/>
      </c>
      <c r="E47" s="7">
        <f>D47+C47</f>
        <v/>
      </c>
    </row>
    <row r="48">
      <c r="A48" s="8" t="inlineStr">
        <is>
          <t>欺瞞(Deceive)</t>
        </is>
      </c>
      <c r="B48" s="4" t="n"/>
      <c r="C48" s="7">
        <f>IF(B48="T",10,IF(B48="E",20,IF(B48="M",30,0)))</f>
        <v/>
      </c>
      <c r="D48" s="7">
        <f>B10*10</f>
        <v/>
      </c>
      <c r="E48" s="7">
        <f>D48+C48</f>
        <v/>
      </c>
    </row>
    <row r="49"/>
    <row r="50">
      <c r="A50" s="5" t="inlineStr">
        <is>
          <t>判詞與底線</t>
        </is>
      </c>
      <c r="B50" s="9" t="n"/>
      <c r="C50" s="9" t="n"/>
      <c r="D50" s="9" t="n"/>
      <c r="E50" s="9" t="n"/>
      <c r="F50" s="9" t="n"/>
      <c r="G50" s="9" t="n"/>
      <c r="H50" s="10" t="n"/>
    </row>
    <row r="51">
      <c r="A51" s="3" t="inlineStr">
        <is>
          <t>判詞特殊能力</t>
        </is>
      </c>
      <c r="B51" s="4" t="n"/>
      <c r="C51" s="9" t="n"/>
      <c r="D51" s="9" t="n"/>
      <c r="E51" s="9" t="n"/>
      <c r="F51" s="10" t="n"/>
    </row>
    <row r="52"/>
    <row r="53">
      <c r="A53" s="3" t="inlineStr">
        <is>
          <t>贖罪條件</t>
        </is>
      </c>
      <c r="B53" s="4" t="n"/>
      <c r="C53" s="9" t="n"/>
      <c r="D53" s="9" t="n"/>
      <c r="E53" s="9" t="n"/>
      <c r="F53" s="10" t="n"/>
    </row>
    <row r="54"/>
    <row r="55">
      <c r="A55" s="3" t="inlineStr">
        <is>
          <t>我的底線 (Red Line)</t>
        </is>
      </c>
      <c r="B55" s="4" t="n"/>
      <c r="C55" s="9" t="n"/>
      <c r="D55" s="9" t="n"/>
      <c r="E55" s="9" t="n"/>
      <c r="F55" s="10" t="n"/>
    </row>
    <row r="56"/>
    <row r="57">
      <c r="A57" s="3" t="inlineStr">
        <is>
          <t>個人裝備/物品</t>
        </is>
      </c>
      <c r="B57" s="4" t="n"/>
      <c r="C57" s="9" t="n"/>
      <c r="D57" s="9" t="n"/>
      <c r="E57" s="9" t="n"/>
      <c r="F57" s="10" t="n"/>
    </row>
    <row r="58"/>
    <row r="59">
      <c r="A59" s="3" t="inlineStr">
        <is>
          <t>帝皇/混沌印記</t>
        </is>
      </c>
      <c r="B59" s="4" t="n"/>
      <c r="C59" s="9" t="n"/>
      <c r="D59" s="9" t="n"/>
      <c r="E59" s="9" t="n"/>
      <c r="F59" s="10" t="n"/>
    </row>
    <row r="60"/>
    <row r="61">
      <c r="A61" s="11" t="inlineStr">
        <is>
          <t>背景：曾為叛軍管理後勤——不是自願的，是被迫的。但審判庭不區分「叛徒」和「被捲入者」。</t>
        </is>
      </c>
      <c r="H61" s="12" t="n"/>
    </row>
    <row r="62">
      <c r="A62" s="14" t="n"/>
      <c r="B62" s="13" t="n"/>
      <c r="C62" s="13" t="n"/>
      <c r="D62" s="13" t="n"/>
      <c r="E62" s="13" t="n"/>
      <c r="F62" s="13" t="n"/>
      <c r="G62" s="13" t="n"/>
      <c r="H62" s="14" t="n"/>
    </row>
    <row r="63">
      <c r="A63" s="15" t="inlineStr">
        <is>
          <t>• TN上限=95：任何檢定TN不得超過95（96-00永遠失敗）</t>
        </is>
      </c>
    </row>
    <row r="64">
      <c r="A64" s="15" t="inlineStr">
        <is>
          <t>• 信仰歸零→「靈魂的黑夜」：立即信念危機、無法使用信仰、每日腐化+1</t>
        </is>
      </c>
    </row>
    <row r="65">
      <c r="A65" s="15" t="inlineStr">
        <is>
          <t>• 創傷：單次傷害超過創傷上限時觸發（輕微/中等/重創/致命）</t>
        </is>
      </c>
    </row>
    <row r="66">
      <c r="A66" s="15" t="inlineStr">
        <is>
          <t>• 醫療包：恢復 2d6 生命值（HP）。每次任務小隊共享 3 次使用。軍需官購買 15 帝皇幣（TG）（限購 2）</t>
        </is>
      </c>
    </row>
    <row r="67">
      <c r="A67" s="15" t="inlineStr">
        <is>
          <t>• 生命值（HP） 狀態：健康&gt;75% / 輕傷50-75% / 重傷25-50%(物理劣勢) / 瀕死&lt;25%</t>
        </is>
      </c>
    </row>
    <row r="68">
      <c r="A68" s="15" t="inlineStr">
        <is>
          <t>• 任務間恢復：HP自動回滿、信仰恢復 1d6+信仰值、腐化不自動降低</t>
        </is>
      </c>
    </row>
    <row r="69">
      <c r="A69" s="15" t="inlineStr">
        <is>
          <t>• 彈藥配給：每人 2 彈匣。額外彈匣 15 帝皇幣（TG）。搜刮：技藝檢定（標準）</t>
        </is>
      </c>
    </row>
    <row r="70">
      <c r="A70" s="15" t="inlineStr">
        <is>
          <t>• 環境傷害：見 GM 指南——火焰/墜落/毒氣/輻射/真空 速查表</t>
        </is>
      </c>
    </row>
  </sheetData>
  <mergeCells count="21">
    <mergeCell ref="A67:H67"/>
    <mergeCell ref="B59:F59"/>
    <mergeCell ref="A64:H64"/>
    <mergeCell ref="A1:H1"/>
    <mergeCell ref="A70:H70"/>
    <mergeCell ref="A69:H69"/>
    <mergeCell ref="A65:H65"/>
    <mergeCell ref="A66:H66"/>
    <mergeCell ref="B57:F57"/>
    <mergeCell ref="A12:H12"/>
    <mergeCell ref="A50:H50"/>
    <mergeCell ref="B53:F53"/>
    <mergeCell ref="A33:H33"/>
    <mergeCell ref="A5:H5"/>
    <mergeCell ref="A23:H23"/>
    <mergeCell ref="A61:H62"/>
    <mergeCell ref="A62:H62"/>
    <mergeCell ref="B55:F55"/>
    <mergeCell ref="A63:H63"/>
    <mergeCell ref="B51:F51"/>
    <mergeCell ref="A68:H6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帝國棄子 TRPG — 格蕾塔·科爾</t>
        </is>
      </c>
      <c r="B1" s="9" t="n"/>
      <c r="C1" s="9" t="n"/>
      <c r="D1" s="9" t="n"/>
      <c r="E1" s="9" t="n"/>
      <c r="F1" s="9" t="n"/>
      <c r="G1" s="9" t="n"/>
      <c r="H1" s="10" t="n"/>
    </row>
    <row r="2"/>
    <row r="3">
      <c r="A3" s="3" t="inlineStr">
        <is>
          <t>角色名稱</t>
        </is>
      </c>
      <c r="B3" s="4" t="inlineStr">
        <is>
          <t>格蕾塔·科爾</t>
        </is>
      </c>
      <c r="C3" s="3" t="inlineStr">
        <is>
          <t>前身職業</t>
        </is>
      </c>
      <c r="D3" s="4" t="inlineStr">
        <is>
          <t>法務部執法官</t>
        </is>
      </c>
      <c r="E3" s="3" t="inlineStr">
        <is>
          <t>罪名</t>
        </is>
      </c>
      <c r="F3" s="4" t="inlineStr">
        <is>
          <t>貪官</t>
        </is>
      </c>
    </row>
    <row r="4"/>
    <row r="5">
      <c r="A5" s="5" t="inlineStr">
        <is>
          <t>五大屬性（數值 1-5）</t>
        </is>
      </c>
      <c r="B5" s="9" t="n"/>
      <c r="C5" s="9" t="n"/>
      <c r="D5" s="9" t="n"/>
      <c r="E5" s="9" t="n"/>
      <c r="F5" s="9" t="n"/>
      <c r="G5" s="9" t="n"/>
      <c r="H5" s="10" t="n"/>
    </row>
    <row r="6">
      <c r="A6" s="3" t="inlineStr">
        <is>
          <t>信仰</t>
        </is>
      </c>
      <c r="B6" s="4" t="n">
        <v>2</v>
      </c>
      <c r="C6" s="3" t="inlineStr"/>
    </row>
    <row r="7">
      <c r="A7" s="3" t="inlineStr">
        <is>
          <t>體魄</t>
        </is>
      </c>
      <c r="B7" s="4" t="n">
        <v>2</v>
      </c>
      <c r="C7" s="3" t="inlineStr"/>
    </row>
    <row r="8">
      <c r="A8" s="3" t="inlineStr">
        <is>
          <t>心智</t>
        </is>
      </c>
      <c r="B8" s="4" t="n">
        <v>3</v>
      </c>
      <c r="C8" s="3" t="inlineStr"/>
    </row>
    <row r="9">
      <c r="A9" s="3" t="inlineStr">
        <is>
          <t>技藝</t>
        </is>
      </c>
      <c r="B9" s="4" t="n">
        <v>3</v>
      </c>
      <c r="C9" s="3" t="inlineStr"/>
    </row>
    <row r="10">
      <c r="A10" s="3" t="inlineStr">
        <is>
          <t>命運</t>
        </is>
      </c>
      <c r="B10" s="4" t="n">
        <v>5</v>
      </c>
      <c r="C10" s="3" t="inlineStr"/>
    </row>
    <row r="11"/>
    <row r="12">
      <c r="A12" s="5" t="inlineStr">
        <is>
          <t>衍生屬性（自動計算）</t>
        </is>
      </c>
      <c r="B12" s="9" t="n"/>
      <c r="C12" s="9" t="n"/>
      <c r="D12" s="9" t="n"/>
      <c r="E12" s="9" t="n"/>
      <c r="F12" s="9" t="n"/>
      <c r="G12" s="9" t="n"/>
      <c r="H12" s="10" t="n"/>
    </row>
    <row r="13"/>
    <row r="14">
      <c r="A14" s="3" t="inlineStr">
        <is>
          <t>生命值（HP）（生命值）</t>
        </is>
      </c>
      <c r="B14" s="7">
        <f>B7*4+5</f>
        <v/>
      </c>
      <c r="C14" s="3" t="inlineStr">
        <is>
          <t>當前 生命值（HP）</t>
        </is>
      </c>
      <c r="D14" s="4" t="n"/>
    </row>
    <row r="15">
      <c r="A15" s="3" t="inlineStr">
        <is>
          <t>信仰池</t>
        </is>
      </c>
      <c r="B15" s="7">
        <f>B6*3+5</f>
        <v/>
      </c>
      <c r="C15" s="3" t="inlineStr">
        <is>
          <t>當前信仰</t>
        </is>
      </c>
      <c r="D15" s="4" t="n"/>
    </row>
    <row r="16">
      <c r="A16" s="3" t="inlineStr">
        <is>
          <t>腐化值（0-100）</t>
        </is>
      </c>
      <c r="B16" s="4" t="n"/>
      <c r="C16" s="3" t="inlineStr">
        <is>
          <t>創傷上限</t>
        </is>
      </c>
      <c r="D16" s="7">
        <f>B8*2+3</f>
        <v/>
      </c>
    </row>
    <row r="17">
      <c r="A17" s="3" t="inlineStr">
        <is>
          <t>防禦值</t>
        </is>
      </c>
      <c r="B17" s="7">
        <f>ROUNDUP(B9/2,0)+G27</f>
        <v/>
      </c>
      <c r="C17" s="3" t="inlineStr">
        <is>
          <t>先攻基礎</t>
        </is>
      </c>
      <c r="D17" s="7">
        <f>B8+B9</f>
        <v/>
      </c>
    </row>
    <row r="18">
      <c r="A18" s="3" t="inlineStr">
        <is>
          <t>移動速度(m)</t>
        </is>
      </c>
      <c r="B18" s="7">
        <f>6+B7/2</f>
        <v/>
      </c>
      <c r="C18" s="3" t="inlineStr">
        <is>
          <t>負重上限(kg)</t>
        </is>
      </c>
      <c r="D18" s="7">
        <f>B7*10+20</f>
        <v/>
      </c>
    </row>
    <row r="19">
      <c r="A19" s="3" t="inlineStr">
        <is>
          <t>心靈護盾</t>
        </is>
      </c>
      <c r="B19" s="7">
        <f>B8+B6/2</f>
        <v/>
      </c>
      <c r="C19" s="3" t="inlineStr">
        <is>
          <t>命運點</t>
        </is>
      </c>
      <c r="D19" s="7">
        <f>B10</f>
        <v/>
      </c>
    </row>
    <row r="20">
      <c r="A20" s="3" t="inlineStr">
        <is>
          <t>生命值（HP） 健康 &gt;75%</t>
        </is>
      </c>
      <c r="B20" s="7">
        <f>B7*4+5</f>
        <v/>
      </c>
      <c r="C20" s="3" t="inlineStr">
        <is>
          <t>重傷 &lt;50%</t>
        </is>
      </c>
      <c r="D20" s="7">
        <f>ROUND((B7*4+5)/2,0)</f>
        <v/>
      </c>
    </row>
    <row r="21">
      <c r="A21" s="3" t="inlineStr">
        <is>
          <t>輕傷 &lt;75%</t>
        </is>
      </c>
      <c r="B21" s="7">
        <f>ROUND((B7*4+5)*0.75,0)</f>
        <v/>
      </c>
      <c r="C21" s="3" t="inlineStr">
        <is>
          <t>瀕死 &lt;25%</t>
        </is>
      </c>
      <c r="D21" s="7">
        <f>ROUND((B7*4+5)*0.25,0)</f>
        <v/>
      </c>
    </row>
    <row r="22"/>
    <row r="23">
      <c r="A23" s="5" t="inlineStr">
        <is>
          <t>武器裝備</t>
        </is>
      </c>
      <c r="B23" s="9" t="n"/>
      <c r="C23" s="9" t="n"/>
      <c r="D23" s="9" t="n"/>
      <c r="E23" s="9" t="n"/>
      <c r="F23" s="9" t="n"/>
      <c r="G23" s="9" t="n"/>
      <c r="H23" s="10" t="n"/>
    </row>
    <row r="24">
      <c r="A24" s="3" t="inlineStr">
        <is>
          <t>主武器名稱</t>
        </is>
      </c>
      <c r="B24" s="4" t="n"/>
      <c r="C24" s="3" t="inlineStr">
        <is>
          <t>基礎傷害</t>
        </is>
      </c>
      <c r="D24" s="4" t="n"/>
    </row>
    <row r="25">
      <c r="A25" s="3" t="inlineStr">
        <is>
          <t>傷害類型</t>
        </is>
      </c>
      <c r="B25" s="4" t="n"/>
      <c r="C25" s="3" t="inlineStr">
        <is>
          <t>彈匣容量</t>
        </is>
      </c>
      <c r="D25" s="4" t="n"/>
    </row>
    <row r="26">
      <c r="A26" s="3" t="inlineStr">
        <is>
          <t>副武器名稱</t>
        </is>
      </c>
      <c r="B26" s="4" t="n"/>
      <c r="C26" s="3" t="inlineStr">
        <is>
          <t>基礎傷害</t>
        </is>
      </c>
      <c r="D26" s="4" t="n"/>
    </row>
    <row r="27">
      <c r="A27" s="3" t="inlineStr">
        <is>
          <t>護甲名稱</t>
        </is>
      </c>
      <c r="B27" s="4" t="n"/>
      <c r="C27" s="3" t="inlineStr">
        <is>
          <t>護甲值（AR） 彈道</t>
        </is>
      </c>
      <c r="D27" s="4" t="n"/>
    </row>
    <row r="28">
      <c r="A28" s="3" t="inlineStr">
        <is>
          <t>護甲值（AR） 能量</t>
        </is>
      </c>
      <c r="B28" s="4" t="n"/>
      <c r="C28" s="3" t="inlineStr">
        <is>
          <t>護甲值（AR） 爆炸</t>
        </is>
      </c>
      <c r="D28" s="4" t="n"/>
    </row>
    <row r="29">
      <c r="A29" s="3" t="inlineStr">
        <is>
          <t>護甲值（AR） 撕裂</t>
        </is>
      </c>
      <c r="B29" s="4" t="n"/>
      <c r="C29" s="3" t="inlineStr">
        <is>
          <t>護甲值（AR） 火焰</t>
        </is>
      </c>
      <c r="D29" s="4" t="n"/>
    </row>
    <row r="30">
      <c r="A30" s="3" t="inlineStr">
        <is>
          <t>護甲防禦加值</t>
        </is>
      </c>
      <c r="B30" s="4" t="n"/>
    </row>
    <row r="31">
      <c r="A31" s="3" t="inlineStr">
        <is>
          <t>近戰攻擊 目標值（TN）</t>
        </is>
      </c>
      <c r="B31" s="7">
        <f>B7*10</f>
        <v/>
      </c>
      <c r="C31" s="3" t="inlineStr">
        <is>
          <t>遠程攻擊 目標值（TN）</t>
        </is>
      </c>
      <c r="D31" s="7">
        <f>B9*10</f>
        <v/>
      </c>
    </row>
    <row r="32"/>
    <row r="33">
      <c r="A33" s="5" t="inlineStr">
        <is>
          <t>技能（U=未受訓0 / T=受訓+10 / E=專家+20 / M=大師+30）</t>
        </is>
      </c>
      <c r="B33" s="9" t="n"/>
      <c r="C33" s="9" t="n"/>
      <c r="D33" s="9" t="n"/>
      <c r="E33" s="9" t="n"/>
      <c r="F33" s="9" t="n"/>
      <c r="G33" s="9" t="n"/>
      <c r="H33" s="10" t="n"/>
    </row>
    <row r="34">
      <c r="A34" s="3" t="inlineStr">
        <is>
          <t>技能名稱</t>
        </is>
      </c>
      <c r="B34" s="3" t="inlineStr">
        <is>
          <t>等級(U/T/E/M)</t>
        </is>
      </c>
      <c r="C34" s="3" t="inlineStr">
        <is>
          <t>加值</t>
        </is>
      </c>
      <c r="D34" s="3" t="inlineStr">
        <is>
          <t>主要屬性 目標值（TN）</t>
        </is>
      </c>
      <c r="E34" s="3" t="inlineStr">
        <is>
          <t>技能TN(標準)</t>
        </is>
      </c>
    </row>
    <row r="35">
      <c r="A35" s="8" t="inlineStr">
        <is>
          <t>運動(Athletics)</t>
        </is>
      </c>
      <c r="B35" s="4" t="n"/>
      <c r="C35" s="7">
        <f>IF(B35="T",10,IF(B35="E",20,IF(B35="M",30,0)))</f>
        <v/>
      </c>
      <c r="D35" s="7">
        <f>B7*10</f>
        <v/>
      </c>
      <c r="E35" s="7">
        <f>D35+C35</f>
        <v/>
      </c>
    </row>
    <row r="36">
      <c r="A36" s="8" t="inlineStr">
        <is>
          <t>近戰(Weapon Skill)</t>
        </is>
      </c>
      <c r="B36" s="4" t="n"/>
      <c r="C36" s="7">
        <f>IF(B36="T",10,IF(B36="E",20,IF(B36="M",30,0)))</f>
        <v/>
      </c>
      <c r="D36" s="7">
        <f>B7*10</f>
        <v/>
      </c>
      <c r="E36" s="7">
        <f>D36+C36</f>
        <v/>
      </c>
    </row>
    <row r="37">
      <c r="A37" s="8" t="inlineStr">
        <is>
          <t>堅韌(Endurance)</t>
        </is>
      </c>
      <c r="B37" s="4" t="n"/>
      <c r="C37" s="7">
        <f>IF(B37="T",10,IF(B37="E",20,IF(B37="M",30,0)))</f>
        <v/>
      </c>
      <c r="D37" s="7">
        <f>B7*10</f>
        <v/>
      </c>
      <c r="E37" s="7">
        <f>D37+C37</f>
        <v/>
      </c>
    </row>
    <row r="38">
      <c r="A38" s="8" t="inlineStr">
        <is>
          <t>警覺(Awareness)</t>
        </is>
      </c>
      <c r="B38" s="4" t="n"/>
      <c r="C38" s="7">
        <f>IF(B38="T",10,IF(B38="E",20,IF(B38="M",30,0)))</f>
        <v/>
      </c>
      <c r="D38" s="7">
        <f>B8*10</f>
        <v/>
      </c>
      <c r="E38" s="7">
        <f>D38+C38</f>
        <v/>
      </c>
    </row>
    <row r="39">
      <c r="A39" s="8" t="inlineStr">
        <is>
          <t>調查(Investigation)</t>
        </is>
      </c>
      <c r="B39" s="4" t="n"/>
      <c r="C39" s="7">
        <f>IF(B39="T",10,IF(B39="E",20,IF(B39="M",30,0)))</f>
        <v/>
      </c>
      <c r="D39" s="7">
        <f>B8*10</f>
        <v/>
      </c>
      <c r="E39" s="7">
        <f>D39+C39</f>
        <v/>
      </c>
    </row>
    <row r="40">
      <c r="A40" s="8" t="inlineStr">
        <is>
          <t>學識(Lore)</t>
        </is>
      </c>
      <c r="B40" s="4" t="n"/>
      <c r="C40" s="7">
        <f>IF(B40="T",10,IF(B40="E",20,IF(B40="M",30,0)))</f>
        <v/>
      </c>
      <c r="D40" s="7">
        <f>B8*10</f>
        <v/>
      </c>
      <c r="E40" s="7">
        <f>D40+C40</f>
        <v/>
      </c>
    </row>
    <row r="41">
      <c r="A41" s="8" t="inlineStr">
        <is>
          <t>醫療(Medicae)</t>
        </is>
      </c>
      <c r="B41" s="4" t="n"/>
      <c r="C41" s="7">
        <f>IF(B41="T",10,IF(B41="E",20,IF(B41="M",30,0)))</f>
        <v/>
      </c>
      <c r="D41" s="7">
        <f>B8*10</f>
        <v/>
      </c>
      <c r="E41" s="7">
        <f>D41+C41</f>
        <v/>
      </c>
    </row>
    <row r="42">
      <c r="A42" s="8" t="inlineStr">
        <is>
          <t>靈能感知(Psyniscience)</t>
        </is>
      </c>
      <c r="B42" s="4" t="n"/>
      <c r="C42" s="7">
        <f>IF(B42="T",10,IF(B42="E",20,IF(B42="M",30,0)))</f>
        <v/>
      </c>
      <c r="D42" s="7">
        <f>B6*10</f>
        <v/>
      </c>
      <c r="E42" s="7">
        <f>D42+C42</f>
        <v/>
      </c>
    </row>
    <row r="43">
      <c r="A43" s="8" t="inlineStr">
        <is>
          <t>佈道(Oratory)</t>
        </is>
      </c>
      <c r="B43" s="4" t="n"/>
      <c r="C43" s="7">
        <f>IF(B43="T",10,IF(B43="E",20,IF(B43="M",30,0)))</f>
        <v/>
      </c>
      <c r="D43" s="7">
        <f>B6*10</f>
        <v/>
      </c>
      <c r="E43" s="7">
        <f>D43+C43</f>
        <v/>
      </c>
    </row>
    <row r="44">
      <c r="A44" s="8" t="inlineStr">
        <is>
          <t>遠程射擊(Ballistic)</t>
        </is>
      </c>
      <c r="B44" s="4" t="n"/>
      <c r="C44" s="7">
        <f>IF(B44="T",10,IF(B44="E",20,IF(B44="M",30,0)))</f>
        <v/>
      </c>
      <c r="D44" s="7">
        <f>B9*10</f>
        <v/>
      </c>
      <c r="E44" s="7">
        <f>D44+C44</f>
        <v/>
      </c>
    </row>
    <row r="45">
      <c r="A45" s="8" t="inlineStr">
        <is>
          <t>技術(Tech-Use)</t>
        </is>
      </c>
      <c r="B45" s="4" t="n"/>
      <c r="C45" s="7">
        <f>IF(B45="T",10,IF(B45="E",20,IF(B45="M",30,0)))</f>
        <v/>
      </c>
      <c r="D45" s="7">
        <f>B9*10</f>
        <v/>
      </c>
      <c r="E45" s="7">
        <f>D45+C45</f>
        <v/>
      </c>
    </row>
    <row r="46">
      <c r="A46" s="8" t="inlineStr">
        <is>
          <t>潛行(Stealth)</t>
        </is>
      </c>
      <c r="B46" s="4" t="n"/>
      <c r="C46" s="7">
        <f>IF(B46="T",10,IF(B46="E",20,IF(B46="M",30,0)))</f>
        <v/>
      </c>
      <c r="D46" s="7">
        <f>B9*10</f>
        <v/>
      </c>
      <c r="E46" s="7">
        <f>D46+C46</f>
        <v/>
      </c>
    </row>
    <row r="47">
      <c r="A47" s="8" t="inlineStr">
        <is>
          <t>指揮(Command)</t>
        </is>
      </c>
      <c r="B47" s="4" t="n"/>
      <c r="C47" s="7">
        <f>IF(B47="T",10,IF(B47="E",20,IF(B47="M",30,0)))</f>
        <v/>
      </c>
      <c r="D47" s="7">
        <f>B10*10</f>
        <v/>
      </c>
      <c r="E47" s="7">
        <f>D47+C47</f>
        <v/>
      </c>
    </row>
    <row r="48">
      <c r="A48" s="8" t="inlineStr">
        <is>
          <t>欺瞞(Deceive)</t>
        </is>
      </c>
      <c r="B48" s="4" t="n"/>
      <c r="C48" s="7">
        <f>IF(B48="T",10,IF(B48="E",20,IF(B48="M",30,0)))</f>
        <v/>
      </c>
      <c r="D48" s="7">
        <f>B10*10</f>
        <v/>
      </c>
      <c r="E48" s="7">
        <f>D48+C48</f>
        <v/>
      </c>
    </row>
    <row r="49"/>
    <row r="50">
      <c r="A50" s="5" t="inlineStr">
        <is>
          <t>判詞與底線</t>
        </is>
      </c>
      <c r="B50" s="9" t="n"/>
      <c r="C50" s="9" t="n"/>
      <c r="D50" s="9" t="n"/>
      <c r="E50" s="9" t="n"/>
      <c r="F50" s="9" t="n"/>
      <c r="G50" s="9" t="n"/>
      <c r="H50" s="10" t="n"/>
    </row>
    <row r="51">
      <c r="A51" s="3" t="inlineStr">
        <is>
          <t>判詞特殊能力</t>
        </is>
      </c>
      <c r="B51" s="4" t="n"/>
      <c r="C51" s="9" t="n"/>
      <c r="D51" s="9" t="n"/>
      <c r="E51" s="9" t="n"/>
      <c r="F51" s="10" t="n"/>
    </row>
    <row r="52"/>
    <row r="53">
      <c r="A53" s="3" t="inlineStr">
        <is>
          <t>贖罪條件</t>
        </is>
      </c>
      <c r="B53" s="4" t="n"/>
      <c r="C53" s="9" t="n"/>
      <c r="D53" s="9" t="n"/>
      <c r="E53" s="9" t="n"/>
      <c r="F53" s="10" t="n"/>
    </row>
    <row r="54"/>
    <row r="55">
      <c r="A55" s="3" t="inlineStr">
        <is>
          <t>我的底線 (Red Line)</t>
        </is>
      </c>
      <c r="B55" s="4" t="n"/>
      <c r="C55" s="9" t="n"/>
      <c r="D55" s="9" t="n"/>
      <c r="E55" s="9" t="n"/>
      <c r="F55" s="10" t="n"/>
    </row>
    <row r="56"/>
    <row r="57">
      <c r="A57" s="3" t="inlineStr">
        <is>
          <t>個人裝備/物品</t>
        </is>
      </c>
      <c r="B57" s="4" t="n"/>
      <c r="C57" s="9" t="n"/>
      <c r="D57" s="9" t="n"/>
      <c r="E57" s="9" t="n"/>
      <c r="F57" s="10" t="n"/>
    </row>
    <row r="58"/>
    <row r="59">
      <c r="A59" s="3" t="inlineStr">
        <is>
          <t>帝皇/混沌印記</t>
        </is>
      </c>
      <c r="B59" s="4" t="n"/>
      <c r="C59" s="9" t="n"/>
      <c r="D59" s="9" t="n"/>
      <c r="E59" s="9" t="n"/>
      <c r="F59" s="10" t="n"/>
    </row>
    <row r="60"/>
    <row r="61">
      <c r="A61" s="11" t="inlineStr">
        <is>
          <t>背景：在帝國官僚體系中挪用什一稅。每個人都在偷——她只是偷錯了對象。</t>
        </is>
      </c>
      <c r="H61" s="12" t="n"/>
    </row>
    <row r="62">
      <c r="A62" s="14" t="n"/>
      <c r="B62" s="13" t="n"/>
      <c r="C62" s="13" t="n"/>
      <c r="D62" s="13" t="n"/>
      <c r="E62" s="13" t="n"/>
      <c r="F62" s="13" t="n"/>
      <c r="G62" s="13" t="n"/>
      <c r="H62" s="14" t="n"/>
    </row>
    <row r="63">
      <c r="A63" s="15" t="inlineStr">
        <is>
          <t>• TN上限=95：任何檢定TN不得超過95（96-00永遠失敗）</t>
        </is>
      </c>
    </row>
    <row r="64">
      <c r="A64" s="15" t="inlineStr">
        <is>
          <t>• 信仰歸零→「靈魂的黑夜」：立即信念危機、無法使用信仰、每日腐化+1</t>
        </is>
      </c>
    </row>
    <row r="65">
      <c r="A65" s="15" t="inlineStr">
        <is>
          <t>• 創傷：單次傷害超過創傷上限時觸發（輕微/中等/重創/致命）</t>
        </is>
      </c>
    </row>
    <row r="66">
      <c r="A66" s="15" t="inlineStr">
        <is>
          <t>• 醫療包：恢復 2d6 生命值（HP）。每次任務小隊共享 3 次使用。軍需官購買 15 帝皇幣（TG）（限購 2）</t>
        </is>
      </c>
    </row>
    <row r="67">
      <c r="A67" s="15" t="inlineStr">
        <is>
          <t>• 生命值（HP） 狀態：健康&gt;75% / 輕傷50-75% / 重傷25-50%(物理劣勢) / 瀕死&lt;25%</t>
        </is>
      </c>
    </row>
    <row r="68">
      <c r="A68" s="15" t="inlineStr">
        <is>
          <t>• 任務間恢復：HP自動回滿、信仰恢復 1d6+信仰值、腐化不自動降低</t>
        </is>
      </c>
    </row>
    <row r="69">
      <c r="A69" s="15" t="inlineStr">
        <is>
          <t>• 彈藥配給：每人 2 彈匣。額外彈匣 15 帝皇幣（TG）。搜刮：技藝檢定（標準）</t>
        </is>
      </c>
    </row>
    <row r="70">
      <c r="A70" s="15" t="inlineStr">
        <is>
          <t>• 環境傷害：見 GM 指南——火焰/墜落/毒氣/輻射/真空 速查表</t>
        </is>
      </c>
    </row>
  </sheetData>
  <mergeCells count="21">
    <mergeCell ref="A67:H67"/>
    <mergeCell ref="B59:F59"/>
    <mergeCell ref="A64:H64"/>
    <mergeCell ref="A1:H1"/>
    <mergeCell ref="A70:H70"/>
    <mergeCell ref="A69:H69"/>
    <mergeCell ref="A65:H65"/>
    <mergeCell ref="A66:H66"/>
    <mergeCell ref="B57:F57"/>
    <mergeCell ref="A12:H12"/>
    <mergeCell ref="A50:H50"/>
    <mergeCell ref="B53:F53"/>
    <mergeCell ref="A33:H33"/>
    <mergeCell ref="A5:H5"/>
    <mergeCell ref="A23:H23"/>
    <mergeCell ref="A61:H62"/>
    <mergeCell ref="A62:H62"/>
    <mergeCell ref="B55:F55"/>
    <mergeCell ref="A63:H63"/>
    <mergeCell ref="B51:F51"/>
    <mergeCell ref="A68:H6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帝國棄子 TRPG — 托拜厄斯·鏽</t>
        </is>
      </c>
      <c r="B1" s="9" t="n"/>
      <c r="C1" s="9" t="n"/>
      <c r="D1" s="9" t="n"/>
      <c r="E1" s="9" t="n"/>
      <c r="F1" s="9" t="n"/>
      <c r="G1" s="9" t="n"/>
      <c r="H1" s="10" t="n"/>
    </row>
    <row r="2"/>
    <row r="3">
      <c r="A3" s="3" t="inlineStr">
        <is>
          <t>角色名稱</t>
        </is>
      </c>
      <c r="B3" s="4" t="inlineStr">
        <is>
          <t>托拜厄斯·鏽</t>
        </is>
      </c>
      <c r="C3" s="3" t="inlineStr">
        <is>
          <t>前身職業</t>
        </is>
      </c>
      <c r="D3" s="4" t="inlineStr">
        <is>
          <t>科技學徒</t>
        </is>
      </c>
      <c r="E3" s="3" t="inlineStr">
        <is>
          <t>罪名</t>
        </is>
      </c>
      <c r="F3" s="4" t="inlineStr">
        <is>
          <t>汙染者</t>
        </is>
      </c>
    </row>
    <row r="4"/>
    <row r="5">
      <c r="A5" s="5" t="inlineStr">
        <is>
          <t>五大屬性（數值 1-5）</t>
        </is>
      </c>
      <c r="B5" s="9" t="n"/>
      <c r="C5" s="9" t="n"/>
      <c r="D5" s="9" t="n"/>
      <c r="E5" s="9" t="n"/>
      <c r="F5" s="9" t="n"/>
      <c r="G5" s="9" t="n"/>
      <c r="H5" s="10" t="n"/>
    </row>
    <row r="6">
      <c r="A6" s="3" t="inlineStr">
        <is>
          <t>信仰</t>
        </is>
      </c>
      <c r="B6" s="4" t="n">
        <v>3</v>
      </c>
      <c r="C6" s="3" t="inlineStr"/>
    </row>
    <row r="7">
      <c r="A7" s="3" t="inlineStr">
        <is>
          <t>體魄</t>
        </is>
      </c>
      <c r="B7" s="4" t="n">
        <v>4</v>
      </c>
      <c r="C7" s="3" t="inlineStr"/>
    </row>
    <row r="8">
      <c r="A8" s="3" t="inlineStr">
        <is>
          <t>心智</t>
        </is>
      </c>
      <c r="B8" s="4" t="n">
        <v>3</v>
      </c>
      <c r="C8" s="3" t="inlineStr"/>
    </row>
    <row r="9">
      <c r="A9" s="3" t="inlineStr">
        <is>
          <t>技藝</t>
        </is>
      </c>
      <c r="B9" s="4" t="n">
        <v>3</v>
      </c>
      <c r="C9" s="3" t="inlineStr"/>
    </row>
    <row r="10">
      <c r="A10" s="3" t="inlineStr">
        <is>
          <t>命運</t>
        </is>
      </c>
      <c r="B10" s="4" t="n">
        <v>2</v>
      </c>
      <c r="C10" s="3" t="inlineStr"/>
    </row>
    <row r="11"/>
    <row r="12">
      <c r="A12" s="5" t="inlineStr">
        <is>
          <t>衍生屬性（自動計算）</t>
        </is>
      </c>
      <c r="B12" s="9" t="n"/>
      <c r="C12" s="9" t="n"/>
      <c r="D12" s="9" t="n"/>
      <c r="E12" s="9" t="n"/>
      <c r="F12" s="9" t="n"/>
      <c r="G12" s="9" t="n"/>
      <c r="H12" s="10" t="n"/>
    </row>
    <row r="13"/>
    <row r="14">
      <c r="A14" s="3" t="inlineStr">
        <is>
          <t>生命值（HP）（生命值）</t>
        </is>
      </c>
      <c r="B14" s="7">
        <f>B7*4+5</f>
        <v/>
      </c>
      <c r="C14" s="3" t="inlineStr">
        <is>
          <t>當前 生命值（HP）</t>
        </is>
      </c>
      <c r="D14" s="4" t="n"/>
    </row>
    <row r="15">
      <c r="A15" s="3" t="inlineStr">
        <is>
          <t>信仰池</t>
        </is>
      </c>
      <c r="B15" s="7">
        <f>B6*3+5</f>
        <v/>
      </c>
      <c r="C15" s="3" t="inlineStr">
        <is>
          <t>當前信仰</t>
        </is>
      </c>
      <c r="D15" s="4" t="n"/>
    </row>
    <row r="16">
      <c r="A16" s="3" t="inlineStr">
        <is>
          <t>腐化值（0-100）</t>
        </is>
      </c>
      <c r="B16" s="4" t="n"/>
      <c r="C16" s="3" t="inlineStr">
        <is>
          <t>創傷上限</t>
        </is>
      </c>
      <c r="D16" s="7">
        <f>B8*2+3</f>
        <v/>
      </c>
    </row>
    <row r="17">
      <c r="A17" s="3" t="inlineStr">
        <is>
          <t>防禦值</t>
        </is>
      </c>
      <c r="B17" s="7">
        <f>ROUNDUP(B9/2,0)+G27</f>
        <v/>
      </c>
      <c r="C17" s="3" t="inlineStr">
        <is>
          <t>先攻基礎</t>
        </is>
      </c>
      <c r="D17" s="7">
        <f>B8+B9</f>
        <v/>
      </c>
    </row>
    <row r="18">
      <c r="A18" s="3" t="inlineStr">
        <is>
          <t>移動速度(m)</t>
        </is>
      </c>
      <c r="B18" s="7">
        <f>6+B7/2</f>
        <v/>
      </c>
      <c r="C18" s="3" t="inlineStr">
        <is>
          <t>負重上限(kg)</t>
        </is>
      </c>
      <c r="D18" s="7">
        <f>B7*10+20</f>
        <v/>
      </c>
    </row>
    <row r="19">
      <c r="A19" s="3" t="inlineStr">
        <is>
          <t>心靈護盾</t>
        </is>
      </c>
      <c r="B19" s="7">
        <f>B8+B6/2</f>
        <v/>
      </c>
      <c r="C19" s="3" t="inlineStr">
        <is>
          <t>命運點</t>
        </is>
      </c>
      <c r="D19" s="7">
        <f>B10</f>
        <v/>
      </c>
    </row>
    <row r="20">
      <c r="A20" s="3" t="inlineStr">
        <is>
          <t>生命值（HP） 健康 &gt;75%</t>
        </is>
      </c>
      <c r="B20" s="7">
        <f>B7*4+5</f>
        <v/>
      </c>
      <c r="C20" s="3" t="inlineStr">
        <is>
          <t>重傷 &lt;50%</t>
        </is>
      </c>
      <c r="D20" s="7">
        <f>ROUND((B7*4+5)/2,0)</f>
        <v/>
      </c>
    </row>
    <row r="21">
      <c r="A21" s="3" t="inlineStr">
        <is>
          <t>輕傷 &lt;75%</t>
        </is>
      </c>
      <c r="B21" s="7">
        <f>ROUND((B7*4+5)*0.75,0)</f>
        <v/>
      </c>
      <c r="C21" s="3" t="inlineStr">
        <is>
          <t>瀕死 &lt;25%</t>
        </is>
      </c>
      <c r="D21" s="7">
        <f>ROUND((B7*4+5)*0.25,0)</f>
        <v/>
      </c>
    </row>
    <row r="22"/>
    <row r="23">
      <c r="A23" s="5" t="inlineStr">
        <is>
          <t>武器裝備</t>
        </is>
      </c>
      <c r="B23" s="9" t="n"/>
      <c r="C23" s="9" t="n"/>
      <c r="D23" s="9" t="n"/>
      <c r="E23" s="9" t="n"/>
      <c r="F23" s="9" t="n"/>
      <c r="G23" s="9" t="n"/>
      <c r="H23" s="10" t="n"/>
    </row>
    <row r="24">
      <c r="A24" s="3" t="inlineStr">
        <is>
          <t>主武器名稱</t>
        </is>
      </c>
      <c r="B24" s="4" t="n"/>
      <c r="C24" s="3" t="inlineStr">
        <is>
          <t>基礎傷害</t>
        </is>
      </c>
      <c r="D24" s="4" t="n"/>
    </row>
    <row r="25">
      <c r="A25" s="3" t="inlineStr">
        <is>
          <t>傷害類型</t>
        </is>
      </c>
      <c r="B25" s="4" t="n"/>
      <c r="C25" s="3" t="inlineStr">
        <is>
          <t>彈匣容量</t>
        </is>
      </c>
      <c r="D25" s="4" t="n"/>
    </row>
    <row r="26">
      <c r="A26" s="3" t="inlineStr">
        <is>
          <t>副武器名稱</t>
        </is>
      </c>
      <c r="B26" s="4" t="n"/>
      <c r="C26" s="3" t="inlineStr">
        <is>
          <t>基礎傷害</t>
        </is>
      </c>
      <c r="D26" s="4" t="n"/>
    </row>
    <row r="27">
      <c r="A27" s="3" t="inlineStr">
        <is>
          <t>護甲名稱</t>
        </is>
      </c>
      <c r="B27" s="4" t="n"/>
      <c r="C27" s="3" t="inlineStr">
        <is>
          <t>護甲值（AR） 彈道</t>
        </is>
      </c>
      <c r="D27" s="4" t="n"/>
    </row>
    <row r="28">
      <c r="A28" s="3" t="inlineStr">
        <is>
          <t>護甲值（AR） 能量</t>
        </is>
      </c>
      <c r="B28" s="4" t="n"/>
      <c r="C28" s="3" t="inlineStr">
        <is>
          <t>護甲值（AR） 爆炸</t>
        </is>
      </c>
      <c r="D28" s="4" t="n"/>
    </row>
    <row r="29">
      <c r="A29" s="3" t="inlineStr">
        <is>
          <t>護甲值（AR） 撕裂</t>
        </is>
      </c>
      <c r="B29" s="4" t="n"/>
      <c r="C29" s="3" t="inlineStr">
        <is>
          <t>護甲值（AR） 火焰</t>
        </is>
      </c>
      <c r="D29" s="4" t="n"/>
    </row>
    <row r="30">
      <c r="A30" s="3" t="inlineStr">
        <is>
          <t>護甲防禦加值</t>
        </is>
      </c>
      <c r="B30" s="4" t="n"/>
    </row>
    <row r="31">
      <c r="A31" s="3" t="inlineStr">
        <is>
          <t>近戰攻擊 目標值（TN）</t>
        </is>
      </c>
      <c r="B31" s="7">
        <f>B7*10</f>
        <v/>
      </c>
      <c r="C31" s="3" t="inlineStr">
        <is>
          <t>遠程攻擊 目標值（TN）</t>
        </is>
      </c>
      <c r="D31" s="7">
        <f>B9*10</f>
        <v/>
      </c>
    </row>
    <row r="32"/>
    <row r="33">
      <c r="A33" s="5" t="inlineStr">
        <is>
          <t>技能（U=未受訓0 / T=受訓+10 / E=專家+20 / M=大師+30）</t>
        </is>
      </c>
      <c r="B33" s="9" t="n"/>
      <c r="C33" s="9" t="n"/>
      <c r="D33" s="9" t="n"/>
      <c r="E33" s="9" t="n"/>
      <c r="F33" s="9" t="n"/>
      <c r="G33" s="9" t="n"/>
      <c r="H33" s="10" t="n"/>
    </row>
    <row r="34">
      <c r="A34" s="3" t="inlineStr">
        <is>
          <t>技能名稱</t>
        </is>
      </c>
      <c r="B34" s="3" t="inlineStr">
        <is>
          <t>等級(U/T/E/M)</t>
        </is>
      </c>
      <c r="C34" s="3" t="inlineStr">
        <is>
          <t>加值</t>
        </is>
      </c>
      <c r="D34" s="3" t="inlineStr">
        <is>
          <t>主要屬性 目標值（TN）</t>
        </is>
      </c>
      <c r="E34" s="3" t="inlineStr">
        <is>
          <t>技能TN(標準)</t>
        </is>
      </c>
    </row>
    <row r="35">
      <c r="A35" s="8" t="inlineStr">
        <is>
          <t>運動(Athletics)</t>
        </is>
      </c>
      <c r="B35" s="4" t="n"/>
      <c r="C35" s="7">
        <f>IF(B35="T",10,IF(B35="E",20,IF(B35="M",30,0)))</f>
        <v/>
      </c>
      <c r="D35" s="7">
        <f>B7*10</f>
        <v/>
      </c>
      <c r="E35" s="7">
        <f>D35+C35</f>
        <v/>
      </c>
    </row>
    <row r="36">
      <c r="A36" s="8" t="inlineStr">
        <is>
          <t>近戰(Weapon Skill)</t>
        </is>
      </c>
      <c r="B36" s="4" t="n"/>
      <c r="C36" s="7">
        <f>IF(B36="T",10,IF(B36="E",20,IF(B36="M",30,0)))</f>
        <v/>
      </c>
      <c r="D36" s="7">
        <f>B7*10</f>
        <v/>
      </c>
      <c r="E36" s="7">
        <f>D36+C36</f>
        <v/>
      </c>
    </row>
    <row r="37">
      <c r="A37" s="8" t="inlineStr">
        <is>
          <t>堅韌(Endurance)</t>
        </is>
      </c>
      <c r="B37" s="4" t="n"/>
      <c r="C37" s="7">
        <f>IF(B37="T",10,IF(B37="E",20,IF(B37="M",30,0)))</f>
        <v/>
      </c>
      <c r="D37" s="7">
        <f>B7*10</f>
        <v/>
      </c>
      <c r="E37" s="7">
        <f>D37+C37</f>
        <v/>
      </c>
    </row>
    <row r="38">
      <c r="A38" s="8" t="inlineStr">
        <is>
          <t>警覺(Awareness)</t>
        </is>
      </c>
      <c r="B38" s="4" t="n"/>
      <c r="C38" s="7">
        <f>IF(B38="T",10,IF(B38="E",20,IF(B38="M",30,0)))</f>
        <v/>
      </c>
      <c r="D38" s="7">
        <f>B8*10</f>
        <v/>
      </c>
      <c r="E38" s="7">
        <f>D38+C38</f>
        <v/>
      </c>
    </row>
    <row r="39">
      <c r="A39" s="8" t="inlineStr">
        <is>
          <t>調查(Investigation)</t>
        </is>
      </c>
      <c r="B39" s="4" t="n"/>
      <c r="C39" s="7">
        <f>IF(B39="T",10,IF(B39="E",20,IF(B39="M",30,0)))</f>
        <v/>
      </c>
      <c r="D39" s="7">
        <f>B8*10</f>
        <v/>
      </c>
      <c r="E39" s="7">
        <f>D39+C39</f>
        <v/>
      </c>
    </row>
    <row r="40">
      <c r="A40" s="8" t="inlineStr">
        <is>
          <t>學識(Lore)</t>
        </is>
      </c>
      <c r="B40" s="4" t="n"/>
      <c r="C40" s="7">
        <f>IF(B40="T",10,IF(B40="E",20,IF(B40="M",30,0)))</f>
        <v/>
      </c>
      <c r="D40" s="7">
        <f>B8*10</f>
        <v/>
      </c>
      <c r="E40" s="7">
        <f>D40+C40</f>
        <v/>
      </c>
    </row>
    <row r="41">
      <c r="A41" s="8" t="inlineStr">
        <is>
          <t>醫療(Medicae)</t>
        </is>
      </c>
      <c r="B41" s="4" t="n"/>
      <c r="C41" s="7">
        <f>IF(B41="T",10,IF(B41="E",20,IF(B41="M",30,0)))</f>
        <v/>
      </c>
      <c r="D41" s="7">
        <f>B8*10</f>
        <v/>
      </c>
      <c r="E41" s="7">
        <f>D41+C41</f>
        <v/>
      </c>
    </row>
    <row r="42">
      <c r="A42" s="8" t="inlineStr">
        <is>
          <t>靈能感知(Psyniscience)</t>
        </is>
      </c>
      <c r="B42" s="4" t="n"/>
      <c r="C42" s="7">
        <f>IF(B42="T",10,IF(B42="E",20,IF(B42="M",30,0)))</f>
        <v/>
      </c>
      <c r="D42" s="7">
        <f>B6*10</f>
        <v/>
      </c>
      <c r="E42" s="7">
        <f>D42+C42</f>
        <v/>
      </c>
    </row>
    <row r="43">
      <c r="A43" s="8" t="inlineStr">
        <is>
          <t>佈道(Oratory)</t>
        </is>
      </c>
      <c r="B43" s="4" t="n"/>
      <c r="C43" s="7">
        <f>IF(B43="T",10,IF(B43="E",20,IF(B43="M",30,0)))</f>
        <v/>
      </c>
      <c r="D43" s="7">
        <f>B6*10</f>
        <v/>
      </c>
      <c r="E43" s="7">
        <f>D43+C43</f>
        <v/>
      </c>
    </row>
    <row r="44">
      <c r="A44" s="8" t="inlineStr">
        <is>
          <t>遠程射擊(Ballistic)</t>
        </is>
      </c>
      <c r="B44" s="4" t="n"/>
      <c r="C44" s="7">
        <f>IF(B44="T",10,IF(B44="E",20,IF(B44="M",30,0)))</f>
        <v/>
      </c>
      <c r="D44" s="7">
        <f>B9*10</f>
        <v/>
      </c>
      <c r="E44" s="7">
        <f>D44+C44</f>
        <v/>
      </c>
    </row>
    <row r="45">
      <c r="A45" s="8" t="inlineStr">
        <is>
          <t>技術(Tech-Use)</t>
        </is>
      </c>
      <c r="B45" s="4" t="n"/>
      <c r="C45" s="7">
        <f>IF(B45="T",10,IF(B45="E",20,IF(B45="M",30,0)))</f>
        <v/>
      </c>
      <c r="D45" s="7">
        <f>B9*10</f>
        <v/>
      </c>
      <c r="E45" s="7">
        <f>D45+C45</f>
        <v/>
      </c>
    </row>
    <row r="46">
      <c r="A46" s="8" t="inlineStr">
        <is>
          <t>潛行(Stealth)</t>
        </is>
      </c>
      <c r="B46" s="4" t="n"/>
      <c r="C46" s="7">
        <f>IF(B46="T",10,IF(B46="E",20,IF(B46="M",30,0)))</f>
        <v/>
      </c>
      <c r="D46" s="7">
        <f>B9*10</f>
        <v/>
      </c>
      <c r="E46" s="7">
        <f>D46+C46</f>
        <v/>
      </c>
    </row>
    <row r="47">
      <c r="A47" s="8" t="inlineStr">
        <is>
          <t>指揮(Command)</t>
        </is>
      </c>
      <c r="B47" s="4" t="n"/>
      <c r="C47" s="7">
        <f>IF(B47="T",10,IF(B47="E",20,IF(B47="M",30,0)))</f>
        <v/>
      </c>
      <c r="D47" s="7">
        <f>B10*10</f>
        <v/>
      </c>
      <c r="E47" s="7">
        <f>D47+C47</f>
        <v/>
      </c>
    </row>
    <row r="48">
      <c r="A48" s="8" t="inlineStr">
        <is>
          <t>欺瞞(Deceive)</t>
        </is>
      </c>
      <c r="B48" s="4" t="n"/>
      <c r="C48" s="7">
        <f>IF(B48="T",10,IF(B48="E",20,IF(B48="M",30,0)))</f>
        <v/>
      </c>
      <c r="D48" s="7">
        <f>B10*10</f>
        <v/>
      </c>
      <c r="E48" s="7">
        <f>D48+C48</f>
        <v/>
      </c>
    </row>
    <row r="49"/>
    <row r="50">
      <c r="A50" s="5" t="inlineStr">
        <is>
          <t>判詞與底線</t>
        </is>
      </c>
      <c r="B50" s="9" t="n"/>
      <c r="C50" s="9" t="n"/>
      <c r="D50" s="9" t="n"/>
      <c r="E50" s="9" t="n"/>
      <c r="F50" s="9" t="n"/>
      <c r="G50" s="9" t="n"/>
      <c r="H50" s="10" t="n"/>
    </row>
    <row r="51">
      <c r="A51" s="3" t="inlineStr">
        <is>
          <t>判詞特殊能力</t>
        </is>
      </c>
      <c r="B51" s="4" t="n"/>
      <c r="C51" s="9" t="n"/>
      <c r="D51" s="9" t="n"/>
      <c r="E51" s="9" t="n"/>
      <c r="F51" s="10" t="n"/>
    </row>
    <row r="52"/>
    <row r="53">
      <c r="A53" s="3" t="inlineStr">
        <is>
          <t>贖罪條件</t>
        </is>
      </c>
      <c r="B53" s="4" t="n"/>
      <c r="C53" s="9" t="n"/>
      <c r="D53" s="9" t="n"/>
      <c r="E53" s="9" t="n"/>
      <c r="F53" s="10" t="n"/>
    </row>
    <row r="54"/>
    <row r="55">
      <c r="A55" s="3" t="inlineStr">
        <is>
          <t>我的底線 (Red Line)</t>
        </is>
      </c>
      <c r="B55" s="4" t="n"/>
      <c r="C55" s="9" t="n"/>
      <c r="D55" s="9" t="n"/>
      <c r="E55" s="9" t="n"/>
      <c r="F55" s="10" t="n"/>
    </row>
    <row r="56"/>
    <row r="57">
      <c r="A57" s="3" t="inlineStr">
        <is>
          <t>個人裝備/物品</t>
        </is>
      </c>
      <c r="B57" s="4" t="n"/>
      <c r="C57" s="9" t="n"/>
      <c r="D57" s="9" t="n"/>
      <c r="E57" s="9" t="n"/>
      <c r="F57" s="10" t="n"/>
    </row>
    <row r="58"/>
    <row r="59">
      <c r="A59" s="3" t="inlineStr">
        <is>
          <t>帝皇/混沌印記</t>
        </is>
      </c>
      <c r="B59" s="4" t="n"/>
      <c r="C59" s="9" t="n"/>
      <c r="D59" s="9" t="n"/>
      <c r="E59" s="9" t="n"/>
      <c r="F59" s="10" t="n"/>
    </row>
    <row r="60"/>
    <row r="61">
      <c r="A61" s="11" t="inlineStr">
        <is>
          <t>背景：接觸過異形科技且活著回來。審判庭不確定他是否已被汙染——他自己也不確定。</t>
        </is>
      </c>
      <c r="H61" s="12" t="n"/>
    </row>
    <row r="62">
      <c r="A62" s="14" t="n"/>
      <c r="B62" s="13" t="n"/>
      <c r="C62" s="13" t="n"/>
      <c r="D62" s="13" t="n"/>
      <c r="E62" s="13" t="n"/>
      <c r="F62" s="13" t="n"/>
      <c r="G62" s="13" t="n"/>
      <c r="H62" s="14" t="n"/>
    </row>
    <row r="63">
      <c r="A63" s="15" t="inlineStr">
        <is>
          <t>• TN上限=95：任何檢定TN不得超過95（96-00永遠失敗）</t>
        </is>
      </c>
    </row>
    <row r="64">
      <c r="A64" s="15" t="inlineStr">
        <is>
          <t>• 信仰歸零→「靈魂的黑夜」：立即信念危機、無法使用信仰、每日腐化+1</t>
        </is>
      </c>
    </row>
    <row r="65">
      <c r="A65" s="15" t="inlineStr">
        <is>
          <t>• 創傷：單次傷害超過創傷上限時觸發（輕微/中等/重創/致命）</t>
        </is>
      </c>
    </row>
    <row r="66">
      <c r="A66" s="15" t="inlineStr">
        <is>
          <t>• 醫療包：恢復 2d6 生命值（HP）。每次任務小隊共享 3 次使用。軍需官購買 15 帝皇幣（TG）（限購 2）</t>
        </is>
      </c>
    </row>
    <row r="67">
      <c r="A67" s="15" t="inlineStr">
        <is>
          <t>• 生命值（HP） 狀態：健康&gt;75% / 輕傷50-75% / 重傷25-50%(物理劣勢) / 瀕死&lt;25%</t>
        </is>
      </c>
    </row>
    <row r="68">
      <c r="A68" s="15" t="inlineStr">
        <is>
          <t>• 任務間恢復：HP自動回滿、信仰恢復 1d6+信仰值、腐化不自動降低</t>
        </is>
      </c>
    </row>
    <row r="69">
      <c r="A69" s="15" t="inlineStr">
        <is>
          <t>• 彈藥配給：每人 2 彈匣。額外彈匣 15 帝皇幣（TG）。搜刮：技藝檢定（標準）</t>
        </is>
      </c>
    </row>
    <row r="70">
      <c r="A70" s="15" t="inlineStr">
        <is>
          <t>• 環境傷害：見 GM 指南——火焰/墜落/毒氣/輻射/真空 速查表</t>
        </is>
      </c>
    </row>
  </sheetData>
  <mergeCells count="21">
    <mergeCell ref="A67:H67"/>
    <mergeCell ref="B59:F59"/>
    <mergeCell ref="A64:H64"/>
    <mergeCell ref="A1:H1"/>
    <mergeCell ref="A70:H70"/>
    <mergeCell ref="A69:H69"/>
    <mergeCell ref="A65:H65"/>
    <mergeCell ref="A66:H66"/>
    <mergeCell ref="B57:F57"/>
    <mergeCell ref="A12:H12"/>
    <mergeCell ref="A50:H50"/>
    <mergeCell ref="B53:F53"/>
    <mergeCell ref="A33:H33"/>
    <mergeCell ref="A5:H5"/>
    <mergeCell ref="A23:H23"/>
    <mergeCell ref="A61:H62"/>
    <mergeCell ref="A62:H62"/>
    <mergeCell ref="B55:F55"/>
    <mergeCell ref="A63:H63"/>
    <mergeCell ref="B51:F51"/>
    <mergeCell ref="A68:H6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帝國棄子 TRPG — 兄長 賽維林</t>
        </is>
      </c>
      <c r="B1" s="9" t="n"/>
      <c r="C1" s="9" t="n"/>
      <c r="D1" s="9" t="n"/>
      <c r="E1" s="9" t="n"/>
      <c r="F1" s="9" t="n"/>
      <c r="G1" s="9" t="n"/>
      <c r="H1" s="10" t="n"/>
    </row>
    <row r="2"/>
    <row r="3">
      <c r="A3" s="3" t="inlineStr">
        <is>
          <t>角色名稱</t>
        </is>
      </c>
      <c r="B3" s="4" t="inlineStr">
        <is>
          <t>兄長 賽維林</t>
        </is>
      </c>
      <c r="C3" s="3" t="inlineStr">
        <is>
          <t>戰團</t>
        </is>
      </c>
      <c r="D3" s="4" t="inlineStr">
        <is>
          <t>聖血天使</t>
        </is>
      </c>
      <c r="E3" s="3" t="inlineStr">
        <is>
          <t>烙印</t>
        </is>
      </c>
      <c r="F3" s="4" t="inlineStr">
        <is>
          <t>戰團之恥</t>
        </is>
      </c>
    </row>
    <row r="4"/>
    <row r="5">
      <c r="A5" s="5" t="inlineStr">
        <is>
          <t>五大屬性（數值 2-7）</t>
        </is>
      </c>
      <c r="B5" s="9" t="n"/>
      <c r="C5" s="9" t="n"/>
      <c r="D5" s="9" t="n"/>
      <c r="E5" s="9" t="n"/>
      <c r="F5" s="9" t="n"/>
      <c r="G5" s="9" t="n"/>
      <c r="H5" s="10" t="n"/>
    </row>
    <row r="6">
      <c r="A6" s="3" t="inlineStr">
        <is>
          <t>信仰</t>
        </is>
      </c>
      <c r="B6" s="4" t="n">
        <v>3</v>
      </c>
    </row>
    <row r="7">
      <c r="A7" s="3" t="inlineStr">
        <is>
          <t>體魄</t>
        </is>
      </c>
      <c r="B7" s="4" t="n">
        <v>5</v>
      </c>
    </row>
    <row r="8">
      <c r="A8" s="3" t="inlineStr">
        <is>
          <t>心智</t>
        </is>
      </c>
      <c r="B8" s="4" t="n">
        <v>3</v>
      </c>
    </row>
    <row r="9">
      <c r="A9" s="3" t="inlineStr">
        <is>
          <t>技藝</t>
        </is>
      </c>
      <c r="B9" s="4" t="n">
        <v>4</v>
      </c>
    </row>
    <row r="10">
      <c r="A10" s="3" t="inlineStr">
        <is>
          <t>命運</t>
        </is>
      </c>
      <c r="B10" s="4" t="n">
        <v>3</v>
      </c>
    </row>
    <row r="11"/>
    <row r="12">
      <c r="A12" s="5" t="inlineStr">
        <is>
          <t>衍生屬性（自動計算）</t>
        </is>
      </c>
      <c r="B12" s="9" t="n"/>
      <c r="C12" s="9" t="n"/>
      <c r="D12" s="9" t="n"/>
      <c r="E12" s="9" t="n"/>
      <c r="F12" s="9" t="n"/>
      <c r="G12" s="9" t="n"/>
      <c r="H12" s="10" t="n"/>
    </row>
    <row r="13"/>
    <row r="14">
      <c r="A14" s="3" t="inlineStr">
        <is>
          <t>生命值（HP）（生命值）</t>
        </is>
      </c>
      <c r="B14" s="7">
        <f>B7*8+20</f>
        <v/>
      </c>
      <c r="C14" s="3" t="inlineStr">
        <is>
          <t>當前 生命值（HP）</t>
        </is>
      </c>
      <c r="D14" s="4" t="n"/>
    </row>
    <row r="15">
      <c r="A15" s="3" t="inlineStr">
        <is>
          <t>裝甲緩衝 生命值（HP）</t>
        </is>
      </c>
      <c r="B15" s="4" t="n"/>
      <c r="C15" s="3" t="inlineStr">
        <is>
          <t>信仰池</t>
        </is>
      </c>
      <c r="D15" s="7">
        <f>B6*2+10</f>
        <v/>
      </c>
    </row>
    <row r="16">
      <c r="A16" s="3" t="inlineStr">
        <is>
          <t>當前信仰</t>
        </is>
      </c>
      <c r="B16" s="4" t="n"/>
      <c r="C16" s="3" t="inlineStr">
        <is>
          <t>腐化值（0-100）</t>
        </is>
      </c>
      <c r="D16" s="4" t="n"/>
    </row>
    <row r="17">
      <c r="A17" s="3" t="inlineStr">
        <is>
          <t>創傷上限</t>
        </is>
      </c>
      <c r="B17" s="7">
        <f>B8*3+10</f>
        <v/>
      </c>
      <c r="C17" s="3" t="inlineStr">
        <is>
          <t>防禦值</t>
        </is>
      </c>
      <c r="D17" s="7">
        <f>ROUNDUP(B9/2,0)+G36+1</f>
        <v/>
      </c>
    </row>
    <row r="18">
      <c r="A18" s="3" t="inlineStr">
        <is>
          <t>先攻基礎</t>
        </is>
      </c>
      <c r="B18" s="7">
        <f>B8+B9+2</f>
        <v/>
      </c>
      <c r="C18" s="3" t="inlineStr">
        <is>
          <t>移動速度(m)</t>
        </is>
      </c>
      <c r="D18" s="7">
        <f>8+B7+G37</f>
        <v/>
      </c>
    </row>
    <row r="19">
      <c r="A19" s="3" t="inlineStr">
        <is>
          <t>負重上限(kg)</t>
        </is>
      </c>
      <c r="B19" s="7">
        <f>B7*50+100</f>
        <v/>
      </c>
      <c r="C19" s="3" t="inlineStr">
        <is>
          <t>心靈護盾</t>
        </is>
      </c>
      <c r="D19" s="7">
        <f>B8*2+B6/2</f>
        <v/>
      </c>
    </row>
    <row r="20">
      <c r="A20" s="3" t="inlineStr">
        <is>
          <t>命運點</t>
        </is>
      </c>
      <c r="B20" s="7">
        <f>B10</f>
        <v/>
      </c>
      <c r="C20" s="3" t="inlineStr">
        <is>
          <t>裝甲機魂（APM）</t>
        </is>
      </c>
      <c r="D20" s="4" t="n"/>
    </row>
    <row r="21">
      <c r="A21" s="3" t="inlineStr">
        <is>
          <t>生命值（HP） 健康 &gt;75%</t>
        </is>
      </c>
      <c r="B21" s="7">
        <f>B7*8+20</f>
        <v/>
      </c>
      <c r="C21" s="3" t="inlineStr">
        <is>
          <t>重傷 &lt;50%</t>
        </is>
      </c>
      <c r="D21" s="7">
        <f>ROUND((B7*8+20)/2,0)</f>
        <v/>
      </c>
    </row>
    <row r="22">
      <c r="A22" s="3" t="inlineStr">
        <is>
          <t>輕傷 &lt;75%</t>
        </is>
      </c>
      <c r="B22" s="7">
        <f>ROUND((B7*8+20)*0.75,0)</f>
        <v/>
      </c>
      <c r="C22" s="3" t="inlineStr">
        <is>
          <t>瀕死 &lt;25%</t>
        </is>
      </c>
      <c r="D22" s="7">
        <f>ROUND((B7*8+20)*0.25,0)</f>
        <v/>
      </c>
    </row>
    <row r="23"/>
    <row r="24">
      <c r="A24" s="5" t="inlineStr">
        <is>
          <t>武器裝備</t>
        </is>
      </c>
      <c r="B24" s="9" t="n"/>
      <c r="C24" s="9" t="n"/>
      <c r="D24" s="9" t="n"/>
      <c r="E24" s="9" t="n"/>
      <c r="F24" s="9" t="n"/>
      <c r="G24" s="9" t="n"/>
      <c r="H24" s="10" t="n"/>
    </row>
    <row r="25">
      <c r="A25" s="3" t="inlineStr">
        <is>
          <t>主武器名稱</t>
        </is>
      </c>
      <c r="B25" s="4" t="n"/>
      <c r="C25" s="3" t="inlineStr">
        <is>
          <t>基礎傷害</t>
        </is>
      </c>
      <c r="D25" s="4" t="n"/>
    </row>
    <row r="26">
      <c r="A26" s="3" t="inlineStr">
        <is>
          <t>傷害類型</t>
        </is>
      </c>
      <c r="B26" s="4" t="n"/>
      <c r="C26" s="3" t="inlineStr">
        <is>
          <t>彈藥</t>
        </is>
      </c>
      <c r="D26" s="4" t="n"/>
    </row>
    <row r="27">
      <c r="A27" s="3" t="inlineStr">
        <is>
          <t>副武器名稱</t>
        </is>
      </c>
      <c r="B27" s="4" t="n"/>
      <c r="C27" s="3" t="inlineStr">
        <is>
          <t>基礎傷害</t>
        </is>
      </c>
      <c r="D27" s="4" t="n"/>
    </row>
    <row r="28">
      <c r="A28" s="3" t="inlineStr">
        <is>
          <t>動力裝甲狀態</t>
        </is>
      </c>
      <c r="B28" s="4" t="n"/>
      <c r="C28" s="3" t="inlineStr">
        <is>
          <t>護甲值（AR） 彈道</t>
        </is>
      </c>
      <c r="D28" s="4" t="n"/>
    </row>
    <row r="29">
      <c r="A29" s="3" t="inlineStr">
        <is>
          <t>護甲值（AR） 能量</t>
        </is>
      </c>
      <c r="B29" s="4" t="n"/>
      <c r="C29" s="3" t="inlineStr">
        <is>
          <t>護甲值（AR） 爆炸</t>
        </is>
      </c>
      <c r="D29" s="4" t="n"/>
    </row>
    <row r="30">
      <c r="A30" s="3" t="inlineStr">
        <is>
          <t>護甲值（AR） 撕裂</t>
        </is>
      </c>
      <c r="B30" s="4" t="n"/>
      <c r="C30" s="3" t="inlineStr">
        <is>
          <t>護甲值（AR） 火焰</t>
        </is>
      </c>
      <c r="D30" s="4" t="n"/>
    </row>
    <row r="31">
      <c r="A31" s="3" t="inlineStr">
        <is>
          <t>戰團遺物</t>
        </is>
      </c>
      <c r="B31" s="4" t="n"/>
      <c r="C31" s="3" t="inlineStr">
        <is>
          <t>遺物效果</t>
        </is>
      </c>
      <c r="D31" s="4" t="n"/>
    </row>
    <row r="32">
      <c r="A32" s="3" t="inlineStr">
        <is>
          <t>近戰攻擊 目標值（TN）</t>
        </is>
      </c>
      <c r="B32" s="7">
        <f>B7*10</f>
        <v/>
      </c>
      <c r="C32" s="3" t="inlineStr">
        <is>
          <t>遠程攻擊 目標值（TN）</t>
        </is>
      </c>
      <c r="D32" s="7">
        <f>B9*10</f>
        <v/>
      </c>
    </row>
    <row r="33"/>
    <row r="34"/>
    <row r="35"/>
    <row r="36">
      <c r="A36" s="3" t="inlineStr">
        <is>
          <t>裝甲防禦加值</t>
        </is>
      </c>
      <c r="B36" s="4" t="n"/>
    </row>
    <row r="37">
      <c r="A37" s="3" t="inlineStr">
        <is>
          <t>裝甲速度修正</t>
        </is>
      </c>
      <c r="B37" s="4" t="n"/>
    </row>
    <row r="38"/>
    <row r="39">
      <c r="A39" s="5" t="inlineStr">
        <is>
          <t>技能（U=未受訓0 / T=受訓+10 / E=專家+20 / M=大師+30）</t>
        </is>
      </c>
      <c r="B39" s="9" t="n"/>
      <c r="C39" s="9" t="n"/>
      <c r="D39" s="9" t="n"/>
      <c r="E39" s="9" t="n"/>
      <c r="F39" s="9" t="n"/>
      <c r="G39" s="9" t="n"/>
      <c r="H39" s="10" t="n"/>
    </row>
    <row r="40">
      <c r="A40" s="3" t="inlineStr">
        <is>
          <t>技能名稱 (*=天生受訓)</t>
        </is>
      </c>
      <c r="B40" s="3" t="inlineStr">
        <is>
          <t>等級</t>
        </is>
      </c>
      <c r="C40" s="3" t="inlineStr">
        <is>
          <t>加值</t>
        </is>
      </c>
      <c r="D40" s="3" t="inlineStr">
        <is>
          <t>主要屬性 目標值（TN）</t>
        </is>
      </c>
      <c r="E40" s="3" t="inlineStr">
        <is>
          <t>技能TN(標準)</t>
        </is>
      </c>
    </row>
    <row r="41">
      <c r="A41" s="8" t="inlineStr">
        <is>
          <t>運動(Athletics)</t>
        </is>
      </c>
      <c r="B41" s="4" t="n"/>
      <c r="C41" s="7">
        <f>IF(B41="T",10,IF(B41="E",20,IF(B41="M",30,0)))</f>
        <v/>
      </c>
      <c r="D41" s="7">
        <f>B7*10</f>
        <v/>
      </c>
      <c r="E41" s="7">
        <f>D41+C41</f>
        <v/>
      </c>
    </row>
    <row r="42">
      <c r="A42" s="8" t="inlineStr">
        <is>
          <t>近戰(Weapon Skill)*</t>
        </is>
      </c>
      <c r="B42" s="4" t="n"/>
      <c r="C42" s="7">
        <f>IF(B42="T",10,IF(B42="E",20,IF(B42="M",30,0)))</f>
        <v/>
      </c>
      <c r="D42" s="7">
        <f>B7*10</f>
        <v/>
      </c>
      <c r="E42" s="7">
        <f>D42+C42</f>
        <v/>
      </c>
    </row>
    <row r="43">
      <c r="A43" s="8" t="inlineStr">
        <is>
          <t>堅韌(Endurance)</t>
        </is>
      </c>
      <c r="B43" s="4" t="n"/>
      <c r="C43" s="7">
        <f>IF(B43="T",10,IF(B43="E",20,IF(B43="M",30,0)))</f>
        <v/>
      </c>
      <c r="D43" s="7">
        <f>B7*10</f>
        <v/>
      </c>
      <c r="E43" s="7">
        <f>D43+C43</f>
        <v/>
      </c>
    </row>
    <row r="44">
      <c r="A44" s="8" t="inlineStr">
        <is>
          <t>警覺(Awareness)</t>
        </is>
      </c>
      <c r="B44" s="4" t="n"/>
      <c r="C44" s="7">
        <f>IF(B44="T",10,IF(B44="E",20,IF(B44="M",30,0)))</f>
        <v/>
      </c>
      <c r="D44" s="7">
        <f>B8*10</f>
        <v/>
      </c>
      <c r="E44" s="7">
        <f>D44+C44</f>
        <v/>
      </c>
    </row>
    <row r="45">
      <c r="A45" s="8" t="inlineStr">
        <is>
          <t>調查(Investigation)</t>
        </is>
      </c>
      <c r="B45" s="4" t="n"/>
      <c r="C45" s="7">
        <f>IF(B45="T",10,IF(B45="E",20,IF(B45="M",30,0)))</f>
        <v/>
      </c>
      <c r="D45" s="7">
        <f>B8*10</f>
        <v/>
      </c>
      <c r="E45" s="7">
        <f>D45+C45</f>
        <v/>
      </c>
    </row>
    <row r="46">
      <c r="A46" s="8" t="inlineStr">
        <is>
          <t>學識(Lore)*</t>
        </is>
      </c>
      <c r="B46" s="4" t="n"/>
      <c r="C46" s="7">
        <f>IF(B46="T",10,IF(B46="E",20,IF(B46="M",30,0)))</f>
        <v/>
      </c>
      <c r="D46" s="7">
        <f>B8*10</f>
        <v/>
      </c>
      <c r="E46" s="7">
        <f>D46+C46</f>
        <v/>
      </c>
    </row>
    <row r="47">
      <c r="A47" s="8" t="inlineStr">
        <is>
          <t>醫療(Medicae)</t>
        </is>
      </c>
      <c r="B47" s="4" t="n"/>
      <c r="C47" s="7">
        <f>IF(B47="T",10,IF(B47="E",20,IF(B47="M",30,0)))</f>
        <v/>
      </c>
      <c r="D47" s="7">
        <f>B8*10</f>
        <v/>
      </c>
      <c r="E47" s="7">
        <f>D47+C47</f>
        <v/>
      </c>
    </row>
    <row r="48">
      <c r="A48" s="8" t="inlineStr">
        <is>
          <t>靈能感知(Psyniscience)</t>
        </is>
      </c>
      <c r="B48" s="4" t="n"/>
      <c r="C48" s="7">
        <f>IF(B48="T",10,IF(B48="E",20,IF(B48="M",30,0)))</f>
        <v/>
      </c>
      <c r="D48" s="7">
        <f>B6*10</f>
        <v/>
      </c>
      <c r="E48" s="7">
        <f>D48+C48</f>
        <v/>
      </c>
    </row>
    <row r="49">
      <c r="A49" s="8" t="inlineStr">
        <is>
          <t>佈道(Oratory)</t>
        </is>
      </c>
      <c r="B49" s="4" t="n"/>
      <c r="C49" s="7">
        <f>IF(B49="T",10,IF(B49="E",20,IF(B49="M",30,0)))</f>
        <v/>
      </c>
      <c r="D49" s="7">
        <f>B6*10</f>
        <v/>
      </c>
      <c r="E49" s="7">
        <f>D49+C49</f>
        <v/>
      </c>
    </row>
    <row r="50">
      <c r="A50" s="8" t="inlineStr">
        <is>
          <t>遠程射擊(Ballistic)*</t>
        </is>
      </c>
      <c r="B50" s="4" t="n"/>
      <c r="C50" s="7">
        <f>IF(B50="T",10,IF(B50="E",20,IF(B50="M",30,0)))</f>
        <v/>
      </c>
      <c r="D50" s="7">
        <f>B9*10</f>
        <v/>
      </c>
      <c r="E50" s="7">
        <f>D50+C50</f>
        <v/>
      </c>
    </row>
    <row r="51">
      <c r="A51" s="8" t="inlineStr">
        <is>
          <t>技術(Tech-Use)</t>
        </is>
      </c>
      <c r="B51" s="4" t="n"/>
      <c r="C51" s="7">
        <f>IF(B51="T",10,IF(B51="E",20,IF(B51="M",30,0)))</f>
        <v/>
      </c>
      <c r="D51" s="7">
        <f>B9*10</f>
        <v/>
      </c>
      <c r="E51" s="7">
        <f>D51+C51</f>
        <v/>
      </c>
    </row>
    <row r="52">
      <c r="A52" s="8" t="inlineStr">
        <is>
          <t>潛行(Stealth)</t>
        </is>
      </c>
      <c r="B52" s="4" t="n"/>
      <c r="C52" s="7">
        <f>IF(B52="T",10,IF(B52="E",20,IF(B52="M",30,0)))</f>
        <v/>
      </c>
      <c r="D52" s="7">
        <f>B9*10</f>
        <v/>
      </c>
      <c r="E52" s="7">
        <f>D52+C52</f>
        <v/>
      </c>
    </row>
    <row r="53">
      <c r="A53" s="8" t="inlineStr">
        <is>
          <t>指揮(Command)</t>
        </is>
      </c>
      <c r="B53" s="4" t="n"/>
      <c r="C53" s="7">
        <f>IF(B53="T",10,IF(B53="E",20,IF(B53="M",30,0)))</f>
        <v/>
      </c>
      <c r="D53" s="7">
        <f>B10*10</f>
        <v/>
      </c>
      <c r="E53" s="7">
        <f>D53+C53</f>
        <v/>
      </c>
    </row>
    <row r="54">
      <c r="A54" s="8" t="inlineStr">
        <is>
          <t>欺瞞(Deceive)</t>
        </is>
      </c>
      <c r="B54" s="4" t="n"/>
      <c r="C54" s="7">
        <f>IF(B54="T",10,IF(B54="E",20,IF(B54="M",30,0)))</f>
        <v/>
      </c>
      <c r="D54" s="7">
        <f>B10*10</f>
        <v/>
      </c>
      <c r="E54" s="7">
        <f>D54+C54</f>
        <v/>
      </c>
    </row>
    <row r="55"/>
    <row r="56">
      <c r="A56" s="5" t="inlineStr">
        <is>
          <t>烙印、基因缺陷與誓約</t>
        </is>
      </c>
      <c r="B56" s="9" t="n"/>
      <c r="C56" s="9" t="n"/>
      <c r="D56" s="9" t="n"/>
      <c r="E56" s="9" t="n"/>
      <c r="F56" s="9" t="n"/>
      <c r="G56" s="9" t="n"/>
      <c r="H56" s="10" t="n"/>
    </row>
    <row r="57">
      <c r="A57" s="3" t="inlineStr">
        <is>
          <t>烙印效果</t>
        </is>
      </c>
      <c r="B57" s="4" t="n"/>
      <c r="C57" s="9" t="n"/>
      <c r="D57" s="9" t="n"/>
      <c r="E57" s="9" t="n"/>
      <c r="F57" s="10" t="n"/>
    </row>
    <row r="58"/>
    <row r="59">
      <c r="A59" s="3" t="inlineStr">
        <is>
          <t>基因缺陷</t>
        </is>
      </c>
      <c r="B59" s="4" t="n"/>
      <c r="C59" s="9" t="n"/>
      <c r="D59" s="9" t="n"/>
      <c r="E59" s="9" t="n"/>
      <c r="F59" s="10" t="n"/>
    </row>
    <row r="60"/>
    <row r="61">
      <c r="A61" s="3" t="inlineStr">
        <is>
          <t>誓約優先級 1-5</t>
        </is>
      </c>
      <c r="B61" s="4" t="n"/>
      <c r="C61" s="9" t="n"/>
      <c r="D61" s="9" t="n"/>
      <c r="E61" s="9" t="n"/>
      <c r="F61" s="10" t="n"/>
    </row>
    <row r="62"/>
    <row r="63">
      <c r="A63" s="3" t="inlineStr">
        <is>
          <t>戰友關係</t>
        </is>
      </c>
      <c r="B63" s="4" t="n"/>
      <c r="C63" s="9" t="n"/>
      <c r="D63" s="9" t="n"/>
      <c r="E63" s="9" t="n"/>
      <c r="F63" s="10" t="n"/>
    </row>
    <row r="64"/>
    <row r="65">
      <c r="A65" s="3" t="inlineStr">
        <is>
          <t>印記</t>
        </is>
      </c>
      <c r="B65" s="4" t="n"/>
      <c r="C65" s="9" t="n"/>
      <c r="D65" s="9" t="n"/>
      <c r="E65" s="9" t="n"/>
      <c r="F65" s="10" t="n"/>
    </row>
    <row r="66"/>
    <row r="67"/>
    <row r="68">
      <c r="A68" s="5" t="inlineStr">
        <is>
          <t>規則提示</t>
        </is>
      </c>
      <c r="B68" s="9" t="n"/>
      <c r="C68" s="9" t="n"/>
      <c r="D68" s="9" t="n"/>
      <c r="E68" s="9" t="n"/>
      <c r="F68" s="9" t="n"/>
      <c r="G68" s="9" t="n"/>
      <c r="H68" s="10" t="n"/>
    </row>
    <row r="69">
      <c r="A69" s="15" t="inlineStr">
        <is>
          <t>• TN上限=95：任何檢定TN不得超過95（96-00永遠失敗）</t>
        </is>
      </c>
    </row>
    <row r="70">
      <c r="A70" s="15" t="inlineStr">
        <is>
          <t>• 信仰歸零→「靈魂的黑夜」：立即信念危機、無法使用信仰、每日腐化+1</t>
        </is>
      </c>
    </row>
    <row r="71">
      <c r="A71" s="15" t="inlineStr">
        <is>
          <t>• 創傷：單次傷害超過創傷上限觸發。阿斯塔特韌性——輕微創傷無影響</t>
        </is>
      </c>
    </row>
    <row r="72">
      <c r="A72" s="15" t="inlineStr">
        <is>
          <t>• 裝甲機魂（APM） 變化：戰後祝禱+2(TN標準) / 暴擊-1 / 腐化升階-2 / 聖地休息+3</t>
        </is>
      </c>
    </row>
    <row r="73">
      <c r="A73" s="15" t="inlineStr">
        <is>
          <t>• 誓言裂痕：違背誓約→相關戰團能力使用時腐化+1。3次違背→誓約永久失效</t>
        </is>
      </c>
    </row>
    <row r="74">
      <c r="A74" s="15" t="inlineStr">
        <is>
          <t>• 基因缺陷觸發檢定：見技能表下方心智/信仰 目標值（TN） 對應值</t>
        </is>
      </c>
    </row>
    <row r="75">
      <c r="A75" s="15" t="inlineStr">
        <is>
          <t>• 生命值（HP） 緩衝：動力裝甲緩衝 生命值（HP） 先吸收傷害，耗盡後剩餘傷害扣除角色 生命值（HP）</t>
        </is>
      </c>
    </row>
    <row r="76">
      <c r="A76" s="15" t="inlineStr">
        <is>
          <t>• 最終守望：生命值（HP）≤0→每回合1行動→每次行動HP-2→休眠昏迷HP≤−(體魄×2+20)</t>
        </is>
      </c>
    </row>
    <row r="77">
      <c r="A77" s="15" t="inlineStr">
        <is>
          <t>• 任務間恢復：體魄檢定(標準)成功→3d10 生命值（HP）/失敗→1d10。信仰 1d3+信仰值</t>
        </is>
      </c>
    </row>
    <row r="78">
      <c r="A78" s="15" t="inlineStr">
        <is>
          <t>• 裝備維修：卡膛→技藝檢定清除；護甲腐蝕→技術檢定+零件恢復AR</t>
        </is>
      </c>
    </row>
  </sheetData>
  <mergeCells count="22">
    <mergeCell ref="A77:H77"/>
    <mergeCell ref="A39:H39"/>
    <mergeCell ref="A24:H24"/>
    <mergeCell ref="A73:H73"/>
    <mergeCell ref="B59:F59"/>
    <mergeCell ref="A1:H1"/>
    <mergeCell ref="A70:H70"/>
    <mergeCell ref="A78:H78"/>
    <mergeCell ref="A69:H69"/>
    <mergeCell ref="B61:F61"/>
    <mergeCell ref="A75:H75"/>
    <mergeCell ref="B57:F57"/>
    <mergeCell ref="A74:H74"/>
    <mergeCell ref="A12:H12"/>
    <mergeCell ref="A56:H56"/>
    <mergeCell ref="A71:H71"/>
    <mergeCell ref="A76:H76"/>
    <mergeCell ref="A5:H5"/>
    <mergeCell ref="B65:F65"/>
    <mergeCell ref="A72:H72"/>
    <mergeCell ref="B63:F63"/>
    <mergeCell ref="A68:H6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帝國棄子 TRPG — 兄長 鐵心</t>
        </is>
      </c>
      <c r="B1" s="9" t="n"/>
      <c r="C1" s="9" t="n"/>
      <c r="D1" s="9" t="n"/>
      <c r="E1" s="9" t="n"/>
      <c r="F1" s="9" t="n"/>
      <c r="G1" s="9" t="n"/>
      <c r="H1" s="10" t="n"/>
    </row>
    <row r="2"/>
    <row r="3">
      <c r="A3" s="3" t="inlineStr">
        <is>
          <t>角色名稱</t>
        </is>
      </c>
      <c r="B3" s="4" t="inlineStr">
        <is>
          <t>兄長 鐵心</t>
        </is>
      </c>
      <c r="C3" s="3" t="inlineStr">
        <is>
          <t>戰團</t>
        </is>
      </c>
      <c r="D3" s="4" t="inlineStr">
        <is>
          <t>帝國之拳</t>
        </is>
      </c>
      <c r="E3" s="3" t="inlineStr">
        <is>
          <t>烙印</t>
        </is>
      </c>
      <c r="F3" s="4" t="inlineStr">
        <is>
          <t>命令抗命</t>
        </is>
      </c>
    </row>
    <row r="4"/>
    <row r="5">
      <c r="A5" s="5" t="inlineStr">
        <is>
          <t>五大屬性（數值 2-7）</t>
        </is>
      </c>
      <c r="B5" s="9" t="n"/>
      <c r="C5" s="9" t="n"/>
      <c r="D5" s="9" t="n"/>
      <c r="E5" s="9" t="n"/>
      <c r="F5" s="9" t="n"/>
      <c r="G5" s="9" t="n"/>
      <c r="H5" s="10" t="n"/>
    </row>
    <row r="6">
      <c r="A6" s="3" t="inlineStr">
        <is>
          <t>信仰</t>
        </is>
      </c>
      <c r="B6" s="4" t="n">
        <v>4</v>
      </c>
    </row>
    <row r="7">
      <c r="A7" s="3" t="inlineStr">
        <is>
          <t>體魄</t>
        </is>
      </c>
      <c r="B7" s="4" t="n">
        <v>4</v>
      </c>
    </row>
    <row r="8">
      <c r="A8" s="3" t="inlineStr">
        <is>
          <t>心智</t>
        </is>
      </c>
      <c r="B8" s="4" t="n">
        <v>4</v>
      </c>
    </row>
    <row r="9">
      <c r="A9" s="3" t="inlineStr">
        <is>
          <t>技藝</t>
        </is>
      </c>
      <c r="B9" s="4" t="n">
        <v>4</v>
      </c>
    </row>
    <row r="10">
      <c r="A10" s="3" t="inlineStr">
        <is>
          <t>命運</t>
        </is>
      </c>
      <c r="B10" s="4" t="n">
        <v>2</v>
      </c>
    </row>
    <row r="11"/>
    <row r="12">
      <c r="A12" s="5" t="inlineStr">
        <is>
          <t>衍生屬性（自動計算）</t>
        </is>
      </c>
      <c r="B12" s="9" t="n"/>
      <c r="C12" s="9" t="n"/>
      <c r="D12" s="9" t="n"/>
      <c r="E12" s="9" t="n"/>
      <c r="F12" s="9" t="n"/>
      <c r="G12" s="9" t="n"/>
      <c r="H12" s="10" t="n"/>
    </row>
    <row r="13"/>
    <row r="14">
      <c r="A14" s="3" t="inlineStr">
        <is>
          <t>生命值（HP）（生命值）</t>
        </is>
      </c>
      <c r="B14" s="7">
        <f>B7*8+20</f>
        <v/>
      </c>
      <c r="C14" s="3" t="inlineStr">
        <is>
          <t>當前 生命值（HP）</t>
        </is>
      </c>
      <c r="D14" s="4" t="n"/>
    </row>
    <row r="15">
      <c r="A15" s="3" t="inlineStr">
        <is>
          <t>裝甲緩衝 生命值（HP）</t>
        </is>
      </c>
      <c r="B15" s="4" t="n"/>
      <c r="C15" s="3" t="inlineStr">
        <is>
          <t>信仰池</t>
        </is>
      </c>
      <c r="D15" s="7">
        <f>B6*2+10</f>
        <v/>
      </c>
    </row>
    <row r="16">
      <c r="A16" s="3" t="inlineStr">
        <is>
          <t>當前信仰</t>
        </is>
      </c>
      <c r="B16" s="4" t="n"/>
      <c r="C16" s="3" t="inlineStr">
        <is>
          <t>腐化值（0-100）</t>
        </is>
      </c>
      <c r="D16" s="4" t="n"/>
    </row>
    <row r="17">
      <c r="A17" s="3" t="inlineStr">
        <is>
          <t>創傷上限</t>
        </is>
      </c>
      <c r="B17" s="7">
        <f>B8*3+10</f>
        <v/>
      </c>
      <c r="C17" s="3" t="inlineStr">
        <is>
          <t>防禦值</t>
        </is>
      </c>
      <c r="D17" s="7">
        <f>ROUNDUP(B9/2,0)+G36+1</f>
        <v/>
      </c>
    </row>
    <row r="18">
      <c r="A18" s="3" t="inlineStr">
        <is>
          <t>先攻基礎</t>
        </is>
      </c>
      <c r="B18" s="7">
        <f>B8+B9+2</f>
        <v/>
      </c>
      <c r="C18" s="3" t="inlineStr">
        <is>
          <t>移動速度(m)</t>
        </is>
      </c>
      <c r="D18" s="7">
        <f>8+B7+G37</f>
        <v/>
      </c>
    </row>
    <row r="19">
      <c r="A19" s="3" t="inlineStr">
        <is>
          <t>負重上限(kg)</t>
        </is>
      </c>
      <c r="B19" s="7">
        <f>B7*50+100</f>
        <v/>
      </c>
      <c r="C19" s="3" t="inlineStr">
        <is>
          <t>心靈護盾</t>
        </is>
      </c>
      <c r="D19" s="7">
        <f>B8*2+B6/2</f>
        <v/>
      </c>
    </row>
    <row r="20">
      <c r="A20" s="3" t="inlineStr">
        <is>
          <t>命運點</t>
        </is>
      </c>
      <c r="B20" s="7">
        <f>B10</f>
        <v/>
      </c>
      <c r="C20" s="3" t="inlineStr">
        <is>
          <t>裝甲機魂（APM）</t>
        </is>
      </c>
      <c r="D20" s="4" t="n"/>
    </row>
    <row r="21">
      <c r="A21" s="3" t="inlineStr">
        <is>
          <t>生命值（HP） 健康 &gt;75%</t>
        </is>
      </c>
      <c r="B21" s="7">
        <f>B7*8+20</f>
        <v/>
      </c>
      <c r="C21" s="3" t="inlineStr">
        <is>
          <t>重傷 &lt;50%</t>
        </is>
      </c>
      <c r="D21" s="7">
        <f>ROUND((B7*8+20)/2,0)</f>
        <v/>
      </c>
    </row>
    <row r="22">
      <c r="A22" s="3" t="inlineStr">
        <is>
          <t>輕傷 &lt;75%</t>
        </is>
      </c>
      <c r="B22" s="7">
        <f>ROUND((B7*8+20)*0.75,0)</f>
        <v/>
      </c>
      <c r="C22" s="3" t="inlineStr">
        <is>
          <t>瀕死 &lt;25%</t>
        </is>
      </c>
      <c r="D22" s="7">
        <f>ROUND((B7*8+20)*0.25,0)</f>
        <v/>
      </c>
    </row>
    <row r="23"/>
    <row r="24">
      <c r="A24" s="5" t="inlineStr">
        <is>
          <t>武器裝備</t>
        </is>
      </c>
      <c r="B24" s="9" t="n"/>
      <c r="C24" s="9" t="n"/>
      <c r="D24" s="9" t="n"/>
      <c r="E24" s="9" t="n"/>
      <c r="F24" s="9" t="n"/>
      <c r="G24" s="9" t="n"/>
      <c r="H24" s="10" t="n"/>
    </row>
    <row r="25">
      <c r="A25" s="3" t="inlineStr">
        <is>
          <t>主武器名稱</t>
        </is>
      </c>
      <c r="B25" s="4" t="n"/>
      <c r="C25" s="3" t="inlineStr">
        <is>
          <t>基礎傷害</t>
        </is>
      </c>
      <c r="D25" s="4" t="n"/>
    </row>
    <row r="26">
      <c r="A26" s="3" t="inlineStr">
        <is>
          <t>傷害類型</t>
        </is>
      </c>
      <c r="B26" s="4" t="n"/>
      <c r="C26" s="3" t="inlineStr">
        <is>
          <t>彈藥</t>
        </is>
      </c>
      <c r="D26" s="4" t="n"/>
    </row>
    <row r="27">
      <c r="A27" s="3" t="inlineStr">
        <is>
          <t>副武器名稱</t>
        </is>
      </c>
      <c r="B27" s="4" t="n"/>
      <c r="C27" s="3" t="inlineStr">
        <is>
          <t>基礎傷害</t>
        </is>
      </c>
      <c r="D27" s="4" t="n"/>
    </row>
    <row r="28">
      <c r="A28" s="3" t="inlineStr">
        <is>
          <t>動力裝甲狀態</t>
        </is>
      </c>
      <c r="B28" s="4" t="n"/>
      <c r="C28" s="3" t="inlineStr">
        <is>
          <t>護甲值（AR） 彈道</t>
        </is>
      </c>
      <c r="D28" s="4" t="n"/>
    </row>
    <row r="29">
      <c r="A29" s="3" t="inlineStr">
        <is>
          <t>護甲值（AR） 能量</t>
        </is>
      </c>
      <c r="B29" s="4" t="n"/>
      <c r="C29" s="3" t="inlineStr">
        <is>
          <t>護甲值（AR） 爆炸</t>
        </is>
      </c>
      <c r="D29" s="4" t="n"/>
    </row>
    <row r="30">
      <c r="A30" s="3" t="inlineStr">
        <is>
          <t>護甲值（AR） 撕裂</t>
        </is>
      </c>
      <c r="B30" s="4" t="n"/>
      <c r="C30" s="3" t="inlineStr">
        <is>
          <t>護甲值（AR） 火焰</t>
        </is>
      </c>
      <c r="D30" s="4" t="n"/>
    </row>
    <row r="31">
      <c r="A31" s="3" t="inlineStr">
        <is>
          <t>戰團遺物</t>
        </is>
      </c>
      <c r="B31" s="4" t="n"/>
      <c r="C31" s="3" t="inlineStr">
        <is>
          <t>遺物效果</t>
        </is>
      </c>
      <c r="D31" s="4" t="n"/>
    </row>
    <row r="32">
      <c r="A32" s="3" t="inlineStr">
        <is>
          <t>近戰攻擊 目標值（TN）</t>
        </is>
      </c>
      <c r="B32" s="7">
        <f>B7*10</f>
        <v/>
      </c>
      <c r="C32" s="3" t="inlineStr">
        <is>
          <t>遠程攻擊 目標值（TN）</t>
        </is>
      </c>
      <c r="D32" s="7">
        <f>B9*10</f>
        <v/>
      </c>
    </row>
    <row r="33"/>
    <row r="34"/>
    <row r="35"/>
    <row r="36">
      <c r="A36" s="3" t="inlineStr">
        <is>
          <t>裝甲防禦加值</t>
        </is>
      </c>
      <c r="B36" s="4" t="n"/>
    </row>
    <row r="37">
      <c r="A37" s="3" t="inlineStr">
        <is>
          <t>裝甲速度修正</t>
        </is>
      </c>
      <c r="B37" s="4" t="n"/>
    </row>
    <row r="38"/>
    <row r="39">
      <c r="A39" s="5" t="inlineStr">
        <is>
          <t>技能（U=未受訓0 / T=受訓+10 / E=專家+20 / M=大師+30）</t>
        </is>
      </c>
      <c r="B39" s="9" t="n"/>
      <c r="C39" s="9" t="n"/>
      <c r="D39" s="9" t="n"/>
      <c r="E39" s="9" t="n"/>
      <c r="F39" s="9" t="n"/>
      <c r="G39" s="9" t="n"/>
      <c r="H39" s="10" t="n"/>
    </row>
    <row r="40">
      <c r="A40" s="3" t="inlineStr">
        <is>
          <t>技能名稱 (*=天生受訓)</t>
        </is>
      </c>
      <c r="B40" s="3" t="inlineStr">
        <is>
          <t>等級</t>
        </is>
      </c>
      <c r="C40" s="3" t="inlineStr">
        <is>
          <t>加值</t>
        </is>
      </c>
      <c r="D40" s="3" t="inlineStr">
        <is>
          <t>主要屬性 目標值（TN）</t>
        </is>
      </c>
      <c r="E40" s="3" t="inlineStr">
        <is>
          <t>技能TN(標準)</t>
        </is>
      </c>
    </row>
    <row r="41">
      <c r="A41" s="8" t="inlineStr">
        <is>
          <t>運動(Athletics)</t>
        </is>
      </c>
      <c r="B41" s="4" t="n"/>
      <c r="C41" s="7">
        <f>IF(B41="T",10,IF(B41="E",20,IF(B41="M",30,0)))</f>
        <v/>
      </c>
      <c r="D41" s="7">
        <f>B7*10</f>
        <v/>
      </c>
      <c r="E41" s="7">
        <f>D41+C41</f>
        <v/>
      </c>
    </row>
    <row r="42">
      <c r="A42" s="8" t="inlineStr">
        <is>
          <t>近戰(Weapon Skill)*</t>
        </is>
      </c>
      <c r="B42" s="4" t="n"/>
      <c r="C42" s="7">
        <f>IF(B42="T",10,IF(B42="E",20,IF(B42="M",30,0)))</f>
        <v/>
      </c>
      <c r="D42" s="7">
        <f>B7*10</f>
        <v/>
      </c>
      <c r="E42" s="7">
        <f>D42+C42</f>
        <v/>
      </c>
    </row>
    <row r="43">
      <c r="A43" s="8" t="inlineStr">
        <is>
          <t>堅韌(Endurance)</t>
        </is>
      </c>
      <c r="B43" s="4" t="n"/>
      <c r="C43" s="7">
        <f>IF(B43="T",10,IF(B43="E",20,IF(B43="M",30,0)))</f>
        <v/>
      </c>
      <c r="D43" s="7">
        <f>B7*10</f>
        <v/>
      </c>
      <c r="E43" s="7">
        <f>D43+C43</f>
        <v/>
      </c>
    </row>
    <row r="44">
      <c r="A44" s="8" t="inlineStr">
        <is>
          <t>警覺(Awareness)</t>
        </is>
      </c>
      <c r="B44" s="4" t="n"/>
      <c r="C44" s="7">
        <f>IF(B44="T",10,IF(B44="E",20,IF(B44="M",30,0)))</f>
        <v/>
      </c>
      <c r="D44" s="7">
        <f>B8*10</f>
        <v/>
      </c>
      <c r="E44" s="7">
        <f>D44+C44</f>
        <v/>
      </c>
    </row>
    <row r="45">
      <c r="A45" s="8" t="inlineStr">
        <is>
          <t>調查(Investigation)</t>
        </is>
      </c>
      <c r="B45" s="4" t="n"/>
      <c r="C45" s="7">
        <f>IF(B45="T",10,IF(B45="E",20,IF(B45="M",30,0)))</f>
        <v/>
      </c>
      <c r="D45" s="7">
        <f>B8*10</f>
        <v/>
      </c>
      <c r="E45" s="7">
        <f>D45+C45</f>
        <v/>
      </c>
    </row>
    <row r="46">
      <c r="A46" s="8" t="inlineStr">
        <is>
          <t>學識(Lore)*</t>
        </is>
      </c>
      <c r="B46" s="4" t="n"/>
      <c r="C46" s="7">
        <f>IF(B46="T",10,IF(B46="E",20,IF(B46="M",30,0)))</f>
        <v/>
      </c>
      <c r="D46" s="7">
        <f>B8*10</f>
        <v/>
      </c>
      <c r="E46" s="7">
        <f>D46+C46</f>
        <v/>
      </c>
    </row>
    <row r="47">
      <c r="A47" s="8" t="inlineStr">
        <is>
          <t>醫療(Medicae)</t>
        </is>
      </c>
      <c r="B47" s="4" t="n"/>
      <c r="C47" s="7">
        <f>IF(B47="T",10,IF(B47="E",20,IF(B47="M",30,0)))</f>
        <v/>
      </c>
      <c r="D47" s="7">
        <f>B8*10</f>
        <v/>
      </c>
      <c r="E47" s="7">
        <f>D47+C47</f>
        <v/>
      </c>
    </row>
    <row r="48">
      <c r="A48" s="8" t="inlineStr">
        <is>
          <t>靈能感知(Psyniscience)</t>
        </is>
      </c>
      <c r="B48" s="4" t="n"/>
      <c r="C48" s="7">
        <f>IF(B48="T",10,IF(B48="E",20,IF(B48="M",30,0)))</f>
        <v/>
      </c>
      <c r="D48" s="7">
        <f>B6*10</f>
        <v/>
      </c>
      <c r="E48" s="7">
        <f>D48+C48</f>
        <v/>
      </c>
    </row>
    <row r="49">
      <c r="A49" s="8" t="inlineStr">
        <is>
          <t>佈道(Oratory)</t>
        </is>
      </c>
      <c r="B49" s="4" t="n"/>
      <c r="C49" s="7">
        <f>IF(B49="T",10,IF(B49="E",20,IF(B49="M",30,0)))</f>
        <v/>
      </c>
      <c r="D49" s="7">
        <f>B6*10</f>
        <v/>
      </c>
      <c r="E49" s="7">
        <f>D49+C49</f>
        <v/>
      </c>
    </row>
    <row r="50">
      <c r="A50" s="8" t="inlineStr">
        <is>
          <t>遠程射擊(Ballistic)*</t>
        </is>
      </c>
      <c r="B50" s="4" t="n"/>
      <c r="C50" s="7">
        <f>IF(B50="T",10,IF(B50="E",20,IF(B50="M",30,0)))</f>
        <v/>
      </c>
      <c r="D50" s="7">
        <f>B9*10</f>
        <v/>
      </c>
      <c r="E50" s="7">
        <f>D50+C50</f>
        <v/>
      </c>
    </row>
    <row r="51">
      <c r="A51" s="8" t="inlineStr">
        <is>
          <t>技術(Tech-Use)</t>
        </is>
      </c>
      <c r="B51" s="4" t="n"/>
      <c r="C51" s="7">
        <f>IF(B51="T",10,IF(B51="E",20,IF(B51="M",30,0)))</f>
        <v/>
      </c>
      <c r="D51" s="7">
        <f>B9*10</f>
        <v/>
      </c>
      <c r="E51" s="7">
        <f>D51+C51</f>
        <v/>
      </c>
    </row>
    <row r="52">
      <c r="A52" s="8" t="inlineStr">
        <is>
          <t>潛行(Stealth)</t>
        </is>
      </c>
      <c r="B52" s="4" t="n"/>
      <c r="C52" s="7">
        <f>IF(B52="T",10,IF(B52="E",20,IF(B52="M",30,0)))</f>
        <v/>
      </c>
      <c r="D52" s="7">
        <f>B9*10</f>
        <v/>
      </c>
      <c r="E52" s="7">
        <f>D52+C52</f>
        <v/>
      </c>
    </row>
    <row r="53">
      <c r="A53" s="8" t="inlineStr">
        <is>
          <t>指揮(Command)</t>
        </is>
      </c>
      <c r="B53" s="4" t="n"/>
      <c r="C53" s="7">
        <f>IF(B53="T",10,IF(B53="E",20,IF(B53="M",30,0)))</f>
        <v/>
      </c>
      <c r="D53" s="7">
        <f>B10*10</f>
        <v/>
      </c>
      <c r="E53" s="7">
        <f>D53+C53</f>
        <v/>
      </c>
    </row>
    <row r="54">
      <c r="A54" s="8" t="inlineStr">
        <is>
          <t>欺瞞(Deceive)</t>
        </is>
      </c>
      <c r="B54" s="4" t="n"/>
      <c r="C54" s="7">
        <f>IF(B54="T",10,IF(B54="E",20,IF(B54="M",30,0)))</f>
        <v/>
      </c>
      <c r="D54" s="7">
        <f>B10*10</f>
        <v/>
      </c>
      <c r="E54" s="7">
        <f>D54+C54</f>
        <v/>
      </c>
    </row>
    <row r="55"/>
    <row r="56">
      <c r="A56" s="5" t="inlineStr">
        <is>
          <t>烙印、基因缺陷與誓約</t>
        </is>
      </c>
      <c r="B56" s="9" t="n"/>
      <c r="C56" s="9" t="n"/>
      <c r="D56" s="9" t="n"/>
      <c r="E56" s="9" t="n"/>
      <c r="F56" s="9" t="n"/>
      <c r="G56" s="9" t="n"/>
      <c r="H56" s="10" t="n"/>
    </row>
    <row r="57">
      <c r="A57" s="3" t="inlineStr">
        <is>
          <t>烙印效果</t>
        </is>
      </c>
      <c r="B57" s="4" t="n"/>
      <c r="C57" s="9" t="n"/>
      <c r="D57" s="9" t="n"/>
      <c r="E57" s="9" t="n"/>
      <c r="F57" s="10" t="n"/>
    </row>
    <row r="58"/>
    <row r="59">
      <c r="A59" s="3" t="inlineStr">
        <is>
          <t>基因缺陷</t>
        </is>
      </c>
      <c r="B59" s="4" t="n"/>
      <c r="C59" s="9" t="n"/>
      <c r="D59" s="9" t="n"/>
      <c r="E59" s="9" t="n"/>
      <c r="F59" s="10" t="n"/>
    </row>
    <row r="60"/>
    <row r="61">
      <c r="A61" s="3" t="inlineStr">
        <is>
          <t>誓約優先級 1-5</t>
        </is>
      </c>
      <c r="B61" s="4" t="n"/>
      <c r="C61" s="9" t="n"/>
      <c r="D61" s="9" t="n"/>
      <c r="E61" s="9" t="n"/>
      <c r="F61" s="10" t="n"/>
    </row>
    <row r="62"/>
    <row r="63">
      <c r="A63" s="3" t="inlineStr">
        <is>
          <t>戰友關係</t>
        </is>
      </c>
      <c r="B63" s="4" t="n"/>
      <c r="C63" s="9" t="n"/>
      <c r="D63" s="9" t="n"/>
      <c r="E63" s="9" t="n"/>
      <c r="F63" s="10" t="n"/>
    </row>
    <row r="64"/>
    <row r="65">
      <c r="A65" s="3" t="inlineStr">
        <is>
          <t>印記</t>
        </is>
      </c>
      <c r="B65" s="4" t="n"/>
      <c r="C65" s="9" t="n"/>
      <c r="D65" s="9" t="n"/>
      <c r="E65" s="9" t="n"/>
      <c r="F65" s="10" t="n"/>
    </row>
    <row r="66"/>
    <row r="67"/>
    <row r="68">
      <c r="A68" s="5" t="inlineStr">
        <is>
          <t>規則提示</t>
        </is>
      </c>
      <c r="B68" s="9" t="n"/>
      <c r="C68" s="9" t="n"/>
      <c r="D68" s="9" t="n"/>
      <c r="E68" s="9" t="n"/>
      <c r="F68" s="9" t="n"/>
      <c r="G68" s="9" t="n"/>
      <c r="H68" s="10" t="n"/>
    </row>
    <row r="69">
      <c r="A69" s="15" t="inlineStr">
        <is>
          <t>• TN上限=95：任何檢定TN不得超過95（96-00永遠失敗）</t>
        </is>
      </c>
    </row>
    <row r="70">
      <c r="A70" s="15" t="inlineStr">
        <is>
          <t>• 信仰歸零→「靈魂的黑夜」：立即信念危機、無法使用信仰、每日腐化+1</t>
        </is>
      </c>
    </row>
    <row r="71">
      <c r="A71" s="15" t="inlineStr">
        <is>
          <t>• 創傷：單次傷害超過創傷上限觸發。阿斯塔特韌性——輕微創傷無影響</t>
        </is>
      </c>
    </row>
    <row r="72">
      <c r="A72" s="15" t="inlineStr">
        <is>
          <t>• 裝甲機魂（APM） 變化：戰後祝禱+2(TN標準) / 暴擊-1 / 腐化升階-2 / 聖地休息+3</t>
        </is>
      </c>
    </row>
    <row r="73">
      <c r="A73" s="15" t="inlineStr">
        <is>
          <t>• 誓言裂痕：違背誓約→相關戰團能力使用時腐化+1。3次違背→誓約永久失效</t>
        </is>
      </c>
    </row>
    <row r="74">
      <c r="A74" s="15" t="inlineStr">
        <is>
          <t>• 基因缺陷觸發檢定：見技能表下方心智/信仰 目標值（TN） 對應值</t>
        </is>
      </c>
    </row>
    <row r="75">
      <c r="A75" s="15" t="inlineStr">
        <is>
          <t>• 生命值（HP） 緩衝：動力裝甲緩衝 生命值（HP） 先吸收傷害，耗盡後剩餘傷害扣除角色 生命值（HP）</t>
        </is>
      </c>
    </row>
    <row r="76">
      <c r="A76" s="15" t="inlineStr">
        <is>
          <t>• 最終守望：生命值（HP）≤0→每回合1行動→每次行動HP-2→休眠昏迷HP≤−(體魄×2+20)</t>
        </is>
      </c>
    </row>
    <row r="77">
      <c r="A77" s="15" t="inlineStr">
        <is>
          <t>• 任務間恢復：體魄檢定(標準)成功→3d10 生命值（HP）/失敗→1d10。信仰 1d3+信仰值</t>
        </is>
      </c>
    </row>
    <row r="78">
      <c r="A78" s="15" t="inlineStr">
        <is>
          <t>• 裝備維修：卡膛→技藝檢定清除；護甲腐蝕→技術檢定+零件恢復AR</t>
        </is>
      </c>
    </row>
  </sheetData>
  <mergeCells count="22">
    <mergeCell ref="A77:H77"/>
    <mergeCell ref="A39:H39"/>
    <mergeCell ref="A24:H24"/>
    <mergeCell ref="A73:H73"/>
    <mergeCell ref="B59:F59"/>
    <mergeCell ref="A1:H1"/>
    <mergeCell ref="A70:H70"/>
    <mergeCell ref="A78:H78"/>
    <mergeCell ref="A69:H69"/>
    <mergeCell ref="B61:F61"/>
    <mergeCell ref="A75:H75"/>
    <mergeCell ref="B57:F57"/>
    <mergeCell ref="A74:H74"/>
    <mergeCell ref="A12:H12"/>
    <mergeCell ref="A56:H56"/>
    <mergeCell ref="A71:H71"/>
    <mergeCell ref="A76:H76"/>
    <mergeCell ref="A5:H5"/>
    <mergeCell ref="B65:F65"/>
    <mergeCell ref="A72:H72"/>
    <mergeCell ref="B63:F63"/>
    <mergeCell ref="A68:H6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帝國棄子 TRPG — 兄長 影行者</t>
        </is>
      </c>
      <c r="B1" s="9" t="n"/>
      <c r="C1" s="9" t="n"/>
      <c r="D1" s="9" t="n"/>
      <c r="E1" s="9" t="n"/>
      <c r="F1" s="9" t="n"/>
      <c r="G1" s="9" t="n"/>
      <c r="H1" s="10" t="n"/>
    </row>
    <row r="2"/>
    <row r="3">
      <c r="A3" s="3" t="inlineStr">
        <is>
          <t>角色名稱</t>
        </is>
      </c>
      <c r="B3" s="4" t="inlineStr">
        <is>
          <t>兄長 影行者</t>
        </is>
      </c>
      <c r="C3" s="3" t="inlineStr">
        <is>
          <t>戰團</t>
        </is>
      </c>
      <c r="D3" s="4" t="inlineStr">
        <is>
          <t>暗鴉守衛</t>
        </is>
      </c>
      <c r="E3" s="3" t="inlineStr">
        <is>
          <t>烙印</t>
        </is>
      </c>
      <c r="F3" s="4" t="inlineStr">
        <is>
          <t>最後一人</t>
        </is>
      </c>
    </row>
    <row r="4"/>
    <row r="5">
      <c r="A5" s="5" t="inlineStr">
        <is>
          <t>五大屬性（數值 2-7）</t>
        </is>
      </c>
      <c r="B5" s="9" t="n"/>
      <c r="C5" s="9" t="n"/>
      <c r="D5" s="9" t="n"/>
      <c r="E5" s="9" t="n"/>
      <c r="F5" s="9" t="n"/>
      <c r="G5" s="9" t="n"/>
      <c r="H5" s="10" t="n"/>
    </row>
    <row r="6">
      <c r="A6" s="3" t="inlineStr">
        <is>
          <t>信仰</t>
        </is>
      </c>
      <c r="B6" s="4" t="n">
        <v>3</v>
      </c>
    </row>
    <row r="7">
      <c r="A7" s="3" t="inlineStr">
        <is>
          <t>體魄</t>
        </is>
      </c>
      <c r="B7" s="4" t="n">
        <v>4</v>
      </c>
    </row>
    <row r="8">
      <c r="A8" s="3" t="inlineStr">
        <is>
          <t>心智</t>
        </is>
      </c>
      <c r="B8" s="4" t="n">
        <v>3</v>
      </c>
    </row>
    <row r="9">
      <c r="A9" s="3" t="inlineStr">
        <is>
          <t>技藝</t>
        </is>
      </c>
      <c r="B9" s="4" t="n">
        <v>5</v>
      </c>
    </row>
    <row r="10">
      <c r="A10" s="3" t="inlineStr">
        <is>
          <t>命運</t>
        </is>
      </c>
      <c r="B10" s="4" t="n">
        <v>3</v>
      </c>
    </row>
    <row r="11"/>
    <row r="12">
      <c r="A12" s="5" t="inlineStr">
        <is>
          <t>衍生屬性（自動計算）</t>
        </is>
      </c>
      <c r="B12" s="9" t="n"/>
      <c r="C12" s="9" t="n"/>
      <c r="D12" s="9" t="n"/>
      <c r="E12" s="9" t="n"/>
      <c r="F12" s="9" t="n"/>
      <c r="G12" s="9" t="n"/>
      <c r="H12" s="10" t="n"/>
    </row>
    <row r="13"/>
    <row r="14">
      <c r="A14" s="3" t="inlineStr">
        <is>
          <t>生命值（HP）（生命值）</t>
        </is>
      </c>
      <c r="B14" s="7">
        <f>B7*8+20</f>
        <v/>
      </c>
      <c r="C14" s="3" t="inlineStr">
        <is>
          <t>當前 生命值（HP）</t>
        </is>
      </c>
      <c r="D14" s="4" t="n"/>
    </row>
    <row r="15">
      <c r="A15" s="3" t="inlineStr">
        <is>
          <t>裝甲緩衝 生命值（HP）</t>
        </is>
      </c>
      <c r="B15" s="4" t="n"/>
      <c r="C15" s="3" t="inlineStr">
        <is>
          <t>信仰池</t>
        </is>
      </c>
      <c r="D15" s="7">
        <f>B6*2+10</f>
        <v/>
      </c>
    </row>
    <row r="16">
      <c r="A16" s="3" t="inlineStr">
        <is>
          <t>當前信仰</t>
        </is>
      </c>
      <c r="B16" s="4" t="n"/>
      <c r="C16" s="3" t="inlineStr">
        <is>
          <t>腐化值（0-100）</t>
        </is>
      </c>
      <c r="D16" s="4" t="n"/>
    </row>
    <row r="17">
      <c r="A17" s="3" t="inlineStr">
        <is>
          <t>創傷上限</t>
        </is>
      </c>
      <c r="B17" s="7">
        <f>B8*3+10</f>
        <v/>
      </c>
      <c r="C17" s="3" t="inlineStr">
        <is>
          <t>防禦值</t>
        </is>
      </c>
      <c r="D17" s="7">
        <f>ROUNDUP(B9/2,0)+G36+1</f>
        <v/>
      </c>
    </row>
    <row r="18">
      <c r="A18" s="3" t="inlineStr">
        <is>
          <t>先攻基礎</t>
        </is>
      </c>
      <c r="B18" s="7">
        <f>B8+B9+2</f>
        <v/>
      </c>
      <c r="C18" s="3" t="inlineStr">
        <is>
          <t>移動速度(m)</t>
        </is>
      </c>
      <c r="D18" s="7">
        <f>8+B7+G37</f>
        <v/>
      </c>
    </row>
    <row r="19">
      <c r="A19" s="3" t="inlineStr">
        <is>
          <t>負重上限(kg)</t>
        </is>
      </c>
      <c r="B19" s="7">
        <f>B7*50+100</f>
        <v/>
      </c>
      <c r="C19" s="3" t="inlineStr">
        <is>
          <t>心靈護盾</t>
        </is>
      </c>
      <c r="D19" s="7">
        <f>B8*2+B6/2</f>
        <v/>
      </c>
    </row>
    <row r="20">
      <c r="A20" s="3" t="inlineStr">
        <is>
          <t>命運點</t>
        </is>
      </c>
      <c r="B20" s="7">
        <f>B10</f>
        <v/>
      </c>
      <c r="C20" s="3" t="inlineStr">
        <is>
          <t>裝甲機魂（APM）</t>
        </is>
      </c>
      <c r="D20" s="4" t="n"/>
    </row>
    <row r="21">
      <c r="A21" s="3" t="inlineStr">
        <is>
          <t>生命值（HP） 健康 &gt;75%</t>
        </is>
      </c>
      <c r="B21" s="7">
        <f>B7*8+20</f>
        <v/>
      </c>
      <c r="C21" s="3" t="inlineStr">
        <is>
          <t>重傷 &lt;50%</t>
        </is>
      </c>
      <c r="D21" s="7">
        <f>ROUND((B7*8+20)/2,0)</f>
        <v/>
      </c>
    </row>
    <row r="22">
      <c r="A22" s="3" t="inlineStr">
        <is>
          <t>輕傷 &lt;75%</t>
        </is>
      </c>
      <c r="B22" s="7">
        <f>ROUND((B7*8+20)*0.75,0)</f>
        <v/>
      </c>
      <c r="C22" s="3" t="inlineStr">
        <is>
          <t>瀕死 &lt;25%</t>
        </is>
      </c>
      <c r="D22" s="7">
        <f>ROUND((B7*8+20)*0.25,0)</f>
        <v/>
      </c>
    </row>
    <row r="23"/>
    <row r="24">
      <c r="A24" s="5" t="inlineStr">
        <is>
          <t>武器裝備</t>
        </is>
      </c>
      <c r="B24" s="9" t="n"/>
      <c r="C24" s="9" t="n"/>
      <c r="D24" s="9" t="n"/>
      <c r="E24" s="9" t="n"/>
      <c r="F24" s="9" t="n"/>
      <c r="G24" s="9" t="n"/>
      <c r="H24" s="10" t="n"/>
    </row>
    <row r="25">
      <c r="A25" s="3" t="inlineStr">
        <is>
          <t>主武器名稱</t>
        </is>
      </c>
      <c r="B25" s="4" t="n"/>
      <c r="C25" s="3" t="inlineStr">
        <is>
          <t>基礎傷害</t>
        </is>
      </c>
      <c r="D25" s="4" t="n"/>
    </row>
    <row r="26">
      <c r="A26" s="3" t="inlineStr">
        <is>
          <t>傷害類型</t>
        </is>
      </c>
      <c r="B26" s="4" t="n"/>
      <c r="C26" s="3" t="inlineStr">
        <is>
          <t>彈藥</t>
        </is>
      </c>
      <c r="D26" s="4" t="n"/>
    </row>
    <row r="27">
      <c r="A27" s="3" t="inlineStr">
        <is>
          <t>副武器名稱</t>
        </is>
      </c>
      <c r="B27" s="4" t="n"/>
      <c r="C27" s="3" t="inlineStr">
        <is>
          <t>基礎傷害</t>
        </is>
      </c>
      <c r="D27" s="4" t="n"/>
    </row>
    <row r="28">
      <c r="A28" s="3" t="inlineStr">
        <is>
          <t>動力裝甲狀態</t>
        </is>
      </c>
      <c r="B28" s="4" t="n"/>
      <c r="C28" s="3" t="inlineStr">
        <is>
          <t>護甲值（AR） 彈道</t>
        </is>
      </c>
      <c r="D28" s="4" t="n"/>
    </row>
    <row r="29">
      <c r="A29" s="3" t="inlineStr">
        <is>
          <t>護甲值（AR） 能量</t>
        </is>
      </c>
      <c r="B29" s="4" t="n"/>
      <c r="C29" s="3" t="inlineStr">
        <is>
          <t>護甲值（AR） 爆炸</t>
        </is>
      </c>
      <c r="D29" s="4" t="n"/>
    </row>
    <row r="30">
      <c r="A30" s="3" t="inlineStr">
        <is>
          <t>護甲值（AR） 撕裂</t>
        </is>
      </c>
      <c r="B30" s="4" t="n"/>
      <c r="C30" s="3" t="inlineStr">
        <is>
          <t>護甲值（AR） 火焰</t>
        </is>
      </c>
      <c r="D30" s="4" t="n"/>
    </row>
    <row r="31">
      <c r="A31" s="3" t="inlineStr">
        <is>
          <t>戰團遺物</t>
        </is>
      </c>
      <c r="B31" s="4" t="n"/>
      <c r="C31" s="3" t="inlineStr">
        <is>
          <t>遺物效果</t>
        </is>
      </c>
      <c r="D31" s="4" t="n"/>
    </row>
    <row r="32">
      <c r="A32" s="3" t="inlineStr">
        <is>
          <t>近戰攻擊 目標值（TN）</t>
        </is>
      </c>
      <c r="B32" s="7">
        <f>B7*10</f>
        <v/>
      </c>
      <c r="C32" s="3" t="inlineStr">
        <is>
          <t>遠程攻擊 目標值（TN）</t>
        </is>
      </c>
      <c r="D32" s="7">
        <f>B9*10</f>
        <v/>
      </c>
    </row>
    <row r="33"/>
    <row r="34"/>
    <row r="35"/>
    <row r="36">
      <c r="A36" s="3" t="inlineStr">
        <is>
          <t>裝甲防禦加值</t>
        </is>
      </c>
      <c r="B36" s="4" t="n"/>
    </row>
    <row r="37">
      <c r="A37" s="3" t="inlineStr">
        <is>
          <t>裝甲速度修正</t>
        </is>
      </c>
      <c r="B37" s="4" t="n"/>
    </row>
    <row r="38"/>
    <row r="39">
      <c r="A39" s="5" t="inlineStr">
        <is>
          <t>技能（U=未受訓0 / T=受訓+10 / E=專家+20 / M=大師+30）</t>
        </is>
      </c>
      <c r="B39" s="9" t="n"/>
      <c r="C39" s="9" t="n"/>
      <c r="D39" s="9" t="n"/>
      <c r="E39" s="9" t="n"/>
      <c r="F39" s="9" t="n"/>
      <c r="G39" s="9" t="n"/>
      <c r="H39" s="10" t="n"/>
    </row>
    <row r="40">
      <c r="A40" s="3" t="inlineStr">
        <is>
          <t>技能名稱 (*=天生受訓)</t>
        </is>
      </c>
      <c r="B40" s="3" t="inlineStr">
        <is>
          <t>等級</t>
        </is>
      </c>
      <c r="C40" s="3" t="inlineStr">
        <is>
          <t>加值</t>
        </is>
      </c>
      <c r="D40" s="3" t="inlineStr">
        <is>
          <t>主要屬性 目標值（TN）</t>
        </is>
      </c>
      <c r="E40" s="3" t="inlineStr">
        <is>
          <t>技能TN(標準)</t>
        </is>
      </c>
    </row>
    <row r="41">
      <c r="A41" s="8" t="inlineStr">
        <is>
          <t>運動(Athletics)</t>
        </is>
      </c>
      <c r="B41" s="4" t="n"/>
      <c r="C41" s="7">
        <f>IF(B41="T",10,IF(B41="E",20,IF(B41="M",30,0)))</f>
        <v/>
      </c>
      <c r="D41" s="7">
        <f>B7*10</f>
        <v/>
      </c>
      <c r="E41" s="7">
        <f>D41+C41</f>
        <v/>
      </c>
    </row>
    <row r="42">
      <c r="A42" s="8" t="inlineStr">
        <is>
          <t>近戰(Weapon Skill)*</t>
        </is>
      </c>
      <c r="B42" s="4" t="n"/>
      <c r="C42" s="7">
        <f>IF(B42="T",10,IF(B42="E",20,IF(B42="M",30,0)))</f>
        <v/>
      </c>
      <c r="D42" s="7">
        <f>B7*10</f>
        <v/>
      </c>
      <c r="E42" s="7">
        <f>D42+C42</f>
        <v/>
      </c>
    </row>
    <row r="43">
      <c r="A43" s="8" t="inlineStr">
        <is>
          <t>堅韌(Endurance)</t>
        </is>
      </c>
      <c r="B43" s="4" t="n"/>
      <c r="C43" s="7">
        <f>IF(B43="T",10,IF(B43="E",20,IF(B43="M",30,0)))</f>
        <v/>
      </c>
      <c r="D43" s="7">
        <f>B7*10</f>
        <v/>
      </c>
      <c r="E43" s="7">
        <f>D43+C43</f>
        <v/>
      </c>
    </row>
    <row r="44">
      <c r="A44" s="8" t="inlineStr">
        <is>
          <t>警覺(Awareness)</t>
        </is>
      </c>
      <c r="B44" s="4" t="n"/>
      <c r="C44" s="7">
        <f>IF(B44="T",10,IF(B44="E",20,IF(B44="M",30,0)))</f>
        <v/>
      </c>
      <c r="D44" s="7">
        <f>B8*10</f>
        <v/>
      </c>
      <c r="E44" s="7">
        <f>D44+C44</f>
        <v/>
      </c>
    </row>
    <row r="45">
      <c r="A45" s="8" t="inlineStr">
        <is>
          <t>調查(Investigation)</t>
        </is>
      </c>
      <c r="B45" s="4" t="n"/>
      <c r="C45" s="7">
        <f>IF(B45="T",10,IF(B45="E",20,IF(B45="M",30,0)))</f>
        <v/>
      </c>
      <c r="D45" s="7">
        <f>B8*10</f>
        <v/>
      </c>
      <c r="E45" s="7">
        <f>D45+C45</f>
        <v/>
      </c>
    </row>
    <row r="46">
      <c r="A46" s="8" t="inlineStr">
        <is>
          <t>學識(Lore)*</t>
        </is>
      </c>
      <c r="B46" s="4" t="n"/>
      <c r="C46" s="7">
        <f>IF(B46="T",10,IF(B46="E",20,IF(B46="M",30,0)))</f>
        <v/>
      </c>
      <c r="D46" s="7">
        <f>B8*10</f>
        <v/>
      </c>
      <c r="E46" s="7">
        <f>D46+C46</f>
        <v/>
      </c>
    </row>
    <row r="47">
      <c r="A47" s="8" t="inlineStr">
        <is>
          <t>醫療(Medicae)</t>
        </is>
      </c>
      <c r="B47" s="4" t="n"/>
      <c r="C47" s="7">
        <f>IF(B47="T",10,IF(B47="E",20,IF(B47="M",30,0)))</f>
        <v/>
      </c>
      <c r="D47" s="7">
        <f>B8*10</f>
        <v/>
      </c>
      <c r="E47" s="7">
        <f>D47+C47</f>
        <v/>
      </c>
    </row>
    <row r="48">
      <c r="A48" s="8" t="inlineStr">
        <is>
          <t>靈能感知(Psyniscience)</t>
        </is>
      </c>
      <c r="B48" s="4" t="n"/>
      <c r="C48" s="7">
        <f>IF(B48="T",10,IF(B48="E",20,IF(B48="M",30,0)))</f>
        <v/>
      </c>
      <c r="D48" s="7">
        <f>B6*10</f>
        <v/>
      </c>
      <c r="E48" s="7">
        <f>D48+C48</f>
        <v/>
      </c>
    </row>
    <row r="49">
      <c r="A49" s="8" t="inlineStr">
        <is>
          <t>佈道(Oratory)</t>
        </is>
      </c>
      <c r="B49" s="4" t="n"/>
      <c r="C49" s="7">
        <f>IF(B49="T",10,IF(B49="E",20,IF(B49="M",30,0)))</f>
        <v/>
      </c>
      <c r="D49" s="7">
        <f>B6*10</f>
        <v/>
      </c>
      <c r="E49" s="7">
        <f>D49+C49</f>
        <v/>
      </c>
    </row>
    <row r="50">
      <c r="A50" s="8" t="inlineStr">
        <is>
          <t>遠程射擊(Ballistic)*</t>
        </is>
      </c>
      <c r="B50" s="4" t="n"/>
      <c r="C50" s="7">
        <f>IF(B50="T",10,IF(B50="E",20,IF(B50="M",30,0)))</f>
        <v/>
      </c>
      <c r="D50" s="7">
        <f>B9*10</f>
        <v/>
      </c>
      <c r="E50" s="7">
        <f>D50+C50</f>
        <v/>
      </c>
    </row>
    <row r="51">
      <c r="A51" s="8" t="inlineStr">
        <is>
          <t>技術(Tech-Use)</t>
        </is>
      </c>
      <c r="B51" s="4" t="n"/>
      <c r="C51" s="7">
        <f>IF(B51="T",10,IF(B51="E",20,IF(B51="M",30,0)))</f>
        <v/>
      </c>
      <c r="D51" s="7">
        <f>B9*10</f>
        <v/>
      </c>
      <c r="E51" s="7">
        <f>D51+C51</f>
        <v/>
      </c>
    </row>
    <row r="52">
      <c r="A52" s="8" t="inlineStr">
        <is>
          <t>潛行(Stealth)</t>
        </is>
      </c>
      <c r="B52" s="4" t="n"/>
      <c r="C52" s="7">
        <f>IF(B52="T",10,IF(B52="E",20,IF(B52="M",30,0)))</f>
        <v/>
      </c>
      <c r="D52" s="7">
        <f>B9*10</f>
        <v/>
      </c>
      <c r="E52" s="7">
        <f>D52+C52</f>
        <v/>
      </c>
    </row>
    <row r="53">
      <c r="A53" s="8" t="inlineStr">
        <is>
          <t>指揮(Command)</t>
        </is>
      </c>
      <c r="B53" s="4" t="n"/>
      <c r="C53" s="7">
        <f>IF(B53="T",10,IF(B53="E",20,IF(B53="M",30,0)))</f>
        <v/>
      </c>
      <c r="D53" s="7">
        <f>B10*10</f>
        <v/>
      </c>
      <c r="E53" s="7">
        <f>D53+C53</f>
        <v/>
      </c>
    </row>
    <row r="54">
      <c r="A54" s="8" t="inlineStr">
        <is>
          <t>欺瞞(Deceive)</t>
        </is>
      </c>
      <c r="B54" s="4" t="n"/>
      <c r="C54" s="7">
        <f>IF(B54="T",10,IF(B54="E",20,IF(B54="M",30,0)))</f>
        <v/>
      </c>
      <c r="D54" s="7">
        <f>B10*10</f>
        <v/>
      </c>
      <c r="E54" s="7">
        <f>D54+C54</f>
        <v/>
      </c>
    </row>
    <row r="55"/>
    <row r="56">
      <c r="A56" s="5" t="inlineStr">
        <is>
          <t>烙印、基因缺陷與誓約</t>
        </is>
      </c>
      <c r="B56" s="9" t="n"/>
      <c r="C56" s="9" t="n"/>
      <c r="D56" s="9" t="n"/>
      <c r="E56" s="9" t="n"/>
      <c r="F56" s="9" t="n"/>
      <c r="G56" s="9" t="n"/>
      <c r="H56" s="10" t="n"/>
    </row>
    <row r="57">
      <c r="A57" s="3" t="inlineStr">
        <is>
          <t>烙印效果</t>
        </is>
      </c>
      <c r="B57" s="4" t="n"/>
      <c r="C57" s="9" t="n"/>
      <c r="D57" s="9" t="n"/>
      <c r="E57" s="9" t="n"/>
      <c r="F57" s="10" t="n"/>
    </row>
    <row r="58"/>
    <row r="59">
      <c r="A59" s="3" t="inlineStr">
        <is>
          <t>基因缺陷</t>
        </is>
      </c>
      <c r="B59" s="4" t="n"/>
      <c r="C59" s="9" t="n"/>
      <c r="D59" s="9" t="n"/>
      <c r="E59" s="9" t="n"/>
      <c r="F59" s="10" t="n"/>
    </row>
    <row r="60"/>
    <row r="61">
      <c r="A61" s="3" t="inlineStr">
        <is>
          <t>誓約優先級 1-5</t>
        </is>
      </c>
      <c r="B61" s="4" t="n"/>
      <c r="C61" s="9" t="n"/>
      <c r="D61" s="9" t="n"/>
      <c r="E61" s="9" t="n"/>
      <c r="F61" s="10" t="n"/>
    </row>
    <row r="62"/>
    <row r="63">
      <c r="A63" s="3" t="inlineStr">
        <is>
          <t>戰友關係</t>
        </is>
      </c>
      <c r="B63" s="4" t="n"/>
      <c r="C63" s="9" t="n"/>
      <c r="D63" s="9" t="n"/>
      <c r="E63" s="9" t="n"/>
      <c r="F63" s="10" t="n"/>
    </row>
    <row r="64"/>
    <row r="65">
      <c r="A65" s="3" t="inlineStr">
        <is>
          <t>印記</t>
        </is>
      </c>
      <c r="B65" s="4" t="n"/>
      <c r="C65" s="9" t="n"/>
      <c r="D65" s="9" t="n"/>
      <c r="E65" s="9" t="n"/>
      <c r="F65" s="10" t="n"/>
    </row>
    <row r="66"/>
    <row r="67"/>
    <row r="68">
      <c r="A68" s="5" t="inlineStr">
        <is>
          <t>規則提示</t>
        </is>
      </c>
      <c r="B68" s="9" t="n"/>
      <c r="C68" s="9" t="n"/>
      <c r="D68" s="9" t="n"/>
      <c r="E68" s="9" t="n"/>
      <c r="F68" s="9" t="n"/>
      <c r="G68" s="9" t="n"/>
      <c r="H68" s="10" t="n"/>
    </row>
    <row r="69">
      <c r="A69" s="15" t="inlineStr">
        <is>
          <t>• TN上限=95：任何檢定TN不得超過95（96-00永遠失敗）</t>
        </is>
      </c>
    </row>
    <row r="70">
      <c r="A70" s="15" t="inlineStr">
        <is>
          <t>• 信仰歸零→「靈魂的黑夜」：立即信念危機、無法使用信仰、每日腐化+1</t>
        </is>
      </c>
    </row>
    <row r="71">
      <c r="A71" s="15" t="inlineStr">
        <is>
          <t>• 創傷：單次傷害超過創傷上限觸發。阿斯塔特韌性——輕微創傷無影響</t>
        </is>
      </c>
    </row>
    <row r="72">
      <c r="A72" s="15" t="inlineStr">
        <is>
          <t>• 裝甲機魂（APM） 變化：戰後祝禱+2(TN標準) / 暴擊-1 / 腐化升階-2 / 聖地休息+3</t>
        </is>
      </c>
    </row>
    <row r="73">
      <c r="A73" s="15" t="inlineStr">
        <is>
          <t>• 誓言裂痕：違背誓約→相關戰團能力使用時腐化+1。3次違背→誓約永久失效</t>
        </is>
      </c>
    </row>
    <row r="74">
      <c r="A74" s="15" t="inlineStr">
        <is>
          <t>• 基因缺陷觸發檢定：見技能表下方心智/信仰 目標值（TN） 對應值</t>
        </is>
      </c>
    </row>
    <row r="75">
      <c r="A75" s="15" t="inlineStr">
        <is>
          <t>• 生命值（HP） 緩衝：動力裝甲緩衝 生命值（HP） 先吸收傷害，耗盡後剩餘傷害扣除角色 生命值（HP）</t>
        </is>
      </c>
    </row>
    <row r="76">
      <c r="A76" s="15" t="inlineStr">
        <is>
          <t>• 最終守望：生命值（HP）≤0→每回合1行動→每次行動HP-2→休眠昏迷HP≤−(體魄×2+20)</t>
        </is>
      </c>
    </row>
    <row r="77">
      <c r="A77" s="15" t="inlineStr">
        <is>
          <t>• 任務間恢復：體魄檢定(標準)成功→3d10 生命值（HP）/失敗→1d10。信仰 1d3+信仰值</t>
        </is>
      </c>
    </row>
    <row r="78">
      <c r="A78" s="15" t="inlineStr">
        <is>
          <t>• 裝備維修：卡膛→技藝檢定清除；護甲腐蝕→技術檢定+零件恢復AR</t>
        </is>
      </c>
    </row>
  </sheetData>
  <mergeCells count="22">
    <mergeCell ref="A77:H77"/>
    <mergeCell ref="A39:H39"/>
    <mergeCell ref="A24:H24"/>
    <mergeCell ref="A73:H73"/>
    <mergeCell ref="B59:F59"/>
    <mergeCell ref="A1:H1"/>
    <mergeCell ref="A70:H70"/>
    <mergeCell ref="A78:H78"/>
    <mergeCell ref="A69:H69"/>
    <mergeCell ref="B61:F61"/>
    <mergeCell ref="A75:H75"/>
    <mergeCell ref="B57:F57"/>
    <mergeCell ref="A74:H74"/>
    <mergeCell ref="A12:H12"/>
    <mergeCell ref="A56:H56"/>
    <mergeCell ref="A71:H71"/>
    <mergeCell ref="A76:H76"/>
    <mergeCell ref="A5:H5"/>
    <mergeCell ref="B65:F65"/>
    <mergeCell ref="A72:H72"/>
    <mergeCell ref="B63:F63"/>
    <mergeCell ref="A68:H6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帝國棄子 TRPG — 兄長 狼嚎</t>
        </is>
      </c>
      <c r="B1" s="9" t="n"/>
      <c r="C1" s="9" t="n"/>
      <c r="D1" s="9" t="n"/>
      <c r="E1" s="9" t="n"/>
      <c r="F1" s="9" t="n"/>
      <c r="G1" s="9" t="n"/>
      <c r="H1" s="10" t="n"/>
    </row>
    <row r="2"/>
    <row r="3">
      <c r="A3" s="3" t="inlineStr">
        <is>
          <t>角色名稱</t>
        </is>
      </c>
      <c r="B3" s="4" t="inlineStr">
        <is>
          <t>兄長 狼嚎</t>
        </is>
      </c>
      <c r="C3" s="3" t="inlineStr">
        <is>
          <t>戰團</t>
        </is>
      </c>
      <c r="D3" s="4" t="inlineStr">
        <is>
          <t>太空野狼</t>
        </is>
      </c>
      <c r="E3" s="3" t="inlineStr">
        <is>
          <t>烙印</t>
        </is>
      </c>
      <c r="F3" s="4" t="inlineStr">
        <is>
          <t>基因缺陷</t>
        </is>
      </c>
    </row>
    <row r="4"/>
    <row r="5">
      <c r="A5" s="5" t="inlineStr">
        <is>
          <t>五大屬性（數值 2-7）</t>
        </is>
      </c>
      <c r="B5" s="9" t="n"/>
      <c r="C5" s="9" t="n"/>
      <c r="D5" s="9" t="n"/>
      <c r="E5" s="9" t="n"/>
      <c r="F5" s="9" t="n"/>
      <c r="G5" s="9" t="n"/>
      <c r="H5" s="10" t="n"/>
    </row>
    <row r="6">
      <c r="A6" s="3" t="inlineStr">
        <is>
          <t>信仰</t>
        </is>
      </c>
      <c r="B6" s="4" t="n">
        <v>2</v>
      </c>
    </row>
    <row r="7">
      <c r="A7" s="3" t="inlineStr">
        <is>
          <t>體魄</t>
        </is>
      </c>
      <c r="B7" s="4" t="n">
        <v>5</v>
      </c>
    </row>
    <row r="8">
      <c r="A8" s="3" t="inlineStr">
        <is>
          <t>心智</t>
        </is>
      </c>
      <c r="B8" s="4" t="n">
        <v>3</v>
      </c>
    </row>
    <row r="9">
      <c r="A9" s="3" t="inlineStr">
        <is>
          <t>技藝</t>
        </is>
      </c>
      <c r="B9" s="4" t="n">
        <v>4</v>
      </c>
    </row>
    <row r="10">
      <c r="A10" s="3" t="inlineStr">
        <is>
          <t>命運</t>
        </is>
      </c>
      <c r="B10" s="4" t="n">
        <v>4</v>
      </c>
    </row>
    <row r="11"/>
    <row r="12">
      <c r="A12" s="5" t="inlineStr">
        <is>
          <t>衍生屬性（自動計算）</t>
        </is>
      </c>
      <c r="B12" s="9" t="n"/>
      <c r="C12" s="9" t="n"/>
      <c r="D12" s="9" t="n"/>
      <c r="E12" s="9" t="n"/>
      <c r="F12" s="9" t="n"/>
      <c r="G12" s="9" t="n"/>
      <c r="H12" s="10" t="n"/>
    </row>
    <row r="13"/>
    <row r="14">
      <c r="A14" s="3" t="inlineStr">
        <is>
          <t>生命值（HP）（生命值）</t>
        </is>
      </c>
      <c r="B14" s="7">
        <f>B7*8+20</f>
        <v/>
      </c>
      <c r="C14" s="3" t="inlineStr">
        <is>
          <t>當前 生命值（HP）</t>
        </is>
      </c>
      <c r="D14" s="4" t="n"/>
    </row>
    <row r="15">
      <c r="A15" s="3" t="inlineStr">
        <is>
          <t>裝甲緩衝 生命值（HP）</t>
        </is>
      </c>
      <c r="B15" s="4" t="n"/>
      <c r="C15" s="3" t="inlineStr">
        <is>
          <t>信仰池</t>
        </is>
      </c>
      <c r="D15" s="7">
        <f>B6*2+10</f>
        <v/>
      </c>
    </row>
    <row r="16">
      <c r="A16" s="3" t="inlineStr">
        <is>
          <t>當前信仰</t>
        </is>
      </c>
      <c r="B16" s="4" t="n"/>
      <c r="C16" s="3" t="inlineStr">
        <is>
          <t>腐化值（0-100）</t>
        </is>
      </c>
      <c r="D16" s="4" t="n"/>
    </row>
    <row r="17">
      <c r="A17" s="3" t="inlineStr">
        <is>
          <t>創傷上限</t>
        </is>
      </c>
      <c r="B17" s="7">
        <f>B8*3+10</f>
        <v/>
      </c>
      <c r="C17" s="3" t="inlineStr">
        <is>
          <t>防禦值</t>
        </is>
      </c>
      <c r="D17" s="7">
        <f>ROUNDUP(B9/2,0)+G36+1</f>
        <v/>
      </c>
    </row>
    <row r="18">
      <c r="A18" s="3" t="inlineStr">
        <is>
          <t>先攻基礎</t>
        </is>
      </c>
      <c r="B18" s="7">
        <f>B8+B9+2</f>
        <v/>
      </c>
      <c r="C18" s="3" t="inlineStr">
        <is>
          <t>移動速度(m)</t>
        </is>
      </c>
      <c r="D18" s="7">
        <f>8+B7+G37</f>
        <v/>
      </c>
    </row>
    <row r="19">
      <c r="A19" s="3" t="inlineStr">
        <is>
          <t>負重上限(kg)</t>
        </is>
      </c>
      <c r="B19" s="7">
        <f>B7*50+100</f>
        <v/>
      </c>
      <c r="C19" s="3" t="inlineStr">
        <is>
          <t>心靈護盾</t>
        </is>
      </c>
      <c r="D19" s="7">
        <f>B8*2+B6/2</f>
        <v/>
      </c>
    </row>
    <row r="20">
      <c r="A20" s="3" t="inlineStr">
        <is>
          <t>命運點</t>
        </is>
      </c>
      <c r="B20" s="7">
        <f>B10</f>
        <v/>
      </c>
      <c r="C20" s="3" t="inlineStr">
        <is>
          <t>裝甲機魂（APM）</t>
        </is>
      </c>
      <c r="D20" s="4" t="n"/>
    </row>
    <row r="21">
      <c r="A21" s="3" t="inlineStr">
        <is>
          <t>生命值（HP） 健康 &gt;75%</t>
        </is>
      </c>
      <c r="B21" s="7">
        <f>B7*8+20</f>
        <v/>
      </c>
      <c r="C21" s="3" t="inlineStr">
        <is>
          <t>重傷 &lt;50%</t>
        </is>
      </c>
      <c r="D21" s="7">
        <f>ROUND((B7*8+20)/2,0)</f>
        <v/>
      </c>
    </row>
    <row r="22">
      <c r="A22" s="3" t="inlineStr">
        <is>
          <t>輕傷 &lt;75%</t>
        </is>
      </c>
      <c r="B22" s="7">
        <f>ROUND((B7*8+20)*0.75,0)</f>
        <v/>
      </c>
      <c r="C22" s="3" t="inlineStr">
        <is>
          <t>瀕死 &lt;25%</t>
        </is>
      </c>
      <c r="D22" s="7">
        <f>ROUND((B7*8+20)*0.25,0)</f>
        <v/>
      </c>
    </row>
    <row r="23"/>
    <row r="24">
      <c r="A24" s="5" t="inlineStr">
        <is>
          <t>武器裝備</t>
        </is>
      </c>
      <c r="B24" s="9" t="n"/>
      <c r="C24" s="9" t="n"/>
      <c r="D24" s="9" t="n"/>
      <c r="E24" s="9" t="n"/>
      <c r="F24" s="9" t="n"/>
      <c r="G24" s="9" t="n"/>
      <c r="H24" s="10" t="n"/>
    </row>
    <row r="25">
      <c r="A25" s="3" t="inlineStr">
        <is>
          <t>主武器名稱</t>
        </is>
      </c>
      <c r="B25" s="4" t="n"/>
      <c r="C25" s="3" t="inlineStr">
        <is>
          <t>基礎傷害</t>
        </is>
      </c>
      <c r="D25" s="4" t="n"/>
    </row>
    <row r="26">
      <c r="A26" s="3" t="inlineStr">
        <is>
          <t>傷害類型</t>
        </is>
      </c>
      <c r="B26" s="4" t="n"/>
      <c r="C26" s="3" t="inlineStr">
        <is>
          <t>彈藥</t>
        </is>
      </c>
      <c r="D26" s="4" t="n"/>
    </row>
    <row r="27">
      <c r="A27" s="3" t="inlineStr">
        <is>
          <t>副武器名稱</t>
        </is>
      </c>
      <c r="B27" s="4" t="n"/>
      <c r="C27" s="3" t="inlineStr">
        <is>
          <t>基礎傷害</t>
        </is>
      </c>
      <c r="D27" s="4" t="n"/>
    </row>
    <row r="28">
      <c r="A28" s="3" t="inlineStr">
        <is>
          <t>動力裝甲狀態</t>
        </is>
      </c>
      <c r="B28" s="4" t="n"/>
      <c r="C28" s="3" t="inlineStr">
        <is>
          <t>護甲值（AR） 彈道</t>
        </is>
      </c>
      <c r="D28" s="4" t="n"/>
    </row>
    <row r="29">
      <c r="A29" s="3" t="inlineStr">
        <is>
          <t>護甲值（AR） 能量</t>
        </is>
      </c>
      <c r="B29" s="4" t="n"/>
      <c r="C29" s="3" t="inlineStr">
        <is>
          <t>護甲值（AR） 爆炸</t>
        </is>
      </c>
      <c r="D29" s="4" t="n"/>
    </row>
    <row r="30">
      <c r="A30" s="3" t="inlineStr">
        <is>
          <t>護甲值（AR） 撕裂</t>
        </is>
      </c>
      <c r="B30" s="4" t="n"/>
      <c r="C30" s="3" t="inlineStr">
        <is>
          <t>護甲值（AR） 火焰</t>
        </is>
      </c>
      <c r="D30" s="4" t="n"/>
    </row>
    <row r="31">
      <c r="A31" s="3" t="inlineStr">
        <is>
          <t>戰團遺物</t>
        </is>
      </c>
      <c r="B31" s="4" t="n"/>
      <c r="C31" s="3" t="inlineStr">
        <is>
          <t>遺物效果</t>
        </is>
      </c>
      <c r="D31" s="4" t="n"/>
    </row>
    <row r="32">
      <c r="A32" s="3" t="inlineStr">
        <is>
          <t>近戰攻擊 目標值（TN）</t>
        </is>
      </c>
      <c r="B32" s="7">
        <f>B7*10</f>
        <v/>
      </c>
      <c r="C32" s="3" t="inlineStr">
        <is>
          <t>遠程攻擊 目標值（TN）</t>
        </is>
      </c>
      <c r="D32" s="7">
        <f>B9*10</f>
        <v/>
      </c>
    </row>
    <row r="33"/>
    <row r="34"/>
    <row r="35"/>
    <row r="36">
      <c r="A36" s="3" t="inlineStr">
        <is>
          <t>裝甲防禦加值</t>
        </is>
      </c>
      <c r="B36" s="4" t="n"/>
    </row>
    <row r="37">
      <c r="A37" s="3" t="inlineStr">
        <is>
          <t>裝甲速度修正</t>
        </is>
      </c>
      <c r="B37" s="4" t="n"/>
    </row>
    <row r="38"/>
    <row r="39">
      <c r="A39" s="5" t="inlineStr">
        <is>
          <t>技能（U=未受訓0 / T=受訓+10 / E=專家+20 / M=大師+30）</t>
        </is>
      </c>
      <c r="B39" s="9" t="n"/>
      <c r="C39" s="9" t="n"/>
      <c r="D39" s="9" t="n"/>
      <c r="E39" s="9" t="n"/>
      <c r="F39" s="9" t="n"/>
      <c r="G39" s="9" t="n"/>
      <c r="H39" s="10" t="n"/>
    </row>
    <row r="40">
      <c r="A40" s="3" t="inlineStr">
        <is>
          <t>技能名稱 (*=天生受訓)</t>
        </is>
      </c>
      <c r="B40" s="3" t="inlineStr">
        <is>
          <t>等級</t>
        </is>
      </c>
      <c r="C40" s="3" t="inlineStr">
        <is>
          <t>加值</t>
        </is>
      </c>
      <c r="D40" s="3" t="inlineStr">
        <is>
          <t>主要屬性 目標值（TN）</t>
        </is>
      </c>
      <c r="E40" s="3" t="inlineStr">
        <is>
          <t>技能TN(標準)</t>
        </is>
      </c>
    </row>
    <row r="41">
      <c r="A41" s="8" t="inlineStr">
        <is>
          <t>運動(Athletics)</t>
        </is>
      </c>
      <c r="B41" s="4" t="n"/>
      <c r="C41" s="7">
        <f>IF(B41="T",10,IF(B41="E",20,IF(B41="M",30,0)))</f>
        <v/>
      </c>
      <c r="D41" s="7">
        <f>B7*10</f>
        <v/>
      </c>
      <c r="E41" s="7">
        <f>D41+C41</f>
        <v/>
      </c>
    </row>
    <row r="42">
      <c r="A42" s="8" t="inlineStr">
        <is>
          <t>近戰(Weapon Skill)*</t>
        </is>
      </c>
      <c r="B42" s="4" t="n"/>
      <c r="C42" s="7">
        <f>IF(B42="T",10,IF(B42="E",20,IF(B42="M",30,0)))</f>
        <v/>
      </c>
      <c r="D42" s="7">
        <f>B7*10</f>
        <v/>
      </c>
      <c r="E42" s="7">
        <f>D42+C42</f>
        <v/>
      </c>
    </row>
    <row r="43">
      <c r="A43" s="8" t="inlineStr">
        <is>
          <t>堅韌(Endurance)</t>
        </is>
      </c>
      <c r="B43" s="4" t="n"/>
      <c r="C43" s="7">
        <f>IF(B43="T",10,IF(B43="E",20,IF(B43="M",30,0)))</f>
        <v/>
      </c>
      <c r="D43" s="7">
        <f>B7*10</f>
        <v/>
      </c>
      <c r="E43" s="7">
        <f>D43+C43</f>
        <v/>
      </c>
    </row>
    <row r="44">
      <c r="A44" s="8" t="inlineStr">
        <is>
          <t>警覺(Awareness)</t>
        </is>
      </c>
      <c r="B44" s="4" t="n"/>
      <c r="C44" s="7">
        <f>IF(B44="T",10,IF(B44="E",20,IF(B44="M",30,0)))</f>
        <v/>
      </c>
      <c r="D44" s="7">
        <f>B8*10</f>
        <v/>
      </c>
      <c r="E44" s="7">
        <f>D44+C44</f>
        <v/>
      </c>
    </row>
    <row r="45">
      <c r="A45" s="8" t="inlineStr">
        <is>
          <t>調查(Investigation)</t>
        </is>
      </c>
      <c r="B45" s="4" t="n"/>
      <c r="C45" s="7">
        <f>IF(B45="T",10,IF(B45="E",20,IF(B45="M",30,0)))</f>
        <v/>
      </c>
      <c r="D45" s="7">
        <f>B8*10</f>
        <v/>
      </c>
      <c r="E45" s="7">
        <f>D45+C45</f>
        <v/>
      </c>
    </row>
    <row r="46">
      <c r="A46" s="8" t="inlineStr">
        <is>
          <t>學識(Lore)*</t>
        </is>
      </c>
      <c r="B46" s="4" t="n"/>
      <c r="C46" s="7">
        <f>IF(B46="T",10,IF(B46="E",20,IF(B46="M",30,0)))</f>
        <v/>
      </c>
      <c r="D46" s="7">
        <f>B8*10</f>
        <v/>
      </c>
      <c r="E46" s="7">
        <f>D46+C46</f>
        <v/>
      </c>
    </row>
    <row r="47">
      <c r="A47" s="8" t="inlineStr">
        <is>
          <t>醫療(Medicae)</t>
        </is>
      </c>
      <c r="B47" s="4" t="n"/>
      <c r="C47" s="7">
        <f>IF(B47="T",10,IF(B47="E",20,IF(B47="M",30,0)))</f>
        <v/>
      </c>
      <c r="D47" s="7">
        <f>B8*10</f>
        <v/>
      </c>
      <c r="E47" s="7">
        <f>D47+C47</f>
        <v/>
      </c>
    </row>
    <row r="48">
      <c r="A48" s="8" t="inlineStr">
        <is>
          <t>靈能感知(Psyniscience)</t>
        </is>
      </c>
      <c r="B48" s="4" t="n"/>
      <c r="C48" s="7">
        <f>IF(B48="T",10,IF(B48="E",20,IF(B48="M",30,0)))</f>
        <v/>
      </c>
      <c r="D48" s="7">
        <f>B6*10</f>
        <v/>
      </c>
      <c r="E48" s="7">
        <f>D48+C48</f>
        <v/>
      </c>
    </row>
    <row r="49">
      <c r="A49" s="8" t="inlineStr">
        <is>
          <t>佈道(Oratory)</t>
        </is>
      </c>
      <c r="B49" s="4" t="n"/>
      <c r="C49" s="7">
        <f>IF(B49="T",10,IF(B49="E",20,IF(B49="M",30,0)))</f>
        <v/>
      </c>
      <c r="D49" s="7">
        <f>B6*10</f>
        <v/>
      </c>
      <c r="E49" s="7">
        <f>D49+C49</f>
        <v/>
      </c>
    </row>
    <row r="50">
      <c r="A50" s="8" t="inlineStr">
        <is>
          <t>遠程射擊(Ballistic)*</t>
        </is>
      </c>
      <c r="B50" s="4" t="n"/>
      <c r="C50" s="7">
        <f>IF(B50="T",10,IF(B50="E",20,IF(B50="M",30,0)))</f>
        <v/>
      </c>
      <c r="D50" s="7">
        <f>B9*10</f>
        <v/>
      </c>
      <c r="E50" s="7">
        <f>D50+C50</f>
        <v/>
      </c>
    </row>
    <row r="51">
      <c r="A51" s="8" t="inlineStr">
        <is>
          <t>技術(Tech-Use)</t>
        </is>
      </c>
      <c r="B51" s="4" t="n"/>
      <c r="C51" s="7">
        <f>IF(B51="T",10,IF(B51="E",20,IF(B51="M",30,0)))</f>
        <v/>
      </c>
      <c r="D51" s="7">
        <f>B9*10</f>
        <v/>
      </c>
      <c r="E51" s="7">
        <f>D51+C51</f>
        <v/>
      </c>
    </row>
    <row r="52">
      <c r="A52" s="8" t="inlineStr">
        <is>
          <t>潛行(Stealth)</t>
        </is>
      </c>
      <c r="B52" s="4" t="n"/>
      <c r="C52" s="7">
        <f>IF(B52="T",10,IF(B52="E",20,IF(B52="M",30,0)))</f>
        <v/>
      </c>
      <c r="D52" s="7">
        <f>B9*10</f>
        <v/>
      </c>
      <c r="E52" s="7">
        <f>D52+C52</f>
        <v/>
      </c>
    </row>
    <row r="53">
      <c r="A53" s="8" t="inlineStr">
        <is>
          <t>指揮(Command)</t>
        </is>
      </c>
      <c r="B53" s="4" t="n"/>
      <c r="C53" s="7">
        <f>IF(B53="T",10,IF(B53="E",20,IF(B53="M",30,0)))</f>
        <v/>
      </c>
      <c r="D53" s="7">
        <f>B10*10</f>
        <v/>
      </c>
      <c r="E53" s="7">
        <f>D53+C53</f>
        <v/>
      </c>
    </row>
    <row r="54">
      <c r="A54" s="8" t="inlineStr">
        <is>
          <t>欺瞞(Deceive)</t>
        </is>
      </c>
      <c r="B54" s="4" t="n"/>
      <c r="C54" s="7">
        <f>IF(B54="T",10,IF(B54="E",20,IF(B54="M",30,0)))</f>
        <v/>
      </c>
      <c r="D54" s="7">
        <f>B10*10</f>
        <v/>
      </c>
      <c r="E54" s="7">
        <f>D54+C54</f>
        <v/>
      </c>
    </row>
    <row r="55"/>
    <row r="56">
      <c r="A56" s="5" t="inlineStr">
        <is>
          <t>烙印、基因缺陷與誓約</t>
        </is>
      </c>
      <c r="B56" s="9" t="n"/>
      <c r="C56" s="9" t="n"/>
      <c r="D56" s="9" t="n"/>
      <c r="E56" s="9" t="n"/>
      <c r="F56" s="9" t="n"/>
      <c r="G56" s="9" t="n"/>
      <c r="H56" s="10" t="n"/>
    </row>
    <row r="57">
      <c r="A57" s="3" t="inlineStr">
        <is>
          <t>烙印效果</t>
        </is>
      </c>
      <c r="B57" s="4" t="n"/>
      <c r="C57" s="9" t="n"/>
      <c r="D57" s="9" t="n"/>
      <c r="E57" s="9" t="n"/>
      <c r="F57" s="10" t="n"/>
    </row>
    <row r="58"/>
    <row r="59">
      <c r="A59" s="3" t="inlineStr">
        <is>
          <t>基因缺陷</t>
        </is>
      </c>
      <c r="B59" s="4" t="n"/>
      <c r="C59" s="9" t="n"/>
      <c r="D59" s="9" t="n"/>
      <c r="E59" s="9" t="n"/>
      <c r="F59" s="10" t="n"/>
    </row>
    <row r="60"/>
    <row r="61">
      <c r="A61" s="3" t="inlineStr">
        <is>
          <t>誓約優先級 1-5</t>
        </is>
      </c>
      <c r="B61" s="4" t="n"/>
      <c r="C61" s="9" t="n"/>
      <c r="D61" s="9" t="n"/>
      <c r="E61" s="9" t="n"/>
      <c r="F61" s="10" t="n"/>
    </row>
    <row r="62"/>
    <row r="63">
      <c r="A63" s="3" t="inlineStr">
        <is>
          <t>戰友關係</t>
        </is>
      </c>
      <c r="B63" s="4" t="n"/>
      <c r="C63" s="9" t="n"/>
      <c r="D63" s="9" t="n"/>
      <c r="E63" s="9" t="n"/>
      <c r="F63" s="10" t="n"/>
    </row>
    <row r="64"/>
    <row r="65">
      <c r="A65" s="3" t="inlineStr">
        <is>
          <t>印記</t>
        </is>
      </c>
      <c r="B65" s="4" t="n"/>
      <c r="C65" s="9" t="n"/>
      <c r="D65" s="9" t="n"/>
      <c r="E65" s="9" t="n"/>
      <c r="F65" s="10" t="n"/>
    </row>
    <row r="66"/>
    <row r="67"/>
    <row r="68">
      <c r="A68" s="5" t="inlineStr">
        <is>
          <t>規則提示</t>
        </is>
      </c>
      <c r="B68" s="9" t="n"/>
      <c r="C68" s="9" t="n"/>
      <c r="D68" s="9" t="n"/>
      <c r="E68" s="9" t="n"/>
      <c r="F68" s="9" t="n"/>
      <c r="G68" s="9" t="n"/>
      <c r="H68" s="10" t="n"/>
    </row>
    <row r="69">
      <c r="A69" s="15" t="inlineStr">
        <is>
          <t>• TN上限=95：任何檢定TN不得超過95（96-00永遠失敗）</t>
        </is>
      </c>
    </row>
    <row r="70">
      <c r="A70" s="15" t="inlineStr">
        <is>
          <t>• 信仰歸零→「靈魂的黑夜」：立即信念危機、無法使用信仰、每日腐化+1</t>
        </is>
      </c>
    </row>
    <row r="71">
      <c r="A71" s="15" t="inlineStr">
        <is>
          <t>• 創傷：單次傷害超過創傷上限觸發。阿斯塔特韌性——輕微創傷無影響</t>
        </is>
      </c>
    </row>
    <row r="72">
      <c r="A72" s="15" t="inlineStr">
        <is>
          <t>• 裝甲機魂（APM） 變化：戰後祝禱+2(TN標準) / 暴擊-1 / 腐化升階-2 / 聖地休息+3</t>
        </is>
      </c>
    </row>
    <row r="73">
      <c r="A73" s="15" t="inlineStr">
        <is>
          <t>• 誓言裂痕：違背誓約→相關戰團能力使用時腐化+1。3次違背→誓約永久失效</t>
        </is>
      </c>
    </row>
    <row r="74">
      <c r="A74" s="15" t="inlineStr">
        <is>
          <t>• 基因缺陷觸發檢定：見技能表下方心智/信仰 目標值（TN） 對應值</t>
        </is>
      </c>
    </row>
    <row r="75">
      <c r="A75" s="15" t="inlineStr">
        <is>
          <t>• 生命值（HP） 緩衝：動力裝甲緩衝 生命值（HP） 先吸收傷害，耗盡後剩餘傷害扣除角色 生命值（HP）</t>
        </is>
      </c>
    </row>
    <row r="76">
      <c r="A76" s="15" t="inlineStr">
        <is>
          <t>• 最終守望：生命值（HP）≤0→每回合1行動→每次行動HP-2→休眠昏迷HP≤−(體魄×2+20)</t>
        </is>
      </c>
    </row>
    <row r="77">
      <c r="A77" s="15" t="inlineStr">
        <is>
          <t>• 任務間恢復：體魄檢定(標準)成功→3d10 生命值（HP）/失敗→1d10。信仰 1d3+信仰值</t>
        </is>
      </c>
    </row>
    <row r="78">
      <c r="A78" s="15" t="inlineStr">
        <is>
          <t>• 裝備維修：卡膛→技藝檢定清除；護甲腐蝕→技術檢定+零件恢復AR</t>
        </is>
      </c>
    </row>
  </sheetData>
  <mergeCells count="22">
    <mergeCell ref="A77:H77"/>
    <mergeCell ref="A39:H39"/>
    <mergeCell ref="A24:H24"/>
    <mergeCell ref="A73:H73"/>
    <mergeCell ref="B59:F59"/>
    <mergeCell ref="A1:H1"/>
    <mergeCell ref="A70:H70"/>
    <mergeCell ref="A78:H78"/>
    <mergeCell ref="A69:H69"/>
    <mergeCell ref="B61:F61"/>
    <mergeCell ref="A75:H75"/>
    <mergeCell ref="B57:F57"/>
    <mergeCell ref="A74:H74"/>
    <mergeCell ref="A12:H12"/>
    <mergeCell ref="A56:H56"/>
    <mergeCell ref="A71:H71"/>
    <mergeCell ref="A76:H76"/>
    <mergeCell ref="A5:H5"/>
    <mergeCell ref="B65:F65"/>
    <mergeCell ref="A72:H72"/>
    <mergeCell ref="B63:F63"/>
    <mergeCell ref="A68:H6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帝國棄子 TRPG — 兄長 亞茲拉爾</t>
        </is>
      </c>
      <c r="B1" s="9" t="n"/>
      <c r="C1" s="9" t="n"/>
      <c r="D1" s="9" t="n"/>
      <c r="E1" s="9" t="n"/>
      <c r="F1" s="9" t="n"/>
      <c r="G1" s="9" t="n"/>
      <c r="H1" s="10" t="n"/>
    </row>
    <row r="2"/>
    <row r="3">
      <c r="A3" s="3" t="inlineStr">
        <is>
          <t>角色名稱</t>
        </is>
      </c>
      <c r="B3" s="4" t="inlineStr">
        <is>
          <t>兄長 亞茲拉爾</t>
        </is>
      </c>
      <c r="C3" s="3" t="inlineStr">
        <is>
          <t>戰團</t>
        </is>
      </c>
      <c r="D3" s="4" t="inlineStr">
        <is>
          <t>黑暗天使</t>
        </is>
      </c>
      <c r="E3" s="3" t="inlineStr">
        <is>
          <t>烙印</t>
        </is>
      </c>
      <c r="F3" s="4" t="inlineStr">
        <is>
          <t>戰帥之疑</t>
        </is>
      </c>
    </row>
    <row r="4"/>
    <row r="5">
      <c r="A5" s="5" t="inlineStr">
        <is>
          <t>五大屬性（數值 2-7）</t>
        </is>
      </c>
      <c r="B5" s="9" t="n"/>
      <c r="C5" s="9" t="n"/>
      <c r="D5" s="9" t="n"/>
      <c r="E5" s="9" t="n"/>
      <c r="F5" s="9" t="n"/>
      <c r="G5" s="9" t="n"/>
      <c r="H5" s="10" t="n"/>
    </row>
    <row r="6">
      <c r="A6" s="3" t="inlineStr">
        <is>
          <t>信仰</t>
        </is>
      </c>
      <c r="B6" s="4" t="n">
        <v>4</v>
      </c>
    </row>
    <row r="7">
      <c r="A7" s="3" t="inlineStr">
        <is>
          <t>體魄</t>
        </is>
      </c>
      <c r="B7" s="4" t="n">
        <v>4</v>
      </c>
    </row>
    <row r="8">
      <c r="A8" s="3" t="inlineStr">
        <is>
          <t>心智</t>
        </is>
      </c>
      <c r="B8" s="4" t="n">
        <v>4</v>
      </c>
    </row>
    <row r="9">
      <c r="A9" s="3" t="inlineStr">
        <is>
          <t>技藝</t>
        </is>
      </c>
      <c r="B9" s="4" t="n">
        <v>3</v>
      </c>
    </row>
    <row r="10">
      <c r="A10" s="3" t="inlineStr">
        <is>
          <t>命運</t>
        </is>
      </c>
      <c r="B10" s="4" t="n">
        <v>3</v>
      </c>
    </row>
    <row r="11"/>
    <row r="12">
      <c r="A12" s="5" t="inlineStr">
        <is>
          <t>衍生屬性（自動計算）</t>
        </is>
      </c>
      <c r="B12" s="9" t="n"/>
      <c r="C12" s="9" t="n"/>
      <c r="D12" s="9" t="n"/>
      <c r="E12" s="9" t="n"/>
      <c r="F12" s="9" t="n"/>
      <c r="G12" s="9" t="n"/>
      <c r="H12" s="10" t="n"/>
    </row>
    <row r="13"/>
    <row r="14">
      <c r="A14" s="3" t="inlineStr">
        <is>
          <t>生命值（HP）（生命值）</t>
        </is>
      </c>
      <c r="B14" s="7">
        <f>B7*8+20</f>
        <v/>
      </c>
      <c r="C14" s="3" t="inlineStr">
        <is>
          <t>當前 生命值（HP）</t>
        </is>
      </c>
      <c r="D14" s="4" t="n"/>
    </row>
    <row r="15">
      <c r="A15" s="3" t="inlineStr">
        <is>
          <t>裝甲緩衝 生命值（HP）</t>
        </is>
      </c>
      <c r="B15" s="4" t="n"/>
      <c r="C15" s="3" t="inlineStr">
        <is>
          <t>信仰池</t>
        </is>
      </c>
      <c r="D15" s="7">
        <f>B6*2+10</f>
        <v/>
      </c>
    </row>
    <row r="16">
      <c r="A16" s="3" t="inlineStr">
        <is>
          <t>當前信仰</t>
        </is>
      </c>
      <c r="B16" s="4" t="n"/>
      <c r="C16" s="3" t="inlineStr">
        <is>
          <t>腐化值（0-100）</t>
        </is>
      </c>
      <c r="D16" s="4" t="n"/>
    </row>
    <row r="17">
      <c r="A17" s="3" t="inlineStr">
        <is>
          <t>創傷上限</t>
        </is>
      </c>
      <c r="B17" s="7">
        <f>B8*3+10</f>
        <v/>
      </c>
      <c r="C17" s="3" t="inlineStr">
        <is>
          <t>防禦值</t>
        </is>
      </c>
      <c r="D17" s="7">
        <f>ROUNDUP(B9/2,0)+G36+1</f>
        <v/>
      </c>
    </row>
    <row r="18">
      <c r="A18" s="3" t="inlineStr">
        <is>
          <t>先攻基礎</t>
        </is>
      </c>
      <c r="B18" s="7">
        <f>B8+B9+2</f>
        <v/>
      </c>
      <c r="C18" s="3" t="inlineStr">
        <is>
          <t>移動速度(m)</t>
        </is>
      </c>
      <c r="D18" s="7">
        <f>8+B7+G37</f>
        <v/>
      </c>
    </row>
    <row r="19">
      <c r="A19" s="3" t="inlineStr">
        <is>
          <t>負重上限(kg)</t>
        </is>
      </c>
      <c r="B19" s="7">
        <f>B7*50+100</f>
        <v/>
      </c>
      <c r="C19" s="3" t="inlineStr">
        <is>
          <t>心靈護盾</t>
        </is>
      </c>
      <c r="D19" s="7">
        <f>B8*2+B6/2</f>
        <v/>
      </c>
    </row>
    <row r="20">
      <c r="A20" s="3" t="inlineStr">
        <is>
          <t>命運點</t>
        </is>
      </c>
      <c r="B20" s="7">
        <f>B10</f>
        <v/>
      </c>
      <c r="C20" s="3" t="inlineStr">
        <is>
          <t>裝甲機魂（APM）</t>
        </is>
      </c>
      <c r="D20" s="4" t="n"/>
    </row>
    <row r="21">
      <c r="A21" s="3" t="inlineStr">
        <is>
          <t>生命值（HP） 健康 &gt;75%</t>
        </is>
      </c>
      <c r="B21" s="7">
        <f>B7*8+20</f>
        <v/>
      </c>
      <c r="C21" s="3" t="inlineStr">
        <is>
          <t>重傷 &lt;50%</t>
        </is>
      </c>
      <c r="D21" s="7">
        <f>ROUND((B7*8+20)/2,0)</f>
        <v/>
      </c>
    </row>
    <row r="22">
      <c r="A22" s="3" t="inlineStr">
        <is>
          <t>輕傷 &lt;75%</t>
        </is>
      </c>
      <c r="B22" s="7">
        <f>ROUND((B7*8+20)*0.75,0)</f>
        <v/>
      </c>
      <c r="C22" s="3" t="inlineStr">
        <is>
          <t>瀕死 &lt;25%</t>
        </is>
      </c>
      <c r="D22" s="7">
        <f>ROUND((B7*8+20)*0.25,0)</f>
        <v/>
      </c>
    </row>
    <row r="23"/>
    <row r="24">
      <c r="A24" s="5" t="inlineStr">
        <is>
          <t>武器裝備</t>
        </is>
      </c>
      <c r="B24" s="9" t="n"/>
      <c r="C24" s="9" t="n"/>
      <c r="D24" s="9" t="n"/>
      <c r="E24" s="9" t="n"/>
      <c r="F24" s="9" t="n"/>
      <c r="G24" s="9" t="n"/>
      <c r="H24" s="10" t="n"/>
    </row>
    <row r="25">
      <c r="A25" s="3" t="inlineStr">
        <is>
          <t>主武器名稱</t>
        </is>
      </c>
      <c r="B25" s="4" t="n"/>
      <c r="C25" s="3" t="inlineStr">
        <is>
          <t>基礎傷害</t>
        </is>
      </c>
      <c r="D25" s="4" t="n"/>
    </row>
    <row r="26">
      <c r="A26" s="3" t="inlineStr">
        <is>
          <t>傷害類型</t>
        </is>
      </c>
      <c r="B26" s="4" t="n"/>
      <c r="C26" s="3" t="inlineStr">
        <is>
          <t>彈藥</t>
        </is>
      </c>
      <c r="D26" s="4" t="n"/>
    </row>
    <row r="27">
      <c r="A27" s="3" t="inlineStr">
        <is>
          <t>副武器名稱</t>
        </is>
      </c>
      <c r="B27" s="4" t="n"/>
      <c r="C27" s="3" t="inlineStr">
        <is>
          <t>基礎傷害</t>
        </is>
      </c>
      <c r="D27" s="4" t="n"/>
    </row>
    <row r="28">
      <c r="A28" s="3" t="inlineStr">
        <is>
          <t>動力裝甲狀態</t>
        </is>
      </c>
      <c r="B28" s="4" t="n"/>
      <c r="C28" s="3" t="inlineStr">
        <is>
          <t>護甲值（AR） 彈道</t>
        </is>
      </c>
      <c r="D28" s="4" t="n"/>
    </row>
    <row r="29">
      <c r="A29" s="3" t="inlineStr">
        <is>
          <t>護甲值（AR） 能量</t>
        </is>
      </c>
      <c r="B29" s="4" t="n"/>
      <c r="C29" s="3" t="inlineStr">
        <is>
          <t>護甲值（AR） 爆炸</t>
        </is>
      </c>
      <c r="D29" s="4" t="n"/>
    </row>
    <row r="30">
      <c r="A30" s="3" t="inlineStr">
        <is>
          <t>護甲值（AR） 撕裂</t>
        </is>
      </c>
      <c r="B30" s="4" t="n"/>
      <c r="C30" s="3" t="inlineStr">
        <is>
          <t>護甲值（AR） 火焰</t>
        </is>
      </c>
      <c r="D30" s="4" t="n"/>
    </row>
    <row r="31">
      <c r="A31" s="3" t="inlineStr">
        <is>
          <t>戰團遺物</t>
        </is>
      </c>
      <c r="B31" s="4" t="n"/>
      <c r="C31" s="3" t="inlineStr">
        <is>
          <t>遺物效果</t>
        </is>
      </c>
      <c r="D31" s="4" t="n"/>
    </row>
    <row r="32">
      <c r="A32" s="3" t="inlineStr">
        <is>
          <t>近戰攻擊 目標值（TN）</t>
        </is>
      </c>
      <c r="B32" s="7">
        <f>B7*10</f>
        <v/>
      </c>
      <c r="C32" s="3" t="inlineStr">
        <is>
          <t>遠程攻擊 目標值（TN）</t>
        </is>
      </c>
      <c r="D32" s="7">
        <f>B9*10</f>
        <v/>
      </c>
    </row>
    <row r="33"/>
    <row r="34"/>
    <row r="35"/>
    <row r="36">
      <c r="A36" s="3" t="inlineStr">
        <is>
          <t>裝甲防禦加值</t>
        </is>
      </c>
      <c r="B36" s="4" t="n"/>
    </row>
    <row r="37">
      <c r="A37" s="3" t="inlineStr">
        <is>
          <t>裝甲速度修正</t>
        </is>
      </c>
      <c r="B37" s="4" t="n"/>
    </row>
    <row r="38"/>
    <row r="39">
      <c r="A39" s="5" t="inlineStr">
        <is>
          <t>技能（U=未受訓0 / T=受訓+10 / E=專家+20 / M=大師+30）</t>
        </is>
      </c>
      <c r="B39" s="9" t="n"/>
      <c r="C39" s="9" t="n"/>
      <c r="D39" s="9" t="n"/>
      <c r="E39" s="9" t="n"/>
      <c r="F39" s="9" t="n"/>
      <c r="G39" s="9" t="n"/>
      <c r="H39" s="10" t="n"/>
    </row>
    <row r="40">
      <c r="A40" s="3" t="inlineStr">
        <is>
          <t>技能名稱 (*=天生受訓)</t>
        </is>
      </c>
      <c r="B40" s="3" t="inlineStr">
        <is>
          <t>等級</t>
        </is>
      </c>
      <c r="C40" s="3" t="inlineStr">
        <is>
          <t>加值</t>
        </is>
      </c>
      <c r="D40" s="3" t="inlineStr">
        <is>
          <t>主要屬性 目標值（TN）</t>
        </is>
      </c>
      <c r="E40" s="3" t="inlineStr">
        <is>
          <t>技能TN(標準)</t>
        </is>
      </c>
    </row>
    <row r="41">
      <c r="A41" s="8" t="inlineStr">
        <is>
          <t>運動(Athletics)</t>
        </is>
      </c>
      <c r="B41" s="4" t="n"/>
      <c r="C41" s="7">
        <f>IF(B41="T",10,IF(B41="E",20,IF(B41="M",30,0)))</f>
        <v/>
      </c>
      <c r="D41" s="7">
        <f>B7*10</f>
        <v/>
      </c>
      <c r="E41" s="7">
        <f>D41+C41</f>
        <v/>
      </c>
    </row>
    <row r="42">
      <c r="A42" s="8" t="inlineStr">
        <is>
          <t>近戰(Weapon Skill)*</t>
        </is>
      </c>
      <c r="B42" s="4" t="n"/>
      <c r="C42" s="7">
        <f>IF(B42="T",10,IF(B42="E",20,IF(B42="M",30,0)))</f>
        <v/>
      </c>
      <c r="D42" s="7">
        <f>B7*10</f>
        <v/>
      </c>
      <c r="E42" s="7">
        <f>D42+C42</f>
        <v/>
      </c>
    </row>
    <row r="43">
      <c r="A43" s="8" t="inlineStr">
        <is>
          <t>堅韌(Endurance)</t>
        </is>
      </c>
      <c r="B43" s="4" t="n"/>
      <c r="C43" s="7">
        <f>IF(B43="T",10,IF(B43="E",20,IF(B43="M",30,0)))</f>
        <v/>
      </c>
      <c r="D43" s="7">
        <f>B7*10</f>
        <v/>
      </c>
      <c r="E43" s="7">
        <f>D43+C43</f>
        <v/>
      </c>
    </row>
    <row r="44">
      <c r="A44" s="8" t="inlineStr">
        <is>
          <t>警覺(Awareness)</t>
        </is>
      </c>
      <c r="B44" s="4" t="n"/>
      <c r="C44" s="7">
        <f>IF(B44="T",10,IF(B44="E",20,IF(B44="M",30,0)))</f>
        <v/>
      </c>
      <c r="D44" s="7">
        <f>B8*10</f>
        <v/>
      </c>
      <c r="E44" s="7">
        <f>D44+C44</f>
        <v/>
      </c>
    </row>
    <row r="45">
      <c r="A45" s="8" t="inlineStr">
        <is>
          <t>調查(Investigation)</t>
        </is>
      </c>
      <c r="B45" s="4" t="n"/>
      <c r="C45" s="7">
        <f>IF(B45="T",10,IF(B45="E",20,IF(B45="M",30,0)))</f>
        <v/>
      </c>
      <c r="D45" s="7">
        <f>B8*10</f>
        <v/>
      </c>
      <c r="E45" s="7">
        <f>D45+C45</f>
        <v/>
      </c>
    </row>
    <row r="46">
      <c r="A46" s="8" t="inlineStr">
        <is>
          <t>學識(Lore)*</t>
        </is>
      </c>
      <c r="B46" s="4" t="n"/>
      <c r="C46" s="7">
        <f>IF(B46="T",10,IF(B46="E",20,IF(B46="M",30,0)))</f>
        <v/>
      </c>
      <c r="D46" s="7">
        <f>B8*10</f>
        <v/>
      </c>
      <c r="E46" s="7">
        <f>D46+C46</f>
        <v/>
      </c>
    </row>
    <row r="47">
      <c r="A47" s="8" t="inlineStr">
        <is>
          <t>醫療(Medicae)</t>
        </is>
      </c>
      <c r="B47" s="4" t="n"/>
      <c r="C47" s="7">
        <f>IF(B47="T",10,IF(B47="E",20,IF(B47="M",30,0)))</f>
        <v/>
      </c>
      <c r="D47" s="7">
        <f>B8*10</f>
        <v/>
      </c>
      <c r="E47" s="7">
        <f>D47+C47</f>
        <v/>
      </c>
    </row>
    <row r="48">
      <c r="A48" s="8" t="inlineStr">
        <is>
          <t>靈能感知(Psyniscience)</t>
        </is>
      </c>
      <c r="B48" s="4" t="n"/>
      <c r="C48" s="7">
        <f>IF(B48="T",10,IF(B48="E",20,IF(B48="M",30,0)))</f>
        <v/>
      </c>
      <c r="D48" s="7">
        <f>B6*10</f>
        <v/>
      </c>
      <c r="E48" s="7">
        <f>D48+C48</f>
        <v/>
      </c>
    </row>
    <row r="49">
      <c r="A49" s="8" t="inlineStr">
        <is>
          <t>佈道(Oratory)</t>
        </is>
      </c>
      <c r="B49" s="4" t="n"/>
      <c r="C49" s="7">
        <f>IF(B49="T",10,IF(B49="E",20,IF(B49="M",30,0)))</f>
        <v/>
      </c>
      <c r="D49" s="7">
        <f>B6*10</f>
        <v/>
      </c>
      <c r="E49" s="7">
        <f>D49+C49</f>
        <v/>
      </c>
    </row>
    <row r="50">
      <c r="A50" s="8" t="inlineStr">
        <is>
          <t>遠程射擊(Ballistic)*</t>
        </is>
      </c>
      <c r="B50" s="4" t="n"/>
      <c r="C50" s="7">
        <f>IF(B50="T",10,IF(B50="E",20,IF(B50="M",30,0)))</f>
        <v/>
      </c>
      <c r="D50" s="7">
        <f>B9*10</f>
        <v/>
      </c>
      <c r="E50" s="7">
        <f>D50+C50</f>
        <v/>
      </c>
    </row>
    <row r="51">
      <c r="A51" s="8" t="inlineStr">
        <is>
          <t>技術(Tech-Use)</t>
        </is>
      </c>
      <c r="B51" s="4" t="n"/>
      <c r="C51" s="7">
        <f>IF(B51="T",10,IF(B51="E",20,IF(B51="M",30,0)))</f>
        <v/>
      </c>
      <c r="D51" s="7">
        <f>B9*10</f>
        <v/>
      </c>
      <c r="E51" s="7">
        <f>D51+C51</f>
        <v/>
      </c>
    </row>
    <row r="52">
      <c r="A52" s="8" t="inlineStr">
        <is>
          <t>潛行(Stealth)</t>
        </is>
      </c>
      <c r="B52" s="4" t="n"/>
      <c r="C52" s="7">
        <f>IF(B52="T",10,IF(B52="E",20,IF(B52="M",30,0)))</f>
        <v/>
      </c>
      <c r="D52" s="7">
        <f>B9*10</f>
        <v/>
      </c>
      <c r="E52" s="7">
        <f>D52+C52</f>
        <v/>
      </c>
    </row>
    <row r="53">
      <c r="A53" s="8" t="inlineStr">
        <is>
          <t>指揮(Command)</t>
        </is>
      </c>
      <c r="B53" s="4" t="n"/>
      <c r="C53" s="7">
        <f>IF(B53="T",10,IF(B53="E",20,IF(B53="M",30,0)))</f>
        <v/>
      </c>
      <c r="D53" s="7">
        <f>B10*10</f>
        <v/>
      </c>
      <c r="E53" s="7">
        <f>D53+C53</f>
        <v/>
      </c>
    </row>
    <row r="54">
      <c r="A54" s="8" t="inlineStr">
        <is>
          <t>欺瞞(Deceive)</t>
        </is>
      </c>
      <c r="B54" s="4" t="n"/>
      <c r="C54" s="7">
        <f>IF(B54="T",10,IF(B54="E",20,IF(B54="M",30,0)))</f>
        <v/>
      </c>
      <c r="D54" s="7">
        <f>B10*10</f>
        <v/>
      </c>
      <c r="E54" s="7">
        <f>D54+C54</f>
        <v/>
      </c>
    </row>
    <row r="55"/>
    <row r="56">
      <c r="A56" s="5" t="inlineStr">
        <is>
          <t>烙印、基因缺陷與誓約</t>
        </is>
      </c>
      <c r="B56" s="9" t="n"/>
      <c r="C56" s="9" t="n"/>
      <c r="D56" s="9" t="n"/>
      <c r="E56" s="9" t="n"/>
      <c r="F56" s="9" t="n"/>
      <c r="G56" s="9" t="n"/>
      <c r="H56" s="10" t="n"/>
    </row>
    <row r="57">
      <c r="A57" s="3" t="inlineStr">
        <is>
          <t>烙印效果</t>
        </is>
      </c>
      <c r="B57" s="4" t="n"/>
      <c r="C57" s="9" t="n"/>
      <c r="D57" s="9" t="n"/>
      <c r="E57" s="9" t="n"/>
      <c r="F57" s="10" t="n"/>
    </row>
    <row r="58"/>
    <row r="59">
      <c r="A59" s="3" t="inlineStr">
        <is>
          <t>基因缺陷</t>
        </is>
      </c>
      <c r="B59" s="4" t="n"/>
      <c r="C59" s="9" t="n"/>
      <c r="D59" s="9" t="n"/>
      <c r="E59" s="9" t="n"/>
      <c r="F59" s="10" t="n"/>
    </row>
    <row r="60"/>
    <row r="61">
      <c r="A61" s="3" t="inlineStr">
        <is>
          <t>誓約優先級 1-5</t>
        </is>
      </c>
      <c r="B61" s="4" t="n"/>
      <c r="C61" s="9" t="n"/>
      <c r="D61" s="9" t="n"/>
      <c r="E61" s="9" t="n"/>
      <c r="F61" s="10" t="n"/>
    </row>
    <row r="62"/>
    <row r="63">
      <c r="A63" s="3" t="inlineStr">
        <is>
          <t>戰友關係</t>
        </is>
      </c>
      <c r="B63" s="4" t="n"/>
      <c r="C63" s="9" t="n"/>
      <c r="D63" s="9" t="n"/>
      <c r="E63" s="9" t="n"/>
      <c r="F63" s="10" t="n"/>
    </row>
    <row r="64"/>
    <row r="65">
      <c r="A65" s="3" t="inlineStr">
        <is>
          <t>印記</t>
        </is>
      </c>
      <c r="B65" s="4" t="n"/>
      <c r="C65" s="9" t="n"/>
      <c r="D65" s="9" t="n"/>
      <c r="E65" s="9" t="n"/>
      <c r="F65" s="10" t="n"/>
    </row>
    <row r="66"/>
    <row r="67"/>
    <row r="68">
      <c r="A68" s="5" t="inlineStr">
        <is>
          <t>規則提示</t>
        </is>
      </c>
      <c r="B68" s="9" t="n"/>
      <c r="C68" s="9" t="n"/>
      <c r="D68" s="9" t="n"/>
      <c r="E68" s="9" t="n"/>
      <c r="F68" s="9" t="n"/>
      <c r="G68" s="9" t="n"/>
      <c r="H68" s="10" t="n"/>
    </row>
    <row r="69">
      <c r="A69" s="15" t="inlineStr">
        <is>
          <t>• TN上限=95：任何檢定TN不得超過95（96-00永遠失敗）</t>
        </is>
      </c>
    </row>
    <row r="70">
      <c r="A70" s="15" t="inlineStr">
        <is>
          <t>• 信仰歸零→「靈魂的黑夜」：立即信念危機、無法使用信仰、每日腐化+1</t>
        </is>
      </c>
    </row>
    <row r="71">
      <c r="A71" s="15" t="inlineStr">
        <is>
          <t>• 創傷：單次傷害超過創傷上限觸發。阿斯塔特韌性——輕微創傷無影響</t>
        </is>
      </c>
    </row>
    <row r="72">
      <c r="A72" s="15" t="inlineStr">
        <is>
          <t>• 裝甲機魂（APM） 變化：戰後祝禱+2(TN標準) / 暴擊-1 / 腐化升階-2 / 聖地休息+3</t>
        </is>
      </c>
    </row>
    <row r="73">
      <c r="A73" s="15" t="inlineStr">
        <is>
          <t>• 誓言裂痕：違背誓約→相關戰團能力使用時腐化+1。3次違背→誓約永久失效</t>
        </is>
      </c>
    </row>
    <row r="74">
      <c r="A74" s="15" t="inlineStr">
        <is>
          <t>• 基因缺陷觸發檢定：見技能表下方心智/信仰 目標值（TN） 對應值</t>
        </is>
      </c>
    </row>
    <row r="75">
      <c r="A75" s="15" t="inlineStr">
        <is>
          <t>• 生命值（HP） 緩衝：動力裝甲緩衝 生命值（HP） 先吸收傷害，耗盡後剩餘傷害扣除角色 生命值（HP）</t>
        </is>
      </c>
    </row>
    <row r="76">
      <c r="A76" s="15" t="inlineStr">
        <is>
          <t>• 最終守望：生命值（HP）≤0→每回合1行動→每次行動HP-2→休眠昏迷HP≤−(體魄×2+20)</t>
        </is>
      </c>
    </row>
    <row r="77">
      <c r="A77" s="15" t="inlineStr">
        <is>
          <t>• 任務間恢復：體魄檢定(標準)成功→3d10 生命值（HP）/失敗→1d10。信仰 1d3+信仰值</t>
        </is>
      </c>
    </row>
    <row r="78">
      <c r="A78" s="15" t="inlineStr">
        <is>
          <t>• 裝備維修：卡膛→技藝檢定清除；護甲腐蝕→技術檢定+零件恢復AR</t>
        </is>
      </c>
    </row>
  </sheetData>
  <mergeCells count="22">
    <mergeCell ref="A77:H77"/>
    <mergeCell ref="A39:H39"/>
    <mergeCell ref="A24:H24"/>
    <mergeCell ref="A73:H73"/>
    <mergeCell ref="B59:F59"/>
    <mergeCell ref="A1:H1"/>
    <mergeCell ref="A70:H70"/>
    <mergeCell ref="A78:H78"/>
    <mergeCell ref="A69:H69"/>
    <mergeCell ref="B61:F61"/>
    <mergeCell ref="A75:H75"/>
    <mergeCell ref="B57:F57"/>
    <mergeCell ref="A74:H74"/>
    <mergeCell ref="A12:H12"/>
    <mergeCell ref="A56:H56"/>
    <mergeCell ref="A71:H71"/>
    <mergeCell ref="A76:H76"/>
    <mergeCell ref="A5:H5"/>
    <mergeCell ref="B65:F65"/>
    <mergeCell ref="A72:H72"/>
    <mergeCell ref="B63:F63"/>
    <mergeCell ref="A68:H6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帝國棄子 TRPG — 兄長 費魯斯</t>
        </is>
      </c>
      <c r="B1" s="9" t="n"/>
      <c r="C1" s="9" t="n"/>
      <c r="D1" s="9" t="n"/>
      <c r="E1" s="9" t="n"/>
      <c r="F1" s="9" t="n"/>
      <c r="G1" s="9" t="n"/>
      <c r="H1" s="10" t="n"/>
    </row>
    <row r="2"/>
    <row r="3">
      <c r="A3" s="3" t="inlineStr">
        <is>
          <t>角色名稱</t>
        </is>
      </c>
      <c r="B3" s="4" t="inlineStr">
        <is>
          <t>兄長 費魯斯</t>
        </is>
      </c>
      <c r="C3" s="3" t="inlineStr">
        <is>
          <t>戰團</t>
        </is>
      </c>
      <c r="D3" s="4" t="inlineStr">
        <is>
          <t>鐵手</t>
        </is>
      </c>
      <c r="E3" s="3" t="inlineStr">
        <is>
          <t>烙印</t>
        </is>
      </c>
      <c r="F3" s="4" t="inlineStr">
        <is>
          <t>基因缺陷</t>
        </is>
      </c>
    </row>
    <row r="4"/>
    <row r="5">
      <c r="A5" s="5" t="inlineStr">
        <is>
          <t>五大屬性（數值 2-7）</t>
        </is>
      </c>
      <c r="B5" s="9" t="n"/>
      <c r="C5" s="9" t="n"/>
      <c r="D5" s="9" t="n"/>
      <c r="E5" s="9" t="n"/>
      <c r="F5" s="9" t="n"/>
      <c r="G5" s="9" t="n"/>
      <c r="H5" s="10" t="n"/>
    </row>
    <row r="6">
      <c r="A6" s="3" t="inlineStr">
        <is>
          <t>信仰</t>
        </is>
      </c>
      <c r="B6" s="4" t="n">
        <v>3</v>
      </c>
    </row>
    <row r="7">
      <c r="A7" s="3" t="inlineStr">
        <is>
          <t>體魄</t>
        </is>
      </c>
      <c r="B7" s="4" t="n">
        <v>4</v>
      </c>
    </row>
    <row r="8">
      <c r="A8" s="3" t="inlineStr">
        <is>
          <t>心智</t>
        </is>
      </c>
      <c r="B8" s="4" t="n">
        <v>5</v>
      </c>
    </row>
    <row r="9">
      <c r="A9" s="3" t="inlineStr">
        <is>
          <t>技藝</t>
        </is>
      </c>
      <c r="B9" s="4" t="n">
        <v>4</v>
      </c>
    </row>
    <row r="10">
      <c r="A10" s="3" t="inlineStr">
        <is>
          <t>命運</t>
        </is>
      </c>
      <c r="B10" s="4" t="n">
        <v>2</v>
      </c>
    </row>
    <row r="11"/>
    <row r="12">
      <c r="A12" s="5" t="inlineStr">
        <is>
          <t>衍生屬性（自動計算）</t>
        </is>
      </c>
      <c r="B12" s="9" t="n"/>
      <c r="C12" s="9" t="n"/>
      <c r="D12" s="9" t="n"/>
      <c r="E12" s="9" t="n"/>
      <c r="F12" s="9" t="n"/>
      <c r="G12" s="9" t="n"/>
      <c r="H12" s="10" t="n"/>
    </row>
    <row r="13"/>
    <row r="14">
      <c r="A14" s="3" t="inlineStr">
        <is>
          <t>生命值（HP）（生命值）</t>
        </is>
      </c>
      <c r="B14" s="7">
        <f>B7*8+20</f>
        <v/>
      </c>
      <c r="C14" s="3" t="inlineStr">
        <is>
          <t>當前 生命值（HP）</t>
        </is>
      </c>
      <c r="D14" s="4" t="n"/>
    </row>
    <row r="15">
      <c r="A15" s="3" t="inlineStr">
        <is>
          <t>裝甲緩衝 生命值（HP）</t>
        </is>
      </c>
      <c r="B15" s="4" t="n"/>
      <c r="C15" s="3" t="inlineStr">
        <is>
          <t>信仰池</t>
        </is>
      </c>
      <c r="D15" s="7">
        <f>B6*2+10</f>
        <v/>
      </c>
    </row>
    <row r="16">
      <c r="A16" s="3" t="inlineStr">
        <is>
          <t>當前信仰</t>
        </is>
      </c>
      <c r="B16" s="4" t="n"/>
      <c r="C16" s="3" t="inlineStr">
        <is>
          <t>腐化值（0-100）</t>
        </is>
      </c>
      <c r="D16" s="4" t="n"/>
    </row>
    <row r="17">
      <c r="A17" s="3" t="inlineStr">
        <is>
          <t>創傷上限</t>
        </is>
      </c>
      <c r="B17" s="7">
        <f>B8*3+10</f>
        <v/>
      </c>
      <c r="C17" s="3" t="inlineStr">
        <is>
          <t>防禦值</t>
        </is>
      </c>
      <c r="D17" s="7">
        <f>ROUNDUP(B9/2,0)+G36+1</f>
        <v/>
      </c>
    </row>
    <row r="18">
      <c r="A18" s="3" t="inlineStr">
        <is>
          <t>先攻基礎</t>
        </is>
      </c>
      <c r="B18" s="7">
        <f>B8+B9+2</f>
        <v/>
      </c>
      <c r="C18" s="3" t="inlineStr">
        <is>
          <t>移動速度(m)</t>
        </is>
      </c>
      <c r="D18" s="7">
        <f>8+B7+G37</f>
        <v/>
      </c>
    </row>
    <row r="19">
      <c r="A19" s="3" t="inlineStr">
        <is>
          <t>負重上限(kg)</t>
        </is>
      </c>
      <c r="B19" s="7">
        <f>B7*50+100</f>
        <v/>
      </c>
      <c r="C19" s="3" t="inlineStr">
        <is>
          <t>心靈護盾</t>
        </is>
      </c>
      <c r="D19" s="7">
        <f>B8*2+B6/2</f>
        <v/>
      </c>
    </row>
    <row r="20">
      <c r="A20" s="3" t="inlineStr">
        <is>
          <t>命運點</t>
        </is>
      </c>
      <c r="B20" s="7">
        <f>B10</f>
        <v/>
      </c>
      <c r="C20" s="3" t="inlineStr">
        <is>
          <t>裝甲機魂（APM）</t>
        </is>
      </c>
      <c r="D20" s="4" t="n"/>
    </row>
    <row r="21">
      <c r="A21" s="3" t="inlineStr">
        <is>
          <t>生命值（HP） 健康 &gt;75%</t>
        </is>
      </c>
      <c r="B21" s="7">
        <f>B7*8+20</f>
        <v/>
      </c>
      <c r="C21" s="3" t="inlineStr">
        <is>
          <t>重傷 &lt;50%</t>
        </is>
      </c>
      <c r="D21" s="7">
        <f>ROUND((B7*8+20)/2,0)</f>
        <v/>
      </c>
    </row>
    <row r="22">
      <c r="A22" s="3" t="inlineStr">
        <is>
          <t>輕傷 &lt;75%</t>
        </is>
      </c>
      <c r="B22" s="7">
        <f>ROUND((B7*8+20)*0.75,0)</f>
        <v/>
      </c>
      <c r="C22" s="3" t="inlineStr">
        <is>
          <t>瀕死 &lt;25%</t>
        </is>
      </c>
      <c r="D22" s="7">
        <f>ROUND((B7*8+20)*0.25,0)</f>
        <v/>
      </c>
    </row>
    <row r="23"/>
    <row r="24">
      <c r="A24" s="5" t="inlineStr">
        <is>
          <t>武器裝備</t>
        </is>
      </c>
      <c r="B24" s="9" t="n"/>
      <c r="C24" s="9" t="n"/>
      <c r="D24" s="9" t="n"/>
      <c r="E24" s="9" t="n"/>
      <c r="F24" s="9" t="n"/>
      <c r="G24" s="9" t="n"/>
      <c r="H24" s="10" t="n"/>
    </row>
    <row r="25">
      <c r="A25" s="3" t="inlineStr">
        <is>
          <t>主武器名稱</t>
        </is>
      </c>
      <c r="B25" s="4" t="n"/>
      <c r="C25" s="3" t="inlineStr">
        <is>
          <t>基礎傷害</t>
        </is>
      </c>
      <c r="D25" s="4" t="n"/>
    </row>
    <row r="26">
      <c r="A26" s="3" t="inlineStr">
        <is>
          <t>傷害類型</t>
        </is>
      </c>
      <c r="B26" s="4" t="n"/>
      <c r="C26" s="3" t="inlineStr">
        <is>
          <t>彈藥</t>
        </is>
      </c>
      <c r="D26" s="4" t="n"/>
    </row>
    <row r="27">
      <c r="A27" s="3" t="inlineStr">
        <is>
          <t>副武器名稱</t>
        </is>
      </c>
      <c r="B27" s="4" t="n"/>
      <c r="C27" s="3" t="inlineStr">
        <is>
          <t>基礎傷害</t>
        </is>
      </c>
      <c r="D27" s="4" t="n"/>
    </row>
    <row r="28">
      <c r="A28" s="3" t="inlineStr">
        <is>
          <t>動力裝甲狀態</t>
        </is>
      </c>
      <c r="B28" s="4" t="n"/>
      <c r="C28" s="3" t="inlineStr">
        <is>
          <t>護甲值（AR） 彈道</t>
        </is>
      </c>
      <c r="D28" s="4" t="n"/>
    </row>
    <row r="29">
      <c r="A29" s="3" t="inlineStr">
        <is>
          <t>護甲值（AR） 能量</t>
        </is>
      </c>
      <c r="B29" s="4" t="n"/>
      <c r="C29" s="3" t="inlineStr">
        <is>
          <t>護甲值（AR） 爆炸</t>
        </is>
      </c>
      <c r="D29" s="4" t="n"/>
    </row>
    <row r="30">
      <c r="A30" s="3" t="inlineStr">
        <is>
          <t>護甲值（AR） 撕裂</t>
        </is>
      </c>
      <c r="B30" s="4" t="n"/>
      <c r="C30" s="3" t="inlineStr">
        <is>
          <t>護甲值（AR） 火焰</t>
        </is>
      </c>
      <c r="D30" s="4" t="n"/>
    </row>
    <row r="31">
      <c r="A31" s="3" t="inlineStr">
        <is>
          <t>戰團遺物</t>
        </is>
      </c>
      <c r="B31" s="4" t="n"/>
      <c r="C31" s="3" t="inlineStr">
        <is>
          <t>遺物效果</t>
        </is>
      </c>
      <c r="D31" s="4" t="n"/>
    </row>
    <row r="32">
      <c r="A32" s="3" t="inlineStr">
        <is>
          <t>近戰攻擊 目標值（TN）</t>
        </is>
      </c>
      <c r="B32" s="7">
        <f>B7*10</f>
        <v/>
      </c>
      <c r="C32" s="3" t="inlineStr">
        <is>
          <t>遠程攻擊 目標值（TN）</t>
        </is>
      </c>
      <c r="D32" s="7">
        <f>B9*10</f>
        <v/>
      </c>
    </row>
    <row r="33"/>
    <row r="34"/>
    <row r="35"/>
    <row r="36">
      <c r="A36" s="3" t="inlineStr">
        <is>
          <t>裝甲防禦加值</t>
        </is>
      </c>
      <c r="B36" s="4" t="n"/>
    </row>
    <row r="37">
      <c r="A37" s="3" t="inlineStr">
        <is>
          <t>裝甲速度修正</t>
        </is>
      </c>
      <c r="B37" s="4" t="n"/>
    </row>
    <row r="38"/>
    <row r="39">
      <c r="A39" s="5" t="inlineStr">
        <is>
          <t>技能（U=未受訓0 / T=受訓+10 / E=專家+20 / M=大師+30）</t>
        </is>
      </c>
      <c r="B39" s="9" t="n"/>
      <c r="C39" s="9" t="n"/>
      <c r="D39" s="9" t="n"/>
      <c r="E39" s="9" t="n"/>
      <c r="F39" s="9" t="n"/>
      <c r="G39" s="9" t="n"/>
      <c r="H39" s="10" t="n"/>
    </row>
    <row r="40">
      <c r="A40" s="3" t="inlineStr">
        <is>
          <t>技能名稱 (*=天生受訓)</t>
        </is>
      </c>
      <c r="B40" s="3" t="inlineStr">
        <is>
          <t>等級</t>
        </is>
      </c>
      <c r="C40" s="3" t="inlineStr">
        <is>
          <t>加值</t>
        </is>
      </c>
      <c r="D40" s="3" t="inlineStr">
        <is>
          <t>主要屬性 目標值（TN）</t>
        </is>
      </c>
      <c r="E40" s="3" t="inlineStr">
        <is>
          <t>技能TN(標準)</t>
        </is>
      </c>
    </row>
    <row r="41">
      <c r="A41" s="8" t="inlineStr">
        <is>
          <t>運動(Athletics)</t>
        </is>
      </c>
      <c r="B41" s="4" t="n"/>
      <c r="C41" s="7">
        <f>IF(B41="T",10,IF(B41="E",20,IF(B41="M",30,0)))</f>
        <v/>
      </c>
      <c r="D41" s="7">
        <f>B7*10</f>
        <v/>
      </c>
      <c r="E41" s="7">
        <f>D41+C41</f>
        <v/>
      </c>
    </row>
    <row r="42">
      <c r="A42" s="8" t="inlineStr">
        <is>
          <t>近戰(Weapon Skill)*</t>
        </is>
      </c>
      <c r="B42" s="4" t="n"/>
      <c r="C42" s="7">
        <f>IF(B42="T",10,IF(B42="E",20,IF(B42="M",30,0)))</f>
        <v/>
      </c>
      <c r="D42" s="7">
        <f>B7*10</f>
        <v/>
      </c>
      <c r="E42" s="7">
        <f>D42+C42</f>
        <v/>
      </c>
    </row>
    <row r="43">
      <c r="A43" s="8" t="inlineStr">
        <is>
          <t>堅韌(Endurance)</t>
        </is>
      </c>
      <c r="B43" s="4" t="n"/>
      <c r="C43" s="7">
        <f>IF(B43="T",10,IF(B43="E",20,IF(B43="M",30,0)))</f>
        <v/>
      </c>
      <c r="D43" s="7">
        <f>B7*10</f>
        <v/>
      </c>
      <c r="E43" s="7">
        <f>D43+C43</f>
        <v/>
      </c>
    </row>
    <row r="44">
      <c r="A44" s="8" t="inlineStr">
        <is>
          <t>警覺(Awareness)</t>
        </is>
      </c>
      <c r="B44" s="4" t="n"/>
      <c r="C44" s="7">
        <f>IF(B44="T",10,IF(B44="E",20,IF(B44="M",30,0)))</f>
        <v/>
      </c>
      <c r="D44" s="7">
        <f>B8*10</f>
        <v/>
      </c>
      <c r="E44" s="7">
        <f>D44+C44</f>
        <v/>
      </c>
    </row>
    <row r="45">
      <c r="A45" s="8" t="inlineStr">
        <is>
          <t>調查(Investigation)</t>
        </is>
      </c>
      <c r="B45" s="4" t="n"/>
      <c r="C45" s="7">
        <f>IF(B45="T",10,IF(B45="E",20,IF(B45="M",30,0)))</f>
        <v/>
      </c>
      <c r="D45" s="7">
        <f>B8*10</f>
        <v/>
      </c>
      <c r="E45" s="7">
        <f>D45+C45</f>
        <v/>
      </c>
    </row>
    <row r="46">
      <c r="A46" s="8" t="inlineStr">
        <is>
          <t>學識(Lore)*</t>
        </is>
      </c>
      <c r="B46" s="4" t="n"/>
      <c r="C46" s="7">
        <f>IF(B46="T",10,IF(B46="E",20,IF(B46="M",30,0)))</f>
        <v/>
      </c>
      <c r="D46" s="7">
        <f>B8*10</f>
        <v/>
      </c>
      <c r="E46" s="7">
        <f>D46+C46</f>
        <v/>
      </c>
    </row>
    <row r="47">
      <c r="A47" s="8" t="inlineStr">
        <is>
          <t>醫療(Medicae)</t>
        </is>
      </c>
      <c r="B47" s="4" t="n"/>
      <c r="C47" s="7">
        <f>IF(B47="T",10,IF(B47="E",20,IF(B47="M",30,0)))</f>
        <v/>
      </c>
      <c r="D47" s="7">
        <f>B8*10</f>
        <v/>
      </c>
      <c r="E47" s="7">
        <f>D47+C47</f>
        <v/>
      </c>
    </row>
    <row r="48">
      <c r="A48" s="8" t="inlineStr">
        <is>
          <t>靈能感知(Psyniscience)</t>
        </is>
      </c>
      <c r="B48" s="4" t="n"/>
      <c r="C48" s="7">
        <f>IF(B48="T",10,IF(B48="E",20,IF(B48="M",30,0)))</f>
        <v/>
      </c>
      <c r="D48" s="7">
        <f>B6*10</f>
        <v/>
      </c>
      <c r="E48" s="7">
        <f>D48+C48</f>
        <v/>
      </c>
    </row>
    <row r="49">
      <c r="A49" s="8" t="inlineStr">
        <is>
          <t>佈道(Oratory)</t>
        </is>
      </c>
      <c r="B49" s="4" t="n"/>
      <c r="C49" s="7">
        <f>IF(B49="T",10,IF(B49="E",20,IF(B49="M",30,0)))</f>
        <v/>
      </c>
      <c r="D49" s="7">
        <f>B6*10</f>
        <v/>
      </c>
      <c r="E49" s="7">
        <f>D49+C49</f>
        <v/>
      </c>
    </row>
    <row r="50">
      <c r="A50" s="8" t="inlineStr">
        <is>
          <t>遠程射擊(Ballistic)*</t>
        </is>
      </c>
      <c r="B50" s="4" t="n"/>
      <c r="C50" s="7">
        <f>IF(B50="T",10,IF(B50="E",20,IF(B50="M",30,0)))</f>
        <v/>
      </c>
      <c r="D50" s="7">
        <f>B9*10</f>
        <v/>
      </c>
      <c r="E50" s="7">
        <f>D50+C50</f>
        <v/>
      </c>
    </row>
    <row r="51">
      <c r="A51" s="8" t="inlineStr">
        <is>
          <t>技術(Tech-Use)</t>
        </is>
      </c>
      <c r="B51" s="4" t="n"/>
      <c r="C51" s="7">
        <f>IF(B51="T",10,IF(B51="E",20,IF(B51="M",30,0)))</f>
        <v/>
      </c>
      <c r="D51" s="7">
        <f>B9*10</f>
        <v/>
      </c>
      <c r="E51" s="7">
        <f>D51+C51</f>
        <v/>
      </c>
    </row>
    <row r="52">
      <c r="A52" s="8" t="inlineStr">
        <is>
          <t>潛行(Stealth)</t>
        </is>
      </c>
      <c r="B52" s="4" t="n"/>
      <c r="C52" s="7">
        <f>IF(B52="T",10,IF(B52="E",20,IF(B52="M",30,0)))</f>
        <v/>
      </c>
      <c r="D52" s="7">
        <f>B9*10</f>
        <v/>
      </c>
      <c r="E52" s="7">
        <f>D52+C52</f>
        <v/>
      </c>
    </row>
    <row r="53">
      <c r="A53" s="8" t="inlineStr">
        <is>
          <t>指揮(Command)</t>
        </is>
      </c>
      <c r="B53" s="4" t="n"/>
      <c r="C53" s="7">
        <f>IF(B53="T",10,IF(B53="E",20,IF(B53="M",30,0)))</f>
        <v/>
      </c>
      <c r="D53" s="7">
        <f>B10*10</f>
        <v/>
      </c>
      <c r="E53" s="7">
        <f>D53+C53</f>
        <v/>
      </c>
    </row>
    <row r="54">
      <c r="A54" s="8" t="inlineStr">
        <is>
          <t>欺瞞(Deceive)</t>
        </is>
      </c>
      <c r="B54" s="4" t="n"/>
      <c r="C54" s="7">
        <f>IF(B54="T",10,IF(B54="E",20,IF(B54="M",30,0)))</f>
        <v/>
      </c>
      <c r="D54" s="7">
        <f>B10*10</f>
        <v/>
      </c>
      <c r="E54" s="7">
        <f>D54+C54</f>
        <v/>
      </c>
    </row>
    <row r="55"/>
    <row r="56">
      <c r="A56" s="5" t="inlineStr">
        <is>
          <t>烙印、基因缺陷與誓約</t>
        </is>
      </c>
      <c r="B56" s="9" t="n"/>
      <c r="C56" s="9" t="n"/>
      <c r="D56" s="9" t="n"/>
      <c r="E56" s="9" t="n"/>
      <c r="F56" s="9" t="n"/>
      <c r="G56" s="9" t="n"/>
      <c r="H56" s="10" t="n"/>
    </row>
    <row r="57">
      <c r="A57" s="3" t="inlineStr">
        <is>
          <t>烙印效果</t>
        </is>
      </c>
      <c r="B57" s="4" t="n"/>
      <c r="C57" s="9" t="n"/>
      <c r="D57" s="9" t="n"/>
      <c r="E57" s="9" t="n"/>
      <c r="F57" s="10" t="n"/>
    </row>
    <row r="58"/>
    <row r="59">
      <c r="A59" s="3" t="inlineStr">
        <is>
          <t>基因缺陷</t>
        </is>
      </c>
      <c r="B59" s="4" t="n"/>
      <c r="C59" s="9" t="n"/>
      <c r="D59" s="9" t="n"/>
      <c r="E59" s="9" t="n"/>
      <c r="F59" s="10" t="n"/>
    </row>
    <row r="60"/>
    <row r="61">
      <c r="A61" s="3" t="inlineStr">
        <is>
          <t>誓約優先級 1-5</t>
        </is>
      </c>
      <c r="B61" s="4" t="n"/>
      <c r="C61" s="9" t="n"/>
      <c r="D61" s="9" t="n"/>
      <c r="E61" s="9" t="n"/>
      <c r="F61" s="10" t="n"/>
    </row>
    <row r="62"/>
    <row r="63">
      <c r="A63" s="3" t="inlineStr">
        <is>
          <t>戰友關係</t>
        </is>
      </c>
      <c r="B63" s="4" t="n"/>
      <c r="C63" s="9" t="n"/>
      <c r="D63" s="9" t="n"/>
      <c r="E63" s="9" t="n"/>
      <c r="F63" s="10" t="n"/>
    </row>
    <row r="64"/>
    <row r="65">
      <c r="A65" s="3" t="inlineStr">
        <is>
          <t>印記</t>
        </is>
      </c>
      <c r="B65" s="4" t="n"/>
      <c r="C65" s="9" t="n"/>
      <c r="D65" s="9" t="n"/>
      <c r="E65" s="9" t="n"/>
      <c r="F65" s="10" t="n"/>
    </row>
    <row r="66"/>
    <row r="67"/>
    <row r="68">
      <c r="A68" s="5" t="inlineStr">
        <is>
          <t>規則提示</t>
        </is>
      </c>
      <c r="B68" s="9" t="n"/>
      <c r="C68" s="9" t="n"/>
      <c r="D68" s="9" t="n"/>
      <c r="E68" s="9" t="n"/>
      <c r="F68" s="9" t="n"/>
      <c r="G68" s="9" t="n"/>
      <c r="H68" s="10" t="n"/>
    </row>
    <row r="69">
      <c r="A69" s="15" t="inlineStr">
        <is>
          <t>• TN上限=95：任何檢定TN不得超過95（96-00永遠失敗）</t>
        </is>
      </c>
    </row>
    <row r="70">
      <c r="A70" s="15" t="inlineStr">
        <is>
          <t>• 信仰歸零→「靈魂的黑夜」：立即信念危機、無法使用信仰、每日腐化+1</t>
        </is>
      </c>
    </row>
    <row r="71">
      <c r="A71" s="15" t="inlineStr">
        <is>
          <t>• 創傷：單次傷害超過創傷上限觸發。阿斯塔特韌性——輕微創傷無影響</t>
        </is>
      </c>
    </row>
    <row r="72">
      <c r="A72" s="15" t="inlineStr">
        <is>
          <t>• 裝甲機魂（APM） 變化：戰後祝禱+2(TN標準) / 暴擊-1 / 腐化升階-2 / 聖地休息+3</t>
        </is>
      </c>
    </row>
    <row r="73">
      <c r="A73" s="15" t="inlineStr">
        <is>
          <t>• 誓言裂痕：違背誓約→相關戰團能力使用時腐化+1。3次違背→誓約永久失效</t>
        </is>
      </c>
    </row>
    <row r="74">
      <c r="A74" s="15" t="inlineStr">
        <is>
          <t>• 基因缺陷觸發檢定：見技能表下方心智/信仰 目標值（TN） 對應值</t>
        </is>
      </c>
    </row>
    <row r="75">
      <c r="A75" s="15" t="inlineStr">
        <is>
          <t>• 生命值（HP） 緩衝：動力裝甲緩衝 生命值（HP） 先吸收傷害，耗盡後剩餘傷害扣除角色 生命值（HP）</t>
        </is>
      </c>
    </row>
    <row r="76">
      <c r="A76" s="15" t="inlineStr">
        <is>
          <t>• 最終守望：生命值（HP）≤0→每回合1行動→每次行動HP-2→休眠昏迷HP≤−(體魄×2+20)</t>
        </is>
      </c>
    </row>
    <row r="77">
      <c r="A77" s="15" t="inlineStr">
        <is>
          <t>• 任務間恢復：體魄檢定(標準)成功→3d10 生命值（HP）/失敗→1d10。信仰 1d3+信仰值</t>
        </is>
      </c>
    </row>
    <row r="78">
      <c r="A78" s="15" t="inlineStr">
        <is>
          <t>• 裝備維修：卡膛→技藝檢定清除；護甲腐蝕→技術檢定+零件恢復AR</t>
        </is>
      </c>
    </row>
  </sheetData>
  <mergeCells count="22">
    <mergeCell ref="A77:H77"/>
    <mergeCell ref="A39:H39"/>
    <mergeCell ref="A24:H24"/>
    <mergeCell ref="A73:H73"/>
    <mergeCell ref="B59:F59"/>
    <mergeCell ref="A1:H1"/>
    <mergeCell ref="A70:H70"/>
    <mergeCell ref="A78:H78"/>
    <mergeCell ref="A69:H69"/>
    <mergeCell ref="B61:F61"/>
    <mergeCell ref="A75:H75"/>
    <mergeCell ref="B57:F57"/>
    <mergeCell ref="A74:H74"/>
    <mergeCell ref="A12:H12"/>
    <mergeCell ref="A56:H56"/>
    <mergeCell ref="A71:H71"/>
    <mergeCell ref="A76:H76"/>
    <mergeCell ref="A5:H5"/>
    <mergeCell ref="B65:F65"/>
    <mergeCell ref="A72:H72"/>
    <mergeCell ref="B63:F63"/>
    <mergeCell ref="A68:H6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2026-06-29T03:52:08Z</dcterms:created>
  <dcterms:modified xsi:type="dcterms:W3CDTF">2026-07-18T07:38:14Z</dcterms:modified>
</cp:coreProperties>
</file>