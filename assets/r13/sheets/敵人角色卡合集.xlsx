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侍僧 瓦拉克" sheetId="1" state="visible" r:id="rId1"/>
    <sheet name="變異神父伊利昂" sheetId="2" state="visible" r:id="rId2"/>
    <sheet name="耳語者(靈能教派領袖)" sheetId="3" state="visible" r:id="rId3"/>
    <sheet name="變異巨獸(深巢)" sheetId="4" state="visible" r:id="rId4"/>
    <sheet name="審判庭突擊兵" sheetId="5" state="visible" r:id="rId5"/>
    <sheet name="變異贖罪者馬庫斯" sheetId="6" state="visible" r:id="rId6"/>
    <sheet name="扭曲機魂(防禦砲塔)" sheetId="7" state="visible" r:id="rId7"/>
    <sheet name="混沌星際戰士(終局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6"/>
    </font>
    <font>
      <name val="Arial"/>
      <b val="1"/>
      <sz val="10"/>
    </font>
    <font>
      <name val="Arial"/>
      <b val="1"/>
      <color rgb="00FFFFFF"/>
      <sz val="12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434343"/>
        <bgColor rgb="00434343"/>
      </patternFill>
    </fill>
    <fill>
      <patternFill patternType="solid">
        <fgColor rgb="00FFF2CC"/>
        <bgColor rgb="00FFF2CC"/>
      </patternFill>
    </fill>
    <fill>
      <patternFill patternType="solid">
        <fgColor rgb="00666666"/>
        <bgColor rgb="00666666"/>
      </patternFill>
    </fill>
    <fill>
      <patternFill patternType="solid">
        <fgColor rgb="00D9EAD3"/>
        <bgColor rgb="00D9EAD3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0" borderId="0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— 敵人: 侍僧 瓦拉克</t>
        </is>
      </c>
      <c r="B1" s="16" t="n"/>
      <c r="C1" s="16" t="n"/>
      <c r="D1" s="16" t="n"/>
      <c r="E1" s="16" t="n"/>
      <c r="F1" s="16" t="n"/>
      <c r="G1" s="16" t="n"/>
      <c r="H1" s="17" t="n"/>
    </row>
    <row r="2"/>
    <row r="3">
      <c r="A3" s="3" t="inlineStr">
        <is>
          <t>名稱</t>
        </is>
      </c>
      <c r="B3" s="4" t="inlineStr">
        <is>
          <t>侍僧 瓦拉克</t>
        </is>
      </c>
      <c r="C3" s="3" t="inlineStr">
        <is>
          <t>挑戰等級（CR）</t>
        </is>
      </c>
      <c r="D3" s="4" t="inlineStr">
        <is>
          <t>1</t>
        </is>
      </c>
      <c r="E3" s="3" t="inlineStr">
        <is>
          <t>類型</t>
        </is>
      </c>
      <c r="F3" s="4" t="inlineStr">
        <is>
          <t>混沌侍僧</t>
        </is>
      </c>
    </row>
    <row r="4"/>
    <row r="5">
      <c r="A5" s="5" t="inlineStr">
        <is>
          <t>屬性</t>
        </is>
      </c>
      <c r="B5" s="16" t="n"/>
      <c r="C5" s="16" t="n"/>
      <c r="D5" s="16" t="n"/>
      <c r="E5" s="16" t="n"/>
      <c r="F5" s="16" t="n"/>
      <c r="G5" s="16" t="n"/>
      <c r="H5" s="17" t="n"/>
    </row>
    <row r="6">
      <c r="A6" s="3" t="inlineStr">
        <is>
          <t>信仰</t>
        </is>
      </c>
      <c r="B6" s="4" t="n">
        <v>2</v>
      </c>
    </row>
    <row r="7">
      <c r="A7" s="3" t="inlineStr">
        <is>
          <t>體魄</t>
        </is>
      </c>
      <c r="B7" s="4" t="n">
        <v>2</v>
      </c>
    </row>
    <row r="8">
      <c r="A8" s="3" t="inlineStr">
        <is>
          <t>心智</t>
        </is>
      </c>
      <c r="B8" s="4" t="n">
        <v>2</v>
      </c>
    </row>
    <row r="9">
      <c r="A9" s="3" t="inlineStr">
        <is>
          <t>技藝</t>
        </is>
      </c>
      <c r="B9" s="4" t="n">
        <v>3</v>
      </c>
    </row>
    <row r="10">
      <c r="A10" s="3" t="inlineStr">
        <is>
          <t>命運</t>
        </is>
      </c>
      <c r="B10" s="4" t="n">
        <v>2</v>
      </c>
    </row>
    <row r="11"/>
    <row r="12">
      <c r="A12" s="5" t="inlineStr">
        <is>
          <t>戰鬥數據（自動計算）</t>
        </is>
      </c>
      <c r="B12" s="16" t="n"/>
      <c r="C12" s="16" t="n"/>
      <c r="D12" s="16" t="n"/>
      <c r="E12" s="16" t="n"/>
      <c r="F12" s="16" t="n"/>
      <c r="G12" s="16" t="n"/>
      <c r="H12" s="17" t="n"/>
    </row>
    <row r="13">
      <c r="A13" s="3" t="inlineStr">
        <is>
          <t>生命值（HP）</t>
        </is>
      </c>
      <c r="B13" s="7">
        <f>B7*4+5</f>
        <v/>
      </c>
      <c r="C13" s="3" t="inlineStr">
        <is>
          <t>當前 生命值（HP）</t>
        </is>
      </c>
      <c r="D13" s="4" t="n"/>
    </row>
    <row r="14">
      <c r="A14" s="3" t="inlineStr">
        <is>
          <t>防禦值</t>
        </is>
      </c>
      <c r="B14" s="7">
        <f>ROUNDUP(B9/2,0)</f>
        <v/>
      </c>
      <c r="C14" s="3" t="inlineStr">
        <is>
          <t>先攻</t>
        </is>
      </c>
      <c r="D14" s="7">
        <f>B8+B9</f>
        <v/>
      </c>
    </row>
    <row r="15">
      <c r="A15" s="3" t="inlineStr">
        <is>
          <t>速度(格)</t>
        </is>
      </c>
      <c r="B15" s="4" t="n">
        <v>6</v>
      </c>
      <c r="C15" s="3" t="inlineStr">
        <is>
          <t>近戰 目標值（TN）</t>
        </is>
      </c>
      <c r="D15" s="7">
        <f>B7*10</f>
        <v/>
      </c>
    </row>
    <row r="16">
      <c r="A16" s="3" t="inlineStr">
        <is>
          <t>遠程 目標值（TN）</t>
        </is>
      </c>
      <c r="B16" s="7">
        <f>B9*10</f>
        <v/>
      </c>
      <c r="C16" s="3" t="inlineStr">
        <is>
          <t>信仰 目標值（TN）</t>
        </is>
      </c>
      <c r="D16" s="7">
        <f>B6*10</f>
        <v/>
      </c>
    </row>
    <row r="17"/>
    <row r="18">
      <c r="A18" s="3" t="inlineStr">
        <is>
          <t>護甲值（AR） 彈道</t>
        </is>
      </c>
      <c r="B18" s="4" t="n">
        <v>3</v>
      </c>
      <c r="C18" s="3" t="inlineStr">
        <is>
          <t>護甲值（AR） 能量</t>
        </is>
      </c>
      <c r="D18" s="4" t="n">
        <v>2</v>
      </c>
    </row>
    <row r="19">
      <c r="A19" s="3" t="inlineStr">
        <is>
          <t>護甲值（AR） 爆炸</t>
        </is>
      </c>
      <c r="B19" s="4" t="n">
        <v>3</v>
      </c>
      <c r="C19" s="3" t="inlineStr">
        <is>
          <t>護甲值（AR） 撕裂</t>
        </is>
      </c>
      <c r="D19" s="4" t="n">
        <v>3</v>
      </c>
    </row>
    <row r="20">
      <c r="A20" s="3" t="inlineStr">
        <is>
          <t>護甲值（AR） 火焰</t>
        </is>
      </c>
      <c r="B20" s="4" t="n">
        <v>1</v>
      </c>
    </row>
    <row r="21"/>
    <row r="22">
      <c r="A22" s="5" t="inlineStr">
        <is>
          <t>攻擊</t>
        </is>
      </c>
      <c r="B22" s="16" t="n"/>
      <c r="C22" s="16" t="n"/>
      <c r="D22" s="16" t="n"/>
      <c r="E22" s="16" t="n"/>
      <c r="F22" s="16" t="n"/>
      <c r="G22" s="16" t="n"/>
      <c r="H22" s="17" t="n"/>
    </row>
    <row r="23">
      <c r="A23" s="3" t="inlineStr">
        <is>
          <t>攻擊1名稱</t>
        </is>
      </c>
      <c r="B23" s="4" t="inlineStr">
        <is>
          <t>自動槍</t>
        </is>
      </c>
      <c r="C23" s="3" t="inlineStr">
        <is>
          <t>類型(近/遠)</t>
        </is>
      </c>
      <c r="D23" s="4" t="n"/>
    </row>
    <row r="24">
      <c r="A24" s="3" t="inlineStr">
        <is>
          <t xml:space="preserve">  傷害骰</t>
        </is>
      </c>
      <c r="B24" s="4" t="inlineStr">
        <is>
          <t>1d8+1 彈道</t>
        </is>
      </c>
      <c r="C24" s="3" t="inlineStr">
        <is>
          <t xml:space="preserve">  射程(m)</t>
        </is>
      </c>
      <c r="D24" s="4" t="n"/>
    </row>
    <row r="25">
      <c r="A25" s="3" t="inlineStr">
        <is>
          <t>攻擊2名稱</t>
        </is>
      </c>
      <c r="B25" s="4" t="inlineStr">
        <is>
          <t>鏈鋸劍</t>
        </is>
      </c>
      <c r="C25" s="3" t="inlineStr">
        <is>
          <t>類型(近/遠)</t>
        </is>
      </c>
      <c r="D25" s="4" t="n"/>
    </row>
    <row r="26">
      <c r="A26" s="3" t="inlineStr">
        <is>
          <t xml:space="preserve">  傷害骰</t>
        </is>
      </c>
      <c r="B26" s="4" t="inlineStr">
        <is>
          <t>1d10+2 撕裂</t>
        </is>
      </c>
      <c r="C26" s="3" t="inlineStr">
        <is>
          <t xml:space="preserve">  射程(m)</t>
        </is>
      </c>
      <c r="D26" s="4" t="n"/>
    </row>
    <row r="27">
      <c r="A27" s="3" t="inlineStr">
        <is>
          <t>攻擊3名稱</t>
        </is>
      </c>
      <c r="B27" s="4" t="inlineStr"/>
      <c r="C27" s="3" t="inlineStr">
        <is>
          <t>類型(近/遠)</t>
        </is>
      </c>
      <c r="D27" s="4" t="n"/>
    </row>
    <row r="28">
      <c r="A28" s="3" t="inlineStr">
        <is>
          <t xml:space="preserve">  傷害骰</t>
        </is>
      </c>
      <c r="B28" s="4" t="inlineStr"/>
      <c r="C28" s="3" t="inlineStr">
        <is>
          <t xml:space="preserve">  射程(m)</t>
        </is>
      </c>
      <c r="D28" s="4" t="n"/>
    </row>
    <row r="29"/>
    <row r="30">
      <c r="A30" s="5" t="inlineStr">
        <is>
          <t>特殊能力</t>
        </is>
      </c>
      <c r="B30" s="16" t="n"/>
      <c r="C30" s="16" t="n"/>
      <c r="D30" s="16" t="n"/>
      <c r="E30" s="16" t="n"/>
      <c r="F30" s="16" t="n"/>
      <c r="G30" s="16" t="n"/>
      <c r="H30" s="17" t="n"/>
    </row>
    <row r="31">
      <c r="A31" s="3" t="inlineStr">
        <is>
          <t>能力描述</t>
        </is>
      </c>
      <c r="B31" s="4" t="n"/>
      <c r="C31" s="8" t="n"/>
      <c r="D31" s="8" t="n"/>
      <c r="E31" s="8" t="n"/>
      <c r="F31" s="8" t="n"/>
      <c r="G31" s="8" t="n"/>
      <c r="H31" s="9" t="n"/>
    </row>
    <row r="32">
      <c r="B32" s="10" t="n"/>
      <c r="H32" s="11" t="n"/>
    </row>
    <row r="33">
      <c r="B33" s="10" t="n"/>
      <c r="H33" s="11" t="n"/>
    </row>
    <row r="34">
      <c r="B34" s="10" t="n"/>
      <c r="H34" s="11" t="n"/>
    </row>
    <row r="35">
      <c r="B35" s="10" t="n"/>
      <c r="H35" s="11" t="n"/>
    </row>
    <row r="36">
      <c r="B36" s="12" t="n"/>
      <c r="C36" s="13" t="n"/>
      <c r="D36" s="13" t="n"/>
      <c r="E36" s="13" t="n"/>
      <c r="F36" s="13" t="n"/>
      <c r="G36" s="13" t="n"/>
      <c r="H36" s="14" t="n"/>
    </row>
    <row r="37"/>
    <row r="38">
      <c r="A38" s="5" t="inlineStr">
        <is>
          <t>戰術 AI 與備註</t>
        </is>
      </c>
      <c r="B38" s="16" t="n"/>
      <c r="C38" s="16" t="n"/>
      <c r="D38" s="16" t="n"/>
      <c r="E38" s="16" t="n"/>
      <c r="F38" s="16" t="n"/>
      <c r="G38" s="16" t="n"/>
      <c r="H38" s="17" t="n"/>
    </row>
    <row r="39">
      <c r="A39" s="3" t="inlineStr">
        <is>
          <t>AI 行為</t>
        </is>
      </c>
      <c r="B39" s="4" t="n"/>
      <c r="C39" s="8" t="n"/>
      <c r="D39" s="8" t="n"/>
      <c r="E39" s="8" t="n"/>
      <c r="F39" s="8" t="n"/>
      <c r="G39" s="8" t="n"/>
      <c r="H39" s="9" t="n"/>
    </row>
    <row r="40">
      <c r="B40" s="10" t="n"/>
      <c r="H40" s="11" t="n"/>
    </row>
    <row r="41">
      <c r="B41" s="12" t="n"/>
      <c r="C41" s="13" t="n"/>
      <c r="D41" s="13" t="n"/>
      <c r="E41" s="13" t="n"/>
      <c r="F41" s="13" t="n"/>
      <c r="G41" s="13" t="n"/>
      <c r="H41" s="14" t="n"/>
    </row>
    <row r="42"/>
    <row r="43">
      <c r="A43" s="3" t="inlineStr">
        <is>
          <t>掉落/情報</t>
        </is>
      </c>
      <c r="B43" s="4" t="n"/>
      <c r="C43" s="8" t="n"/>
      <c r="D43" s="8" t="n"/>
      <c r="E43" s="8" t="n"/>
      <c r="F43" s="8" t="n"/>
      <c r="G43" s="8" t="n"/>
      <c r="H43" s="9" t="n"/>
    </row>
    <row r="44">
      <c r="B44" s="10" t="n"/>
      <c r="H44" s="11" t="n"/>
    </row>
    <row r="45">
      <c r="B45" s="12" t="n"/>
      <c r="C45" s="13" t="n"/>
      <c r="D45" s="13" t="n"/>
      <c r="E45" s="13" t="n"/>
      <c r="F45" s="13" t="n"/>
      <c r="G45" s="13" t="n"/>
      <c r="H45" s="14" t="n"/>
    </row>
    <row r="46"/>
    <row r="47">
      <c r="A47" s="15" t="inlineStr">
        <is>
          <t>登場劇本：A-1「鐵肋的鮮血」Boss（若不投降）</t>
        </is>
      </c>
    </row>
  </sheetData>
  <mergeCells count="10">
    <mergeCell ref="A12:H12"/>
    <mergeCell ref="A1:H1"/>
    <mergeCell ref="A30:H30"/>
    <mergeCell ref="B39:H41"/>
    <mergeCell ref="B31:H36"/>
    <mergeCell ref="A38:H38"/>
    <mergeCell ref="B43:H45"/>
    <mergeCell ref="A47:H47"/>
    <mergeCell ref="A5:H5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— 敵人: 變異神父伊利昂</t>
        </is>
      </c>
      <c r="B1" s="16" t="n"/>
      <c r="C1" s="16" t="n"/>
      <c r="D1" s="16" t="n"/>
      <c r="E1" s="16" t="n"/>
      <c r="F1" s="16" t="n"/>
      <c r="G1" s="16" t="n"/>
      <c r="H1" s="17" t="n"/>
    </row>
    <row r="2"/>
    <row r="3">
      <c r="A3" s="3" t="inlineStr">
        <is>
          <t>名稱</t>
        </is>
      </c>
      <c r="B3" s="4" t="inlineStr">
        <is>
          <t>變異神父伊利昂</t>
        </is>
      </c>
      <c r="C3" s="3" t="inlineStr">
        <is>
          <t>挑戰等級（CR）</t>
        </is>
      </c>
      <c r="D3" s="4" t="inlineStr">
        <is>
          <t>1</t>
        </is>
      </c>
      <c r="E3" s="3" t="inlineStr">
        <is>
          <t>類型</t>
        </is>
      </c>
      <c r="F3" s="4" t="inlineStr">
        <is>
          <t>變異體(前國教神父)</t>
        </is>
      </c>
    </row>
    <row r="4"/>
    <row r="5">
      <c r="A5" s="5" t="inlineStr">
        <is>
          <t>屬性</t>
        </is>
      </c>
      <c r="B5" s="16" t="n"/>
      <c r="C5" s="16" t="n"/>
      <c r="D5" s="16" t="n"/>
      <c r="E5" s="16" t="n"/>
      <c r="F5" s="16" t="n"/>
      <c r="G5" s="16" t="n"/>
      <c r="H5" s="17" t="n"/>
    </row>
    <row r="6">
      <c r="A6" s="3" t="inlineStr">
        <is>
          <t>信仰</t>
        </is>
      </c>
      <c r="B6" s="4" t="n">
        <v>0</v>
      </c>
    </row>
    <row r="7">
      <c r="A7" s="3" t="inlineStr">
        <is>
          <t>體魄</t>
        </is>
      </c>
      <c r="B7" s="4" t="n">
        <v>3</v>
      </c>
    </row>
    <row r="8">
      <c r="A8" s="3" t="inlineStr">
        <is>
          <t>心智</t>
        </is>
      </c>
      <c r="B8" s="4" t="n">
        <v>2</v>
      </c>
    </row>
    <row r="9">
      <c r="A9" s="3" t="inlineStr">
        <is>
          <t>技藝</t>
        </is>
      </c>
      <c r="B9" s="4" t="n">
        <v>1</v>
      </c>
    </row>
    <row r="10">
      <c r="A10" s="3" t="inlineStr">
        <is>
          <t>命運</t>
        </is>
      </c>
      <c r="B10" s="4" t="n">
        <v>0</v>
      </c>
    </row>
    <row r="11"/>
    <row r="12">
      <c r="A12" s="5" t="inlineStr">
        <is>
          <t>戰鬥數據（自動計算）</t>
        </is>
      </c>
      <c r="B12" s="16" t="n"/>
      <c r="C12" s="16" t="n"/>
      <c r="D12" s="16" t="n"/>
      <c r="E12" s="16" t="n"/>
      <c r="F12" s="16" t="n"/>
      <c r="G12" s="16" t="n"/>
      <c r="H12" s="17" t="n"/>
    </row>
    <row r="13">
      <c r="A13" s="3" t="inlineStr">
        <is>
          <t>生命值（HP）</t>
        </is>
      </c>
      <c r="B13" s="7">
        <f>B7*4+5</f>
        <v/>
      </c>
      <c r="C13" s="3" t="inlineStr">
        <is>
          <t>當前 生命值（HP）</t>
        </is>
      </c>
      <c r="D13" s="4" t="n"/>
    </row>
    <row r="14">
      <c r="A14" s="3" t="inlineStr">
        <is>
          <t>防禦值</t>
        </is>
      </c>
      <c r="B14" s="7">
        <f>ROUNDUP(B9/2,0)</f>
        <v/>
      </c>
      <c r="C14" s="3" t="inlineStr">
        <is>
          <t>先攻</t>
        </is>
      </c>
      <c r="D14" s="7">
        <f>B8+B9</f>
        <v/>
      </c>
    </row>
    <row r="15">
      <c r="A15" s="3" t="inlineStr">
        <is>
          <t>速度(格)</t>
        </is>
      </c>
      <c r="B15" s="4" t="n">
        <v>7</v>
      </c>
      <c r="C15" s="3" t="inlineStr">
        <is>
          <t>近戰 目標值（TN）</t>
        </is>
      </c>
      <c r="D15" s="7">
        <f>B7*10</f>
        <v/>
      </c>
    </row>
    <row r="16">
      <c r="A16" s="3" t="inlineStr">
        <is>
          <t>遠程 目標值（TN）</t>
        </is>
      </c>
      <c r="B16" s="7">
        <f>B9*10</f>
        <v/>
      </c>
      <c r="C16" s="3" t="inlineStr">
        <is>
          <t>信仰 目標值（TN）</t>
        </is>
      </c>
      <c r="D16" s="7">
        <f>B6*10</f>
        <v/>
      </c>
    </row>
    <row r="17"/>
    <row r="18">
      <c r="A18" s="3" t="inlineStr">
        <is>
          <t>護甲值（AR） 彈道</t>
        </is>
      </c>
      <c r="B18" s="4" t="n">
        <v>2</v>
      </c>
      <c r="C18" s="3" t="inlineStr">
        <is>
          <t>護甲值（AR） 能量</t>
        </is>
      </c>
      <c r="D18" s="4" t="n">
        <v>1</v>
      </c>
    </row>
    <row r="19">
      <c r="A19" s="3" t="inlineStr">
        <is>
          <t>護甲值（AR） 爆炸</t>
        </is>
      </c>
      <c r="B19" s="4" t="n">
        <v>2</v>
      </c>
      <c r="C19" s="3" t="inlineStr">
        <is>
          <t>護甲值（AR） 撕裂</t>
        </is>
      </c>
      <c r="D19" s="4" t="n">
        <v>3</v>
      </c>
    </row>
    <row r="20">
      <c r="A20" s="3" t="inlineStr">
        <is>
          <t>護甲值（AR） 火焰</t>
        </is>
      </c>
      <c r="B20" s="4" t="n">
        <v>2</v>
      </c>
    </row>
    <row r="21"/>
    <row r="22">
      <c r="A22" s="5" t="inlineStr">
        <is>
          <t>攻擊</t>
        </is>
      </c>
      <c r="B22" s="16" t="n"/>
      <c r="C22" s="16" t="n"/>
      <c r="D22" s="16" t="n"/>
      <c r="E22" s="16" t="n"/>
      <c r="F22" s="16" t="n"/>
      <c r="G22" s="16" t="n"/>
      <c r="H22" s="17" t="n"/>
    </row>
    <row r="23">
      <c r="A23" s="3" t="inlineStr">
        <is>
          <t>攻擊1名稱</t>
        </is>
      </c>
      <c r="B23" s="4" t="inlineStr">
        <is>
          <t>變異爪擊</t>
        </is>
      </c>
      <c r="C23" s="3" t="inlineStr">
        <is>
          <t>類型(近/遠)</t>
        </is>
      </c>
      <c r="D23" s="4" t="n"/>
    </row>
    <row r="24">
      <c r="A24" s="3" t="inlineStr">
        <is>
          <t xml:space="preserve">  傷害骰</t>
        </is>
      </c>
      <c r="B24" s="4" t="inlineStr">
        <is>
          <t>1d8+3 撕裂</t>
        </is>
      </c>
      <c r="C24" s="3" t="inlineStr">
        <is>
          <t xml:space="preserve">  射程(m)</t>
        </is>
      </c>
      <c r="D24" s="4" t="n"/>
    </row>
    <row r="25">
      <c r="A25" s="3" t="inlineStr">
        <is>
          <t>攻擊2名稱</t>
        </is>
      </c>
      <c r="B25" s="4" t="inlineStr">
        <is>
          <t>靈能尖嘯</t>
        </is>
      </c>
      <c r="C25" s="3" t="inlineStr">
        <is>
          <t>類型(近/遠)</t>
        </is>
      </c>
      <c r="D25" s="4" t="n"/>
    </row>
    <row r="26">
      <c r="A26" s="3" t="inlineStr">
        <is>
          <t xml:space="preserve">  傷害骰</t>
        </is>
      </c>
      <c r="B26" s="4" t="inlineStr">
        <is>
          <t>2d6 精神</t>
        </is>
      </c>
      <c r="C26" s="3" t="inlineStr">
        <is>
          <t xml:space="preserve">  射程(m)</t>
        </is>
      </c>
      <c r="D26" s="4" t="n"/>
    </row>
    <row r="27">
      <c r="A27" s="3" t="inlineStr">
        <is>
          <t>攻擊3名稱</t>
        </is>
      </c>
      <c r="B27" s="4" t="inlineStr"/>
      <c r="C27" s="3" t="inlineStr">
        <is>
          <t>類型(近/遠)</t>
        </is>
      </c>
      <c r="D27" s="4" t="n"/>
    </row>
    <row r="28">
      <c r="A28" s="3" t="inlineStr">
        <is>
          <t xml:space="preserve">  傷害骰</t>
        </is>
      </c>
      <c r="B28" s="4" t="inlineStr"/>
      <c r="C28" s="3" t="inlineStr">
        <is>
          <t xml:space="preserve">  射程(m)</t>
        </is>
      </c>
      <c r="D28" s="4" t="n"/>
    </row>
    <row r="29"/>
    <row r="30">
      <c r="A30" s="5" t="inlineStr">
        <is>
          <t>特殊能力</t>
        </is>
      </c>
      <c r="B30" s="16" t="n"/>
      <c r="C30" s="16" t="n"/>
      <c r="D30" s="16" t="n"/>
      <c r="E30" s="16" t="n"/>
      <c r="F30" s="16" t="n"/>
      <c r="G30" s="16" t="n"/>
      <c r="H30" s="17" t="n"/>
    </row>
    <row r="31">
      <c r="A31" s="3" t="inlineStr">
        <is>
          <t>能力描述</t>
        </is>
      </c>
      <c r="B31" s="4" t="n"/>
      <c r="C31" s="8" t="n"/>
      <c r="D31" s="8" t="n"/>
      <c r="E31" s="8" t="n"/>
      <c r="F31" s="8" t="n"/>
      <c r="G31" s="8" t="n"/>
      <c r="H31" s="9" t="n"/>
    </row>
    <row r="32">
      <c r="B32" s="10" t="n"/>
      <c r="H32" s="11" t="n"/>
    </row>
    <row r="33">
      <c r="B33" s="10" t="n"/>
      <c r="H33" s="11" t="n"/>
    </row>
    <row r="34">
      <c r="B34" s="10" t="n"/>
      <c r="H34" s="11" t="n"/>
    </row>
    <row r="35">
      <c r="B35" s="10" t="n"/>
      <c r="H35" s="11" t="n"/>
    </row>
    <row r="36">
      <c r="B36" s="12" t="n"/>
      <c r="C36" s="13" t="n"/>
      <c r="D36" s="13" t="n"/>
      <c r="E36" s="13" t="n"/>
      <c r="F36" s="13" t="n"/>
      <c r="G36" s="13" t="n"/>
      <c r="H36" s="14" t="n"/>
    </row>
    <row r="37"/>
    <row r="38">
      <c r="A38" s="5" t="inlineStr">
        <is>
          <t>戰術 AI 與備註</t>
        </is>
      </c>
      <c r="B38" s="16" t="n"/>
      <c r="C38" s="16" t="n"/>
      <c r="D38" s="16" t="n"/>
      <c r="E38" s="16" t="n"/>
      <c r="F38" s="16" t="n"/>
      <c r="G38" s="16" t="n"/>
      <c r="H38" s="17" t="n"/>
    </row>
    <row r="39">
      <c r="A39" s="3" t="inlineStr">
        <is>
          <t>AI 行為</t>
        </is>
      </c>
      <c r="B39" s="4" t="n"/>
      <c r="C39" s="8" t="n"/>
      <c r="D39" s="8" t="n"/>
      <c r="E39" s="8" t="n"/>
      <c r="F39" s="8" t="n"/>
      <c r="G39" s="8" t="n"/>
      <c r="H39" s="9" t="n"/>
    </row>
    <row r="40">
      <c r="B40" s="10" t="n"/>
      <c r="H40" s="11" t="n"/>
    </row>
    <row r="41">
      <c r="B41" s="12" t="n"/>
      <c r="C41" s="13" t="n"/>
      <c r="D41" s="13" t="n"/>
      <c r="E41" s="13" t="n"/>
      <c r="F41" s="13" t="n"/>
      <c r="G41" s="13" t="n"/>
      <c r="H41" s="14" t="n"/>
    </row>
    <row r="42"/>
    <row r="43">
      <c r="A43" s="3" t="inlineStr">
        <is>
          <t>掉落/情報</t>
        </is>
      </c>
      <c r="B43" s="4" t="n"/>
      <c r="C43" s="8" t="n"/>
      <c r="D43" s="8" t="n"/>
      <c r="E43" s="8" t="n"/>
      <c r="F43" s="8" t="n"/>
      <c r="G43" s="8" t="n"/>
      <c r="H43" s="9" t="n"/>
    </row>
    <row r="44">
      <c r="B44" s="10" t="n"/>
      <c r="H44" s="11" t="n"/>
    </row>
    <row r="45">
      <c r="B45" s="12" t="n"/>
      <c r="C45" s="13" t="n"/>
      <c r="D45" s="13" t="n"/>
      <c r="E45" s="13" t="n"/>
      <c r="F45" s="13" t="n"/>
      <c r="G45" s="13" t="n"/>
      <c r="H45" s="14" t="n"/>
    </row>
    <row r="46"/>
    <row r="47">
      <c r="A47" s="15" t="inlineStr">
        <is>
          <t>登場劇本：A-2「鏽冠的沉默」本體</t>
        </is>
      </c>
    </row>
  </sheetData>
  <mergeCells count="10">
    <mergeCell ref="A12:H12"/>
    <mergeCell ref="A1:H1"/>
    <mergeCell ref="A30:H30"/>
    <mergeCell ref="B39:H41"/>
    <mergeCell ref="B31:H36"/>
    <mergeCell ref="A38:H38"/>
    <mergeCell ref="B43:H45"/>
    <mergeCell ref="A47:H47"/>
    <mergeCell ref="A5:H5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— 敵人: 耳語者(靈能教派領袖)</t>
        </is>
      </c>
      <c r="B1" s="16" t="n"/>
      <c r="C1" s="16" t="n"/>
      <c r="D1" s="16" t="n"/>
      <c r="E1" s="16" t="n"/>
      <c r="F1" s="16" t="n"/>
      <c r="G1" s="16" t="n"/>
      <c r="H1" s="17" t="n"/>
    </row>
    <row r="2"/>
    <row r="3">
      <c r="A3" s="3" t="inlineStr">
        <is>
          <t>名稱</t>
        </is>
      </c>
      <c r="B3" s="4" t="inlineStr">
        <is>
          <t>耳語者(靈能教派領袖)</t>
        </is>
      </c>
      <c r="C3" s="3" t="inlineStr">
        <is>
          <t>挑戰等級（CR）</t>
        </is>
      </c>
      <c r="D3" s="4" t="inlineStr">
        <is>
          <t>2(儀式完成前)/3(後)</t>
        </is>
      </c>
      <c r="E3" s="3" t="inlineStr">
        <is>
          <t>類型</t>
        </is>
      </c>
      <c r="F3" s="4" t="inlineStr">
        <is>
          <t>Psi 3 靈能者</t>
        </is>
      </c>
    </row>
    <row r="4"/>
    <row r="5">
      <c r="A5" s="5" t="inlineStr">
        <is>
          <t>屬性</t>
        </is>
      </c>
      <c r="B5" s="16" t="n"/>
      <c r="C5" s="16" t="n"/>
      <c r="D5" s="16" t="n"/>
      <c r="E5" s="16" t="n"/>
      <c r="F5" s="16" t="n"/>
      <c r="G5" s="16" t="n"/>
      <c r="H5" s="17" t="n"/>
    </row>
    <row r="6">
      <c r="A6" s="3" t="inlineStr">
        <is>
          <t>信仰</t>
        </is>
      </c>
      <c r="B6" s="4" t="n">
        <v>2</v>
      </c>
    </row>
    <row r="7">
      <c r="A7" s="3" t="inlineStr">
        <is>
          <t>體魄</t>
        </is>
      </c>
      <c r="B7" s="4" t="n">
        <v>2</v>
      </c>
    </row>
    <row r="8">
      <c r="A8" s="3" t="inlineStr">
        <is>
          <t>心智</t>
        </is>
      </c>
      <c r="B8" s="4" t="n">
        <v>4</v>
      </c>
    </row>
    <row r="9">
      <c r="A9" s="3" t="inlineStr">
        <is>
          <t>技藝</t>
        </is>
      </c>
      <c r="B9" s="4" t="n">
        <v>3</v>
      </c>
    </row>
    <row r="10">
      <c r="A10" s="3" t="inlineStr">
        <is>
          <t>命運</t>
        </is>
      </c>
      <c r="B10" s="4" t="n">
        <v>3</v>
      </c>
    </row>
    <row r="11"/>
    <row r="12">
      <c r="A12" s="5" t="inlineStr">
        <is>
          <t>戰鬥數據（自動計算）</t>
        </is>
      </c>
      <c r="B12" s="16" t="n"/>
      <c r="C12" s="16" t="n"/>
      <c r="D12" s="16" t="n"/>
      <c r="E12" s="16" t="n"/>
      <c r="F12" s="16" t="n"/>
      <c r="G12" s="16" t="n"/>
      <c r="H12" s="17" t="n"/>
    </row>
    <row r="13">
      <c r="A13" s="3" t="inlineStr">
        <is>
          <t>生命值（HP）</t>
        </is>
      </c>
      <c r="B13" s="7">
        <f>B7*4+5</f>
        <v/>
      </c>
      <c r="C13" s="3" t="inlineStr">
        <is>
          <t>當前 生命值（HP）</t>
        </is>
      </c>
      <c r="D13" s="4" t="n"/>
    </row>
    <row r="14">
      <c r="A14" s="3" t="inlineStr">
        <is>
          <t>防禦值</t>
        </is>
      </c>
      <c r="B14" s="7">
        <f>ROUNDUP(B9/2,0)</f>
        <v/>
      </c>
      <c r="C14" s="3" t="inlineStr">
        <is>
          <t>先攻</t>
        </is>
      </c>
      <c r="D14" s="7">
        <f>B8+B9</f>
        <v/>
      </c>
    </row>
    <row r="15">
      <c r="A15" s="3" t="inlineStr">
        <is>
          <t>速度(格)</t>
        </is>
      </c>
      <c r="B15" s="4" t="n">
        <v>6</v>
      </c>
      <c r="C15" s="3" t="inlineStr">
        <is>
          <t>近戰 目標值（TN）</t>
        </is>
      </c>
      <c r="D15" s="7">
        <f>B7*10</f>
        <v/>
      </c>
    </row>
    <row r="16">
      <c r="A16" s="3" t="inlineStr">
        <is>
          <t>遠程 目標值（TN）</t>
        </is>
      </c>
      <c r="B16" s="7">
        <f>B9*10</f>
        <v/>
      </c>
      <c r="C16" s="3" t="inlineStr">
        <is>
          <t>信仰 目標值（TN）</t>
        </is>
      </c>
      <c r="D16" s="7">
        <f>B6*10</f>
        <v/>
      </c>
    </row>
    <row r="17"/>
    <row r="18">
      <c r="A18" s="3" t="inlineStr">
        <is>
          <t>護甲值（AR） 彈道</t>
        </is>
      </c>
      <c r="B18" s="4" t="n">
        <v>2</v>
      </c>
      <c r="C18" s="3" t="inlineStr">
        <is>
          <t>護甲值（AR） 能量</t>
        </is>
      </c>
      <c r="D18" s="4" t="n">
        <v>2</v>
      </c>
    </row>
    <row r="19">
      <c r="A19" s="3" t="inlineStr">
        <is>
          <t>護甲值（AR） 爆炸</t>
        </is>
      </c>
      <c r="B19" s="4" t="n">
        <v>2</v>
      </c>
      <c r="C19" s="3" t="inlineStr">
        <is>
          <t>護甲值（AR） 撕裂</t>
        </is>
      </c>
      <c r="D19" s="4" t="n">
        <v>2</v>
      </c>
    </row>
    <row r="20">
      <c r="A20" s="3" t="inlineStr">
        <is>
          <t>護甲值（AR） 火焰</t>
        </is>
      </c>
      <c r="B20" s="4" t="n">
        <v>1</v>
      </c>
    </row>
    <row r="21"/>
    <row r="22">
      <c r="A22" s="5" t="inlineStr">
        <is>
          <t>攻擊</t>
        </is>
      </c>
      <c r="B22" s="16" t="n"/>
      <c r="C22" s="16" t="n"/>
      <c r="D22" s="16" t="n"/>
      <c r="E22" s="16" t="n"/>
      <c r="F22" s="16" t="n"/>
      <c r="G22" s="16" t="n"/>
      <c r="H22" s="17" t="n"/>
    </row>
    <row r="23">
      <c r="A23" s="3" t="inlineStr">
        <is>
          <t>攻擊1名稱</t>
        </is>
      </c>
      <c r="B23" s="4" t="inlineStr">
        <is>
          <t>靈能念力衝擊</t>
        </is>
      </c>
      <c r="C23" s="3" t="inlineStr">
        <is>
          <t>類型(近/遠)</t>
        </is>
      </c>
      <c r="D23" s="4" t="n"/>
    </row>
    <row r="24">
      <c r="A24" s="3" t="inlineStr">
        <is>
          <t xml:space="preserve">  傷害骰</t>
        </is>
      </c>
      <c r="B24" s="4" t="inlineStr">
        <is>
          <t>2d8 精神</t>
        </is>
      </c>
      <c r="C24" s="3" t="inlineStr">
        <is>
          <t xml:space="preserve">  射程(m)</t>
        </is>
      </c>
      <c r="D24" s="4" t="n"/>
    </row>
    <row r="25">
      <c r="A25" s="3" t="inlineStr">
        <is>
          <t>攻擊2名稱</t>
        </is>
      </c>
      <c r="B25" s="4" t="inlineStr">
        <is>
          <t>儀式匕首</t>
        </is>
      </c>
      <c r="C25" s="3" t="inlineStr">
        <is>
          <t>類型(近/遠)</t>
        </is>
      </c>
      <c r="D25" s="4" t="n"/>
    </row>
    <row r="26">
      <c r="A26" s="3" t="inlineStr">
        <is>
          <t xml:space="preserve">  傷害骰</t>
        </is>
      </c>
      <c r="B26" s="4" t="inlineStr">
        <is>
          <t>1d6+2 撕裂</t>
        </is>
      </c>
      <c r="C26" s="3" t="inlineStr">
        <is>
          <t xml:space="preserve">  射程(m)</t>
        </is>
      </c>
      <c r="D26" s="4" t="n"/>
    </row>
    <row r="27">
      <c r="A27" s="3" t="inlineStr">
        <is>
          <t>攻擊3名稱</t>
        </is>
      </c>
      <c r="B27" s="4" t="inlineStr"/>
      <c r="C27" s="3" t="inlineStr">
        <is>
          <t>類型(近/遠)</t>
        </is>
      </c>
      <c r="D27" s="4" t="n"/>
    </row>
    <row r="28">
      <c r="A28" s="3" t="inlineStr">
        <is>
          <t xml:space="preserve">  傷害骰</t>
        </is>
      </c>
      <c r="B28" s="4" t="inlineStr"/>
      <c r="C28" s="3" t="inlineStr">
        <is>
          <t xml:space="preserve">  射程(m)</t>
        </is>
      </c>
      <c r="D28" s="4" t="n"/>
    </row>
    <row r="29"/>
    <row r="30">
      <c r="A30" s="5" t="inlineStr">
        <is>
          <t>特殊能力</t>
        </is>
      </c>
      <c r="B30" s="16" t="n"/>
      <c r="C30" s="16" t="n"/>
      <c r="D30" s="16" t="n"/>
      <c r="E30" s="16" t="n"/>
      <c r="F30" s="16" t="n"/>
      <c r="G30" s="16" t="n"/>
      <c r="H30" s="17" t="n"/>
    </row>
    <row r="31">
      <c r="A31" s="3" t="inlineStr">
        <is>
          <t>能力描述</t>
        </is>
      </c>
      <c r="B31" s="4" t="n"/>
      <c r="C31" s="8" t="n"/>
      <c r="D31" s="8" t="n"/>
      <c r="E31" s="8" t="n"/>
      <c r="F31" s="8" t="n"/>
      <c r="G31" s="8" t="n"/>
      <c r="H31" s="9" t="n"/>
    </row>
    <row r="32">
      <c r="B32" s="10" t="n"/>
      <c r="H32" s="11" t="n"/>
    </row>
    <row r="33">
      <c r="B33" s="10" t="n"/>
      <c r="H33" s="11" t="n"/>
    </row>
    <row r="34">
      <c r="B34" s="10" t="n"/>
      <c r="H34" s="11" t="n"/>
    </row>
    <row r="35">
      <c r="B35" s="10" t="n"/>
      <c r="H35" s="11" t="n"/>
    </row>
    <row r="36">
      <c r="B36" s="12" t="n"/>
      <c r="C36" s="13" t="n"/>
      <c r="D36" s="13" t="n"/>
      <c r="E36" s="13" t="n"/>
      <c r="F36" s="13" t="n"/>
      <c r="G36" s="13" t="n"/>
      <c r="H36" s="14" t="n"/>
    </row>
    <row r="37"/>
    <row r="38">
      <c r="A38" s="5" t="inlineStr">
        <is>
          <t>戰術 AI 與備註</t>
        </is>
      </c>
      <c r="B38" s="16" t="n"/>
      <c r="C38" s="16" t="n"/>
      <c r="D38" s="16" t="n"/>
      <c r="E38" s="16" t="n"/>
      <c r="F38" s="16" t="n"/>
      <c r="G38" s="16" t="n"/>
      <c r="H38" s="17" t="n"/>
    </row>
    <row r="39">
      <c r="A39" s="3" t="inlineStr">
        <is>
          <t>AI 行為</t>
        </is>
      </c>
      <c r="B39" s="4" t="n"/>
      <c r="C39" s="8" t="n"/>
      <c r="D39" s="8" t="n"/>
      <c r="E39" s="8" t="n"/>
      <c r="F39" s="8" t="n"/>
      <c r="G39" s="8" t="n"/>
      <c r="H39" s="9" t="n"/>
    </row>
    <row r="40">
      <c r="B40" s="10" t="n"/>
      <c r="H40" s="11" t="n"/>
    </row>
    <row r="41">
      <c r="B41" s="12" t="n"/>
      <c r="C41" s="13" t="n"/>
      <c r="D41" s="13" t="n"/>
      <c r="E41" s="13" t="n"/>
      <c r="F41" s="13" t="n"/>
      <c r="G41" s="13" t="n"/>
      <c r="H41" s="14" t="n"/>
    </row>
    <row r="42"/>
    <row r="43">
      <c r="A43" s="3" t="inlineStr">
        <is>
          <t>掉落/情報</t>
        </is>
      </c>
      <c r="B43" s="4" t="n"/>
      <c r="C43" s="8" t="n"/>
      <c r="D43" s="8" t="n"/>
      <c r="E43" s="8" t="n"/>
      <c r="F43" s="8" t="n"/>
      <c r="G43" s="8" t="n"/>
      <c r="H43" s="9" t="n"/>
    </row>
    <row r="44">
      <c r="B44" s="10" t="n"/>
      <c r="H44" s="11" t="n"/>
    </row>
    <row r="45">
      <c r="B45" s="12" t="n"/>
      <c r="C45" s="13" t="n"/>
      <c r="D45" s="13" t="n"/>
      <c r="E45" s="13" t="n"/>
      <c r="F45" s="13" t="n"/>
      <c r="G45" s="13" t="n"/>
      <c r="H45" s="14" t="n"/>
    </row>
    <row r="46"/>
    <row r="47">
      <c r="A47" s="15" t="inlineStr">
        <is>
          <t>登場劇本：A-3「骨堆的低語」Boss</t>
        </is>
      </c>
    </row>
  </sheetData>
  <mergeCells count="10">
    <mergeCell ref="A12:H12"/>
    <mergeCell ref="A1:H1"/>
    <mergeCell ref="A30:H30"/>
    <mergeCell ref="B39:H41"/>
    <mergeCell ref="B31:H36"/>
    <mergeCell ref="A38:H38"/>
    <mergeCell ref="B43:H45"/>
    <mergeCell ref="A47:H47"/>
    <mergeCell ref="A5:H5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— 敵人: 變異巨獸(深巢)</t>
        </is>
      </c>
      <c r="B1" s="16" t="n"/>
      <c r="C1" s="16" t="n"/>
      <c r="D1" s="16" t="n"/>
      <c r="E1" s="16" t="n"/>
      <c r="F1" s="16" t="n"/>
      <c r="G1" s="16" t="n"/>
      <c r="H1" s="17" t="n"/>
    </row>
    <row r="2"/>
    <row r="3">
      <c r="A3" s="3" t="inlineStr">
        <is>
          <t>名稱</t>
        </is>
      </c>
      <c r="B3" s="4" t="inlineStr">
        <is>
          <t>變異巨獸(深巢)</t>
        </is>
      </c>
      <c r="C3" s="3" t="inlineStr">
        <is>
          <t>挑戰等級（CR）</t>
        </is>
      </c>
      <c r="D3" s="4" t="inlineStr">
        <is>
          <t>3</t>
        </is>
      </c>
      <c r="E3" s="3" t="inlineStr">
        <is>
          <t>類型</t>
        </is>
      </c>
      <c r="F3" s="4" t="inlineStr">
        <is>
          <t>大型變異體</t>
        </is>
      </c>
    </row>
    <row r="4"/>
    <row r="5">
      <c r="A5" s="5" t="inlineStr">
        <is>
          <t>屬性</t>
        </is>
      </c>
      <c r="B5" s="16" t="n"/>
      <c r="C5" s="16" t="n"/>
      <c r="D5" s="16" t="n"/>
      <c r="E5" s="16" t="n"/>
      <c r="F5" s="16" t="n"/>
      <c r="G5" s="16" t="n"/>
      <c r="H5" s="17" t="n"/>
    </row>
    <row r="6">
      <c r="A6" s="3" t="inlineStr">
        <is>
          <t>信仰</t>
        </is>
      </c>
      <c r="B6" s="4" t="n">
        <v>0</v>
      </c>
    </row>
    <row r="7">
      <c r="A7" s="3" t="inlineStr">
        <is>
          <t>體魄</t>
        </is>
      </c>
      <c r="B7" s="4" t="n">
        <v>5</v>
      </c>
    </row>
    <row r="8">
      <c r="A8" s="3" t="inlineStr">
        <is>
          <t>心智</t>
        </is>
      </c>
      <c r="B8" s="4" t="n">
        <v>1</v>
      </c>
    </row>
    <row r="9">
      <c r="A9" s="3" t="inlineStr">
        <is>
          <t>技藝</t>
        </is>
      </c>
      <c r="B9" s="4" t="n">
        <v>2</v>
      </c>
    </row>
    <row r="10">
      <c r="A10" s="3" t="inlineStr">
        <is>
          <t>命運</t>
        </is>
      </c>
      <c r="B10" s="4" t="n">
        <v>1</v>
      </c>
    </row>
    <row r="11"/>
    <row r="12">
      <c r="A12" s="5" t="inlineStr">
        <is>
          <t>戰鬥數據（自動計算）</t>
        </is>
      </c>
      <c r="B12" s="16" t="n"/>
      <c r="C12" s="16" t="n"/>
      <c r="D12" s="16" t="n"/>
      <c r="E12" s="16" t="n"/>
      <c r="F12" s="16" t="n"/>
      <c r="G12" s="16" t="n"/>
      <c r="H12" s="17" t="n"/>
    </row>
    <row r="13">
      <c r="A13" s="3" t="inlineStr">
        <is>
          <t>生命值（HP）</t>
        </is>
      </c>
      <c r="B13" s="7">
        <f>B7*4+5</f>
        <v/>
      </c>
      <c r="C13" s="3" t="inlineStr">
        <is>
          <t>當前 生命值（HP）</t>
        </is>
      </c>
      <c r="D13" s="4" t="n"/>
    </row>
    <row r="14">
      <c r="A14" s="3" t="inlineStr">
        <is>
          <t>防禦值</t>
        </is>
      </c>
      <c r="B14" s="7">
        <f>ROUNDUP(B9/2,0)</f>
        <v/>
      </c>
      <c r="C14" s="3" t="inlineStr">
        <is>
          <t>先攻</t>
        </is>
      </c>
      <c r="D14" s="7">
        <f>B8+B9</f>
        <v/>
      </c>
    </row>
    <row r="15">
      <c r="A15" s="3" t="inlineStr">
        <is>
          <t>速度(格)</t>
        </is>
      </c>
      <c r="B15" s="4" t="n">
        <v>5</v>
      </c>
      <c r="C15" s="3" t="inlineStr">
        <is>
          <t>近戰 目標值（TN）</t>
        </is>
      </c>
      <c r="D15" s="7">
        <f>B7*10</f>
        <v/>
      </c>
    </row>
    <row r="16">
      <c r="A16" s="3" t="inlineStr">
        <is>
          <t>遠程 目標值（TN）</t>
        </is>
      </c>
      <c r="B16" s="7">
        <f>B9*10</f>
        <v/>
      </c>
      <c r="C16" s="3" t="inlineStr">
        <is>
          <t>信仰 目標值（TN）</t>
        </is>
      </c>
      <c r="D16" s="7">
        <f>B6*10</f>
        <v/>
      </c>
    </row>
    <row r="17"/>
    <row r="18">
      <c r="A18" s="3" t="inlineStr">
        <is>
          <t>護甲值（AR） 彈道</t>
        </is>
      </c>
      <c r="B18" s="4" t="n">
        <v>5</v>
      </c>
      <c r="C18" s="3" t="inlineStr">
        <is>
          <t>護甲值（AR） 能量</t>
        </is>
      </c>
      <c r="D18" s="4" t="n">
        <v>3</v>
      </c>
    </row>
    <row r="19">
      <c r="A19" s="3" t="inlineStr">
        <is>
          <t>護甲值（AR） 爆炸</t>
        </is>
      </c>
      <c r="B19" s="4" t="n">
        <v>6</v>
      </c>
      <c r="C19" s="3" t="inlineStr">
        <is>
          <t>護甲值（AR） 撕裂</t>
        </is>
      </c>
      <c r="D19" s="4" t="n">
        <v>6</v>
      </c>
    </row>
    <row r="20">
      <c r="A20" s="3" t="inlineStr">
        <is>
          <t>護甲值（AR） 火焰</t>
        </is>
      </c>
      <c r="B20" s="4" t="n">
        <v>4</v>
      </c>
    </row>
    <row r="21"/>
    <row r="22">
      <c r="A22" s="5" t="inlineStr">
        <is>
          <t>攻擊</t>
        </is>
      </c>
      <c r="B22" s="16" t="n"/>
      <c r="C22" s="16" t="n"/>
      <c r="D22" s="16" t="n"/>
      <c r="E22" s="16" t="n"/>
      <c r="F22" s="16" t="n"/>
      <c r="G22" s="16" t="n"/>
      <c r="H22" s="17" t="n"/>
    </row>
    <row r="23">
      <c r="A23" s="3" t="inlineStr">
        <is>
          <t>攻擊1名稱</t>
        </is>
      </c>
      <c r="B23" s="4" t="inlineStr">
        <is>
          <t>巨爪</t>
        </is>
      </c>
      <c r="C23" s="3" t="inlineStr">
        <is>
          <t>類型(近/遠)</t>
        </is>
      </c>
      <c r="D23" s="4" t="n"/>
    </row>
    <row r="24">
      <c r="A24" s="3" t="inlineStr">
        <is>
          <t xml:space="preserve">  傷害骰</t>
        </is>
      </c>
      <c r="B24" s="4" t="inlineStr">
        <is>
          <t>1d12+5 撕裂</t>
        </is>
      </c>
      <c r="C24" s="3" t="inlineStr">
        <is>
          <t xml:space="preserve">  射程(m)</t>
        </is>
      </c>
      <c r="D24" s="4" t="n"/>
    </row>
    <row r="25">
      <c r="A25" s="3" t="inlineStr">
        <is>
          <t>攻擊2名稱</t>
        </is>
      </c>
      <c r="B25" s="4" t="inlineStr">
        <is>
          <t>尾鞭</t>
        </is>
      </c>
      <c r="C25" s="3" t="inlineStr">
        <is>
          <t>類型(近/遠)</t>
        </is>
      </c>
      <c r="D25" s="4" t="n"/>
    </row>
    <row r="26">
      <c r="A26" s="3" t="inlineStr">
        <is>
          <t xml:space="preserve">  傷害骰</t>
        </is>
      </c>
      <c r="B26" s="4" t="inlineStr">
        <is>
          <t>1d10+5 撕裂(範圍3m)</t>
        </is>
      </c>
      <c r="C26" s="3" t="inlineStr">
        <is>
          <t xml:space="preserve">  射程(m)</t>
        </is>
      </c>
      <c r="D26" s="4" t="n"/>
    </row>
    <row r="27">
      <c r="A27" s="3" t="inlineStr">
        <is>
          <t>攻擊3名稱</t>
        </is>
      </c>
      <c r="B27" s="4" t="inlineStr"/>
      <c r="C27" s="3" t="inlineStr">
        <is>
          <t>類型(近/遠)</t>
        </is>
      </c>
      <c r="D27" s="4" t="n"/>
    </row>
    <row r="28">
      <c r="A28" s="3" t="inlineStr">
        <is>
          <t xml:space="preserve">  傷害骰</t>
        </is>
      </c>
      <c r="B28" s="4" t="inlineStr"/>
      <c r="C28" s="3" t="inlineStr">
        <is>
          <t xml:space="preserve">  射程(m)</t>
        </is>
      </c>
      <c r="D28" s="4" t="n"/>
    </row>
    <row r="29"/>
    <row r="30">
      <c r="A30" s="5" t="inlineStr">
        <is>
          <t>特殊能力</t>
        </is>
      </c>
      <c r="B30" s="16" t="n"/>
      <c r="C30" s="16" t="n"/>
      <c r="D30" s="16" t="n"/>
      <c r="E30" s="16" t="n"/>
      <c r="F30" s="16" t="n"/>
      <c r="G30" s="16" t="n"/>
      <c r="H30" s="17" t="n"/>
    </row>
    <row r="31">
      <c r="A31" s="3" t="inlineStr">
        <is>
          <t>能力描述</t>
        </is>
      </c>
      <c r="B31" s="4" t="n"/>
      <c r="C31" s="8" t="n"/>
      <c r="D31" s="8" t="n"/>
      <c r="E31" s="8" t="n"/>
      <c r="F31" s="8" t="n"/>
      <c r="G31" s="8" t="n"/>
      <c r="H31" s="9" t="n"/>
    </row>
    <row r="32">
      <c r="B32" s="10" t="n"/>
      <c r="H32" s="11" t="n"/>
    </row>
    <row r="33">
      <c r="B33" s="10" t="n"/>
      <c r="H33" s="11" t="n"/>
    </row>
    <row r="34">
      <c r="B34" s="10" t="n"/>
      <c r="H34" s="11" t="n"/>
    </row>
    <row r="35">
      <c r="B35" s="10" t="n"/>
      <c r="H35" s="11" t="n"/>
    </row>
    <row r="36">
      <c r="B36" s="12" t="n"/>
      <c r="C36" s="13" t="n"/>
      <c r="D36" s="13" t="n"/>
      <c r="E36" s="13" t="n"/>
      <c r="F36" s="13" t="n"/>
      <c r="G36" s="13" t="n"/>
      <c r="H36" s="14" t="n"/>
    </row>
    <row r="37"/>
    <row r="38">
      <c r="A38" s="5" t="inlineStr">
        <is>
          <t>戰術 AI 與備註</t>
        </is>
      </c>
      <c r="B38" s="16" t="n"/>
      <c r="C38" s="16" t="n"/>
      <c r="D38" s="16" t="n"/>
      <c r="E38" s="16" t="n"/>
      <c r="F38" s="16" t="n"/>
      <c r="G38" s="16" t="n"/>
      <c r="H38" s="17" t="n"/>
    </row>
    <row r="39">
      <c r="A39" s="3" t="inlineStr">
        <is>
          <t>AI 行為</t>
        </is>
      </c>
      <c r="B39" s="4" t="n"/>
      <c r="C39" s="8" t="n"/>
      <c r="D39" s="8" t="n"/>
      <c r="E39" s="8" t="n"/>
      <c r="F39" s="8" t="n"/>
      <c r="G39" s="8" t="n"/>
      <c r="H39" s="9" t="n"/>
    </row>
    <row r="40">
      <c r="B40" s="10" t="n"/>
      <c r="H40" s="11" t="n"/>
    </row>
    <row r="41">
      <c r="B41" s="12" t="n"/>
      <c r="C41" s="13" t="n"/>
      <c r="D41" s="13" t="n"/>
      <c r="E41" s="13" t="n"/>
      <c r="F41" s="13" t="n"/>
      <c r="G41" s="13" t="n"/>
      <c r="H41" s="14" t="n"/>
    </row>
    <row r="42"/>
    <row r="43">
      <c r="A43" s="3" t="inlineStr">
        <is>
          <t>掉落/情報</t>
        </is>
      </c>
      <c r="B43" s="4" t="n"/>
      <c r="C43" s="8" t="n"/>
      <c r="D43" s="8" t="n"/>
      <c r="E43" s="8" t="n"/>
      <c r="F43" s="8" t="n"/>
      <c r="G43" s="8" t="n"/>
      <c r="H43" s="9" t="n"/>
    </row>
    <row r="44">
      <c r="B44" s="10" t="n"/>
      <c r="H44" s="11" t="n"/>
    </row>
    <row r="45">
      <c r="B45" s="12" t="n"/>
      <c r="C45" s="13" t="n"/>
      <c r="D45" s="13" t="n"/>
      <c r="E45" s="13" t="n"/>
      <c r="F45" s="13" t="n"/>
      <c r="G45" s="13" t="n"/>
      <c r="H45" s="14" t="n"/>
    </row>
    <row r="46"/>
    <row r="47">
      <c r="A47" s="15" t="inlineStr">
        <is>
          <t>登場劇本：A-4「深巢的聖物」神殿守衛</t>
        </is>
      </c>
    </row>
  </sheetData>
  <mergeCells count="10">
    <mergeCell ref="A12:H12"/>
    <mergeCell ref="A1:H1"/>
    <mergeCell ref="A30:H30"/>
    <mergeCell ref="B39:H41"/>
    <mergeCell ref="B31:H36"/>
    <mergeCell ref="A38:H38"/>
    <mergeCell ref="B43:H45"/>
    <mergeCell ref="A47:H47"/>
    <mergeCell ref="A5:H5"/>
    <mergeCell ref="A22:H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— 敵人: 審判庭突擊兵</t>
        </is>
      </c>
      <c r="B1" s="16" t="n"/>
      <c r="C1" s="16" t="n"/>
      <c r="D1" s="16" t="n"/>
      <c r="E1" s="16" t="n"/>
      <c r="F1" s="16" t="n"/>
      <c r="G1" s="16" t="n"/>
      <c r="H1" s="17" t="n"/>
    </row>
    <row r="2"/>
    <row r="3">
      <c r="A3" s="3" t="inlineStr">
        <is>
          <t>名稱</t>
        </is>
      </c>
      <c r="B3" s="4" t="inlineStr">
        <is>
          <t>審判庭突擊兵</t>
        </is>
      </c>
      <c r="C3" s="3" t="inlineStr">
        <is>
          <t>挑戰等級（CR）</t>
        </is>
      </c>
      <c r="D3" s="4" t="inlineStr">
        <is>
          <t>1</t>
        </is>
      </c>
      <c r="E3" s="3" t="inlineStr">
        <is>
          <t>類型</t>
        </is>
      </c>
      <c r="F3" s="4" t="inlineStr">
        <is>
          <t>精英士兵</t>
        </is>
      </c>
    </row>
    <row r="4"/>
    <row r="5">
      <c r="A5" s="5" t="inlineStr">
        <is>
          <t>屬性</t>
        </is>
      </c>
      <c r="B5" s="16" t="n"/>
      <c r="C5" s="16" t="n"/>
      <c r="D5" s="16" t="n"/>
      <c r="E5" s="16" t="n"/>
      <c r="F5" s="16" t="n"/>
      <c r="G5" s="16" t="n"/>
      <c r="H5" s="17" t="n"/>
    </row>
    <row r="6">
      <c r="A6" s="3" t="inlineStr">
        <is>
          <t>信仰</t>
        </is>
      </c>
      <c r="B6" s="4" t="n">
        <v>3</v>
      </c>
    </row>
    <row r="7">
      <c r="A7" s="3" t="inlineStr">
        <is>
          <t>體魄</t>
        </is>
      </c>
      <c r="B7" s="4" t="n">
        <v>3</v>
      </c>
    </row>
    <row r="8">
      <c r="A8" s="3" t="inlineStr">
        <is>
          <t>心智</t>
        </is>
      </c>
      <c r="B8" s="4" t="n">
        <v>3</v>
      </c>
    </row>
    <row r="9">
      <c r="A9" s="3" t="inlineStr">
        <is>
          <t>技藝</t>
        </is>
      </c>
      <c r="B9" s="4" t="n">
        <v>4</v>
      </c>
    </row>
    <row r="10">
      <c r="A10" s="3" t="inlineStr">
        <is>
          <t>命運</t>
        </is>
      </c>
      <c r="B10" s="4" t="n">
        <v>2</v>
      </c>
    </row>
    <row r="11"/>
    <row r="12">
      <c r="A12" s="5" t="inlineStr">
        <is>
          <t>戰鬥數據（自動計算）</t>
        </is>
      </c>
      <c r="B12" s="16" t="n"/>
      <c r="C12" s="16" t="n"/>
      <c r="D12" s="16" t="n"/>
      <c r="E12" s="16" t="n"/>
      <c r="F12" s="16" t="n"/>
      <c r="G12" s="16" t="n"/>
      <c r="H12" s="17" t="n"/>
    </row>
    <row r="13">
      <c r="A13" s="3" t="inlineStr">
        <is>
          <t>生命值（HP）</t>
        </is>
      </c>
      <c r="B13" s="7">
        <f>B7*4+5</f>
        <v/>
      </c>
      <c r="C13" s="3" t="inlineStr">
        <is>
          <t>當前 生命值（HP）</t>
        </is>
      </c>
      <c r="D13" s="4" t="n"/>
    </row>
    <row r="14">
      <c r="A14" s="3" t="inlineStr">
        <is>
          <t>防禦值</t>
        </is>
      </c>
      <c r="B14" s="7">
        <f>ROUNDUP(B9/2,0)</f>
        <v/>
      </c>
      <c r="C14" s="3" t="inlineStr">
        <is>
          <t>先攻</t>
        </is>
      </c>
      <c r="D14" s="7">
        <f>B8+B9</f>
        <v/>
      </c>
    </row>
    <row r="15">
      <c r="A15" s="3" t="inlineStr">
        <is>
          <t>速度(格)</t>
        </is>
      </c>
      <c r="B15" s="4" t="n">
        <v>6</v>
      </c>
      <c r="C15" s="3" t="inlineStr">
        <is>
          <t>近戰 目標值（TN）</t>
        </is>
      </c>
      <c r="D15" s="7">
        <f>B7*10</f>
        <v/>
      </c>
    </row>
    <row r="16">
      <c r="A16" s="3" t="inlineStr">
        <is>
          <t>遠程 目標值（TN）</t>
        </is>
      </c>
      <c r="B16" s="7">
        <f>B9*10</f>
        <v/>
      </c>
      <c r="C16" s="3" t="inlineStr">
        <is>
          <t>信仰 目標值（TN）</t>
        </is>
      </c>
      <c r="D16" s="7">
        <f>B6*10</f>
        <v/>
      </c>
    </row>
    <row r="17"/>
    <row r="18">
      <c r="A18" s="3" t="inlineStr">
        <is>
          <t>護甲值（AR） 彈道</t>
        </is>
      </c>
      <c r="B18" s="4" t="n">
        <v>4</v>
      </c>
      <c r="C18" s="3" t="inlineStr">
        <is>
          <t>護甲值（AR） 能量</t>
        </is>
      </c>
      <c r="D18" s="4" t="n">
        <v>3</v>
      </c>
    </row>
    <row r="19">
      <c r="A19" s="3" t="inlineStr">
        <is>
          <t>護甲值（AR） 爆炸</t>
        </is>
      </c>
      <c r="B19" s="4" t="n">
        <v>4</v>
      </c>
      <c r="C19" s="3" t="inlineStr">
        <is>
          <t>護甲值（AR） 撕裂</t>
        </is>
      </c>
      <c r="D19" s="4" t="n">
        <v>3</v>
      </c>
    </row>
    <row r="20">
      <c r="A20" s="3" t="inlineStr">
        <is>
          <t>護甲值（AR） 火焰</t>
        </is>
      </c>
      <c r="B20" s="4" t="n">
        <v>2</v>
      </c>
    </row>
    <row r="21"/>
    <row r="22">
      <c r="A22" s="5" t="inlineStr">
        <is>
          <t>攻擊</t>
        </is>
      </c>
      <c r="B22" s="16" t="n"/>
      <c r="C22" s="16" t="n"/>
      <c r="D22" s="16" t="n"/>
      <c r="E22" s="16" t="n"/>
      <c r="F22" s="16" t="n"/>
      <c r="G22" s="16" t="n"/>
      <c r="H22" s="17" t="n"/>
    </row>
    <row r="23">
      <c r="A23" s="3" t="inlineStr">
        <is>
          <t>攻擊1名稱</t>
        </is>
      </c>
      <c r="B23" s="4" t="inlineStr">
        <is>
          <t>雷射槍</t>
        </is>
      </c>
      <c r="C23" s="3" t="inlineStr">
        <is>
          <t>類型(近/遠)</t>
        </is>
      </c>
      <c r="D23" s="4" t="n"/>
    </row>
    <row r="24">
      <c r="A24" s="3" t="inlineStr">
        <is>
          <t xml:space="preserve">  傷害骰</t>
        </is>
      </c>
      <c r="B24" s="4" t="inlineStr">
        <is>
          <t>1d8+1 能量</t>
        </is>
      </c>
      <c r="C24" s="3" t="inlineStr">
        <is>
          <t xml:space="preserve">  射程(m)</t>
        </is>
      </c>
      <c r="D24" s="4" t="n"/>
    </row>
    <row r="25">
      <c r="A25" s="3" t="inlineStr">
        <is>
          <t>攻擊2名稱</t>
        </is>
      </c>
      <c r="B25" s="4" t="inlineStr">
        <is>
          <t>戰鬥刀</t>
        </is>
      </c>
      <c r="C25" s="3" t="inlineStr">
        <is>
          <t>類型(近/遠)</t>
        </is>
      </c>
      <c r="D25" s="4" t="n"/>
    </row>
    <row r="26">
      <c r="A26" s="3" t="inlineStr">
        <is>
          <t xml:space="preserve">  傷害骰</t>
        </is>
      </c>
      <c r="B26" s="4" t="inlineStr">
        <is>
          <t>1d4+3 彈道</t>
        </is>
      </c>
      <c r="C26" s="3" t="inlineStr">
        <is>
          <t xml:space="preserve">  射程(m)</t>
        </is>
      </c>
      <c r="D26" s="4" t="n"/>
    </row>
    <row r="27">
      <c r="A27" s="3" t="inlineStr">
        <is>
          <t>攻擊3名稱</t>
        </is>
      </c>
      <c r="B27" s="4" t="inlineStr"/>
      <c r="C27" s="3" t="inlineStr">
        <is>
          <t>類型(近/遠)</t>
        </is>
      </c>
      <c r="D27" s="4" t="n"/>
    </row>
    <row r="28">
      <c r="A28" s="3" t="inlineStr">
        <is>
          <t xml:space="preserve">  傷害骰</t>
        </is>
      </c>
      <c r="B28" s="4" t="inlineStr"/>
      <c r="C28" s="3" t="inlineStr">
        <is>
          <t xml:space="preserve">  射程(m)</t>
        </is>
      </c>
      <c r="D28" s="4" t="n"/>
    </row>
    <row r="29"/>
    <row r="30">
      <c r="A30" s="5" t="inlineStr">
        <is>
          <t>特殊能力</t>
        </is>
      </c>
      <c r="B30" s="16" t="n"/>
      <c r="C30" s="16" t="n"/>
      <c r="D30" s="16" t="n"/>
      <c r="E30" s="16" t="n"/>
      <c r="F30" s="16" t="n"/>
      <c r="G30" s="16" t="n"/>
      <c r="H30" s="17" t="n"/>
    </row>
    <row r="31">
      <c r="A31" s="3" t="inlineStr">
        <is>
          <t>能力描述</t>
        </is>
      </c>
      <c r="B31" s="4" t="n"/>
      <c r="C31" s="8" t="n"/>
      <c r="D31" s="8" t="n"/>
      <c r="E31" s="8" t="n"/>
      <c r="F31" s="8" t="n"/>
      <c r="G31" s="8" t="n"/>
      <c r="H31" s="9" t="n"/>
    </row>
    <row r="32">
      <c r="B32" s="10" t="n"/>
      <c r="H32" s="11" t="n"/>
    </row>
    <row r="33">
      <c r="B33" s="10" t="n"/>
      <c r="H33" s="11" t="n"/>
    </row>
    <row r="34">
      <c r="B34" s="10" t="n"/>
      <c r="H34" s="11" t="n"/>
    </row>
    <row r="35">
      <c r="B35" s="10" t="n"/>
      <c r="H35" s="11" t="n"/>
    </row>
    <row r="36">
      <c r="B36" s="12" t="n"/>
      <c r="C36" s="13" t="n"/>
      <c r="D36" s="13" t="n"/>
      <c r="E36" s="13" t="n"/>
      <c r="F36" s="13" t="n"/>
      <c r="G36" s="13" t="n"/>
      <c r="H36" s="14" t="n"/>
    </row>
    <row r="37"/>
    <row r="38">
      <c r="A38" s="5" t="inlineStr">
        <is>
          <t>戰術 AI 與備註</t>
        </is>
      </c>
      <c r="B38" s="16" t="n"/>
      <c r="C38" s="16" t="n"/>
      <c r="D38" s="16" t="n"/>
      <c r="E38" s="16" t="n"/>
      <c r="F38" s="16" t="n"/>
      <c r="G38" s="16" t="n"/>
      <c r="H38" s="17" t="n"/>
    </row>
    <row r="39">
      <c r="A39" s="3" t="inlineStr">
        <is>
          <t>AI 行為</t>
        </is>
      </c>
      <c r="B39" s="4" t="n"/>
      <c r="C39" s="8" t="n"/>
      <c r="D39" s="8" t="n"/>
      <c r="E39" s="8" t="n"/>
      <c r="F39" s="8" t="n"/>
      <c r="G39" s="8" t="n"/>
      <c r="H39" s="9" t="n"/>
    </row>
    <row r="40">
      <c r="B40" s="10" t="n"/>
      <c r="H40" s="11" t="n"/>
    </row>
    <row r="41">
      <c r="B41" s="12" t="n"/>
      <c r="C41" s="13" t="n"/>
      <c r="D41" s="13" t="n"/>
      <c r="E41" s="13" t="n"/>
      <c r="F41" s="13" t="n"/>
      <c r="G41" s="13" t="n"/>
      <c r="H41" s="14" t="n"/>
    </row>
    <row r="42"/>
    <row r="43">
      <c r="A43" s="3" t="inlineStr">
        <is>
          <t>掉落/情報</t>
        </is>
      </c>
      <c r="B43" s="4" t="n"/>
      <c r="C43" s="8" t="n"/>
      <c r="D43" s="8" t="n"/>
      <c r="E43" s="8" t="n"/>
      <c r="F43" s="8" t="n"/>
      <c r="G43" s="8" t="n"/>
      <c r="H43" s="9" t="n"/>
    </row>
    <row r="44">
      <c r="B44" s="10" t="n"/>
      <c r="H44" s="11" t="n"/>
    </row>
    <row r="45">
      <c r="B45" s="12" t="n"/>
      <c r="C45" s="13" t="n"/>
      <c r="D45" s="13" t="n"/>
      <c r="E45" s="13" t="n"/>
      <c r="F45" s="13" t="n"/>
      <c r="G45" s="13" t="n"/>
      <c r="H45" s="14" t="n"/>
    </row>
    <row r="46"/>
    <row r="47">
      <c r="A47" s="15" t="inlineStr">
        <is>
          <t>登場劇本：A-4「深巢的聖物」監視小隊(×3)</t>
        </is>
      </c>
    </row>
  </sheetData>
  <mergeCells count="10">
    <mergeCell ref="A12:H12"/>
    <mergeCell ref="A1:H1"/>
    <mergeCell ref="A30:H30"/>
    <mergeCell ref="B39:H41"/>
    <mergeCell ref="B31:H36"/>
    <mergeCell ref="A38:H38"/>
    <mergeCell ref="B43:H45"/>
    <mergeCell ref="A47:H47"/>
    <mergeCell ref="A5:H5"/>
    <mergeCell ref="A22:H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— 敵人: 變異贖罪者馬庫斯</t>
        </is>
      </c>
      <c r="B1" s="16" t="n"/>
      <c r="C1" s="16" t="n"/>
      <c r="D1" s="16" t="n"/>
      <c r="E1" s="16" t="n"/>
      <c r="F1" s="16" t="n"/>
      <c r="G1" s="16" t="n"/>
      <c r="H1" s="17" t="n"/>
    </row>
    <row r="2"/>
    <row r="3">
      <c r="A3" s="3" t="inlineStr">
        <is>
          <t>名稱</t>
        </is>
      </c>
      <c r="B3" s="4" t="inlineStr">
        <is>
          <t>變異贖罪者馬庫斯</t>
        </is>
      </c>
      <c r="C3" s="3" t="inlineStr">
        <is>
          <t>挑戰等級（CR）</t>
        </is>
      </c>
      <c r="D3" s="4" t="inlineStr">
        <is>
          <t>2(強化)</t>
        </is>
      </c>
      <c r="E3" s="3" t="inlineStr">
        <is>
          <t>類型</t>
        </is>
      </c>
      <c r="F3" s="4" t="inlineStr">
        <is>
          <t>墮落前贖罪者/變異體暴君</t>
        </is>
      </c>
    </row>
    <row r="4"/>
    <row r="5">
      <c r="A5" s="5" t="inlineStr">
        <is>
          <t>屬性</t>
        </is>
      </c>
      <c r="B5" s="16" t="n"/>
      <c r="C5" s="16" t="n"/>
      <c r="D5" s="16" t="n"/>
      <c r="E5" s="16" t="n"/>
      <c r="F5" s="16" t="n"/>
      <c r="G5" s="16" t="n"/>
      <c r="H5" s="17" t="n"/>
    </row>
    <row r="6">
      <c r="A6" s="3" t="inlineStr">
        <is>
          <t>信仰</t>
        </is>
      </c>
      <c r="B6" s="4" t="n">
        <v>0</v>
      </c>
    </row>
    <row r="7">
      <c r="A7" s="3" t="inlineStr">
        <is>
          <t>體魄</t>
        </is>
      </c>
      <c r="B7" s="4" t="n">
        <v>4</v>
      </c>
    </row>
    <row r="8">
      <c r="A8" s="3" t="inlineStr">
        <is>
          <t>心智</t>
        </is>
      </c>
      <c r="B8" s="4" t="n">
        <v>2</v>
      </c>
    </row>
    <row r="9">
      <c r="A9" s="3" t="inlineStr">
        <is>
          <t>技藝</t>
        </is>
      </c>
      <c r="B9" s="4" t="n">
        <v>3</v>
      </c>
    </row>
    <row r="10">
      <c r="A10" s="3" t="inlineStr">
        <is>
          <t>命運</t>
        </is>
      </c>
      <c r="B10" s="4" t="n">
        <v>1</v>
      </c>
    </row>
    <row r="11"/>
    <row r="12">
      <c r="A12" s="5" t="inlineStr">
        <is>
          <t>戰鬥數據（自動計算）</t>
        </is>
      </c>
      <c r="B12" s="16" t="n"/>
      <c r="C12" s="16" t="n"/>
      <c r="D12" s="16" t="n"/>
      <c r="E12" s="16" t="n"/>
      <c r="F12" s="16" t="n"/>
      <c r="G12" s="16" t="n"/>
      <c r="H12" s="17" t="n"/>
    </row>
    <row r="13">
      <c r="A13" s="3" t="inlineStr">
        <is>
          <t>生命值（HP）</t>
        </is>
      </c>
      <c r="B13" s="7">
        <f>B7*4+5</f>
        <v/>
      </c>
      <c r="C13" s="3" t="inlineStr">
        <is>
          <t>當前 生命值（HP）</t>
        </is>
      </c>
      <c r="D13" s="4" t="n"/>
    </row>
    <row r="14">
      <c r="A14" s="3" t="inlineStr">
        <is>
          <t>防禦值</t>
        </is>
      </c>
      <c r="B14" s="7">
        <f>ROUNDUP(B9/2,0)</f>
        <v/>
      </c>
      <c r="C14" s="3" t="inlineStr">
        <is>
          <t>先攻</t>
        </is>
      </c>
      <c r="D14" s="7">
        <f>B8+B9</f>
        <v/>
      </c>
    </row>
    <row r="15">
      <c r="A15" s="3" t="inlineStr">
        <is>
          <t>速度(格)</t>
        </is>
      </c>
      <c r="B15" s="4" t="n">
        <v>6</v>
      </c>
      <c r="C15" s="3" t="inlineStr">
        <is>
          <t>近戰 目標值（TN）</t>
        </is>
      </c>
      <c r="D15" s="7">
        <f>B7*10</f>
        <v/>
      </c>
    </row>
    <row r="16">
      <c r="A16" s="3" t="inlineStr">
        <is>
          <t>遠程 目標值（TN）</t>
        </is>
      </c>
      <c r="B16" s="7">
        <f>B9*10</f>
        <v/>
      </c>
      <c r="C16" s="3" t="inlineStr">
        <is>
          <t>信仰 目標值（TN）</t>
        </is>
      </c>
      <c r="D16" s="7">
        <f>B6*10</f>
        <v/>
      </c>
    </row>
    <row r="17"/>
    <row r="18">
      <c r="A18" s="3" t="inlineStr">
        <is>
          <t>護甲值（AR） 彈道</t>
        </is>
      </c>
      <c r="B18" s="4" t="n">
        <v>4</v>
      </c>
      <c r="C18" s="3" t="inlineStr">
        <is>
          <t>護甲值（AR） 能量</t>
        </is>
      </c>
      <c r="D18" s="4" t="n">
        <v>3</v>
      </c>
    </row>
    <row r="19">
      <c r="A19" s="3" t="inlineStr">
        <is>
          <t>護甲值（AR） 爆炸</t>
        </is>
      </c>
      <c r="B19" s="4" t="n">
        <v>5</v>
      </c>
      <c r="C19" s="3" t="inlineStr">
        <is>
          <t>護甲值（AR） 撕裂</t>
        </is>
      </c>
      <c r="D19" s="4" t="n">
        <v>5</v>
      </c>
    </row>
    <row r="20">
      <c r="A20" s="3" t="inlineStr">
        <is>
          <t>護甲值（AR） 火焰</t>
        </is>
      </c>
      <c r="B20" s="4" t="n">
        <v>4</v>
      </c>
    </row>
    <row r="21"/>
    <row r="22">
      <c r="A22" s="5" t="inlineStr">
        <is>
          <t>攻擊</t>
        </is>
      </c>
      <c r="B22" s="16" t="n"/>
      <c r="C22" s="16" t="n"/>
      <c r="D22" s="16" t="n"/>
      <c r="E22" s="16" t="n"/>
      <c r="F22" s="16" t="n"/>
      <c r="G22" s="16" t="n"/>
      <c r="H22" s="17" t="n"/>
    </row>
    <row r="23">
      <c r="A23" s="3" t="inlineStr">
        <is>
          <t>攻擊1名稱</t>
        </is>
      </c>
      <c r="B23" s="4" t="inlineStr">
        <is>
          <t>巨爪</t>
        </is>
      </c>
      <c r="C23" s="3" t="inlineStr">
        <is>
          <t>類型(近/遠)</t>
        </is>
      </c>
      <c r="D23" s="4" t="n"/>
    </row>
    <row r="24">
      <c r="A24" s="3" t="inlineStr">
        <is>
          <t xml:space="preserve">  傷害骰</t>
        </is>
      </c>
      <c r="B24" s="4" t="inlineStr">
        <is>
          <t>1d12+4 撕裂</t>
        </is>
      </c>
      <c r="C24" s="3" t="inlineStr">
        <is>
          <t xml:space="preserve">  射程(m)</t>
        </is>
      </c>
      <c r="D24" s="4" t="n"/>
    </row>
    <row r="25">
      <c r="A25" s="3" t="inlineStr">
        <is>
          <t>攻擊2名稱</t>
        </is>
      </c>
      <c r="B25" s="4" t="inlineStr">
        <is>
          <t>腐蝕哀號</t>
        </is>
      </c>
      <c r="C25" s="3" t="inlineStr">
        <is>
          <t>類型(近/遠)</t>
        </is>
      </c>
      <c r="D25" s="4" t="n"/>
    </row>
    <row r="26">
      <c r="A26" s="3" t="inlineStr">
        <is>
          <t xml:space="preserve">  傷害骰</t>
        </is>
      </c>
      <c r="B26" s="4" t="inlineStr">
        <is>
          <t>2d6 腐蝕(護甲值（AR）-2)</t>
        </is>
      </c>
      <c r="C26" s="3" t="inlineStr">
        <is>
          <t xml:space="preserve">  射程(m)</t>
        </is>
      </c>
      <c r="D26" s="4" t="n"/>
    </row>
    <row r="27">
      <c r="A27" s="3" t="inlineStr">
        <is>
          <t>攻擊3名稱</t>
        </is>
      </c>
      <c r="B27" s="4" t="inlineStr"/>
      <c r="C27" s="3" t="inlineStr">
        <is>
          <t>類型(近/遠)</t>
        </is>
      </c>
      <c r="D27" s="4" t="n"/>
    </row>
    <row r="28">
      <c r="A28" s="3" t="inlineStr">
        <is>
          <t xml:space="preserve">  傷害骰</t>
        </is>
      </c>
      <c r="B28" s="4" t="inlineStr"/>
      <c r="C28" s="3" t="inlineStr">
        <is>
          <t xml:space="preserve">  射程(m)</t>
        </is>
      </c>
      <c r="D28" s="4" t="n"/>
    </row>
    <row r="29"/>
    <row r="30">
      <c r="A30" s="5" t="inlineStr">
        <is>
          <t>特殊能力</t>
        </is>
      </c>
      <c r="B30" s="16" t="n"/>
      <c r="C30" s="16" t="n"/>
      <c r="D30" s="16" t="n"/>
      <c r="E30" s="16" t="n"/>
      <c r="F30" s="16" t="n"/>
      <c r="G30" s="16" t="n"/>
      <c r="H30" s="17" t="n"/>
    </row>
    <row r="31">
      <c r="A31" s="3" t="inlineStr">
        <is>
          <t>能力描述</t>
        </is>
      </c>
      <c r="B31" s="4" t="n"/>
      <c r="C31" s="8" t="n"/>
      <c r="D31" s="8" t="n"/>
      <c r="E31" s="8" t="n"/>
      <c r="F31" s="8" t="n"/>
      <c r="G31" s="8" t="n"/>
      <c r="H31" s="9" t="n"/>
    </row>
    <row r="32">
      <c r="B32" s="10" t="n"/>
      <c r="H32" s="11" t="n"/>
    </row>
    <row r="33">
      <c r="B33" s="10" t="n"/>
      <c r="H33" s="11" t="n"/>
    </row>
    <row r="34">
      <c r="B34" s="10" t="n"/>
      <c r="H34" s="11" t="n"/>
    </row>
    <row r="35">
      <c r="B35" s="10" t="n"/>
      <c r="H35" s="11" t="n"/>
    </row>
    <row r="36">
      <c r="B36" s="12" t="n"/>
      <c r="C36" s="13" t="n"/>
      <c r="D36" s="13" t="n"/>
      <c r="E36" s="13" t="n"/>
      <c r="F36" s="13" t="n"/>
      <c r="G36" s="13" t="n"/>
      <c r="H36" s="14" t="n"/>
    </row>
    <row r="37"/>
    <row r="38">
      <c r="A38" s="5" t="inlineStr">
        <is>
          <t>戰術 AI 與備註</t>
        </is>
      </c>
      <c r="B38" s="16" t="n"/>
      <c r="C38" s="16" t="n"/>
      <c r="D38" s="16" t="n"/>
      <c r="E38" s="16" t="n"/>
      <c r="F38" s="16" t="n"/>
      <c r="G38" s="16" t="n"/>
      <c r="H38" s="17" t="n"/>
    </row>
    <row r="39">
      <c r="A39" s="3" t="inlineStr">
        <is>
          <t>AI 行為</t>
        </is>
      </c>
      <c r="B39" s="4" t="n"/>
      <c r="C39" s="8" t="n"/>
      <c r="D39" s="8" t="n"/>
      <c r="E39" s="8" t="n"/>
      <c r="F39" s="8" t="n"/>
      <c r="G39" s="8" t="n"/>
      <c r="H39" s="9" t="n"/>
    </row>
    <row r="40">
      <c r="B40" s="10" t="n"/>
      <c r="H40" s="11" t="n"/>
    </row>
    <row r="41">
      <c r="B41" s="12" t="n"/>
      <c r="C41" s="13" t="n"/>
      <c r="D41" s="13" t="n"/>
      <c r="E41" s="13" t="n"/>
      <c r="F41" s="13" t="n"/>
      <c r="G41" s="13" t="n"/>
      <c r="H41" s="14" t="n"/>
    </row>
    <row r="42"/>
    <row r="43">
      <c r="A43" s="3" t="inlineStr">
        <is>
          <t>掉落/情報</t>
        </is>
      </c>
      <c r="B43" s="4" t="n"/>
      <c r="C43" s="8" t="n"/>
      <c r="D43" s="8" t="n"/>
      <c r="E43" s="8" t="n"/>
      <c r="F43" s="8" t="n"/>
      <c r="G43" s="8" t="n"/>
      <c r="H43" s="9" t="n"/>
    </row>
    <row r="44">
      <c r="B44" s="10" t="n"/>
      <c r="H44" s="11" t="n"/>
    </row>
    <row r="45">
      <c r="B45" s="12" t="n"/>
      <c r="C45" s="13" t="n"/>
      <c r="D45" s="13" t="n"/>
      <c r="E45" s="13" t="n"/>
      <c r="F45" s="13" t="n"/>
      <c r="G45" s="13" t="n"/>
      <c r="H45" s="14" t="n"/>
    </row>
    <row r="46"/>
    <row r="47">
      <c r="A47" s="15" t="inlineStr">
        <is>
          <t>登場劇本：A-5「黑色碼頭的最後禱告」可對話Boss</t>
        </is>
      </c>
    </row>
  </sheetData>
  <mergeCells count="10">
    <mergeCell ref="A12:H12"/>
    <mergeCell ref="A1:H1"/>
    <mergeCell ref="A30:H30"/>
    <mergeCell ref="B39:H41"/>
    <mergeCell ref="B31:H36"/>
    <mergeCell ref="A38:H38"/>
    <mergeCell ref="B43:H45"/>
    <mergeCell ref="A47:H47"/>
    <mergeCell ref="A5:H5"/>
    <mergeCell ref="A22:H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— 敵人: 扭曲機魂(防禦砲塔)</t>
        </is>
      </c>
      <c r="B1" s="16" t="n"/>
      <c r="C1" s="16" t="n"/>
      <c r="D1" s="16" t="n"/>
      <c r="E1" s="16" t="n"/>
      <c r="F1" s="16" t="n"/>
      <c r="G1" s="16" t="n"/>
      <c r="H1" s="17" t="n"/>
    </row>
    <row r="2"/>
    <row r="3">
      <c r="A3" s="3" t="inlineStr">
        <is>
          <t>名稱</t>
        </is>
      </c>
      <c r="B3" s="4" t="inlineStr">
        <is>
          <t>扭曲機魂(防禦砲塔)</t>
        </is>
      </c>
      <c r="C3" s="3" t="inlineStr">
        <is>
          <t>挑戰等級（CR）</t>
        </is>
      </c>
      <c r="D3" s="4" t="inlineStr">
        <is>
          <t>1</t>
        </is>
      </c>
      <c r="E3" s="3" t="inlineStr">
        <is>
          <t>類型</t>
        </is>
      </c>
      <c r="F3" s="4" t="inlineStr">
        <is>
          <t>機械/亞空間汙染</t>
        </is>
      </c>
    </row>
    <row r="4"/>
    <row r="5">
      <c r="A5" s="5" t="inlineStr">
        <is>
          <t>屬性</t>
        </is>
      </c>
      <c r="B5" s="16" t="n"/>
      <c r="C5" s="16" t="n"/>
      <c r="D5" s="16" t="n"/>
      <c r="E5" s="16" t="n"/>
      <c r="F5" s="16" t="n"/>
      <c r="G5" s="16" t="n"/>
      <c r="H5" s="17" t="n"/>
    </row>
    <row r="6">
      <c r="A6" s="3" t="inlineStr">
        <is>
          <t>信仰</t>
        </is>
      </c>
      <c r="B6" s="4" t="n">
        <v>0</v>
      </c>
    </row>
    <row r="7">
      <c r="A7" s="3" t="inlineStr">
        <is>
          <t>體魄</t>
        </is>
      </c>
      <c r="B7" s="4" t="n">
        <v>3</v>
      </c>
    </row>
    <row r="8">
      <c r="A8" s="3" t="inlineStr">
        <is>
          <t>心智</t>
        </is>
      </c>
      <c r="B8" s="4" t="n">
        <v>0</v>
      </c>
    </row>
    <row r="9">
      <c r="A9" s="3" t="inlineStr">
        <is>
          <t>技藝</t>
        </is>
      </c>
      <c r="B9" s="4" t="n">
        <v>3</v>
      </c>
    </row>
    <row r="10">
      <c r="A10" s="3" t="inlineStr">
        <is>
          <t>命運</t>
        </is>
      </c>
      <c r="B10" s="4" t="n">
        <v>0</v>
      </c>
    </row>
    <row r="11"/>
    <row r="12">
      <c r="A12" s="5" t="inlineStr">
        <is>
          <t>戰鬥數據（自動計算）</t>
        </is>
      </c>
      <c r="B12" s="16" t="n"/>
      <c r="C12" s="16" t="n"/>
      <c r="D12" s="16" t="n"/>
      <c r="E12" s="16" t="n"/>
      <c r="F12" s="16" t="n"/>
      <c r="G12" s="16" t="n"/>
      <c r="H12" s="17" t="n"/>
    </row>
    <row r="13">
      <c r="A13" s="3" t="inlineStr">
        <is>
          <t>生命值（HP）</t>
        </is>
      </c>
      <c r="B13" s="7">
        <f>B7*4+5</f>
        <v/>
      </c>
      <c r="C13" s="3" t="inlineStr">
        <is>
          <t>當前 生命值（HP）</t>
        </is>
      </c>
      <c r="D13" s="4" t="n"/>
    </row>
    <row r="14">
      <c r="A14" s="3" t="inlineStr">
        <is>
          <t>防禦值</t>
        </is>
      </c>
      <c r="B14" s="7">
        <f>ROUNDUP(B9/2,0)</f>
        <v/>
      </c>
      <c r="C14" s="3" t="inlineStr">
        <is>
          <t>先攻</t>
        </is>
      </c>
      <c r="D14" s="7">
        <f>B8+B9</f>
        <v/>
      </c>
    </row>
    <row r="15">
      <c r="A15" s="3" t="inlineStr">
        <is>
          <t>速度(格)</t>
        </is>
      </c>
      <c r="B15" s="4" t="n">
        <v>0</v>
      </c>
      <c r="C15" s="3" t="inlineStr">
        <is>
          <t>近戰 目標值（TN）</t>
        </is>
      </c>
      <c r="D15" s="7">
        <f>B7*10</f>
        <v/>
      </c>
    </row>
    <row r="16">
      <c r="A16" s="3" t="inlineStr">
        <is>
          <t>遠程 目標值（TN）</t>
        </is>
      </c>
      <c r="B16" s="7">
        <f>B9*10</f>
        <v/>
      </c>
      <c r="C16" s="3" t="inlineStr">
        <is>
          <t>信仰 目標值（TN）</t>
        </is>
      </c>
      <c r="D16" s="7">
        <f>B6*10</f>
        <v/>
      </c>
    </row>
    <row r="17"/>
    <row r="18">
      <c r="A18" s="3" t="inlineStr">
        <is>
          <t>護甲值（AR） 彈道</t>
        </is>
      </c>
      <c r="B18" s="4" t="n">
        <v>5</v>
      </c>
      <c r="C18" s="3" t="inlineStr">
        <is>
          <t>護甲值（AR） 能量</t>
        </is>
      </c>
      <c r="D18" s="4" t="n">
        <v>4</v>
      </c>
    </row>
    <row r="19">
      <c r="A19" s="3" t="inlineStr">
        <is>
          <t>護甲值（AR） 爆炸</t>
        </is>
      </c>
      <c r="B19" s="4" t="n">
        <v>5</v>
      </c>
      <c r="C19" s="3" t="inlineStr">
        <is>
          <t>護甲值（AR） 撕裂</t>
        </is>
      </c>
      <c r="D19" s="4" t="n">
        <v>4</v>
      </c>
    </row>
    <row r="20">
      <c r="A20" s="3" t="inlineStr">
        <is>
          <t>護甲值（AR） 火焰</t>
        </is>
      </c>
      <c r="B20" s="4" t="n">
        <v>3</v>
      </c>
    </row>
    <row r="21"/>
    <row r="22">
      <c r="A22" s="5" t="inlineStr">
        <is>
          <t>攻擊</t>
        </is>
      </c>
      <c r="B22" s="16" t="n"/>
      <c r="C22" s="16" t="n"/>
      <c r="D22" s="16" t="n"/>
      <c r="E22" s="16" t="n"/>
      <c r="F22" s="16" t="n"/>
      <c r="G22" s="16" t="n"/>
      <c r="H22" s="17" t="n"/>
    </row>
    <row r="23">
      <c r="A23" s="3" t="inlineStr">
        <is>
          <t>攻擊1名稱</t>
        </is>
      </c>
      <c r="B23" s="4" t="inlineStr">
        <is>
          <t>自動砲火</t>
        </is>
      </c>
      <c r="C23" s="3" t="inlineStr">
        <is>
          <t>類型(近/遠)</t>
        </is>
      </c>
      <c r="D23" s="4" t="n"/>
    </row>
    <row r="24">
      <c r="A24" s="3" t="inlineStr">
        <is>
          <t xml:space="preserve">  傷害骰</t>
        </is>
      </c>
      <c r="B24" s="4" t="inlineStr">
        <is>
          <t>2d6 彈道</t>
        </is>
      </c>
      <c r="C24" s="3" t="inlineStr">
        <is>
          <t xml:space="preserve">  射程(m)</t>
        </is>
      </c>
      <c r="D24" s="4" t="n"/>
    </row>
    <row r="25">
      <c r="A25" s="3" t="inlineStr">
        <is>
          <t>攻擊2名稱</t>
        </is>
      </c>
      <c r="B25" s="4" t="inlineStr">
        <is>
          <t>過載放電</t>
        </is>
      </c>
      <c r="C25" s="3" t="inlineStr">
        <is>
          <t>類型(近/遠)</t>
        </is>
      </c>
      <c r="D25" s="4" t="n"/>
    </row>
    <row r="26">
      <c r="A26" s="3" t="inlineStr">
        <is>
          <t xml:space="preserve">  傷害骰</t>
        </is>
      </c>
      <c r="B26" s="4" t="inlineStr">
        <is>
          <t>2d8 能量(3m範圍)</t>
        </is>
      </c>
      <c r="C26" s="3" t="inlineStr">
        <is>
          <t xml:space="preserve">  射程(m)</t>
        </is>
      </c>
      <c r="D26" s="4" t="n"/>
    </row>
    <row r="27">
      <c r="A27" s="3" t="inlineStr">
        <is>
          <t>攻擊3名稱</t>
        </is>
      </c>
      <c r="B27" s="4" t="inlineStr"/>
      <c r="C27" s="3" t="inlineStr">
        <is>
          <t>類型(近/遠)</t>
        </is>
      </c>
      <c r="D27" s="4" t="n"/>
    </row>
    <row r="28">
      <c r="A28" s="3" t="inlineStr">
        <is>
          <t xml:space="preserve">  傷害骰</t>
        </is>
      </c>
      <c r="B28" s="4" t="inlineStr"/>
      <c r="C28" s="3" t="inlineStr">
        <is>
          <t xml:space="preserve">  射程(m)</t>
        </is>
      </c>
      <c r="D28" s="4" t="n"/>
    </row>
    <row r="29"/>
    <row r="30">
      <c r="A30" s="5" t="inlineStr">
        <is>
          <t>特殊能力</t>
        </is>
      </c>
      <c r="B30" s="16" t="n"/>
      <c r="C30" s="16" t="n"/>
      <c r="D30" s="16" t="n"/>
      <c r="E30" s="16" t="n"/>
      <c r="F30" s="16" t="n"/>
      <c r="G30" s="16" t="n"/>
      <c r="H30" s="17" t="n"/>
    </row>
    <row r="31">
      <c r="A31" s="3" t="inlineStr">
        <is>
          <t>能力描述</t>
        </is>
      </c>
      <c r="B31" s="4" t="n"/>
      <c r="C31" s="8" t="n"/>
      <c r="D31" s="8" t="n"/>
      <c r="E31" s="8" t="n"/>
      <c r="F31" s="8" t="n"/>
      <c r="G31" s="8" t="n"/>
      <c r="H31" s="9" t="n"/>
    </row>
    <row r="32">
      <c r="B32" s="10" t="n"/>
      <c r="H32" s="11" t="n"/>
    </row>
    <row r="33">
      <c r="B33" s="10" t="n"/>
      <c r="H33" s="11" t="n"/>
    </row>
    <row r="34">
      <c r="B34" s="10" t="n"/>
      <c r="H34" s="11" t="n"/>
    </row>
    <row r="35">
      <c r="B35" s="10" t="n"/>
      <c r="H35" s="11" t="n"/>
    </row>
    <row r="36">
      <c r="B36" s="12" t="n"/>
      <c r="C36" s="13" t="n"/>
      <c r="D36" s="13" t="n"/>
      <c r="E36" s="13" t="n"/>
      <c r="F36" s="13" t="n"/>
      <c r="G36" s="13" t="n"/>
      <c r="H36" s="14" t="n"/>
    </row>
    <row r="37"/>
    <row r="38">
      <c r="A38" s="5" t="inlineStr">
        <is>
          <t>戰術 AI 與備註</t>
        </is>
      </c>
      <c r="B38" s="16" t="n"/>
      <c r="C38" s="16" t="n"/>
      <c r="D38" s="16" t="n"/>
      <c r="E38" s="16" t="n"/>
      <c r="F38" s="16" t="n"/>
      <c r="G38" s="16" t="n"/>
      <c r="H38" s="17" t="n"/>
    </row>
    <row r="39">
      <c r="A39" s="3" t="inlineStr">
        <is>
          <t>AI 行為</t>
        </is>
      </c>
      <c r="B39" s="4" t="n"/>
      <c r="C39" s="8" t="n"/>
      <c r="D39" s="8" t="n"/>
      <c r="E39" s="8" t="n"/>
      <c r="F39" s="8" t="n"/>
      <c r="G39" s="8" t="n"/>
      <c r="H39" s="9" t="n"/>
    </row>
    <row r="40">
      <c r="B40" s="10" t="n"/>
      <c r="H40" s="11" t="n"/>
    </row>
    <row r="41">
      <c r="B41" s="12" t="n"/>
      <c r="C41" s="13" t="n"/>
      <c r="D41" s="13" t="n"/>
      <c r="E41" s="13" t="n"/>
      <c r="F41" s="13" t="n"/>
      <c r="G41" s="13" t="n"/>
      <c r="H41" s="14" t="n"/>
    </row>
    <row r="42"/>
    <row r="43">
      <c r="A43" s="3" t="inlineStr">
        <is>
          <t>掉落/情報</t>
        </is>
      </c>
      <c r="B43" s="4" t="n"/>
      <c r="C43" s="8" t="n"/>
      <c r="D43" s="8" t="n"/>
      <c r="E43" s="8" t="n"/>
      <c r="F43" s="8" t="n"/>
      <c r="G43" s="8" t="n"/>
      <c r="H43" s="9" t="n"/>
    </row>
    <row r="44">
      <c r="B44" s="10" t="n"/>
      <c r="H44" s="11" t="n"/>
    </row>
    <row r="45">
      <c r="B45" s="12" t="n"/>
      <c r="C45" s="13" t="n"/>
      <c r="D45" s="13" t="n"/>
      <c r="E45" s="13" t="n"/>
      <c r="F45" s="13" t="n"/>
      <c r="G45" s="13" t="n"/>
      <c r="H45" s="14" t="n"/>
    </row>
    <row r="46"/>
    <row r="47">
      <c r="A47" s="15" t="inlineStr">
        <is>
          <t>登場劇本：B-3「抉擇的廢墟」機械教設施防禦系統</t>
        </is>
      </c>
    </row>
  </sheetData>
  <mergeCells count="10">
    <mergeCell ref="A12:H12"/>
    <mergeCell ref="A1:H1"/>
    <mergeCell ref="A30:H30"/>
    <mergeCell ref="B39:H41"/>
    <mergeCell ref="B31:H36"/>
    <mergeCell ref="A38:H38"/>
    <mergeCell ref="B43:H45"/>
    <mergeCell ref="A47:H47"/>
    <mergeCell ref="A5:H5"/>
    <mergeCell ref="A22:H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帝國棄子 TRPG — 敵人: 混沌星際戰士(終局)</t>
        </is>
      </c>
      <c r="B1" s="16" t="n"/>
      <c r="C1" s="16" t="n"/>
      <c r="D1" s="16" t="n"/>
      <c r="E1" s="16" t="n"/>
      <c r="F1" s="16" t="n"/>
      <c r="G1" s="16" t="n"/>
      <c r="H1" s="17" t="n"/>
    </row>
    <row r="2"/>
    <row r="3">
      <c r="A3" s="3" t="inlineStr">
        <is>
          <t>名稱</t>
        </is>
      </c>
      <c r="B3" s="4" t="inlineStr">
        <is>
          <t>混沌星際戰士(終局)</t>
        </is>
      </c>
      <c r="C3" s="3" t="inlineStr">
        <is>
          <t>挑戰等級（CR）</t>
        </is>
      </c>
      <c r="D3" s="4" t="inlineStr">
        <is>
          <t>4</t>
        </is>
      </c>
      <c r="E3" s="3" t="inlineStr">
        <is>
          <t>類型</t>
        </is>
      </c>
      <c r="F3" s="4" t="inlineStr">
        <is>
          <t>混沌阿斯塔特</t>
        </is>
      </c>
    </row>
    <row r="4"/>
    <row r="5">
      <c r="A5" s="5" t="inlineStr">
        <is>
          <t>屬性</t>
        </is>
      </c>
      <c r="B5" s="16" t="n"/>
      <c r="C5" s="16" t="n"/>
      <c r="D5" s="16" t="n"/>
      <c r="E5" s="16" t="n"/>
      <c r="F5" s="16" t="n"/>
      <c r="G5" s="16" t="n"/>
      <c r="H5" s="17" t="n"/>
    </row>
    <row r="6">
      <c r="A6" s="3" t="inlineStr">
        <is>
          <t>信仰</t>
        </is>
      </c>
      <c r="B6" s="4" t="n">
        <v>3</v>
      </c>
    </row>
    <row r="7">
      <c r="A7" s="3" t="inlineStr">
        <is>
          <t>體魄</t>
        </is>
      </c>
      <c r="B7" s="4" t="n">
        <v>5</v>
      </c>
    </row>
    <row r="8">
      <c r="A8" s="3" t="inlineStr">
        <is>
          <t>心智</t>
        </is>
      </c>
      <c r="B8" s="4" t="n">
        <v>3</v>
      </c>
    </row>
    <row r="9">
      <c r="A9" s="3" t="inlineStr">
        <is>
          <t>技藝</t>
        </is>
      </c>
      <c r="B9" s="4" t="n">
        <v>4</v>
      </c>
    </row>
    <row r="10">
      <c r="A10" s="3" t="inlineStr">
        <is>
          <t>命運</t>
        </is>
      </c>
      <c r="B10" s="4" t="n">
        <v>3</v>
      </c>
    </row>
    <row r="11"/>
    <row r="12">
      <c r="A12" s="5" t="inlineStr">
        <is>
          <t>戰鬥數據（自動計算）</t>
        </is>
      </c>
      <c r="B12" s="16" t="n"/>
      <c r="C12" s="16" t="n"/>
      <c r="D12" s="16" t="n"/>
      <c r="E12" s="16" t="n"/>
      <c r="F12" s="16" t="n"/>
      <c r="G12" s="16" t="n"/>
      <c r="H12" s="17" t="n"/>
    </row>
    <row r="13">
      <c r="A13" s="3" t="inlineStr">
        <is>
          <t>生命值（HP）</t>
        </is>
      </c>
      <c r="B13" s="7">
        <f>B7*4+5</f>
        <v/>
      </c>
      <c r="C13" s="3" t="inlineStr">
        <is>
          <t>當前 生命值（HP）</t>
        </is>
      </c>
      <c r="D13" s="4" t="n"/>
    </row>
    <row r="14">
      <c r="A14" s="3" t="inlineStr">
        <is>
          <t>防禦值</t>
        </is>
      </c>
      <c r="B14" s="7">
        <f>ROUNDUP(B9/2,0)</f>
        <v/>
      </c>
      <c r="C14" s="3" t="inlineStr">
        <is>
          <t>先攻</t>
        </is>
      </c>
      <c r="D14" s="7">
        <f>B8+B9</f>
        <v/>
      </c>
    </row>
    <row r="15">
      <c r="A15" s="3" t="inlineStr">
        <is>
          <t>速度(格)</t>
        </is>
      </c>
      <c r="B15" s="4" t="n">
        <v>8</v>
      </c>
      <c r="C15" s="3" t="inlineStr">
        <is>
          <t>近戰 目標值（TN）</t>
        </is>
      </c>
      <c r="D15" s="7">
        <f>B7*10</f>
        <v/>
      </c>
    </row>
    <row r="16">
      <c r="A16" s="3" t="inlineStr">
        <is>
          <t>遠程 目標值（TN）</t>
        </is>
      </c>
      <c r="B16" s="7">
        <f>B9*10</f>
        <v/>
      </c>
      <c r="C16" s="3" t="inlineStr">
        <is>
          <t>信仰 目標值（TN）</t>
        </is>
      </c>
      <c r="D16" s="7">
        <f>B6*10</f>
        <v/>
      </c>
    </row>
    <row r="17"/>
    <row r="18">
      <c r="A18" s="3" t="inlineStr">
        <is>
          <t>護甲值（AR） 彈道</t>
        </is>
      </c>
      <c r="B18" s="4" t="n">
        <v>7</v>
      </c>
      <c r="C18" s="3" t="inlineStr">
        <is>
          <t>護甲值（AR） 能量</t>
        </is>
      </c>
      <c r="D18" s="4" t="n">
        <v>5</v>
      </c>
    </row>
    <row r="19">
      <c r="A19" s="3" t="inlineStr">
        <is>
          <t>護甲值（AR） 爆炸</t>
        </is>
      </c>
      <c r="B19" s="4" t="n">
        <v>7</v>
      </c>
      <c r="C19" s="3" t="inlineStr">
        <is>
          <t>護甲值（AR） 撕裂</t>
        </is>
      </c>
      <c r="D19" s="4" t="n">
        <v>6</v>
      </c>
    </row>
    <row r="20">
      <c r="A20" s="3" t="inlineStr">
        <is>
          <t>護甲值（AR） 火焰</t>
        </is>
      </c>
      <c r="B20" s="4" t="n">
        <v>4</v>
      </c>
    </row>
    <row r="21"/>
    <row r="22">
      <c r="A22" s="5" t="inlineStr">
        <is>
          <t>攻擊</t>
        </is>
      </c>
      <c r="B22" s="16" t="n"/>
      <c r="C22" s="16" t="n"/>
      <c r="D22" s="16" t="n"/>
      <c r="E22" s="16" t="n"/>
      <c r="F22" s="16" t="n"/>
      <c r="G22" s="16" t="n"/>
      <c r="H22" s="17" t="n"/>
    </row>
    <row r="23">
      <c r="A23" s="3" t="inlineStr">
        <is>
          <t>攻擊1名稱</t>
        </is>
      </c>
      <c r="B23" s="4" t="inlineStr">
        <is>
          <t>爆彈槍</t>
        </is>
      </c>
      <c r="C23" s="3" t="inlineStr">
        <is>
          <t>類型(近/遠)</t>
        </is>
      </c>
      <c r="D23" s="4" t="n"/>
    </row>
    <row r="24">
      <c r="A24" s="3" t="inlineStr">
        <is>
          <t xml:space="preserve">  傷害骰</t>
        </is>
      </c>
      <c r="B24" s="4" t="inlineStr">
        <is>
          <t>2d10+2 彈道+爆炸</t>
        </is>
      </c>
      <c r="C24" s="3" t="inlineStr">
        <is>
          <t xml:space="preserve">  射程(m)</t>
        </is>
      </c>
      <c r="D24" s="4" t="n"/>
    </row>
    <row r="25">
      <c r="A25" s="3" t="inlineStr">
        <is>
          <t>攻擊2名稱</t>
        </is>
      </c>
      <c r="B25" s="4" t="inlineStr">
        <is>
          <t>鏈鋸斧</t>
        </is>
      </c>
      <c r="C25" s="3" t="inlineStr">
        <is>
          <t>類型(近/遠)</t>
        </is>
      </c>
      <c r="D25" s="4" t="n"/>
    </row>
    <row r="26">
      <c r="A26" s="3" t="inlineStr">
        <is>
          <t xml:space="preserve">  傷害骰</t>
        </is>
      </c>
      <c r="B26" s="4" t="inlineStr">
        <is>
          <t>2d10+5 撕裂</t>
        </is>
      </c>
      <c r="C26" s="3" t="inlineStr">
        <is>
          <t xml:space="preserve">  射程(m)</t>
        </is>
      </c>
      <c r="D26" s="4" t="n"/>
    </row>
    <row r="27">
      <c r="A27" s="3" t="inlineStr">
        <is>
          <t>攻擊3名稱</t>
        </is>
      </c>
      <c r="B27" s="4" t="inlineStr"/>
      <c r="C27" s="3" t="inlineStr">
        <is>
          <t>類型(近/遠)</t>
        </is>
      </c>
      <c r="D27" s="4" t="n"/>
    </row>
    <row r="28">
      <c r="A28" s="3" t="inlineStr">
        <is>
          <t xml:space="preserve">  傷害骰</t>
        </is>
      </c>
      <c r="B28" s="4" t="inlineStr"/>
      <c r="C28" s="3" t="inlineStr">
        <is>
          <t xml:space="preserve">  射程(m)</t>
        </is>
      </c>
      <c r="D28" s="4" t="n"/>
    </row>
    <row r="29"/>
    <row r="30">
      <c r="A30" s="5" t="inlineStr">
        <is>
          <t>特殊能力</t>
        </is>
      </c>
      <c r="B30" s="16" t="n"/>
      <c r="C30" s="16" t="n"/>
      <c r="D30" s="16" t="n"/>
      <c r="E30" s="16" t="n"/>
      <c r="F30" s="16" t="n"/>
      <c r="G30" s="16" t="n"/>
      <c r="H30" s="17" t="n"/>
    </row>
    <row r="31">
      <c r="A31" s="3" t="inlineStr">
        <is>
          <t>能力描述</t>
        </is>
      </c>
      <c r="B31" s="4" t="n"/>
      <c r="C31" s="8" t="n"/>
      <c r="D31" s="8" t="n"/>
      <c r="E31" s="8" t="n"/>
      <c r="F31" s="8" t="n"/>
      <c r="G31" s="8" t="n"/>
      <c r="H31" s="9" t="n"/>
    </row>
    <row r="32">
      <c r="B32" s="10" t="n"/>
      <c r="H32" s="11" t="n"/>
    </row>
    <row r="33">
      <c r="B33" s="10" t="n"/>
      <c r="H33" s="11" t="n"/>
    </row>
    <row r="34">
      <c r="B34" s="10" t="n"/>
      <c r="H34" s="11" t="n"/>
    </row>
    <row r="35">
      <c r="B35" s="10" t="n"/>
      <c r="H35" s="11" t="n"/>
    </row>
    <row r="36">
      <c r="B36" s="12" t="n"/>
      <c r="C36" s="13" t="n"/>
      <c r="D36" s="13" t="n"/>
      <c r="E36" s="13" t="n"/>
      <c r="F36" s="13" t="n"/>
      <c r="G36" s="13" t="n"/>
      <c r="H36" s="14" t="n"/>
    </row>
    <row r="37"/>
    <row r="38">
      <c r="A38" s="5" t="inlineStr">
        <is>
          <t>戰術 AI 與備註</t>
        </is>
      </c>
      <c r="B38" s="16" t="n"/>
      <c r="C38" s="16" t="n"/>
      <c r="D38" s="16" t="n"/>
      <c r="E38" s="16" t="n"/>
      <c r="F38" s="16" t="n"/>
      <c r="G38" s="16" t="n"/>
      <c r="H38" s="17" t="n"/>
    </row>
    <row r="39">
      <c r="A39" s="3" t="inlineStr">
        <is>
          <t>AI 行為</t>
        </is>
      </c>
      <c r="B39" s="4" t="n"/>
      <c r="C39" s="8" t="n"/>
      <c r="D39" s="8" t="n"/>
      <c r="E39" s="8" t="n"/>
      <c r="F39" s="8" t="n"/>
      <c r="G39" s="8" t="n"/>
      <c r="H39" s="9" t="n"/>
    </row>
    <row r="40">
      <c r="B40" s="10" t="n"/>
      <c r="H40" s="11" t="n"/>
    </row>
    <row r="41">
      <c r="B41" s="12" t="n"/>
      <c r="C41" s="13" t="n"/>
      <c r="D41" s="13" t="n"/>
      <c r="E41" s="13" t="n"/>
      <c r="F41" s="13" t="n"/>
      <c r="G41" s="13" t="n"/>
      <c r="H41" s="14" t="n"/>
    </row>
    <row r="42"/>
    <row r="43">
      <c r="A43" s="3" t="inlineStr">
        <is>
          <t>掉落/情報</t>
        </is>
      </c>
      <c r="B43" s="4" t="n"/>
      <c r="C43" s="8" t="n"/>
      <c r="D43" s="8" t="n"/>
      <c r="E43" s="8" t="n"/>
      <c r="F43" s="8" t="n"/>
      <c r="G43" s="8" t="n"/>
      <c r="H43" s="9" t="n"/>
    </row>
    <row r="44">
      <c r="B44" s="10" t="n"/>
      <c r="H44" s="11" t="n"/>
    </row>
    <row r="45">
      <c r="B45" s="12" t="n"/>
      <c r="C45" s="13" t="n"/>
      <c r="D45" s="13" t="n"/>
      <c r="E45" s="13" t="n"/>
      <c r="F45" s="13" t="n"/>
      <c r="G45" s="13" t="n"/>
      <c r="H45" s="14" t="n"/>
    </row>
    <row r="46"/>
    <row r="47">
      <c r="A47" s="15" t="inlineStr">
        <is>
          <t>登場劇本：B-4「叛徒的基因」及 B-5「最後一艘船」</t>
        </is>
      </c>
    </row>
  </sheetData>
  <mergeCells count="10">
    <mergeCell ref="A12:H12"/>
    <mergeCell ref="A1:H1"/>
    <mergeCell ref="A30:H30"/>
    <mergeCell ref="B39:H41"/>
    <mergeCell ref="B31:H36"/>
    <mergeCell ref="A38:H38"/>
    <mergeCell ref="B43:H45"/>
    <mergeCell ref="A47:H47"/>
    <mergeCell ref="A5:H5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2026-06-29T03:52:09Z</dcterms:created>
  <dcterms:modified xsi:type="dcterms:W3CDTF">2026-07-18T07:38:14Z</dcterms:modified>
</cp:coreProperties>
</file>