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凡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空白凡人角色卡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/>
      <c r="C3" s="3" t="inlineStr">
        <is>
          <t>前身職業</t>
        </is>
      </c>
      <c r="D3" s="4" t="inlineStr"/>
      <c r="E3" s="3" t="inlineStr">
        <is>
          <t>罪名</t>
        </is>
      </c>
      <c r="F3" s="4" t="inlineStr"/>
    </row>
    <row r="4"/>
    <row r="5">
      <c r="A5" s="5" t="inlineStr">
        <is>
          <t>五大屬性（數值 1-5）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/>
      <c r="C6" s="3" t="inlineStr"/>
    </row>
    <row r="7">
      <c r="A7" s="3" t="inlineStr">
        <is>
          <t>體魄</t>
        </is>
      </c>
      <c r="B7" s="4" t="n"/>
      <c r="C7" s="3" t="inlineStr"/>
    </row>
    <row r="8">
      <c r="A8" s="3" t="inlineStr">
        <is>
          <t>心智</t>
        </is>
      </c>
      <c r="B8" s="4" t="n"/>
      <c r="C8" s="3" t="inlineStr"/>
    </row>
    <row r="9">
      <c r="A9" s="3" t="inlineStr">
        <is>
          <t>技藝</t>
        </is>
      </c>
      <c r="B9" s="4" t="n"/>
      <c r="C9" s="3" t="inlineStr"/>
    </row>
    <row r="10">
      <c r="A10" s="3" t="inlineStr">
        <is>
          <t>命運</t>
        </is>
      </c>
      <c r="B10" s="4" t="n"/>
      <c r="C10" s="3" t="inlineStr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B7*4+5</f>
        <v/>
      </c>
      <c r="C14" s="3" t="inlineStr">
        <is>
          <t>當前 生命值（HP）</t>
        </is>
      </c>
      <c r="D14" s="4" t="n"/>
    </row>
    <row r="15">
      <c r="A15" s="3" t="inlineStr">
        <is>
          <t>信仰池</t>
        </is>
      </c>
      <c r="B15" s="7">
        <f>B6*3+5</f>
        <v/>
      </c>
      <c r="C15" s="3" t="inlineStr">
        <is>
          <t>當前信仰</t>
        </is>
      </c>
      <c r="D15" s="4" t="n"/>
    </row>
    <row r="16">
      <c r="A16" s="3" t="inlineStr">
        <is>
          <t>腐化值（0-100）</t>
        </is>
      </c>
      <c r="B16" s="4" t="n"/>
      <c r="C16" s="3" t="inlineStr">
        <is>
          <t>創傷上限</t>
        </is>
      </c>
      <c r="D16" s="7">
        <f>B8*2+3</f>
        <v/>
      </c>
    </row>
    <row r="17">
      <c r="A17" s="3" t="inlineStr">
        <is>
          <t>防禦值</t>
        </is>
      </c>
      <c r="B17" s="7">
        <f>ROUNDUP(B9/2,0)+G27</f>
        <v/>
      </c>
      <c r="C17" s="3" t="inlineStr">
        <is>
          <t>先攻基礎</t>
        </is>
      </c>
      <c r="D17" s="7">
        <f>B8+B9</f>
        <v/>
      </c>
    </row>
    <row r="18">
      <c r="A18" s="3" t="inlineStr">
        <is>
          <t>移動速度(m)</t>
        </is>
      </c>
      <c r="B18" s="7">
        <f>6+B7/2</f>
        <v/>
      </c>
      <c r="C18" s="3" t="inlineStr">
        <is>
          <t>負重上限(kg)</t>
        </is>
      </c>
      <c r="D18" s="7">
        <f>B7*10+20</f>
        <v/>
      </c>
    </row>
    <row r="19">
      <c r="A19" s="3" t="inlineStr">
        <is>
          <t>心靈護盾</t>
        </is>
      </c>
      <c r="B19" s="7">
        <f>B8+B6/2</f>
        <v/>
      </c>
      <c r="C19" s="3" t="inlineStr">
        <is>
          <t>命運點</t>
        </is>
      </c>
      <c r="D19" s="7">
        <f>B10</f>
        <v/>
      </c>
    </row>
    <row r="20">
      <c r="A20" s="3" t="inlineStr">
        <is>
          <t>生命值（HP） 健康 &gt;75%</t>
        </is>
      </c>
      <c r="B20" s="7">
        <f>B7*4+5</f>
        <v/>
      </c>
      <c r="C20" s="3" t="inlineStr">
        <is>
          <t>重傷 &lt;50%</t>
        </is>
      </c>
      <c r="D20" s="7">
        <f>ROUND((B7*4+5)/2,0)</f>
        <v/>
      </c>
    </row>
    <row r="21">
      <c r="A21" s="3" t="inlineStr">
        <is>
          <t>輕傷 &lt;75%</t>
        </is>
      </c>
      <c r="B21" s="7">
        <f>ROUND((B7*4+5)*0.75,0)</f>
        <v/>
      </c>
      <c r="C21" s="3" t="inlineStr">
        <is>
          <t>瀕死 &lt;25%</t>
        </is>
      </c>
      <c r="D21" s="7">
        <f>ROUND((B7*4+5)*0.25,0)</f>
        <v/>
      </c>
    </row>
    <row r="22"/>
    <row r="23">
      <c r="A23" s="5" t="inlineStr">
        <is>
          <t>武器裝備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主武器名稱</t>
        </is>
      </c>
      <c r="B24" s="4" t="n"/>
      <c r="C24" s="3" t="inlineStr">
        <is>
          <t>基礎傷害</t>
        </is>
      </c>
      <c r="D24" s="4" t="n"/>
    </row>
    <row r="25">
      <c r="A25" s="3" t="inlineStr">
        <is>
          <t>傷害類型</t>
        </is>
      </c>
      <c r="B25" s="4" t="n"/>
      <c r="C25" s="3" t="inlineStr">
        <is>
          <t>彈匣容量</t>
        </is>
      </c>
      <c r="D25" s="4" t="n"/>
    </row>
    <row r="26">
      <c r="A26" s="3" t="inlineStr">
        <is>
          <t>副武器名稱</t>
        </is>
      </c>
      <c r="B26" s="4" t="n"/>
      <c r="C26" s="3" t="inlineStr">
        <is>
          <t>基礎傷害</t>
        </is>
      </c>
      <c r="D26" s="4" t="n"/>
    </row>
    <row r="27">
      <c r="A27" s="3" t="inlineStr">
        <is>
          <t>護甲名稱</t>
        </is>
      </c>
      <c r="B27" s="4" t="n"/>
      <c r="C27" s="3" t="inlineStr">
        <is>
          <t>護甲值（AR） 彈道</t>
        </is>
      </c>
      <c r="D27" s="4" t="n"/>
    </row>
    <row r="28">
      <c r="A28" s="3" t="inlineStr">
        <is>
          <t>護甲值（AR） 能量</t>
        </is>
      </c>
      <c r="B28" s="4" t="n"/>
      <c r="C28" s="3" t="inlineStr">
        <is>
          <t>護甲值（AR） 爆炸</t>
        </is>
      </c>
      <c r="D28" s="4" t="n"/>
    </row>
    <row r="29">
      <c r="A29" s="3" t="inlineStr">
        <is>
          <t>護甲值（AR） 撕裂</t>
        </is>
      </c>
      <c r="B29" s="4" t="n"/>
      <c r="C29" s="3" t="inlineStr">
        <is>
          <t>護甲值（AR） 火焰</t>
        </is>
      </c>
      <c r="D29" s="4" t="n"/>
    </row>
    <row r="30">
      <c r="A30" s="3" t="inlineStr">
        <is>
          <t>護甲防禦加值</t>
        </is>
      </c>
      <c r="B30" s="4" t="n"/>
    </row>
    <row r="31">
      <c r="A31" s="3" t="inlineStr">
        <is>
          <t>近戰攻擊 目標值（TN）</t>
        </is>
      </c>
      <c r="B31" s="7">
        <f>B7*10</f>
        <v/>
      </c>
      <c r="C31" s="3" t="inlineStr">
        <is>
          <t>遠程攻擊 目標值（TN）</t>
        </is>
      </c>
      <c r="D31" s="7">
        <f>B9*10</f>
        <v/>
      </c>
    </row>
    <row r="32"/>
    <row r="33">
      <c r="A33" s="5" t="inlineStr">
        <is>
          <t>技能（U=未受訓0 / T=受訓+10 / E=專家+20 / M=大師+30）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技能名稱</t>
        </is>
      </c>
      <c r="B34" s="3" t="inlineStr">
        <is>
          <t>等級(U/T/E/M)</t>
        </is>
      </c>
      <c r="C34" s="3" t="inlineStr">
        <is>
          <t>加值</t>
        </is>
      </c>
      <c r="D34" s="3" t="inlineStr">
        <is>
          <t>主要屬性 目標值（TN）</t>
        </is>
      </c>
      <c r="E34" s="3" t="inlineStr">
        <is>
          <t>技能TN(標準)</t>
        </is>
      </c>
    </row>
    <row r="35">
      <c r="A35" s="8" t="inlineStr">
        <is>
          <t>運動(Athletics)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近戰(Weapon Skill)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堅韌(Endurance)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警覺(Awareness)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調查(Investigation)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學識(Lore)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醫療(Medicae)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靈能感知(Psyniscience)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佈道(Oratory)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遠程射擊(Ballistic)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技術(Tech-Use)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潛行(Stealth)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指揮(Command)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欺瞞(Deceive)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判詞與底線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判詞特殊能力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贖罪條件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我的底線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個人裝備/物品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帝皇/混沌印記</t>
        </is>
      </c>
      <c r="B59" s="4" t="n"/>
      <c r="C59" s="9" t="n"/>
      <c r="D59" s="9" t="n"/>
      <c r="E59" s="9" t="n"/>
      <c r="F59" s="10" t="n"/>
    </row>
    <row r="60"/>
    <row r="61"/>
    <row r="62">
      <c r="A62" s="5" t="inlineStr">
        <is>
          <t>規則提示</t>
        </is>
      </c>
      <c r="B62" s="9" t="n"/>
      <c r="C62" s="9" t="n"/>
      <c r="D62" s="9" t="n"/>
      <c r="E62" s="9" t="n"/>
      <c r="F62" s="9" t="n"/>
      <c r="G62" s="9" t="n"/>
      <c r="H62" s="10" t="n"/>
    </row>
    <row r="63">
      <c r="A63" s="11" t="inlineStr">
        <is>
          <t>• TN上限=95：任何檢定TN不得超過95（96-00永遠失敗）</t>
        </is>
      </c>
    </row>
    <row r="64">
      <c r="A64" s="11" t="inlineStr">
        <is>
          <t>• 信仰歸零→「靈魂的黑夜」：立即信念危機、無法使用信仰、每日腐化+1</t>
        </is>
      </c>
    </row>
    <row r="65">
      <c r="A65" s="11" t="inlineStr">
        <is>
          <t>• 創傷：單次傷害超過創傷上限時觸發（輕微/中等/重創/致命）</t>
        </is>
      </c>
    </row>
    <row r="66">
      <c r="A66" s="11" t="inlineStr">
        <is>
          <t>• 醫療包：恢復 2d6 生命值（HP）。每次任務小隊共享 3 次使用。軍需官購買 15 帝皇幣（TG）（限購 2）</t>
        </is>
      </c>
    </row>
    <row r="67">
      <c r="A67" s="11" t="inlineStr">
        <is>
          <t>• 生命值（HP） 狀態：健康&gt;75% / 輕傷50-75% / 重傷25-50%(物理劣勢) / 瀕死&lt;25%</t>
        </is>
      </c>
    </row>
    <row r="68">
      <c r="A68" s="11" t="inlineStr">
        <is>
          <t>• 任務間恢復：HP自動回滿、信仰恢復 1d6+信仰值、腐化不自動降低</t>
        </is>
      </c>
    </row>
    <row r="69">
      <c r="A69" s="11" t="inlineStr">
        <is>
          <t>• 彈藥配給：每人 2 彈匣。額外彈匣 15 帝皇幣（TG）。搜刮：技藝檢定（標準）</t>
        </is>
      </c>
    </row>
    <row r="70">
      <c r="A70" s="11" t="inlineStr">
        <is>
          <t>• 環境傷害：見 GM 指南——火焰/墜落/毒氣/輻射/真空 速查表</t>
        </is>
      </c>
    </row>
  </sheetData>
  <mergeCells count="20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2026-07-18T07:38:14Z</dcterms:modified>
</cp:coreProperties>
</file>