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茲·維爾" sheetId="1" state="visible" r:id="rId1"/>
    <sheet name="修女埃莉諾" sheetId="2" state="visible" r:id="rId2"/>
    <sheet name="澤維爾" sheetId="3" state="visible" r:id="rId3"/>
    <sheet name="老兵塔洛斯" sheetId="4" state="visible" r:id="rId4"/>
    <sheet name="艾琳（被遺忘者）" sheetId="5" state="visible" r:id="rId5"/>
    <sheet name="技術軍士 凱拉" sheetId="6" state="visible" r:id="rId6"/>
    <sheet name="卡拉·瓦爾中尉" sheetId="7" state="visible" r:id="rId7"/>
    <sheet name="機械教士 歐米克隆-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單人模式 — NPC夥伴: 卡茲·維爾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名稱</t>
        </is>
      </c>
      <c r="B3" s="4" t="inlineStr">
        <is>
          <t>卡茲·維爾</t>
        </is>
      </c>
      <c r="C3" s="3" t="inlineStr">
        <is>
          <t>一句話描述</t>
        </is>
      </c>
      <c r="D3" s="4" t="inlineStr">
        <is>
          <t>沉默的中年巢都勞工</t>
        </is>
      </c>
    </row>
    <row r="4">
      <c r="A4" s="3" t="inlineStr">
        <is>
          <t>動機</t>
        </is>
      </c>
      <c r="B4" s="4" t="inlineStr">
        <is>
          <t>活著回去看女兒</t>
        </is>
      </c>
      <c r="C4" s="5" t="n"/>
      <c r="D4" s="5" t="n"/>
      <c r="E4" s="6" t="n"/>
    </row>
    <row r="5">
      <c r="A5" s="3" t="inlineStr">
        <is>
          <t>底線</t>
        </is>
      </c>
      <c r="B5" s="4" t="inlineStr">
        <is>
          <t>絕不殺害平民</t>
        </is>
      </c>
      <c r="C5" s="5" t="n"/>
      <c r="D5" s="5" t="n"/>
      <c r="E5" s="6" t="n"/>
    </row>
    <row r="6"/>
    <row r="7">
      <c r="A7" s="7" t="inlineStr">
        <is>
          <t>屬性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信仰</t>
        </is>
      </c>
      <c r="B8" s="4" t="n">
        <v>3</v>
      </c>
    </row>
    <row r="9">
      <c r="A9" s="3" t="inlineStr">
        <is>
          <t>體魄</t>
        </is>
      </c>
      <c r="B9" s="4" t="n">
        <v>3</v>
      </c>
    </row>
    <row r="10">
      <c r="A10" s="3" t="inlineStr">
        <is>
          <t>心智</t>
        </is>
      </c>
      <c r="B10" s="4" t="n">
        <v>2</v>
      </c>
    </row>
    <row r="11">
      <c r="A11" s="3" t="inlineStr">
        <is>
          <t>技藝</t>
        </is>
      </c>
      <c r="B11" s="4" t="n">
        <v>3</v>
      </c>
    </row>
    <row r="12">
      <c r="A12" s="3" t="inlineStr">
        <is>
          <t>命運</t>
        </is>
      </c>
      <c r="B12" s="4" t="n">
        <v>2</v>
      </c>
    </row>
    <row r="13"/>
    <row r="14">
      <c r="A14" s="7" t="inlineStr">
        <is>
          <t>衍生屬性（自動計算）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生命值（HP）</t>
        </is>
      </c>
      <c r="B15" s="9">
        <f>B9*4+5</f>
        <v/>
      </c>
      <c r="C15" s="3" t="inlineStr">
        <is>
          <t>防禦值</t>
        </is>
      </c>
      <c r="D15" s="9">
        <f>ROUNDUP(B11/2,0)</f>
        <v/>
      </c>
    </row>
    <row r="16">
      <c r="A16" s="3" t="inlineStr">
        <is>
          <t>先攻</t>
        </is>
      </c>
      <c r="B16" s="9">
        <f>B10+B11</f>
        <v/>
      </c>
      <c r="C16" s="3" t="inlineStr">
        <is>
          <t>速度</t>
        </is>
      </c>
      <c r="D16" s="9">
        <f>6+B9/2</f>
        <v/>
      </c>
    </row>
    <row r="17">
      <c r="A17" s="3" t="inlineStr">
        <is>
          <t>近戰 目標值（TN）</t>
        </is>
      </c>
      <c r="B17" s="9">
        <f>B9*10</f>
        <v/>
      </c>
      <c r="C17" s="3" t="inlineStr">
        <is>
          <t>遠程 目標值（TN）</t>
        </is>
      </c>
      <c r="D17" s="9">
        <f>B11*10</f>
        <v/>
      </c>
    </row>
    <row r="18"/>
    <row r="19">
      <c r="A19" s="7" t="inlineStr">
        <is>
          <t>夥伴系統（手動填入）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初始態度 (−3~+3)</t>
        </is>
      </c>
      <c r="B20" s="4" t="n">
        <v>0</v>
      </c>
      <c r="C20" s="3" t="inlineStr">
        <is>
          <t>當前態度</t>
        </is>
      </c>
      <c r="D20" s="4" t="n">
        <v>0</v>
      </c>
    </row>
    <row r="21">
      <c r="A21" s="3" t="inlineStr">
        <is>
          <t>動搖點 (0-10)</t>
        </is>
      </c>
      <c r="B21" s="4" t="n">
        <v>0</v>
      </c>
      <c r="C21" s="3" t="inlineStr">
        <is>
          <t>當前動搖點</t>
        </is>
      </c>
      <c r="D21" s="4" t="n">
        <v>0</v>
      </c>
    </row>
    <row r="22"/>
    <row r="23">
      <c r="A23" s="7" t="inlineStr">
        <is>
          <t>裝備與能力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主武器</t>
        </is>
      </c>
      <c r="B24" s="4" t="inlineStr">
        <is>
          <t>自動手槍 1d6</t>
        </is>
      </c>
      <c r="C24" s="3" t="inlineStr">
        <is>
          <t>護甲</t>
        </is>
      </c>
      <c r="D24" s="4" t="inlineStr">
        <is>
          <t>厚布甲 AR1</t>
        </is>
      </c>
    </row>
    <row r="25">
      <c r="A25" s="3" t="inlineStr">
        <is>
          <t>個人物品</t>
        </is>
      </c>
      <c r="B25" s="4" t="inlineStr">
        <is>
          <t>巢都地圖碎片</t>
        </is>
      </c>
      <c r="C25" s="3" t="inlineStr">
        <is>
          <t>關鍵技能</t>
        </is>
      </c>
      <c r="D25" s="4" t="inlineStr">
        <is>
          <t>潛行(T) 警覺(T)</t>
        </is>
      </c>
    </row>
    <row r="26"/>
    <row r="27">
      <c r="A27" s="3" t="inlineStr">
        <is>
          <t>特殊能力</t>
        </is>
      </c>
      <c r="B27" s="4" t="inlineStr">
        <is>
          <t>巢都之鼠：巢都環境不會迷路。可為玩家提供一次性潛行路線（潛行優勢）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備註</t>
        </is>
      </c>
      <c r="B31" s="4" t="inlineStr">
        <is>
          <t>SA-1「鐵肋的獨行者」。態度從0開始——需要玩家主動建立信任。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單人模式規則提示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戰鬥中玩家直接控制夥伴行動（與玩家相同行動經濟）</t>
        </is>
      </c>
    </row>
    <row r="37">
      <c r="A37" s="17" t="inlineStr">
        <is>
          <t>* 非戰鬥中GM扮演夥伴對話與決策——夥伴可能不同意玩家</t>
        </is>
      </c>
    </row>
    <row r="38">
      <c r="A38" s="17" t="inlineStr">
        <is>
          <t>* 夥伴不追蹤腐化值，改追蹤動搖點（0-10）</t>
        </is>
      </c>
    </row>
    <row r="39">
      <c r="A39" s="17" t="inlineStr">
        <is>
          <t>* 態度+3忠誠→自願承受致命傷害（一次性）｜態度−3→可能背叛</t>
        </is>
      </c>
    </row>
    <row r="40">
      <c r="A40" s="17" t="inlineStr">
        <is>
          <t>* 動搖點 4-6：戰鬥中偶爾猶豫｜7-9：可能拒絕危險命令｜10：崩潰</t>
        </is>
      </c>
    </row>
    <row r="41">
      <c r="A41" s="17" t="inlineStr">
        <is>
          <t>* 夥伴死亡→玩家信仰−2 + 腐化+3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單人模式 — NPC夥伴: 修女埃莉諾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名稱</t>
        </is>
      </c>
      <c r="B3" s="4" t="inlineStr">
        <is>
          <t>修女埃莉諾</t>
        </is>
      </c>
      <c r="C3" s="3" t="inlineStr">
        <is>
          <t>一句話描述</t>
        </is>
      </c>
      <c r="D3" s="4" t="inlineStr">
        <is>
          <t>年輕國教助祭，從未見過亞空間汙染</t>
        </is>
      </c>
    </row>
    <row r="4">
      <c r="A4" s="3" t="inlineStr">
        <is>
          <t>動機</t>
        </is>
      </c>
      <c r="B4" s="4" t="inlineStr">
        <is>
          <t>證明信仰夠堅定</t>
        </is>
      </c>
      <c r="C4" s="5" t="n"/>
      <c r="D4" s="5" t="n"/>
      <c r="E4" s="6" t="n"/>
    </row>
    <row r="5">
      <c r="A5" s="3" t="inlineStr">
        <is>
          <t>底線</t>
        </is>
      </c>
      <c r="B5" s="4" t="inlineStr">
        <is>
          <t>絕不質疑帝皇</t>
        </is>
      </c>
      <c r="C5" s="5" t="n"/>
      <c r="D5" s="5" t="n"/>
      <c r="E5" s="6" t="n"/>
    </row>
    <row r="6"/>
    <row r="7">
      <c r="A7" s="7" t="inlineStr">
        <is>
          <t>屬性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信仰</t>
        </is>
      </c>
      <c r="B8" s="4" t="n">
        <v>4</v>
      </c>
    </row>
    <row r="9">
      <c r="A9" s="3" t="inlineStr">
        <is>
          <t>體魄</t>
        </is>
      </c>
      <c r="B9" s="4" t="n">
        <v>2</v>
      </c>
    </row>
    <row r="10">
      <c r="A10" s="3" t="inlineStr">
        <is>
          <t>心智</t>
        </is>
      </c>
      <c r="B10" s="4" t="n">
        <v>3</v>
      </c>
    </row>
    <row r="11">
      <c r="A11" s="3" t="inlineStr">
        <is>
          <t>技藝</t>
        </is>
      </c>
      <c r="B11" s="4" t="n">
        <v>2</v>
      </c>
    </row>
    <row r="12">
      <c r="A12" s="3" t="inlineStr">
        <is>
          <t>命運</t>
        </is>
      </c>
      <c r="B12" s="4" t="n">
        <v>3</v>
      </c>
    </row>
    <row r="13"/>
    <row r="14">
      <c r="A14" s="7" t="inlineStr">
        <is>
          <t>衍生屬性（自動計算）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生命值（HP）</t>
        </is>
      </c>
      <c r="B15" s="9">
        <f>B9*4+5</f>
        <v/>
      </c>
      <c r="C15" s="3" t="inlineStr">
        <is>
          <t>防禦值</t>
        </is>
      </c>
      <c r="D15" s="9">
        <f>ROUNDUP(B11/2,0)</f>
        <v/>
      </c>
    </row>
    <row r="16">
      <c r="A16" s="3" t="inlineStr">
        <is>
          <t>先攻</t>
        </is>
      </c>
      <c r="B16" s="9">
        <f>B10+B11</f>
        <v/>
      </c>
      <c r="C16" s="3" t="inlineStr">
        <is>
          <t>速度</t>
        </is>
      </c>
      <c r="D16" s="9">
        <f>6+B9/2</f>
        <v/>
      </c>
    </row>
    <row r="17">
      <c r="A17" s="3" t="inlineStr">
        <is>
          <t>近戰 目標值（TN）</t>
        </is>
      </c>
      <c r="B17" s="9">
        <f>B9*10</f>
        <v/>
      </c>
      <c r="C17" s="3" t="inlineStr">
        <is>
          <t>遠程 目標值（TN）</t>
        </is>
      </c>
      <c r="D17" s="9">
        <f>B11*10</f>
        <v/>
      </c>
    </row>
    <row r="18"/>
    <row r="19">
      <c r="A19" s="7" t="inlineStr">
        <is>
          <t>夥伴系統（手動填入）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初始態度 (−3~+3)</t>
        </is>
      </c>
      <c r="B20" s="4" t="n">
        <v>1</v>
      </c>
      <c r="C20" s="3" t="inlineStr">
        <is>
          <t>當前態度</t>
        </is>
      </c>
      <c r="D20" s="4" t="n">
        <v>1</v>
      </c>
    </row>
    <row r="21">
      <c r="A21" s="3" t="inlineStr">
        <is>
          <t>動搖點 (0-10)</t>
        </is>
      </c>
      <c r="B21" s="4" t="n">
        <v>0</v>
      </c>
      <c r="C21" s="3" t="inlineStr">
        <is>
          <t>當前動搖點</t>
        </is>
      </c>
      <c r="D21" s="4" t="n">
        <v>0</v>
      </c>
    </row>
    <row r="22"/>
    <row r="23">
      <c r="A23" s="7" t="inlineStr">
        <is>
          <t>裝備與能力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主武器</t>
        </is>
      </c>
      <c r="B24" s="4" t="inlineStr">
        <is>
          <t>手槍 1d6</t>
        </is>
      </c>
      <c r="C24" s="3" t="inlineStr">
        <is>
          <t>護甲</t>
        </is>
      </c>
      <c r="D24" s="4" t="inlineStr">
        <is>
          <t>厚布甲 AR1</t>
        </is>
      </c>
    </row>
    <row r="25">
      <c r="A25" s="3" t="inlineStr">
        <is>
          <t>個人物品</t>
        </is>
      </c>
      <c r="B25" s="4" t="inlineStr">
        <is>
          <t>帝皇聖像</t>
        </is>
      </c>
      <c r="C25" s="3" t="inlineStr">
        <is>
          <t>關鍵技能</t>
        </is>
      </c>
      <c r="D25" s="4" t="inlineStr">
        <is>
          <t>佈道(T) 學識(T)</t>
        </is>
      </c>
    </row>
    <row r="26"/>
    <row r="27">
      <c r="A27" s="3" t="inlineStr">
        <is>
          <t>特殊能力</t>
        </is>
      </c>
      <c r="B27" s="4" t="inlineStr">
        <is>
          <t>信仰之光：每劇本1次為玩家恢復2信仰。對低階亞空間實體2d4神聖傷害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備註</t>
        </is>
      </c>
      <c r="B31" s="4" t="inlineStr">
        <is>
          <t>SA-2「鏽冠的獨白」。注意——她的信仰很脆弱。目睹亞空間現象會增加動搖點。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單人模式規則提示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戰鬥中玩家直接控制夥伴行動（與玩家相同行動經濟）</t>
        </is>
      </c>
    </row>
    <row r="37">
      <c r="A37" s="17" t="inlineStr">
        <is>
          <t>* 非戰鬥中GM扮演夥伴對話與決策——夥伴可能不同意玩家</t>
        </is>
      </c>
    </row>
    <row r="38">
      <c r="A38" s="17" t="inlineStr">
        <is>
          <t>* 夥伴不追蹤腐化值，改追蹤動搖點（0-10）</t>
        </is>
      </c>
    </row>
    <row r="39">
      <c r="A39" s="17" t="inlineStr">
        <is>
          <t>* 態度+3忠誠→自願承受致命傷害（一次性）｜態度−3→可能背叛</t>
        </is>
      </c>
    </row>
    <row r="40">
      <c r="A40" s="17" t="inlineStr">
        <is>
          <t>* 動搖點 4-6：戰鬥中偶爾猶豫｜7-9：可能拒絕危險命令｜10：崩潰</t>
        </is>
      </c>
    </row>
    <row r="41">
      <c r="A41" s="17" t="inlineStr">
        <is>
          <t>* 夥伴死亡→玩家信仰−2 + 腐化+3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單人模式 — NPC夥伴: 澤維爾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名稱</t>
        </is>
      </c>
      <c r="B3" s="4" t="inlineStr">
        <is>
          <t>澤維爾</t>
        </is>
      </c>
      <c r="C3" s="3" t="inlineStr">
        <is>
          <t>一句話描述</t>
        </is>
      </c>
      <c r="D3" s="4" t="inlineStr">
        <is>
          <t>未登記靈能者Psi2，害怕自己</t>
        </is>
      </c>
    </row>
    <row r="4">
      <c r="A4" s="3" t="inlineStr">
        <is>
          <t>動機</t>
        </is>
      </c>
      <c r="B4" s="4" t="inlineStr">
        <is>
          <t>完成5次服務以獲釋</t>
        </is>
      </c>
      <c r="C4" s="5" t="n"/>
      <c r="D4" s="5" t="n"/>
      <c r="E4" s="6" t="n"/>
    </row>
    <row r="5">
      <c r="A5" s="3" t="inlineStr">
        <is>
          <t>底線</t>
        </is>
      </c>
      <c r="B5" s="4" t="inlineStr">
        <is>
          <t>絕不讓靈能傷害無辜者</t>
        </is>
      </c>
      <c r="C5" s="5" t="n"/>
      <c r="D5" s="5" t="n"/>
      <c r="E5" s="6" t="n"/>
    </row>
    <row r="6"/>
    <row r="7">
      <c r="A7" s="7" t="inlineStr">
        <is>
          <t>屬性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信仰</t>
        </is>
      </c>
      <c r="B8" s="4" t="n">
        <v>2</v>
      </c>
    </row>
    <row r="9">
      <c r="A9" s="3" t="inlineStr">
        <is>
          <t>體魄</t>
        </is>
      </c>
      <c r="B9" s="4" t="n">
        <v>2</v>
      </c>
    </row>
    <row r="10">
      <c r="A10" s="3" t="inlineStr">
        <is>
          <t>心智</t>
        </is>
      </c>
      <c r="B10" s="4" t="n">
        <v>4</v>
      </c>
    </row>
    <row r="11">
      <c r="A11" s="3" t="inlineStr">
        <is>
          <t>技藝</t>
        </is>
      </c>
      <c r="B11" s="4" t="n">
        <v>2</v>
      </c>
    </row>
    <row r="12">
      <c r="A12" s="3" t="inlineStr">
        <is>
          <t>命運</t>
        </is>
      </c>
      <c r="B12" s="4" t="n">
        <v>3</v>
      </c>
    </row>
    <row r="13"/>
    <row r="14">
      <c r="A14" s="7" t="inlineStr">
        <is>
          <t>衍生屬性（自動計算）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生命值（HP）</t>
        </is>
      </c>
      <c r="B15" s="9">
        <f>B9*4+5</f>
        <v/>
      </c>
      <c r="C15" s="3" t="inlineStr">
        <is>
          <t>防禦值</t>
        </is>
      </c>
      <c r="D15" s="9">
        <f>ROUNDUP(B11/2,0)</f>
        <v/>
      </c>
    </row>
    <row r="16">
      <c r="A16" s="3" t="inlineStr">
        <is>
          <t>先攻</t>
        </is>
      </c>
      <c r="B16" s="9">
        <f>B10+B11</f>
        <v/>
      </c>
      <c r="C16" s="3" t="inlineStr">
        <is>
          <t>速度</t>
        </is>
      </c>
      <c r="D16" s="9">
        <f>6+B9/2</f>
        <v/>
      </c>
    </row>
    <row r="17">
      <c r="A17" s="3" t="inlineStr">
        <is>
          <t>近戰 目標值（TN）</t>
        </is>
      </c>
      <c r="B17" s="9">
        <f>B9*10</f>
        <v/>
      </c>
      <c r="C17" s="3" t="inlineStr">
        <is>
          <t>遠程 目標值（TN）</t>
        </is>
      </c>
      <c r="D17" s="9">
        <f>B11*10</f>
        <v/>
      </c>
    </row>
    <row r="18"/>
    <row r="19">
      <c r="A19" s="7" t="inlineStr">
        <is>
          <t>夥伴系統（手動填入）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初始態度 (−3~+3)</t>
        </is>
      </c>
      <c r="B20" s="4" t="n">
        <v>-1</v>
      </c>
      <c r="C20" s="3" t="inlineStr">
        <is>
          <t>當前態度</t>
        </is>
      </c>
      <c r="D20" s="4" t="n">
        <v>-1</v>
      </c>
    </row>
    <row r="21">
      <c r="A21" s="3" t="inlineStr">
        <is>
          <t>動搖點 (0-10)</t>
        </is>
      </c>
      <c r="B21" s="4" t="n">
        <v>0</v>
      </c>
      <c r="C21" s="3" t="inlineStr">
        <is>
          <t>當前動搖點</t>
        </is>
      </c>
      <c r="D21" s="4" t="n">
        <v>0</v>
      </c>
    </row>
    <row r="22"/>
    <row r="23">
      <c r="A23" s="7" t="inlineStr">
        <is>
          <t>裝備與能力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主武器</t>
        </is>
      </c>
      <c r="B24" s="4" t="inlineStr">
        <is>
          <t>無</t>
        </is>
      </c>
      <c r="C24" s="3" t="inlineStr">
        <is>
          <t>護甲</t>
        </is>
      </c>
      <c r="D24" s="4" t="inlineStr">
        <is>
          <t>無</t>
        </is>
      </c>
    </row>
    <row r="25">
      <c r="A25" s="3" t="inlineStr">
        <is>
          <t>個人物品</t>
        </is>
      </c>
      <c r="B25" s="4" t="inlineStr">
        <is>
          <t>亞空間共鳴石</t>
        </is>
      </c>
      <c r="C25" s="3" t="inlineStr">
        <is>
          <t>關鍵技能</t>
        </is>
      </c>
      <c r="D25" s="4" t="inlineStr">
        <is>
          <t>靈能感知(T) 調查(T)</t>
        </is>
      </c>
    </row>
    <row r="26"/>
    <row r="27">
      <c r="A27" s="3" t="inlineStr">
        <is>
          <t>特殊能力</t>
        </is>
      </c>
      <c r="B27" s="4" t="inlineStr">
        <is>
          <t>靈能感知：自動感知30m內混沌汙染。靈能衝擊：每場戰鬥1次 2d6精神(使用後觸發亞空間現象)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備註</t>
        </is>
      </c>
      <c r="B31" s="4" t="inlineStr">
        <is>
          <t>SA-3「骨堆的回音」。初始態度-1。使用靈能衝擊必定觸發亞空間現象。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單人模式規則提示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戰鬥中玩家直接控制夥伴行動（與玩家相同行動經濟）</t>
        </is>
      </c>
    </row>
    <row r="37">
      <c r="A37" s="17" t="inlineStr">
        <is>
          <t>* 非戰鬥中GM扮演夥伴對話與決策——夥伴可能不同意玩家</t>
        </is>
      </c>
    </row>
    <row r="38">
      <c r="A38" s="17" t="inlineStr">
        <is>
          <t>* 夥伴不追蹤腐化值，改追蹤動搖點（0-10）</t>
        </is>
      </c>
    </row>
    <row r="39">
      <c r="A39" s="17" t="inlineStr">
        <is>
          <t>* 態度+3忠誠→自願承受致命傷害（一次性）｜態度−3→可能背叛</t>
        </is>
      </c>
    </row>
    <row r="40">
      <c r="A40" s="17" t="inlineStr">
        <is>
          <t>* 動搖點 4-6：戰鬥中偶爾猶豫｜7-9：可能拒絕危險命令｜10：崩潰</t>
        </is>
      </c>
    </row>
    <row r="41">
      <c r="A41" s="17" t="inlineStr">
        <is>
          <t>* 夥伴死亡→玩家信仰−2 + 腐化+3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單人模式 — NPC夥伴: 老兵塔洛斯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名稱</t>
        </is>
      </c>
      <c r="B3" s="4" t="inlineStr">
        <is>
          <t>老兵塔洛斯</t>
        </is>
      </c>
      <c r="C3" s="3" t="inlineStr">
        <is>
          <t>一句話描述</t>
        </is>
      </c>
      <c r="D3" s="4" t="inlineStr">
        <is>
          <t>50歲灰髮老兵，眼神疲憊但手仍穩</t>
        </is>
      </c>
    </row>
    <row r="4">
      <c r="A4" s="3" t="inlineStr">
        <is>
          <t>動機</t>
        </is>
      </c>
      <c r="B4" s="4" t="inlineStr">
        <is>
          <t>完成贖罪後退休</t>
        </is>
      </c>
      <c r="C4" s="5" t="n"/>
      <c r="D4" s="5" t="n"/>
      <c r="E4" s="6" t="n"/>
    </row>
    <row r="5">
      <c r="A5" s="3" t="inlineStr">
        <is>
          <t>底線</t>
        </is>
      </c>
      <c r="B5" s="4" t="inlineStr">
        <is>
          <t>絕不拋下受傷戰友</t>
        </is>
      </c>
      <c r="C5" s="5" t="n"/>
      <c r="D5" s="5" t="n"/>
      <c r="E5" s="6" t="n"/>
    </row>
    <row r="6"/>
    <row r="7">
      <c r="A7" s="7" t="inlineStr">
        <is>
          <t>屬性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信仰</t>
        </is>
      </c>
      <c r="B8" s="4" t="n">
        <v>2</v>
      </c>
    </row>
    <row r="9">
      <c r="A9" s="3" t="inlineStr">
        <is>
          <t>體魄</t>
        </is>
      </c>
      <c r="B9" s="4" t="n">
        <v>3</v>
      </c>
    </row>
    <row r="10">
      <c r="A10" s="3" t="inlineStr">
        <is>
          <t>心智</t>
        </is>
      </c>
      <c r="B10" s="4" t="n">
        <v>3</v>
      </c>
    </row>
    <row r="11">
      <c r="A11" s="3" t="inlineStr">
        <is>
          <t>技藝</t>
        </is>
      </c>
      <c r="B11" s="4" t="n">
        <v>4</v>
      </c>
    </row>
    <row r="12">
      <c r="A12" s="3" t="inlineStr">
        <is>
          <t>命運</t>
        </is>
      </c>
      <c r="B12" s="4" t="n">
        <v>2</v>
      </c>
    </row>
    <row r="13"/>
    <row r="14">
      <c r="A14" s="7" t="inlineStr">
        <is>
          <t>衍生屬性（自動計算）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生命值（HP）</t>
        </is>
      </c>
      <c r="B15" s="9">
        <f>B9*4+5</f>
        <v/>
      </c>
      <c r="C15" s="3" t="inlineStr">
        <is>
          <t>防禦值</t>
        </is>
      </c>
      <c r="D15" s="9">
        <f>ROUNDUP(B11/2,0)</f>
        <v/>
      </c>
    </row>
    <row r="16">
      <c r="A16" s="3" t="inlineStr">
        <is>
          <t>先攻</t>
        </is>
      </c>
      <c r="B16" s="9">
        <f>B10+B11</f>
        <v/>
      </c>
      <c r="C16" s="3" t="inlineStr">
        <is>
          <t>速度</t>
        </is>
      </c>
      <c r="D16" s="9">
        <f>6+B9/2</f>
        <v/>
      </c>
    </row>
    <row r="17">
      <c r="A17" s="3" t="inlineStr">
        <is>
          <t>近戰 目標值（TN）</t>
        </is>
      </c>
      <c r="B17" s="9">
        <f>B9*10</f>
        <v/>
      </c>
      <c r="C17" s="3" t="inlineStr">
        <is>
          <t>遠程 目標值（TN）</t>
        </is>
      </c>
      <c r="D17" s="9">
        <f>B11*10</f>
        <v/>
      </c>
    </row>
    <row r="18"/>
    <row r="19">
      <c r="A19" s="7" t="inlineStr">
        <is>
          <t>夥伴系統（手動填入）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初始態度 (−3~+3)</t>
        </is>
      </c>
      <c r="B20" s="4" t="n">
        <v>1</v>
      </c>
      <c r="C20" s="3" t="inlineStr">
        <is>
          <t>當前態度</t>
        </is>
      </c>
      <c r="D20" s="4" t="n">
        <v>1</v>
      </c>
    </row>
    <row r="21">
      <c r="A21" s="3" t="inlineStr">
        <is>
          <t>動搖點 (0-10)</t>
        </is>
      </c>
      <c r="B21" s="4" t="n">
        <v>0</v>
      </c>
      <c r="C21" s="3" t="inlineStr">
        <is>
          <t>當前動搖點</t>
        </is>
      </c>
      <c r="D21" s="4" t="n">
        <v>0</v>
      </c>
    </row>
    <row r="22"/>
    <row r="23">
      <c r="A23" s="7" t="inlineStr">
        <is>
          <t>裝備與能力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主武器</t>
        </is>
      </c>
      <c r="B24" s="4" t="inlineStr">
        <is>
          <t>雷射槍 1d6+1</t>
        </is>
      </c>
      <c r="C24" s="3" t="inlineStr">
        <is>
          <t>護甲</t>
        </is>
      </c>
      <c r="D24" s="4" t="inlineStr">
        <is>
          <t>防彈甲 AR2</t>
        </is>
      </c>
    </row>
    <row r="25">
      <c r="A25" s="3" t="inlineStr">
        <is>
          <t>個人物品</t>
        </is>
      </c>
      <c r="B25" s="4" t="inlineStr">
        <is>
          <t>舊戰友狗牌</t>
        </is>
      </c>
      <c r="C25" s="3" t="inlineStr">
        <is>
          <t>關鍵技能</t>
        </is>
      </c>
      <c r="D25" s="4" t="inlineStr">
        <is>
          <t>遠程射擊(T) 醫療(T)</t>
        </is>
      </c>
    </row>
    <row r="26"/>
    <row r="27">
      <c r="A27" s="3" t="inlineStr">
        <is>
          <t>特殊能力</t>
        </is>
      </c>
      <c r="B27" s="4" t="inlineStr">
        <is>
          <t>老兵直覺：每劇本1次GM告知危險。戰地急救：醫療包恢復額外+1d4HP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備註</t>
        </is>
      </c>
      <c r="B31" s="4" t="inlineStr">
        <is>
          <t>SA-4「深巢的唯一」。可靠的戰友——但他在任務中是最合理的犧牲對象。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單人模式規則提示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戰鬥中玩家直接控制夥伴行動（與玩家相同行動經濟）</t>
        </is>
      </c>
    </row>
    <row r="37">
      <c r="A37" s="17" t="inlineStr">
        <is>
          <t>* 非戰鬥中GM扮演夥伴對話與決策——夥伴可能不同意玩家</t>
        </is>
      </c>
    </row>
    <row r="38">
      <c r="A38" s="17" t="inlineStr">
        <is>
          <t>* 夥伴不追蹤腐化值，改追蹤動搖點（0-10）</t>
        </is>
      </c>
    </row>
    <row r="39">
      <c r="A39" s="17" t="inlineStr">
        <is>
          <t>* 態度+3忠誠→自願承受致命傷害（一次性）｜態度−3→可能背叛</t>
        </is>
      </c>
    </row>
    <row r="40">
      <c r="A40" s="17" t="inlineStr">
        <is>
          <t>* 動搖點 4-6：戰鬥中偶爾猶豫｜7-9：可能拒絕危險命令｜10：崩潰</t>
        </is>
      </c>
    </row>
    <row r="41">
      <c r="A41" s="17" t="inlineStr">
        <is>
          <t>* 夥伴死亡→玩家信仰−2 + 腐化+3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單人模式 — NPC夥伴: 艾琳（被遺忘者）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名稱</t>
        </is>
      </c>
      <c r="B3" s="4" t="inlineStr">
        <is>
          <t>艾琳（被遺忘者）</t>
        </is>
      </c>
      <c r="C3" s="3" t="inlineStr">
        <is>
          <t>一句話描述</t>
        </is>
      </c>
      <c r="D3" s="4" t="inlineStr">
        <is>
          <t>被困沉默之塔底層47年的前贖罪者</t>
        </is>
      </c>
    </row>
    <row r="4">
      <c r="A4" s="3" t="inlineStr">
        <is>
          <t>動機</t>
        </is>
      </c>
      <c r="B4" s="4" t="inlineStr">
        <is>
          <t>活著離開，揭發審判庭的遺忘</t>
        </is>
      </c>
      <c r="C4" s="5" t="n"/>
      <c r="D4" s="5" t="n"/>
      <c r="E4" s="6" t="n"/>
    </row>
    <row r="5">
      <c r="A5" s="3" t="inlineStr">
        <is>
          <t>底線</t>
        </is>
      </c>
      <c r="B5" s="4" t="inlineStr">
        <is>
          <t>絕不向混沌屈服</t>
        </is>
      </c>
      <c r="C5" s="5" t="n"/>
      <c r="D5" s="5" t="n"/>
      <c r="E5" s="6" t="n"/>
    </row>
    <row r="6"/>
    <row r="7">
      <c r="A7" s="7" t="inlineStr">
        <is>
          <t>屬性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信仰</t>
        </is>
      </c>
      <c r="B8" s="4" t="n">
        <v>5</v>
      </c>
    </row>
    <row r="9">
      <c r="A9" s="3" t="inlineStr">
        <is>
          <t>體魄</t>
        </is>
      </c>
      <c r="B9" s="4" t="n">
        <v>2</v>
      </c>
    </row>
    <row r="10">
      <c r="A10" s="3" t="inlineStr">
        <is>
          <t>心智</t>
        </is>
      </c>
      <c r="B10" s="4" t="n">
        <v>4</v>
      </c>
    </row>
    <row r="11">
      <c r="A11" s="3" t="inlineStr">
        <is>
          <t>技藝</t>
        </is>
      </c>
      <c r="B11" s="4" t="n">
        <v>3</v>
      </c>
    </row>
    <row r="12">
      <c r="A12" s="3" t="inlineStr">
        <is>
          <t>命運</t>
        </is>
      </c>
      <c r="B12" s="4" t="n">
        <v>4</v>
      </c>
    </row>
    <row r="13"/>
    <row r="14">
      <c r="A14" s="7" t="inlineStr">
        <is>
          <t>衍生屬性（自動計算）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生命值（HP）</t>
        </is>
      </c>
      <c r="B15" s="9">
        <f>B9*4+5</f>
        <v/>
      </c>
      <c r="C15" s="3" t="inlineStr">
        <is>
          <t>防禦值</t>
        </is>
      </c>
      <c r="D15" s="9">
        <f>ROUNDUP(B11/2,0)</f>
        <v/>
      </c>
    </row>
    <row r="16">
      <c r="A16" s="3" t="inlineStr">
        <is>
          <t>先攻</t>
        </is>
      </c>
      <c r="B16" s="9">
        <f>B10+B11</f>
        <v/>
      </c>
      <c r="C16" s="3" t="inlineStr">
        <is>
          <t>速度</t>
        </is>
      </c>
      <c r="D16" s="9">
        <f>6+B9/2</f>
        <v/>
      </c>
    </row>
    <row r="17">
      <c r="A17" s="3" t="inlineStr">
        <is>
          <t>近戰 目標值（TN）</t>
        </is>
      </c>
      <c r="B17" s="9">
        <f>B9*10</f>
        <v/>
      </c>
      <c r="C17" s="3" t="inlineStr">
        <is>
          <t>遠程 目標值（TN）</t>
        </is>
      </c>
      <c r="D17" s="9">
        <f>B11*10</f>
        <v/>
      </c>
    </row>
    <row r="18"/>
    <row r="19">
      <c r="A19" s="7" t="inlineStr">
        <is>
          <t>夥伴系統（手動填入）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初始態度 (−3~+3)</t>
        </is>
      </c>
      <c r="B20" s="4" t="n">
        <v>2</v>
      </c>
      <c r="C20" s="3" t="inlineStr">
        <is>
          <t>當前態度</t>
        </is>
      </c>
      <c r="D20" s="4" t="n">
        <v>2</v>
      </c>
    </row>
    <row r="21">
      <c r="A21" s="3" t="inlineStr">
        <is>
          <t>動搖點 (0-10)</t>
        </is>
      </c>
      <c r="B21" s="4" t="n">
        <v>3</v>
      </c>
      <c r="C21" s="3" t="inlineStr">
        <is>
          <t>當前動搖點</t>
        </is>
      </c>
      <c r="D21" s="4" t="n">
        <v>3</v>
      </c>
    </row>
    <row r="22"/>
    <row r="23">
      <c r="A23" s="7" t="inlineStr">
        <is>
          <t>裝備與能力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主武器</t>
        </is>
      </c>
      <c r="B24" s="4" t="inlineStr">
        <is>
          <t>破損自動手槍 1d6</t>
        </is>
      </c>
      <c r="C24" s="3" t="inlineStr">
        <is>
          <t>護甲</t>
        </is>
      </c>
      <c r="D24" s="4" t="inlineStr">
        <is>
          <t>破損防彈甲 AR1</t>
        </is>
      </c>
    </row>
    <row r="25">
      <c r="A25" s="3" t="inlineStr">
        <is>
          <t>個人物品</t>
        </is>
      </c>
      <c r="B25" s="4" t="inlineStr">
        <is>
          <t>底層地圖</t>
        </is>
      </c>
      <c r="C25" s="3" t="inlineStr">
        <is>
          <t>關鍵技能</t>
        </is>
      </c>
      <c r="D25" s="4" t="inlineStr">
        <is>
          <t>警覺(T) 潛行(T)</t>
        </is>
      </c>
    </row>
    <row r="26"/>
    <row r="27">
      <c r="A27" s="3" t="inlineStr">
        <is>
          <t>特殊能力</t>
        </is>
      </c>
      <c r="B27" s="4" t="inlineStr">
        <is>
          <t>47年底巢生存經驗——提供底層完全地圖。信仰5在絕望中更堅定。可作證指控墮落審判官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備註</t>
        </is>
      </c>
      <c r="B31" s="4" t="inlineStr">
        <is>
          <t>SA-5「黑色碼頭的單人禱告」。態度+2——她已等了47年。她的證詞是最終任務的關鍵。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單人模式規則提示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戰鬥中玩家直接控制夥伴行動（與玩家相同行動經濟）</t>
        </is>
      </c>
    </row>
    <row r="37">
      <c r="A37" s="17" t="inlineStr">
        <is>
          <t>* 非戰鬥中GM扮演夥伴對話與決策——夥伴可能不同意玩家</t>
        </is>
      </c>
    </row>
    <row r="38">
      <c r="A38" s="17" t="inlineStr">
        <is>
          <t>* 夥伴不追蹤腐化值，改追蹤動搖點（0-10）</t>
        </is>
      </c>
    </row>
    <row r="39">
      <c r="A39" s="17" t="inlineStr">
        <is>
          <t>* 態度+3忠誠→自願承受致命傷害（一次性）｜態度−3→可能背叛</t>
        </is>
      </c>
    </row>
    <row r="40">
      <c r="A40" s="17" t="inlineStr">
        <is>
          <t>* 動搖點 4-6：戰鬥中偶爾猶豫｜7-9：可能拒絕危險命令｜10：崩潰</t>
        </is>
      </c>
    </row>
    <row r="41">
      <c r="A41" s="17" t="inlineStr">
        <is>
          <t>* 夥伴死亡→玩家信仰−2 + 腐化+3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單人模式 — NPC夥伴: 技術軍士 凱拉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名稱</t>
        </is>
      </c>
      <c r="B3" s="4" t="inlineStr">
        <is>
          <t>技術軍士 凱拉</t>
        </is>
      </c>
      <c r="C3" s="3" t="inlineStr">
        <is>
          <t>一句話描述</t>
        </is>
      </c>
      <c r="D3" s="4" t="inlineStr">
        <is>
          <t>帝國海軍機工，失去一臂但自製義肢</t>
        </is>
      </c>
    </row>
    <row r="4">
      <c r="A4" s="3" t="inlineStr">
        <is>
          <t>動機</t>
        </is>
      </c>
      <c r="B4" s="4" t="inlineStr">
        <is>
          <t>活著離開這顆星球</t>
        </is>
      </c>
      <c r="C4" s="5" t="n"/>
      <c r="D4" s="5" t="n"/>
      <c r="E4" s="6" t="n"/>
    </row>
    <row r="5">
      <c r="A5" s="3" t="inlineStr">
        <is>
          <t>底線</t>
        </is>
      </c>
      <c r="B5" s="4" t="inlineStr">
        <is>
          <t>絕不拋棄可修復的機器</t>
        </is>
      </c>
      <c r="C5" s="5" t="n"/>
      <c r="D5" s="5" t="n"/>
      <c r="E5" s="6" t="n"/>
    </row>
    <row r="6"/>
    <row r="7">
      <c r="A7" s="7" t="inlineStr">
        <is>
          <t>屬性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信仰</t>
        </is>
      </c>
      <c r="B8" s="4" t="n">
        <v>3</v>
      </c>
    </row>
    <row r="9">
      <c r="A9" s="3" t="inlineStr">
        <is>
          <t>體魄</t>
        </is>
      </c>
      <c r="B9" s="4" t="n">
        <v>2</v>
      </c>
    </row>
    <row r="10">
      <c r="A10" s="3" t="inlineStr">
        <is>
          <t>心智</t>
        </is>
      </c>
      <c r="B10" s="4" t="n">
        <v>3</v>
      </c>
    </row>
    <row r="11">
      <c r="A11" s="3" t="inlineStr">
        <is>
          <t>技藝</t>
        </is>
      </c>
      <c r="B11" s="4" t="n">
        <v>4</v>
      </c>
    </row>
    <row r="12">
      <c r="A12" s="3" t="inlineStr">
        <is>
          <t>命運</t>
        </is>
      </c>
      <c r="B12" s="4" t="n">
        <v>3</v>
      </c>
    </row>
    <row r="13"/>
    <row r="14">
      <c r="A14" s="7" t="inlineStr">
        <is>
          <t>衍生屬性（自動計算）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生命值（HP）</t>
        </is>
      </c>
      <c r="B15" s="9">
        <f>B9*4+5</f>
        <v/>
      </c>
      <c r="C15" s="3" t="inlineStr">
        <is>
          <t>防禦值</t>
        </is>
      </c>
      <c r="D15" s="9">
        <f>ROUNDUP(B11/2,0)</f>
        <v/>
      </c>
    </row>
    <row r="16">
      <c r="A16" s="3" t="inlineStr">
        <is>
          <t>先攻</t>
        </is>
      </c>
      <c r="B16" s="9">
        <f>B10+B11</f>
        <v/>
      </c>
      <c r="C16" s="3" t="inlineStr">
        <is>
          <t>速度</t>
        </is>
      </c>
      <c r="D16" s="9">
        <f>6+B9/2</f>
        <v/>
      </c>
    </row>
    <row r="17">
      <c r="A17" s="3" t="inlineStr">
        <is>
          <t>近戰 目標值（TN）</t>
        </is>
      </c>
      <c r="B17" s="9">
        <f>B9*10</f>
        <v/>
      </c>
      <c r="C17" s="3" t="inlineStr">
        <is>
          <t>遠程 目標值（TN）</t>
        </is>
      </c>
      <c r="D17" s="9">
        <f>B11*10</f>
        <v/>
      </c>
    </row>
    <row r="18"/>
    <row r="19">
      <c r="A19" s="7" t="inlineStr">
        <is>
          <t>夥伴系統（手動填入）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初始態度 (−3~+3)</t>
        </is>
      </c>
      <c r="B20" s="4" t="n">
        <v>1</v>
      </c>
      <c r="C20" s="3" t="inlineStr">
        <is>
          <t>當前態度</t>
        </is>
      </c>
      <c r="D20" s="4" t="n">
        <v>1</v>
      </c>
    </row>
    <row r="21">
      <c r="A21" s="3" t="inlineStr">
        <is>
          <t>動搖點 (0-10)</t>
        </is>
      </c>
      <c r="B21" s="4" t="n">
        <v>0</v>
      </c>
      <c r="C21" s="3" t="inlineStr">
        <is>
          <t>當前動搖點</t>
        </is>
      </c>
      <c r="D21" s="4" t="n">
        <v>0</v>
      </c>
    </row>
    <row r="22"/>
    <row r="23">
      <c r="A23" s="7" t="inlineStr">
        <is>
          <t>裝備與能力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主武器</t>
        </is>
      </c>
      <c r="B24" s="4" t="inlineStr">
        <is>
          <t>雷射手槍 1d6+1</t>
        </is>
      </c>
      <c r="C24" s="3" t="inlineStr">
        <is>
          <t>護甲</t>
        </is>
      </c>
      <c r="D24" s="4" t="inlineStr">
        <is>
          <t>防彈甲 AR2</t>
        </is>
      </c>
    </row>
    <row r="25">
      <c r="A25" s="3" t="inlineStr">
        <is>
          <t>個人物品</t>
        </is>
      </c>
      <c r="B25" s="4" t="inlineStr">
        <is>
          <t>數據板(運輸船坐標)</t>
        </is>
      </c>
      <c r="C25" s="3" t="inlineStr">
        <is>
          <t>關鍵技能</t>
        </is>
      </c>
      <c r="D25" s="4" t="inlineStr">
        <is>
          <t>技術(T) 調查(T)</t>
        </is>
      </c>
    </row>
    <row r="26"/>
    <row r="27">
      <c r="A27" s="3" t="inlineStr">
        <is>
          <t>特殊能力</t>
        </is>
      </c>
      <c r="B27" s="4" t="inlineStr">
        <is>
          <t>機械教訓練：技術檢定優勢。可修理受損裝備（每劇本1次恢復1級）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備註</t>
        </is>
      </c>
      <c r="B31" s="4" t="inlineStr">
        <is>
          <t>SB-1「唯一的甦醒者」。阿斯塔特模式的第一個凡人夥伴。她能修理你的裝備。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單人模式規則提示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戰鬥中玩家直接控制夥伴行動（與玩家相同行動經濟）</t>
        </is>
      </c>
    </row>
    <row r="37">
      <c r="A37" s="17" t="inlineStr">
        <is>
          <t>* 非戰鬥中GM扮演夥伴對話與決策——夥伴可能不同意玩家</t>
        </is>
      </c>
    </row>
    <row r="38">
      <c r="A38" s="17" t="inlineStr">
        <is>
          <t>* 夥伴不追蹤腐化值，改追蹤動搖點（0-10）</t>
        </is>
      </c>
    </row>
    <row r="39">
      <c r="A39" s="17" t="inlineStr">
        <is>
          <t>* 態度+3忠誠→自願承受致命傷害（一次性）｜態度−3→可能背叛</t>
        </is>
      </c>
    </row>
    <row r="40">
      <c r="A40" s="17" t="inlineStr">
        <is>
          <t>* 動搖點 4-6：戰鬥中偶爾猶豫｜7-9：可能拒絕危險命令｜10：崩潰</t>
        </is>
      </c>
    </row>
    <row r="41">
      <c r="A41" s="17" t="inlineStr">
        <is>
          <t>* 夥伴死亡→玩家信仰−2 + 腐化+3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單人模式 — NPC夥伴: 卡拉·瓦爾中尉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名稱</t>
        </is>
      </c>
      <c r="B3" s="4" t="inlineStr">
        <is>
          <t>卡拉·瓦爾中尉</t>
        </is>
      </c>
      <c r="C3" s="3" t="inlineStr">
        <is>
          <t>一句話描述</t>
        </is>
      </c>
      <c r="D3" s="4" t="inlineStr">
        <is>
          <t>前帝國衛隊軍官，曾在你戰團麾下服役</t>
        </is>
      </c>
    </row>
    <row r="4">
      <c r="A4" s="3" t="inlineStr">
        <is>
          <t>動機</t>
        </is>
      </c>
      <c r="B4" s="4" t="inlineStr">
        <is>
          <t>保護剩下的平民</t>
        </is>
      </c>
      <c r="C4" s="5" t="n"/>
      <c r="D4" s="5" t="n"/>
      <c r="E4" s="6" t="n"/>
    </row>
    <row r="5">
      <c r="A5" s="3" t="inlineStr">
        <is>
          <t>底線</t>
        </is>
      </c>
      <c r="B5" s="4" t="inlineStr">
        <is>
          <t>絕不拋棄平民</t>
        </is>
      </c>
      <c r="C5" s="5" t="n"/>
      <c r="D5" s="5" t="n"/>
      <c r="E5" s="6" t="n"/>
    </row>
    <row r="6"/>
    <row r="7">
      <c r="A7" s="7" t="inlineStr">
        <is>
          <t>屬性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信仰</t>
        </is>
      </c>
      <c r="B8" s="4" t="n">
        <v>3</v>
      </c>
    </row>
    <row r="9">
      <c r="A9" s="3" t="inlineStr">
        <is>
          <t>體魄</t>
        </is>
      </c>
      <c r="B9" s="4" t="n">
        <v>3</v>
      </c>
    </row>
    <row r="10">
      <c r="A10" s="3" t="inlineStr">
        <is>
          <t>心智</t>
        </is>
      </c>
      <c r="B10" s="4" t="n">
        <v>3</v>
      </c>
    </row>
    <row r="11">
      <c r="A11" s="3" t="inlineStr">
        <is>
          <t>技藝</t>
        </is>
      </c>
      <c r="B11" s="4" t="n">
        <v>3</v>
      </c>
    </row>
    <row r="12">
      <c r="A12" s="3" t="inlineStr">
        <is>
          <t>命運</t>
        </is>
      </c>
      <c r="B12" s="4" t="n">
        <v>3</v>
      </c>
    </row>
    <row r="13"/>
    <row r="14">
      <c r="A14" s="7" t="inlineStr">
        <is>
          <t>衍生屬性（自動計算）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生命值（HP）</t>
        </is>
      </c>
      <c r="B15" s="9">
        <f>B9*4+5</f>
        <v/>
      </c>
      <c r="C15" s="3" t="inlineStr">
        <is>
          <t>防禦值</t>
        </is>
      </c>
      <c r="D15" s="9">
        <f>ROUNDUP(B11/2,0)</f>
        <v/>
      </c>
    </row>
    <row r="16">
      <c r="A16" s="3" t="inlineStr">
        <is>
          <t>先攻</t>
        </is>
      </c>
      <c r="B16" s="9">
        <f>B10+B11</f>
        <v/>
      </c>
      <c r="C16" s="3" t="inlineStr">
        <is>
          <t>速度</t>
        </is>
      </c>
      <c r="D16" s="9">
        <f>6+B9/2</f>
        <v/>
      </c>
    </row>
    <row r="17">
      <c r="A17" s="3" t="inlineStr">
        <is>
          <t>近戰 目標值（TN）</t>
        </is>
      </c>
      <c r="B17" s="9">
        <f>B9*10</f>
        <v/>
      </c>
      <c r="C17" s="3" t="inlineStr">
        <is>
          <t>遠程 目標值（TN）</t>
        </is>
      </c>
      <c r="D17" s="9">
        <f>B11*10</f>
        <v/>
      </c>
    </row>
    <row r="18"/>
    <row r="19">
      <c r="A19" s="7" t="inlineStr">
        <is>
          <t>夥伴系統（手動填入）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初始態度 (−3~+3)</t>
        </is>
      </c>
      <c r="B20" s="4" t="n">
        <v>2</v>
      </c>
      <c r="C20" s="3" t="inlineStr">
        <is>
          <t>當前態度</t>
        </is>
      </c>
      <c r="D20" s="4" t="n">
        <v>2</v>
      </c>
    </row>
    <row r="21">
      <c r="A21" s="3" t="inlineStr">
        <is>
          <t>動搖點 (0-10)</t>
        </is>
      </c>
      <c r="B21" s="4" t="n">
        <v>0</v>
      </c>
      <c r="C21" s="3" t="inlineStr">
        <is>
          <t>當前動搖點</t>
        </is>
      </c>
      <c r="D21" s="4" t="n">
        <v>0</v>
      </c>
    </row>
    <row r="22"/>
    <row r="23">
      <c r="A23" s="7" t="inlineStr">
        <is>
          <t>裝備與能力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主武器</t>
        </is>
      </c>
      <c r="B24" s="4" t="inlineStr">
        <is>
          <t>自動槍 1d8+1</t>
        </is>
      </c>
      <c r="C24" s="3" t="inlineStr">
        <is>
          <t>護甲</t>
        </is>
      </c>
      <c r="D24" s="4" t="inlineStr">
        <is>
          <t>甲殼甲 AR3</t>
        </is>
      </c>
    </row>
    <row r="25">
      <c r="A25" s="3" t="inlineStr">
        <is>
          <t>個人物品</t>
        </is>
      </c>
      <c r="B25" s="4" t="inlineStr">
        <is>
          <t>破損戰團旗幟碎片</t>
        </is>
      </c>
      <c r="C25" s="3" t="inlineStr">
        <is>
          <t>關鍵技能</t>
        </is>
      </c>
      <c r="D25" s="4" t="inlineStr">
        <is>
          <t>指揮(T) 遠程射擊(T)</t>
        </is>
      </c>
    </row>
    <row r="26"/>
    <row r="27">
      <c r="A27" s="3" t="inlineStr">
        <is>
          <t>特殊能力</t>
        </is>
      </c>
      <c r="B27" s="4" t="inlineStr">
        <is>
          <t>老兵指揮：每場戰鬥1次為玩家提供免費優勢。旗幟記憶：持有旗幟時雙方信仰檢定+5TN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備註</t>
        </is>
      </c>
      <c r="B31" s="4" t="inlineStr">
        <is>
          <t>SB-2「兩人的廢墟」。她認出了你的戰團標記——這是40k中罕見的忠誠的延續。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單人模式規則提示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戰鬥中玩家直接控制夥伴行動（與玩家相同行動經濟）</t>
        </is>
      </c>
    </row>
    <row r="37">
      <c r="A37" s="17" t="inlineStr">
        <is>
          <t>* 非戰鬥中GM扮演夥伴對話與決策——夥伴可能不同意玩家</t>
        </is>
      </c>
    </row>
    <row r="38">
      <c r="A38" s="17" t="inlineStr">
        <is>
          <t>* 夥伴不追蹤腐化值，改追蹤動搖點（0-10）</t>
        </is>
      </c>
    </row>
    <row r="39">
      <c r="A39" s="17" t="inlineStr">
        <is>
          <t>* 態度+3忠誠→自願承受致命傷害（一次性）｜態度−3→可能背叛</t>
        </is>
      </c>
    </row>
    <row r="40">
      <c r="A40" s="17" t="inlineStr">
        <is>
          <t>* 動搖點 4-6：戰鬥中偶爾猶豫｜7-9：可能拒絕危險命令｜10：崩潰</t>
        </is>
      </c>
    </row>
    <row r="41">
      <c r="A41" s="17" t="inlineStr">
        <is>
          <t>* 夥伴死亡→玩家信仰−2 + 腐化+3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單人模式 — NPC夥伴: 機械教士 歐米克隆-7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名稱</t>
        </is>
      </c>
      <c r="B3" s="4" t="inlineStr">
        <is>
          <t>機械教士 歐米克隆-7</t>
        </is>
      </c>
      <c r="C3" s="3" t="inlineStr">
        <is>
          <t>一句話描述</t>
        </is>
      </c>
      <c r="D3" s="4" t="inlineStr">
        <is>
          <t>半機械化技術僧侶，被困6個月</t>
        </is>
      </c>
    </row>
    <row r="4">
      <c r="A4" s="3" t="inlineStr">
        <is>
          <t>動機</t>
        </is>
      </c>
      <c r="B4" s="4" t="inlineStr">
        <is>
          <t>回收STC碎片</t>
        </is>
      </c>
      <c r="C4" s="5" t="n"/>
      <c r="D4" s="5" t="n"/>
      <c r="E4" s="6" t="n"/>
    </row>
    <row r="5">
      <c r="A5" s="3" t="inlineStr">
        <is>
          <t>底線</t>
        </is>
      </c>
      <c r="B5" s="4" t="inlineStr">
        <is>
          <t>絕不損壞古代科技</t>
        </is>
      </c>
      <c r="C5" s="5" t="n"/>
      <c r="D5" s="5" t="n"/>
      <c r="E5" s="6" t="n"/>
    </row>
    <row r="6"/>
    <row r="7">
      <c r="A7" s="7" t="inlineStr">
        <is>
          <t>屬性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信仰</t>
        </is>
      </c>
      <c r="B8" s="4" t="n">
        <v>2</v>
      </c>
    </row>
    <row r="9">
      <c r="A9" s="3" t="inlineStr">
        <is>
          <t>體魄</t>
        </is>
      </c>
      <c r="B9" s="4" t="n">
        <v>3</v>
      </c>
    </row>
    <row r="10">
      <c r="A10" s="3" t="inlineStr">
        <is>
          <t>心智</t>
        </is>
      </c>
      <c r="B10" s="4" t="n">
        <v>5</v>
      </c>
    </row>
    <row r="11">
      <c r="A11" s="3" t="inlineStr">
        <is>
          <t>技藝</t>
        </is>
      </c>
      <c r="B11" s="4" t="n">
        <v>5</v>
      </c>
    </row>
    <row r="12">
      <c r="A12" s="3" t="inlineStr">
        <is>
          <t>命運</t>
        </is>
      </c>
      <c r="B12" s="4" t="n">
        <v>1</v>
      </c>
    </row>
    <row r="13"/>
    <row r="14">
      <c r="A14" s="7" t="inlineStr">
        <is>
          <t>衍生屬性（自動計算）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生命值（HP）</t>
        </is>
      </c>
      <c r="B15" s="9">
        <f>B9*4+5</f>
        <v/>
      </c>
      <c r="C15" s="3" t="inlineStr">
        <is>
          <t>防禦值</t>
        </is>
      </c>
      <c r="D15" s="9">
        <f>ROUNDUP(B11/2,0)</f>
        <v/>
      </c>
    </row>
    <row r="16">
      <c r="A16" s="3" t="inlineStr">
        <is>
          <t>先攻</t>
        </is>
      </c>
      <c r="B16" s="9">
        <f>B10+B11</f>
        <v/>
      </c>
      <c r="C16" s="3" t="inlineStr">
        <is>
          <t>速度</t>
        </is>
      </c>
      <c r="D16" s="9">
        <f>6+B9/2</f>
        <v/>
      </c>
    </row>
    <row r="17">
      <c r="A17" s="3" t="inlineStr">
        <is>
          <t>近戰 目標值（TN）</t>
        </is>
      </c>
      <c r="B17" s="9">
        <f>B9*10</f>
        <v/>
      </c>
      <c r="C17" s="3" t="inlineStr">
        <is>
          <t>遠程 目標值（TN）</t>
        </is>
      </c>
      <c r="D17" s="9">
        <f>B11*10</f>
        <v/>
      </c>
    </row>
    <row r="18"/>
    <row r="19">
      <c r="A19" s="7" t="inlineStr">
        <is>
          <t>夥伴系統（手動填入）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初始態度 (−3~+3)</t>
        </is>
      </c>
      <c r="B20" s="4" t="n">
        <v>0</v>
      </c>
      <c r="C20" s="3" t="inlineStr">
        <is>
          <t>當前態度</t>
        </is>
      </c>
      <c r="D20" s="4" t="n">
        <v>0</v>
      </c>
    </row>
    <row r="21">
      <c r="A21" s="3" t="inlineStr">
        <is>
          <t>動搖點 (0-10)</t>
        </is>
      </c>
      <c r="B21" s="4" t="n">
        <v>0</v>
      </c>
      <c r="C21" s="3" t="inlineStr">
        <is>
          <t>當前動搖點</t>
        </is>
      </c>
      <c r="D21" s="4" t="n">
        <v>0</v>
      </c>
    </row>
    <row r="22"/>
    <row r="23">
      <c r="A23" s="7" t="inlineStr">
        <is>
          <t>裝備與能力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主武器</t>
        </is>
      </c>
      <c r="B24" s="4" t="inlineStr">
        <is>
          <t>電擊棒 1d4+3能量</t>
        </is>
      </c>
      <c r="C24" s="3" t="inlineStr">
        <is>
          <t>護甲</t>
        </is>
      </c>
      <c r="D24" s="4" t="inlineStr">
        <is>
          <t>重型甲殼甲 AR4</t>
        </is>
      </c>
    </row>
    <row r="25">
      <c r="A25" s="3" t="inlineStr">
        <is>
          <t>個人物品</t>
        </is>
      </c>
      <c r="B25" s="4" t="inlineStr">
        <is>
          <t>機械教診斷器</t>
        </is>
      </c>
      <c r="C25" s="3" t="inlineStr">
        <is>
          <t>關鍵技能</t>
        </is>
      </c>
      <c r="D25" s="4" t="inlineStr">
        <is>
          <t>技術(E+20) 學識(T)</t>
        </is>
      </c>
    </row>
    <row r="26"/>
    <row r="27">
      <c r="A27" s="3" t="inlineStr">
        <is>
          <t>特殊能力</t>
        </is>
      </c>
      <c r="B27" s="4" t="inlineStr">
        <is>
          <t>機魂溝通：與機械互動不觸發防禦。科技祝福：每劇本1次武器+10命中直到戰鬥結束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備註</t>
        </is>
      </c>
      <c r="B31" s="4" t="inlineStr">
        <is>
          <t>SB-3備用夥伴（若凱拉/卡拉已死亡）。只在關心科技時合作。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單人模式規則提示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戰鬥中玩家直接控制夥伴行動（與玩家相同行動經濟）</t>
        </is>
      </c>
    </row>
    <row r="37">
      <c r="A37" s="17" t="inlineStr">
        <is>
          <t>* 非戰鬥中GM扮演夥伴對話與決策——夥伴可能不同意玩家</t>
        </is>
      </c>
    </row>
    <row r="38">
      <c r="A38" s="17" t="inlineStr">
        <is>
          <t>* 夥伴不追蹤腐化值，改追蹤動搖點（0-10）</t>
        </is>
      </c>
    </row>
    <row r="39">
      <c r="A39" s="17" t="inlineStr">
        <is>
          <t>* 態度+3忠誠→自願承受致命傷害（一次性）｜態度−3→可能背叛</t>
        </is>
      </c>
    </row>
    <row r="40">
      <c r="A40" s="17" t="inlineStr">
        <is>
          <t>* 動搖點 4-6：戰鬥中偶爾猶豫｜7-9：可能拒絕危險命令｜10：崩潰</t>
        </is>
      </c>
    </row>
    <row r="41">
      <c r="A41" s="17" t="inlineStr">
        <is>
          <t>* 夥伴死亡→玩家信仰−2 + 腐化+3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2026-06-29T03:52:09Z</dcterms:created>
  <dcterms:modified xsi:type="dcterms:W3CDTF">2026-07-18T07:38:13Z</dcterms:modified>
</cp:coreProperties>
</file>