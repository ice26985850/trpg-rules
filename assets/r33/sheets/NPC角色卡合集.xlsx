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-1 艾洛薇·芬奇" sheetId="1" state="visible" r:id="rId1"/>
    <sheet name="8-2 吉爾馬·薩托" sheetId="2" state="visible" r:id="rId2"/>
    <sheet name="8-3 莎莉·恩科西" sheetId="3" state="visible" r:id="rId3"/>
    <sheet name="8-4 希爾妲·蘭恩" sheetId="4" state="visible" r:id="rId4"/>
    <sheet name="8-5 泰奧·布蘭卡" sheetId="5" state="visible" r:id="rId5"/>
    <sheet name="8-6 回聲·四七" sheetId="6" state="visible" r:id="rId6"/>
    <sheet name="8-7 回聲·抱空者" sheetId="7" state="visible" r:id="rId7"/>
    <sheet name="8-8 回聲·擦手的人" sheetId="8" state="visible" r:id="rId8"/>
    <sheet name="8-9 回聲·希爾妲" sheetId="9" state="visible" r:id="rId9"/>
    <sheet name="8-10 井裡的合唱" sheetId="10" state="visible" r:id="rId10"/>
    <sheet name="8-11 鐵鏽合唱" sheetId="11" state="visible" r:id="rId11"/>
    <sheet name="8-12 水下的聲音" sheetId="12" state="visible" r:id="rId12"/>
    <sheet name="8-13 十七號" sheetId="13" state="visible" r:id="rId13"/>
    <sheet name="8-14 持鏡人·阿黎" sheetId="14" state="visible" r:id="rId14"/>
    <sheet name="8-15 拾遺者·法恩" sheetId="15" state="visible" r:id="rId15"/>
    <sheet name="8-16 無名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7C8A96"/>
      <sz val="10"/>
    </font>
    <font>
      <name val="Microsoft JhengHei"/>
      <b val="1"/>
      <color rgb="002E3A46"/>
      <sz val="10"/>
    </font>
    <font>
      <name val="Microsoft JhengHei"/>
      <color rgb="002E3A46"/>
      <sz val="10"/>
    </font>
    <font>
      <name val="Microsoft JhengHei"/>
      <b val="1"/>
      <color rgb="00FFFFFF"/>
      <sz val="11"/>
    </font>
    <font>
      <name val="Microsoft JhengHei"/>
      <b val="1"/>
      <color rgb="008A5A00"/>
      <sz val="10"/>
    </font>
    <font>
      <name val="Microsoft JhengHei"/>
      <i val="1"/>
      <color rgb="006B7885"/>
      <sz val="9"/>
    </font>
  </fonts>
  <fills count="11">
    <fill>
      <patternFill/>
    </fill>
    <fill>
      <patternFill patternType="gray125"/>
    </fill>
    <fill>
      <patternFill patternType="solid">
        <fgColor rgb="002E4A38"/>
      </patternFill>
    </fill>
    <fill>
      <patternFill patternType="solid">
        <fgColor rgb="00F0F2F4"/>
      </patternFill>
    </fill>
    <fill>
      <patternFill patternType="solid">
        <fgColor rgb="00E8ECEF"/>
      </patternFill>
    </fill>
    <fill>
      <patternFill patternType="solid">
        <fgColor rgb="00FFFFFF"/>
      </patternFill>
    </fill>
    <fill>
      <patternFill patternType="solid">
        <fgColor rgb="005A6B7C"/>
      </patternFill>
    </fill>
    <fill>
      <patternFill patternType="solid">
        <fgColor rgb="00E8F5E9"/>
      </patternFill>
    </fill>
    <fill>
      <patternFill patternType="solid">
        <fgColor rgb="00FFF6E0"/>
      </patternFill>
    </fill>
    <fill>
      <patternFill patternType="solid">
        <fgColor rgb="00F5F7F8"/>
      </patternFill>
    </fill>
    <fill>
      <patternFill patternType="solid">
        <fgColor rgb="003A4A5E"/>
      </patternFill>
    </fill>
  </fills>
  <borders count="3">
    <border>
      <left/>
      <right/>
      <top/>
      <bottom/>
      <diagonal/>
    </border>
    <border>
      <left style="medium">
        <color rgb="007C8A96"/>
      </left>
      <right style="medium">
        <color rgb="007C8A96"/>
      </right>
      <top style="medium">
        <color rgb="007C8A96"/>
      </top>
      <bottom style="medium">
        <color rgb="007C8A96"/>
      </bottom>
    </border>
    <border>
      <left style="thin">
        <color rgb="00B7C0C8"/>
      </left>
      <right style="thin">
        <color rgb="00B7C0C8"/>
      </right>
      <top style="thin">
        <color rgb="00B7C0C8"/>
      </top>
      <bottom style="thin">
        <color rgb="00B7C0C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5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3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0" fillId="8" borderId="2" pivotButton="0" quotePrefix="0" xfId="0"/>
    <xf numFmtId="0" fontId="4" fillId="5" borderId="2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center" vertical="center" wrapText="1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艾洛薇·芬奇（Elowyn Finch）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營火同伴</t>
        </is>
      </c>
      <c r="F3" s="7" t="n"/>
      <c r="G3" s="5" t="inlineStr">
        <is>
          <t>定位</t>
        </is>
      </c>
      <c r="H3" s="6" t="inlineStr">
        <is>
          <t>營火記錄者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5</v>
      </c>
      <c r="F4" s="7" t="n"/>
      <c r="G4" s="5" t="inlineStr">
        <is>
          <t>首次登場</t>
        </is>
      </c>
      <c r="H4" s="8" t="inlineStr">
        <is>
          <t>S1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營火（Campfire）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三十多歲，短髮，兩隻小臂佈滿指甲刻出的舊疤，層層疊疊。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低</t>
        </is>
      </c>
      <c r="D9" s="8" t="n">
        <v>3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中</t>
        </is>
      </c>
      <c r="D10" s="8" t="n">
        <v>5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中</t>
        </is>
      </c>
      <c r="D11" s="8" t="n">
        <v>5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高</t>
        </is>
      </c>
      <c r="D12" s="8" t="n">
        <v>7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極高</t>
        </is>
      </c>
      <c r="D13" s="8" t="n">
        <v>9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記住。她不指望逃出去，她指望「這件事被記下來」。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來歷不明。她在營火旁待得比任何人都久。她刻字，刻在鐵皮上、石板上、自己身上。她曾被帶進十三號療程室，但重鑄失敗——她的恨不夠。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S1 教學／S2 揭露刻痕是她的／S6 揭露她進過十三號房／S7 說出軸心台詞／S8 陪到最後。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「我每次回來都會忘記。所以我在外面刻，也在自己身上刻。」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營火場景中可向她詢問任一已探索領域的一則刻痕內容（每個劇本 1 次，免費）。她的手臂刻痕是全戰役的「已知情報索引」，主持人（GM）可用來提示玩家遺漏的線索。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玩家主動替她包紮或替她刻字：+1 營火餘燼（每個劇本上限 1 次）。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她是資訊錨也是情感錨。當玩家迷失方向時，讓她開口；當玩家太順利時，讓她沉默。S7 的軸心台詞務必由她說出。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吉爾馬·薩托（Gilmar Sato）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營火同伴</t>
        </is>
      </c>
      <c r="F3" s="7" t="n"/>
      <c r="G3" s="5" t="inlineStr">
        <is>
          <t>定位</t>
        </is>
      </c>
      <c r="H3" s="6" t="inlineStr">
        <is>
          <t>拾荒型倖存者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4</v>
      </c>
      <c r="F4" s="7" t="n"/>
      <c r="G4" s="5" t="inlineStr">
        <is>
          <t>首次登場</t>
        </is>
      </c>
      <c r="H4" s="8" t="inlineStr">
        <is>
          <t>S1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營火（Campfire）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六十多歲，駝背，口袋永遠鼓鼓的，裡面全是撿來的沒用的東西。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低</t>
        </is>
      </c>
      <c r="D9" s="8" t="n">
        <v>3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高</t>
        </is>
      </c>
      <c r="D10" s="8" t="n">
        <v>7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高</t>
        </is>
      </c>
      <c r="D11" s="8" t="n">
        <v>7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中</t>
        </is>
      </c>
      <c r="D12" s="8" t="n">
        <v>5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中</t>
        </is>
      </c>
      <c r="D13" s="8" t="n">
        <v>5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「東西總要有人收著。」他不知道為什麼，但他覺得丟掉東西是錯的。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他撿東西的習慣是最後剩下的人格。他已經被榨了很多次，記憶幾乎全空。但他一直記得撿東西。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S2 帶回刻痕鐵皮／S4 帶回名單／S5 墜入虛空，可被救回／S8 若救回，他會記得玩家的名字。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「這個？不知道是什麼。但它以前是某個人的。」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每個劇本開場，他會給玩家 1 件隨機低階物品（主持人（GM）自 22_物品條目.md 選取）。S5 若未被救回，此效果永久消失。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S5 成功救回吉爾馬：+5 營火餘燼，且 S8 中他會叫出玩家角色的名字（觸發 +1 希望點（HOP））。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他的價值在對比：一個什麼都記不住的人，卻記得替別人留東西。S5 的救援抉擇要讓玩家付出真實代價，不要免費。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莎莉·恩科西（Sadie Nkosi）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營火同伴</t>
        </is>
      </c>
      <c r="F3" s="7" t="n"/>
      <c r="G3" s="5" t="inlineStr">
        <is>
          <t>定位</t>
        </is>
      </c>
      <c r="H3" s="6" t="inlineStr">
        <is>
          <t>植物學背景的倖存者·理性派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4</v>
      </c>
      <c r="F4" s="7" t="n"/>
      <c r="G4" s="5" t="inlineStr">
        <is>
          <t>首次登場</t>
        </is>
      </c>
      <c r="H4" s="8" t="inlineStr">
        <is>
          <t>S1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營火（Campfire）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二十多歲，指甲縫裡永遠有土，習慣蹲著觀察東西。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中</t>
        </is>
      </c>
      <c r="D9" s="8" t="n">
        <v>5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中</t>
        </is>
      </c>
      <c r="D10" s="8" t="n">
        <v>5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中</t>
        </is>
      </c>
      <c r="D11" s="8" t="n">
        <v>5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極高</t>
        </is>
      </c>
      <c r="D12" s="8" t="n">
        <v>9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中</t>
        </is>
      </c>
      <c r="D13" s="8" t="n">
        <v>5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搞懂它。她不覺得這裡是超自然的，她覺得這裡是一個生態系，而生態系有規律。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她一直在做筆記，用她自己發明的符號。她的推論常常是對的，但她推得太快，容易忽略人。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S3 提供樹根線索／S3 若同行會摘錯囊，性格從此改變（變得偶爾說出不屬於自己的話）／S6 說出重鑄的問答內容。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「根不吃土。它吃別的東西。你只要問『它在吃什麼』，答案就都出來了。」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營火場景中，玩家可請她分析一件帶回的物品或線索：專注（FOC）檢定 vs 難度等級（DC）12，成功則主持人（GM）揭露該物件的一項隱藏性質。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玩家在 S3 阻止她摘錯囊：+3 營火餘燼，且她在 S6 的情報更精確（提前一輪揭露）。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她是玩家的「推理外掛」，但要讓她推錯至少一次，否則玩家會停止思考。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希爾妲·蘭恩（Hilda Rayne）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營火同伴</t>
        </is>
      </c>
      <c r="F3" s="7" t="n"/>
      <c r="G3" s="5" t="inlineStr">
        <is>
          <t>定位</t>
        </is>
      </c>
      <c r="H3" s="6" t="inlineStr">
        <is>
          <t>營火同伴 → 緘默者（SIL）（S6 之後）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4</v>
      </c>
      <c r="F4" s="7" t="n"/>
      <c r="G4" s="5" t="inlineStr">
        <is>
          <t>首次登場</t>
        </is>
      </c>
      <c r="H4" s="8" t="inlineStr">
        <is>
          <t>S1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營火（Campfire）→ R4 克羅特斯精神病院·十三號療程室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四十多歲，很安靜，總是坐在火圈的最外緣。重鑄後：病患服，臉纏繃帶。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中</t>
        </is>
      </c>
      <c r="D9" s="8" t="n">
        <v>5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中</t>
        </is>
      </c>
      <c r="D10" s="8" t="n">
        <v>5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極高</t>
        </is>
      </c>
      <c r="D11" s="8" t="n">
        <v>9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中</t>
        </is>
      </c>
      <c r="D12" s="8" t="n">
        <v>5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低</t>
        </is>
      </c>
      <c r="D13" s="8" t="n">
        <v>3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起初：撐下去。後來：讓某個人也嘗嘗這種滋味。（她不記得那個人是誰了，但恨還在）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她在營火待的時間僅次於艾洛薇。她的希望在第五、第六個劇本之間耗盡，但恨意還在——所以她不會進虛空，她會進十三號療程室。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S1–S5 背景存在（主持人（GM）必須讓她出現足夠多次，玩家才會在意）／S6 核心／S7–S8 依 S6 抉擇為敵或友。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（重鑄前）「恨算不算一種希望？」／（重鑄後，若猶豫觸發）「你……別……跑……」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S6 之後她轉為殺手化身「緘默者（SIL）」，改用敵人角色卡（見 敵人角色卡合集.xlsx）。若 S6 玩家選擇「喊她的名字」，S7 起她以回聲同伴形態回歸（見 8-9 回聲·希爾妲）。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S1–S5 每次玩家主動與她互動：累積 1 點「羈絆計數」。S6 的喊名檢定每點 −1 難度等級（DC）。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希爾妲的效果完全取決於前置鋪墊。從 S1 開始，每個營火場景都給她一兩句話。讓她替玩家包紮、讓她在玩家失敗時說「下次就好」。如果玩家在 S6 沒有心痛，是主持人（GM）的失敗，不是設計的失敗。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泰奧·布蘭卡（Teo Blanca）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營火同伴</t>
        </is>
      </c>
      <c r="F3" s="7" t="n"/>
      <c r="G3" s="5" t="inlineStr">
        <is>
          <t>定位</t>
        </is>
      </c>
      <c r="H3" s="6" t="inlineStr">
        <is>
          <t>新來的。永遠都有一個「新來的」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1</v>
      </c>
      <c r="F4" s="7" t="n"/>
      <c r="G4" s="5" t="inlineStr">
        <is>
          <t>首次登場</t>
        </is>
      </c>
      <c r="H4" s="8" t="inlineStr">
        <is>
          <t>S1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營火（Campfire）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每個劇本換一個人。主持人（GM）應該每次都描述一個不同的新人。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低</t>
        </is>
      </c>
      <c r="D9" s="8" t="n">
        <v>3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低</t>
        </is>
      </c>
      <c r="D10" s="8" t="n">
        <v>3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低</t>
        </is>
      </c>
      <c r="D11" s="8" t="n">
        <v>3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低</t>
        </is>
      </c>
      <c r="D12" s="8" t="n">
        <v>3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低</t>
        </is>
      </c>
      <c r="D13" s="8" t="n">
        <v>3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出去。他還相信可以出去。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「泰奧·布蘭卡」不是一個人，是一個位置。每次有人被獻祭光、被丟進虛空或被重鑄，就會有一個新的人在營火旁醒來。其他人會下意識地叫他泰奧，因為記不住新名字了。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情緒溫度計。玩家對待泰奧的方式，反映他們自己的狀態。S8「餘火」終局中，最後那個新來的人就是泰奧。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「我們要怎麼出去？」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每個劇本開場時泰奧都是不同的人。若玩家在該劇本中記住並使用他的「真名」，本劇本內全隊獲得 +1 希望點（HOP）上限。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玩家在第五個劇本之後仍記得問泰奧的名字：+3 營火餘燼。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他讓「循環」有了人臉。當玩家在第五個劇本開始懶得記泰奧的名字時——他們就變成了他們最怕變成的樣子。主持人（GM）應該在某個時刻輕輕點破這件事。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回聲·四七（Echo: Forty-Seven）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回聲同伴</t>
        </is>
      </c>
      <c r="F3" s="7" t="n"/>
      <c r="G3" s="5" t="inlineStr">
        <is>
          <t>定位</t>
        </is>
      </c>
      <c r="H3" s="6" t="inlineStr">
        <is>
          <t>回聲同伴（S1 起）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1</v>
      </c>
      <c r="F4" s="7" t="n"/>
      <c r="G4" s="5" t="inlineStr">
        <is>
          <t>首次登場</t>
        </is>
      </c>
      <c r="H4" s="8" t="inlineStr">
        <is>
          <t>S1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霧窖（Fogcellar）召回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一個看不清臉的人形，動作有一點延遲，像是隔了一層水。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中</t>
        </is>
      </c>
      <c r="D9" s="8" t="n">
        <v>5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低</t>
        </is>
      </c>
      <c r="D10" s="8" t="n">
        <v>3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低</t>
        </is>
      </c>
      <c r="D11" s="8" t="n">
        <v>3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低</t>
        </is>
      </c>
      <c r="D12" s="8" t="n">
        <v>3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低</t>
        </is>
      </c>
      <c r="D13" s="8" t="n">
        <v>3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無（它沒有動機。它只是在數）。殘留行為：數數，從 1 數到 100，然後從頭。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霧窖召回的舊倖存者殘影。不思考，只執行殘留的動作。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S1 起可被召喚為回聲同伴。數量 ＝ MAX(0, 3 − 倖存者玩家人數 N)。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「……四十七。四十八。」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它數到 100 的時候會停下來，看你一眼。如果玩家在那一秒回看它，+1 希望點（HOP）。（主持人（GM）每場試煉安排 1 次，時機自定）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回看：+1 希望點（HOP）。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不扮演、不配音、不對話。每輪一句話帶過。數數的聲音是它唯一的存在感——在殺手接近時，讓數數的聲音停下來，這比任何描述都有效。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回聲·抱空者（Echo: The Holder）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回聲同伴</t>
        </is>
      </c>
      <c r="F3" s="7" t="n"/>
      <c r="G3" s="5" t="inlineStr">
        <is>
          <t>定位</t>
        </is>
      </c>
      <c r="H3" s="6" t="inlineStr">
        <is>
          <t>回聲同伴（S2 起）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1</v>
      </c>
      <c r="F4" s="7" t="n"/>
      <c r="G4" s="5" t="inlineStr">
        <is>
          <t>首次登場</t>
        </is>
      </c>
      <c r="H4" s="8" t="inlineStr">
        <is>
          <t>S2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霧窖（Fogcellar）召回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雙臂一直維持著抱東西的姿勢，懷裡什麼都沒有。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低</t>
        </is>
      </c>
      <c r="D9" s="8" t="n">
        <v>3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低</t>
        </is>
      </c>
      <c r="D10" s="8" t="n">
        <v>3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低</t>
        </is>
      </c>
      <c r="D11" s="8" t="n">
        <v>3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低</t>
        </is>
      </c>
      <c r="D12" s="8" t="n">
        <v>3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中</t>
        </is>
      </c>
      <c r="D13" s="8" t="n">
        <v>5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無。殘留行為：抱著。它移動時會小心地避開障礙物，好像怕撞到懷裡的東西。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霧窖召回的舊倖存者殘影。不思考，只執行殘留的動作。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S2 起可被召喚為回聲同伴。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（無台詞。它不說話。）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若玩家治療它至健康（Healthy），它會把「懷裡的東西」遞給玩家。那是空的。遞出去之後，手就放下來了，然後它會開始跟著玩家（該試煉剩餘輪次中，它的三行行為表第 ① 項改為「跟隨該玩家並協助其當前動作」）。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治療至健康：+1 希望點（HOP） ＋ 1 點營火餘燼。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它避開障礙物的動作要描述出來。玩家會自己想通那個空的懷抱是什麼。不要解釋。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回聲·擦手的人（Echo: The Washer）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回聲同伴</t>
        </is>
      </c>
      <c r="F3" s="7" t="n"/>
      <c r="G3" s="5" t="inlineStr">
        <is>
          <t>定位</t>
        </is>
      </c>
      <c r="H3" s="6" t="inlineStr">
        <is>
          <t>回聲同伴（S3 起）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1</v>
      </c>
      <c r="F4" s="7" t="n"/>
      <c r="G4" s="5" t="inlineStr">
        <is>
          <t>首次登場</t>
        </is>
      </c>
      <c r="H4" s="8" t="inlineStr">
        <is>
          <t>S3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霧窖（Fogcellar）召回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不斷地擦手，用衣角、用牆、用任何東西。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低</t>
        </is>
      </c>
      <c r="D9" s="8" t="n">
        <v>3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低</t>
        </is>
      </c>
      <c r="D10" s="8" t="n">
        <v>3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中</t>
        </is>
      </c>
      <c r="D11" s="8" t="n">
        <v>5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低</t>
        </is>
      </c>
      <c r="D12" s="8" t="n">
        <v>3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低</t>
        </is>
      </c>
      <c r="D13" s="8" t="n">
        <v>3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無。殘留行為：擦手。擦不乾淨。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霧窖召回的舊倖存者殘影。它的記憶囊也在霧窖裡（S3）。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S3 起可被召喚為回聲同伴；S3 可替它摘囊；S5 虛空中會認出玩家。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（擦手的聲音。）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玩家可花掉自己的摘囊機會替它摘。若如此：它在 S5 的虛空中會認出玩家並主動走過來——這是全戰役唯一一次回聲主動接觸玩家。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替它摘囊：+3 營火餘燼。S5 主動接觸：再 +5 營火餘燼。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擦手的聲音要在安靜的時候出現。玩家蹲在櫃子裡屏息時，遠處有人在擦手——這是本系統最好用的一個環境音。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回聲·希爾妲（Echo: Hilda）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回聲同伴</t>
        </is>
      </c>
      <c r="F3" s="7" t="n"/>
      <c r="G3" s="5" t="inlineStr">
        <is>
          <t>定位</t>
        </is>
      </c>
      <c r="H3" s="6" t="inlineStr">
        <is>
          <t>回聲同伴（S7 起，僅在 S6 選擇「喊她的名字」時出現）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1</v>
      </c>
      <c r="F4" s="7" t="n"/>
      <c r="G4" s="5" t="inlineStr">
        <is>
          <t>首次登場</t>
        </is>
      </c>
      <c r="H4" s="8" t="inlineStr">
        <is>
          <t>S7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霧窖（Fogcellar）召回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希爾妲，但很淡。她的臉是對的，但她不看人。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低</t>
        </is>
      </c>
      <c r="D9" s="8" t="n">
        <v>3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低</t>
        </is>
      </c>
      <c r="D10" s="8" t="n">
        <v>3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高</t>
        </is>
      </c>
      <c r="D11" s="8" t="n">
        <v>7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低</t>
        </is>
      </c>
      <c r="D12" s="8" t="n">
        <v>3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低</t>
        </is>
      </c>
      <c r="D13" s="8" t="n">
        <v>3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無。殘留行為：坐在火圈的最外緣（即使沒有火）。移動時總是走在隊伍最後。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S6 玩家喊出本名後，緘默者（SIL）的重鑄崩解，殘留下的部分回到霧窖。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S7–S8 登場。S8「極燃燎原」終局中若被指定帶回，她會在現實世界醒來，並且記得。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（她偶爾會非常小聲地說：「……下次就好。」——這是她在 S1–S5 對玩家說過的話。）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若玩家在 S7 或 S8 對她做出任一利他行為，營火餘燼獎勵翻倍。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利他行為：營火餘燼獎勵 ×2。S8 帶回：終局變體「她記得」。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她走在隊伍最後這件事，每一輪都要提一次。玩家會開始回頭確認她還在。那個回頭的動作就是本戰役的主題。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9" t="inlineStr">
        <is>
          <t>黎明殺機TRPG　非玩家角色（NPC）卡　·　簡易型（無實體／敘事型）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低語者·井裡的合唱（The Chorus in the Pit）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低語者</t>
        </is>
      </c>
      <c r="F3" s="7" t="n"/>
      <c r="G3" s="5" t="inlineStr">
        <is>
          <t>首次登場</t>
        </is>
      </c>
      <c r="H3" s="8" t="inlineStr">
        <is>
          <t>S1</t>
        </is>
      </c>
      <c r="I3" s="7" t="n"/>
    </row>
    <row r="4">
      <c r="A4" s="4" t="n"/>
      <c r="B4" s="4" t="n"/>
      <c r="C4" s="4" t="n"/>
      <c r="D4" s="5" t="inlineStr">
        <is>
          <t>所屬領域／所在</t>
        </is>
      </c>
      <c r="E4" s="6" t="inlineStr">
        <is>
          <t>R1 麥克米蘭莊園（窒息坑）</t>
        </is>
      </c>
      <c r="F4" s="7" t="n"/>
      <c r="G4" s="7" t="n"/>
      <c r="H4" s="7" t="n"/>
      <c r="I4" s="7" t="n"/>
    </row>
    <row r="5">
      <c r="A5" s="4" t="n"/>
      <c r="B5" s="4" t="n"/>
      <c r="C5" s="4" t="n"/>
      <c r="D5" s="5" t="inlineStr">
        <is>
          <t>定位</t>
        </is>
      </c>
      <c r="E5" s="6" t="inlineStr">
        <is>
          <t>依附於領域的聲音型殘影。無形體。可交易情報</t>
        </is>
      </c>
      <c r="F5" s="7" t="n"/>
      <c r="G5" s="7" t="n"/>
      <c r="H5" s="7" t="n"/>
      <c r="I5" s="7" t="n"/>
    </row>
    <row r="6" ht="36" customHeight="1">
      <c r="A6" s="12" t="inlineStr">
        <is>
          <t>形式／外觀</t>
        </is>
      </c>
      <c r="B6" s="13" t="n"/>
      <c r="C6" s="13" t="n"/>
      <c r="D6" s="18" t="inlineStr">
        <is>
          <t>齊聲的哼唱，沒有歌詞，聲部很多。無實體。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互動規則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30" customHeight="1">
      <c r="A8" s="12" t="inlineStr">
        <is>
          <t>動機</t>
        </is>
      </c>
      <c r="B8" s="13" t="n"/>
      <c r="C8" s="18" t="inlineStr">
        <is>
          <t>想被聽完。它們的歌從來沒有唱到最後一句。</t>
        </is>
      </c>
      <c r="D8" s="7" t="n"/>
      <c r="E8" s="7" t="n"/>
      <c r="F8" s="7" t="n"/>
      <c r="G8" s="7" t="n"/>
      <c r="H8" s="7" t="n"/>
      <c r="I8" s="7" t="n"/>
    </row>
    <row r="9" ht="44" customHeight="1">
      <c r="A9" s="12" t="inlineStr">
        <is>
          <t>交易／互動價碼</t>
        </is>
      </c>
      <c r="B9" s="13" t="n"/>
      <c r="C9" s="18" t="inlineStr">
        <is>
          <t>1 點希望點（HOP） ＝ 一條試煉資訊。若玩家跟著哼一段（玩家真的要哼），免費給一條。</t>
        </is>
      </c>
      <c r="D9" s="7" t="n"/>
      <c r="E9" s="7" t="n"/>
      <c r="F9" s="7" t="n"/>
      <c r="G9" s="7" t="n"/>
      <c r="H9" s="7" t="n"/>
      <c r="I9" s="7" t="n"/>
    </row>
    <row r="10" ht="40" customHeight="1">
      <c r="A10" s="12" t="inlineStr">
        <is>
          <t>限制與禁則</t>
        </is>
      </c>
      <c r="B10" s="13" t="n"/>
      <c r="C10" s="18" t="inlineStr">
        <is>
          <t>不說謊，但只回答字面上被問到的問題。每名倖存者每場試煉最多傾聽 2 次，第 3 次起自動大失敗。獨行配置（N ＝ 1）：傾聽次數上限提升為 4 次，難度等級（DC）降為 12。</t>
        </is>
      </c>
      <c r="D10" s="7" t="n"/>
      <c r="E10" s="7" t="n"/>
      <c r="F10" s="7" t="n"/>
      <c r="G10" s="7" t="n"/>
      <c r="H10" s="7" t="n"/>
      <c r="I10" s="7" t="n"/>
    </row>
    <row r="11" ht="20" customHeight="1">
      <c r="A11" s="10" t="inlineStr">
        <is>
          <t>二　數據（若有實體）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2" t="inlineStr">
        <is>
          <t>意志（WIL）</t>
        </is>
      </c>
      <c r="B12" s="13" t="n"/>
      <c r="C12" s="8" t="n"/>
      <c r="D12" s="5" t="inlineStr">
        <is>
          <t>屬性加值（AB）</t>
        </is>
      </c>
      <c r="E12" s="14">
        <f>IF(C12="","—",INT(C12/2))</f>
        <v/>
      </c>
      <c r="F12" s="5" t="inlineStr">
        <is>
          <t>干擾／驅散難度等級（DC）</t>
        </is>
      </c>
      <c r="G12" s="9" t="n"/>
      <c r="H12" s="14">
        <f>IF(C12="","—",10+INT(C12/2))</f>
        <v/>
      </c>
      <c r="I12" s="17" t="n"/>
    </row>
    <row r="13">
      <c r="A13" s="15" t="inlineStr">
        <is>
          <t>無實體的低語者（Whisperer）不可被攻擊、不可被驅散、不佔遭遇預算（EB）。殘影（Haunt）若具實體，請改用「領域造物卡」建卡。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 ht="20" customHeight="1">
      <c r="A14" s="10" t="inlineStr">
        <is>
          <t>三　敘事資料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 ht="46" customHeight="1">
      <c r="A15" s="12" t="inlineStr">
        <is>
          <t>背景</t>
        </is>
      </c>
      <c r="B15" s="13" t="n"/>
      <c r="C15" s="18" t="inlineStr">
        <is>
          <t>與領域造物 RC-02 井裡的合唱（The Choir in the Well）為同一存在的兩種呈現：低語者卡用於情報交易，領域造物卡用於遭遇數據。</t>
        </is>
      </c>
      <c r="D15" s="7" t="n"/>
      <c r="E15" s="7" t="n"/>
      <c r="F15" s="7" t="n"/>
      <c r="G15" s="7" t="n"/>
      <c r="H15" s="7" t="n"/>
      <c r="I15" s="7" t="n"/>
    </row>
    <row r="16" ht="40" customHeight="1">
      <c r="A16" s="12" t="inlineStr">
        <is>
          <t>在主線中的作用</t>
        </is>
      </c>
      <c r="B16" s="13" t="n"/>
      <c r="C16" s="18" t="inlineStr">
        <is>
          <t>S1 起可交易。是獨行配置（配置一）最重要的情報來源之一，補償無隊友報點。</t>
        </is>
      </c>
      <c r="D16" s="7" t="n"/>
      <c r="E16" s="7" t="n"/>
      <c r="F16" s="7" t="n"/>
      <c r="G16" s="7" t="n"/>
      <c r="H16" s="7" t="n"/>
      <c r="I16" s="7" t="n"/>
    </row>
    <row r="17" ht="34" customHeight="1">
      <c r="A17" s="12" t="inlineStr">
        <is>
          <t>代表台詞</t>
        </is>
      </c>
      <c r="B17" s="13" t="n"/>
      <c r="C17" s="18" t="inlineStr">
        <is>
          <t>「……（哼唱中夾雜著你的名字）」</t>
        </is>
      </c>
      <c r="D17" s="7" t="n"/>
      <c r="E17" s="7" t="n"/>
      <c r="F17" s="7" t="n"/>
      <c r="G17" s="7" t="n"/>
      <c r="H17" s="7" t="n"/>
      <c r="I17" s="7" t="n"/>
    </row>
    <row r="18" ht="44" customHeight="1">
      <c r="A18" s="12" t="inlineStr">
        <is>
          <t>特殊規則</t>
        </is>
      </c>
      <c r="B18" s="13" t="n"/>
      <c r="C18" s="18" t="inlineStr">
        <is>
          <t>玩家真的哼一段——這條規則要照字面執行。桌邊會很尷尬，那個尷尬就是設計的一部分。</t>
        </is>
      </c>
      <c r="D18" s="7" t="n"/>
      <c r="E18" s="7" t="n"/>
      <c r="F18" s="7" t="n"/>
      <c r="G18" s="7" t="n"/>
      <c r="H18" s="7" t="n"/>
      <c r="I18" s="7" t="n"/>
    </row>
    <row r="19" ht="20" customHeight="1">
      <c r="A19" s="10" t="inlineStr">
        <is>
          <t>四　主持人（GM）執行提示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 ht="52" customHeight="1">
      <c r="A20" s="18" t="inlineStr">
        <is>
          <t>不要替它配音成「恐怖的合唱」。它只是很多人一起哼一首沒有結尾的歌。恐怖來自「為什麼會有這麼多人」。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</row>
  </sheetData>
  <mergeCells count="32">
    <mergeCell ref="A7:I7"/>
    <mergeCell ref="A15:B15"/>
    <mergeCell ref="C17:I17"/>
    <mergeCell ref="C8:I8"/>
    <mergeCell ref="E5:I5"/>
    <mergeCell ref="A2:C5"/>
    <mergeCell ref="F12:G12"/>
    <mergeCell ref="A16:B16"/>
    <mergeCell ref="E4:I4"/>
    <mergeCell ref="C18:I18"/>
    <mergeCell ref="A14:I14"/>
    <mergeCell ref="C15:I15"/>
    <mergeCell ref="A18:B18"/>
    <mergeCell ref="A20:I20"/>
    <mergeCell ref="A12:B12"/>
    <mergeCell ref="A19:I19"/>
    <mergeCell ref="A13:I13"/>
    <mergeCell ref="E2:I2"/>
    <mergeCell ref="C10:I10"/>
    <mergeCell ref="C16:I16"/>
    <mergeCell ref="A17:B17"/>
    <mergeCell ref="A8:B8"/>
    <mergeCell ref="H3:I3"/>
    <mergeCell ref="H12:I12"/>
    <mergeCell ref="C9:I9"/>
    <mergeCell ref="A11:I11"/>
    <mergeCell ref="A6:C6"/>
    <mergeCell ref="A10:B10"/>
    <mergeCell ref="A1:I1"/>
    <mergeCell ref="D6:I6"/>
    <mergeCell ref="A9:B9"/>
    <mergeCell ref="E3:F3"/>
  </mergeCells>
  <dataValidations count="1">
    <dataValidation sqref="E3:F3" showDropDown="0" showInputMessage="0" showErrorMessage="0" allowBlank="1" type="list">
      <formula1>"營火同伴,回聲同伴,低語者,殘影,觀察者,特殊存在"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9" t="inlineStr">
        <is>
          <t>黎明殺機TRPG　非玩家角色（NPC）卡　·　簡易型（無實體／敘事型）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低語者·鐵鏽合唱（The Rust Choir）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低語者</t>
        </is>
      </c>
      <c r="F3" s="7" t="n"/>
      <c r="G3" s="5" t="inlineStr">
        <is>
          <t>首次登場</t>
        </is>
      </c>
      <c r="H3" s="8" t="inlineStr">
        <is>
          <t>S2</t>
        </is>
      </c>
      <c r="I3" s="7" t="n"/>
    </row>
    <row r="4">
      <c r="A4" s="4" t="n"/>
      <c r="B4" s="4" t="n"/>
      <c r="C4" s="4" t="n"/>
      <c r="D4" s="5" t="inlineStr">
        <is>
          <t>所屬領域／所在</t>
        </is>
      </c>
      <c r="E4" s="6" t="inlineStr">
        <is>
          <t>R2 廢車場（也在 R4 克羅特斯精神病院以「病歷編號」變體出現）</t>
        </is>
      </c>
      <c r="F4" s="7" t="n"/>
      <c r="G4" s="7" t="n"/>
      <c r="H4" s="7" t="n"/>
      <c r="I4" s="7" t="n"/>
    </row>
    <row r="5">
      <c r="A5" s="4" t="n"/>
      <c r="B5" s="4" t="n"/>
      <c r="C5" s="4" t="n"/>
      <c r="D5" s="5" t="inlineStr">
        <is>
          <t>定位</t>
        </is>
      </c>
      <c r="E5" s="6" t="inlineStr">
        <is>
          <t>依附於領域的聲音型殘影。無形體。可交易情報</t>
        </is>
      </c>
      <c r="F5" s="7" t="n"/>
      <c r="G5" s="7" t="n"/>
      <c r="H5" s="7" t="n"/>
      <c r="I5" s="7" t="n"/>
    </row>
    <row r="6" ht="36" customHeight="1">
      <c r="A6" s="12" t="inlineStr">
        <is>
          <t>形式／外觀</t>
        </is>
      </c>
      <c r="B6" s="13" t="n"/>
      <c r="C6" s="13" t="n"/>
      <c r="D6" s="18" t="inlineStr">
        <is>
          <t>金屬熱脹冷縮的聲音，聽久了像有人在刮字。無實體。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互動規則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30" customHeight="1">
      <c r="A8" s="12" t="inlineStr">
        <is>
          <t>動機</t>
        </is>
      </c>
      <c r="B8" s="13" t="n"/>
      <c r="C8" s="18" t="inlineStr">
        <is>
          <t>想知道那些刻痕寫的是什麼。它聽得見刻的聲音，但它不識字。</t>
        </is>
      </c>
      <c r="D8" s="7" t="n"/>
      <c r="E8" s="7" t="n"/>
      <c r="F8" s="7" t="n"/>
      <c r="G8" s="7" t="n"/>
      <c r="H8" s="7" t="n"/>
      <c r="I8" s="7" t="n"/>
    </row>
    <row r="9" ht="44" customHeight="1">
      <c r="A9" s="12" t="inlineStr">
        <is>
          <t>交易／互動價碼</t>
        </is>
      </c>
      <c r="B9" s="13" t="n"/>
      <c r="C9" s="18" t="inlineStr">
        <is>
          <t>1 點希望點（HOP） ＝ 一則刻痕的位置。若玩家唸出一則刻痕的內容給它聽，免費給下一則的位置。</t>
        </is>
      </c>
      <c r="D9" s="7" t="n"/>
      <c r="E9" s="7" t="n"/>
      <c r="F9" s="7" t="n"/>
      <c r="G9" s="7" t="n"/>
      <c r="H9" s="7" t="n"/>
      <c r="I9" s="7" t="n"/>
    </row>
    <row r="10" ht="40" customHeight="1">
      <c r="A10" s="12" t="inlineStr">
        <is>
          <t>限制與禁則</t>
        </is>
      </c>
      <c r="B10" s="13" t="n"/>
      <c r="C10" s="18" t="inlineStr">
        <is>
          <t>不說謊，但只回答字面上被問到的問題。只能回答與刻痕（Carvings）相關的問題。</t>
        </is>
      </c>
      <c r="D10" s="7" t="n"/>
      <c r="E10" s="7" t="n"/>
      <c r="F10" s="7" t="n"/>
      <c r="G10" s="7" t="n"/>
      <c r="H10" s="7" t="n"/>
      <c r="I10" s="7" t="n"/>
    </row>
    <row r="11" ht="20" customHeight="1">
      <c r="A11" s="10" t="inlineStr">
        <is>
          <t>二　數據（若有實體）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2" t="inlineStr">
        <is>
          <t>意志（WIL）</t>
        </is>
      </c>
      <c r="B12" s="13" t="n"/>
      <c r="C12" s="8" t="n"/>
      <c r="D12" s="5" t="inlineStr">
        <is>
          <t>屬性加值（AB）</t>
        </is>
      </c>
      <c r="E12" s="14">
        <f>IF(C12="","—",INT(C12/2))</f>
        <v/>
      </c>
      <c r="F12" s="5" t="inlineStr">
        <is>
          <t>干擾／驅散難度等級（DC）</t>
        </is>
      </c>
      <c r="G12" s="9" t="n"/>
      <c r="H12" s="14">
        <f>IF(C12="","—",10+INT(C12/2))</f>
        <v/>
      </c>
      <c r="I12" s="17" t="n"/>
    </row>
    <row r="13">
      <c r="A13" s="15" t="inlineStr">
        <is>
          <t>無實體的低語者（Whisperer）不可被攻擊、不可被驅散、不佔遭遇預算（EB）。殘影（Haunt）若具實體，請改用「領域造物卡」建卡。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 ht="20" customHeight="1">
      <c r="A14" s="10" t="inlineStr">
        <is>
          <t>三　敘事資料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 ht="46" customHeight="1">
      <c r="A15" s="12" t="inlineStr">
        <is>
          <t>背景</t>
        </is>
      </c>
      <c r="B15" s="13" t="n"/>
      <c r="C15" s="18" t="inlineStr">
        <is>
          <t>廢車場的鐵皮上有艾洛薇·芬奇（§8-1）多年來刻下的字。鐵鏽合唱聽了很多年，卻從來不知道內容。</t>
        </is>
      </c>
      <c r="D15" s="7" t="n"/>
      <c r="E15" s="7" t="n"/>
      <c r="F15" s="7" t="n"/>
      <c r="G15" s="7" t="n"/>
      <c r="H15" s="7" t="n"/>
      <c r="I15" s="7" t="n"/>
    </row>
    <row r="16" ht="40" customHeight="1">
      <c r="A16" s="12" t="inlineStr">
        <is>
          <t>在主線中的作用</t>
        </is>
      </c>
      <c r="B16" s="13" t="n"/>
      <c r="C16" s="18" t="inlineStr">
        <is>
          <t>S2 起可交易。是刻痕線索鏈的主要提示來源。</t>
        </is>
      </c>
      <c r="D16" s="7" t="n"/>
      <c r="E16" s="7" t="n"/>
      <c r="F16" s="7" t="n"/>
      <c r="G16" s="7" t="n"/>
      <c r="H16" s="7" t="n"/>
      <c r="I16" s="7" t="n"/>
    </row>
    <row r="17" ht="34" customHeight="1">
      <c r="A17" s="12" t="inlineStr">
        <is>
          <t>代表台詞</t>
        </is>
      </c>
      <c r="B17" s="13" t="n"/>
      <c r="C17" s="18" t="inlineStr">
        <is>
          <t>「唸給我聽。我只聽見刮的聲音。」</t>
        </is>
      </c>
      <c r="D17" s="7" t="n"/>
      <c r="E17" s="7" t="n"/>
      <c r="F17" s="7" t="n"/>
      <c r="G17" s="7" t="n"/>
      <c r="H17" s="7" t="n"/>
      <c r="I17" s="7" t="n"/>
    </row>
    <row r="18" ht="44" customHeight="1">
      <c r="A18" s="12" t="inlineStr">
        <is>
          <t>特殊規則</t>
        </is>
      </c>
      <c r="B18" s="13" t="n"/>
      <c r="C18" s="18" t="inlineStr">
        <is>
          <t>玩家唸出刻痕內容時，主持人（GM）應要求玩家真的把那段文字唸出聲。</t>
        </is>
      </c>
      <c r="D18" s="7" t="n"/>
      <c r="E18" s="7" t="n"/>
      <c r="F18" s="7" t="n"/>
      <c r="G18" s="7" t="n"/>
      <c r="H18" s="7" t="n"/>
      <c r="I18" s="7" t="n"/>
    </row>
    <row r="19" ht="20" customHeight="1">
      <c r="A19" s="10" t="inlineStr">
        <is>
          <t>四　主持人（GM）執行提示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 ht="52" customHeight="1">
      <c r="A20" s="18" t="inlineStr">
        <is>
          <t>這是全戰役最悲傷的一個交易：一個聽了幾十年卻永遠讀不到的存在。當玩家第一次免費唸給它聽，讓它安靜三秒再開口。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</row>
  </sheetData>
  <mergeCells count="32">
    <mergeCell ref="A7:I7"/>
    <mergeCell ref="A15:B15"/>
    <mergeCell ref="C17:I17"/>
    <mergeCell ref="C8:I8"/>
    <mergeCell ref="E5:I5"/>
    <mergeCell ref="A2:C5"/>
    <mergeCell ref="F12:G12"/>
    <mergeCell ref="A16:B16"/>
    <mergeCell ref="E4:I4"/>
    <mergeCell ref="C18:I18"/>
    <mergeCell ref="A14:I14"/>
    <mergeCell ref="C15:I15"/>
    <mergeCell ref="A18:B18"/>
    <mergeCell ref="A20:I20"/>
    <mergeCell ref="A12:B12"/>
    <mergeCell ref="A19:I19"/>
    <mergeCell ref="A13:I13"/>
    <mergeCell ref="E2:I2"/>
    <mergeCell ref="C10:I10"/>
    <mergeCell ref="C16:I16"/>
    <mergeCell ref="A17:B17"/>
    <mergeCell ref="A8:B8"/>
    <mergeCell ref="H3:I3"/>
    <mergeCell ref="H12:I12"/>
    <mergeCell ref="C9:I9"/>
    <mergeCell ref="A11:I11"/>
    <mergeCell ref="A6:C6"/>
    <mergeCell ref="A10:B10"/>
    <mergeCell ref="A1:I1"/>
    <mergeCell ref="D6:I6"/>
    <mergeCell ref="A9:B9"/>
    <mergeCell ref="E3:F3"/>
  </mergeCells>
  <dataValidations count="1">
    <dataValidation sqref="E3:F3" showDropDown="0" showInputMessage="0" showErrorMessage="0" allowBlank="1" type="list">
      <formula1>"營火同伴,回聲同伴,低語者,殘影,觀察者,特殊存在"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9" t="inlineStr">
        <is>
          <t>黎明殺機TRPG　非玩家角色（NPC）卡　·　簡易型（無實體／敘事型）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低語者·水下的聲音（The Voice Beneath）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低語者</t>
        </is>
      </c>
      <c r="F3" s="7" t="n"/>
      <c r="G3" s="5" t="inlineStr">
        <is>
          <t>首次登場</t>
        </is>
      </c>
      <c r="H3" s="8" t="inlineStr">
        <is>
          <t>S3</t>
        </is>
      </c>
      <c r="I3" s="7" t="n"/>
    </row>
    <row r="4">
      <c r="A4" s="4" t="n"/>
      <c r="B4" s="4" t="n"/>
      <c r="C4" s="4" t="n"/>
      <c r="D4" s="5" t="inlineStr">
        <is>
          <t>所屬領域／所在</t>
        </is>
      </c>
      <c r="E4" s="6" t="inlineStr">
        <is>
          <t>R5 死水沼澤（也在 R3 寒風農場以「根下的女聲」變體出現）</t>
        </is>
      </c>
      <c r="F4" s="7" t="n"/>
      <c r="G4" s="7" t="n"/>
      <c r="H4" s="7" t="n"/>
      <c r="I4" s="7" t="n"/>
    </row>
    <row r="5">
      <c r="A5" s="4" t="n"/>
      <c r="B5" s="4" t="n"/>
      <c r="C5" s="4" t="n"/>
      <c r="D5" s="5" t="inlineStr">
        <is>
          <t>定位</t>
        </is>
      </c>
      <c r="E5" s="6" t="inlineStr">
        <is>
          <t>依附於領域的聲音型殘影。無形體。唯一會主動說話的低語者</t>
        </is>
      </c>
      <c r="F5" s="7" t="n"/>
      <c r="G5" s="7" t="n"/>
      <c r="H5" s="7" t="n"/>
      <c r="I5" s="7" t="n"/>
    </row>
    <row r="6" ht="36" customHeight="1">
      <c r="A6" s="12" t="inlineStr">
        <is>
          <t>形式／外觀</t>
        </is>
      </c>
      <c r="B6" s="13" t="n"/>
      <c r="C6" s="13" t="n"/>
      <c r="D6" s="18" t="inlineStr">
        <is>
          <t>水面下有人在說話，聽不清。靠近水面才聽得見。無實體。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互動規則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30" customHeight="1">
      <c r="A8" s="12" t="inlineStr">
        <is>
          <t>動機</t>
        </is>
      </c>
      <c r="B8" s="13" t="n"/>
      <c r="C8" s="18" t="inlineStr">
        <is>
          <t>不明。它是全部低語者中唯一會主動說話的。</t>
        </is>
      </c>
      <c r="D8" s="7" t="n"/>
      <c r="E8" s="7" t="n"/>
      <c r="F8" s="7" t="n"/>
      <c r="G8" s="7" t="n"/>
      <c r="H8" s="7" t="n"/>
      <c r="I8" s="7" t="n"/>
    </row>
    <row r="9" ht="44" customHeight="1">
      <c r="A9" s="12" t="inlineStr">
        <is>
          <t>交易／互動價碼</t>
        </is>
      </c>
      <c r="B9" s="13" t="n"/>
      <c r="C9" s="18" t="inlineStr">
        <is>
          <t>2 點希望點（HOP） ＝ 一條主線資訊。它是唯一能回答「你摘的囊是誰的」的存在。</t>
        </is>
      </c>
      <c r="D9" s="7" t="n"/>
      <c r="E9" s="7" t="n"/>
      <c r="F9" s="7" t="n"/>
      <c r="G9" s="7" t="n"/>
      <c r="H9" s="7" t="n"/>
      <c r="I9" s="7" t="n"/>
    </row>
    <row r="10" ht="40" customHeight="1">
      <c r="A10" s="12" t="inlineStr">
        <is>
          <t>限制與禁則</t>
        </is>
      </c>
      <c r="B10" s="13" t="n"/>
      <c r="C10" s="18" t="inlineStr">
        <is>
          <t>不說謊，但只回答字面上被問到的問題。價碼不可議價、不可賒帳。</t>
        </is>
      </c>
      <c r="D10" s="7" t="n"/>
      <c r="E10" s="7" t="n"/>
      <c r="F10" s="7" t="n"/>
      <c r="G10" s="7" t="n"/>
      <c r="H10" s="7" t="n"/>
      <c r="I10" s="7" t="n"/>
    </row>
    <row r="11" ht="20" customHeight="1">
      <c r="A11" s="10" t="inlineStr">
        <is>
          <t>二　數據（若有實體）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2" t="inlineStr">
        <is>
          <t>意志（WIL）</t>
        </is>
      </c>
      <c r="B12" s="13" t="n"/>
      <c r="C12" s="8" t="n"/>
      <c r="D12" s="5" t="inlineStr">
        <is>
          <t>屬性加值（AB）</t>
        </is>
      </c>
      <c r="E12" s="14">
        <f>IF(C12="","—",INT(C12/2))</f>
        <v/>
      </c>
      <c r="F12" s="5" t="inlineStr">
        <is>
          <t>干擾／驅散難度等級（DC）</t>
        </is>
      </c>
      <c r="G12" s="9" t="n"/>
      <c r="H12" s="14">
        <f>IF(C12="","—",10+INT(C12/2))</f>
        <v/>
      </c>
      <c r="I12" s="17" t="n"/>
    </row>
    <row r="13">
      <c r="A13" s="15" t="inlineStr">
        <is>
          <t>無實體的低語者（Whisperer）不可被攻擊、不可被驅散、不佔遭遇預算（EB）。殘影（Haunt）若具實體，請改用「領域造物卡」建卡。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 ht="20" customHeight="1">
      <c r="A14" s="10" t="inlineStr">
        <is>
          <t>三　敘事資料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 ht="46" customHeight="1">
      <c r="A15" s="12" t="inlineStr">
        <is>
          <t>背景</t>
        </is>
      </c>
      <c r="B15" s="13" t="n"/>
      <c r="C15" s="18" t="inlineStr">
        <is>
          <t>它知道的比它該知道的多。沒有人知道它是誰，包括持鏡人·阿黎（§8-14）。</t>
        </is>
      </c>
      <c r="D15" s="7" t="n"/>
      <c r="E15" s="7" t="n"/>
      <c r="F15" s="7" t="n"/>
      <c r="G15" s="7" t="n"/>
      <c r="H15" s="7" t="n"/>
      <c r="I15" s="7" t="n"/>
    </row>
    <row r="16" ht="40" customHeight="1">
      <c r="A16" s="12" t="inlineStr">
        <is>
          <t>在主線中的作用</t>
        </is>
      </c>
      <c r="B16" s="13" t="n"/>
      <c r="C16" s="18" t="inlineStr">
        <is>
          <t>S3 首次登場／S5 回應「回程的價錢」／S8 可揭露「無名」的性質（若玩家問對問題）。</t>
        </is>
      </c>
      <c r="D16" s="7" t="n"/>
      <c r="E16" s="7" t="n"/>
      <c r="F16" s="7" t="n"/>
      <c r="G16" s="7" t="n"/>
      <c r="H16" s="7" t="n"/>
      <c r="I16" s="7" t="n"/>
    </row>
    <row r="17" ht="34" customHeight="1">
      <c r="A17" s="12" t="inlineStr">
        <is>
          <t>代表台詞</t>
        </is>
      </c>
      <c r="B17" s="13" t="n"/>
      <c r="C17" s="18" t="inlineStr">
        <is>
          <t>「回程的價錢比去程貴。」</t>
        </is>
      </c>
      <c r="D17" s="7" t="n"/>
      <c r="E17" s="7" t="n"/>
      <c r="F17" s="7" t="n"/>
      <c r="G17" s="7" t="n"/>
      <c r="H17" s="7" t="n"/>
      <c r="I17" s="7" t="n"/>
    </row>
    <row r="18" ht="44" customHeight="1">
      <c r="A18" s="12" t="inlineStr">
        <is>
          <t>特殊規則</t>
        </is>
      </c>
      <c r="B18" s="13" t="n"/>
      <c r="C18" s="18" t="inlineStr">
        <is>
          <t>它會主動開口——這在低語者中是唯一的。當玩家第一次靠近水面，不要等玩家發問，讓它先說話。</t>
        </is>
      </c>
      <c r="D18" s="7" t="n"/>
      <c r="E18" s="7" t="n"/>
      <c r="F18" s="7" t="n"/>
      <c r="G18" s="7" t="n"/>
      <c r="H18" s="7" t="n"/>
      <c r="I18" s="7" t="n"/>
    </row>
    <row r="19" ht="20" customHeight="1">
      <c r="A19" s="10" t="inlineStr">
        <is>
          <t>四　主持人（GM）執行提示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 ht="52" customHeight="1">
      <c r="A20" s="18" t="inlineStr">
        <is>
          <t>它的台詞要短。三個字到七個字之間。長句會毀掉這個角色。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</row>
  </sheetData>
  <mergeCells count="32">
    <mergeCell ref="A7:I7"/>
    <mergeCell ref="A15:B15"/>
    <mergeCell ref="C17:I17"/>
    <mergeCell ref="C8:I8"/>
    <mergeCell ref="E5:I5"/>
    <mergeCell ref="A2:C5"/>
    <mergeCell ref="F12:G12"/>
    <mergeCell ref="A16:B16"/>
    <mergeCell ref="E4:I4"/>
    <mergeCell ref="C18:I18"/>
    <mergeCell ref="A14:I14"/>
    <mergeCell ref="C15:I15"/>
    <mergeCell ref="A18:B18"/>
    <mergeCell ref="A20:I20"/>
    <mergeCell ref="A12:B12"/>
    <mergeCell ref="A19:I19"/>
    <mergeCell ref="A13:I13"/>
    <mergeCell ref="E2:I2"/>
    <mergeCell ref="C10:I10"/>
    <mergeCell ref="C16:I16"/>
    <mergeCell ref="A17:B17"/>
    <mergeCell ref="A8:B8"/>
    <mergeCell ref="H3:I3"/>
    <mergeCell ref="H12:I12"/>
    <mergeCell ref="C9:I9"/>
    <mergeCell ref="A11:I11"/>
    <mergeCell ref="A6:C6"/>
    <mergeCell ref="A10:B10"/>
    <mergeCell ref="A1:I1"/>
    <mergeCell ref="D6:I6"/>
    <mergeCell ref="A9:B9"/>
    <mergeCell ref="E3:F3"/>
  </mergeCells>
  <dataValidations count="1">
    <dataValidation sqref="E3:F3" showDropDown="0" showInputMessage="0" showErrorMessage="0" allowBlank="1" type="list">
      <formula1>"營火同伴,回聲同伴,低語者,殘影,觀察者,特殊存在"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9" t="inlineStr">
        <is>
          <t>黎明殺機TRPG　非玩家角色（NPC）卡　·　簡易型（無實體／敘事型）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十七號（Seventeen）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殘影</t>
        </is>
      </c>
      <c r="F3" s="7" t="n"/>
      <c r="G3" s="5" t="inlineStr">
        <is>
          <t>首次登場</t>
        </is>
      </c>
      <c r="H3" s="8" t="inlineStr">
        <is>
          <t>S4</t>
        </is>
      </c>
      <c r="I3" s="7" t="n"/>
    </row>
    <row r="4">
      <c r="A4" s="4" t="n"/>
      <c r="B4" s="4" t="n"/>
      <c r="C4" s="4" t="n"/>
      <c r="D4" s="5" t="inlineStr">
        <is>
          <t>所屬領域／所在</t>
        </is>
      </c>
      <c r="E4" s="6" t="inlineStr">
        <is>
          <t>R4 克羅特斯精神病院·病歷室</t>
        </is>
      </c>
      <c r="F4" s="7" t="n"/>
      <c r="G4" s="7" t="n"/>
      <c r="H4" s="7" t="n"/>
      <c r="I4" s="7" t="n"/>
    </row>
    <row r="5">
      <c r="A5" s="4" t="n"/>
      <c r="B5" s="4" t="n"/>
      <c r="C5" s="4" t="n"/>
      <c r="D5" s="5" t="inlineStr">
        <is>
          <t>定位</t>
        </is>
      </c>
      <c r="E5" s="6" t="inlineStr">
        <is>
          <t>殘影（S4 核心）</t>
        </is>
      </c>
      <c r="F5" s="7" t="n"/>
      <c r="G5" s="7" t="n"/>
      <c r="H5" s="7" t="n"/>
      <c r="I5" s="7" t="n"/>
    </row>
    <row r="6" ht="36" customHeight="1">
      <c r="A6" s="12" t="inlineStr">
        <is>
          <t>形式／外觀</t>
        </is>
      </c>
      <c r="B6" s="13" t="n"/>
      <c r="C6" s="13" t="n"/>
      <c r="D6" s="18" t="inlineStr">
        <is>
          <t>一個站著不動的女人。她面向病歷室的門。她的臉是清晰的——這在殘影中很罕見。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互動規則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30" customHeight="1">
      <c r="A8" s="12" t="inlineStr">
        <is>
          <t>動機</t>
        </is>
      </c>
      <c r="B8" s="13" t="n"/>
      <c r="C8" s="18" t="inlineStr">
        <is>
          <t>想證明自己沒有病。她不是病人，她是來探病的家屬，被誤收，關了三年。</t>
        </is>
      </c>
      <c r="D8" s="7" t="n"/>
      <c r="E8" s="7" t="n"/>
      <c r="F8" s="7" t="n"/>
      <c r="G8" s="7" t="n"/>
      <c r="H8" s="7" t="n"/>
      <c r="I8" s="7" t="n"/>
    </row>
    <row r="9" ht="44" customHeight="1">
      <c r="A9" s="12" t="inlineStr">
        <is>
          <t>交易／互動價碼</t>
        </is>
      </c>
      <c r="B9" s="13" t="n"/>
      <c r="C9" s="18" t="inlineStr">
        <is>
          <t>不交易。不接受任何幫助。</t>
        </is>
      </c>
      <c r="D9" s="7" t="n"/>
      <c r="E9" s="7" t="n"/>
      <c r="F9" s="7" t="n"/>
      <c r="G9" s="7" t="n"/>
      <c r="H9" s="7" t="n"/>
      <c r="I9" s="7" t="n"/>
    </row>
    <row r="10" ht="40" customHeight="1">
      <c r="A10" s="12" t="inlineStr">
        <is>
          <t>限制與禁則</t>
        </is>
      </c>
      <c r="B10" s="13" t="n"/>
      <c r="C10" s="18" t="inlineStr">
        <is>
          <t>不接受任何幫助。只有玩家唸出她的病歷，她才會動。任何攻擊、驅散、治療嘗試都自動失敗且不消耗行動點（AP）。</t>
        </is>
      </c>
      <c r="D10" s="7" t="n"/>
      <c r="E10" s="7" t="n"/>
      <c r="F10" s="7" t="n"/>
      <c r="G10" s="7" t="n"/>
      <c r="H10" s="7" t="n"/>
      <c r="I10" s="7" t="n"/>
    </row>
    <row r="11" ht="20" customHeight="1">
      <c r="A11" s="10" t="inlineStr">
        <is>
          <t>二　數據（若有實體）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2" t="inlineStr">
        <is>
          <t>意志（WIL）</t>
        </is>
      </c>
      <c r="B12" s="13" t="n"/>
      <c r="C12" s="8" t="n">
        <v>9</v>
      </c>
      <c r="D12" s="5" t="inlineStr">
        <is>
          <t>屬性加值（AB）</t>
        </is>
      </c>
      <c r="E12" s="14">
        <f>IF(C12="","—",INT(C12/2))</f>
        <v/>
      </c>
      <c r="F12" s="5" t="inlineStr">
        <is>
          <t>干擾／驅散難度等級（DC）</t>
        </is>
      </c>
      <c r="G12" s="9" t="n"/>
      <c r="H12" s="14">
        <f>IF(C12="","—",10+INT(C12/2))</f>
        <v/>
      </c>
      <c r="I12" s="17" t="n"/>
    </row>
    <row r="13">
      <c r="A13" s="15" t="inlineStr">
        <is>
          <t>無實體的低語者（Whisperer）不可被攻擊、不可被驅散、不佔遭遇預算（EB）。殘影（Haunt）若具實體，請改用「領域造物卡」建卡。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 ht="20" customHeight="1">
      <c r="A14" s="10" t="inlineStr">
        <is>
          <t>三　敘事資料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 ht="46" customHeight="1">
      <c r="A15" s="12" t="inlineStr">
        <is>
          <t>背景</t>
        </is>
      </c>
      <c r="B15" s="13" t="n"/>
      <c r="C15" s="18" t="inlineStr">
        <is>
          <t>她的病歷上寫了 340 次「患者無異狀」，最後一行是：「她是來看她妹妹的。她沒有病。」</t>
        </is>
      </c>
      <c r="D15" s="7" t="n"/>
      <c r="E15" s="7" t="n"/>
      <c r="F15" s="7" t="n"/>
      <c r="G15" s="7" t="n"/>
      <c r="H15" s="7" t="n"/>
      <c r="I15" s="7" t="n"/>
    </row>
    <row r="16" ht="40" customHeight="1">
      <c r="A16" s="12" t="inlineStr">
        <is>
          <t>在主線中的作用</t>
        </is>
      </c>
      <c r="B16" s="13" t="n"/>
      <c r="C16" s="18" t="inlineStr">
        <is>
          <t>S4 核心解謎目標。與領域造物 RC-05 病房殘影（Ward Haunt）採同一遭遇規則，但她是具名的、可解的那一個。</t>
        </is>
      </c>
      <c r="D16" s="7" t="n"/>
      <c r="E16" s="7" t="n"/>
      <c r="F16" s="7" t="n"/>
      <c r="G16" s="7" t="n"/>
      <c r="H16" s="7" t="n"/>
      <c r="I16" s="7" t="n"/>
    </row>
    <row r="17" ht="34" customHeight="1">
      <c r="A17" s="12" t="inlineStr">
        <is>
          <t>代表台詞</t>
        </is>
      </c>
      <c r="B17" s="13" t="n"/>
      <c r="C17" s="18" t="inlineStr">
        <is>
          <t>（她不說話。）</t>
        </is>
      </c>
      <c r="D17" s="7" t="n"/>
      <c r="E17" s="7" t="n"/>
      <c r="F17" s="7" t="n"/>
      <c r="G17" s="7" t="n"/>
      <c r="H17" s="7" t="n"/>
      <c r="I17" s="7" t="n"/>
    </row>
    <row r="18" ht="44" customHeight="1">
      <c r="A18" s="12" t="inlineStr">
        <is>
          <t>特殊規則</t>
        </is>
      </c>
      <c r="B18" s="13" t="n"/>
      <c r="C18" s="18" t="inlineStr">
        <is>
          <t>唸出病歷後，她會抽出她妹妹的病歷交給玩家，然後散開——而她散開時變成餘燼，不是灰。獎勵：+2 希望點（HOP）＋ 5 營火餘燼 ＋ 妹妹的病歷（主線道具）。</t>
        </is>
      </c>
      <c r="D18" s="7" t="n"/>
      <c r="E18" s="7" t="n"/>
      <c r="F18" s="7" t="n"/>
      <c r="G18" s="7" t="n"/>
      <c r="H18" s="7" t="n"/>
      <c r="I18" s="7" t="n"/>
    </row>
    <row r="19" ht="20" customHeight="1">
      <c r="A19" s="10" t="inlineStr">
        <is>
          <t>四　主持人（GM）執行提示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 ht="52" customHeight="1">
      <c r="A20" s="18" t="inlineStr">
        <is>
          <t>「340 次患者無異狀」要真的讓玩家翻。準備一張道具紙，正面寫滿同一句話，背面最後一行才是真相。這是全戰役投資報酬率最高的一個實體道具。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</row>
  </sheetData>
  <mergeCells count="32">
    <mergeCell ref="A7:I7"/>
    <mergeCell ref="A15:B15"/>
    <mergeCell ref="C17:I17"/>
    <mergeCell ref="C8:I8"/>
    <mergeCell ref="E5:I5"/>
    <mergeCell ref="A2:C5"/>
    <mergeCell ref="F12:G12"/>
    <mergeCell ref="A16:B16"/>
    <mergeCell ref="E4:I4"/>
    <mergeCell ref="C18:I18"/>
    <mergeCell ref="A14:I14"/>
    <mergeCell ref="C15:I15"/>
    <mergeCell ref="A18:B18"/>
    <mergeCell ref="A20:I20"/>
    <mergeCell ref="A12:B12"/>
    <mergeCell ref="A19:I19"/>
    <mergeCell ref="A13:I13"/>
    <mergeCell ref="E2:I2"/>
    <mergeCell ref="C10:I10"/>
    <mergeCell ref="C16:I16"/>
    <mergeCell ref="A17:B17"/>
    <mergeCell ref="A8:B8"/>
    <mergeCell ref="H3:I3"/>
    <mergeCell ref="H12:I12"/>
    <mergeCell ref="C9:I9"/>
    <mergeCell ref="A11:I11"/>
    <mergeCell ref="A6:C6"/>
    <mergeCell ref="A10:B10"/>
    <mergeCell ref="A1:I1"/>
    <mergeCell ref="D6:I6"/>
    <mergeCell ref="A9:B9"/>
    <mergeCell ref="E3:F3"/>
  </mergeCells>
  <dataValidations count="1">
    <dataValidation sqref="E3:F3" showDropDown="0" showInputMessage="0" showErrorMessage="0" allowBlank="1" type="list">
      <formula1>"營火同伴,回聲同伴,低語者,殘影,觀察者,特殊存在"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持鏡人·阿黎（Ali the Mirrorbearer）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觀察者</t>
        </is>
      </c>
      <c r="F3" s="7" t="n"/>
      <c r="G3" s="5" t="inlineStr">
        <is>
          <t>定位</t>
        </is>
      </c>
      <c r="H3" s="6" t="inlineStr">
        <is>
          <t>觀察者。孤塔的主人。全戰役的知識來源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8</v>
      </c>
      <c r="F4" s="7" t="n"/>
      <c r="G4" s="5" t="inlineStr">
        <is>
          <t>首次登場</t>
        </is>
      </c>
      <c r="H4" s="8" t="inlineStr">
        <is>
          <t>S7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孤塔（The Lone Tower）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看不清年齡。手裡永遠拿著一面小小的、渾濁的鏡子（拾憶鏡）。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低</t>
        </is>
      </c>
      <c r="D9" s="8" t="n">
        <v>3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中</t>
        </is>
      </c>
      <c r="D10" s="8" t="n">
        <v>5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極高</t>
        </is>
      </c>
      <c r="D11" s="8" t="n">
        <v>9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極高</t>
        </is>
      </c>
      <c r="D12" s="8" t="n">
        <v>9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高</t>
        </is>
      </c>
      <c r="D13" s="8" t="n">
        <v>7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記錄。他的世界已經被實體（The Entity）吃掉了，他跟著它來到這裡，只為了寫下它是什麼。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他來自另一個被實體吞噬的世界。他建了一座高到實體找不到的塔——因為實體用記憶建構空間，而它沒有「那麼高」的記憶。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S7 首次現身／S8 提供孤塔路徑。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「我不能替你們回頭。那件事只有正在跑的人做得到。」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他從不出手幫忙。他只看。任何要求他直接介入的請求一律失敗，不需檢定。但他會回答任何關於「實體是什麼」的問題，且答案永遠是真的。拾憶鏡：玩家可花 1 點希望點（HOP）觀看任一已發生事件的真實畫面（每個劇本 1 次）。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玩家質問他為何不出手（道德爭議）：+2 營火餘燼。他的回答：「我看過三個世界被吃掉。我試過三次。第三次之後我明白了——能救人的不是我。」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他不是反派也不是導師。他是一個放棄了的人，而玩家還沒放棄。讓玩家對他生氣是正確的設計結果。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拾遺者·法恩（Fenn the Scavenger）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特殊存在</t>
        </is>
      </c>
      <c r="F3" s="7" t="n"/>
      <c r="G3" s="5" t="inlineStr">
        <is>
          <t>定位</t>
        </is>
      </c>
      <c r="H3" s="6" t="inlineStr">
        <is>
          <t>隱室主人。地窖（Hatch）的發明者。唯一從虛空爬回來的人</t>
        </is>
      </c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>
        <v>8</v>
      </c>
      <c r="F4" s="7" t="n"/>
      <c r="G4" s="5" t="inlineStr">
        <is>
          <t>首次登場</t>
        </is>
      </c>
      <c r="H4" s="8" t="inlineStr">
        <is>
          <t>S5</t>
        </is>
      </c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inlineStr">
        <is>
          <t>隱室（The Hidden Room）／虛空（The Void）</t>
        </is>
      </c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inlineStr">
        <is>
          <t>手上有大量化學灼傷的疤。眼睛的顏色不對——像是被什麼東西染過。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inlineStr">
        <is>
          <t>中</t>
        </is>
      </c>
      <c r="D9" s="8" t="n">
        <v>5</v>
      </c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inlineStr">
        <is>
          <t>極高</t>
        </is>
      </c>
      <c r="D10" s="8" t="n">
        <v>9</v>
      </c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inlineStr">
        <is>
          <t>高</t>
        </is>
      </c>
      <c r="D11" s="8" t="n">
        <v>7</v>
      </c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inlineStr">
        <is>
          <t>高</t>
        </is>
      </c>
      <c r="D12" s="8" t="n">
        <v>7</v>
      </c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inlineStr">
        <is>
          <t>極高</t>
        </is>
      </c>
      <c r="D13" s="8" t="n">
        <v>9</v>
      </c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inlineStr">
        <is>
          <t>找出漏洞。他不在乎英雄敘事，他在乎「這個系統寫錯了哪一行」。</t>
        </is>
      </c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inlineStr">
        <is>
          <t>他在虛空裡待過。他爬出來的方法是對一隻死掉的蟲子產生了憐憫——那一瞬間的情緒讓系統重新分類了他。他造出地窖（Hatch），實體（The Entity）從未同意，只是懶得填。</t>
        </is>
      </c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inlineStr">
        <is>
          <t>S5 首次現身／S7 筆記牆／S8 改裝地窖原型機。</t>
        </is>
      </c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inlineStr">
        <is>
          <t>「它不是不會被騙。它是不會發現自己被騙了。」</t>
        </is>
      </c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inlineStr">
        <is>
          <t>隱室交易：玩家可用營火餘燼向他換取一次性的規則破例（例如：本場試煉地窖（Hatch）提前開啟、或指定一件物品必定出現在某個寶箱）。價碼由主持人（GM）依破例強度定為 3–10 點營火餘燼。</t>
        </is>
      </c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inlineStr">
        <is>
          <t>S5 玩家向他請教虛空逃脫方法：解鎖 S8 孤塔路徑的前置條件。</t>
        </is>
      </c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inlineStr">
        <is>
          <t>他說話像工程師，不像倖存者。他從不用情緒詞。唯一的例外是提到那隻蟲子的時候——那一句要放慢。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9" t="inlineStr">
        <is>
          <t>黎明殺機TRPG　非玩家角色（NPC）卡　·　簡易型（無實體／敘事型）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inlineStr">
        <is>
          <t>「無名」（The Nameless）</t>
        </is>
      </c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inlineStr">
        <is>
          <t>特殊存在</t>
        </is>
      </c>
      <c r="F3" s="7" t="n"/>
      <c r="G3" s="5" t="inlineStr">
        <is>
          <t>首次登場</t>
        </is>
      </c>
      <c r="H3" s="8" t="inlineStr">
        <is>
          <t>S7</t>
        </is>
      </c>
      <c r="I3" s="7" t="n"/>
    </row>
    <row r="4">
      <c r="A4" s="4" t="n"/>
      <c r="B4" s="4" t="n"/>
      <c r="C4" s="4" t="n"/>
      <c r="D4" s="5" t="inlineStr">
        <is>
          <t>所屬領域／所在</t>
        </is>
      </c>
      <c r="E4" s="6" t="inlineStr">
        <is>
          <t>R7 血紅森林·餘燼龕</t>
        </is>
      </c>
      <c r="F4" s="7" t="n"/>
      <c r="G4" s="7" t="n"/>
      <c r="H4" s="7" t="n"/>
      <c r="I4" s="7" t="n"/>
    </row>
    <row r="5">
      <c r="A5" s="4" t="n"/>
      <c r="B5" s="4" t="n"/>
      <c r="C5" s="4" t="n"/>
      <c r="D5" s="5" t="inlineStr">
        <is>
          <t>定位</t>
        </is>
      </c>
      <c r="E5" s="6" t="inlineStr">
        <is>
          <t>第一位倖存者。第一顆餘燼的來源。全戰役的主題化身</t>
        </is>
      </c>
      <c r="F5" s="7" t="n"/>
      <c r="G5" s="7" t="n"/>
      <c r="H5" s="7" t="n"/>
      <c r="I5" s="7" t="n"/>
    </row>
    <row r="6" ht="36" customHeight="1">
      <c r="A6" s="12" t="inlineStr">
        <is>
          <t>形式／外觀</t>
        </is>
      </c>
      <c r="B6" s="13" t="n"/>
      <c r="C6" s="13" t="n"/>
      <c r="D6" s="18" t="inlineStr">
        <is>
          <t>一個很淡的人形，背對著你。姿勢是回頭的姿勢。從來沒有人看過他的臉。</t>
        </is>
      </c>
      <c r="E6" s="7" t="n"/>
      <c r="F6" s="7" t="n"/>
      <c r="G6" s="7" t="n"/>
      <c r="H6" s="7" t="n"/>
      <c r="I6" s="7" t="n"/>
    </row>
    <row r="7" ht="20" customHeight="1">
      <c r="A7" s="10" t="inlineStr">
        <is>
          <t>一　互動規則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30" customHeight="1">
      <c r="A8" s="12" t="inlineStr">
        <is>
          <t>動機</t>
        </is>
      </c>
      <c r="B8" s="13" t="n"/>
      <c r="C8" s="18" t="inlineStr">
        <is>
          <t>已經完成了。他做過那件事了。</t>
        </is>
      </c>
      <c r="D8" s="7" t="n"/>
      <c r="E8" s="7" t="n"/>
      <c r="F8" s="7" t="n"/>
      <c r="G8" s="7" t="n"/>
      <c r="H8" s="7" t="n"/>
      <c r="I8" s="7" t="n"/>
    </row>
    <row r="9" ht="44" customHeight="1">
      <c r="A9" s="12" t="inlineStr">
        <is>
          <t>交易／互動價碼</t>
        </is>
      </c>
      <c r="B9" s="13" t="n"/>
      <c r="C9" s="18" t="inlineStr">
        <is>
          <t>不交易。不互動。只在 S8 餘燼時刻現身一次。</t>
        </is>
      </c>
      <c r="D9" s="7" t="n"/>
      <c r="E9" s="7" t="n"/>
      <c r="F9" s="7" t="n"/>
      <c r="G9" s="7" t="n"/>
      <c r="H9" s="7" t="n"/>
      <c r="I9" s="7" t="n"/>
    </row>
    <row r="10" ht="40" customHeight="1">
      <c r="A10" s="12" t="inlineStr">
        <is>
          <t>限制與禁則</t>
        </is>
      </c>
      <c r="B10" s="13" t="n"/>
      <c r="C10" s="18" t="inlineStr">
        <is>
          <t>不可接觸、不可攻擊、不可對話。任何嘗試都會發現他其實不在那裡。</t>
        </is>
      </c>
      <c r="D10" s="7" t="n"/>
      <c r="E10" s="7" t="n"/>
      <c r="F10" s="7" t="n"/>
      <c r="G10" s="7" t="n"/>
      <c r="H10" s="7" t="n"/>
      <c r="I10" s="7" t="n"/>
    </row>
    <row r="11" ht="20" customHeight="1">
      <c r="A11" s="10" t="inlineStr">
        <is>
          <t>二　數據（若有實體）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2" t="inlineStr">
        <is>
          <t>意志（WIL）</t>
        </is>
      </c>
      <c r="B12" s="13" t="n"/>
      <c r="C12" s="8" t="n"/>
      <c r="D12" s="5" t="inlineStr">
        <is>
          <t>屬性加值（AB）</t>
        </is>
      </c>
      <c r="E12" s="14">
        <f>IF(C12="","—",INT(C12/2))</f>
        <v/>
      </c>
      <c r="F12" s="5" t="inlineStr">
        <is>
          <t>干擾／驅散難度等級（DC）</t>
        </is>
      </c>
      <c r="G12" s="9" t="n"/>
      <c r="H12" s="14">
        <f>IF(C12="","—",10+INT(C12/2))</f>
        <v/>
      </c>
      <c r="I12" s="17" t="n"/>
    </row>
    <row r="13">
      <c r="A13" s="15" t="inlineStr">
        <is>
          <t>無實體的低語者（Whisperer）不可被攻擊、不可被驅散、不佔遭遇預算（EB）。殘影（Haunt）若具實體，請改用「領域造物卡」建卡。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 ht="20" customHeight="1">
      <c r="A14" s="10" t="inlineStr">
        <is>
          <t>三　敘事資料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 ht="46" customHeight="1">
      <c r="A15" s="12" t="inlineStr">
        <is>
          <t>背景</t>
        </is>
      </c>
      <c r="B15" s="13" t="n"/>
      <c r="C15" s="18" t="inlineStr">
        <is>
          <t>第四紀第一場試煉。他已經一隻腳踏出門外，聽見身後有人在叫，於是回頭。他不認識那個人。他被吊起來，掉出了第一顆餘燼，把它撿起來，帶到血紅森林的餘燼龕藏好，然後就沒有然後了。</t>
        </is>
      </c>
      <c r="D15" s="7" t="n"/>
      <c r="E15" s="7" t="n"/>
      <c r="F15" s="7" t="n"/>
      <c r="G15" s="7" t="n"/>
      <c r="H15" s="7" t="n"/>
      <c r="I15" s="7" t="n"/>
    </row>
    <row r="16" ht="40" customHeight="1">
      <c r="A16" s="12" t="inlineStr">
        <is>
          <t>在主線中的作用</t>
        </is>
      </c>
      <c r="B16" s="13" t="n"/>
      <c r="C16" s="18" t="inlineStr">
        <is>
          <t>S7 透過刻痕板存在／S8 餘燼時刻現身。</t>
        </is>
      </c>
      <c r="D16" s="7" t="n"/>
      <c r="E16" s="7" t="n"/>
      <c r="F16" s="7" t="n"/>
      <c r="G16" s="7" t="n"/>
      <c r="H16" s="7" t="n"/>
      <c r="I16" s="7" t="n"/>
    </row>
    <row r="17" ht="34" customHeight="1">
      <c r="A17" s="12" t="inlineStr">
        <is>
          <t>代表台詞</t>
        </is>
      </c>
      <c r="B17" s="13" t="n"/>
      <c r="C17" s="18" t="inlineStr">
        <is>
          <t>（刻痕板）「我回頭的時候沒有想什麼。只是覺得，一個人出去，好像不太對。」</t>
        </is>
      </c>
      <c r="D17" s="7" t="n"/>
      <c r="E17" s="7" t="n"/>
      <c r="F17" s="7" t="n"/>
      <c r="G17" s="7" t="n"/>
      <c r="H17" s="7" t="n"/>
      <c r="I17" s="7" t="n"/>
    </row>
    <row r="18" ht="44" customHeight="1">
      <c r="A18" s="12" t="inlineStr">
        <is>
          <t>特殊規則</t>
        </is>
      </c>
      <c r="B18" s="13" t="n"/>
      <c r="C18" s="18" t="inlineStr">
        <is>
          <t>真相（S8 揭露）：他不是一個人。「無名」是所有回過頭的人的集合體。每一次有人在門口停下來，這個形體就厚一點。S8 中，若玩家角色曾在任一劇本回頭救人，該玩家可在餘燼時刻看見「無名」的側臉——那是他自己的側臉。</t>
        </is>
      </c>
      <c r="D18" s="7" t="n"/>
      <c r="E18" s="7" t="n"/>
      <c r="F18" s="7" t="n"/>
      <c r="G18" s="7" t="n"/>
      <c r="H18" s="7" t="n"/>
      <c r="I18" s="7" t="n"/>
    </row>
    <row r="19" ht="20" customHeight="1">
      <c r="A19" s="10" t="inlineStr">
        <is>
          <t>四　主持人（GM）執行提示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 ht="52" customHeight="1">
      <c r="A20" s="18" t="inlineStr">
        <is>
          <t>這個 NPC 只出場一次，所以那一次要對。不要描述他的臉。描述「他正在回頭」這個持續中的姿勢——他永遠停在回頭的那一秒。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</row>
  </sheetData>
  <mergeCells count="32">
    <mergeCell ref="A7:I7"/>
    <mergeCell ref="A15:B15"/>
    <mergeCell ref="C17:I17"/>
    <mergeCell ref="C8:I8"/>
    <mergeCell ref="E5:I5"/>
    <mergeCell ref="A2:C5"/>
    <mergeCell ref="F12:G12"/>
    <mergeCell ref="A16:B16"/>
    <mergeCell ref="E4:I4"/>
    <mergeCell ref="C18:I18"/>
    <mergeCell ref="A14:I14"/>
    <mergeCell ref="C15:I15"/>
    <mergeCell ref="A18:B18"/>
    <mergeCell ref="A20:I20"/>
    <mergeCell ref="A12:B12"/>
    <mergeCell ref="A19:I19"/>
    <mergeCell ref="A13:I13"/>
    <mergeCell ref="E2:I2"/>
    <mergeCell ref="C10:I10"/>
    <mergeCell ref="C16:I16"/>
    <mergeCell ref="A17:B17"/>
    <mergeCell ref="A8:B8"/>
    <mergeCell ref="H3:I3"/>
    <mergeCell ref="H12:I12"/>
    <mergeCell ref="C9:I9"/>
    <mergeCell ref="A11:I11"/>
    <mergeCell ref="A6:C6"/>
    <mergeCell ref="A10:B10"/>
    <mergeCell ref="A1:I1"/>
    <mergeCell ref="D6:I6"/>
    <mergeCell ref="A9:B9"/>
    <mergeCell ref="E3:F3"/>
  </mergeCells>
  <dataValidations count="1">
    <dataValidation sqref="E3:F3" showDropDown="0" showInputMessage="0" showErrorMessage="0" allowBlank="1" type="list">
      <formula1>"營火同伴,回聲同伴,低語者,殘影,觀察者,特殊存在"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2026-08-01T19:32:04Z</dcterms:created>
  <dcterms:modified xsi:type="dcterms:W3CDTF">2026-08-01T19:32:04Z</dcterms:modified>
</cp:coreProperties>
</file>