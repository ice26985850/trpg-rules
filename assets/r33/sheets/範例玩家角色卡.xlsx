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範例1 樊修樸" sheetId="1" state="visible" r:id="rId1"/>
    <sheet name="範例2 霍鎮山" sheetId="2" state="visible" r:id="rId2"/>
    <sheet name="範例3 鄔曉棠" sheetId="3" state="visible" r:id="rId3"/>
    <sheet name="範例4 莫青荷" sheetId="4" state="visible" r:id="rId4"/>
    <sheet name="範例5 祁維安" sheetId="5" state="visible" r:id="rId5"/>
    <sheet name="範例6 岑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JhengHei"/>
      <b val="1"/>
      <color rgb="00FFFFFF"/>
      <sz val="16"/>
    </font>
    <font>
      <name val="Microsoft JhengHei"/>
      <b val="1"/>
      <color rgb="007C8A96"/>
      <sz val="10"/>
    </font>
    <font>
      <name val="Microsoft JhengHei"/>
      <b val="1"/>
      <color rgb="002E3A46"/>
      <sz val="10"/>
    </font>
    <font>
      <name val="Microsoft JhengHei"/>
      <color rgb="002E3A46"/>
      <sz val="10"/>
    </font>
    <font>
      <name val="Microsoft JhengHei"/>
      <b val="1"/>
      <color rgb="008A5A00"/>
      <sz val="10"/>
    </font>
    <font>
      <name val="Microsoft JhengHei"/>
      <i val="1"/>
      <color rgb="006B7885"/>
      <sz val="9"/>
    </font>
    <font>
      <name val="Microsoft JhengHe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2E3A46"/>
      </patternFill>
    </fill>
    <fill>
      <patternFill patternType="solid">
        <fgColor rgb="00F0F2F4"/>
      </patternFill>
    </fill>
    <fill>
      <patternFill patternType="solid">
        <fgColor rgb="00E8ECEF"/>
      </patternFill>
    </fill>
    <fill>
      <patternFill patternType="solid">
        <fgColor rgb="00FFFFFF"/>
      </patternFill>
    </fill>
    <fill>
      <patternFill patternType="solid">
        <fgColor rgb="00FFF6E0"/>
      </patternFill>
    </fill>
    <fill>
      <patternFill patternType="solid">
        <fgColor rgb="00F5F7F8"/>
      </patternFill>
    </fill>
    <fill>
      <patternFill patternType="solid">
        <fgColor rgb="005A6B7C"/>
      </patternFill>
    </fill>
  </fills>
  <borders count="21">
    <border>
      <left/>
      <right/>
      <top/>
      <bottom/>
      <diagonal/>
    </border>
    <border>
      <left style="medium">
        <color rgb="007C8A96"/>
      </left>
      <right style="medium">
        <color rgb="007C8A96"/>
      </right>
      <top style="medium">
        <color rgb="007C8A96"/>
      </top>
      <bottom style="medium">
        <color rgb="007C8A96"/>
      </bottom>
    </border>
    <border>
      <left style="thin">
        <color rgb="00B7C0C8"/>
      </left>
      <right style="thin">
        <color rgb="00B7C0C8"/>
      </right>
      <top style="thin">
        <color rgb="00B7C0C8"/>
      </top>
      <bottom style="thin">
        <color rgb="00B7C0C8"/>
      </bottom>
    </border>
    <border>
      <left/>
      <right/>
      <top style="thin">
        <color rgb="00B7C0C8"/>
      </top>
      <bottom/>
      <diagonal/>
    </border>
    <border>
      <left/>
      <right style="thin">
        <color rgb="00B7C0C8"/>
      </right>
      <top style="thin">
        <color rgb="00B7C0C8"/>
      </top>
      <bottom/>
      <diagonal/>
    </border>
    <border>
      <left/>
      <right/>
      <top style="thin">
        <color rgb="00B7C0C8"/>
      </top>
      <bottom style="thin">
        <color rgb="00B7C0C8"/>
      </bottom>
      <diagonal/>
    </border>
    <border>
      <left/>
      <right style="thin">
        <color rgb="00B7C0C8"/>
      </right>
      <top style="thin">
        <color rgb="00B7C0C8"/>
      </top>
      <bottom style="thin">
        <color rgb="00B7C0C8"/>
      </bottom>
      <diagonal/>
    </border>
    <border>
      <left style="thin">
        <color rgb="00B7C0C8"/>
      </left>
      <right/>
      <top/>
      <bottom/>
      <diagonal/>
    </border>
    <border>
      <left/>
      <right style="thin">
        <color rgb="00B7C0C8"/>
      </right>
      <top/>
      <bottom/>
      <diagonal/>
    </border>
    <border>
      <left style="thin">
        <color rgb="00B7C0C8"/>
      </left>
      <right/>
      <top/>
      <bottom style="thin">
        <color rgb="00B7C0C8"/>
      </bottom>
      <diagonal/>
    </border>
    <border>
      <left/>
      <right/>
      <top/>
      <bottom style="thin">
        <color rgb="00B7C0C8"/>
      </bottom>
      <diagonal/>
    </border>
    <border>
      <left/>
      <right style="thin">
        <color rgb="00B7C0C8"/>
      </right>
      <top/>
      <bottom style="thin">
        <color rgb="00B7C0C8"/>
      </bottom>
      <diagonal/>
    </border>
    <border>
      <left/>
      <right/>
      <top style="medium">
        <color rgb="007C8A96"/>
      </top>
      <bottom/>
      <diagonal/>
    </border>
    <border>
      <left style="medium">
        <color rgb="007C8A96"/>
      </left>
      <right/>
      <top/>
      <bottom/>
      <diagonal/>
    </border>
    <border>
      <left/>
      <right style="medium">
        <color rgb="007C8A96"/>
      </right>
      <top style="medium">
        <color rgb="007C8A96"/>
      </top>
      <bottom/>
      <diagonal/>
    </border>
    <border>
      <left/>
      <right style="medium">
        <color rgb="007C8A96"/>
      </right>
      <top/>
      <bottom/>
      <diagonal/>
    </border>
    <border>
      <left style="medium">
        <color rgb="007C8A96"/>
      </left>
      <right/>
      <top/>
      <bottom style="medium">
        <color rgb="007C8A96"/>
      </bottom>
      <diagonal/>
    </border>
    <border>
      <left/>
      <right/>
      <top/>
      <bottom style="medium">
        <color rgb="007C8A96"/>
      </bottom>
      <diagonal/>
    </border>
    <border>
      <left/>
      <right style="medium">
        <color rgb="007C8A96"/>
      </right>
      <top/>
      <bottom style="medium">
        <color rgb="007C8A96"/>
      </bottom>
      <diagonal/>
    </border>
    <border>
      <left/>
      <right/>
      <top style="medium">
        <color rgb="007C8A96"/>
      </top>
      <bottom style="medium">
        <color rgb="007C8A96"/>
      </bottom>
      <diagonal/>
    </border>
    <border>
      <left/>
      <right style="medium">
        <color rgb="007C8A96"/>
      </right>
      <top style="medium">
        <color rgb="007C8A96"/>
      </top>
      <bottom style="medium">
        <color rgb="007C8A96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5" fillId="6" borderId="2" applyAlignment="1" pivotButton="0" quotePrefix="0" xfId="0">
      <alignment horizontal="center" vertical="center" wrapText="1"/>
    </xf>
    <xf numFmtId="3" fontId="5" fillId="6" borderId="2" applyAlignment="1" pivotButton="0" quotePrefix="0" xfId="0">
      <alignment horizontal="center" vertical="center" wrapText="1"/>
    </xf>
    <xf numFmtId="0" fontId="0" fillId="6" borderId="2" pivotButton="0" quotePrefix="0" xfId="0"/>
    <xf numFmtId="0" fontId="6" fillId="7" borderId="2" applyAlignment="1" pivotButton="0" quotePrefix="0" xfId="0">
      <alignment horizontal="left" vertical="center" wrapText="1"/>
    </xf>
    <xf numFmtId="0" fontId="0" fillId="7" borderId="2" pivotButton="0" quotePrefix="0" xfId="0"/>
    <xf numFmtId="0" fontId="7" fillId="8" borderId="2" applyAlignment="1" pivotButton="0" quotePrefix="0" xfId="0">
      <alignment horizontal="left" vertical="center" wrapText="1"/>
    </xf>
    <xf numFmtId="0" fontId="0" fillId="8" borderId="2" pivotButton="0" quotePrefix="0" xfId="0"/>
    <xf numFmtId="0" fontId="0" fillId="4" borderId="2" pivotButton="0" quotePrefix="0" xfId="0"/>
    <xf numFmtId="0" fontId="3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9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28" customHeight="1">
      <c r="A1" s="1" t="inlineStr">
        <is>
          <t>黎明殺機TRPG　倖存者角色卡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>
      <c r="A2" s="3" t="inlineStr">
        <is>
          <t>角色圖
（此區可貼入角色圖片）</t>
        </is>
      </c>
      <c r="B2" s="22" t="n"/>
      <c r="C2" s="23" t="n"/>
      <c r="D2" s="5" t="inlineStr">
        <is>
          <t>角色名稱</t>
        </is>
      </c>
      <c r="E2" s="6" t="inlineStr">
        <is>
          <t>樊修樸</t>
        </is>
      </c>
      <c r="F2" s="24" t="n"/>
      <c r="G2" s="25" t="n"/>
      <c r="H2" s="5" t="inlineStr">
        <is>
          <t>玩家</t>
        </is>
      </c>
      <c r="I2" s="6" t="inlineStr">
        <is>
          <t>範例</t>
        </is>
      </c>
      <c r="J2" s="24" t="n"/>
      <c r="K2" s="24" t="n"/>
      <c r="L2" s="25" t="n"/>
    </row>
    <row r="3">
      <c r="A3" s="26" t="n"/>
      <c r="C3" s="27" t="n"/>
      <c r="D3" s="5" t="inlineStr">
        <is>
          <t>原型</t>
        </is>
      </c>
      <c r="E3" s="6" t="inlineStr">
        <is>
          <t>匠人（ART）</t>
        </is>
      </c>
      <c r="F3" s="24" t="n"/>
      <c r="G3" s="25" t="n"/>
      <c r="H3" s="5" t="inlineStr">
        <is>
          <t>求生專精</t>
        </is>
      </c>
      <c r="I3" s="6" t="inlineStr">
        <is>
          <t>機械師（REP）</t>
        </is>
      </c>
      <c r="J3" s="24" t="n"/>
      <c r="K3" s="24" t="n"/>
      <c r="L3" s="25" t="n"/>
    </row>
    <row r="4">
      <c r="A4" s="26" t="n"/>
      <c r="C4" s="27" t="n"/>
      <c r="D4" s="5" t="inlineStr">
        <is>
          <t>聲望等級（PRS）</t>
        </is>
      </c>
      <c r="E4" s="6" t="n">
        <v>1</v>
      </c>
      <c r="F4" s="5" t="inlineStr">
        <is>
          <t>玩家人數（N）</t>
        </is>
      </c>
      <c r="G4" s="6" t="n">
        <v>1</v>
      </c>
      <c r="H4" s="5" t="inlineStr">
        <is>
          <t>目前血點（BP）</t>
        </is>
      </c>
      <c r="I4" s="6" t="n">
        <v>0</v>
      </c>
      <c r="J4" s="24" t="n"/>
      <c r="K4" s="24" t="n"/>
      <c r="L4" s="25" t="n"/>
    </row>
    <row r="5">
      <c r="A5" s="26" t="n"/>
      <c r="C5" s="27" t="n"/>
      <c r="D5" s="5" t="inlineStr">
        <is>
          <t>屬性點（ATP）</t>
        </is>
      </c>
      <c r="E5" s="8">
        <f>15+INT($E$4/2)</f>
        <v/>
      </c>
      <c r="F5" s="5" t="inlineStr">
        <is>
          <t>技能點（SKP）</t>
        </is>
      </c>
      <c r="G5" s="8">
        <f>2+$E$4</f>
        <v/>
      </c>
      <c r="H5" s="5" t="inlineStr">
        <is>
          <t>血點上限（BP_max）</t>
        </is>
      </c>
      <c r="I5" s="9">
        <f>20000+2000*($E$4-1)+200*($E$4-1)^2</f>
        <v/>
      </c>
      <c r="J5" s="24" t="n"/>
      <c r="K5" s="24" t="n"/>
      <c r="L5" s="25" t="n"/>
    </row>
    <row r="6">
      <c r="A6" s="28" t="n"/>
      <c r="B6" s="29" t="n"/>
      <c r="C6" s="30" t="n"/>
      <c r="D6" s="5" t="inlineStr">
        <is>
          <t>天賦欄位數（PERK）</t>
        </is>
      </c>
      <c r="E6" s="8">
        <f>1+($E$4&gt;=5)+($E$4&gt;=10)+($E$4&gt;=15)</f>
        <v/>
      </c>
      <c r="F6" s="5" t="inlineStr">
        <is>
          <t>希望點上限</t>
        </is>
      </c>
      <c r="G6" s="8">
        <f>2+INT($E$4/5)</f>
        <v/>
      </c>
      <c r="H6" s="5" t="inlineStr">
        <is>
          <t>目前希望點（HOP）</t>
        </is>
      </c>
      <c r="I6" s="6" t="n">
        <v>2</v>
      </c>
      <c r="J6" s="24" t="n"/>
      <c r="K6" s="24" t="n"/>
      <c r="L6" s="25" t="n"/>
    </row>
    <row r="7">
      <c r="A7" s="11" t="inlineStr">
        <is>
          <t>米黃色格＝公式自動計算，請勿手動輸入。白色格＝玩家填寫。「玩家人數（N）」只計玩家扮演的倖存者，回聲同伴（Echo Companion）不計入。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5" t="n"/>
    </row>
    <row r="8" ht="20" customHeight="1">
      <c r="A8" s="13" t="inlineStr">
        <is>
          <t>一、屬性（Attribute）　屬性值 1–10；屬性加值（AB）＝ INT(屬性值 ÷ 2)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5" t="n"/>
    </row>
    <row r="9">
      <c r="A9" s="5" t="inlineStr">
        <is>
          <t>屬性</t>
        </is>
      </c>
      <c r="B9" s="5" t="inlineStr">
        <is>
          <t>縮寫</t>
        </is>
      </c>
      <c r="C9" s="5" t="inlineStr">
        <is>
          <t>基礎值</t>
        </is>
      </c>
      <c r="D9" s="5" t="inlineStr">
        <is>
          <t>原型調整</t>
        </is>
      </c>
      <c r="E9" s="5" t="inlineStr">
        <is>
          <t>屬性值</t>
        </is>
      </c>
      <c r="F9" s="5" t="inlineStr">
        <is>
          <t>屬性加值（AB）</t>
        </is>
      </c>
      <c r="G9" s="5" t="inlineStr">
        <is>
          <t>用途</t>
        </is>
      </c>
      <c r="H9" s="24" t="n"/>
      <c r="I9" s="24" t="n"/>
      <c r="J9" s="24" t="n"/>
      <c r="K9" s="24" t="n"/>
      <c r="L9" s="25" t="n"/>
    </row>
    <row r="10">
      <c r="A10" s="16" t="inlineStr">
        <is>
          <t>敏捷</t>
        </is>
      </c>
      <c r="B10" s="16" t="inlineStr">
        <is>
          <t>AGI</t>
        </is>
      </c>
      <c r="C10" s="6" t="n">
        <v>3</v>
      </c>
      <c r="D10" s="6" t="n">
        <v>0</v>
      </c>
      <c r="E10" s="8">
        <f>C10+D10</f>
        <v/>
      </c>
      <c r="F10" s="8">
        <f>INT(E10/2)</f>
        <v/>
      </c>
      <c r="G10" s="17" t="inlineStr">
        <is>
          <t>翻窗、推板、閃避、掙扎。追逐生存的主軸。</t>
        </is>
      </c>
      <c r="H10" s="24" t="n"/>
      <c r="I10" s="24" t="n"/>
      <c r="J10" s="24" t="n"/>
      <c r="K10" s="24" t="n"/>
      <c r="L10" s="25" t="n"/>
    </row>
    <row r="11">
      <c r="A11" s="16" t="inlineStr">
        <is>
          <t>技巧</t>
        </is>
      </c>
      <c r="B11" s="16" t="inlineStr">
        <is>
          <t>TEC</t>
        </is>
      </c>
      <c r="C11" s="6" t="n">
        <v>4</v>
      </c>
      <c r="D11" s="6" t="n">
        <v>2</v>
      </c>
      <c r="E11" s="8">
        <f>C11+D11</f>
        <v/>
      </c>
      <c r="F11" s="8">
        <f>INT(E11/2)</f>
        <v/>
      </c>
      <c r="G11" s="17" t="inlineStr">
        <is>
          <t>發電機修理、拆陷阱、開寶箱。勝利條件的主軸。</t>
        </is>
      </c>
      <c r="H11" s="24" t="n"/>
      <c r="I11" s="24" t="n"/>
      <c r="J11" s="24" t="n"/>
      <c r="K11" s="24" t="n"/>
      <c r="L11" s="25" t="n"/>
    </row>
    <row r="12">
      <c r="A12" s="16" t="inlineStr">
        <is>
          <t>隱蔽</t>
        </is>
      </c>
      <c r="B12" s="16" t="inlineStr">
        <is>
          <t>STL</t>
        </is>
      </c>
      <c r="C12" s="6" t="n">
        <v>2</v>
      </c>
      <c r="D12" s="6" t="n">
        <v>0</v>
      </c>
      <c r="E12" s="8">
        <f>C12+D12</f>
        <v/>
      </c>
      <c r="F12" s="8">
        <f>INT(E12/2)</f>
        <v/>
      </c>
      <c r="G12" s="17" t="inlineStr">
        <is>
          <t>蹲行、躲櫃、消抓痕、對抗殺手追蹤。</t>
        </is>
      </c>
      <c r="H12" s="24" t="n"/>
      <c r="I12" s="24" t="n"/>
      <c r="J12" s="24" t="n"/>
      <c r="K12" s="24" t="n"/>
      <c r="L12" s="25" t="n"/>
    </row>
    <row r="13">
      <c r="A13" s="16" t="inlineStr">
        <is>
          <t>專注</t>
        </is>
      </c>
      <c r="B13" s="16" t="inlineStr">
        <is>
          <t>FOC</t>
        </is>
      </c>
      <c r="C13" s="6" t="n">
        <v>3</v>
      </c>
      <c r="D13" s="6" t="n">
        <v>0</v>
      </c>
      <c r="E13" s="8">
        <f>C13+D13</f>
        <v/>
      </c>
      <c r="F13" s="8">
        <f>INT(E13/2)</f>
        <v/>
      </c>
      <c r="G13" s="17" t="inlineStr">
        <is>
          <t>技巧檢定四態品質、救援時機、抗干擾、掛鉤自救。</t>
        </is>
      </c>
      <c r="H13" s="24" t="n"/>
      <c r="I13" s="24" t="n"/>
      <c r="J13" s="24" t="n"/>
      <c r="K13" s="24" t="n"/>
      <c r="L13" s="25" t="n"/>
    </row>
    <row r="14">
      <c r="A14" s="16" t="inlineStr">
        <is>
          <t>意志</t>
        </is>
      </c>
      <c r="B14" s="16" t="inlineStr">
        <is>
          <t>WIL</t>
        </is>
      </c>
      <c r="C14" s="6" t="n">
        <v>3</v>
      </c>
      <c r="D14" s="6" t="n">
        <v>1</v>
      </c>
      <c r="E14" s="8">
        <f>C14+D14</f>
        <v/>
      </c>
      <c r="F14" s="8">
        <f>INT(E14/2)</f>
        <v/>
      </c>
      <c r="G14" s="17" t="inlineStr">
        <is>
          <t>生命值上限、恐懼抵抗、掛鉤存活輪數、瀕死爬行。</t>
        </is>
      </c>
      <c r="H14" s="24" t="n"/>
      <c r="I14" s="24" t="n"/>
      <c r="J14" s="24" t="n"/>
      <c r="K14" s="24" t="n"/>
      <c r="L14" s="25" t="n"/>
    </row>
    <row r="15">
      <c r="A15" s="5" t="inlineStr">
        <is>
          <t>合計</t>
        </is>
      </c>
      <c r="B15" s="25" t="n"/>
      <c r="C15" s="8">
        <f>SUM(C10:C14)</f>
        <v/>
      </c>
      <c r="D15" s="5" t="inlineStr">
        <is>
          <t>尚可分配</t>
        </is>
      </c>
      <c r="E15" s="8">
        <f>$E$5-SUM(C10:C14)</f>
        <v/>
      </c>
      <c r="F15" s="11" t="inlineStr">
        <is>
          <t>創角時基礎值每項 1–5，合計須等於屬性點（ATP）。原型調整由所選原型帶入。</t>
        </is>
      </c>
      <c r="G15" s="24" t="n"/>
      <c r="H15" s="24" t="n"/>
      <c r="I15" s="24" t="n"/>
      <c r="J15" s="24" t="n"/>
      <c r="K15" s="24" t="n"/>
      <c r="L15" s="25" t="n"/>
    </row>
    <row r="16" ht="20" customHeight="1">
      <c r="A16" s="13" t="inlineStr">
        <is>
          <t>二、技能（Skill）　技能等級（SL）0–5；等級 0 且需專業時，該檢定額外 −2（未受訓）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5" t="n"/>
    </row>
    <row r="17">
      <c r="A17" s="5" t="inlineStr">
        <is>
          <t>技能</t>
        </is>
      </c>
      <c r="B17" s="5" t="inlineStr">
        <is>
          <t>縮寫</t>
        </is>
      </c>
      <c r="C17" s="5" t="inlineStr">
        <is>
          <t>對應屬性</t>
        </is>
      </c>
      <c r="D17" s="5" t="inlineStr">
        <is>
          <t>技能等級（SL）</t>
        </is>
      </c>
      <c r="E17" s="5" t="inlineStr">
        <is>
          <t>屬性加值（AB）</t>
        </is>
      </c>
      <c r="F17" s="5" t="inlineStr">
        <is>
          <t>檢定總修正</t>
        </is>
      </c>
      <c r="G17" s="5" t="inlineStr">
        <is>
          <t>用途</t>
        </is>
      </c>
      <c r="H17" s="24" t="n"/>
      <c r="I17" s="24" t="n"/>
      <c r="J17" s="24" t="n"/>
      <c r="K17" s="24" t="n"/>
      <c r="L17" s="25" t="n"/>
    </row>
    <row r="18">
      <c r="A18" s="16" t="inlineStr">
        <is>
          <t>機械維修</t>
        </is>
      </c>
      <c r="B18" s="16" t="inlineStr">
        <is>
          <t>MEC</t>
        </is>
      </c>
      <c r="C18" s="6" t="inlineStr">
        <is>
          <t>技巧（TEC）</t>
        </is>
      </c>
      <c r="D18" s="6" t="n">
        <v>2</v>
      </c>
      <c r="E18" s="8">
        <f>F11</f>
        <v/>
      </c>
      <c r="F18" s="8">
        <f>D18+E18-IF(D18=0,2,0)</f>
        <v/>
      </c>
      <c r="G18" s="17" t="inlineStr">
        <is>
          <t>發電機修理、逃生門開啟、破壞鉤子</t>
        </is>
      </c>
      <c r="H18" s="24" t="n"/>
      <c r="I18" s="24" t="n"/>
      <c r="J18" s="24" t="n"/>
      <c r="K18" s="24" t="n"/>
      <c r="L18" s="25" t="n"/>
    </row>
    <row r="19">
      <c r="A19" s="16" t="inlineStr">
        <is>
          <t>急救</t>
        </is>
      </c>
      <c r="B19" s="16" t="inlineStr">
        <is>
          <t>MED</t>
        </is>
      </c>
      <c r="C19" s="6" t="inlineStr">
        <is>
          <t>專注（FOC）</t>
        </is>
      </c>
      <c r="D19" s="6" t="n">
        <v>0</v>
      </c>
      <c r="E19" s="8">
        <f>F13</f>
        <v/>
      </c>
      <c r="F19" s="8">
        <f>D19+E19-IF(D19=0,2,0)</f>
        <v/>
      </c>
      <c r="G19" s="17" t="inlineStr">
        <is>
          <t>治療他人、自我治療、扶起瀕死者、止血</t>
        </is>
      </c>
      <c r="H19" s="24" t="n"/>
      <c r="I19" s="24" t="n"/>
      <c r="J19" s="24" t="n"/>
      <c r="K19" s="24" t="n"/>
      <c r="L19" s="25" t="n"/>
    </row>
    <row r="20">
      <c r="A20" s="16" t="inlineStr">
        <is>
          <t>潛行</t>
        </is>
      </c>
      <c r="B20" s="16" t="inlineStr">
        <is>
          <t>SNK</t>
        </is>
      </c>
      <c r="C20" s="6" t="inlineStr">
        <is>
          <t>隱蔽（STL）</t>
        </is>
      </c>
      <c r="D20" s="6" t="n">
        <v>0</v>
      </c>
      <c r="E20" s="8">
        <f>F12</f>
        <v/>
      </c>
      <c r="F20" s="8">
        <f>D20+E20-IF(D20=0,2,0)</f>
        <v/>
      </c>
      <c r="G20" s="17" t="inlineStr">
        <is>
          <t>蹲行、躲入櫃子、消除抓痕、對抗追蹤</t>
        </is>
      </c>
      <c r="H20" s="24" t="n"/>
      <c r="I20" s="24" t="n"/>
      <c r="J20" s="24" t="n"/>
      <c r="K20" s="24" t="n"/>
      <c r="L20" s="25" t="n"/>
    </row>
    <row r="21">
      <c r="A21" s="16" t="inlineStr">
        <is>
          <t>攀越</t>
        </is>
      </c>
      <c r="B21" s="16" t="inlineStr">
        <is>
          <t>PRK</t>
        </is>
      </c>
      <c r="C21" s="6" t="inlineStr">
        <is>
          <t>敏捷（AGI）</t>
        </is>
      </c>
      <c r="D21" s="6" t="n">
        <v>0</v>
      </c>
      <c r="E21" s="8">
        <f>F10</f>
        <v/>
      </c>
      <c r="F21" s="8">
        <f>D21+E21-IF(D21=0,2,0)</f>
        <v/>
      </c>
      <c r="G21" s="17" t="inlineStr">
        <is>
          <t>翻越窗戶、越過障礙、跳落、繞圈</t>
        </is>
      </c>
      <c r="H21" s="24" t="n"/>
      <c r="I21" s="24" t="n"/>
      <c r="J21" s="24" t="n"/>
      <c r="K21" s="24" t="n"/>
      <c r="L21" s="25" t="n"/>
    </row>
    <row r="22">
      <c r="A22" s="16" t="inlineStr">
        <is>
          <t>掙脫</t>
        </is>
      </c>
      <c r="B22" s="16" t="inlineStr">
        <is>
          <t>ESQ</t>
        </is>
      </c>
      <c r="C22" s="6" t="inlineStr">
        <is>
          <t>敏捷（AGI）</t>
        </is>
      </c>
      <c r="D22" s="6" t="n">
        <v>0</v>
      </c>
      <c r="E22" s="8">
        <f>F10</f>
        <v/>
      </c>
      <c r="F22" s="8">
        <f>D22+E22-IF(D22=0,2,0)</f>
        <v/>
      </c>
      <c r="G22" s="17" t="inlineStr">
        <is>
          <t>掙扎、脫離陷阱、掙脫抓握</t>
        </is>
      </c>
      <c r="H22" s="24" t="n"/>
      <c r="I22" s="24" t="n"/>
      <c r="J22" s="24" t="n"/>
      <c r="K22" s="24" t="n"/>
      <c r="L22" s="25" t="n"/>
    </row>
    <row r="23">
      <c r="A23" s="16" t="inlineStr">
        <is>
          <t>搜索</t>
        </is>
      </c>
      <c r="B23" s="16" t="inlineStr">
        <is>
          <t>SRC</t>
        </is>
      </c>
      <c r="C23" s="6" t="inlineStr">
        <is>
          <t>技巧（TEC）</t>
        </is>
      </c>
      <c r="D23" s="6" t="n">
        <v>1</v>
      </c>
      <c r="E23" s="8">
        <f>F11</f>
        <v/>
      </c>
      <c r="F23" s="8">
        <f>D23+E23-IF(D23=0,2,0)</f>
        <v/>
      </c>
      <c r="G23" s="17" t="inlineStr">
        <is>
          <t>開啟寶箱、尋找地窖、辨識圖騰</t>
        </is>
      </c>
      <c r="H23" s="24" t="n"/>
      <c r="I23" s="24" t="n"/>
      <c r="J23" s="24" t="n"/>
      <c r="K23" s="24" t="n"/>
      <c r="L23" s="25" t="n"/>
    </row>
    <row r="24">
      <c r="A24" s="16" t="inlineStr">
        <is>
          <t>堅忍</t>
        </is>
      </c>
      <c r="B24" s="16" t="inlineStr">
        <is>
          <t>END</t>
        </is>
      </c>
      <c r="C24" s="6" t="inlineStr">
        <is>
          <t>意志（WIL）</t>
        </is>
      </c>
      <c r="D24" s="6" t="n">
        <v>0</v>
      </c>
      <c r="E24" s="8">
        <f>F14</f>
        <v/>
      </c>
      <c r="F24" s="8">
        <f>D24+E24-IF(D24=0,2,0)</f>
        <v/>
      </c>
      <c r="G24" s="17" t="inlineStr">
        <is>
          <t>抗恐懼、撐掛鉤、抵抗狀態效果、瀕死爬行</t>
        </is>
      </c>
      <c r="H24" s="24" t="n"/>
      <c r="I24" s="24" t="n"/>
      <c r="J24" s="24" t="n"/>
      <c r="K24" s="24" t="n"/>
      <c r="L24" s="25" t="n"/>
    </row>
    <row r="25">
      <c r="A25" s="16" t="inlineStr">
        <is>
          <t>洞察</t>
        </is>
      </c>
      <c r="B25" s="16" t="inlineStr">
        <is>
          <t>INS</t>
        </is>
      </c>
      <c r="C25" s="6" t="inlineStr">
        <is>
          <t>專注（FOC）</t>
        </is>
      </c>
      <c r="D25" s="6" t="n">
        <v>0</v>
      </c>
      <c r="E25" s="8">
        <f>F13</f>
        <v/>
      </c>
      <c r="F25" s="8">
        <f>D25+E25-IF(D25=0,2,0)</f>
        <v/>
      </c>
      <c r="G25" s="17" t="inlineStr">
        <is>
          <t>讀取光環、預判殺手動向、判斷救援時機</t>
        </is>
      </c>
      <c r="H25" s="24" t="n"/>
      <c r="I25" s="24" t="n"/>
      <c r="J25" s="24" t="n"/>
      <c r="K25" s="24" t="n"/>
      <c r="L25" s="25" t="n"/>
    </row>
    <row r="26">
      <c r="A26" s="5" t="inlineStr">
        <is>
          <t>合計</t>
        </is>
      </c>
      <c r="B26" s="24" t="n"/>
      <c r="C26" s="25" t="n"/>
      <c r="D26" s="8">
        <f>SUM(D18:D25)</f>
        <v/>
      </c>
      <c r="E26" s="5" t="inlineStr">
        <is>
          <t>尚可分配</t>
        </is>
      </c>
      <c r="F26" s="8">
        <f>$G$5-SUM(D18:D25)</f>
        <v/>
      </c>
      <c r="G26" s="11" t="inlineStr">
        <is>
          <t>「檢定總修正」已內含未受訓 −2 懲罰；情境修正（SM）另計。</t>
        </is>
      </c>
      <c r="H26" s="24" t="n"/>
      <c r="I26" s="24" t="n"/>
      <c r="J26" s="24" t="n"/>
      <c r="K26" s="24" t="n"/>
      <c r="L26" s="25" t="n"/>
    </row>
    <row r="27" ht="20" customHeight="1">
      <c r="A27" s="13" t="inlineStr">
        <is>
          <t>三、衍生值（Derived Value）　全部自動計算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</row>
    <row r="28">
      <c r="A28" s="5" t="inlineStr">
        <is>
          <t>生命值上限（HP_max）</t>
        </is>
      </c>
      <c r="B28" s="25" t="n"/>
      <c r="C28" s="8">
        <f>8+2*$E$14+$E$4</f>
        <v/>
      </c>
      <c r="D28" s="5" t="inlineStr">
        <is>
          <t>生命狀態上限（HS_max）</t>
        </is>
      </c>
      <c r="E28" s="25" t="n"/>
      <c r="F28" s="8">
        <f>IF(L28="是",1,2)</f>
        <v/>
      </c>
      <c r="G28" s="5" t="inlineStr">
        <is>
          <t>行動點上限（AP_max）</t>
        </is>
      </c>
      <c r="H28" s="25" t="n"/>
      <c r="I28" s="8">
        <f>IF(L29="是",3,4)</f>
        <v/>
      </c>
      <c r="J28" s="5" t="inlineStr">
        <is>
          <t>破碎（Broken）狀態？</t>
        </is>
      </c>
      <c r="K28" s="25" t="n"/>
      <c r="L28" s="6" t="inlineStr">
        <is>
          <t>否</t>
        </is>
      </c>
    </row>
    <row r="29">
      <c r="A29" s="5" t="inlineStr">
        <is>
          <t>移動格數（MOV）</t>
        </is>
      </c>
      <c r="B29" s="25" t="n"/>
      <c r="C29" s="8">
        <f>6+INT($F$10/2)</f>
        <v/>
      </c>
      <c r="D29" s="5" t="inlineStr">
        <is>
          <t>衝刺格數（SPR）</t>
        </is>
      </c>
      <c r="E29" s="25" t="n"/>
      <c r="F29" s="8">
        <f>(6+INT($F$10/2))*2</f>
        <v/>
      </c>
      <c r="G29" s="5" t="inlineStr">
        <is>
          <t>修理效率（REP）</t>
        </is>
      </c>
      <c r="H29" s="25" t="n"/>
      <c r="I29" s="8">
        <f>$F$11+$D$18</f>
        <v/>
      </c>
      <c r="J29" s="5" t="inlineStr">
        <is>
          <t>目前處於追逐中？</t>
        </is>
      </c>
      <c r="K29" s="25" t="n"/>
      <c r="L29" s="6" t="inlineStr">
        <is>
          <t>否</t>
        </is>
      </c>
    </row>
    <row r="30">
      <c r="A30" s="5" t="inlineStr">
        <is>
          <t>治療效率（HEAL）</t>
        </is>
      </c>
      <c r="B30" s="25" t="n"/>
      <c r="C30" s="8">
        <f>$F$13+$D$19</f>
        <v/>
      </c>
      <c r="D30" s="5" t="inlineStr">
        <is>
          <t>被動隱蔽值（PSTL）</t>
        </is>
      </c>
      <c r="E30" s="25" t="n"/>
      <c r="F30" s="8">
        <f>8+$F$12+$D$20</f>
        <v/>
      </c>
      <c r="G30" s="5" t="inlineStr">
        <is>
          <t>被動感知值（PPER）</t>
        </is>
      </c>
      <c r="H30" s="25" t="n"/>
      <c r="I30" s="8">
        <f>8+$F$13+$D$25</f>
        <v/>
      </c>
    </row>
    <row r="31">
      <c r="A31" s="5" t="inlineStr">
        <is>
          <t>恐懼抗性（FRES）</t>
        </is>
      </c>
      <c r="B31" s="25" t="n"/>
      <c r="C31" s="8">
        <f>10+$F$14+$D$24</f>
        <v/>
      </c>
      <c r="D31" s="5" t="inlineStr">
        <is>
          <t>追逐檢定修正（CHS）</t>
        </is>
      </c>
      <c r="E31" s="25" t="n"/>
      <c r="F31" s="8">
        <f>$F$10+$D$21</f>
        <v/>
      </c>
      <c r="G31" s="5" t="inlineStr">
        <is>
          <t>掙扎檢定修正（WIG）</t>
        </is>
      </c>
      <c r="H31" s="25" t="n"/>
      <c r="I31" s="8">
        <f>$F$10+$D$22</f>
        <v/>
      </c>
    </row>
    <row r="32">
      <c r="A32" s="5" t="inlineStr">
        <is>
          <t>掛鉤存活輪數（HKS）</t>
        </is>
      </c>
      <c r="B32" s="25" t="n"/>
      <c r="C32" s="8">
        <f>(8-$G$4)+INT($F$14/2)</f>
        <v/>
      </c>
      <c r="D32" s="5" t="inlineStr">
        <is>
          <t>掛鉤自救難度等級（DC）</t>
        </is>
      </c>
      <c r="E32" s="25" t="n"/>
      <c r="F32" s="8">
        <f>20-(4-$G$4)</f>
        <v/>
      </c>
      <c r="G32" s="5" t="inlineStr">
        <is>
          <t>負重上限（LOAD）</t>
        </is>
      </c>
      <c r="H32" s="25" t="n"/>
      <c r="I32" s="8">
        <f>2+IF($E$3="匠人（ART）",1,0)</f>
        <v/>
      </c>
    </row>
    <row r="33">
      <c r="A33" s="11" t="inlineStr">
        <is>
          <t>行動點（AP）：非追逐狀態每輪 4 點，追逐中 3 點。生命狀態（HS）：健康 → 受傷 → 瀕死；破碎（Broken）狀態下完全無法被治療。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</row>
    <row r="34" ht="20" customHeight="1">
      <c r="A34" s="13" t="inlineStr">
        <is>
          <t>四、臨場追蹤（Trial Tracker）　每場試煉開始時清空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</row>
    <row r="35">
      <c r="A35" s="5" t="inlineStr">
        <is>
          <t>目前生命狀態</t>
        </is>
      </c>
      <c r="B35" s="25" t="n"/>
      <c r="C35" s="6" t="n"/>
      <c r="D35" s="17" t="inlineStr">
        <is>
          <t>健康 / 受傷 / 瀕死</t>
        </is>
      </c>
      <c r="E35" s="24" t="n"/>
      <c r="F35" s="25" t="n"/>
      <c r="G35" s="5" t="inlineStr">
        <is>
          <t>目前生命值（HP）</t>
        </is>
      </c>
      <c r="H35" s="25" t="n"/>
      <c r="I35" s="6" t="n"/>
      <c r="J35" s="17" t="inlineStr"/>
      <c r="K35" s="24" t="n"/>
      <c r="L35" s="25" t="n"/>
    </row>
    <row r="36">
      <c r="A36" s="5" t="inlineStr">
        <is>
          <t>本場掛鉤次數</t>
        </is>
      </c>
      <c r="B36" s="25" t="n"/>
      <c r="C36" s="6" t="n"/>
      <c r="D36" s="17" t="inlineStr">
        <is>
          <t>0 / 1 / 2（第三次＝獻祭）</t>
        </is>
      </c>
      <c r="E36" s="24" t="n"/>
      <c r="F36" s="25" t="n"/>
      <c r="G36" s="5" t="inlineStr">
        <is>
          <t>掛鉤階段計時</t>
        </is>
      </c>
      <c r="H36" s="25" t="n"/>
      <c r="I36" s="6" t="n"/>
      <c r="J36" s="17" t="inlineStr">
        <is>
          <t>輪</t>
        </is>
      </c>
      <c r="K36" s="24" t="n"/>
      <c r="L36" s="25" t="n"/>
    </row>
    <row r="37">
      <c r="A37" s="5" t="inlineStr">
        <is>
          <t>目前距離帶（DB）</t>
        </is>
      </c>
      <c r="B37" s="25" t="n"/>
      <c r="C37" s="6" t="n"/>
      <c r="D37" s="17" t="inlineStr">
        <is>
          <t>接觸／近距／中距／遠距／脫離</t>
        </is>
      </c>
      <c r="E37" s="24" t="n"/>
      <c r="F37" s="25" t="n"/>
      <c r="G37" s="5" t="inlineStr">
        <is>
          <t>連續追逐輪數</t>
        </is>
      </c>
      <c r="H37" s="25" t="n"/>
      <c r="I37" s="6" t="n"/>
      <c r="J37" s="17" t="inlineStr">
        <is>
          <t>供血怒（Bloodlust）判定</t>
        </is>
      </c>
      <c r="K37" s="24" t="n"/>
      <c r="L37" s="25" t="n"/>
    </row>
    <row r="38">
      <c r="A38" s="5" t="inlineStr">
        <is>
          <t>剩餘行動點（AP）</t>
        </is>
      </c>
      <c r="B38" s="25" t="n"/>
      <c r="C38" s="6" t="n"/>
      <c r="D38" s="17" t="inlineStr"/>
      <c r="E38" s="24" t="n"/>
      <c r="F38" s="25" t="n"/>
      <c r="G38" s="5" t="inlineStr">
        <is>
          <t>堅持獎勵（PB）輪數</t>
        </is>
      </c>
      <c r="H38" s="25" t="n"/>
      <c r="I38" s="6" t="n"/>
      <c r="J38" s="17" t="inlineStr">
        <is>
          <t>連續同一動作輪數 −1，上限 +3</t>
        </is>
      </c>
      <c r="K38" s="24" t="n"/>
      <c r="L38" s="25" t="n"/>
    </row>
    <row r="39"/>
    <row r="40" ht="20" customHeight="1">
      <c r="A40" s="13" t="inlineStr">
        <is>
          <t>五、天賦（Perk）　欄位數依聲望等級（PRS）開放：初始 1 格，聲望等級 5／10／15 各再開 1 格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</row>
    <row r="41">
      <c r="A41" s="5" t="inlineStr">
        <is>
          <t>欄位</t>
        </is>
      </c>
      <c r="B41" s="5" t="inlineStr">
        <is>
          <t>天賦名稱</t>
        </is>
      </c>
      <c r="C41" s="24" t="n"/>
      <c r="D41" s="25" t="n"/>
      <c r="E41" s="5" t="inlineStr">
        <is>
          <t>階級</t>
        </is>
      </c>
      <c r="F41" s="5" t="inlineStr">
        <is>
          <t>效果摘要</t>
        </is>
      </c>
      <c r="G41" s="24" t="n"/>
      <c r="H41" s="24" t="n"/>
      <c r="I41" s="24" t="n"/>
      <c r="J41" s="24" t="n"/>
      <c r="K41" s="24" t="n"/>
      <c r="L41" s="25" t="n"/>
    </row>
    <row r="42">
      <c r="A42" s="5" t="inlineStr">
        <is>
          <t>1｜初始</t>
        </is>
      </c>
      <c r="B42" s="17" t="inlineStr">
        <is>
          <t>鋼鐵沉默（TALENT-S10）</t>
        </is>
      </c>
      <c r="C42" s="24" t="n"/>
      <c r="D42" s="25" t="n"/>
      <c r="E42" s="6" t="inlineStr">
        <is>
          <t>第一階</t>
        </is>
      </c>
      <c r="F42" s="17" t="inlineStr">
        <is>
          <t>受傷（Injured）時痛苦呻吟音量降低；殺手僅能在接觸（CON）距離帶聽見。</t>
        </is>
      </c>
      <c r="G42" s="24" t="n"/>
      <c r="H42" s="24" t="n"/>
      <c r="I42" s="24" t="n"/>
      <c r="J42" s="24" t="n"/>
      <c r="K42" s="24" t="n"/>
      <c r="L42" s="25" t="n"/>
    </row>
    <row r="43">
      <c r="A43" s="5" t="inlineStr">
        <is>
          <t>2｜聲望等級 5</t>
        </is>
      </c>
      <c r="B43" s="17" t="inlineStr"/>
      <c r="C43" s="24" t="n"/>
      <c r="D43" s="25" t="n"/>
      <c r="E43" s="6" t="inlineStr"/>
      <c r="F43" s="17" t="inlineStr"/>
      <c r="G43" s="24" t="n"/>
      <c r="H43" s="24" t="n"/>
      <c r="I43" s="24" t="n"/>
      <c r="J43" s="24" t="n"/>
      <c r="K43" s="24" t="n"/>
      <c r="L43" s="25" t="n"/>
    </row>
    <row r="44">
      <c r="A44" s="5" t="inlineStr">
        <is>
          <t>3｜聲望等級 10</t>
        </is>
      </c>
      <c r="B44" s="17" t="inlineStr"/>
      <c r="C44" s="24" t="n"/>
      <c r="D44" s="25" t="n"/>
      <c r="E44" s="6" t="inlineStr"/>
      <c r="F44" s="17" t="inlineStr"/>
      <c r="G44" s="24" t="n"/>
      <c r="H44" s="24" t="n"/>
      <c r="I44" s="24" t="n"/>
      <c r="J44" s="24" t="n"/>
      <c r="K44" s="24" t="n"/>
      <c r="L44" s="25" t="n"/>
    </row>
    <row r="45">
      <c r="A45" s="5" t="inlineStr">
        <is>
          <t>4｜聲望等級 15</t>
        </is>
      </c>
      <c r="B45" s="17" t="inlineStr"/>
      <c r="C45" s="24" t="n"/>
      <c r="D45" s="25" t="n"/>
      <c r="E45" s="6" t="inlineStr"/>
      <c r="F45" s="17" t="inlineStr"/>
      <c r="G45" s="24" t="n"/>
      <c r="H45" s="24" t="n"/>
      <c r="I45" s="24" t="n"/>
      <c r="J45" s="24" t="n"/>
      <c r="K45" s="24" t="n"/>
      <c r="L45" s="25" t="n"/>
    </row>
    <row r="46">
      <c r="A46" s="11" t="inlineStr">
        <is>
          <t>天賦分三階：第一階（罕見）／第二階（稀有）／第三階（非常稀有），階級欄請填第一階／第二階／第三階。條目見《天賦圖鑑》。獨行試煉（配置一）中涉及隊友的天賦，改以回聲同伴（Echo Companion）為對象；若場上無回聲同伴，改用該天賦的獨行變體條款。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</row>
    <row r="47" ht="20" customHeight="1">
      <c r="A47" s="13" t="inlineStr">
        <is>
          <t>六、攜帶物品與加裝（Item &amp; Add-on）　負重（LOAD）上限見衍生值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</row>
    <row r="48">
      <c r="A48" s="5" t="inlineStr">
        <is>
          <t>物品名稱</t>
        </is>
      </c>
      <c r="B48" s="24" t="n"/>
      <c r="C48" s="25" t="n"/>
      <c r="D48" s="5" t="inlineStr">
        <is>
          <t>類型</t>
        </is>
      </c>
      <c r="E48" s="25" t="n"/>
      <c r="F48" s="5" t="inlineStr">
        <is>
          <t>稀有度</t>
        </is>
      </c>
      <c r="G48" s="5" t="inlineStr">
        <is>
          <t>充能（CHG）</t>
        </is>
      </c>
      <c r="H48" s="5" t="inlineStr">
        <is>
          <t>加裝一</t>
        </is>
      </c>
      <c r="I48" s="25" t="n"/>
      <c r="J48" s="5" t="inlineStr">
        <is>
          <t>加裝二</t>
        </is>
      </c>
      <c r="K48" s="24" t="n"/>
      <c r="L48" s="25" t="n"/>
    </row>
    <row r="49">
      <c r="A49" s="17" t="inlineStr">
        <is>
          <t>工具箱（TBX）</t>
        </is>
      </c>
      <c r="B49" s="24" t="n"/>
      <c r="C49" s="25" t="n"/>
      <c r="D49" s="6" t="inlineStr">
        <is>
          <t>修理類</t>
        </is>
      </c>
      <c r="E49" s="25" t="n"/>
      <c r="F49" s="6" t="inlineStr">
        <is>
          <t>普通</t>
        </is>
      </c>
      <c r="G49" s="6" t="n">
        <v>8</v>
      </c>
      <c r="H49" s="17" t="inlineStr">
        <is>
          <t>強化彈簧</t>
        </is>
      </c>
      <c r="I49" s="25" t="n"/>
      <c r="J49" s="17" t="inlineStr"/>
      <c r="K49" s="24" t="n"/>
      <c r="L49" s="25" t="n"/>
    </row>
    <row r="50">
      <c r="A50" s="17" t="inlineStr">
        <is>
          <t>醫療包（MED）</t>
        </is>
      </c>
      <c r="B50" s="24" t="n"/>
      <c r="C50" s="25" t="n"/>
      <c r="D50" s="6" t="inlineStr">
        <is>
          <t>治療類</t>
        </is>
      </c>
      <c r="E50" s="25" t="n"/>
      <c r="F50" s="6" t="inlineStr">
        <is>
          <t>普通</t>
        </is>
      </c>
      <c r="G50" s="6" t="n">
        <v>6</v>
      </c>
      <c r="H50" s="17" t="inlineStr"/>
      <c r="I50" s="25" t="n"/>
      <c r="J50" s="17" t="inlineStr"/>
      <c r="K50" s="24" t="n"/>
      <c r="L50" s="25" t="n"/>
    </row>
    <row r="51">
      <c r="A51" s="17" t="inlineStr"/>
      <c r="B51" s="24" t="n"/>
      <c r="C51" s="25" t="n"/>
      <c r="D51" s="6" t="inlineStr"/>
      <c r="E51" s="25" t="n"/>
      <c r="F51" s="6" t="inlineStr"/>
      <c r="G51" s="6" t="inlineStr"/>
      <c r="H51" s="17" t="inlineStr"/>
      <c r="I51" s="25" t="n"/>
      <c r="J51" s="17" t="inlineStr"/>
      <c r="K51" s="24" t="n"/>
      <c r="L51" s="25" t="n"/>
    </row>
    <row r="52">
      <c r="A52" s="17" t="inlineStr"/>
      <c r="B52" s="24" t="n"/>
      <c r="C52" s="25" t="n"/>
      <c r="D52" s="6" t="inlineStr"/>
      <c r="E52" s="25" t="n"/>
      <c r="F52" s="6" t="inlineStr"/>
      <c r="G52" s="6" t="inlineStr"/>
      <c r="H52" s="17" t="inlineStr"/>
      <c r="I52" s="25" t="n"/>
      <c r="J52" s="17" t="inlineStr"/>
      <c r="K52" s="24" t="n"/>
      <c r="L52" s="25" t="n"/>
    </row>
    <row r="53"/>
    <row r="54" ht="20" customHeight="1">
      <c r="A54" s="13" t="inlineStr">
        <is>
          <t>七、狀態效果（Status Effect）　勾選目前生效者，並記錄剩餘輪數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</row>
    <row r="55">
      <c r="A55" s="5" t="inlineStr">
        <is>
          <t>破碎（Broken）</t>
        </is>
      </c>
      <c r="B55" s="24" t="n"/>
      <c r="C55" s="25" t="n"/>
      <c r="D55" s="6" t="n"/>
      <c r="E55" s="5" t="inlineStr">
        <is>
          <t>深度創傷（Deep Wound）</t>
        </is>
      </c>
      <c r="F55" s="24" t="n"/>
      <c r="G55" s="25" t="n"/>
      <c r="H55" s="6" t="n"/>
      <c r="I55" s="5" t="inlineStr">
        <is>
          <t>耗竭（Exhausted）</t>
        </is>
      </c>
      <c r="J55" s="24" t="n"/>
      <c r="K55" s="25" t="n"/>
      <c r="L55" s="6" t="n"/>
    </row>
    <row r="56">
      <c r="A56" s="5" t="inlineStr">
        <is>
          <t>失明（Blindness）</t>
        </is>
      </c>
      <c r="B56" s="24" t="n"/>
      <c r="C56" s="25" t="n"/>
      <c r="D56" s="6" t="n"/>
      <c r="E56" s="5" t="inlineStr">
        <is>
          <t>出血（Haemorrhage）</t>
        </is>
      </c>
      <c r="F56" s="24" t="n"/>
      <c r="G56" s="25" t="n"/>
      <c r="H56" s="6" t="n"/>
      <c r="I56" s="5" t="inlineStr">
        <is>
          <t>堅韌（Endurance）</t>
        </is>
      </c>
      <c r="J56" s="24" t="n"/>
      <c r="K56" s="25" t="n"/>
      <c r="L56" s="6" t="n"/>
    </row>
    <row r="57">
      <c r="A57" s="5" t="inlineStr">
        <is>
          <t>加速（Haste）</t>
        </is>
      </c>
      <c r="B57" s="24" t="n"/>
      <c r="C57" s="25" t="n"/>
      <c r="D57" s="6" t="n"/>
      <c r="E57" s="5" t="inlineStr">
        <is>
          <t>阻礙（Hindered）</t>
        </is>
      </c>
      <c r="F57" s="24" t="n"/>
      <c r="G57" s="25" t="n"/>
      <c r="H57" s="6" t="n"/>
      <c r="I57" s="5" t="inlineStr">
        <is>
          <t>暴露（Exposed）</t>
        </is>
      </c>
      <c r="J57" s="24" t="n"/>
      <c r="K57" s="25" t="n"/>
      <c r="L57" s="6" t="n"/>
    </row>
    <row r="58">
      <c r="A58" s="5" t="inlineStr">
        <is>
          <t>撕裂（Mangled）</t>
        </is>
      </c>
      <c r="B58" s="24" t="n"/>
      <c r="C58" s="25" t="n"/>
      <c r="D58" s="6" t="n"/>
      <c r="E58" s="5" t="inlineStr">
        <is>
          <t>瘋狂（Madness）</t>
        </is>
      </c>
      <c r="F58" s="24" t="n"/>
      <c r="G58" s="25" t="n"/>
      <c r="H58" s="6" t="n"/>
      <c r="I58" s="5" t="inlineStr">
        <is>
          <t>顫慄（Trembling）</t>
        </is>
      </c>
      <c r="J58" s="24" t="n"/>
      <c r="K58" s="25" t="n"/>
      <c r="L58" s="6" t="n"/>
    </row>
    <row r="59"/>
    <row r="60" ht="20" customHeight="1">
      <c r="A60" s="13" t="inlineStr">
        <is>
          <t>八、背景與筆記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</row>
    <row r="61">
      <c r="A61" s="18" t="inlineStr">
        <is>
          <t>樊修樸，三十八歲，家傳三代的機械修配廠師傅。
他相信任何壞掉的東西都能修好，這個信念撐過了父親的葬禮、工廠的查封、以及婚姻的結束。第一次進試煉時他花了整整一輪在研究發電機的接線方式——那不是任何他認得的規格，但他還是修好了。這讓他更害怕了。
【獨行定位】匠人（ART）× 機械師（REP）是配置一（獨行試煉）的最速通關組合：修理效率（REP）起手即 +5，修理發電機的難度等級（DC）再 −2。代價是追逐檢定修正（CHS）僅 +1，一旦被咬住幾乎沒有翻盤手段，必須嚴格依賴板窗。</t>
        </is>
      </c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2" t="n"/>
    </row>
    <row r="62">
      <c r="A62" s="33" t="n"/>
      <c r="L62" s="34" t="n"/>
    </row>
    <row r="63">
      <c r="A63" s="33" t="n"/>
      <c r="L63" s="34" t="n"/>
    </row>
    <row r="64">
      <c r="A64" s="33" t="n"/>
      <c r="L64" s="34" t="n"/>
    </row>
    <row r="65">
      <c r="A65" s="33" t="n"/>
      <c r="L65" s="34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7" t="n"/>
    </row>
  </sheetData>
  <mergeCells count="115">
    <mergeCell ref="B42:D42"/>
    <mergeCell ref="A15:B15"/>
    <mergeCell ref="G19:L19"/>
    <mergeCell ref="A46:L46"/>
    <mergeCell ref="I4:L4"/>
    <mergeCell ref="F43:L43"/>
    <mergeCell ref="J35:L35"/>
    <mergeCell ref="B44:D44"/>
    <mergeCell ref="J28:K28"/>
    <mergeCell ref="I56:K56"/>
    <mergeCell ref="D31:E31"/>
    <mergeCell ref="A26:C26"/>
    <mergeCell ref="A57:C57"/>
    <mergeCell ref="D37:F37"/>
    <mergeCell ref="G14:L14"/>
    <mergeCell ref="E57:G57"/>
    <mergeCell ref="J50:L50"/>
    <mergeCell ref="D48:E48"/>
    <mergeCell ref="H52:I52"/>
    <mergeCell ref="A52:C52"/>
    <mergeCell ref="J52:L52"/>
    <mergeCell ref="A61:L66"/>
    <mergeCell ref="E58:G58"/>
    <mergeCell ref="J48:L48"/>
    <mergeCell ref="A34:L34"/>
    <mergeCell ref="A35:B35"/>
    <mergeCell ref="F45:L45"/>
    <mergeCell ref="J38:L38"/>
    <mergeCell ref="A49:C49"/>
    <mergeCell ref="D51:E51"/>
    <mergeCell ref="A28:B28"/>
    <mergeCell ref="B43:D43"/>
    <mergeCell ref="A30:B30"/>
    <mergeCell ref="G10:L10"/>
    <mergeCell ref="G18:L18"/>
    <mergeCell ref="H50:I50"/>
    <mergeCell ref="A55:C55"/>
    <mergeCell ref="G38:H38"/>
    <mergeCell ref="A37:B37"/>
    <mergeCell ref="I6:L6"/>
    <mergeCell ref="H49:I49"/>
    <mergeCell ref="A2:C6"/>
    <mergeCell ref="G20:L20"/>
    <mergeCell ref="B45:D45"/>
    <mergeCell ref="G22:L22"/>
    <mergeCell ref="A58:C58"/>
    <mergeCell ref="E56:G56"/>
    <mergeCell ref="A40:L40"/>
    <mergeCell ref="G12:L12"/>
    <mergeCell ref="G21:L21"/>
    <mergeCell ref="A51:C51"/>
    <mergeCell ref="G35:H35"/>
    <mergeCell ref="A60:L60"/>
    <mergeCell ref="H48:I48"/>
    <mergeCell ref="D29:E29"/>
    <mergeCell ref="J37:L37"/>
    <mergeCell ref="G23:L23"/>
    <mergeCell ref="A16:L16"/>
    <mergeCell ref="J29:K29"/>
    <mergeCell ref="A36:B36"/>
    <mergeCell ref="A50:C50"/>
    <mergeCell ref="E2:G2"/>
    <mergeCell ref="I55:K55"/>
    <mergeCell ref="D52:E52"/>
    <mergeCell ref="D49:E49"/>
    <mergeCell ref="A47:L47"/>
    <mergeCell ref="G37:H37"/>
    <mergeCell ref="I2:L2"/>
    <mergeCell ref="G25:L25"/>
    <mergeCell ref="B41:D41"/>
    <mergeCell ref="G9:L9"/>
    <mergeCell ref="D35:F35"/>
    <mergeCell ref="A32:B32"/>
    <mergeCell ref="D28:E28"/>
    <mergeCell ref="G11:L11"/>
    <mergeCell ref="A38:B38"/>
    <mergeCell ref="D30:E30"/>
    <mergeCell ref="F41:L41"/>
    <mergeCell ref="G32:H32"/>
    <mergeCell ref="D36:F36"/>
    <mergeCell ref="I57:K57"/>
    <mergeCell ref="A54:L54"/>
    <mergeCell ref="A7:L7"/>
    <mergeCell ref="J49:L49"/>
    <mergeCell ref="J36:L36"/>
    <mergeCell ref="G13:L13"/>
    <mergeCell ref="A56:C56"/>
    <mergeCell ref="G36:H36"/>
    <mergeCell ref="I58:K58"/>
    <mergeCell ref="A27:L27"/>
    <mergeCell ref="G24:L24"/>
    <mergeCell ref="A33:L33"/>
    <mergeCell ref="F44:L44"/>
    <mergeCell ref="H51:I51"/>
    <mergeCell ref="A8:L8"/>
    <mergeCell ref="D32:E32"/>
    <mergeCell ref="G28:H28"/>
    <mergeCell ref="G26:L26"/>
    <mergeCell ref="J51:L51"/>
    <mergeCell ref="D38:F38"/>
    <mergeCell ref="G30:H30"/>
    <mergeCell ref="E3:G3"/>
    <mergeCell ref="F15:L15"/>
    <mergeCell ref="A48:C48"/>
    <mergeCell ref="F42:L42"/>
    <mergeCell ref="G29:H29"/>
    <mergeCell ref="E55:G55"/>
    <mergeCell ref="A29:B29"/>
    <mergeCell ref="I3:L3"/>
    <mergeCell ref="A1:L1"/>
    <mergeCell ref="G17:L17"/>
    <mergeCell ref="G31:H31"/>
    <mergeCell ref="D50:E50"/>
    <mergeCell ref="A31:B31"/>
    <mergeCell ref="I5:L5"/>
  </mergeCells>
  <dataValidations count="16">
    <dataValidation sqref="E3:G3" showDropDown="0" showInputMessage="0" showErrorMessage="0" allowBlank="1" type="list">
      <formula1>"號令者（LEA）,疾行者（SPR）,草藥師（HRB）,匠人（ART）,拾荒客（SCV）,退役兵（VET）"</formula1>
    </dataValidation>
    <dataValidation sqref="I3:L3" showDropDown="0" showInputMessage="0" showErrorMessage="0" allowBlank="1" type="list">
      <formula1>"機械師（REP）,守護者（RES）,幽影（STE）,磐石（END）,破襲手（SAB）,探路者（SCT）"</formula1>
    </dataValidation>
    <dataValidation sqref="L28:L29" showDropDown="0" showInputMessage="0" showErrorMessage="0" allowBlank="1" type="list">
      <formula1>"是,否"</formula1>
    </dataValidation>
    <dataValidation sqref="C35" showDropDown="0" showInputMessage="0" showErrorMessage="0" allowBlank="1" type="list">
      <formula1>"健康,受傷,瀕死"</formula1>
    </dataValidation>
    <dataValidation sqref="D55" showDropDown="0" showInputMessage="0" showErrorMessage="0" allowBlank="1" type="list">
      <formula1>",生效,1,2,3,4,5"</formula1>
    </dataValidation>
    <dataValidation sqref="H55" showDropDown="0" showInputMessage="0" showErrorMessage="0" allowBlank="1" type="list">
      <formula1>",生效,1,2,3,4,5"</formula1>
    </dataValidation>
    <dataValidation sqref="L55" showDropDown="0" showInputMessage="0" showErrorMessage="0" allowBlank="1" type="list">
      <formula1>",生效,1,2,3,4,5"</formula1>
    </dataValidation>
    <dataValidation sqref="D56" showDropDown="0" showInputMessage="0" showErrorMessage="0" allowBlank="1" type="list">
      <formula1>",生效,1,2,3,4,5"</formula1>
    </dataValidation>
    <dataValidation sqref="H56" showDropDown="0" showInputMessage="0" showErrorMessage="0" allowBlank="1" type="list">
      <formula1>",生效,1,2,3,4,5"</formula1>
    </dataValidation>
    <dataValidation sqref="L56" showDropDown="0" showInputMessage="0" showErrorMessage="0" allowBlank="1" type="list">
      <formula1>",生效,1,2,3,4,5"</formula1>
    </dataValidation>
    <dataValidation sqref="D57" showDropDown="0" showInputMessage="0" showErrorMessage="0" allowBlank="1" type="list">
      <formula1>",生效,1,2,3,4,5"</formula1>
    </dataValidation>
    <dataValidation sqref="H57" showDropDown="0" showInputMessage="0" showErrorMessage="0" allowBlank="1" type="list">
      <formula1>",生效,1,2,3,4,5"</formula1>
    </dataValidation>
    <dataValidation sqref="L57" showDropDown="0" showInputMessage="0" showErrorMessage="0" allowBlank="1" type="list">
      <formula1>",生效,1,2,3,4,5"</formula1>
    </dataValidation>
    <dataValidation sqref="D58" showDropDown="0" showInputMessage="0" showErrorMessage="0" allowBlank="1" type="list">
      <formula1>",生效,1,2,3,4,5"</formula1>
    </dataValidation>
    <dataValidation sqref="H58" showDropDown="0" showInputMessage="0" showErrorMessage="0" allowBlank="1" type="list">
      <formula1>",生效,1,2,3,4,5"</formula1>
    </dataValidation>
    <dataValidation sqref="L58" showDropDown="0" showInputMessage="0" showErrorMessage="0" allowBlank="1" type="list">
      <formula1>",生效,1,2,3,4,5"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9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28" customHeight="1">
      <c r="A1" s="1" t="inlineStr">
        <is>
          <t>黎明殺機TRPG　倖存者角色卡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>
      <c r="A2" s="3" t="inlineStr">
        <is>
          <t>角色圖
（此區可貼入角色圖片）</t>
        </is>
      </c>
      <c r="B2" s="22" t="n"/>
      <c r="C2" s="23" t="n"/>
      <c r="D2" s="5" t="inlineStr">
        <is>
          <t>角色名稱</t>
        </is>
      </c>
      <c r="E2" s="6" t="inlineStr">
        <is>
          <t>霍鎮山</t>
        </is>
      </c>
      <c r="F2" s="24" t="n"/>
      <c r="G2" s="25" t="n"/>
      <c r="H2" s="5" t="inlineStr">
        <is>
          <t>玩家</t>
        </is>
      </c>
      <c r="I2" s="6" t="inlineStr">
        <is>
          <t>範例</t>
        </is>
      </c>
      <c r="J2" s="24" t="n"/>
      <c r="K2" s="24" t="n"/>
      <c r="L2" s="25" t="n"/>
    </row>
    <row r="3">
      <c r="A3" s="26" t="n"/>
      <c r="C3" s="27" t="n"/>
      <c r="D3" s="5" t="inlineStr">
        <is>
          <t>原型</t>
        </is>
      </c>
      <c r="E3" s="6" t="inlineStr">
        <is>
          <t>退役兵（VET）</t>
        </is>
      </c>
      <c r="F3" s="24" t="n"/>
      <c r="G3" s="25" t="n"/>
      <c r="H3" s="5" t="inlineStr">
        <is>
          <t>求生專精</t>
        </is>
      </c>
      <c r="I3" s="6" t="inlineStr">
        <is>
          <t>磐石（END）</t>
        </is>
      </c>
      <c r="J3" s="24" t="n"/>
      <c r="K3" s="24" t="n"/>
      <c r="L3" s="25" t="n"/>
    </row>
    <row r="4">
      <c r="A4" s="26" t="n"/>
      <c r="C4" s="27" t="n"/>
      <c r="D4" s="5" t="inlineStr">
        <is>
          <t>聲望等級（PRS）</t>
        </is>
      </c>
      <c r="E4" s="6" t="n">
        <v>5</v>
      </c>
      <c r="F4" s="5" t="inlineStr">
        <is>
          <t>玩家人數（N）</t>
        </is>
      </c>
      <c r="G4" s="6" t="n">
        <v>1</v>
      </c>
      <c r="H4" s="5" t="inlineStr">
        <is>
          <t>目前血點（BP）</t>
        </is>
      </c>
      <c r="I4" s="6" t="n">
        <v>31200</v>
      </c>
      <c r="J4" s="24" t="n"/>
      <c r="K4" s="24" t="n"/>
      <c r="L4" s="25" t="n"/>
    </row>
    <row r="5">
      <c r="A5" s="26" t="n"/>
      <c r="C5" s="27" t="n"/>
      <c r="D5" s="5" t="inlineStr">
        <is>
          <t>屬性點（ATP）</t>
        </is>
      </c>
      <c r="E5" s="8">
        <f>15+INT($E$4/2)</f>
        <v/>
      </c>
      <c r="F5" s="5" t="inlineStr">
        <is>
          <t>技能點（SKP）</t>
        </is>
      </c>
      <c r="G5" s="8">
        <f>2+$E$4</f>
        <v/>
      </c>
      <c r="H5" s="5" t="inlineStr">
        <is>
          <t>血點上限（BP_max）</t>
        </is>
      </c>
      <c r="I5" s="9">
        <f>20000+2000*($E$4-1)+200*($E$4-1)^2</f>
        <v/>
      </c>
      <c r="J5" s="24" t="n"/>
      <c r="K5" s="24" t="n"/>
      <c r="L5" s="25" t="n"/>
    </row>
    <row r="6">
      <c r="A6" s="28" t="n"/>
      <c r="B6" s="29" t="n"/>
      <c r="C6" s="30" t="n"/>
      <c r="D6" s="5" t="inlineStr">
        <is>
          <t>天賦欄位數（PERK）</t>
        </is>
      </c>
      <c r="E6" s="8">
        <f>1+($E$4&gt;=5)+($E$4&gt;=10)+($E$4&gt;=15)</f>
        <v/>
      </c>
      <c r="F6" s="5" t="inlineStr">
        <is>
          <t>希望點上限</t>
        </is>
      </c>
      <c r="G6" s="8">
        <f>2+INT($E$4/5)</f>
        <v/>
      </c>
      <c r="H6" s="5" t="inlineStr">
        <is>
          <t>目前希望點（HOP）</t>
        </is>
      </c>
      <c r="I6" s="6" t="n">
        <v>3</v>
      </c>
      <c r="J6" s="24" t="n"/>
      <c r="K6" s="24" t="n"/>
      <c r="L6" s="25" t="n"/>
    </row>
    <row r="7">
      <c r="A7" s="11" t="inlineStr">
        <is>
          <t>米黃色格＝公式自動計算，請勿手動輸入。白色格＝玩家填寫。「玩家人數（N）」只計玩家扮演的倖存者，回聲同伴（Echo Companion）不計入。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5" t="n"/>
    </row>
    <row r="8" ht="20" customHeight="1">
      <c r="A8" s="13" t="inlineStr">
        <is>
          <t>一、屬性（Attribute）　屬性值 1–10；屬性加值（AB）＝ INT(屬性值 ÷ 2)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5" t="n"/>
    </row>
    <row r="9">
      <c r="A9" s="5" t="inlineStr">
        <is>
          <t>屬性</t>
        </is>
      </c>
      <c r="B9" s="5" t="inlineStr">
        <is>
          <t>縮寫</t>
        </is>
      </c>
      <c r="C9" s="5" t="inlineStr">
        <is>
          <t>基礎值</t>
        </is>
      </c>
      <c r="D9" s="5" t="inlineStr">
        <is>
          <t>原型調整</t>
        </is>
      </c>
      <c r="E9" s="5" t="inlineStr">
        <is>
          <t>屬性值</t>
        </is>
      </c>
      <c r="F9" s="5" t="inlineStr">
        <is>
          <t>屬性加值（AB）</t>
        </is>
      </c>
      <c r="G9" s="5" t="inlineStr">
        <is>
          <t>用途</t>
        </is>
      </c>
      <c r="H9" s="24" t="n"/>
      <c r="I9" s="24" t="n"/>
      <c r="J9" s="24" t="n"/>
      <c r="K9" s="24" t="n"/>
      <c r="L9" s="25" t="n"/>
    </row>
    <row r="10">
      <c r="A10" s="16" t="inlineStr">
        <is>
          <t>敏捷</t>
        </is>
      </c>
      <c r="B10" s="16" t="inlineStr">
        <is>
          <t>AGI</t>
        </is>
      </c>
      <c r="C10" s="6" t="n">
        <v>4</v>
      </c>
      <c r="D10" s="6" t="n">
        <v>1</v>
      </c>
      <c r="E10" s="8">
        <f>C10+D10</f>
        <v/>
      </c>
      <c r="F10" s="8">
        <f>INT(E10/2)</f>
        <v/>
      </c>
      <c r="G10" s="17" t="inlineStr">
        <is>
          <t>翻窗、推板、閃避、掙扎。追逐生存的主軸。</t>
        </is>
      </c>
      <c r="H10" s="24" t="n"/>
      <c r="I10" s="24" t="n"/>
      <c r="J10" s="24" t="n"/>
      <c r="K10" s="24" t="n"/>
      <c r="L10" s="25" t="n"/>
    </row>
    <row r="11">
      <c r="A11" s="16" t="inlineStr">
        <is>
          <t>技巧</t>
        </is>
      </c>
      <c r="B11" s="16" t="inlineStr">
        <is>
          <t>TEC</t>
        </is>
      </c>
      <c r="C11" s="6" t="n">
        <v>3</v>
      </c>
      <c r="D11" s="6" t="n">
        <v>0</v>
      </c>
      <c r="E11" s="8">
        <f>C11+D11</f>
        <v/>
      </c>
      <c r="F11" s="8">
        <f>INT(E11/2)</f>
        <v/>
      </c>
      <c r="G11" s="17" t="inlineStr">
        <is>
          <t>發電機修理、拆陷阱、開寶箱。勝利條件的主軸。</t>
        </is>
      </c>
      <c r="H11" s="24" t="n"/>
      <c r="I11" s="24" t="n"/>
      <c r="J11" s="24" t="n"/>
      <c r="K11" s="24" t="n"/>
      <c r="L11" s="25" t="n"/>
    </row>
    <row r="12">
      <c r="A12" s="16" t="inlineStr">
        <is>
          <t>隱蔽</t>
        </is>
      </c>
      <c r="B12" s="16" t="inlineStr">
        <is>
          <t>STL</t>
        </is>
      </c>
      <c r="C12" s="6" t="n">
        <v>2</v>
      </c>
      <c r="D12" s="6" t="n">
        <v>0</v>
      </c>
      <c r="E12" s="8">
        <f>C12+D12</f>
        <v/>
      </c>
      <c r="F12" s="8">
        <f>INT(E12/2)</f>
        <v/>
      </c>
      <c r="G12" s="17" t="inlineStr">
        <is>
          <t>蹲行、躲櫃、消抓痕、對抗殺手追蹤。</t>
        </is>
      </c>
      <c r="H12" s="24" t="n"/>
      <c r="I12" s="24" t="n"/>
      <c r="J12" s="24" t="n"/>
      <c r="K12" s="24" t="n"/>
      <c r="L12" s="25" t="n"/>
    </row>
    <row r="13">
      <c r="A13" s="16" t="inlineStr">
        <is>
          <t>專注</t>
        </is>
      </c>
      <c r="B13" s="16" t="inlineStr">
        <is>
          <t>FOC</t>
        </is>
      </c>
      <c r="C13" s="6" t="n">
        <v>3</v>
      </c>
      <c r="D13" s="6" t="n">
        <v>0</v>
      </c>
      <c r="E13" s="8">
        <f>C13+D13</f>
        <v/>
      </c>
      <c r="F13" s="8">
        <f>INT(E13/2)</f>
        <v/>
      </c>
      <c r="G13" s="17" t="inlineStr">
        <is>
          <t>技巧檢定四態品質、救援時機、抗干擾、掛鉤自救。</t>
        </is>
      </c>
      <c r="H13" s="24" t="n"/>
      <c r="I13" s="24" t="n"/>
      <c r="J13" s="24" t="n"/>
      <c r="K13" s="24" t="n"/>
      <c r="L13" s="25" t="n"/>
    </row>
    <row r="14">
      <c r="A14" s="16" t="inlineStr">
        <is>
          <t>意志</t>
        </is>
      </c>
      <c r="B14" s="16" t="inlineStr">
        <is>
          <t>WIL</t>
        </is>
      </c>
      <c r="C14" s="6" t="n">
        <v>5</v>
      </c>
      <c r="D14" s="6" t="n">
        <v>2</v>
      </c>
      <c r="E14" s="8">
        <f>C14+D14</f>
        <v/>
      </c>
      <c r="F14" s="8">
        <f>INT(E14/2)</f>
        <v/>
      </c>
      <c r="G14" s="17" t="inlineStr">
        <is>
          <t>生命值上限、恐懼抵抗、掛鉤存活輪數、瀕死爬行。</t>
        </is>
      </c>
      <c r="H14" s="24" t="n"/>
      <c r="I14" s="24" t="n"/>
      <c r="J14" s="24" t="n"/>
      <c r="K14" s="24" t="n"/>
      <c r="L14" s="25" t="n"/>
    </row>
    <row r="15">
      <c r="A15" s="5" t="inlineStr">
        <is>
          <t>合計</t>
        </is>
      </c>
      <c r="B15" s="25" t="n"/>
      <c r="C15" s="8">
        <f>SUM(C10:C14)</f>
        <v/>
      </c>
      <c r="D15" s="5" t="inlineStr">
        <is>
          <t>尚可分配</t>
        </is>
      </c>
      <c r="E15" s="8">
        <f>$E$5-SUM(C10:C14)</f>
        <v/>
      </c>
      <c r="F15" s="11" t="inlineStr">
        <is>
          <t>創角時基礎值每項 1–5，合計須等於屬性點（ATP）。原型調整由所選原型帶入。</t>
        </is>
      </c>
      <c r="G15" s="24" t="n"/>
      <c r="H15" s="24" t="n"/>
      <c r="I15" s="24" t="n"/>
      <c r="J15" s="24" t="n"/>
      <c r="K15" s="24" t="n"/>
      <c r="L15" s="25" t="n"/>
    </row>
    <row r="16" ht="20" customHeight="1">
      <c r="A16" s="13" t="inlineStr">
        <is>
          <t>二、技能（Skill）　技能等級（SL）0–5；等級 0 且需專業時，該檢定額外 −2（未受訓）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5" t="n"/>
    </row>
    <row r="17">
      <c r="A17" s="5" t="inlineStr">
        <is>
          <t>技能</t>
        </is>
      </c>
      <c r="B17" s="5" t="inlineStr">
        <is>
          <t>縮寫</t>
        </is>
      </c>
      <c r="C17" s="5" t="inlineStr">
        <is>
          <t>對應屬性</t>
        </is>
      </c>
      <c r="D17" s="5" t="inlineStr">
        <is>
          <t>技能等級（SL）</t>
        </is>
      </c>
      <c r="E17" s="5" t="inlineStr">
        <is>
          <t>屬性加值（AB）</t>
        </is>
      </c>
      <c r="F17" s="5" t="inlineStr">
        <is>
          <t>檢定總修正</t>
        </is>
      </c>
      <c r="G17" s="5" t="inlineStr">
        <is>
          <t>用途</t>
        </is>
      </c>
      <c r="H17" s="24" t="n"/>
      <c r="I17" s="24" t="n"/>
      <c r="J17" s="24" t="n"/>
      <c r="K17" s="24" t="n"/>
      <c r="L17" s="25" t="n"/>
    </row>
    <row r="18">
      <c r="A18" s="16" t="inlineStr">
        <is>
          <t>機械維修</t>
        </is>
      </c>
      <c r="B18" s="16" t="inlineStr">
        <is>
          <t>MEC</t>
        </is>
      </c>
      <c r="C18" s="6" t="inlineStr">
        <is>
          <t>技巧（TEC）</t>
        </is>
      </c>
      <c r="D18" s="6" t="n">
        <v>0</v>
      </c>
      <c r="E18" s="8">
        <f>F11</f>
        <v/>
      </c>
      <c r="F18" s="8">
        <f>D18+E18-IF(D18=0,2,0)</f>
        <v/>
      </c>
      <c r="G18" s="17" t="inlineStr">
        <is>
          <t>發電機修理、逃生門開啟、破壞鉤子</t>
        </is>
      </c>
      <c r="H18" s="24" t="n"/>
      <c r="I18" s="24" t="n"/>
      <c r="J18" s="24" t="n"/>
      <c r="K18" s="24" t="n"/>
      <c r="L18" s="25" t="n"/>
    </row>
    <row r="19">
      <c r="A19" s="16" t="inlineStr">
        <is>
          <t>急救</t>
        </is>
      </c>
      <c r="B19" s="16" t="inlineStr">
        <is>
          <t>MED</t>
        </is>
      </c>
      <c r="C19" s="6" t="inlineStr">
        <is>
          <t>專注（FOC）</t>
        </is>
      </c>
      <c r="D19" s="6" t="n">
        <v>1</v>
      </c>
      <c r="E19" s="8">
        <f>F13</f>
        <v/>
      </c>
      <c r="F19" s="8">
        <f>D19+E19-IF(D19=0,2,0)</f>
        <v/>
      </c>
      <c r="G19" s="17" t="inlineStr">
        <is>
          <t>治療他人、自我治療、扶起瀕死者、止血</t>
        </is>
      </c>
      <c r="H19" s="24" t="n"/>
      <c r="I19" s="24" t="n"/>
      <c r="J19" s="24" t="n"/>
      <c r="K19" s="24" t="n"/>
      <c r="L19" s="25" t="n"/>
    </row>
    <row r="20">
      <c r="A20" s="16" t="inlineStr">
        <is>
          <t>潛行</t>
        </is>
      </c>
      <c r="B20" s="16" t="inlineStr">
        <is>
          <t>SNK</t>
        </is>
      </c>
      <c r="C20" s="6" t="inlineStr">
        <is>
          <t>隱蔽（STL）</t>
        </is>
      </c>
      <c r="D20" s="6" t="n">
        <v>0</v>
      </c>
      <c r="E20" s="8">
        <f>F12</f>
        <v/>
      </c>
      <c r="F20" s="8">
        <f>D20+E20-IF(D20=0,2,0)</f>
        <v/>
      </c>
      <c r="G20" s="17" t="inlineStr">
        <is>
          <t>蹲行、躲入櫃子、消除抓痕、對抗追蹤</t>
        </is>
      </c>
      <c r="H20" s="24" t="n"/>
      <c r="I20" s="24" t="n"/>
      <c r="J20" s="24" t="n"/>
      <c r="K20" s="24" t="n"/>
      <c r="L20" s="25" t="n"/>
    </row>
    <row r="21">
      <c r="A21" s="16" t="inlineStr">
        <is>
          <t>攀越</t>
        </is>
      </c>
      <c r="B21" s="16" t="inlineStr">
        <is>
          <t>PRK</t>
        </is>
      </c>
      <c r="C21" s="6" t="inlineStr">
        <is>
          <t>敏捷（AGI）</t>
        </is>
      </c>
      <c r="D21" s="6" t="n">
        <v>2</v>
      </c>
      <c r="E21" s="8">
        <f>F10</f>
        <v/>
      </c>
      <c r="F21" s="8">
        <f>D21+E21-IF(D21=0,2,0)</f>
        <v/>
      </c>
      <c r="G21" s="17" t="inlineStr">
        <is>
          <t>翻越窗戶、越過障礙、跳落、繞圈</t>
        </is>
      </c>
      <c r="H21" s="24" t="n"/>
      <c r="I21" s="24" t="n"/>
      <c r="J21" s="24" t="n"/>
      <c r="K21" s="24" t="n"/>
      <c r="L21" s="25" t="n"/>
    </row>
    <row r="22">
      <c r="A22" s="16" t="inlineStr">
        <is>
          <t>掙脫</t>
        </is>
      </c>
      <c r="B22" s="16" t="inlineStr">
        <is>
          <t>ESQ</t>
        </is>
      </c>
      <c r="C22" s="6" t="inlineStr">
        <is>
          <t>敏捷（AGI）</t>
        </is>
      </c>
      <c r="D22" s="6" t="n">
        <v>1</v>
      </c>
      <c r="E22" s="8">
        <f>F10</f>
        <v/>
      </c>
      <c r="F22" s="8">
        <f>D22+E22-IF(D22=0,2,0)</f>
        <v/>
      </c>
      <c r="G22" s="17" t="inlineStr">
        <is>
          <t>掙扎、脫離陷阱、掙脫抓握</t>
        </is>
      </c>
      <c r="H22" s="24" t="n"/>
      <c r="I22" s="24" t="n"/>
      <c r="J22" s="24" t="n"/>
      <c r="K22" s="24" t="n"/>
      <c r="L22" s="25" t="n"/>
    </row>
    <row r="23">
      <c r="A23" s="16" t="inlineStr">
        <is>
          <t>搜索</t>
        </is>
      </c>
      <c r="B23" s="16" t="inlineStr">
        <is>
          <t>SRC</t>
        </is>
      </c>
      <c r="C23" s="6" t="inlineStr">
        <is>
          <t>技巧（TEC）</t>
        </is>
      </c>
      <c r="D23" s="6" t="n">
        <v>0</v>
      </c>
      <c r="E23" s="8">
        <f>F11</f>
        <v/>
      </c>
      <c r="F23" s="8">
        <f>D23+E23-IF(D23=0,2,0)</f>
        <v/>
      </c>
      <c r="G23" s="17" t="inlineStr">
        <is>
          <t>開啟寶箱、尋找地窖、辨識圖騰</t>
        </is>
      </c>
      <c r="H23" s="24" t="n"/>
      <c r="I23" s="24" t="n"/>
      <c r="J23" s="24" t="n"/>
      <c r="K23" s="24" t="n"/>
      <c r="L23" s="25" t="n"/>
    </row>
    <row r="24">
      <c r="A24" s="16" t="inlineStr">
        <is>
          <t>堅忍</t>
        </is>
      </c>
      <c r="B24" s="16" t="inlineStr">
        <is>
          <t>END</t>
        </is>
      </c>
      <c r="C24" s="6" t="inlineStr">
        <is>
          <t>意志（WIL）</t>
        </is>
      </c>
      <c r="D24" s="6" t="n">
        <v>3</v>
      </c>
      <c r="E24" s="8">
        <f>F14</f>
        <v/>
      </c>
      <c r="F24" s="8">
        <f>D24+E24-IF(D24=0,2,0)</f>
        <v/>
      </c>
      <c r="G24" s="17" t="inlineStr">
        <is>
          <t>抗恐懼、撐掛鉤、抵抗狀態效果、瀕死爬行</t>
        </is>
      </c>
      <c r="H24" s="24" t="n"/>
      <c r="I24" s="24" t="n"/>
      <c r="J24" s="24" t="n"/>
      <c r="K24" s="24" t="n"/>
      <c r="L24" s="25" t="n"/>
    </row>
    <row r="25">
      <c r="A25" s="16" t="inlineStr">
        <is>
          <t>洞察</t>
        </is>
      </c>
      <c r="B25" s="16" t="inlineStr">
        <is>
          <t>INS</t>
        </is>
      </c>
      <c r="C25" s="6" t="inlineStr">
        <is>
          <t>專注（FOC）</t>
        </is>
      </c>
      <c r="D25" s="6" t="n">
        <v>0</v>
      </c>
      <c r="E25" s="8">
        <f>F13</f>
        <v/>
      </c>
      <c r="F25" s="8">
        <f>D25+E25-IF(D25=0,2,0)</f>
        <v/>
      </c>
      <c r="G25" s="17" t="inlineStr">
        <is>
          <t>讀取光環、預判殺手動向、判斷救援時機</t>
        </is>
      </c>
      <c r="H25" s="24" t="n"/>
      <c r="I25" s="24" t="n"/>
      <c r="J25" s="24" t="n"/>
      <c r="K25" s="24" t="n"/>
      <c r="L25" s="25" t="n"/>
    </row>
    <row r="26">
      <c r="A26" s="5" t="inlineStr">
        <is>
          <t>合計</t>
        </is>
      </c>
      <c r="B26" s="24" t="n"/>
      <c r="C26" s="25" t="n"/>
      <c r="D26" s="8">
        <f>SUM(D18:D25)</f>
        <v/>
      </c>
      <c r="E26" s="5" t="inlineStr">
        <is>
          <t>尚可分配</t>
        </is>
      </c>
      <c r="F26" s="8">
        <f>$G$5-SUM(D18:D25)</f>
        <v/>
      </c>
      <c r="G26" s="11" t="inlineStr">
        <is>
          <t>「檢定總修正」已內含未受訓 −2 懲罰；情境修正（SM）另計。</t>
        </is>
      </c>
      <c r="H26" s="24" t="n"/>
      <c r="I26" s="24" t="n"/>
      <c r="J26" s="24" t="n"/>
      <c r="K26" s="24" t="n"/>
      <c r="L26" s="25" t="n"/>
    </row>
    <row r="27" ht="20" customHeight="1">
      <c r="A27" s="13" t="inlineStr">
        <is>
          <t>三、衍生值（Derived Value）　全部自動計算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</row>
    <row r="28">
      <c r="A28" s="5" t="inlineStr">
        <is>
          <t>生命值上限（HP_max）</t>
        </is>
      </c>
      <c r="B28" s="25" t="n"/>
      <c r="C28" s="8">
        <f>8+2*$E$14+$E$4</f>
        <v/>
      </c>
      <c r="D28" s="5" t="inlineStr">
        <is>
          <t>生命狀態上限（HS_max）</t>
        </is>
      </c>
      <c r="E28" s="25" t="n"/>
      <c r="F28" s="8">
        <f>IF(L28="是",1,2)</f>
        <v/>
      </c>
      <c r="G28" s="5" t="inlineStr">
        <is>
          <t>行動點上限（AP_max）</t>
        </is>
      </c>
      <c r="H28" s="25" t="n"/>
      <c r="I28" s="8">
        <f>IF(L29="是",3,4)</f>
        <v/>
      </c>
      <c r="J28" s="5" t="inlineStr">
        <is>
          <t>破碎（Broken）狀態？</t>
        </is>
      </c>
      <c r="K28" s="25" t="n"/>
      <c r="L28" s="6" t="inlineStr">
        <is>
          <t>否</t>
        </is>
      </c>
    </row>
    <row r="29">
      <c r="A29" s="5" t="inlineStr">
        <is>
          <t>移動格數（MOV）</t>
        </is>
      </c>
      <c r="B29" s="25" t="n"/>
      <c r="C29" s="8">
        <f>6+INT($F$10/2)</f>
        <v/>
      </c>
      <c r="D29" s="5" t="inlineStr">
        <is>
          <t>衝刺格數（SPR）</t>
        </is>
      </c>
      <c r="E29" s="25" t="n"/>
      <c r="F29" s="8">
        <f>(6+INT($F$10/2))*2</f>
        <v/>
      </c>
      <c r="G29" s="5" t="inlineStr">
        <is>
          <t>修理效率（REP）</t>
        </is>
      </c>
      <c r="H29" s="25" t="n"/>
      <c r="I29" s="8">
        <f>$F$11+$D$18</f>
        <v/>
      </c>
      <c r="J29" s="5" t="inlineStr">
        <is>
          <t>目前處於追逐中？</t>
        </is>
      </c>
      <c r="K29" s="25" t="n"/>
      <c r="L29" s="6" t="inlineStr">
        <is>
          <t>否</t>
        </is>
      </c>
    </row>
    <row r="30">
      <c r="A30" s="5" t="inlineStr">
        <is>
          <t>治療效率（HEAL）</t>
        </is>
      </c>
      <c r="B30" s="25" t="n"/>
      <c r="C30" s="8">
        <f>$F$13+$D$19</f>
        <v/>
      </c>
      <c r="D30" s="5" t="inlineStr">
        <is>
          <t>被動隱蔽值（PSTL）</t>
        </is>
      </c>
      <c r="E30" s="25" t="n"/>
      <c r="F30" s="8">
        <f>8+$F$12+$D$20</f>
        <v/>
      </c>
      <c r="G30" s="5" t="inlineStr">
        <is>
          <t>被動感知值（PPER）</t>
        </is>
      </c>
      <c r="H30" s="25" t="n"/>
      <c r="I30" s="8">
        <f>8+$F$13+$D$25</f>
        <v/>
      </c>
    </row>
    <row r="31">
      <c r="A31" s="5" t="inlineStr">
        <is>
          <t>恐懼抗性（FRES）</t>
        </is>
      </c>
      <c r="B31" s="25" t="n"/>
      <c r="C31" s="8">
        <f>10+$F$14+$D$24</f>
        <v/>
      </c>
      <c r="D31" s="5" t="inlineStr">
        <is>
          <t>追逐檢定修正（CHS）</t>
        </is>
      </c>
      <c r="E31" s="25" t="n"/>
      <c r="F31" s="8">
        <f>$F$10+$D$21</f>
        <v/>
      </c>
      <c r="G31" s="5" t="inlineStr">
        <is>
          <t>掙扎檢定修正（WIG）</t>
        </is>
      </c>
      <c r="H31" s="25" t="n"/>
      <c r="I31" s="8">
        <f>$F$10+$D$22</f>
        <v/>
      </c>
    </row>
    <row r="32">
      <c r="A32" s="5" t="inlineStr">
        <is>
          <t>掛鉤存活輪數（HKS）</t>
        </is>
      </c>
      <c r="B32" s="25" t="n"/>
      <c r="C32" s="8">
        <f>(8-$G$4)+INT($F$14/2)</f>
        <v/>
      </c>
      <c r="D32" s="5" t="inlineStr">
        <is>
          <t>掛鉤自救難度等級（DC）</t>
        </is>
      </c>
      <c r="E32" s="25" t="n"/>
      <c r="F32" s="8">
        <f>20-(4-$G$4)</f>
        <v/>
      </c>
      <c r="G32" s="5" t="inlineStr">
        <is>
          <t>負重上限（LOAD）</t>
        </is>
      </c>
      <c r="H32" s="25" t="n"/>
      <c r="I32" s="8">
        <f>2+IF($E$3="匠人（ART）",1,0)</f>
        <v/>
      </c>
    </row>
    <row r="33">
      <c r="A33" s="11" t="inlineStr">
        <is>
          <t>行動點（AP）：非追逐狀態每輪 4 點，追逐中 3 點。生命狀態（HS）：健康 → 受傷 → 瀕死；破碎（Broken）狀態下完全無法被治療。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</row>
    <row r="34" ht="20" customHeight="1">
      <c r="A34" s="13" t="inlineStr">
        <is>
          <t>四、臨場追蹤（Trial Tracker）　每場試煉開始時清空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</row>
    <row r="35">
      <c r="A35" s="5" t="inlineStr">
        <is>
          <t>目前生命狀態</t>
        </is>
      </c>
      <c r="B35" s="25" t="n"/>
      <c r="C35" s="6" t="n"/>
      <c r="D35" s="17" t="inlineStr">
        <is>
          <t>健康 / 受傷 / 瀕死</t>
        </is>
      </c>
      <c r="E35" s="24" t="n"/>
      <c r="F35" s="25" t="n"/>
      <c r="G35" s="5" t="inlineStr">
        <is>
          <t>目前生命值（HP）</t>
        </is>
      </c>
      <c r="H35" s="25" t="n"/>
      <c r="I35" s="6" t="n"/>
      <c r="J35" s="17" t="inlineStr"/>
      <c r="K35" s="24" t="n"/>
      <c r="L35" s="25" t="n"/>
    </row>
    <row r="36">
      <c r="A36" s="5" t="inlineStr">
        <is>
          <t>本場掛鉤次數</t>
        </is>
      </c>
      <c r="B36" s="25" t="n"/>
      <c r="C36" s="6" t="n"/>
      <c r="D36" s="17" t="inlineStr">
        <is>
          <t>0 / 1 / 2（第三次＝獻祭）</t>
        </is>
      </c>
      <c r="E36" s="24" t="n"/>
      <c r="F36" s="25" t="n"/>
      <c r="G36" s="5" t="inlineStr">
        <is>
          <t>掛鉤階段計時</t>
        </is>
      </c>
      <c r="H36" s="25" t="n"/>
      <c r="I36" s="6" t="n"/>
      <c r="J36" s="17" t="inlineStr">
        <is>
          <t>輪</t>
        </is>
      </c>
      <c r="K36" s="24" t="n"/>
      <c r="L36" s="25" t="n"/>
    </row>
    <row r="37">
      <c r="A37" s="5" t="inlineStr">
        <is>
          <t>目前距離帶（DB）</t>
        </is>
      </c>
      <c r="B37" s="25" t="n"/>
      <c r="C37" s="6" t="n"/>
      <c r="D37" s="17" t="inlineStr">
        <is>
          <t>接觸／近距／中距／遠距／脫離</t>
        </is>
      </c>
      <c r="E37" s="24" t="n"/>
      <c r="F37" s="25" t="n"/>
      <c r="G37" s="5" t="inlineStr">
        <is>
          <t>連續追逐輪數</t>
        </is>
      </c>
      <c r="H37" s="25" t="n"/>
      <c r="I37" s="6" t="n"/>
      <c r="J37" s="17" t="inlineStr">
        <is>
          <t>供血怒（Bloodlust）判定</t>
        </is>
      </c>
      <c r="K37" s="24" t="n"/>
      <c r="L37" s="25" t="n"/>
    </row>
    <row r="38">
      <c r="A38" s="5" t="inlineStr">
        <is>
          <t>剩餘行動點（AP）</t>
        </is>
      </c>
      <c r="B38" s="25" t="n"/>
      <c r="C38" s="6" t="n"/>
      <c r="D38" s="17" t="inlineStr"/>
      <c r="E38" s="24" t="n"/>
      <c r="F38" s="25" t="n"/>
      <c r="G38" s="5" t="inlineStr">
        <is>
          <t>堅持獎勵（PB）輪數</t>
        </is>
      </c>
      <c r="H38" s="25" t="n"/>
      <c r="I38" s="6" t="n"/>
      <c r="J38" s="17" t="inlineStr">
        <is>
          <t>連續同一動作輪數 −1，上限 +3</t>
        </is>
      </c>
      <c r="K38" s="24" t="n"/>
      <c r="L38" s="25" t="n"/>
    </row>
    <row r="39"/>
    <row r="40" ht="20" customHeight="1">
      <c r="A40" s="13" t="inlineStr">
        <is>
          <t>五、天賦（Perk）　欄位數依聲望等級（PRS）開放：初始 1 格，聲望等級 5／10／15 各再開 1 格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</row>
    <row r="41">
      <c r="A41" s="5" t="inlineStr">
        <is>
          <t>欄位</t>
        </is>
      </c>
      <c r="B41" s="5" t="inlineStr">
        <is>
          <t>天賦名稱</t>
        </is>
      </c>
      <c r="C41" s="24" t="n"/>
      <c r="D41" s="25" t="n"/>
      <c r="E41" s="5" t="inlineStr">
        <is>
          <t>階級</t>
        </is>
      </c>
      <c r="F41" s="5" t="inlineStr">
        <is>
          <t>效果摘要</t>
        </is>
      </c>
      <c r="G41" s="24" t="n"/>
      <c r="H41" s="24" t="n"/>
      <c r="I41" s="24" t="n"/>
      <c r="J41" s="24" t="n"/>
      <c r="K41" s="24" t="n"/>
      <c r="L41" s="25" t="n"/>
    </row>
    <row r="42">
      <c r="A42" s="5" t="inlineStr">
        <is>
          <t>1｜初始</t>
        </is>
      </c>
      <c r="B42" s="17" t="inlineStr">
        <is>
          <t>不屈之軀（TALENT-S16）</t>
        </is>
      </c>
      <c r="C42" s="24" t="n"/>
      <c r="D42" s="25" t="n"/>
      <c r="E42" s="6" t="inlineStr">
        <is>
          <t>第二階</t>
        </is>
      </c>
      <c r="F42" s="17" t="inlineStr">
        <is>
          <t>瀕死狀態下可自行脫離回到受傷（Injured）狀態，每場試煉一次。</t>
        </is>
      </c>
      <c r="G42" s="24" t="n"/>
      <c r="H42" s="24" t="n"/>
      <c r="I42" s="24" t="n"/>
      <c r="J42" s="24" t="n"/>
      <c r="K42" s="24" t="n"/>
      <c r="L42" s="25" t="n"/>
    </row>
    <row r="43">
      <c r="A43" s="5" t="inlineStr">
        <is>
          <t>2｜聲望等級 5</t>
        </is>
      </c>
      <c r="B43" s="17" t="inlineStr">
        <is>
          <t>堅韌不拔（TALENT-G02）</t>
        </is>
      </c>
      <c r="C43" s="24" t="n"/>
      <c r="D43" s="25" t="n"/>
      <c r="E43" s="6" t="inlineStr">
        <is>
          <t>第二階</t>
        </is>
      </c>
      <c r="F43" s="17" t="inlineStr">
        <is>
          <t>處於受傷（Injured）狀態時，所有非戰鬥動作檢定 +2（修理、治療、開門、搜箱、翻窗、推板）。</t>
        </is>
      </c>
      <c r="G43" s="24" t="n"/>
      <c r="H43" s="24" t="n"/>
      <c r="I43" s="24" t="n"/>
      <c r="J43" s="24" t="n"/>
      <c r="K43" s="24" t="n"/>
      <c r="L43" s="25" t="n"/>
    </row>
    <row r="44">
      <c r="A44" s="5" t="inlineStr">
        <is>
          <t>3｜聲望等級 10</t>
        </is>
      </c>
      <c r="B44" s="17" t="inlineStr"/>
      <c r="C44" s="24" t="n"/>
      <c r="D44" s="25" t="n"/>
      <c r="E44" s="6" t="inlineStr"/>
      <c r="F44" s="17" t="inlineStr"/>
      <c r="G44" s="24" t="n"/>
      <c r="H44" s="24" t="n"/>
      <c r="I44" s="24" t="n"/>
      <c r="J44" s="24" t="n"/>
      <c r="K44" s="24" t="n"/>
      <c r="L44" s="25" t="n"/>
    </row>
    <row r="45">
      <c r="A45" s="5" t="inlineStr">
        <is>
          <t>4｜聲望等級 15</t>
        </is>
      </c>
      <c r="B45" s="17" t="inlineStr"/>
      <c r="C45" s="24" t="n"/>
      <c r="D45" s="25" t="n"/>
      <c r="E45" s="6" t="inlineStr"/>
      <c r="F45" s="17" t="inlineStr"/>
      <c r="G45" s="24" t="n"/>
      <c r="H45" s="24" t="n"/>
      <c r="I45" s="24" t="n"/>
      <c r="J45" s="24" t="n"/>
      <c r="K45" s="24" t="n"/>
      <c r="L45" s="25" t="n"/>
    </row>
    <row r="46">
      <c r="A46" s="11" t="inlineStr">
        <is>
          <t>天賦分三階：第一階（罕見）／第二階（稀有）／第三階（非常稀有），階級欄請填第一階／第二階／第三階。條目見《天賦圖鑑》。獨行試煉（配置一）中涉及隊友的天賦，改以回聲同伴（Echo Companion）為對象；若場上無回聲同伴，改用該天賦的獨行變體條款。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</row>
    <row r="47" ht="20" customHeight="1">
      <c r="A47" s="13" t="inlineStr">
        <is>
          <t>六、攜帶物品與加裝（Item &amp; Add-on）　負重（LOAD）上限見衍生值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</row>
    <row r="48">
      <c r="A48" s="5" t="inlineStr">
        <is>
          <t>物品名稱</t>
        </is>
      </c>
      <c r="B48" s="24" t="n"/>
      <c r="C48" s="25" t="n"/>
      <c r="D48" s="5" t="inlineStr">
        <is>
          <t>類型</t>
        </is>
      </c>
      <c r="E48" s="25" t="n"/>
      <c r="F48" s="5" t="inlineStr">
        <is>
          <t>稀有度</t>
        </is>
      </c>
      <c r="G48" s="5" t="inlineStr">
        <is>
          <t>充能（CHG）</t>
        </is>
      </c>
      <c r="H48" s="5" t="inlineStr">
        <is>
          <t>加裝一</t>
        </is>
      </c>
      <c r="I48" s="25" t="n"/>
      <c r="J48" s="5" t="inlineStr">
        <is>
          <t>加裝二</t>
        </is>
      </c>
      <c r="K48" s="24" t="n"/>
      <c r="L48" s="25" t="n"/>
    </row>
    <row r="49">
      <c r="A49" s="17" t="inlineStr">
        <is>
          <t>急救包（FAK）</t>
        </is>
      </c>
      <c r="B49" s="24" t="n"/>
      <c r="C49" s="25" t="n"/>
      <c r="D49" s="6" t="inlineStr">
        <is>
          <t>治療類</t>
        </is>
      </c>
      <c r="E49" s="25" t="n"/>
      <c r="F49" s="6" t="inlineStr">
        <is>
          <t>稀有</t>
        </is>
      </c>
      <c r="G49" s="6" t="n">
        <v>10</v>
      </c>
      <c r="H49" s="17" t="inlineStr">
        <is>
          <t>縫合針</t>
        </is>
      </c>
      <c r="I49" s="25" t="n"/>
      <c r="J49" s="17" t="inlineStr">
        <is>
          <t>止痛劑</t>
        </is>
      </c>
      <c r="K49" s="24" t="n"/>
      <c r="L49" s="25" t="n"/>
    </row>
    <row r="50">
      <c r="A50" s="17" t="inlineStr">
        <is>
          <t>撬棍（CRB）</t>
        </is>
      </c>
      <c r="B50" s="24" t="n"/>
      <c r="C50" s="25" t="n"/>
      <c r="D50" s="6" t="inlineStr">
        <is>
          <t>工具類</t>
        </is>
      </c>
      <c r="E50" s="25" t="n"/>
      <c r="F50" s="6" t="inlineStr">
        <is>
          <t>普通</t>
        </is>
      </c>
      <c r="G50" s="6" t="inlineStr">
        <is>
          <t>—</t>
        </is>
      </c>
      <c r="H50" s="17" t="inlineStr"/>
      <c r="I50" s="25" t="n"/>
      <c r="J50" s="17" t="inlineStr"/>
      <c r="K50" s="24" t="n"/>
      <c r="L50" s="25" t="n"/>
    </row>
    <row r="51">
      <c r="A51" s="17" t="inlineStr"/>
      <c r="B51" s="24" t="n"/>
      <c r="C51" s="25" t="n"/>
      <c r="D51" s="6" t="inlineStr"/>
      <c r="E51" s="25" t="n"/>
      <c r="F51" s="6" t="inlineStr"/>
      <c r="G51" s="6" t="inlineStr"/>
      <c r="H51" s="17" t="inlineStr"/>
      <c r="I51" s="25" t="n"/>
      <c r="J51" s="17" t="inlineStr"/>
      <c r="K51" s="24" t="n"/>
      <c r="L51" s="25" t="n"/>
    </row>
    <row r="52">
      <c r="A52" s="17" t="inlineStr"/>
      <c r="B52" s="24" t="n"/>
      <c r="C52" s="25" t="n"/>
      <c r="D52" s="6" t="inlineStr"/>
      <c r="E52" s="25" t="n"/>
      <c r="F52" s="6" t="inlineStr"/>
      <c r="G52" s="6" t="inlineStr"/>
      <c r="H52" s="17" t="inlineStr"/>
      <c r="I52" s="25" t="n"/>
      <c r="J52" s="17" t="inlineStr"/>
      <c r="K52" s="24" t="n"/>
      <c r="L52" s="25" t="n"/>
    </row>
    <row r="53"/>
    <row r="54" ht="20" customHeight="1">
      <c r="A54" s="13" t="inlineStr">
        <is>
          <t>七、狀態效果（Status Effect）　勾選目前生效者，並記錄剩餘輪數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</row>
    <row r="55">
      <c r="A55" s="5" t="inlineStr">
        <is>
          <t>破碎（Broken）</t>
        </is>
      </c>
      <c r="B55" s="24" t="n"/>
      <c r="C55" s="25" t="n"/>
      <c r="D55" s="6" t="n"/>
      <c r="E55" s="5" t="inlineStr">
        <is>
          <t>深度創傷（Deep Wound）</t>
        </is>
      </c>
      <c r="F55" s="24" t="n"/>
      <c r="G55" s="25" t="n"/>
      <c r="H55" s="6" t="n"/>
      <c r="I55" s="5" t="inlineStr">
        <is>
          <t>耗竭（Exhausted）</t>
        </is>
      </c>
      <c r="J55" s="24" t="n"/>
      <c r="K55" s="25" t="n"/>
      <c r="L55" s="6" t="n"/>
    </row>
    <row r="56">
      <c r="A56" s="5" t="inlineStr">
        <is>
          <t>失明（Blindness）</t>
        </is>
      </c>
      <c r="B56" s="24" t="n"/>
      <c r="C56" s="25" t="n"/>
      <c r="D56" s="6" t="n"/>
      <c r="E56" s="5" t="inlineStr">
        <is>
          <t>出血（Haemorrhage）</t>
        </is>
      </c>
      <c r="F56" s="24" t="n"/>
      <c r="G56" s="25" t="n"/>
      <c r="H56" s="6" t="n"/>
      <c r="I56" s="5" t="inlineStr">
        <is>
          <t>堅韌（Endurance）</t>
        </is>
      </c>
      <c r="J56" s="24" t="n"/>
      <c r="K56" s="25" t="n"/>
      <c r="L56" s="6" t="n"/>
    </row>
    <row r="57">
      <c r="A57" s="5" t="inlineStr">
        <is>
          <t>加速（Haste）</t>
        </is>
      </c>
      <c r="B57" s="24" t="n"/>
      <c r="C57" s="25" t="n"/>
      <c r="D57" s="6" t="n"/>
      <c r="E57" s="5" t="inlineStr">
        <is>
          <t>阻礙（Hindered）</t>
        </is>
      </c>
      <c r="F57" s="24" t="n"/>
      <c r="G57" s="25" t="n"/>
      <c r="H57" s="6" t="n"/>
      <c r="I57" s="5" t="inlineStr">
        <is>
          <t>暴露（Exposed）</t>
        </is>
      </c>
      <c r="J57" s="24" t="n"/>
      <c r="K57" s="25" t="n"/>
      <c r="L57" s="6" t="n"/>
    </row>
    <row r="58">
      <c r="A58" s="5" t="inlineStr">
        <is>
          <t>撕裂（Mangled）</t>
        </is>
      </c>
      <c r="B58" s="24" t="n"/>
      <c r="C58" s="25" t="n"/>
      <c r="D58" s="6" t="n"/>
      <c r="E58" s="5" t="inlineStr">
        <is>
          <t>瘋狂（Madness）</t>
        </is>
      </c>
      <c r="F58" s="24" t="n"/>
      <c r="G58" s="25" t="n"/>
      <c r="H58" s="6" t="n"/>
      <c r="I58" s="5" t="inlineStr">
        <is>
          <t>顫慄（Trembling）</t>
        </is>
      </c>
      <c r="J58" s="24" t="n"/>
      <c r="K58" s="25" t="n"/>
      <c r="L58" s="6" t="n"/>
    </row>
    <row r="59"/>
    <row r="60" ht="20" customHeight="1">
      <c r="A60" s="13" t="inlineStr">
        <is>
          <t>八、背景與筆記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</row>
    <row r="61">
      <c r="A61" s="18" t="inlineStr">
        <is>
          <t>霍鎮山，四十七歲，退役十一年的工兵士官長。
他排過三百多顆地雷，沒有一顆炸過。第三百零七顆炸了，不是在他手上，是在他徒弟手上。他把人背了四公里，到醫療站的時候人已經涼了。霧是在那之後第三年來的，他當時正在後院燒那件沒洗乾淨的軍服。
【獨行定位】獨行試煉的最強原型。生命值上限（HP_max）達 27，恐懼抗性（FRES）+16，「不屈之軀」讓玩家在無隊友扶起的情況下仍能自行脫離瀕死狀態——這是配置一的生存底線。</t>
        </is>
      </c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2" t="n"/>
    </row>
    <row r="62">
      <c r="A62" s="33" t="n"/>
      <c r="L62" s="34" t="n"/>
    </row>
    <row r="63">
      <c r="A63" s="33" t="n"/>
      <c r="L63" s="34" t="n"/>
    </row>
    <row r="64">
      <c r="A64" s="33" t="n"/>
      <c r="L64" s="34" t="n"/>
    </row>
    <row r="65">
      <c r="A65" s="33" t="n"/>
      <c r="L65" s="34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7" t="n"/>
    </row>
  </sheetData>
  <mergeCells count="115">
    <mergeCell ref="B42:D42"/>
    <mergeCell ref="A15:B15"/>
    <mergeCell ref="G19:L19"/>
    <mergeCell ref="A46:L46"/>
    <mergeCell ref="I4:L4"/>
    <mergeCell ref="F43:L43"/>
    <mergeCell ref="J35:L35"/>
    <mergeCell ref="B44:D44"/>
    <mergeCell ref="J28:K28"/>
    <mergeCell ref="I56:K56"/>
    <mergeCell ref="D31:E31"/>
    <mergeCell ref="A26:C26"/>
    <mergeCell ref="A57:C57"/>
    <mergeCell ref="D37:F37"/>
    <mergeCell ref="G14:L14"/>
    <mergeCell ref="E57:G57"/>
    <mergeCell ref="J50:L50"/>
    <mergeCell ref="D48:E48"/>
    <mergeCell ref="H52:I52"/>
    <mergeCell ref="A52:C52"/>
    <mergeCell ref="J52:L52"/>
    <mergeCell ref="A61:L66"/>
    <mergeCell ref="E58:G58"/>
    <mergeCell ref="J48:L48"/>
    <mergeCell ref="A34:L34"/>
    <mergeCell ref="A35:B35"/>
    <mergeCell ref="F45:L45"/>
    <mergeCell ref="J38:L38"/>
    <mergeCell ref="A49:C49"/>
    <mergeCell ref="D51:E51"/>
    <mergeCell ref="A28:B28"/>
    <mergeCell ref="B43:D43"/>
    <mergeCell ref="A30:B30"/>
    <mergeCell ref="G10:L10"/>
    <mergeCell ref="G18:L18"/>
    <mergeCell ref="H50:I50"/>
    <mergeCell ref="A55:C55"/>
    <mergeCell ref="G38:H38"/>
    <mergeCell ref="A37:B37"/>
    <mergeCell ref="I6:L6"/>
    <mergeCell ref="H49:I49"/>
    <mergeCell ref="A2:C6"/>
    <mergeCell ref="G20:L20"/>
    <mergeCell ref="B45:D45"/>
    <mergeCell ref="G22:L22"/>
    <mergeCell ref="A58:C58"/>
    <mergeCell ref="E56:G56"/>
    <mergeCell ref="A40:L40"/>
    <mergeCell ref="G12:L12"/>
    <mergeCell ref="G21:L21"/>
    <mergeCell ref="A51:C51"/>
    <mergeCell ref="G35:H35"/>
    <mergeCell ref="A60:L60"/>
    <mergeCell ref="H48:I48"/>
    <mergeCell ref="D29:E29"/>
    <mergeCell ref="J37:L37"/>
    <mergeCell ref="G23:L23"/>
    <mergeCell ref="A16:L16"/>
    <mergeCell ref="J29:K29"/>
    <mergeCell ref="A36:B36"/>
    <mergeCell ref="A50:C50"/>
    <mergeCell ref="E2:G2"/>
    <mergeCell ref="I55:K55"/>
    <mergeCell ref="D52:E52"/>
    <mergeCell ref="D49:E49"/>
    <mergeCell ref="A47:L47"/>
    <mergeCell ref="G37:H37"/>
    <mergeCell ref="I2:L2"/>
    <mergeCell ref="G25:L25"/>
    <mergeCell ref="B41:D41"/>
    <mergeCell ref="G9:L9"/>
    <mergeCell ref="D35:F35"/>
    <mergeCell ref="A32:B32"/>
    <mergeCell ref="D28:E28"/>
    <mergeCell ref="G11:L11"/>
    <mergeCell ref="A38:B38"/>
    <mergeCell ref="D30:E30"/>
    <mergeCell ref="F41:L41"/>
    <mergeCell ref="G32:H32"/>
    <mergeCell ref="D36:F36"/>
    <mergeCell ref="I57:K57"/>
    <mergeCell ref="A54:L54"/>
    <mergeCell ref="A7:L7"/>
    <mergeCell ref="J49:L49"/>
    <mergeCell ref="J36:L36"/>
    <mergeCell ref="G13:L13"/>
    <mergeCell ref="A56:C56"/>
    <mergeCell ref="G36:H36"/>
    <mergeCell ref="I58:K58"/>
    <mergeCell ref="A27:L27"/>
    <mergeCell ref="G24:L24"/>
    <mergeCell ref="A33:L33"/>
    <mergeCell ref="F44:L44"/>
    <mergeCell ref="H51:I51"/>
    <mergeCell ref="A8:L8"/>
    <mergeCell ref="D32:E32"/>
    <mergeCell ref="G28:H28"/>
    <mergeCell ref="G26:L26"/>
    <mergeCell ref="J51:L51"/>
    <mergeCell ref="D38:F38"/>
    <mergeCell ref="G30:H30"/>
    <mergeCell ref="E3:G3"/>
    <mergeCell ref="F15:L15"/>
    <mergeCell ref="A48:C48"/>
    <mergeCell ref="F42:L42"/>
    <mergeCell ref="G29:H29"/>
    <mergeCell ref="E55:G55"/>
    <mergeCell ref="A29:B29"/>
    <mergeCell ref="I3:L3"/>
    <mergeCell ref="A1:L1"/>
    <mergeCell ref="G17:L17"/>
    <mergeCell ref="G31:H31"/>
    <mergeCell ref="D50:E50"/>
    <mergeCell ref="A31:B31"/>
    <mergeCell ref="I5:L5"/>
  </mergeCells>
  <dataValidations count="16">
    <dataValidation sqref="E3:G3" showDropDown="0" showInputMessage="0" showErrorMessage="0" allowBlank="1" type="list">
      <formula1>"號令者（LEA）,疾行者（SPR）,草藥師（HRB）,匠人（ART）,拾荒客（SCV）,退役兵（VET）"</formula1>
    </dataValidation>
    <dataValidation sqref="I3:L3" showDropDown="0" showInputMessage="0" showErrorMessage="0" allowBlank="1" type="list">
      <formula1>"機械師（REP）,守護者（RES）,幽影（STE）,磐石（END）,破襲手（SAB）,探路者（SCT）"</formula1>
    </dataValidation>
    <dataValidation sqref="L28:L29" showDropDown="0" showInputMessage="0" showErrorMessage="0" allowBlank="1" type="list">
      <formula1>"是,否"</formula1>
    </dataValidation>
    <dataValidation sqref="C35" showDropDown="0" showInputMessage="0" showErrorMessage="0" allowBlank="1" type="list">
      <formula1>"健康,受傷,瀕死"</formula1>
    </dataValidation>
    <dataValidation sqref="D55" showDropDown="0" showInputMessage="0" showErrorMessage="0" allowBlank="1" type="list">
      <formula1>",生效,1,2,3,4,5"</formula1>
    </dataValidation>
    <dataValidation sqref="H55" showDropDown="0" showInputMessage="0" showErrorMessage="0" allowBlank="1" type="list">
      <formula1>",生效,1,2,3,4,5"</formula1>
    </dataValidation>
    <dataValidation sqref="L55" showDropDown="0" showInputMessage="0" showErrorMessage="0" allowBlank="1" type="list">
      <formula1>",生效,1,2,3,4,5"</formula1>
    </dataValidation>
    <dataValidation sqref="D56" showDropDown="0" showInputMessage="0" showErrorMessage="0" allowBlank="1" type="list">
      <formula1>",生效,1,2,3,4,5"</formula1>
    </dataValidation>
    <dataValidation sqref="H56" showDropDown="0" showInputMessage="0" showErrorMessage="0" allowBlank="1" type="list">
      <formula1>",生效,1,2,3,4,5"</formula1>
    </dataValidation>
    <dataValidation sqref="L56" showDropDown="0" showInputMessage="0" showErrorMessage="0" allowBlank="1" type="list">
      <formula1>",生效,1,2,3,4,5"</formula1>
    </dataValidation>
    <dataValidation sqref="D57" showDropDown="0" showInputMessage="0" showErrorMessage="0" allowBlank="1" type="list">
      <formula1>",生效,1,2,3,4,5"</formula1>
    </dataValidation>
    <dataValidation sqref="H57" showDropDown="0" showInputMessage="0" showErrorMessage="0" allowBlank="1" type="list">
      <formula1>",生效,1,2,3,4,5"</formula1>
    </dataValidation>
    <dataValidation sqref="L57" showDropDown="0" showInputMessage="0" showErrorMessage="0" allowBlank="1" type="list">
      <formula1>",生效,1,2,3,4,5"</formula1>
    </dataValidation>
    <dataValidation sqref="D58" showDropDown="0" showInputMessage="0" showErrorMessage="0" allowBlank="1" type="list">
      <formula1>",生效,1,2,3,4,5"</formula1>
    </dataValidation>
    <dataValidation sqref="H58" showDropDown="0" showInputMessage="0" showErrorMessage="0" allowBlank="1" type="list">
      <formula1>",生效,1,2,3,4,5"</formula1>
    </dataValidation>
    <dataValidation sqref="L58" showDropDown="0" showInputMessage="0" showErrorMessage="0" allowBlank="1" type="list">
      <formula1>",生效,1,2,3,4,5"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9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28" customHeight="1">
      <c r="A1" s="1" t="inlineStr">
        <is>
          <t>黎明殺機TRPG　倖存者角色卡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>
      <c r="A2" s="3" t="inlineStr">
        <is>
          <t>角色圖
（此區可貼入角色圖片）</t>
        </is>
      </c>
      <c r="B2" s="22" t="n"/>
      <c r="C2" s="23" t="n"/>
      <c r="D2" s="5" t="inlineStr">
        <is>
          <t>角色名稱</t>
        </is>
      </c>
      <c r="E2" s="6" t="inlineStr">
        <is>
          <t>鄔曉棠</t>
        </is>
      </c>
      <c r="F2" s="24" t="n"/>
      <c r="G2" s="25" t="n"/>
      <c r="H2" s="5" t="inlineStr">
        <is>
          <t>玩家</t>
        </is>
      </c>
      <c r="I2" s="6" t="inlineStr">
        <is>
          <t>範例</t>
        </is>
      </c>
      <c r="J2" s="24" t="n"/>
      <c r="K2" s="24" t="n"/>
      <c r="L2" s="25" t="n"/>
    </row>
    <row r="3">
      <c r="A3" s="26" t="n"/>
      <c r="C3" s="27" t="n"/>
      <c r="D3" s="5" t="inlineStr">
        <is>
          <t>原型</t>
        </is>
      </c>
      <c r="E3" s="6" t="inlineStr">
        <is>
          <t>疾行者（SPR）</t>
        </is>
      </c>
      <c r="F3" s="24" t="n"/>
      <c r="G3" s="25" t="n"/>
      <c r="H3" s="5" t="inlineStr">
        <is>
          <t>求生專精</t>
        </is>
      </c>
      <c r="I3" s="6" t="inlineStr">
        <is>
          <t>幽影（STE）</t>
        </is>
      </c>
      <c r="J3" s="24" t="n"/>
      <c r="K3" s="24" t="n"/>
      <c r="L3" s="25" t="n"/>
    </row>
    <row r="4">
      <c r="A4" s="26" t="n"/>
      <c r="C4" s="27" t="n"/>
      <c r="D4" s="5" t="inlineStr">
        <is>
          <t>聲望等級（PRS）</t>
        </is>
      </c>
      <c r="E4" s="6" t="n">
        <v>3</v>
      </c>
      <c r="F4" s="5" t="inlineStr">
        <is>
          <t>玩家人數（N）</t>
        </is>
      </c>
      <c r="G4" s="6" t="n">
        <v>2</v>
      </c>
      <c r="H4" s="5" t="inlineStr">
        <is>
          <t>目前血點（BP）</t>
        </is>
      </c>
      <c r="I4" s="6" t="n">
        <v>24800</v>
      </c>
      <c r="J4" s="24" t="n"/>
      <c r="K4" s="24" t="n"/>
      <c r="L4" s="25" t="n"/>
    </row>
    <row r="5">
      <c r="A5" s="26" t="n"/>
      <c r="C5" s="27" t="n"/>
      <c r="D5" s="5" t="inlineStr">
        <is>
          <t>屬性點（ATP）</t>
        </is>
      </c>
      <c r="E5" s="8">
        <f>15+INT($E$4/2)</f>
        <v/>
      </c>
      <c r="F5" s="5" t="inlineStr">
        <is>
          <t>技能點（SKP）</t>
        </is>
      </c>
      <c r="G5" s="8">
        <f>2+$E$4</f>
        <v/>
      </c>
      <c r="H5" s="5" t="inlineStr">
        <is>
          <t>血點上限（BP_max）</t>
        </is>
      </c>
      <c r="I5" s="9">
        <f>20000+2000*($E$4-1)+200*($E$4-1)^2</f>
        <v/>
      </c>
      <c r="J5" s="24" t="n"/>
      <c r="K5" s="24" t="n"/>
      <c r="L5" s="25" t="n"/>
    </row>
    <row r="6">
      <c r="A6" s="28" t="n"/>
      <c r="B6" s="29" t="n"/>
      <c r="C6" s="30" t="n"/>
      <c r="D6" s="5" t="inlineStr">
        <is>
          <t>天賦欄位數（PERK）</t>
        </is>
      </c>
      <c r="E6" s="8">
        <f>1+($E$4&gt;=5)+($E$4&gt;=10)+($E$4&gt;=15)</f>
        <v/>
      </c>
      <c r="F6" s="5" t="inlineStr">
        <is>
          <t>希望點上限</t>
        </is>
      </c>
      <c r="G6" s="8">
        <f>2+INT($E$4/5)</f>
        <v/>
      </c>
      <c r="H6" s="5" t="inlineStr">
        <is>
          <t>目前希望點（HOP）</t>
        </is>
      </c>
      <c r="I6" s="6" t="n">
        <v>2</v>
      </c>
      <c r="J6" s="24" t="n"/>
      <c r="K6" s="24" t="n"/>
      <c r="L6" s="25" t="n"/>
    </row>
    <row r="7">
      <c r="A7" s="11" t="inlineStr">
        <is>
          <t>米黃色格＝公式自動計算，請勿手動輸入。白色格＝玩家填寫。「玩家人數（N）」只計玩家扮演的倖存者，回聲同伴（Echo Companion）不計入。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5" t="n"/>
    </row>
    <row r="8" ht="20" customHeight="1">
      <c r="A8" s="13" t="inlineStr">
        <is>
          <t>一、屬性（Attribute）　屬性值 1–10；屬性加值（AB）＝ INT(屬性值 ÷ 2)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5" t="n"/>
    </row>
    <row r="9">
      <c r="A9" s="5" t="inlineStr">
        <is>
          <t>屬性</t>
        </is>
      </c>
      <c r="B9" s="5" t="inlineStr">
        <is>
          <t>縮寫</t>
        </is>
      </c>
      <c r="C9" s="5" t="inlineStr">
        <is>
          <t>基礎值</t>
        </is>
      </c>
      <c r="D9" s="5" t="inlineStr">
        <is>
          <t>原型調整</t>
        </is>
      </c>
      <c r="E9" s="5" t="inlineStr">
        <is>
          <t>屬性值</t>
        </is>
      </c>
      <c r="F9" s="5" t="inlineStr">
        <is>
          <t>屬性加值（AB）</t>
        </is>
      </c>
      <c r="G9" s="5" t="inlineStr">
        <is>
          <t>用途</t>
        </is>
      </c>
      <c r="H9" s="24" t="n"/>
      <c r="I9" s="24" t="n"/>
      <c r="J9" s="24" t="n"/>
      <c r="K9" s="24" t="n"/>
      <c r="L9" s="25" t="n"/>
    </row>
    <row r="10">
      <c r="A10" s="16" t="inlineStr">
        <is>
          <t>敏捷</t>
        </is>
      </c>
      <c r="B10" s="16" t="inlineStr">
        <is>
          <t>AGI</t>
        </is>
      </c>
      <c r="C10" s="6" t="n">
        <v>5</v>
      </c>
      <c r="D10" s="6" t="n">
        <v>2</v>
      </c>
      <c r="E10" s="8">
        <f>C10+D10</f>
        <v/>
      </c>
      <c r="F10" s="8">
        <f>INT(E10/2)</f>
        <v/>
      </c>
      <c r="G10" s="17" t="inlineStr">
        <is>
          <t>翻窗、推板、閃避、掙扎。追逐生存的主軸。</t>
        </is>
      </c>
      <c r="H10" s="24" t="n"/>
      <c r="I10" s="24" t="n"/>
      <c r="J10" s="24" t="n"/>
      <c r="K10" s="24" t="n"/>
      <c r="L10" s="25" t="n"/>
    </row>
    <row r="11">
      <c r="A11" s="16" t="inlineStr">
        <is>
          <t>技巧</t>
        </is>
      </c>
      <c r="B11" s="16" t="inlineStr">
        <is>
          <t>TEC</t>
        </is>
      </c>
      <c r="C11" s="6" t="n">
        <v>3</v>
      </c>
      <c r="D11" s="6" t="n">
        <v>0</v>
      </c>
      <c r="E11" s="8">
        <f>C11+D11</f>
        <v/>
      </c>
      <c r="F11" s="8">
        <f>INT(E11/2)</f>
        <v/>
      </c>
      <c r="G11" s="17" t="inlineStr">
        <is>
          <t>發電機修理、拆陷阱、開寶箱。勝利條件的主軸。</t>
        </is>
      </c>
      <c r="H11" s="24" t="n"/>
      <c r="I11" s="24" t="n"/>
      <c r="J11" s="24" t="n"/>
      <c r="K11" s="24" t="n"/>
      <c r="L11" s="25" t="n"/>
    </row>
    <row r="12">
      <c r="A12" s="16" t="inlineStr">
        <is>
          <t>隱蔽</t>
        </is>
      </c>
      <c r="B12" s="16" t="inlineStr">
        <is>
          <t>STL</t>
        </is>
      </c>
      <c r="C12" s="6" t="n">
        <v>3</v>
      </c>
      <c r="D12" s="6" t="n">
        <v>0</v>
      </c>
      <c r="E12" s="8">
        <f>C12+D12</f>
        <v/>
      </c>
      <c r="F12" s="8">
        <f>INT(E12/2)</f>
        <v/>
      </c>
      <c r="G12" s="17" t="inlineStr">
        <is>
          <t>蹲行、躲櫃、消抓痕、對抗殺手追蹤。</t>
        </is>
      </c>
      <c r="H12" s="24" t="n"/>
      <c r="I12" s="24" t="n"/>
      <c r="J12" s="24" t="n"/>
      <c r="K12" s="24" t="n"/>
      <c r="L12" s="25" t="n"/>
    </row>
    <row r="13">
      <c r="A13" s="16" t="inlineStr">
        <is>
          <t>專注</t>
        </is>
      </c>
      <c r="B13" s="16" t="inlineStr">
        <is>
          <t>FOC</t>
        </is>
      </c>
      <c r="C13" s="6" t="n">
        <v>3</v>
      </c>
      <c r="D13" s="6" t="n">
        <v>0</v>
      </c>
      <c r="E13" s="8">
        <f>C13+D13</f>
        <v/>
      </c>
      <c r="F13" s="8">
        <f>INT(E13/2)</f>
        <v/>
      </c>
      <c r="G13" s="17" t="inlineStr">
        <is>
          <t>技巧檢定四態品質、救援時機、抗干擾、掛鉤自救。</t>
        </is>
      </c>
      <c r="H13" s="24" t="n"/>
      <c r="I13" s="24" t="n"/>
      <c r="J13" s="24" t="n"/>
      <c r="K13" s="24" t="n"/>
      <c r="L13" s="25" t="n"/>
    </row>
    <row r="14">
      <c r="A14" s="16" t="inlineStr">
        <is>
          <t>意志</t>
        </is>
      </c>
      <c r="B14" s="16" t="inlineStr">
        <is>
          <t>WIL</t>
        </is>
      </c>
      <c r="C14" s="6" t="n">
        <v>2</v>
      </c>
      <c r="D14" s="6" t="n">
        <v>1</v>
      </c>
      <c r="E14" s="8">
        <f>C14+D14</f>
        <v/>
      </c>
      <c r="F14" s="8">
        <f>INT(E14/2)</f>
        <v/>
      </c>
      <c r="G14" s="17" t="inlineStr">
        <is>
          <t>生命值上限、恐懼抵抗、掛鉤存活輪數、瀕死爬行。</t>
        </is>
      </c>
      <c r="H14" s="24" t="n"/>
      <c r="I14" s="24" t="n"/>
      <c r="J14" s="24" t="n"/>
      <c r="K14" s="24" t="n"/>
      <c r="L14" s="25" t="n"/>
    </row>
    <row r="15">
      <c r="A15" s="5" t="inlineStr">
        <is>
          <t>合計</t>
        </is>
      </c>
      <c r="B15" s="25" t="n"/>
      <c r="C15" s="8">
        <f>SUM(C10:C14)</f>
        <v/>
      </c>
      <c r="D15" s="5" t="inlineStr">
        <is>
          <t>尚可分配</t>
        </is>
      </c>
      <c r="E15" s="8">
        <f>$E$5-SUM(C10:C14)</f>
        <v/>
      </c>
      <c r="F15" s="11" t="inlineStr">
        <is>
          <t>創角時基礎值每項 1–5，合計須等於屬性點（ATP）。原型調整由所選原型帶入。</t>
        </is>
      </c>
      <c r="G15" s="24" t="n"/>
      <c r="H15" s="24" t="n"/>
      <c r="I15" s="24" t="n"/>
      <c r="J15" s="24" t="n"/>
      <c r="K15" s="24" t="n"/>
      <c r="L15" s="25" t="n"/>
    </row>
    <row r="16" ht="20" customHeight="1">
      <c r="A16" s="13" t="inlineStr">
        <is>
          <t>二、技能（Skill）　技能等級（SL）0–5；等級 0 且需專業時，該檢定額外 −2（未受訓）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5" t="n"/>
    </row>
    <row r="17">
      <c r="A17" s="5" t="inlineStr">
        <is>
          <t>技能</t>
        </is>
      </c>
      <c r="B17" s="5" t="inlineStr">
        <is>
          <t>縮寫</t>
        </is>
      </c>
      <c r="C17" s="5" t="inlineStr">
        <is>
          <t>對應屬性</t>
        </is>
      </c>
      <c r="D17" s="5" t="inlineStr">
        <is>
          <t>技能等級（SL）</t>
        </is>
      </c>
      <c r="E17" s="5" t="inlineStr">
        <is>
          <t>屬性加值（AB）</t>
        </is>
      </c>
      <c r="F17" s="5" t="inlineStr">
        <is>
          <t>檢定總修正</t>
        </is>
      </c>
      <c r="G17" s="5" t="inlineStr">
        <is>
          <t>用途</t>
        </is>
      </c>
      <c r="H17" s="24" t="n"/>
      <c r="I17" s="24" t="n"/>
      <c r="J17" s="24" t="n"/>
      <c r="K17" s="24" t="n"/>
      <c r="L17" s="25" t="n"/>
    </row>
    <row r="18">
      <c r="A18" s="16" t="inlineStr">
        <is>
          <t>機械維修</t>
        </is>
      </c>
      <c r="B18" s="16" t="inlineStr">
        <is>
          <t>MEC</t>
        </is>
      </c>
      <c r="C18" s="6" t="inlineStr">
        <is>
          <t>技巧（TEC）</t>
        </is>
      </c>
      <c r="D18" s="6" t="n">
        <v>0</v>
      </c>
      <c r="E18" s="8">
        <f>F11</f>
        <v/>
      </c>
      <c r="F18" s="8">
        <f>D18+E18-IF(D18=0,2,0)</f>
        <v/>
      </c>
      <c r="G18" s="17" t="inlineStr">
        <is>
          <t>發電機修理、逃生門開啟、破壞鉤子</t>
        </is>
      </c>
      <c r="H18" s="24" t="n"/>
      <c r="I18" s="24" t="n"/>
      <c r="J18" s="24" t="n"/>
      <c r="K18" s="24" t="n"/>
      <c r="L18" s="25" t="n"/>
    </row>
    <row r="19">
      <c r="A19" s="16" t="inlineStr">
        <is>
          <t>急救</t>
        </is>
      </c>
      <c r="B19" s="16" t="inlineStr">
        <is>
          <t>MED</t>
        </is>
      </c>
      <c r="C19" s="6" t="inlineStr">
        <is>
          <t>專注（FOC）</t>
        </is>
      </c>
      <c r="D19" s="6" t="n">
        <v>0</v>
      </c>
      <c r="E19" s="8">
        <f>F13</f>
        <v/>
      </c>
      <c r="F19" s="8">
        <f>D19+E19-IF(D19=0,2,0)</f>
        <v/>
      </c>
      <c r="G19" s="17" t="inlineStr">
        <is>
          <t>治療他人、自我治療、扶起瀕死者、止血</t>
        </is>
      </c>
      <c r="H19" s="24" t="n"/>
      <c r="I19" s="24" t="n"/>
      <c r="J19" s="24" t="n"/>
      <c r="K19" s="24" t="n"/>
      <c r="L19" s="25" t="n"/>
    </row>
    <row r="20">
      <c r="A20" s="16" t="inlineStr">
        <is>
          <t>潛行</t>
        </is>
      </c>
      <c r="B20" s="16" t="inlineStr">
        <is>
          <t>SNK</t>
        </is>
      </c>
      <c r="C20" s="6" t="inlineStr">
        <is>
          <t>隱蔽（STL）</t>
        </is>
      </c>
      <c r="D20" s="6" t="n">
        <v>2</v>
      </c>
      <c r="E20" s="8">
        <f>F12</f>
        <v/>
      </c>
      <c r="F20" s="8">
        <f>D20+E20-IF(D20=0,2,0)</f>
        <v/>
      </c>
      <c r="G20" s="17" t="inlineStr">
        <is>
          <t>蹲行、躲入櫃子、消除抓痕、對抗追蹤</t>
        </is>
      </c>
      <c r="H20" s="24" t="n"/>
      <c r="I20" s="24" t="n"/>
      <c r="J20" s="24" t="n"/>
      <c r="K20" s="24" t="n"/>
      <c r="L20" s="25" t="n"/>
    </row>
    <row r="21">
      <c r="A21" s="16" t="inlineStr">
        <is>
          <t>攀越</t>
        </is>
      </c>
      <c r="B21" s="16" t="inlineStr">
        <is>
          <t>PRK</t>
        </is>
      </c>
      <c r="C21" s="6" t="inlineStr">
        <is>
          <t>敏捷（AGI）</t>
        </is>
      </c>
      <c r="D21" s="6" t="n">
        <v>2</v>
      </c>
      <c r="E21" s="8">
        <f>F10</f>
        <v/>
      </c>
      <c r="F21" s="8">
        <f>D21+E21-IF(D21=0,2,0)</f>
        <v/>
      </c>
      <c r="G21" s="17" t="inlineStr">
        <is>
          <t>翻越窗戶、越過障礙、跳落、繞圈</t>
        </is>
      </c>
      <c r="H21" s="24" t="n"/>
      <c r="I21" s="24" t="n"/>
      <c r="J21" s="24" t="n"/>
      <c r="K21" s="24" t="n"/>
      <c r="L21" s="25" t="n"/>
    </row>
    <row r="22">
      <c r="A22" s="16" t="inlineStr">
        <is>
          <t>掙脫</t>
        </is>
      </c>
      <c r="B22" s="16" t="inlineStr">
        <is>
          <t>ESQ</t>
        </is>
      </c>
      <c r="C22" s="6" t="inlineStr">
        <is>
          <t>敏捷（AGI）</t>
        </is>
      </c>
      <c r="D22" s="6" t="n">
        <v>1</v>
      </c>
      <c r="E22" s="8">
        <f>F10</f>
        <v/>
      </c>
      <c r="F22" s="8">
        <f>D22+E22-IF(D22=0,2,0)</f>
        <v/>
      </c>
      <c r="G22" s="17" t="inlineStr">
        <is>
          <t>掙扎、脫離陷阱、掙脫抓握</t>
        </is>
      </c>
      <c r="H22" s="24" t="n"/>
      <c r="I22" s="24" t="n"/>
      <c r="J22" s="24" t="n"/>
      <c r="K22" s="24" t="n"/>
      <c r="L22" s="25" t="n"/>
    </row>
    <row r="23">
      <c r="A23" s="16" t="inlineStr">
        <is>
          <t>搜索</t>
        </is>
      </c>
      <c r="B23" s="16" t="inlineStr">
        <is>
          <t>SRC</t>
        </is>
      </c>
      <c r="C23" s="6" t="inlineStr">
        <is>
          <t>技巧（TEC）</t>
        </is>
      </c>
      <c r="D23" s="6" t="n">
        <v>0</v>
      </c>
      <c r="E23" s="8">
        <f>F11</f>
        <v/>
      </c>
      <c r="F23" s="8">
        <f>D23+E23-IF(D23=0,2,0)</f>
        <v/>
      </c>
      <c r="G23" s="17" t="inlineStr">
        <is>
          <t>開啟寶箱、尋找地窖、辨識圖騰</t>
        </is>
      </c>
      <c r="H23" s="24" t="n"/>
      <c r="I23" s="24" t="n"/>
      <c r="J23" s="24" t="n"/>
      <c r="K23" s="24" t="n"/>
      <c r="L23" s="25" t="n"/>
    </row>
    <row r="24">
      <c r="A24" s="16" t="inlineStr">
        <is>
          <t>堅忍</t>
        </is>
      </c>
      <c r="B24" s="16" t="inlineStr">
        <is>
          <t>END</t>
        </is>
      </c>
      <c r="C24" s="6" t="inlineStr">
        <is>
          <t>意志（WIL）</t>
        </is>
      </c>
      <c r="D24" s="6" t="n">
        <v>0</v>
      </c>
      <c r="E24" s="8">
        <f>F14</f>
        <v/>
      </c>
      <c r="F24" s="8">
        <f>D24+E24-IF(D24=0,2,0)</f>
        <v/>
      </c>
      <c r="G24" s="17" t="inlineStr">
        <is>
          <t>抗恐懼、撐掛鉤、抵抗狀態效果、瀕死爬行</t>
        </is>
      </c>
      <c r="H24" s="24" t="n"/>
      <c r="I24" s="24" t="n"/>
      <c r="J24" s="24" t="n"/>
      <c r="K24" s="24" t="n"/>
      <c r="L24" s="25" t="n"/>
    </row>
    <row r="25">
      <c r="A25" s="16" t="inlineStr">
        <is>
          <t>洞察</t>
        </is>
      </c>
      <c r="B25" s="16" t="inlineStr">
        <is>
          <t>INS</t>
        </is>
      </c>
      <c r="C25" s="6" t="inlineStr">
        <is>
          <t>專注（FOC）</t>
        </is>
      </c>
      <c r="D25" s="6" t="n">
        <v>0</v>
      </c>
      <c r="E25" s="8">
        <f>F13</f>
        <v/>
      </c>
      <c r="F25" s="8">
        <f>D25+E25-IF(D25=0,2,0)</f>
        <v/>
      </c>
      <c r="G25" s="17" t="inlineStr">
        <is>
          <t>讀取光環、預判殺手動向、判斷救援時機</t>
        </is>
      </c>
      <c r="H25" s="24" t="n"/>
      <c r="I25" s="24" t="n"/>
      <c r="J25" s="24" t="n"/>
      <c r="K25" s="24" t="n"/>
      <c r="L25" s="25" t="n"/>
    </row>
    <row r="26">
      <c r="A26" s="5" t="inlineStr">
        <is>
          <t>合計</t>
        </is>
      </c>
      <c r="B26" s="24" t="n"/>
      <c r="C26" s="25" t="n"/>
      <c r="D26" s="8">
        <f>SUM(D18:D25)</f>
        <v/>
      </c>
      <c r="E26" s="5" t="inlineStr">
        <is>
          <t>尚可分配</t>
        </is>
      </c>
      <c r="F26" s="8">
        <f>$G$5-SUM(D18:D25)</f>
        <v/>
      </c>
      <c r="G26" s="11" t="inlineStr">
        <is>
          <t>「檢定總修正」已內含未受訓 −2 懲罰；情境修正（SM）另計。</t>
        </is>
      </c>
      <c r="H26" s="24" t="n"/>
      <c r="I26" s="24" t="n"/>
      <c r="J26" s="24" t="n"/>
      <c r="K26" s="24" t="n"/>
      <c r="L26" s="25" t="n"/>
    </row>
    <row r="27" ht="20" customHeight="1">
      <c r="A27" s="13" t="inlineStr">
        <is>
          <t>三、衍生值（Derived Value）　全部自動計算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</row>
    <row r="28">
      <c r="A28" s="5" t="inlineStr">
        <is>
          <t>生命值上限（HP_max）</t>
        </is>
      </c>
      <c r="B28" s="25" t="n"/>
      <c r="C28" s="8">
        <f>8+2*$E$14+$E$4</f>
        <v/>
      </c>
      <c r="D28" s="5" t="inlineStr">
        <is>
          <t>生命狀態上限（HS_max）</t>
        </is>
      </c>
      <c r="E28" s="25" t="n"/>
      <c r="F28" s="8">
        <f>IF(L28="是",1,2)</f>
        <v/>
      </c>
      <c r="G28" s="5" t="inlineStr">
        <is>
          <t>行動點上限（AP_max）</t>
        </is>
      </c>
      <c r="H28" s="25" t="n"/>
      <c r="I28" s="8">
        <f>IF(L29="是",3,4)</f>
        <v/>
      </c>
      <c r="J28" s="5" t="inlineStr">
        <is>
          <t>破碎（Broken）狀態？</t>
        </is>
      </c>
      <c r="K28" s="25" t="n"/>
      <c r="L28" s="6" t="inlineStr">
        <is>
          <t>否</t>
        </is>
      </c>
    </row>
    <row r="29">
      <c r="A29" s="5" t="inlineStr">
        <is>
          <t>移動格數（MOV）</t>
        </is>
      </c>
      <c r="B29" s="25" t="n"/>
      <c r="C29" s="8">
        <f>6+INT($F$10/2)</f>
        <v/>
      </c>
      <c r="D29" s="5" t="inlineStr">
        <is>
          <t>衝刺格數（SPR）</t>
        </is>
      </c>
      <c r="E29" s="25" t="n"/>
      <c r="F29" s="8">
        <f>(6+INT($F$10/2))*2</f>
        <v/>
      </c>
      <c r="G29" s="5" t="inlineStr">
        <is>
          <t>修理效率（REP）</t>
        </is>
      </c>
      <c r="H29" s="25" t="n"/>
      <c r="I29" s="8">
        <f>$F$11+$D$18</f>
        <v/>
      </c>
      <c r="J29" s="5" t="inlineStr">
        <is>
          <t>目前處於追逐中？</t>
        </is>
      </c>
      <c r="K29" s="25" t="n"/>
      <c r="L29" s="6" t="inlineStr">
        <is>
          <t>否</t>
        </is>
      </c>
    </row>
    <row r="30">
      <c r="A30" s="5" t="inlineStr">
        <is>
          <t>治療效率（HEAL）</t>
        </is>
      </c>
      <c r="B30" s="25" t="n"/>
      <c r="C30" s="8">
        <f>$F$13+$D$19</f>
        <v/>
      </c>
      <c r="D30" s="5" t="inlineStr">
        <is>
          <t>被動隱蔽值（PSTL）</t>
        </is>
      </c>
      <c r="E30" s="25" t="n"/>
      <c r="F30" s="8">
        <f>8+$F$12+$D$20</f>
        <v/>
      </c>
      <c r="G30" s="5" t="inlineStr">
        <is>
          <t>被動感知值（PPER）</t>
        </is>
      </c>
      <c r="H30" s="25" t="n"/>
      <c r="I30" s="8">
        <f>8+$F$13+$D$25</f>
        <v/>
      </c>
    </row>
    <row r="31">
      <c r="A31" s="5" t="inlineStr">
        <is>
          <t>恐懼抗性（FRES）</t>
        </is>
      </c>
      <c r="B31" s="25" t="n"/>
      <c r="C31" s="8">
        <f>10+$F$14+$D$24</f>
        <v/>
      </c>
      <c r="D31" s="5" t="inlineStr">
        <is>
          <t>追逐檢定修正（CHS）</t>
        </is>
      </c>
      <c r="E31" s="25" t="n"/>
      <c r="F31" s="8">
        <f>$F$10+$D$21</f>
        <v/>
      </c>
      <c r="G31" s="5" t="inlineStr">
        <is>
          <t>掙扎檢定修正（WIG）</t>
        </is>
      </c>
      <c r="H31" s="25" t="n"/>
      <c r="I31" s="8">
        <f>$F$10+$D$22</f>
        <v/>
      </c>
    </row>
    <row r="32">
      <c r="A32" s="5" t="inlineStr">
        <is>
          <t>掛鉤存活輪數（HKS）</t>
        </is>
      </c>
      <c r="B32" s="25" t="n"/>
      <c r="C32" s="8">
        <f>(8-$G$4)+INT($F$14/2)</f>
        <v/>
      </c>
      <c r="D32" s="5" t="inlineStr">
        <is>
          <t>掛鉤自救難度等級（DC）</t>
        </is>
      </c>
      <c r="E32" s="25" t="n"/>
      <c r="F32" s="8">
        <f>20-(4-$G$4)</f>
        <v/>
      </c>
      <c r="G32" s="5" t="inlineStr">
        <is>
          <t>負重上限（LOAD）</t>
        </is>
      </c>
      <c r="H32" s="25" t="n"/>
      <c r="I32" s="8">
        <f>2+IF($E$3="匠人（ART）",1,0)</f>
        <v/>
      </c>
    </row>
    <row r="33">
      <c r="A33" s="11" t="inlineStr">
        <is>
          <t>行動點（AP）：非追逐狀態每輪 4 點，追逐中 3 點。生命狀態（HS）：健康 → 受傷 → 瀕死；破碎（Broken）狀態下完全無法被治療。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</row>
    <row r="34" ht="20" customHeight="1">
      <c r="A34" s="13" t="inlineStr">
        <is>
          <t>四、臨場追蹤（Trial Tracker）　每場試煉開始時清空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</row>
    <row r="35">
      <c r="A35" s="5" t="inlineStr">
        <is>
          <t>目前生命狀態</t>
        </is>
      </c>
      <c r="B35" s="25" t="n"/>
      <c r="C35" s="6" t="n"/>
      <c r="D35" s="17" t="inlineStr">
        <is>
          <t>健康 / 受傷 / 瀕死</t>
        </is>
      </c>
      <c r="E35" s="24" t="n"/>
      <c r="F35" s="25" t="n"/>
      <c r="G35" s="5" t="inlineStr">
        <is>
          <t>目前生命值（HP）</t>
        </is>
      </c>
      <c r="H35" s="25" t="n"/>
      <c r="I35" s="6" t="n"/>
      <c r="J35" s="17" t="inlineStr"/>
      <c r="K35" s="24" t="n"/>
      <c r="L35" s="25" t="n"/>
    </row>
    <row r="36">
      <c r="A36" s="5" t="inlineStr">
        <is>
          <t>本場掛鉤次數</t>
        </is>
      </c>
      <c r="B36" s="25" t="n"/>
      <c r="C36" s="6" t="n"/>
      <c r="D36" s="17" t="inlineStr">
        <is>
          <t>0 / 1 / 2（第三次＝獻祭）</t>
        </is>
      </c>
      <c r="E36" s="24" t="n"/>
      <c r="F36" s="25" t="n"/>
      <c r="G36" s="5" t="inlineStr">
        <is>
          <t>掛鉤階段計時</t>
        </is>
      </c>
      <c r="H36" s="25" t="n"/>
      <c r="I36" s="6" t="n"/>
      <c r="J36" s="17" t="inlineStr">
        <is>
          <t>輪</t>
        </is>
      </c>
      <c r="K36" s="24" t="n"/>
      <c r="L36" s="25" t="n"/>
    </row>
    <row r="37">
      <c r="A37" s="5" t="inlineStr">
        <is>
          <t>目前距離帶（DB）</t>
        </is>
      </c>
      <c r="B37" s="25" t="n"/>
      <c r="C37" s="6" t="n"/>
      <c r="D37" s="17" t="inlineStr">
        <is>
          <t>接觸／近距／中距／遠距／脫離</t>
        </is>
      </c>
      <c r="E37" s="24" t="n"/>
      <c r="F37" s="25" t="n"/>
      <c r="G37" s="5" t="inlineStr">
        <is>
          <t>連續追逐輪數</t>
        </is>
      </c>
      <c r="H37" s="25" t="n"/>
      <c r="I37" s="6" t="n"/>
      <c r="J37" s="17" t="inlineStr">
        <is>
          <t>供血怒（Bloodlust）判定</t>
        </is>
      </c>
      <c r="K37" s="24" t="n"/>
      <c r="L37" s="25" t="n"/>
    </row>
    <row r="38">
      <c r="A38" s="5" t="inlineStr">
        <is>
          <t>剩餘行動點（AP）</t>
        </is>
      </c>
      <c r="B38" s="25" t="n"/>
      <c r="C38" s="6" t="n"/>
      <c r="D38" s="17" t="inlineStr"/>
      <c r="E38" s="24" t="n"/>
      <c r="F38" s="25" t="n"/>
      <c r="G38" s="5" t="inlineStr">
        <is>
          <t>堅持獎勵（PB）輪數</t>
        </is>
      </c>
      <c r="H38" s="25" t="n"/>
      <c r="I38" s="6" t="n"/>
      <c r="J38" s="17" t="inlineStr">
        <is>
          <t>連續同一動作輪數 −1，上限 +3</t>
        </is>
      </c>
      <c r="K38" s="24" t="n"/>
      <c r="L38" s="25" t="n"/>
    </row>
    <row r="39"/>
    <row r="40" ht="20" customHeight="1">
      <c r="A40" s="13" t="inlineStr">
        <is>
          <t>五、天賦（Perk）　欄位數依聲望等級（PRS）開放：初始 1 格，聲望等級 5／10／15 各再開 1 格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</row>
    <row r="41">
      <c r="A41" s="5" t="inlineStr">
        <is>
          <t>欄位</t>
        </is>
      </c>
      <c r="B41" s="5" t="inlineStr">
        <is>
          <t>天賦名稱</t>
        </is>
      </c>
      <c r="C41" s="24" t="n"/>
      <c r="D41" s="25" t="n"/>
      <c r="E41" s="5" t="inlineStr">
        <is>
          <t>階級</t>
        </is>
      </c>
      <c r="F41" s="5" t="inlineStr">
        <is>
          <t>效果摘要</t>
        </is>
      </c>
      <c r="G41" s="24" t="n"/>
      <c r="H41" s="24" t="n"/>
      <c r="I41" s="24" t="n"/>
      <c r="J41" s="24" t="n"/>
      <c r="K41" s="24" t="n"/>
      <c r="L41" s="25" t="n"/>
    </row>
    <row r="42">
      <c r="A42" s="5" t="inlineStr">
        <is>
          <t>1｜初始</t>
        </is>
      </c>
      <c r="B42" s="17" t="inlineStr">
        <is>
          <t>爆步衝刺（TALENT-S04）</t>
        </is>
      </c>
      <c r="C42" s="24" t="n"/>
      <c r="D42" s="25" t="n"/>
      <c r="E42" s="6" t="inlineStr">
        <is>
          <t>第一階</t>
        </is>
      </c>
      <c r="F42" s="17" t="inlineStr">
        <is>
          <t>脫離追逐檢定成功後，立即免費移動等同衝刺格數（SPR）的距離；隨後獲得耗竭（Exhausted）。</t>
        </is>
      </c>
      <c r="G42" s="24" t="n"/>
      <c r="H42" s="24" t="n"/>
      <c r="I42" s="24" t="n"/>
      <c r="J42" s="24" t="n"/>
      <c r="K42" s="24" t="n"/>
      <c r="L42" s="25" t="n"/>
    </row>
    <row r="43">
      <c r="A43" s="5" t="inlineStr">
        <is>
          <t>2｜聲望等級 5</t>
        </is>
      </c>
      <c r="B43" s="17" t="inlineStr"/>
      <c r="C43" s="24" t="n"/>
      <c r="D43" s="25" t="n"/>
      <c r="E43" s="6" t="inlineStr"/>
      <c r="F43" s="17" t="inlineStr"/>
      <c r="G43" s="24" t="n"/>
      <c r="H43" s="24" t="n"/>
      <c r="I43" s="24" t="n"/>
      <c r="J43" s="24" t="n"/>
      <c r="K43" s="24" t="n"/>
      <c r="L43" s="25" t="n"/>
    </row>
    <row r="44">
      <c r="A44" s="5" t="inlineStr">
        <is>
          <t>3｜聲望等級 10</t>
        </is>
      </c>
      <c r="B44" s="17" t="inlineStr"/>
      <c r="C44" s="24" t="n"/>
      <c r="D44" s="25" t="n"/>
      <c r="E44" s="6" t="inlineStr"/>
      <c r="F44" s="17" t="inlineStr"/>
      <c r="G44" s="24" t="n"/>
      <c r="H44" s="24" t="n"/>
      <c r="I44" s="24" t="n"/>
      <c r="J44" s="24" t="n"/>
      <c r="K44" s="24" t="n"/>
      <c r="L44" s="25" t="n"/>
    </row>
    <row r="45">
      <c r="A45" s="5" t="inlineStr">
        <is>
          <t>4｜聲望等級 15</t>
        </is>
      </c>
      <c r="B45" s="17" t="inlineStr"/>
      <c r="C45" s="24" t="n"/>
      <c r="D45" s="25" t="n"/>
      <c r="E45" s="6" t="inlineStr"/>
      <c r="F45" s="17" t="inlineStr"/>
      <c r="G45" s="24" t="n"/>
      <c r="H45" s="24" t="n"/>
      <c r="I45" s="24" t="n"/>
      <c r="J45" s="24" t="n"/>
      <c r="K45" s="24" t="n"/>
      <c r="L45" s="25" t="n"/>
    </row>
    <row r="46">
      <c r="A46" s="11" t="inlineStr">
        <is>
          <t>天賦分三階：第一階（罕見）／第二階（稀有）／第三階（非常稀有），階級欄請填第一階／第二階／第三階。條目見《天賦圖鑑》。獨行試煉（配置一）中涉及隊友的天賦，改以回聲同伴（Echo Companion）為對象；若場上無回聲同伴，改用該天賦的獨行變體條款。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</row>
    <row r="47" ht="20" customHeight="1">
      <c r="A47" s="13" t="inlineStr">
        <is>
          <t>六、攜帶物品與加裝（Item &amp; Add-on）　負重（LOAD）上限見衍生值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</row>
    <row r="48">
      <c r="A48" s="5" t="inlineStr">
        <is>
          <t>物品名稱</t>
        </is>
      </c>
      <c r="B48" s="24" t="n"/>
      <c r="C48" s="25" t="n"/>
      <c r="D48" s="5" t="inlineStr">
        <is>
          <t>類型</t>
        </is>
      </c>
      <c r="E48" s="25" t="n"/>
      <c r="F48" s="5" t="inlineStr">
        <is>
          <t>稀有度</t>
        </is>
      </c>
      <c r="G48" s="5" t="inlineStr">
        <is>
          <t>充能（CHG）</t>
        </is>
      </c>
      <c r="H48" s="5" t="inlineStr">
        <is>
          <t>加裝一</t>
        </is>
      </c>
      <c r="I48" s="25" t="n"/>
      <c r="J48" s="5" t="inlineStr">
        <is>
          <t>加裝二</t>
        </is>
      </c>
      <c r="K48" s="24" t="n"/>
      <c r="L48" s="25" t="n"/>
    </row>
    <row r="49">
      <c r="A49" s="17" t="inlineStr">
        <is>
          <t>手電筒（FLT）</t>
        </is>
      </c>
      <c r="B49" s="24" t="n"/>
      <c r="C49" s="25" t="n"/>
      <c r="D49" s="6" t="inlineStr">
        <is>
          <t>工具類</t>
        </is>
      </c>
      <c r="E49" s="25" t="n"/>
      <c r="F49" s="6" t="inlineStr">
        <is>
          <t>普通</t>
        </is>
      </c>
      <c r="G49" s="6" t="n">
        <v>6</v>
      </c>
      <c r="H49" s="17" t="inlineStr">
        <is>
          <t>強光燈泡</t>
        </is>
      </c>
      <c r="I49" s="25" t="n"/>
      <c r="J49" s="17" t="inlineStr"/>
      <c r="K49" s="24" t="n"/>
      <c r="L49" s="25" t="n"/>
    </row>
    <row r="50">
      <c r="A50" s="17" t="inlineStr"/>
      <c r="B50" s="24" t="n"/>
      <c r="C50" s="25" t="n"/>
      <c r="D50" s="6" t="inlineStr"/>
      <c r="E50" s="25" t="n"/>
      <c r="F50" s="6" t="inlineStr"/>
      <c r="G50" s="6" t="inlineStr"/>
      <c r="H50" s="17" t="inlineStr"/>
      <c r="I50" s="25" t="n"/>
      <c r="J50" s="17" t="inlineStr"/>
      <c r="K50" s="24" t="n"/>
      <c r="L50" s="25" t="n"/>
    </row>
    <row r="51">
      <c r="A51" s="17" t="inlineStr"/>
      <c r="B51" s="24" t="n"/>
      <c r="C51" s="25" t="n"/>
      <c r="D51" s="6" t="inlineStr"/>
      <c r="E51" s="25" t="n"/>
      <c r="F51" s="6" t="inlineStr"/>
      <c r="G51" s="6" t="inlineStr"/>
      <c r="H51" s="17" t="inlineStr"/>
      <c r="I51" s="25" t="n"/>
      <c r="J51" s="17" t="inlineStr"/>
      <c r="K51" s="24" t="n"/>
      <c r="L51" s="25" t="n"/>
    </row>
    <row r="52">
      <c r="A52" s="17" t="inlineStr"/>
      <c r="B52" s="24" t="n"/>
      <c r="C52" s="25" t="n"/>
      <c r="D52" s="6" t="inlineStr"/>
      <c r="E52" s="25" t="n"/>
      <c r="F52" s="6" t="inlineStr"/>
      <c r="G52" s="6" t="inlineStr"/>
      <c r="H52" s="17" t="inlineStr"/>
      <c r="I52" s="25" t="n"/>
      <c r="J52" s="17" t="inlineStr"/>
      <c r="K52" s="24" t="n"/>
      <c r="L52" s="25" t="n"/>
    </row>
    <row r="53"/>
    <row r="54" ht="20" customHeight="1">
      <c r="A54" s="13" t="inlineStr">
        <is>
          <t>七、狀態效果（Status Effect）　勾選目前生效者，並記錄剩餘輪數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</row>
    <row r="55">
      <c r="A55" s="5" t="inlineStr">
        <is>
          <t>破碎（Broken）</t>
        </is>
      </c>
      <c r="B55" s="24" t="n"/>
      <c r="C55" s="25" t="n"/>
      <c r="D55" s="6" t="n"/>
      <c r="E55" s="5" t="inlineStr">
        <is>
          <t>深度創傷（Deep Wound）</t>
        </is>
      </c>
      <c r="F55" s="24" t="n"/>
      <c r="G55" s="25" t="n"/>
      <c r="H55" s="6" t="n"/>
      <c r="I55" s="5" t="inlineStr">
        <is>
          <t>耗竭（Exhausted）</t>
        </is>
      </c>
      <c r="J55" s="24" t="n"/>
      <c r="K55" s="25" t="n"/>
      <c r="L55" s="6" t="n"/>
    </row>
    <row r="56">
      <c r="A56" s="5" t="inlineStr">
        <is>
          <t>失明（Blindness）</t>
        </is>
      </c>
      <c r="B56" s="24" t="n"/>
      <c r="C56" s="25" t="n"/>
      <c r="D56" s="6" t="n"/>
      <c r="E56" s="5" t="inlineStr">
        <is>
          <t>出血（Haemorrhage）</t>
        </is>
      </c>
      <c r="F56" s="24" t="n"/>
      <c r="G56" s="25" t="n"/>
      <c r="H56" s="6" t="n"/>
      <c r="I56" s="5" t="inlineStr">
        <is>
          <t>堅韌（Endurance）</t>
        </is>
      </c>
      <c r="J56" s="24" t="n"/>
      <c r="K56" s="25" t="n"/>
      <c r="L56" s="6" t="n"/>
    </row>
    <row r="57">
      <c r="A57" s="5" t="inlineStr">
        <is>
          <t>加速（Haste）</t>
        </is>
      </c>
      <c r="B57" s="24" t="n"/>
      <c r="C57" s="25" t="n"/>
      <c r="D57" s="6" t="n"/>
      <c r="E57" s="5" t="inlineStr">
        <is>
          <t>阻礙（Hindered）</t>
        </is>
      </c>
      <c r="F57" s="24" t="n"/>
      <c r="G57" s="25" t="n"/>
      <c r="H57" s="6" t="n"/>
      <c r="I57" s="5" t="inlineStr">
        <is>
          <t>暴露（Exposed）</t>
        </is>
      </c>
      <c r="J57" s="24" t="n"/>
      <c r="K57" s="25" t="n"/>
      <c r="L57" s="6" t="n"/>
    </row>
    <row r="58">
      <c r="A58" s="5" t="inlineStr">
        <is>
          <t>撕裂（Mangled）</t>
        </is>
      </c>
      <c r="B58" s="24" t="n"/>
      <c r="C58" s="25" t="n"/>
      <c r="D58" s="6" t="n"/>
      <c r="E58" s="5" t="inlineStr">
        <is>
          <t>瘋狂（Madness）</t>
        </is>
      </c>
      <c r="F58" s="24" t="n"/>
      <c r="G58" s="25" t="n"/>
      <c r="H58" s="6" t="n"/>
      <c r="I58" s="5" t="inlineStr">
        <is>
          <t>顫慄（Trembling）</t>
        </is>
      </c>
      <c r="J58" s="24" t="n"/>
      <c r="K58" s="25" t="n"/>
      <c r="L58" s="6" t="n"/>
    </row>
    <row r="59"/>
    <row r="60" ht="20" customHeight="1">
      <c r="A60" s="13" t="inlineStr">
        <is>
          <t>八、背景與筆記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</row>
    <row r="61">
      <c r="A61" s="18" t="inlineStr">
        <is>
          <t>鄔曉棠，二十二歲，大學田徑隊四百公尺欄選手。
她跑贏過所有人，除了那個在終點線後面等她的東西。她記得最後一圈的計時器停在四十九秒八——她的個人最佳。她不記得那之後發生了什麼，只記得從此以後每次起跑，身後都有心跳聲。
【獨行定位】追逐檢定修正（CHS）+5 為同聲望等級最高，但生命值上限（HP_max）僅 17。定位是「拖時間換發電機進度」，在配置一中需搭配回聲同伴（Echo Companion）修機才能推進勝利條件。</t>
        </is>
      </c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2" t="n"/>
    </row>
    <row r="62">
      <c r="A62" s="33" t="n"/>
      <c r="L62" s="34" t="n"/>
    </row>
    <row r="63">
      <c r="A63" s="33" t="n"/>
      <c r="L63" s="34" t="n"/>
    </row>
    <row r="64">
      <c r="A64" s="33" t="n"/>
      <c r="L64" s="34" t="n"/>
    </row>
    <row r="65">
      <c r="A65" s="33" t="n"/>
      <c r="L65" s="34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7" t="n"/>
    </row>
  </sheetData>
  <mergeCells count="115">
    <mergeCell ref="B42:D42"/>
    <mergeCell ref="A15:B15"/>
    <mergeCell ref="G19:L19"/>
    <mergeCell ref="A46:L46"/>
    <mergeCell ref="I4:L4"/>
    <mergeCell ref="F43:L43"/>
    <mergeCell ref="J35:L35"/>
    <mergeCell ref="B44:D44"/>
    <mergeCell ref="J28:K28"/>
    <mergeCell ref="I56:K56"/>
    <mergeCell ref="D31:E31"/>
    <mergeCell ref="A26:C26"/>
    <mergeCell ref="A57:C57"/>
    <mergeCell ref="D37:F37"/>
    <mergeCell ref="G14:L14"/>
    <mergeCell ref="E57:G57"/>
    <mergeCell ref="J50:L50"/>
    <mergeCell ref="D48:E48"/>
    <mergeCell ref="H52:I52"/>
    <mergeCell ref="A52:C52"/>
    <mergeCell ref="J52:L52"/>
    <mergeCell ref="A61:L66"/>
    <mergeCell ref="E58:G58"/>
    <mergeCell ref="J48:L48"/>
    <mergeCell ref="A34:L34"/>
    <mergeCell ref="A35:B35"/>
    <mergeCell ref="F45:L45"/>
    <mergeCell ref="J38:L38"/>
    <mergeCell ref="A49:C49"/>
    <mergeCell ref="D51:E51"/>
    <mergeCell ref="A28:B28"/>
    <mergeCell ref="B43:D43"/>
    <mergeCell ref="A30:B30"/>
    <mergeCell ref="G10:L10"/>
    <mergeCell ref="G18:L18"/>
    <mergeCell ref="H50:I50"/>
    <mergeCell ref="A55:C55"/>
    <mergeCell ref="G38:H38"/>
    <mergeCell ref="A37:B37"/>
    <mergeCell ref="I6:L6"/>
    <mergeCell ref="H49:I49"/>
    <mergeCell ref="A2:C6"/>
    <mergeCell ref="G20:L20"/>
    <mergeCell ref="B45:D45"/>
    <mergeCell ref="G22:L22"/>
    <mergeCell ref="A58:C58"/>
    <mergeCell ref="E56:G56"/>
    <mergeCell ref="A40:L40"/>
    <mergeCell ref="G12:L12"/>
    <mergeCell ref="G21:L21"/>
    <mergeCell ref="A51:C51"/>
    <mergeCell ref="G35:H35"/>
    <mergeCell ref="A60:L60"/>
    <mergeCell ref="H48:I48"/>
    <mergeCell ref="D29:E29"/>
    <mergeCell ref="J37:L37"/>
    <mergeCell ref="G23:L23"/>
    <mergeCell ref="A16:L16"/>
    <mergeCell ref="J29:K29"/>
    <mergeCell ref="A36:B36"/>
    <mergeCell ref="A50:C50"/>
    <mergeCell ref="E2:G2"/>
    <mergeCell ref="I55:K55"/>
    <mergeCell ref="D52:E52"/>
    <mergeCell ref="D49:E49"/>
    <mergeCell ref="A47:L47"/>
    <mergeCell ref="G37:H37"/>
    <mergeCell ref="I2:L2"/>
    <mergeCell ref="G25:L25"/>
    <mergeCell ref="B41:D41"/>
    <mergeCell ref="G9:L9"/>
    <mergeCell ref="D35:F35"/>
    <mergeCell ref="A32:B32"/>
    <mergeCell ref="D28:E28"/>
    <mergeCell ref="G11:L11"/>
    <mergeCell ref="A38:B38"/>
    <mergeCell ref="D30:E30"/>
    <mergeCell ref="F41:L41"/>
    <mergeCell ref="G32:H32"/>
    <mergeCell ref="D36:F36"/>
    <mergeCell ref="I57:K57"/>
    <mergeCell ref="A54:L54"/>
    <mergeCell ref="A7:L7"/>
    <mergeCell ref="J49:L49"/>
    <mergeCell ref="J36:L36"/>
    <mergeCell ref="G13:L13"/>
    <mergeCell ref="A56:C56"/>
    <mergeCell ref="G36:H36"/>
    <mergeCell ref="I58:K58"/>
    <mergeCell ref="A27:L27"/>
    <mergeCell ref="G24:L24"/>
    <mergeCell ref="A33:L33"/>
    <mergeCell ref="F44:L44"/>
    <mergeCell ref="H51:I51"/>
    <mergeCell ref="A8:L8"/>
    <mergeCell ref="D32:E32"/>
    <mergeCell ref="G28:H28"/>
    <mergeCell ref="G26:L26"/>
    <mergeCell ref="J51:L51"/>
    <mergeCell ref="D38:F38"/>
    <mergeCell ref="G30:H30"/>
    <mergeCell ref="E3:G3"/>
    <mergeCell ref="F15:L15"/>
    <mergeCell ref="A48:C48"/>
    <mergeCell ref="F42:L42"/>
    <mergeCell ref="G29:H29"/>
    <mergeCell ref="E55:G55"/>
    <mergeCell ref="A29:B29"/>
    <mergeCell ref="I3:L3"/>
    <mergeCell ref="A1:L1"/>
    <mergeCell ref="G17:L17"/>
    <mergeCell ref="G31:H31"/>
    <mergeCell ref="D50:E50"/>
    <mergeCell ref="A31:B31"/>
    <mergeCell ref="I5:L5"/>
  </mergeCells>
  <dataValidations count="16">
    <dataValidation sqref="E3:G3" showDropDown="0" showInputMessage="0" showErrorMessage="0" allowBlank="1" type="list">
      <formula1>"號令者（LEA）,疾行者（SPR）,草藥師（HRB）,匠人（ART）,拾荒客（SCV）,退役兵（VET）"</formula1>
    </dataValidation>
    <dataValidation sqref="I3:L3" showDropDown="0" showInputMessage="0" showErrorMessage="0" allowBlank="1" type="list">
      <formula1>"機械師（REP）,守護者（RES）,幽影（STE）,磐石（END）,破襲手（SAB）,探路者（SCT）"</formula1>
    </dataValidation>
    <dataValidation sqref="L28:L29" showDropDown="0" showInputMessage="0" showErrorMessage="0" allowBlank="1" type="list">
      <formula1>"是,否"</formula1>
    </dataValidation>
    <dataValidation sqref="C35" showDropDown="0" showInputMessage="0" showErrorMessage="0" allowBlank="1" type="list">
      <formula1>"健康,受傷,瀕死"</formula1>
    </dataValidation>
    <dataValidation sqref="D55" showDropDown="0" showInputMessage="0" showErrorMessage="0" allowBlank="1" type="list">
      <formula1>",生效,1,2,3,4,5"</formula1>
    </dataValidation>
    <dataValidation sqref="H55" showDropDown="0" showInputMessage="0" showErrorMessage="0" allowBlank="1" type="list">
      <formula1>",生效,1,2,3,4,5"</formula1>
    </dataValidation>
    <dataValidation sqref="L55" showDropDown="0" showInputMessage="0" showErrorMessage="0" allowBlank="1" type="list">
      <formula1>",生效,1,2,3,4,5"</formula1>
    </dataValidation>
    <dataValidation sqref="D56" showDropDown="0" showInputMessage="0" showErrorMessage="0" allowBlank="1" type="list">
      <formula1>",生效,1,2,3,4,5"</formula1>
    </dataValidation>
    <dataValidation sqref="H56" showDropDown="0" showInputMessage="0" showErrorMessage="0" allowBlank="1" type="list">
      <formula1>",生效,1,2,3,4,5"</formula1>
    </dataValidation>
    <dataValidation sqref="L56" showDropDown="0" showInputMessage="0" showErrorMessage="0" allowBlank="1" type="list">
      <formula1>",生效,1,2,3,4,5"</formula1>
    </dataValidation>
    <dataValidation sqref="D57" showDropDown="0" showInputMessage="0" showErrorMessage="0" allowBlank="1" type="list">
      <formula1>",生效,1,2,3,4,5"</formula1>
    </dataValidation>
    <dataValidation sqref="H57" showDropDown="0" showInputMessage="0" showErrorMessage="0" allowBlank="1" type="list">
      <formula1>",生效,1,2,3,4,5"</formula1>
    </dataValidation>
    <dataValidation sqref="L57" showDropDown="0" showInputMessage="0" showErrorMessage="0" allowBlank="1" type="list">
      <formula1>",生效,1,2,3,4,5"</formula1>
    </dataValidation>
    <dataValidation sqref="D58" showDropDown="0" showInputMessage="0" showErrorMessage="0" allowBlank="1" type="list">
      <formula1>",生效,1,2,3,4,5"</formula1>
    </dataValidation>
    <dataValidation sqref="H58" showDropDown="0" showInputMessage="0" showErrorMessage="0" allowBlank="1" type="list">
      <formula1>",生效,1,2,3,4,5"</formula1>
    </dataValidation>
    <dataValidation sqref="L58" showDropDown="0" showInputMessage="0" showErrorMessage="0" allowBlank="1" type="list">
      <formula1>",生效,1,2,3,4,5"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9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28" customHeight="1">
      <c r="A1" s="1" t="inlineStr">
        <is>
          <t>黎明殺機TRPG　倖存者角色卡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>
      <c r="A2" s="3" t="inlineStr">
        <is>
          <t>角色圖
（此區可貼入角色圖片）</t>
        </is>
      </c>
      <c r="B2" s="22" t="n"/>
      <c r="C2" s="23" t="n"/>
      <c r="D2" s="5" t="inlineStr">
        <is>
          <t>角色名稱</t>
        </is>
      </c>
      <c r="E2" s="6" t="inlineStr">
        <is>
          <t>莫青荷</t>
        </is>
      </c>
      <c r="F2" s="24" t="n"/>
      <c r="G2" s="25" t="n"/>
      <c r="H2" s="5" t="inlineStr">
        <is>
          <t>玩家</t>
        </is>
      </c>
      <c r="I2" s="6" t="inlineStr">
        <is>
          <t>範例</t>
        </is>
      </c>
      <c r="J2" s="24" t="n"/>
      <c r="K2" s="24" t="n"/>
      <c r="L2" s="25" t="n"/>
    </row>
    <row r="3">
      <c r="A3" s="26" t="n"/>
      <c r="C3" s="27" t="n"/>
      <c r="D3" s="5" t="inlineStr">
        <is>
          <t>原型</t>
        </is>
      </c>
      <c r="E3" s="6" t="inlineStr">
        <is>
          <t>草藥師（HRB）</t>
        </is>
      </c>
      <c r="F3" s="24" t="n"/>
      <c r="G3" s="25" t="n"/>
      <c r="H3" s="5" t="inlineStr">
        <is>
          <t>求生專精</t>
        </is>
      </c>
      <c r="I3" s="6" t="inlineStr">
        <is>
          <t>守護者（RSC）</t>
        </is>
      </c>
      <c r="J3" s="24" t="n"/>
      <c r="K3" s="24" t="n"/>
      <c r="L3" s="25" t="n"/>
    </row>
    <row r="4">
      <c r="A4" s="26" t="n"/>
      <c r="C4" s="27" t="n"/>
      <c r="D4" s="5" t="inlineStr">
        <is>
          <t>聲望等級（PRS）</t>
        </is>
      </c>
      <c r="E4" s="6" t="n">
        <v>8</v>
      </c>
      <c r="F4" s="5" t="inlineStr">
        <is>
          <t>玩家人數（N）</t>
        </is>
      </c>
      <c r="G4" s="6" t="n">
        <v>2</v>
      </c>
      <c r="H4" s="5" t="inlineStr">
        <is>
          <t>目前血點（BP）</t>
        </is>
      </c>
      <c r="I4" s="6" t="n">
        <v>43800</v>
      </c>
      <c r="J4" s="24" t="n"/>
      <c r="K4" s="24" t="n"/>
      <c r="L4" s="25" t="n"/>
    </row>
    <row r="5">
      <c r="A5" s="26" t="n"/>
      <c r="C5" s="27" t="n"/>
      <c r="D5" s="5" t="inlineStr">
        <is>
          <t>屬性點（ATP）</t>
        </is>
      </c>
      <c r="E5" s="8">
        <f>15+INT($E$4/2)</f>
        <v/>
      </c>
      <c r="F5" s="5" t="inlineStr">
        <is>
          <t>技能點（SKP）</t>
        </is>
      </c>
      <c r="G5" s="8">
        <f>2+$E$4</f>
        <v/>
      </c>
      <c r="H5" s="5" t="inlineStr">
        <is>
          <t>血點上限（BP_max）</t>
        </is>
      </c>
      <c r="I5" s="9">
        <f>20000+2000*($E$4-1)+200*($E$4-1)^2</f>
        <v/>
      </c>
      <c r="J5" s="24" t="n"/>
      <c r="K5" s="24" t="n"/>
      <c r="L5" s="25" t="n"/>
    </row>
    <row r="6">
      <c r="A6" s="28" t="n"/>
      <c r="B6" s="29" t="n"/>
      <c r="C6" s="30" t="n"/>
      <c r="D6" s="5" t="inlineStr">
        <is>
          <t>天賦欄位數（PERK）</t>
        </is>
      </c>
      <c r="E6" s="8">
        <f>1+($E$4&gt;=5)+($E$4&gt;=10)+($E$4&gt;=15)</f>
        <v/>
      </c>
      <c r="F6" s="5" t="inlineStr">
        <is>
          <t>希望點上限</t>
        </is>
      </c>
      <c r="G6" s="8">
        <f>2+INT($E$4/5)</f>
        <v/>
      </c>
      <c r="H6" s="5" t="inlineStr">
        <is>
          <t>目前希望點（HOP）</t>
        </is>
      </c>
      <c r="I6" s="6" t="n">
        <v>3</v>
      </c>
      <c r="J6" s="24" t="n"/>
      <c r="K6" s="24" t="n"/>
      <c r="L6" s="25" t="n"/>
    </row>
    <row r="7">
      <c r="A7" s="11" t="inlineStr">
        <is>
          <t>米黃色格＝公式自動計算，請勿手動輸入。白色格＝玩家填寫。「玩家人數（N）」只計玩家扮演的倖存者，回聲同伴（Echo Companion）不計入。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5" t="n"/>
    </row>
    <row r="8" ht="20" customHeight="1">
      <c r="A8" s="13" t="inlineStr">
        <is>
          <t>一、屬性（Attribute）　屬性值 1–10；屬性加值（AB）＝ INT(屬性值 ÷ 2)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5" t="n"/>
    </row>
    <row r="9">
      <c r="A9" s="5" t="inlineStr">
        <is>
          <t>屬性</t>
        </is>
      </c>
      <c r="B9" s="5" t="inlineStr">
        <is>
          <t>縮寫</t>
        </is>
      </c>
      <c r="C9" s="5" t="inlineStr">
        <is>
          <t>基礎值</t>
        </is>
      </c>
      <c r="D9" s="5" t="inlineStr">
        <is>
          <t>原型調整</t>
        </is>
      </c>
      <c r="E9" s="5" t="inlineStr">
        <is>
          <t>屬性值</t>
        </is>
      </c>
      <c r="F9" s="5" t="inlineStr">
        <is>
          <t>屬性加值（AB）</t>
        </is>
      </c>
      <c r="G9" s="5" t="inlineStr">
        <is>
          <t>用途</t>
        </is>
      </c>
      <c r="H9" s="24" t="n"/>
      <c r="I9" s="24" t="n"/>
      <c r="J9" s="24" t="n"/>
      <c r="K9" s="24" t="n"/>
      <c r="L9" s="25" t="n"/>
    </row>
    <row r="10">
      <c r="A10" s="16" t="inlineStr">
        <is>
          <t>敏捷</t>
        </is>
      </c>
      <c r="B10" s="16" t="inlineStr">
        <is>
          <t>AGI</t>
        </is>
      </c>
      <c r="C10" s="6" t="n">
        <v>3</v>
      </c>
      <c r="D10" s="6" t="n">
        <v>0</v>
      </c>
      <c r="E10" s="8">
        <f>C10+D10</f>
        <v/>
      </c>
      <c r="F10" s="8">
        <f>INT(E10/2)</f>
        <v/>
      </c>
      <c r="G10" s="17" t="inlineStr">
        <is>
          <t>翻窗、推板、閃避、掙扎。追逐生存的主軸。</t>
        </is>
      </c>
      <c r="H10" s="24" t="n"/>
      <c r="I10" s="24" t="n"/>
      <c r="J10" s="24" t="n"/>
      <c r="K10" s="24" t="n"/>
      <c r="L10" s="25" t="n"/>
    </row>
    <row r="11">
      <c r="A11" s="16" t="inlineStr">
        <is>
          <t>技巧</t>
        </is>
      </c>
      <c r="B11" s="16" t="inlineStr">
        <is>
          <t>TEC</t>
        </is>
      </c>
      <c r="C11" s="6" t="n">
        <v>3</v>
      </c>
      <c r="D11" s="6" t="n">
        <v>0</v>
      </c>
      <c r="E11" s="8">
        <f>C11+D11</f>
        <v/>
      </c>
      <c r="F11" s="8">
        <f>INT(E11/2)</f>
        <v/>
      </c>
      <c r="G11" s="17" t="inlineStr">
        <is>
          <t>發電機修理、拆陷阱、開寶箱。勝利條件的主軸。</t>
        </is>
      </c>
      <c r="H11" s="24" t="n"/>
      <c r="I11" s="24" t="n"/>
      <c r="J11" s="24" t="n"/>
      <c r="K11" s="24" t="n"/>
      <c r="L11" s="25" t="n"/>
    </row>
    <row r="12">
      <c r="A12" s="16" t="inlineStr">
        <is>
          <t>隱蔽</t>
        </is>
      </c>
      <c r="B12" s="16" t="inlineStr">
        <is>
          <t>STL</t>
        </is>
      </c>
      <c r="C12" s="6" t="n">
        <v>4</v>
      </c>
      <c r="D12" s="6" t="n">
        <v>1</v>
      </c>
      <c r="E12" s="8">
        <f>C12+D12</f>
        <v/>
      </c>
      <c r="F12" s="8">
        <f>INT(E12/2)</f>
        <v/>
      </c>
      <c r="G12" s="17" t="inlineStr">
        <is>
          <t>蹲行、躲櫃、消抓痕、對抗殺手追蹤。</t>
        </is>
      </c>
      <c r="H12" s="24" t="n"/>
      <c r="I12" s="24" t="n"/>
      <c r="J12" s="24" t="n"/>
      <c r="K12" s="24" t="n"/>
      <c r="L12" s="25" t="n"/>
    </row>
    <row r="13">
      <c r="A13" s="16" t="inlineStr">
        <is>
          <t>專注</t>
        </is>
      </c>
      <c r="B13" s="16" t="inlineStr">
        <is>
          <t>FOC</t>
        </is>
      </c>
      <c r="C13" s="6" t="n">
        <v>5</v>
      </c>
      <c r="D13" s="6" t="n">
        <v>2</v>
      </c>
      <c r="E13" s="8">
        <f>C13+D13</f>
        <v/>
      </c>
      <c r="F13" s="8">
        <f>INT(E13/2)</f>
        <v/>
      </c>
      <c r="G13" s="17" t="inlineStr">
        <is>
          <t>技巧檢定四態品質、救援時機、抗干擾、掛鉤自救。</t>
        </is>
      </c>
      <c r="H13" s="24" t="n"/>
      <c r="I13" s="24" t="n"/>
      <c r="J13" s="24" t="n"/>
      <c r="K13" s="24" t="n"/>
      <c r="L13" s="25" t="n"/>
    </row>
    <row r="14">
      <c r="A14" s="16" t="inlineStr">
        <is>
          <t>意志</t>
        </is>
      </c>
      <c r="B14" s="16" t="inlineStr">
        <is>
          <t>WIL</t>
        </is>
      </c>
      <c r="C14" s="6" t="n">
        <v>4</v>
      </c>
      <c r="D14" s="6" t="n">
        <v>0</v>
      </c>
      <c r="E14" s="8">
        <f>C14+D14</f>
        <v/>
      </c>
      <c r="F14" s="8">
        <f>INT(E14/2)</f>
        <v/>
      </c>
      <c r="G14" s="17" t="inlineStr">
        <is>
          <t>生命值上限、恐懼抵抗、掛鉤存活輪數、瀕死爬行。</t>
        </is>
      </c>
      <c r="H14" s="24" t="n"/>
      <c r="I14" s="24" t="n"/>
      <c r="J14" s="24" t="n"/>
      <c r="K14" s="24" t="n"/>
      <c r="L14" s="25" t="n"/>
    </row>
    <row r="15">
      <c r="A15" s="5" t="inlineStr">
        <is>
          <t>合計</t>
        </is>
      </c>
      <c r="B15" s="25" t="n"/>
      <c r="C15" s="8">
        <f>SUM(C10:C14)</f>
        <v/>
      </c>
      <c r="D15" s="5" t="inlineStr">
        <is>
          <t>尚可分配</t>
        </is>
      </c>
      <c r="E15" s="8">
        <f>$E$5-SUM(C10:C14)</f>
        <v/>
      </c>
      <c r="F15" s="11" t="inlineStr">
        <is>
          <t>創角時基礎值每項 1–5，合計須等於屬性點（ATP）。原型調整由所選原型帶入。</t>
        </is>
      </c>
      <c r="G15" s="24" t="n"/>
      <c r="H15" s="24" t="n"/>
      <c r="I15" s="24" t="n"/>
      <c r="J15" s="24" t="n"/>
      <c r="K15" s="24" t="n"/>
      <c r="L15" s="25" t="n"/>
    </row>
    <row r="16" ht="20" customHeight="1">
      <c r="A16" s="13" t="inlineStr">
        <is>
          <t>二、技能（Skill）　技能等級（SL）0–5；等級 0 且需專業時，該檢定額外 −2（未受訓）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5" t="n"/>
    </row>
    <row r="17">
      <c r="A17" s="5" t="inlineStr">
        <is>
          <t>技能</t>
        </is>
      </c>
      <c r="B17" s="5" t="inlineStr">
        <is>
          <t>縮寫</t>
        </is>
      </c>
      <c r="C17" s="5" t="inlineStr">
        <is>
          <t>對應屬性</t>
        </is>
      </c>
      <c r="D17" s="5" t="inlineStr">
        <is>
          <t>技能等級（SL）</t>
        </is>
      </c>
      <c r="E17" s="5" t="inlineStr">
        <is>
          <t>屬性加值（AB）</t>
        </is>
      </c>
      <c r="F17" s="5" t="inlineStr">
        <is>
          <t>檢定總修正</t>
        </is>
      </c>
      <c r="G17" s="5" t="inlineStr">
        <is>
          <t>用途</t>
        </is>
      </c>
      <c r="H17" s="24" t="n"/>
      <c r="I17" s="24" t="n"/>
      <c r="J17" s="24" t="n"/>
      <c r="K17" s="24" t="n"/>
      <c r="L17" s="25" t="n"/>
    </row>
    <row r="18">
      <c r="A18" s="16" t="inlineStr">
        <is>
          <t>機械維修</t>
        </is>
      </c>
      <c r="B18" s="16" t="inlineStr">
        <is>
          <t>MEC</t>
        </is>
      </c>
      <c r="C18" s="6" t="inlineStr">
        <is>
          <t>技巧（TEC）</t>
        </is>
      </c>
      <c r="D18" s="6" t="n">
        <v>0</v>
      </c>
      <c r="E18" s="8">
        <f>F11</f>
        <v/>
      </c>
      <c r="F18" s="8">
        <f>D18+E18-IF(D18=0,2,0)</f>
        <v/>
      </c>
      <c r="G18" s="17" t="inlineStr">
        <is>
          <t>發電機修理、逃生門開啟、破壞鉤子</t>
        </is>
      </c>
      <c r="H18" s="24" t="n"/>
      <c r="I18" s="24" t="n"/>
      <c r="J18" s="24" t="n"/>
      <c r="K18" s="24" t="n"/>
      <c r="L18" s="25" t="n"/>
    </row>
    <row r="19">
      <c r="A19" s="16" t="inlineStr">
        <is>
          <t>急救</t>
        </is>
      </c>
      <c r="B19" s="16" t="inlineStr">
        <is>
          <t>MED</t>
        </is>
      </c>
      <c r="C19" s="6" t="inlineStr">
        <is>
          <t>專注（FOC）</t>
        </is>
      </c>
      <c r="D19" s="6" t="n">
        <v>4</v>
      </c>
      <c r="E19" s="8">
        <f>F13</f>
        <v/>
      </c>
      <c r="F19" s="8">
        <f>D19+E19-IF(D19=0,2,0)</f>
        <v/>
      </c>
      <c r="G19" s="17" t="inlineStr">
        <is>
          <t>治療他人、自我治療、扶起瀕死者、止血</t>
        </is>
      </c>
      <c r="H19" s="24" t="n"/>
      <c r="I19" s="24" t="n"/>
      <c r="J19" s="24" t="n"/>
      <c r="K19" s="24" t="n"/>
      <c r="L19" s="25" t="n"/>
    </row>
    <row r="20">
      <c r="A20" s="16" t="inlineStr">
        <is>
          <t>潛行</t>
        </is>
      </c>
      <c r="B20" s="16" t="inlineStr">
        <is>
          <t>SNK</t>
        </is>
      </c>
      <c r="C20" s="6" t="inlineStr">
        <is>
          <t>隱蔽（STL）</t>
        </is>
      </c>
      <c r="D20" s="6" t="n">
        <v>2</v>
      </c>
      <c r="E20" s="8">
        <f>F12</f>
        <v/>
      </c>
      <c r="F20" s="8">
        <f>D20+E20-IF(D20=0,2,0)</f>
        <v/>
      </c>
      <c r="G20" s="17" t="inlineStr">
        <is>
          <t>蹲行、躲入櫃子、消除抓痕、對抗追蹤</t>
        </is>
      </c>
      <c r="H20" s="24" t="n"/>
      <c r="I20" s="24" t="n"/>
      <c r="J20" s="24" t="n"/>
      <c r="K20" s="24" t="n"/>
      <c r="L20" s="25" t="n"/>
    </row>
    <row r="21">
      <c r="A21" s="16" t="inlineStr">
        <is>
          <t>攀越</t>
        </is>
      </c>
      <c r="B21" s="16" t="inlineStr">
        <is>
          <t>PRK</t>
        </is>
      </c>
      <c r="C21" s="6" t="inlineStr">
        <is>
          <t>敏捷（AGI）</t>
        </is>
      </c>
      <c r="D21" s="6" t="n">
        <v>1</v>
      </c>
      <c r="E21" s="8">
        <f>F10</f>
        <v/>
      </c>
      <c r="F21" s="8">
        <f>D21+E21-IF(D21=0,2,0)</f>
        <v/>
      </c>
      <c r="G21" s="17" t="inlineStr">
        <is>
          <t>翻越窗戶、越過障礙、跳落、繞圈</t>
        </is>
      </c>
      <c r="H21" s="24" t="n"/>
      <c r="I21" s="24" t="n"/>
      <c r="J21" s="24" t="n"/>
      <c r="K21" s="24" t="n"/>
      <c r="L21" s="25" t="n"/>
    </row>
    <row r="22">
      <c r="A22" s="16" t="inlineStr">
        <is>
          <t>掙脫</t>
        </is>
      </c>
      <c r="B22" s="16" t="inlineStr">
        <is>
          <t>ESQ</t>
        </is>
      </c>
      <c r="C22" s="6" t="inlineStr">
        <is>
          <t>敏捷（AGI）</t>
        </is>
      </c>
      <c r="D22" s="6" t="n">
        <v>0</v>
      </c>
      <c r="E22" s="8">
        <f>F10</f>
        <v/>
      </c>
      <c r="F22" s="8">
        <f>D22+E22-IF(D22=0,2,0)</f>
        <v/>
      </c>
      <c r="G22" s="17" t="inlineStr">
        <is>
          <t>掙扎、脫離陷阱、掙脫抓握</t>
        </is>
      </c>
      <c r="H22" s="24" t="n"/>
      <c r="I22" s="24" t="n"/>
      <c r="J22" s="24" t="n"/>
      <c r="K22" s="24" t="n"/>
      <c r="L22" s="25" t="n"/>
    </row>
    <row r="23">
      <c r="A23" s="16" t="inlineStr">
        <is>
          <t>搜索</t>
        </is>
      </c>
      <c r="B23" s="16" t="inlineStr">
        <is>
          <t>SRC</t>
        </is>
      </c>
      <c r="C23" s="6" t="inlineStr">
        <is>
          <t>技巧（TEC）</t>
        </is>
      </c>
      <c r="D23" s="6" t="n">
        <v>0</v>
      </c>
      <c r="E23" s="8">
        <f>F11</f>
        <v/>
      </c>
      <c r="F23" s="8">
        <f>D23+E23-IF(D23=0,2,0)</f>
        <v/>
      </c>
      <c r="G23" s="17" t="inlineStr">
        <is>
          <t>開啟寶箱、尋找地窖、辨識圖騰</t>
        </is>
      </c>
      <c r="H23" s="24" t="n"/>
      <c r="I23" s="24" t="n"/>
      <c r="J23" s="24" t="n"/>
      <c r="K23" s="24" t="n"/>
      <c r="L23" s="25" t="n"/>
    </row>
    <row r="24">
      <c r="A24" s="16" t="inlineStr">
        <is>
          <t>堅忍</t>
        </is>
      </c>
      <c r="B24" s="16" t="inlineStr">
        <is>
          <t>END</t>
        </is>
      </c>
      <c r="C24" s="6" t="inlineStr">
        <is>
          <t>意志（WIL）</t>
        </is>
      </c>
      <c r="D24" s="6" t="n">
        <v>1</v>
      </c>
      <c r="E24" s="8">
        <f>F14</f>
        <v/>
      </c>
      <c r="F24" s="8">
        <f>D24+E24-IF(D24=0,2,0)</f>
        <v/>
      </c>
      <c r="G24" s="17" t="inlineStr">
        <is>
          <t>抗恐懼、撐掛鉤、抵抗狀態效果、瀕死爬行</t>
        </is>
      </c>
      <c r="H24" s="24" t="n"/>
      <c r="I24" s="24" t="n"/>
      <c r="J24" s="24" t="n"/>
      <c r="K24" s="24" t="n"/>
      <c r="L24" s="25" t="n"/>
    </row>
    <row r="25">
      <c r="A25" s="16" t="inlineStr">
        <is>
          <t>洞察</t>
        </is>
      </c>
      <c r="B25" s="16" t="inlineStr">
        <is>
          <t>INS</t>
        </is>
      </c>
      <c r="C25" s="6" t="inlineStr">
        <is>
          <t>專注（FOC）</t>
        </is>
      </c>
      <c r="D25" s="6" t="n">
        <v>2</v>
      </c>
      <c r="E25" s="8">
        <f>F13</f>
        <v/>
      </c>
      <c r="F25" s="8">
        <f>D25+E25-IF(D25=0,2,0)</f>
        <v/>
      </c>
      <c r="G25" s="17" t="inlineStr">
        <is>
          <t>讀取光環、預判殺手動向、判斷救援時機</t>
        </is>
      </c>
      <c r="H25" s="24" t="n"/>
      <c r="I25" s="24" t="n"/>
      <c r="J25" s="24" t="n"/>
      <c r="K25" s="24" t="n"/>
      <c r="L25" s="25" t="n"/>
    </row>
    <row r="26">
      <c r="A26" s="5" t="inlineStr">
        <is>
          <t>合計</t>
        </is>
      </c>
      <c r="B26" s="24" t="n"/>
      <c r="C26" s="25" t="n"/>
      <c r="D26" s="8">
        <f>SUM(D18:D25)</f>
        <v/>
      </c>
      <c r="E26" s="5" t="inlineStr">
        <is>
          <t>尚可分配</t>
        </is>
      </c>
      <c r="F26" s="8">
        <f>$G$5-SUM(D18:D25)</f>
        <v/>
      </c>
      <c r="G26" s="11" t="inlineStr">
        <is>
          <t>「檢定總修正」已內含未受訓 −2 懲罰；情境修正（SM）另計。</t>
        </is>
      </c>
      <c r="H26" s="24" t="n"/>
      <c r="I26" s="24" t="n"/>
      <c r="J26" s="24" t="n"/>
      <c r="K26" s="24" t="n"/>
      <c r="L26" s="25" t="n"/>
    </row>
    <row r="27" ht="20" customHeight="1">
      <c r="A27" s="13" t="inlineStr">
        <is>
          <t>三、衍生值（Derived Value）　全部自動計算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</row>
    <row r="28">
      <c r="A28" s="5" t="inlineStr">
        <is>
          <t>生命值上限（HP_max）</t>
        </is>
      </c>
      <c r="B28" s="25" t="n"/>
      <c r="C28" s="8">
        <f>8+2*$E$14+$E$4</f>
        <v/>
      </c>
      <c r="D28" s="5" t="inlineStr">
        <is>
          <t>生命狀態上限（HS_max）</t>
        </is>
      </c>
      <c r="E28" s="25" t="n"/>
      <c r="F28" s="8">
        <f>IF(L28="是",1,2)</f>
        <v/>
      </c>
      <c r="G28" s="5" t="inlineStr">
        <is>
          <t>行動點上限（AP_max）</t>
        </is>
      </c>
      <c r="H28" s="25" t="n"/>
      <c r="I28" s="8">
        <f>IF(L29="是",3,4)</f>
        <v/>
      </c>
      <c r="J28" s="5" t="inlineStr">
        <is>
          <t>破碎（Broken）狀態？</t>
        </is>
      </c>
      <c r="K28" s="25" t="n"/>
      <c r="L28" s="6" t="inlineStr">
        <is>
          <t>否</t>
        </is>
      </c>
    </row>
    <row r="29">
      <c r="A29" s="5" t="inlineStr">
        <is>
          <t>移動格數（MOV）</t>
        </is>
      </c>
      <c r="B29" s="25" t="n"/>
      <c r="C29" s="8">
        <f>6+INT($F$10/2)</f>
        <v/>
      </c>
      <c r="D29" s="5" t="inlineStr">
        <is>
          <t>衝刺格數（SPR）</t>
        </is>
      </c>
      <c r="E29" s="25" t="n"/>
      <c r="F29" s="8">
        <f>(6+INT($F$10/2))*2</f>
        <v/>
      </c>
      <c r="G29" s="5" t="inlineStr">
        <is>
          <t>修理效率（REP）</t>
        </is>
      </c>
      <c r="H29" s="25" t="n"/>
      <c r="I29" s="8">
        <f>$F$11+$D$18</f>
        <v/>
      </c>
      <c r="J29" s="5" t="inlineStr">
        <is>
          <t>目前處於追逐中？</t>
        </is>
      </c>
      <c r="K29" s="25" t="n"/>
      <c r="L29" s="6" t="inlineStr">
        <is>
          <t>否</t>
        </is>
      </c>
    </row>
    <row r="30">
      <c r="A30" s="5" t="inlineStr">
        <is>
          <t>治療效率（HEAL）</t>
        </is>
      </c>
      <c r="B30" s="25" t="n"/>
      <c r="C30" s="8">
        <f>$F$13+$D$19</f>
        <v/>
      </c>
      <c r="D30" s="5" t="inlineStr">
        <is>
          <t>被動隱蔽值（PSTL）</t>
        </is>
      </c>
      <c r="E30" s="25" t="n"/>
      <c r="F30" s="8">
        <f>8+$F$12+$D$20</f>
        <v/>
      </c>
      <c r="G30" s="5" t="inlineStr">
        <is>
          <t>被動感知值（PPER）</t>
        </is>
      </c>
      <c r="H30" s="25" t="n"/>
      <c r="I30" s="8">
        <f>8+$F$13+$D$25</f>
        <v/>
      </c>
    </row>
    <row r="31">
      <c r="A31" s="5" t="inlineStr">
        <is>
          <t>恐懼抗性（FRES）</t>
        </is>
      </c>
      <c r="B31" s="25" t="n"/>
      <c r="C31" s="8">
        <f>10+$F$14+$D$24</f>
        <v/>
      </c>
      <c r="D31" s="5" t="inlineStr">
        <is>
          <t>追逐檢定修正（CHS）</t>
        </is>
      </c>
      <c r="E31" s="25" t="n"/>
      <c r="F31" s="8">
        <f>$F$10+$D$21</f>
        <v/>
      </c>
      <c r="G31" s="5" t="inlineStr">
        <is>
          <t>掙扎檢定修正（WIG）</t>
        </is>
      </c>
      <c r="H31" s="25" t="n"/>
      <c r="I31" s="8">
        <f>$F$10+$D$22</f>
        <v/>
      </c>
    </row>
    <row r="32">
      <c r="A32" s="5" t="inlineStr">
        <is>
          <t>掛鉤存活輪數（HKS）</t>
        </is>
      </c>
      <c r="B32" s="25" t="n"/>
      <c r="C32" s="8">
        <f>(8-$G$4)+INT($F$14/2)</f>
        <v/>
      </c>
      <c r="D32" s="5" t="inlineStr">
        <is>
          <t>掛鉤自救難度等級（DC）</t>
        </is>
      </c>
      <c r="E32" s="25" t="n"/>
      <c r="F32" s="8">
        <f>20-(4-$G$4)</f>
        <v/>
      </c>
      <c r="G32" s="5" t="inlineStr">
        <is>
          <t>負重上限（LOAD）</t>
        </is>
      </c>
      <c r="H32" s="25" t="n"/>
      <c r="I32" s="8">
        <f>2+IF($E$3="匠人（ART）",1,0)</f>
        <v/>
      </c>
    </row>
    <row r="33">
      <c r="A33" s="11" t="inlineStr">
        <is>
          <t>行動點（AP）：非追逐狀態每輪 4 點，追逐中 3 點。生命狀態（HS）：健康 → 受傷 → 瀕死；破碎（Broken）狀態下完全無法被治療。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</row>
    <row r="34" ht="20" customHeight="1">
      <c r="A34" s="13" t="inlineStr">
        <is>
          <t>四、臨場追蹤（Trial Tracker）　每場試煉開始時清空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</row>
    <row r="35">
      <c r="A35" s="5" t="inlineStr">
        <is>
          <t>目前生命狀態</t>
        </is>
      </c>
      <c r="B35" s="25" t="n"/>
      <c r="C35" s="6" t="n"/>
      <c r="D35" s="17" t="inlineStr">
        <is>
          <t>健康 / 受傷 / 瀕死</t>
        </is>
      </c>
      <c r="E35" s="24" t="n"/>
      <c r="F35" s="25" t="n"/>
      <c r="G35" s="5" t="inlineStr">
        <is>
          <t>目前生命值（HP）</t>
        </is>
      </c>
      <c r="H35" s="25" t="n"/>
      <c r="I35" s="6" t="n"/>
      <c r="J35" s="17" t="inlineStr"/>
      <c r="K35" s="24" t="n"/>
      <c r="L35" s="25" t="n"/>
    </row>
    <row r="36">
      <c r="A36" s="5" t="inlineStr">
        <is>
          <t>本場掛鉤次數</t>
        </is>
      </c>
      <c r="B36" s="25" t="n"/>
      <c r="C36" s="6" t="n"/>
      <c r="D36" s="17" t="inlineStr">
        <is>
          <t>0 / 1 / 2（第三次＝獻祭）</t>
        </is>
      </c>
      <c r="E36" s="24" t="n"/>
      <c r="F36" s="25" t="n"/>
      <c r="G36" s="5" t="inlineStr">
        <is>
          <t>掛鉤階段計時</t>
        </is>
      </c>
      <c r="H36" s="25" t="n"/>
      <c r="I36" s="6" t="n"/>
      <c r="J36" s="17" t="inlineStr">
        <is>
          <t>輪</t>
        </is>
      </c>
      <c r="K36" s="24" t="n"/>
      <c r="L36" s="25" t="n"/>
    </row>
    <row r="37">
      <c r="A37" s="5" t="inlineStr">
        <is>
          <t>目前距離帶（DB）</t>
        </is>
      </c>
      <c r="B37" s="25" t="n"/>
      <c r="C37" s="6" t="n"/>
      <c r="D37" s="17" t="inlineStr">
        <is>
          <t>接觸／近距／中距／遠距／脫離</t>
        </is>
      </c>
      <c r="E37" s="24" t="n"/>
      <c r="F37" s="25" t="n"/>
      <c r="G37" s="5" t="inlineStr">
        <is>
          <t>連續追逐輪數</t>
        </is>
      </c>
      <c r="H37" s="25" t="n"/>
      <c r="I37" s="6" t="n"/>
      <c r="J37" s="17" t="inlineStr">
        <is>
          <t>供血怒（Bloodlust）判定</t>
        </is>
      </c>
      <c r="K37" s="24" t="n"/>
      <c r="L37" s="25" t="n"/>
    </row>
    <row r="38">
      <c r="A38" s="5" t="inlineStr">
        <is>
          <t>剩餘行動點（AP）</t>
        </is>
      </c>
      <c r="B38" s="25" t="n"/>
      <c r="C38" s="6" t="n"/>
      <c r="D38" s="17" t="inlineStr"/>
      <c r="E38" s="24" t="n"/>
      <c r="F38" s="25" t="n"/>
      <c r="G38" s="5" t="inlineStr">
        <is>
          <t>堅持獎勵（PB）輪數</t>
        </is>
      </c>
      <c r="H38" s="25" t="n"/>
      <c r="I38" s="6" t="n"/>
      <c r="J38" s="17" t="inlineStr">
        <is>
          <t>連續同一動作輪數 −1，上限 +3</t>
        </is>
      </c>
      <c r="K38" s="24" t="n"/>
      <c r="L38" s="25" t="n"/>
    </row>
    <row r="39"/>
    <row r="40" ht="20" customHeight="1">
      <c r="A40" s="13" t="inlineStr">
        <is>
          <t>五、天賦（Perk）　欄位數依聲望等級（PRS）開放：初始 1 格，聲望等級 5／10／15 各再開 1 格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</row>
    <row r="41">
      <c r="A41" s="5" t="inlineStr">
        <is>
          <t>欄位</t>
        </is>
      </c>
      <c r="B41" s="5" t="inlineStr">
        <is>
          <t>天賦名稱</t>
        </is>
      </c>
      <c r="C41" s="24" t="n"/>
      <c r="D41" s="25" t="n"/>
      <c r="E41" s="5" t="inlineStr">
        <is>
          <t>階級</t>
        </is>
      </c>
      <c r="F41" s="5" t="inlineStr">
        <is>
          <t>效果摘要</t>
        </is>
      </c>
      <c r="G41" s="24" t="n"/>
      <c r="H41" s="24" t="n"/>
      <c r="I41" s="24" t="n"/>
      <c r="J41" s="24" t="n"/>
      <c r="K41" s="24" t="n"/>
      <c r="L41" s="25" t="n"/>
    </row>
    <row r="42">
      <c r="A42" s="5" t="inlineStr">
        <is>
          <t>1｜初始</t>
        </is>
      </c>
      <c r="B42" s="17" t="inlineStr">
        <is>
          <t>自療手法（TALENT-S07）</t>
        </is>
      </c>
      <c r="C42" s="24" t="n"/>
      <c r="D42" s="25" t="n"/>
      <c r="E42" s="6" t="inlineStr">
        <is>
          <t>第三階</t>
        </is>
      </c>
      <c r="F42" s="17" t="inlineStr">
        <is>
          <t>可在無醫療類物品的情況下自我治療；自我治療的行動點（AP）成本由 4 點降為 3 點。</t>
        </is>
      </c>
      <c r="G42" s="24" t="n"/>
      <c r="H42" s="24" t="n"/>
      <c r="I42" s="24" t="n"/>
      <c r="J42" s="24" t="n"/>
      <c r="K42" s="24" t="n"/>
      <c r="L42" s="25" t="n"/>
    </row>
    <row r="43">
      <c r="A43" s="5" t="inlineStr">
        <is>
          <t>2｜聲望等級 5</t>
        </is>
      </c>
      <c r="B43" s="17" t="inlineStr">
        <is>
          <t>共感之痛（TALENT-S09）</t>
        </is>
      </c>
      <c r="C43" s="24" t="n"/>
      <c r="D43" s="25" t="n"/>
      <c r="E43" s="6" t="inlineStr">
        <is>
          <t>第二階</t>
        </is>
      </c>
      <c r="F43" s="17" t="inlineStr">
        <is>
          <t>隊友或回聲同伴（Echo Companion）進入瀕死狀態時，你自動得知其位置並獲得 1 點希望點（HOP）。</t>
        </is>
      </c>
      <c r="G43" s="24" t="n"/>
      <c r="H43" s="24" t="n"/>
      <c r="I43" s="24" t="n"/>
      <c r="J43" s="24" t="n"/>
      <c r="K43" s="24" t="n"/>
      <c r="L43" s="25" t="n"/>
    </row>
    <row r="44">
      <c r="A44" s="5" t="inlineStr">
        <is>
          <t>3｜聲望等級 10</t>
        </is>
      </c>
      <c r="B44" s="17" t="inlineStr"/>
      <c r="C44" s="24" t="n"/>
      <c r="D44" s="25" t="n"/>
      <c r="E44" s="6" t="inlineStr"/>
      <c r="F44" s="17" t="inlineStr"/>
      <c r="G44" s="24" t="n"/>
      <c r="H44" s="24" t="n"/>
      <c r="I44" s="24" t="n"/>
      <c r="J44" s="24" t="n"/>
      <c r="K44" s="24" t="n"/>
      <c r="L44" s="25" t="n"/>
    </row>
    <row r="45">
      <c r="A45" s="5" t="inlineStr">
        <is>
          <t>4｜聲望等級 15</t>
        </is>
      </c>
      <c r="B45" s="17" t="inlineStr"/>
      <c r="C45" s="24" t="n"/>
      <c r="D45" s="25" t="n"/>
      <c r="E45" s="6" t="inlineStr"/>
      <c r="F45" s="17" t="inlineStr"/>
      <c r="G45" s="24" t="n"/>
      <c r="H45" s="24" t="n"/>
      <c r="I45" s="24" t="n"/>
      <c r="J45" s="24" t="n"/>
      <c r="K45" s="24" t="n"/>
      <c r="L45" s="25" t="n"/>
    </row>
    <row r="46">
      <c r="A46" s="11" t="inlineStr">
        <is>
          <t>天賦分三階：第一階（罕見）／第二階（稀有）／第三階（非常稀有），階級欄請填第一階／第二階／第三階。條目見《天賦圖鑑》。獨行試煉（配置一）中涉及隊友的天賦，改以回聲同伴（Echo Companion）為對象；若場上無回聲同伴，改用該天賦的獨行變體條款。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</row>
    <row r="47" ht="20" customHeight="1">
      <c r="A47" s="13" t="inlineStr">
        <is>
          <t>六、攜帶物品與加裝（Item &amp; Add-on）　負重（LOAD）上限見衍生值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</row>
    <row r="48">
      <c r="A48" s="5" t="inlineStr">
        <is>
          <t>物品名稱</t>
        </is>
      </c>
      <c r="B48" s="24" t="n"/>
      <c r="C48" s="25" t="n"/>
      <c r="D48" s="5" t="inlineStr">
        <is>
          <t>類型</t>
        </is>
      </c>
      <c r="E48" s="25" t="n"/>
      <c r="F48" s="5" t="inlineStr">
        <is>
          <t>稀有度</t>
        </is>
      </c>
      <c r="G48" s="5" t="inlineStr">
        <is>
          <t>充能（CHG）</t>
        </is>
      </c>
      <c r="H48" s="5" t="inlineStr">
        <is>
          <t>加裝一</t>
        </is>
      </c>
      <c r="I48" s="25" t="n"/>
      <c r="J48" s="5" t="inlineStr">
        <is>
          <t>加裝二</t>
        </is>
      </c>
      <c r="K48" s="24" t="n"/>
      <c r="L48" s="25" t="n"/>
    </row>
    <row r="49">
      <c r="A49" s="17" t="inlineStr">
        <is>
          <t>急救包（FAK）</t>
        </is>
      </c>
      <c r="B49" s="24" t="n"/>
      <c r="C49" s="25" t="n"/>
      <c r="D49" s="6" t="inlineStr">
        <is>
          <t>治療類</t>
        </is>
      </c>
      <c r="E49" s="25" t="n"/>
      <c r="F49" s="6" t="inlineStr">
        <is>
          <t>非常稀有</t>
        </is>
      </c>
      <c r="G49" s="6" t="n">
        <v>12</v>
      </c>
      <c r="H49" s="17" t="inlineStr">
        <is>
          <t>血清</t>
        </is>
      </c>
      <c r="I49" s="25" t="n"/>
      <c r="J49" s="17" t="inlineStr">
        <is>
          <t>抗菌繃帶</t>
        </is>
      </c>
      <c r="K49" s="24" t="n"/>
      <c r="L49" s="25" t="n"/>
    </row>
    <row r="50">
      <c r="A50" s="17" t="inlineStr">
        <is>
          <t>藥草束（HRB）</t>
        </is>
      </c>
      <c r="B50" s="24" t="n"/>
      <c r="C50" s="25" t="n"/>
      <c r="D50" s="6" t="inlineStr">
        <is>
          <t>治療類</t>
        </is>
      </c>
      <c r="E50" s="25" t="n"/>
      <c r="F50" s="6" t="inlineStr">
        <is>
          <t>稀有</t>
        </is>
      </c>
      <c r="G50" s="6" t="n">
        <v>4</v>
      </c>
      <c r="H50" s="17" t="inlineStr"/>
      <c r="I50" s="25" t="n"/>
      <c r="J50" s="17" t="inlineStr"/>
      <c r="K50" s="24" t="n"/>
      <c r="L50" s="25" t="n"/>
    </row>
    <row r="51">
      <c r="A51" s="17" t="inlineStr"/>
      <c r="B51" s="24" t="n"/>
      <c r="C51" s="25" t="n"/>
      <c r="D51" s="6" t="inlineStr"/>
      <c r="E51" s="25" t="n"/>
      <c r="F51" s="6" t="inlineStr"/>
      <c r="G51" s="6" t="inlineStr"/>
      <c r="H51" s="17" t="inlineStr"/>
      <c r="I51" s="25" t="n"/>
      <c r="J51" s="17" t="inlineStr"/>
      <c r="K51" s="24" t="n"/>
      <c r="L51" s="25" t="n"/>
    </row>
    <row r="52">
      <c r="A52" s="17" t="inlineStr"/>
      <c r="B52" s="24" t="n"/>
      <c r="C52" s="25" t="n"/>
      <c r="D52" s="6" t="inlineStr"/>
      <c r="E52" s="25" t="n"/>
      <c r="F52" s="6" t="inlineStr"/>
      <c r="G52" s="6" t="inlineStr"/>
      <c r="H52" s="17" t="inlineStr"/>
      <c r="I52" s="25" t="n"/>
      <c r="J52" s="17" t="inlineStr"/>
      <c r="K52" s="24" t="n"/>
      <c r="L52" s="25" t="n"/>
    </row>
    <row r="53"/>
    <row r="54" ht="20" customHeight="1">
      <c r="A54" s="13" t="inlineStr">
        <is>
          <t>七、狀態效果（Status Effect）　勾選目前生效者，並記錄剩餘輪數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</row>
    <row r="55">
      <c r="A55" s="5" t="inlineStr">
        <is>
          <t>破碎（Broken）</t>
        </is>
      </c>
      <c r="B55" s="24" t="n"/>
      <c r="C55" s="25" t="n"/>
      <c r="D55" s="6" t="n"/>
      <c r="E55" s="5" t="inlineStr">
        <is>
          <t>深度創傷（Deep Wound）</t>
        </is>
      </c>
      <c r="F55" s="24" t="n"/>
      <c r="G55" s="25" t="n"/>
      <c r="H55" s="6" t="n"/>
      <c r="I55" s="5" t="inlineStr">
        <is>
          <t>耗竭（Exhausted）</t>
        </is>
      </c>
      <c r="J55" s="24" t="n"/>
      <c r="K55" s="25" t="n"/>
      <c r="L55" s="6" t="n"/>
    </row>
    <row r="56">
      <c r="A56" s="5" t="inlineStr">
        <is>
          <t>失明（Blindness）</t>
        </is>
      </c>
      <c r="B56" s="24" t="n"/>
      <c r="C56" s="25" t="n"/>
      <c r="D56" s="6" t="n"/>
      <c r="E56" s="5" t="inlineStr">
        <is>
          <t>出血（Haemorrhage）</t>
        </is>
      </c>
      <c r="F56" s="24" t="n"/>
      <c r="G56" s="25" t="n"/>
      <c r="H56" s="6" t="n"/>
      <c r="I56" s="5" t="inlineStr">
        <is>
          <t>堅韌（Endurance）</t>
        </is>
      </c>
      <c r="J56" s="24" t="n"/>
      <c r="K56" s="25" t="n"/>
      <c r="L56" s="6" t="n"/>
    </row>
    <row r="57">
      <c r="A57" s="5" t="inlineStr">
        <is>
          <t>加速（Haste）</t>
        </is>
      </c>
      <c r="B57" s="24" t="n"/>
      <c r="C57" s="25" t="n"/>
      <c r="D57" s="6" t="n"/>
      <c r="E57" s="5" t="inlineStr">
        <is>
          <t>阻礙（Hindered）</t>
        </is>
      </c>
      <c r="F57" s="24" t="n"/>
      <c r="G57" s="25" t="n"/>
      <c r="H57" s="6" t="n"/>
      <c r="I57" s="5" t="inlineStr">
        <is>
          <t>暴露（Exposed）</t>
        </is>
      </c>
      <c r="J57" s="24" t="n"/>
      <c r="K57" s="25" t="n"/>
      <c r="L57" s="6" t="n"/>
    </row>
    <row r="58">
      <c r="A58" s="5" t="inlineStr">
        <is>
          <t>撕裂（Mangled）</t>
        </is>
      </c>
      <c r="B58" s="24" t="n"/>
      <c r="C58" s="25" t="n"/>
      <c r="D58" s="6" t="n"/>
      <c r="E58" s="5" t="inlineStr">
        <is>
          <t>瘋狂（Madness）</t>
        </is>
      </c>
      <c r="F58" s="24" t="n"/>
      <c r="G58" s="25" t="n"/>
      <c r="H58" s="6" t="n"/>
      <c r="I58" s="5" t="inlineStr">
        <is>
          <t>顫慄（Trembling）</t>
        </is>
      </c>
      <c r="J58" s="24" t="n"/>
      <c r="K58" s="25" t="n"/>
      <c r="L58" s="6" t="n"/>
    </row>
    <row r="59"/>
    <row r="60" ht="20" customHeight="1">
      <c r="A60" s="13" t="inlineStr">
        <is>
          <t>八、背景與筆記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</row>
    <row r="61">
      <c r="A61" s="18" t="inlineStr">
        <is>
          <t>莫青荷，二十九歲，山區保育站的野外植物調查員。
她能叫出這片林子裡每一種植物的學名，包括那些不該存在的。調查隊失聯第九天，她靠著辨認可食用漿果活了下來；第十天，霧來了，她發現霧裡也長著東西，而它們的葉子在看她。
【獨行定位】「自療手法」是全系統最重要的獨行支柱天賦——獨行試煉沒有隊友治療，自療能力直接決定續航。治療效率（HEAL）+7 讓她能反覆從受傷（Injured）回到健康。</t>
        </is>
      </c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2" t="n"/>
    </row>
    <row r="62">
      <c r="A62" s="33" t="n"/>
      <c r="L62" s="34" t="n"/>
    </row>
    <row r="63">
      <c r="A63" s="33" t="n"/>
      <c r="L63" s="34" t="n"/>
    </row>
    <row r="64">
      <c r="A64" s="33" t="n"/>
      <c r="L64" s="34" t="n"/>
    </row>
    <row r="65">
      <c r="A65" s="33" t="n"/>
      <c r="L65" s="34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7" t="n"/>
    </row>
  </sheetData>
  <mergeCells count="115">
    <mergeCell ref="B42:D42"/>
    <mergeCell ref="A15:B15"/>
    <mergeCell ref="G19:L19"/>
    <mergeCell ref="A46:L46"/>
    <mergeCell ref="I4:L4"/>
    <mergeCell ref="F43:L43"/>
    <mergeCell ref="J35:L35"/>
    <mergeCell ref="B44:D44"/>
    <mergeCell ref="J28:K28"/>
    <mergeCell ref="I56:K56"/>
    <mergeCell ref="D31:E31"/>
    <mergeCell ref="A26:C26"/>
    <mergeCell ref="A57:C57"/>
    <mergeCell ref="D37:F37"/>
    <mergeCell ref="G14:L14"/>
    <mergeCell ref="E57:G57"/>
    <mergeCell ref="J50:L50"/>
    <mergeCell ref="D48:E48"/>
    <mergeCell ref="H52:I52"/>
    <mergeCell ref="A52:C52"/>
    <mergeCell ref="J52:L52"/>
    <mergeCell ref="A61:L66"/>
    <mergeCell ref="E58:G58"/>
    <mergeCell ref="J48:L48"/>
    <mergeCell ref="A34:L34"/>
    <mergeCell ref="A35:B35"/>
    <mergeCell ref="F45:L45"/>
    <mergeCell ref="J38:L38"/>
    <mergeCell ref="A49:C49"/>
    <mergeCell ref="D51:E51"/>
    <mergeCell ref="A28:B28"/>
    <mergeCell ref="B43:D43"/>
    <mergeCell ref="A30:B30"/>
    <mergeCell ref="G10:L10"/>
    <mergeCell ref="G18:L18"/>
    <mergeCell ref="H50:I50"/>
    <mergeCell ref="A55:C55"/>
    <mergeCell ref="G38:H38"/>
    <mergeCell ref="A37:B37"/>
    <mergeCell ref="I6:L6"/>
    <mergeCell ref="H49:I49"/>
    <mergeCell ref="A2:C6"/>
    <mergeCell ref="G20:L20"/>
    <mergeCell ref="B45:D45"/>
    <mergeCell ref="G22:L22"/>
    <mergeCell ref="A58:C58"/>
    <mergeCell ref="E56:G56"/>
    <mergeCell ref="A40:L40"/>
    <mergeCell ref="G12:L12"/>
    <mergeCell ref="G21:L21"/>
    <mergeCell ref="A51:C51"/>
    <mergeCell ref="G35:H35"/>
    <mergeCell ref="A60:L60"/>
    <mergeCell ref="H48:I48"/>
    <mergeCell ref="D29:E29"/>
    <mergeCell ref="J37:L37"/>
    <mergeCell ref="G23:L23"/>
    <mergeCell ref="A16:L16"/>
    <mergeCell ref="J29:K29"/>
    <mergeCell ref="A36:B36"/>
    <mergeCell ref="A50:C50"/>
    <mergeCell ref="E2:G2"/>
    <mergeCell ref="I55:K55"/>
    <mergeCell ref="D52:E52"/>
    <mergeCell ref="D49:E49"/>
    <mergeCell ref="A47:L47"/>
    <mergeCell ref="G37:H37"/>
    <mergeCell ref="I2:L2"/>
    <mergeCell ref="G25:L25"/>
    <mergeCell ref="B41:D41"/>
    <mergeCell ref="G9:L9"/>
    <mergeCell ref="D35:F35"/>
    <mergeCell ref="A32:B32"/>
    <mergeCell ref="D28:E28"/>
    <mergeCell ref="G11:L11"/>
    <mergeCell ref="A38:B38"/>
    <mergeCell ref="D30:E30"/>
    <mergeCell ref="F41:L41"/>
    <mergeCell ref="G32:H32"/>
    <mergeCell ref="D36:F36"/>
    <mergeCell ref="I57:K57"/>
    <mergeCell ref="A54:L54"/>
    <mergeCell ref="A7:L7"/>
    <mergeCell ref="J49:L49"/>
    <mergeCell ref="J36:L36"/>
    <mergeCell ref="G13:L13"/>
    <mergeCell ref="A56:C56"/>
    <mergeCell ref="G36:H36"/>
    <mergeCell ref="I58:K58"/>
    <mergeCell ref="A27:L27"/>
    <mergeCell ref="G24:L24"/>
    <mergeCell ref="A33:L33"/>
    <mergeCell ref="F44:L44"/>
    <mergeCell ref="H51:I51"/>
    <mergeCell ref="A8:L8"/>
    <mergeCell ref="D32:E32"/>
    <mergeCell ref="G28:H28"/>
    <mergeCell ref="G26:L26"/>
    <mergeCell ref="J51:L51"/>
    <mergeCell ref="D38:F38"/>
    <mergeCell ref="G30:H30"/>
    <mergeCell ref="E3:G3"/>
    <mergeCell ref="F15:L15"/>
    <mergeCell ref="A48:C48"/>
    <mergeCell ref="F42:L42"/>
    <mergeCell ref="G29:H29"/>
    <mergeCell ref="E55:G55"/>
    <mergeCell ref="A29:B29"/>
    <mergeCell ref="I3:L3"/>
    <mergeCell ref="A1:L1"/>
    <mergeCell ref="G17:L17"/>
    <mergeCell ref="G31:H31"/>
    <mergeCell ref="D50:E50"/>
    <mergeCell ref="A31:B31"/>
    <mergeCell ref="I5:L5"/>
  </mergeCells>
  <dataValidations count="16">
    <dataValidation sqref="E3:G3" showDropDown="0" showInputMessage="0" showErrorMessage="0" allowBlank="1" type="list">
      <formula1>"號令者（LEA）,疾行者（SPR）,草藥師（HRB）,匠人（ART）,拾荒客（SCV）,退役兵（VET）"</formula1>
    </dataValidation>
    <dataValidation sqref="I3:L3" showDropDown="0" showInputMessage="0" showErrorMessage="0" allowBlank="1" type="list">
      <formula1>"機械師（REP）,守護者（RES）,幽影（STE）,磐石（END）,破襲手（SAB）,探路者（SCT）"</formula1>
    </dataValidation>
    <dataValidation sqref="L28:L29" showDropDown="0" showInputMessage="0" showErrorMessage="0" allowBlank="1" type="list">
      <formula1>"是,否"</formula1>
    </dataValidation>
    <dataValidation sqref="C35" showDropDown="0" showInputMessage="0" showErrorMessage="0" allowBlank="1" type="list">
      <formula1>"健康,受傷,瀕死"</formula1>
    </dataValidation>
    <dataValidation sqref="D55" showDropDown="0" showInputMessage="0" showErrorMessage="0" allowBlank="1" type="list">
      <formula1>",生效,1,2,3,4,5"</formula1>
    </dataValidation>
    <dataValidation sqref="H55" showDropDown="0" showInputMessage="0" showErrorMessage="0" allowBlank="1" type="list">
      <formula1>",生效,1,2,3,4,5"</formula1>
    </dataValidation>
    <dataValidation sqref="L55" showDropDown="0" showInputMessage="0" showErrorMessage="0" allowBlank="1" type="list">
      <formula1>",生效,1,2,3,4,5"</formula1>
    </dataValidation>
    <dataValidation sqref="D56" showDropDown="0" showInputMessage="0" showErrorMessage="0" allowBlank="1" type="list">
      <formula1>",生效,1,2,3,4,5"</formula1>
    </dataValidation>
    <dataValidation sqref="H56" showDropDown="0" showInputMessage="0" showErrorMessage="0" allowBlank="1" type="list">
      <formula1>",生效,1,2,3,4,5"</formula1>
    </dataValidation>
    <dataValidation sqref="L56" showDropDown="0" showInputMessage="0" showErrorMessage="0" allowBlank="1" type="list">
      <formula1>",生效,1,2,3,4,5"</formula1>
    </dataValidation>
    <dataValidation sqref="D57" showDropDown="0" showInputMessage="0" showErrorMessage="0" allowBlank="1" type="list">
      <formula1>",生效,1,2,3,4,5"</formula1>
    </dataValidation>
    <dataValidation sqref="H57" showDropDown="0" showInputMessage="0" showErrorMessage="0" allowBlank="1" type="list">
      <formula1>",生效,1,2,3,4,5"</formula1>
    </dataValidation>
    <dataValidation sqref="L57" showDropDown="0" showInputMessage="0" showErrorMessage="0" allowBlank="1" type="list">
      <formula1>",生效,1,2,3,4,5"</formula1>
    </dataValidation>
    <dataValidation sqref="D58" showDropDown="0" showInputMessage="0" showErrorMessage="0" allowBlank="1" type="list">
      <formula1>",生效,1,2,3,4,5"</formula1>
    </dataValidation>
    <dataValidation sqref="H58" showDropDown="0" showInputMessage="0" showErrorMessage="0" allowBlank="1" type="list">
      <formula1>",生效,1,2,3,4,5"</formula1>
    </dataValidation>
    <dataValidation sqref="L58" showDropDown="0" showInputMessage="0" showErrorMessage="0" allowBlank="1" type="list">
      <formula1>",生效,1,2,3,4,5"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9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28" customHeight="1">
      <c r="A1" s="1" t="inlineStr">
        <is>
          <t>黎明殺機TRPG　倖存者角色卡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>
      <c r="A2" s="3" t="inlineStr">
        <is>
          <t>角色圖
（此區可貼入角色圖片）</t>
        </is>
      </c>
      <c r="B2" s="22" t="n"/>
      <c r="C2" s="23" t="n"/>
      <c r="D2" s="5" t="inlineStr">
        <is>
          <t>角色名稱</t>
        </is>
      </c>
      <c r="E2" s="6" t="inlineStr">
        <is>
          <t>祁維安</t>
        </is>
      </c>
      <c r="F2" s="24" t="n"/>
      <c r="G2" s="25" t="n"/>
      <c r="H2" s="5" t="inlineStr">
        <is>
          <t>玩家</t>
        </is>
      </c>
      <c r="I2" s="6" t="inlineStr">
        <is>
          <t>範例</t>
        </is>
      </c>
      <c r="J2" s="24" t="n"/>
      <c r="K2" s="24" t="n"/>
      <c r="L2" s="25" t="n"/>
    </row>
    <row r="3">
      <c r="A3" s="26" t="n"/>
      <c r="C3" s="27" t="n"/>
      <c r="D3" s="5" t="inlineStr">
        <is>
          <t>原型</t>
        </is>
      </c>
      <c r="E3" s="6" t="inlineStr">
        <is>
          <t>號令者（LEA）</t>
        </is>
      </c>
      <c r="F3" s="24" t="n"/>
      <c r="G3" s="25" t="n"/>
      <c r="H3" s="5" t="inlineStr">
        <is>
          <t>求生專精</t>
        </is>
      </c>
      <c r="I3" s="6" t="inlineStr">
        <is>
          <t>探路者（SCT）</t>
        </is>
      </c>
      <c r="J3" s="24" t="n"/>
      <c r="K3" s="24" t="n"/>
      <c r="L3" s="25" t="n"/>
    </row>
    <row r="4">
      <c r="A4" s="26" t="n"/>
      <c r="C4" s="27" t="n"/>
      <c r="D4" s="5" t="inlineStr">
        <is>
          <t>聲望等級（PRS）</t>
        </is>
      </c>
      <c r="E4" s="6" t="n">
        <v>10</v>
      </c>
      <c r="F4" s="5" t="inlineStr">
        <is>
          <t>玩家人數（N）</t>
        </is>
      </c>
      <c r="G4" s="6" t="n">
        <v>3</v>
      </c>
      <c r="H4" s="5" t="inlineStr">
        <is>
          <t>目前血點（BP）</t>
        </is>
      </c>
      <c r="I4" s="6" t="n">
        <v>54200</v>
      </c>
      <c r="J4" s="24" t="n"/>
      <c r="K4" s="24" t="n"/>
      <c r="L4" s="25" t="n"/>
    </row>
    <row r="5">
      <c r="A5" s="26" t="n"/>
      <c r="C5" s="27" t="n"/>
      <c r="D5" s="5" t="inlineStr">
        <is>
          <t>屬性點（ATP）</t>
        </is>
      </c>
      <c r="E5" s="8">
        <f>15+INT($E$4/2)</f>
        <v/>
      </c>
      <c r="F5" s="5" t="inlineStr">
        <is>
          <t>技能點（SKP）</t>
        </is>
      </c>
      <c r="G5" s="8">
        <f>2+$E$4</f>
        <v/>
      </c>
      <c r="H5" s="5" t="inlineStr">
        <is>
          <t>血點上限（BP_max）</t>
        </is>
      </c>
      <c r="I5" s="9">
        <f>20000+2000*($E$4-1)+200*($E$4-1)^2</f>
        <v/>
      </c>
      <c r="J5" s="24" t="n"/>
      <c r="K5" s="24" t="n"/>
      <c r="L5" s="25" t="n"/>
    </row>
    <row r="6">
      <c r="A6" s="28" t="n"/>
      <c r="B6" s="29" t="n"/>
      <c r="C6" s="30" t="n"/>
      <c r="D6" s="5" t="inlineStr">
        <is>
          <t>天賦欄位數（PERK）</t>
        </is>
      </c>
      <c r="E6" s="8">
        <f>1+($E$4&gt;=5)+($E$4&gt;=10)+($E$4&gt;=15)</f>
        <v/>
      </c>
      <c r="F6" s="5" t="inlineStr">
        <is>
          <t>希望點上限</t>
        </is>
      </c>
      <c r="G6" s="8">
        <f>2+INT($E$4/5)</f>
        <v/>
      </c>
      <c r="H6" s="5" t="inlineStr">
        <is>
          <t>目前希望點（HOP）</t>
        </is>
      </c>
      <c r="I6" s="6" t="n">
        <v>4</v>
      </c>
      <c r="J6" s="24" t="n"/>
      <c r="K6" s="24" t="n"/>
      <c r="L6" s="25" t="n"/>
    </row>
    <row r="7">
      <c r="A7" s="11" t="inlineStr">
        <is>
          <t>米黃色格＝公式自動計算，請勿手動輸入。白色格＝玩家填寫。「玩家人數（N）」只計玩家扮演的倖存者，回聲同伴（Echo Companion）不計入。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5" t="n"/>
    </row>
    <row r="8" ht="20" customHeight="1">
      <c r="A8" s="13" t="inlineStr">
        <is>
          <t>一、屬性（Attribute）　屬性值 1–10；屬性加值（AB）＝ INT(屬性值 ÷ 2)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5" t="n"/>
    </row>
    <row r="9">
      <c r="A9" s="5" t="inlineStr">
        <is>
          <t>屬性</t>
        </is>
      </c>
      <c r="B9" s="5" t="inlineStr">
        <is>
          <t>縮寫</t>
        </is>
      </c>
      <c r="C9" s="5" t="inlineStr">
        <is>
          <t>基礎值</t>
        </is>
      </c>
      <c r="D9" s="5" t="inlineStr">
        <is>
          <t>原型調整</t>
        </is>
      </c>
      <c r="E9" s="5" t="inlineStr">
        <is>
          <t>屬性值</t>
        </is>
      </c>
      <c r="F9" s="5" t="inlineStr">
        <is>
          <t>屬性加值（AB）</t>
        </is>
      </c>
      <c r="G9" s="5" t="inlineStr">
        <is>
          <t>用途</t>
        </is>
      </c>
      <c r="H9" s="24" t="n"/>
      <c r="I9" s="24" t="n"/>
      <c r="J9" s="24" t="n"/>
      <c r="K9" s="24" t="n"/>
      <c r="L9" s="25" t="n"/>
    </row>
    <row r="10">
      <c r="A10" s="16" t="inlineStr">
        <is>
          <t>敏捷</t>
        </is>
      </c>
      <c r="B10" s="16" t="inlineStr">
        <is>
          <t>AGI</t>
        </is>
      </c>
      <c r="C10" s="6" t="n">
        <v>3</v>
      </c>
      <c r="D10" s="6" t="n">
        <v>0</v>
      </c>
      <c r="E10" s="8">
        <f>C10+D10</f>
        <v/>
      </c>
      <c r="F10" s="8">
        <f>INT(E10/2)</f>
        <v/>
      </c>
      <c r="G10" s="17" t="inlineStr">
        <is>
          <t>翻窗、推板、閃避、掙扎。追逐生存的主軸。</t>
        </is>
      </c>
      <c r="H10" s="24" t="n"/>
      <c r="I10" s="24" t="n"/>
      <c r="J10" s="24" t="n"/>
      <c r="K10" s="24" t="n"/>
      <c r="L10" s="25" t="n"/>
    </row>
    <row r="11">
      <c r="A11" s="16" t="inlineStr">
        <is>
          <t>技巧</t>
        </is>
      </c>
      <c r="B11" s="16" t="inlineStr">
        <is>
          <t>TEC</t>
        </is>
      </c>
      <c r="C11" s="6" t="n">
        <v>4</v>
      </c>
      <c r="D11" s="6" t="n">
        <v>0</v>
      </c>
      <c r="E11" s="8">
        <f>C11+D11</f>
        <v/>
      </c>
      <c r="F11" s="8">
        <f>INT(E11/2)</f>
        <v/>
      </c>
      <c r="G11" s="17" t="inlineStr">
        <is>
          <t>發電機修理、拆陷阱、開寶箱。勝利條件的主軸。</t>
        </is>
      </c>
      <c r="H11" s="24" t="n"/>
      <c r="I11" s="24" t="n"/>
      <c r="J11" s="24" t="n"/>
      <c r="K11" s="24" t="n"/>
      <c r="L11" s="25" t="n"/>
    </row>
    <row r="12">
      <c r="A12" s="16" t="inlineStr">
        <is>
          <t>隱蔽</t>
        </is>
      </c>
      <c r="B12" s="16" t="inlineStr">
        <is>
          <t>STL</t>
        </is>
      </c>
      <c r="C12" s="6" t="n">
        <v>4</v>
      </c>
      <c r="D12" s="6" t="n">
        <v>0</v>
      </c>
      <c r="E12" s="8">
        <f>C12+D12</f>
        <v/>
      </c>
      <c r="F12" s="8">
        <f>INT(E12/2)</f>
        <v/>
      </c>
      <c r="G12" s="17" t="inlineStr">
        <is>
          <t>蹲行、躲櫃、消抓痕、對抗殺手追蹤。</t>
        </is>
      </c>
      <c r="H12" s="24" t="n"/>
      <c r="I12" s="24" t="n"/>
      <c r="J12" s="24" t="n"/>
      <c r="K12" s="24" t="n"/>
      <c r="L12" s="25" t="n"/>
    </row>
    <row r="13">
      <c r="A13" s="16" t="inlineStr">
        <is>
          <t>專注</t>
        </is>
      </c>
      <c r="B13" s="16" t="inlineStr">
        <is>
          <t>FOC</t>
        </is>
      </c>
      <c r="C13" s="6" t="n">
        <v>5</v>
      </c>
      <c r="D13" s="6" t="n">
        <v>2</v>
      </c>
      <c r="E13" s="8">
        <f>C13+D13</f>
        <v/>
      </c>
      <c r="F13" s="8">
        <f>INT(E13/2)</f>
        <v/>
      </c>
      <c r="G13" s="17" t="inlineStr">
        <is>
          <t>技巧檢定四態品質、救援時機、抗干擾、掛鉤自救。</t>
        </is>
      </c>
      <c r="H13" s="24" t="n"/>
      <c r="I13" s="24" t="n"/>
      <c r="J13" s="24" t="n"/>
      <c r="K13" s="24" t="n"/>
      <c r="L13" s="25" t="n"/>
    </row>
    <row r="14">
      <c r="A14" s="16" t="inlineStr">
        <is>
          <t>意志</t>
        </is>
      </c>
      <c r="B14" s="16" t="inlineStr">
        <is>
          <t>WIL</t>
        </is>
      </c>
      <c r="C14" s="6" t="n">
        <v>4</v>
      </c>
      <c r="D14" s="6" t="n">
        <v>1</v>
      </c>
      <c r="E14" s="8">
        <f>C14+D14</f>
        <v/>
      </c>
      <c r="F14" s="8">
        <f>INT(E14/2)</f>
        <v/>
      </c>
      <c r="G14" s="17" t="inlineStr">
        <is>
          <t>生命值上限、恐懼抵抗、掛鉤存活輪數、瀕死爬行。</t>
        </is>
      </c>
      <c r="H14" s="24" t="n"/>
      <c r="I14" s="24" t="n"/>
      <c r="J14" s="24" t="n"/>
      <c r="K14" s="24" t="n"/>
      <c r="L14" s="25" t="n"/>
    </row>
    <row r="15">
      <c r="A15" s="5" t="inlineStr">
        <is>
          <t>合計</t>
        </is>
      </c>
      <c r="B15" s="25" t="n"/>
      <c r="C15" s="8">
        <f>SUM(C10:C14)</f>
        <v/>
      </c>
      <c r="D15" s="5" t="inlineStr">
        <is>
          <t>尚可分配</t>
        </is>
      </c>
      <c r="E15" s="8">
        <f>$E$5-SUM(C10:C14)</f>
        <v/>
      </c>
      <c r="F15" s="11" t="inlineStr">
        <is>
          <t>創角時基礎值每項 1–5，合計須等於屬性點（ATP）。原型調整由所選原型帶入。</t>
        </is>
      </c>
      <c r="G15" s="24" t="n"/>
      <c r="H15" s="24" t="n"/>
      <c r="I15" s="24" t="n"/>
      <c r="J15" s="24" t="n"/>
      <c r="K15" s="24" t="n"/>
      <c r="L15" s="25" t="n"/>
    </row>
    <row r="16" ht="20" customHeight="1">
      <c r="A16" s="13" t="inlineStr">
        <is>
          <t>二、技能（Skill）　技能等級（SL）0–5；等級 0 且需專業時，該檢定額外 −2（未受訓）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5" t="n"/>
    </row>
    <row r="17">
      <c r="A17" s="5" t="inlineStr">
        <is>
          <t>技能</t>
        </is>
      </c>
      <c r="B17" s="5" t="inlineStr">
        <is>
          <t>縮寫</t>
        </is>
      </c>
      <c r="C17" s="5" t="inlineStr">
        <is>
          <t>對應屬性</t>
        </is>
      </c>
      <c r="D17" s="5" t="inlineStr">
        <is>
          <t>技能等級（SL）</t>
        </is>
      </c>
      <c r="E17" s="5" t="inlineStr">
        <is>
          <t>屬性加值（AB）</t>
        </is>
      </c>
      <c r="F17" s="5" t="inlineStr">
        <is>
          <t>檢定總修正</t>
        </is>
      </c>
      <c r="G17" s="5" t="inlineStr">
        <is>
          <t>用途</t>
        </is>
      </c>
      <c r="H17" s="24" t="n"/>
      <c r="I17" s="24" t="n"/>
      <c r="J17" s="24" t="n"/>
      <c r="K17" s="24" t="n"/>
      <c r="L17" s="25" t="n"/>
    </row>
    <row r="18">
      <c r="A18" s="16" t="inlineStr">
        <is>
          <t>機械維修</t>
        </is>
      </c>
      <c r="B18" s="16" t="inlineStr">
        <is>
          <t>MEC</t>
        </is>
      </c>
      <c r="C18" s="6" t="inlineStr">
        <is>
          <t>技巧（TEC）</t>
        </is>
      </c>
      <c r="D18" s="6" t="n">
        <v>2</v>
      </c>
      <c r="E18" s="8">
        <f>F11</f>
        <v/>
      </c>
      <c r="F18" s="8">
        <f>D18+E18-IF(D18=0,2,0)</f>
        <v/>
      </c>
      <c r="G18" s="17" t="inlineStr">
        <is>
          <t>發電機修理、逃生門開啟、破壞鉤子</t>
        </is>
      </c>
      <c r="H18" s="24" t="n"/>
      <c r="I18" s="24" t="n"/>
      <c r="J18" s="24" t="n"/>
      <c r="K18" s="24" t="n"/>
      <c r="L18" s="25" t="n"/>
    </row>
    <row r="19">
      <c r="A19" s="16" t="inlineStr">
        <is>
          <t>急救</t>
        </is>
      </c>
      <c r="B19" s="16" t="inlineStr">
        <is>
          <t>MED</t>
        </is>
      </c>
      <c r="C19" s="6" t="inlineStr">
        <is>
          <t>專注（FOC）</t>
        </is>
      </c>
      <c r="D19" s="6" t="n">
        <v>0</v>
      </c>
      <c r="E19" s="8">
        <f>F13</f>
        <v/>
      </c>
      <c r="F19" s="8">
        <f>D19+E19-IF(D19=0,2,0)</f>
        <v/>
      </c>
      <c r="G19" s="17" t="inlineStr">
        <is>
          <t>治療他人、自我治療、扶起瀕死者、止血</t>
        </is>
      </c>
      <c r="H19" s="24" t="n"/>
      <c r="I19" s="24" t="n"/>
      <c r="J19" s="24" t="n"/>
      <c r="K19" s="24" t="n"/>
      <c r="L19" s="25" t="n"/>
    </row>
    <row r="20">
      <c r="A20" s="16" t="inlineStr">
        <is>
          <t>潛行</t>
        </is>
      </c>
      <c r="B20" s="16" t="inlineStr">
        <is>
          <t>SNK</t>
        </is>
      </c>
      <c r="C20" s="6" t="inlineStr">
        <is>
          <t>隱蔽（STL）</t>
        </is>
      </c>
      <c r="D20" s="6" t="n">
        <v>2</v>
      </c>
      <c r="E20" s="8">
        <f>F12</f>
        <v/>
      </c>
      <c r="F20" s="8">
        <f>D20+E20-IF(D20=0,2,0)</f>
        <v/>
      </c>
      <c r="G20" s="17" t="inlineStr">
        <is>
          <t>蹲行、躲入櫃子、消除抓痕、對抗追蹤</t>
        </is>
      </c>
      <c r="H20" s="24" t="n"/>
      <c r="I20" s="24" t="n"/>
      <c r="J20" s="24" t="n"/>
      <c r="K20" s="24" t="n"/>
      <c r="L20" s="25" t="n"/>
    </row>
    <row r="21">
      <c r="A21" s="16" t="inlineStr">
        <is>
          <t>攀越</t>
        </is>
      </c>
      <c r="B21" s="16" t="inlineStr">
        <is>
          <t>PRK</t>
        </is>
      </c>
      <c r="C21" s="6" t="inlineStr">
        <is>
          <t>敏捷（AGI）</t>
        </is>
      </c>
      <c r="D21" s="6" t="n">
        <v>0</v>
      </c>
      <c r="E21" s="8">
        <f>F10</f>
        <v/>
      </c>
      <c r="F21" s="8">
        <f>D21+E21-IF(D21=0,2,0)</f>
        <v/>
      </c>
      <c r="G21" s="17" t="inlineStr">
        <is>
          <t>翻越窗戶、越過障礙、跳落、繞圈</t>
        </is>
      </c>
      <c r="H21" s="24" t="n"/>
      <c r="I21" s="24" t="n"/>
      <c r="J21" s="24" t="n"/>
      <c r="K21" s="24" t="n"/>
      <c r="L21" s="25" t="n"/>
    </row>
    <row r="22">
      <c r="A22" s="16" t="inlineStr">
        <is>
          <t>掙脫</t>
        </is>
      </c>
      <c r="B22" s="16" t="inlineStr">
        <is>
          <t>ESQ</t>
        </is>
      </c>
      <c r="C22" s="6" t="inlineStr">
        <is>
          <t>敏捷（AGI）</t>
        </is>
      </c>
      <c r="D22" s="6" t="n">
        <v>0</v>
      </c>
      <c r="E22" s="8">
        <f>F10</f>
        <v/>
      </c>
      <c r="F22" s="8">
        <f>D22+E22-IF(D22=0,2,0)</f>
        <v/>
      </c>
      <c r="G22" s="17" t="inlineStr">
        <is>
          <t>掙扎、脫離陷阱、掙脫抓握</t>
        </is>
      </c>
      <c r="H22" s="24" t="n"/>
      <c r="I22" s="24" t="n"/>
      <c r="J22" s="24" t="n"/>
      <c r="K22" s="24" t="n"/>
      <c r="L22" s="25" t="n"/>
    </row>
    <row r="23">
      <c r="A23" s="16" t="inlineStr">
        <is>
          <t>搜索</t>
        </is>
      </c>
      <c r="B23" s="16" t="inlineStr">
        <is>
          <t>SRC</t>
        </is>
      </c>
      <c r="C23" s="6" t="inlineStr">
        <is>
          <t>技巧（TEC）</t>
        </is>
      </c>
      <c r="D23" s="6" t="n">
        <v>3</v>
      </c>
      <c r="E23" s="8">
        <f>F11</f>
        <v/>
      </c>
      <c r="F23" s="8">
        <f>D23+E23-IF(D23=0,2,0)</f>
        <v/>
      </c>
      <c r="G23" s="17" t="inlineStr">
        <is>
          <t>開啟寶箱、尋找地窖、辨識圖騰</t>
        </is>
      </c>
      <c r="H23" s="24" t="n"/>
      <c r="I23" s="24" t="n"/>
      <c r="J23" s="24" t="n"/>
      <c r="K23" s="24" t="n"/>
      <c r="L23" s="25" t="n"/>
    </row>
    <row r="24">
      <c r="A24" s="16" t="inlineStr">
        <is>
          <t>堅忍</t>
        </is>
      </c>
      <c r="B24" s="16" t="inlineStr">
        <is>
          <t>END</t>
        </is>
      </c>
      <c r="C24" s="6" t="inlineStr">
        <is>
          <t>意志（WIL）</t>
        </is>
      </c>
      <c r="D24" s="6" t="n">
        <v>1</v>
      </c>
      <c r="E24" s="8">
        <f>F14</f>
        <v/>
      </c>
      <c r="F24" s="8">
        <f>D24+E24-IF(D24=0,2,0)</f>
        <v/>
      </c>
      <c r="G24" s="17" t="inlineStr">
        <is>
          <t>抗恐懼、撐掛鉤、抵抗狀態效果、瀕死爬行</t>
        </is>
      </c>
      <c r="H24" s="24" t="n"/>
      <c r="I24" s="24" t="n"/>
      <c r="J24" s="24" t="n"/>
      <c r="K24" s="24" t="n"/>
      <c r="L24" s="25" t="n"/>
    </row>
    <row r="25">
      <c r="A25" s="16" t="inlineStr">
        <is>
          <t>洞察</t>
        </is>
      </c>
      <c r="B25" s="16" t="inlineStr">
        <is>
          <t>INS</t>
        </is>
      </c>
      <c r="C25" s="6" t="inlineStr">
        <is>
          <t>專注（FOC）</t>
        </is>
      </c>
      <c r="D25" s="6" t="n">
        <v>4</v>
      </c>
      <c r="E25" s="8">
        <f>F13</f>
        <v/>
      </c>
      <c r="F25" s="8">
        <f>D25+E25-IF(D25=0,2,0)</f>
        <v/>
      </c>
      <c r="G25" s="17" t="inlineStr">
        <is>
          <t>讀取光環、預判殺手動向、判斷救援時機</t>
        </is>
      </c>
      <c r="H25" s="24" t="n"/>
      <c r="I25" s="24" t="n"/>
      <c r="J25" s="24" t="n"/>
      <c r="K25" s="24" t="n"/>
      <c r="L25" s="25" t="n"/>
    </row>
    <row r="26">
      <c r="A26" s="5" t="inlineStr">
        <is>
          <t>合計</t>
        </is>
      </c>
      <c r="B26" s="24" t="n"/>
      <c r="C26" s="25" t="n"/>
      <c r="D26" s="8">
        <f>SUM(D18:D25)</f>
        <v/>
      </c>
      <c r="E26" s="5" t="inlineStr">
        <is>
          <t>尚可分配</t>
        </is>
      </c>
      <c r="F26" s="8">
        <f>$G$5-SUM(D18:D25)</f>
        <v/>
      </c>
      <c r="G26" s="11" t="inlineStr">
        <is>
          <t>「檢定總修正」已內含未受訓 −2 懲罰；情境修正（SM）另計。</t>
        </is>
      </c>
      <c r="H26" s="24" t="n"/>
      <c r="I26" s="24" t="n"/>
      <c r="J26" s="24" t="n"/>
      <c r="K26" s="24" t="n"/>
      <c r="L26" s="25" t="n"/>
    </row>
    <row r="27" ht="20" customHeight="1">
      <c r="A27" s="13" t="inlineStr">
        <is>
          <t>三、衍生值（Derived Value）　全部自動計算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</row>
    <row r="28">
      <c r="A28" s="5" t="inlineStr">
        <is>
          <t>生命值上限（HP_max）</t>
        </is>
      </c>
      <c r="B28" s="25" t="n"/>
      <c r="C28" s="8">
        <f>8+2*$E$14+$E$4</f>
        <v/>
      </c>
      <c r="D28" s="5" t="inlineStr">
        <is>
          <t>生命狀態上限（HS_max）</t>
        </is>
      </c>
      <c r="E28" s="25" t="n"/>
      <c r="F28" s="8">
        <f>IF(L28="是",1,2)</f>
        <v/>
      </c>
      <c r="G28" s="5" t="inlineStr">
        <is>
          <t>行動點上限（AP_max）</t>
        </is>
      </c>
      <c r="H28" s="25" t="n"/>
      <c r="I28" s="8">
        <f>IF(L29="是",3,4)</f>
        <v/>
      </c>
      <c r="J28" s="5" t="inlineStr">
        <is>
          <t>破碎（Broken）狀態？</t>
        </is>
      </c>
      <c r="K28" s="25" t="n"/>
      <c r="L28" s="6" t="inlineStr">
        <is>
          <t>否</t>
        </is>
      </c>
    </row>
    <row r="29">
      <c r="A29" s="5" t="inlineStr">
        <is>
          <t>移動格數（MOV）</t>
        </is>
      </c>
      <c r="B29" s="25" t="n"/>
      <c r="C29" s="8">
        <f>6+INT($F$10/2)</f>
        <v/>
      </c>
      <c r="D29" s="5" t="inlineStr">
        <is>
          <t>衝刺格數（SPR）</t>
        </is>
      </c>
      <c r="E29" s="25" t="n"/>
      <c r="F29" s="8">
        <f>(6+INT($F$10/2))*2</f>
        <v/>
      </c>
      <c r="G29" s="5" t="inlineStr">
        <is>
          <t>修理效率（REP）</t>
        </is>
      </c>
      <c r="H29" s="25" t="n"/>
      <c r="I29" s="8">
        <f>$F$11+$D$18</f>
        <v/>
      </c>
      <c r="J29" s="5" t="inlineStr">
        <is>
          <t>目前處於追逐中？</t>
        </is>
      </c>
      <c r="K29" s="25" t="n"/>
      <c r="L29" s="6" t="inlineStr">
        <is>
          <t>否</t>
        </is>
      </c>
    </row>
    <row r="30">
      <c r="A30" s="5" t="inlineStr">
        <is>
          <t>治療效率（HEAL）</t>
        </is>
      </c>
      <c r="B30" s="25" t="n"/>
      <c r="C30" s="8">
        <f>$F$13+$D$19</f>
        <v/>
      </c>
      <c r="D30" s="5" t="inlineStr">
        <is>
          <t>被動隱蔽值（PSTL）</t>
        </is>
      </c>
      <c r="E30" s="25" t="n"/>
      <c r="F30" s="8">
        <f>8+$F$12+$D$20</f>
        <v/>
      </c>
      <c r="G30" s="5" t="inlineStr">
        <is>
          <t>被動感知值（PPER）</t>
        </is>
      </c>
      <c r="H30" s="25" t="n"/>
      <c r="I30" s="8">
        <f>8+$F$13+$D$25</f>
        <v/>
      </c>
    </row>
    <row r="31">
      <c r="A31" s="5" t="inlineStr">
        <is>
          <t>恐懼抗性（FRES）</t>
        </is>
      </c>
      <c r="B31" s="25" t="n"/>
      <c r="C31" s="8">
        <f>10+$F$14+$D$24</f>
        <v/>
      </c>
      <c r="D31" s="5" t="inlineStr">
        <is>
          <t>追逐檢定修正（CHS）</t>
        </is>
      </c>
      <c r="E31" s="25" t="n"/>
      <c r="F31" s="8">
        <f>$F$10+$D$21</f>
        <v/>
      </c>
      <c r="G31" s="5" t="inlineStr">
        <is>
          <t>掙扎檢定修正（WIG）</t>
        </is>
      </c>
      <c r="H31" s="25" t="n"/>
      <c r="I31" s="8">
        <f>$F$10+$D$22</f>
        <v/>
      </c>
    </row>
    <row r="32">
      <c r="A32" s="5" t="inlineStr">
        <is>
          <t>掛鉤存活輪數（HKS）</t>
        </is>
      </c>
      <c r="B32" s="25" t="n"/>
      <c r="C32" s="8">
        <f>(8-$G$4)+INT($F$14/2)</f>
        <v/>
      </c>
      <c r="D32" s="5" t="inlineStr">
        <is>
          <t>掛鉤自救難度等級（DC）</t>
        </is>
      </c>
      <c r="E32" s="25" t="n"/>
      <c r="F32" s="8">
        <f>20-(4-$G$4)</f>
        <v/>
      </c>
      <c r="G32" s="5" t="inlineStr">
        <is>
          <t>負重上限（LOAD）</t>
        </is>
      </c>
      <c r="H32" s="25" t="n"/>
      <c r="I32" s="8">
        <f>2+IF($E$3="匠人（ART）",1,0)</f>
        <v/>
      </c>
    </row>
    <row r="33">
      <c r="A33" s="11" t="inlineStr">
        <is>
          <t>行動點（AP）：非追逐狀態每輪 4 點，追逐中 3 點。生命狀態（HS）：健康 → 受傷 → 瀕死；破碎（Broken）狀態下完全無法被治療。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</row>
    <row r="34" ht="20" customHeight="1">
      <c r="A34" s="13" t="inlineStr">
        <is>
          <t>四、臨場追蹤（Trial Tracker）　每場試煉開始時清空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</row>
    <row r="35">
      <c r="A35" s="5" t="inlineStr">
        <is>
          <t>目前生命狀態</t>
        </is>
      </c>
      <c r="B35" s="25" t="n"/>
      <c r="C35" s="6" t="n"/>
      <c r="D35" s="17" t="inlineStr">
        <is>
          <t>健康 / 受傷 / 瀕死</t>
        </is>
      </c>
      <c r="E35" s="24" t="n"/>
      <c r="F35" s="25" t="n"/>
      <c r="G35" s="5" t="inlineStr">
        <is>
          <t>目前生命值（HP）</t>
        </is>
      </c>
      <c r="H35" s="25" t="n"/>
      <c r="I35" s="6" t="n"/>
      <c r="J35" s="17" t="inlineStr"/>
      <c r="K35" s="24" t="n"/>
      <c r="L35" s="25" t="n"/>
    </row>
    <row r="36">
      <c r="A36" s="5" t="inlineStr">
        <is>
          <t>本場掛鉤次數</t>
        </is>
      </c>
      <c r="B36" s="25" t="n"/>
      <c r="C36" s="6" t="n"/>
      <c r="D36" s="17" t="inlineStr">
        <is>
          <t>0 / 1 / 2（第三次＝獻祭）</t>
        </is>
      </c>
      <c r="E36" s="24" t="n"/>
      <c r="F36" s="25" t="n"/>
      <c r="G36" s="5" t="inlineStr">
        <is>
          <t>掛鉤階段計時</t>
        </is>
      </c>
      <c r="H36" s="25" t="n"/>
      <c r="I36" s="6" t="n"/>
      <c r="J36" s="17" t="inlineStr">
        <is>
          <t>輪</t>
        </is>
      </c>
      <c r="K36" s="24" t="n"/>
      <c r="L36" s="25" t="n"/>
    </row>
    <row r="37">
      <c r="A37" s="5" t="inlineStr">
        <is>
          <t>目前距離帶（DB）</t>
        </is>
      </c>
      <c r="B37" s="25" t="n"/>
      <c r="C37" s="6" t="n"/>
      <c r="D37" s="17" t="inlineStr">
        <is>
          <t>接觸／近距／中距／遠距／脫離</t>
        </is>
      </c>
      <c r="E37" s="24" t="n"/>
      <c r="F37" s="25" t="n"/>
      <c r="G37" s="5" t="inlineStr">
        <is>
          <t>連續追逐輪數</t>
        </is>
      </c>
      <c r="H37" s="25" t="n"/>
      <c r="I37" s="6" t="n"/>
      <c r="J37" s="17" t="inlineStr">
        <is>
          <t>供血怒（Bloodlust）判定</t>
        </is>
      </c>
      <c r="K37" s="24" t="n"/>
      <c r="L37" s="25" t="n"/>
    </row>
    <row r="38">
      <c r="A38" s="5" t="inlineStr">
        <is>
          <t>剩餘行動點（AP）</t>
        </is>
      </c>
      <c r="B38" s="25" t="n"/>
      <c r="C38" s="6" t="n"/>
      <c r="D38" s="17" t="inlineStr"/>
      <c r="E38" s="24" t="n"/>
      <c r="F38" s="25" t="n"/>
      <c r="G38" s="5" t="inlineStr">
        <is>
          <t>堅持獎勵（PB）輪數</t>
        </is>
      </c>
      <c r="H38" s="25" t="n"/>
      <c r="I38" s="6" t="n"/>
      <c r="J38" s="17" t="inlineStr">
        <is>
          <t>連續同一動作輪數 −1，上限 +3</t>
        </is>
      </c>
      <c r="K38" s="24" t="n"/>
      <c r="L38" s="25" t="n"/>
    </row>
    <row r="39"/>
    <row r="40" ht="20" customHeight="1">
      <c r="A40" s="13" t="inlineStr">
        <is>
          <t>五、天賦（Perk）　欄位數依聲望等級（PRS）開放：初始 1 格，聲望等級 5／10／15 各再開 1 格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</row>
    <row r="41">
      <c r="A41" s="5" t="inlineStr">
        <is>
          <t>欄位</t>
        </is>
      </c>
      <c r="B41" s="5" t="inlineStr">
        <is>
          <t>天賦名稱</t>
        </is>
      </c>
      <c r="C41" s="24" t="n"/>
      <c r="D41" s="25" t="n"/>
      <c r="E41" s="5" t="inlineStr">
        <is>
          <t>階級</t>
        </is>
      </c>
      <c r="F41" s="5" t="inlineStr">
        <is>
          <t>效果摘要</t>
        </is>
      </c>
      <c r="G41" s="24" t="n"/>
      <c r="H41" s="24" t="n"/>
      <c r="I41" s="24" t="n"/>
      <c r="J41" s="24" t="n"/>
      <c r="K41" s="24" t="n"/>
      <c r="L41" s="25" t="n"/>
    </row>
    <row r="42">
      <c r="A42" s="5" t="inlineStr">
        <is>
          <t>1｜初始</t>
        </is>
      </c>
      <c r="B42" s="17" t="inlineStr">
        <is>
          <t>破霧指引（TALENT-S02）</t>
        </is>
      </c>
      <c r="C42" s="24" t="n"/>
      <c r="D42" s="25" t="n"/>
      <c r="E42" s="6" t="inlineStr">
        <is>
          <t>第三階</t>
        </is>
      </c>
      <c r="F42" s="17" t="inlineStr">
        <is>
          <t>每輪開始時，揭露殺手目前所在的距離帶（DB）與方位。</t>
        </is>
      </c>
      <c r="G42" s="24" t="n"/>
      <c r="H42" s="24" t="n"/>
      <c r="I42" s="24" t="n"/>
      <c r="J42" s="24" t="n"/>
      <c r="K42" s="24" t="n"/>
      <c r="L42" s="25" t="n"/>
    </row>
    <row r="43">
      <c r="A43" s="5" t="inlineStr">
        <is>
          <t>2｜聲望等級 5</t>
        </is>
      </c>
      <c r="B43" s="17" t="inlineStr">
        <is>
          <t>同心結（TALENT-S01）</t>
        </is>
      </c>
      <c r="C43" s="24" t="n"/>
      <c r="D43" s="25" t="n"/>
      <c r="E43" s="6" t="inlineStr">
        <is>
          <t>第二階</t>
        </is>
      </c>
      <c r="F43" s="17" t="inlineStr">
        <is>
          <t>與你同區的隊友或回聲同伴（Echo Companion），其修理進度點（PP）+1。</t>
        </is>
      </c>
      <c r="G43" s="24" t="n"/>
      <c r="H43" s="24" t="n"/>
      <c r="I43" s="24" t="n"/>
      <c r="J43" s="24" t="n"/>
      <c r="K43" s="24" t="n"/>
      <c r="L43" s="25" t="n"/>
    </row>
    <row r="44">
      <c r="A44" s="5" t="inlineStr">
        <is>
          <t>3｜聲望等級 10</t>
        </is>
      </c>
      <c r="B44" s="17" t="inlineStr">
        <is>
          <t>機會之窗（TALENT-G01）</t>
        </is>
      </c>
      <c r="C44" s="24" t="n"/>
      <c r="D44" s="25" t="n"/>
      <c r="E44" s="6" t="inlineStr">
        <is>
          <t>第二階</t>
        </is>
      </c>
      <c r="F44" s="17" t="inlineStr">
        <is>
          <t>自動得知 2 個距離帶內所有板子（Pallet）、窗戶（Window）與可破壞牆的位置與狀態。</t>
        </is>
      </c>
      <c r="G44" s="24" t="n"/>
      <c r="H44" s="24" t="n"/>
      <c r="I44" s="24" t="n"/>
      <c r="J44" s="24" t="n"/>
      <c r="K44" s="24" t="n"/>
      <c r="L44" s="25" t="n"/>
    </row>
    <row r="45">
      <c r="A45" s="5" t="inlineStr">
        <is>
          <t>4｜聲望等級 15</t>
        </is>
      </c>
      <c r="B45" s="17" t="inlineStr"/>
      <c r="C45" s="24" t="n"/>
      <c r="D45" s="25" t="n"/>
      <c r="E45" s="6" t="inlineStr"/>
      <c r="F45" s="17" t="inlineStr"/>
      <c r="G45" s="24" t="n"/>
      <c r="H45" s="24" t="n"/>
      <c r="I45" s="24" t="n"/>
      <c r="J45" s="24" t="n"/>
      <c r="K45" s="24" t="n"/>
      <c r="L45" s="25" t="n"/>
    </row>
    <row r="46">
      <c r="A46" s="11" t="inlineStr">
        <is>
          <t>天賦分三階：第一階（罕見）／第二階（稀有）／第三階（非常稀有），階級欄請填第一階／第二階／第三階。條目見《天賦圖鑑》。獨行試煉（配置一）中涉及隊友的天賦，改以回聲同伴（Echo Companion）為對象；若場上無回聲同伴，改用該天賦的獨行變體條款。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</row>
    <row r="47" ht="20" customHeight="1">
      <c r="A47" s="13" t="inlineStr">
        <is>
          <t>六、攜帶物品與加裝（Item &amp; Add-on）　負重（LOAD）上限見衍生值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</row>
    <row r="48">
      <c r="A48" s="5" t="inlineStr">
        <is>
          <t>物品名稱</t>
        </is>
      </c>
      <c r="B48" s="24" t="n"/>
      <c r="C48" s="25" t="n"/>
      <c r="D48" s="5" t="inlineStr">
        <is>
          <t>類型</t>
        </is>
      </c>
      <c r="E48" s="25" t="n"/>
      <c r="F48" s="5" t="inlineStr">
        <is>
          <t>稀有度</t>
        </is>
      </c>
      <c r="G48" s="5" t="inlineStr">
        <is>
          <t>充能（CHG）</t>
        </is>
      </c>
      <c r="H48" s="5" t="inlineStr">
        <is>
          <t>加裝一</t>
        </is>
      </c>
      <c r="I48" s="25" t="n"/>
      <c r="J48" s="5" t="inlineStr">
        <is>
          <t>加裝二</t>
        </is>
      </c>
      <c r="K48" s="24" t="n"/>
      <c r="L48" s="25" t="n"/>
    </row>
    <row r="49">
      <c r="A49" s="17" t="inlineStr">
        <is>
          <t>地圖殘頁（MAP）</t>
        </is>
      </c>
      <c r="B49" s="24" t="n"/>
      <c r="C49" s="25" t="n"/>
      <c r="D49" s="6" t="inlineStr">
        <is>
          <t>情報類</t>
        </is>
      </c>
      <c r="E49" s="25" t="n"/>
      <c r="F49" s="6" t="inlineStr">
        <is>
          <t>稀有</t>
        </is>
      </c>
      <c r="G49" s="6" t="n">
        <v>3</v>
      </c>
      <c r="H49" s="17" t="inlineStr">
        <is>
          <t>羅盤碎片</t>
        </is>
      </c>
      <c r="I49" s="25" t="n"/>
      <c r="J49" s="17" t="inlineStr"/>
      <c r="K49" s="24" t="n"/>
      <c r="L49" s="25" t="n"/>
    </row>
    <row r="50">
      <c r="A50" s="17" t="inlineStr">
        <is>
          <t>鑰匙（KEY）</t>
        </is>
      </c>
      <c r="B50" s="24" t="n"/>
      <c r="C50" s="25" t="n"/>
      <c r="D50" s="6" t="inlineStr">
        <is>
          <t>特殊類</t>
        </is>
      </c>
      <c r="E50" s="25" t="n"/>
      <c r="F50" s="6" t="inlineStr">
        <is>
          <t>非常稀有</t>
        </is>
      </c>
      <c r="G50" s="6" t="n">
        <v>2</v>
      </c>
      <c r="H50" s="17" t="inlineStr">
        <is>
          <t>染血指環</t>
        </is>
      </c>
      <c r="I50" s="25" t="n"/>
      <c r="J50" s="17" t="inlineStr"/>
      <c r="K50" s="24" t="n"/>
      <c r="L50" s="25" t="n"/>
    </row>
    <row r="51">
      <c r="A51" s="17" t="inlineStr"/>
      <c r="B51" s="24" t="n"/>
      <c r="C51" s="25" t="n"/>
      <c r="D51" s="6" t="inlineStr"/>
      <c r="E51" s="25" t="n"/>
      <c r="F51" s="6" t="inlineStr"/>
      <c r="G51" s="6" t="inlineStr"/>
      <c r="H51" s="17" t="inlineStr"/>
      <c r="I51" s="25" t="n"/>
      <c r="J51" s="17" t="inlineStr"/>
      <c r="K51" s="24" t="n"/>
      <c r="L51" s="25" t="n"/>
    </row>
    <row r="52">
      <c r="A52" s="17" t="inlineStr"/>
      <c r="B52" s="24" t="n"/>
      <c r="C52" s="25" t="n"/>
      <c r="D52" s="6" t="inlineStr"/>
      <c r="E52" s="25" t="n"/>
      <c r="F52" s="6" t="inlineStr"/>
      <c r="G52" s="6" t="inlineStr"/>
      <c r="H52" s="17" t="inlineStr"/>
      <c r="I52" s="25" t="n"/>
      <c r="J52" s="17" t="inlineStr"/>
      <c r="K52" s="24" t="n"/>
      <c r="L52" s="25" t="n"/>
    </row>
    <row r="53"/>
    <row r="54" ht="20" customHeight="1">
      <c r="A54" s="13" t="inlineStr">
        <is>
          <t>七、狀態效果（Status Effect）　勾選目前生效者，並記錄剩餘輪數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</row>
    <row r="55">
      <c r="A55" s="5" t="inlineStr">
        <is>
          <t>破碎（Broken）</t>
        </is>
      </c>
      <c r="B55" s="24" t="n"/>
      <c r="C55" s="25" t="n"/>
      <c r="D55" s="6" t="n"/>
      <c r="E55" s="5" t="inlineStr">
        <is>
          <t>深度創傷（Deep Wound）</t>
        </is>
      </c>
      <c r="F55" s="24" t="n"/>
      <c r="G55" s="25" t="n"/>
      <c r="H55" s="6" t="n"/>
      <c r="I55" s="5" t="inlineStr">
        <is>
          <t>耗竭（Exhausted）</t>
        </is>
      </c>
      <c r="J55" s="24" t="n"/>
      <c r="K55" s="25" t="n"/>
      <c r="L55" s="6" t="n"/>
    </row>
    <row r="56">
      <c r="A56" s="5" t="inlineStr">
        <is>
          <t>失明（Blindness）</t>
        </is>
      </c>
      <c r="B56" s="24" t="n"/>
      <c r="C56" s="25" t="n"/>
      <c r="D56" s="6" t="n"/>
      <c r="E56" s="5" t="inlineStr">
        <is>
          <t>出血（Haemorrhage）</t>
        </is>
      </c>
      <c r="F56" s="24" t="n"/>
      <c r="G56" s="25" t="n"/>
      <c r="H56" s="6" t="n"/>
      <c r="I56" s="5" t="inlineStr">
        <is>
          <t>堅韌（Endurance）</t>
        </is>
      </c>
      <c r="J56" s="24" t="n"/>
      <c r="K56" s="25" t="n"/>
      <c r="L56" s="6" t="n"/>
    </row>
    <row r="57">
      <c r="A57" s="5" t="inlineStr">
        <is>
          <t>加速（Haste）</t>
        </is>
      </c>
      <c r="B57" s="24" t="n"/>
      <c r="C57" s="25" t="n"/>
      <c r="D57" s="6" t="n"/>
      <c r="E57" s="5" t="inlineStr">
        <is>
          <t>阻礙（Hindered）</t>
        </is>
      </c>
      <c r="F57" s="24" t="n"/>
      <c r="G57" s="25" t="n"/>
      <c r="H57" s="6" t="n"/>
      <c r="I57" s="5" t="inlineStr">
        <is>
          <t>暴露（Exposed）</t>
        </is>
      </c>
      <c r="J57" s="24" t="n"/>
      <c r="K57" s="25" t="n"/>
      <c r="L57" s="6" t="n"/>
    </row>
    <row r="58">
      <c r="A58" s="5" t="inlineStr">
        <is>
          <t>撕裂（Mangled）</t>
        </is>
      </c>
      <c r="B58" s="24" t="n"/>
      <c r="C58" s="25" t="n"/>
      <c r="D58" s="6" t="n"/>
      <c r="E58" s="5" t="inlineStr">
        <is>
          <t>瘋狂（Madness）</t>
        </is>
      </c>
      <c r="F58" s="24" t="n"/>
      <c r="G58" s="25" t="n"/>
      <c r="H58" s="6" t="n"/>
      <c r="I58" s="5" t="inlineStr">
        <is>
          <t>顫慄（Trembling）</t>
        </is>
      </c>
      <c r="J58" s="24" t="n"/>
      <c r="K58" s="25" t="n"/>
      <c r="L58" s="6" t="n"/>
    </row>
    <row r="59"/>
    <row r="60" ht="20" customHeight="1">
      <c r="A60" s="13" t="inlineStr">
        <is>
          <t>八、背景與筆記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</row>
    <row r="61">
      <c r="A61" s="18" t="inlineStr">
        <is>
          <t>祁維安，三十四歲，中型物流公司的夜班調度主管。
他一輩子的工作就是把混亂的東西排成一列。倉庫失火那晚，他數完了最後一次人頭——十七個人，全出來了，只差他自己。濃煙把他推進了霧裡。他到現在還在數人頭，只是名單上的名字一直在換。
【獨行定位】號令者的三個專屬天賦有兩個涉及隊友。獨行試煉時，「同心結」與「代人受過」改以回聲同伴（Echo Companion）為對象；若場上無回聲同伴，兩者轉為獨行變體條款。原型特徵「統合視野」在獨行時額外揭露地窖（Hatch）方位。</t>
        </is>
      </c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2" t="n"/>
    </row>
    <row r="62">
      <c r="A62" s="33" t="n"/>
      <c r="L62" s="34" t="n"/>
    </row>
    <row r="63">
      <c r="A63" s="33" t="n"/>
      <c r="L63" s="34" t="n"/>
    </row>
    <row r="64">
      <c r="A64" s="33" t="n"/>
      <c r="L64" s="34" t="n"/>
    </row>
    <row r="65">
      <c r="A65" s="33" t="n"/>
      <c r="L65" s="34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7" t="n"/>
    </row>
  </sheetData>
  <mergeCells count="115">
    <mergeCell ref="B42:D42"/>
    <mergeCell ref="A15:B15"/>
    <mergeCell ref="G19:L19"/>
    <mergeCell ref="A46:L46"/>
    <mergeCell ref="I4:L4"/>
    <mergeCell ref="F43:L43"/>
    <mergeCell ref="J35:L35"/>
    <mergeCell ref="B44:D44"/>
    <mergeCell ref="J28:K28"/>
    <mergeCell ref="I56:K56"/>
    <mergeCell ref="D31:E31"/>
    <mergeCell ref="A26:C26"/>
    <mergeCell ref="A57:C57"/>
    <mergeCell ref="D37:F37"/>
    <mergeCell ref="G14:L14"/>
    <mergeCell ref="E57:G57"/>
    <mergeCell ref="J50:L50"/>
    <mergeCell ref="D48:E48"/>
    <mergeCell ref="H52:I52"/>
    <mergeCell ref="A52:C52"/>
    <mergeCell ref="J52:L52"/>
    <mergeCell ref="A61:L66"/>
    <mergeCell ref="E58:G58"/>
    <mergeCell ref="J48:L48"/>
    <mergeCell ref="A34:L34"/>
    <mergeCell ref="A35:B35"/>
    <mergeCell ref="F45:L45"/>
    <mergeCell ref="J38:L38"/>
    <mergeCell ref="A49:C49"/>
    <mergeCell ref="D51:E51"/>
    <mergeCell ref="A28:B28"/>
    <mergeCell ref="B43:D43"/>
    <mergeCell ref="A30:B30"/>
    <mergeCell ref="G10:L10"/>
    <mergeCell ref="G18:L18"/>
    <mergeCell ref="H50:I50"/>
    <mergeCell ref="A55:C55"/>
    <mergeCell ref="G38:H38"/>
    <mergeCell ref="A37:B37"/>
    <mergeCell ref="I6:L6"/>
    <mergeCell ref="H49:I49"/>
    <mergeCell ref="A2:C6"/>
    <mergeCell ref="G20:L20"/>
    <mergeCell ref="B45:D45"/>
    <mergeCell ref="G22:L22"/>
    <mergeCell ref="A58:C58"/>
    <mergeCell ref="E56:G56"/>
    <mergeCell ref="A40:L40"/>
    <mergeCell ref="G12:L12"/>
    <mergeCell ref="G21:L21"/>
    <mergeCell ref="A51:C51"/>
    <mergeCell ref="G35:H35"/>
    <mergeCell ref="A60:L60"/>
    <mergeCell ref="H48:I48"/>
    <mergeCell ref="D29:E29"/>
    <mergeCell ref="J37:L37"/>
    <mergeCell ref="G23:L23"/>
    <mergeCell ref="A16:L16"/>
    <mergeCell ref="J29:K29"/>
    <mergeCell ref="A36:B36"/>
    <mergeCell ref="A50:C50"/>
    <mergeCell ref="E2:G2"/>
    <mergeCell ref="I55:K55"/>
    <mergeCell ref="D52:E52"/>
    <mergeCell ref="D49:E49"/>
    <mergeCell ref="A47:L47"/>
    <mergeCell ref="G37:H37"/>
    <mergeCell ref="I2:L2"/>
    <mergeCell ref="G25:L25"/>
    <mergeCell ref="B41:D41"/>
    <mergeCell ref="G9:L9"/>
    <mergeCell ref="D35:F35"/>
    <mergeCell ref="A32:B32"/>
    <mergeCell ref="D28:E28"/>
    <mergeCell ref="G11:L11"/>
    <mergeCell ref="A38:B38"/>
    <mergeCell ref="D30:E30"/>
    <mergeCell ref="F41:L41"/>
    <mergeCell ref="G32:H32"/>
    <mergeCell ref="D36:F36"/>
    <mergeCell ref="I57:K57"/>
    <mergeCell ref="A54:L54"/>
    <mergeCell ref="A7:L7"/>
    <mergeCell ref="J49:L49"/>
    <mergeCell ref="J36:L36"/>
    <mergeCell ref="G13:L13"/>
    <mergeCell ref="A56:C56"/>
    <mergeCell ref="G36:H36"/>
    <mergeCell ref="I58:K58"/>
    <mergeCell ref="A27:L27"/>
    <mergeCell ref="G24:L24"/>
    <mergeCell ref="A33:L33"/>
    <mergeCell ref="F44:L44"/>
    <mergeCell ref="H51:I51"/>
    <mergeCell ref="A8:L8"/>
    <mergeCell ref="D32:E32"/>
    <mergeCell ref="G28:H28"/>
    <mergeCell ref="G26:L26"/>
    <mergeCell ref="J51:L51"/>
    <mergeCell ref="D38:F38"/>
    <mergeCell ref="G30:H30"/>
    <mergeCell ref="E3:G3"/>
    <mergeCell ref="F15:L15"/>
    <mergeCell ref="A48:C48"/>
    <mergeCell ref="F42:L42"/>
    <mergeCell ref="G29:H29"/>
    <mergeCell ref="E55:G55"/>
    <mergeCell ref="A29:B29"/>
    <mergeCell ref="I3:L3"/>
    <mergeCell ref="A1:L1"/>
    <mergeCell ref="G17:L17"/>
    <mergeCell ref="G31:H31"/>
    <mergeCell ref="D50:E50"/>
    <mergeCell ref="A31:B31"/>
    <mergeCell ref="I5:L5"/>
  </mergeCells>
  <dataValidations count="16">
    <dataValidation sqref="E3:G3" showDropDown="0" showInputMessage="0" showErrorMessage="0" allowBlank="1" type="list">
      <formula1>"號令者（LEA）,疾行者（SPR）,草藥師（HRB）,匠人（ART）,拾荒客（SCV）,退役兵（VET）"</formula1>
    </dataValidation>
    <dataValidation sqref="I3:L3" showDropDown="0" showInputMessage="0" showErrorMessage="0" allowBlank="1" type="list">
      <formula1>"機械師（REP）,守護者（RES）,幽影（STE）,磐石（END）,破襲手（SAB）,探路者（SCT）"</formula1>
    </dataValidation>
    <dataValidation sqref="L28:L29" showDropDown="0" showInputMessage="0" showErrorMessage="0" allowBlank="1" type="list">
      <formula1>"是,否"</formula1>
    </dataValidation>
    <dataValidation sqref="C35" showDropDown="0" showInputMessage="0" showErrorMessage="0" allowBlank="1" type="list">
      <formula1>"健康,受傷,瀕死"</formula1>
    </dataValidation>
    <dataValidation sqref="D55" showDropDown="0" showInputMessage="0" showErrorMessage="0" allowBlank="1" type="list">
      <formula1>",生效,1,2,3,4,5"</formula1>
    </dataValidation>
    <dataValidation sqref="H55" showDropDown="0" showInputMessage="0" showErrorMessage="0" allowBlank="1" type="list">
      <formula1>",生效,1,2,3,4,5"</formula1>
    </dataValidation>
    <dataValidation sqref="L55" showDropDown="0" showInputMessage="0" showErrorMessage="0" allowBlank="1" type="list">
      <formula1>",生效,1,2,3,4,5"</formula1>
    </dataValidation>
    <dataValidation sqref="D56" showDropDown="0" showInputMessage="0" showErrorMessage="0" allowBlank="1" type="list">
      <formula1>",生效,1,2,3,4,5"</formula1>
    </dataValidation>
    <dataValidation sqref="H56" showDropDown="0" showInputMessage="0" showErrorMessage="0" allowBlank="1" type="list">
      <formula1>",生效,1,2,3,4,5"</formula1>
    </dataValidation>
    <dataValidation sqref="L56" showDropDown="0" showInputMessage="0" showErrorMessage="0" allowBlank="1" type="list">
      <formula1>",生效,1,2,3,4,5"</formula1>
    </dataValidation>
    <dataValidation sqref="D57" showDropDown="0" showInputMessage="0" showErrorMessage="0" allowBlank="1" type="list">
      <formula1>",生效,1,2,3,4,5"</formula1>
    </dataValidation>
    <dataValidation sqref="H57" showDropDown="0" showInputMessage="0" showErrorMessage="0" allowBlank="1" type="list">
      <formula1>",生效,1,2,3,4,5"</formula1>
    </dataValidation>
    <dataValidation sqref="L57" showDropDown="0" showInputMessage="0" showErrorMessage="0" allowBlank="1" type="list">
      <formula1>",生效,1,2,3,4,5"</formula1>
    </dataValidation>
    <dataValidation sqref="D58" showDropDown="0" showInputMessage="0" showErrorMessage="0" allowBlank="1" type="list">
      <formula1>",生效,1,2,3,4,5"</formula1>
    </dataValidation>
    <dataValidation sqref="H58" showDropDown="0" showInputMessage="0" showErrorMessage="0" allowBlank="1" type="list">
      <formula1>",生效,1,2,3,4,5"</formula1>
    </dataValidation>
    <dataValidation sqref="L58" showDropDown="0" showInputMessage="0" showErrorMessage="0" allowBlank="1" type="list">
      <formula1>",生效,1,2,3,4,5"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66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8" customWidth="1" min="3" max="3"/>
    <col width="9" customWidth="1" min="4" max="4"/>
    <col width="9" customWidth="1" min="5" max="5"/>
    <col width="10" customWidth="1" min="6" max="6"/>
    <col width="9" customWidth="1" min="7" max="7"/>
    <col width="12" customWidth="1" min="8" max="8"/>
    <col width="11" customWidth="1" min="9" max="9"/>
    <col width="11" customWidth="1" min="10" max="10"/>
    <col width="11" customWidth="1" min="11" max="11"/>
    <col width="16" customWidth="1" min="12" max="12"/>
  </cols>
  <sheetData>
    <row r="1" ht="28" customHeight="1">
      <c r="A1" s="1" t="inlineStr">
        <is>
          <t>黎明殺機TRPG　倖存者角色卡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1" t="n"/>
    </row>
    <row r="2">
      <c r="A2" s="3" t="inlineStr">
        <is>
          <t>角色圖
（此區可貼入角色圖片）</t>
        </is>
      </c>
      <c r="B2" s="22" t="n"/>
      <c r="C2" s="23" t="n"/>
      <c r="D2" s="5" t="inlineStr">
        <is>
          <t>角色名稱</t>
        </is>
      </c>
      <c r="E2" s="6" t="inlineStr">
        <is>
          <t>岑野</t>
        </is>
      </c>
      <c r="F2" s="24" t="n"/>
      <c r="G2" s="25" t="n"/>
      <c r="H2" s="5" t="inlineStr">
        <is>
          <t>玩家</t>
        </is>
      </c>
      <c r="I2" s="6" t="inlineStr">
        <is>
          <t>範例</t>
        </is>
      </c>
      <c r="J2" s="24" t="n"/>
      <c r="K2" s="24" t="n"/>
      <c r="L2" s="25" t="n"/>
    </row>
    <row r="3">
      <c r="A3" s="26" t="n"/>
      <c r="C3" s="27" t="n"/>
      <c r="D3" s="5" t="inlineStr">
        <is>
          <t>原型</t>
        </is>
      </c>
      <c r="E3" s="6" t="inlineStr">
        <is>
          <t>拾荒客（SCV）</t>
        </is>
      </c>
      <c r="F3" s="24" t="n"/>
      <c r="G3" s="25" t="n"/>
      <c r="H3" s="5" t="inlineStr">
        <is>
          <t>求生專精</t>
        </is>
      </c>
      <c r="I3" s="6" t="inlineStr">
        <is>
          <t>破襲手（SAB）</t>
        </is>
      </c>
      <c r="J3" s="24" t="n"/>
      <c r="K3" s="24" t="n"/>
      <c r="L3" s="25" t="n"/>
    </row>
    <row r="4">
      <c r="A4" s="26" t="n"/>
      <c r="C4" s="27" t="n"/>
      <c r="D4" s="5" t="inlineStr">
        <is>
          <t>聲望等級（PRS）</t>
        </is>
      </c>
      <c r="E4" s="6" t="n">
        <v>6</v>
      </c>
      <c r="F4" s="5" t="inlineStr">
        <is>
          <t>玩家人數（N）</t>
        </is>
      </c>
      <c r="G4" s="6" t="n">
        <v>4</v>
      </c>
      <c r="H4" s="5" t="inlineStr">
        <is>
          <t>目前血點（BP）</t>
        </is>
      </c>
      <c r="I4" s="6" t="n">
        <v>35000</v>
      </c>
      <c r="J4" s="24" t="n"/>
      <c r="K4" s="24" t="n"/>
      <c r="L4" s="25" t="n"/>
    </row>
    <row r="5">
      <c r="A5" s="26" t="n"/>
      <c r="C5" s="27" t="n"/>
      <c r="D5" s="5" t="inlineStr">
        <is>
          <t>屬性點（ATP）</t>
        </is>
      </c>
      <c r="E5" s="8">
        <f>15+INT($E$4/2)</f>
        <v/>
      </c>
      <c r="F5" s="5" t="inlineStr">
        <is>
          <t>技能點（SKP）</t>
        </is>
      </c>
      <c r="G5" s="8">
        <f>2+$E$4</f>
        <v/>
      </c>
      <c r="H5" s="5" t="inlineStr">
        <is>
          <t>血點上限（BP_max）</t>
        </is>
      </c>
      <c r="I5" s="9">
        <f>20000+2000*($E$4-1)+200*($E$4-1)^2</f>
        <v/>
      </c>
      <c r="J5" s="24" t="n"/>
      <c r="K5" s="24" t="n"/>
      <c r="L5" s="25" t="n"/>
    </row>
    <row r="6">
      <c r="A6" s="28" t="n"/>
      <c r="B6" s="29" t="n"/>
      <c r="C6" s="30" t="n"/>
      <c r="D6" s="5" t="inlineStr">
        <is>
          <t>天賦欄位數（PERK）</t>
        </is>
      </c>
      <c r="E6" s="8">
        <f>1+($E$4&gt;=5)+($E$4&gt;=10)+($E$4&gt;=15)</f>
        <v/>
      </c>
      <c r="F6" s="5" t="inlineStr">
        <is>
          <t>希望點上限</t>
        </is>
      </c>
      <c r="G6" s="8">
        <f>2+INT($E$4/5)</f>
        <v/>
      </c>
      <c r="H6" s="5" t="inlineStr">
        <is>
          <t>目前希望點（HOP）</t>
        </is>
      </c>
      <c r="I6" s="6" t="n">
        <v>3</v>
      </c>
      <c r="J6" s="24" t="n"/>
      <c r="K6" s="24" t="n"/>
      <c r="L6" s="25" t="n"/>
    </row>
    <row r="7">
      <c r="A7" s="11" t="inlineStr">
        <is>
          <t>米黃色格＝公式自動計算，請勿手動輸入。白色格＝玩家填寫。「玩家人數（N）」只計玩家扮演的倖存者，回聲同伴（Echo Companion）不計入。</t>
        </is>
      </c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5" t="n"/>
    </row>
    <row r="8" ht="20" customHeight="1">
      <c r="A8" s="13" t="inlineStr">
        <is>
          <t>一、屬性（Attribute）　屬性值 1–10；屬性加值（AB）＝ INT(屬性值 ÷ 2)</t>
        </is>
      </c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5" t="n"/>
    </row>
    <row r="9">
      <c r="A9" s="5" t="inlineStr">
        <is>
          <t>屬性</t>
        </is>
      </c>
      <c r="B9" s="5" t="inlineStr">
        <is>
          <t>縮寫</t>
        </is>
      </c>
      <c r="C9" s="5" t="inlineStr">
        <is>
          <t>基礎值</t>
        </is>
      </c>
      <c r="D9" s="5" t="inlineStr">
        <is>
          <t>原型調整</t>
        </is>
      </c>
      <c r="E9" s="5" t="inlineStr">
        <is>
          <t>屬性值</t>
        </is>
      </c>
      <c r="F9" s="5" t="inlineStr">
        <is>
          <t>屬性加值（AB）</t>
        </is>
      </c>
      <c r="G9" s="5" t="inlineStr">
        <is>
          <t>用途</t>
        </is>
      </c>
      <c r="H9" s="24" t="n"/>
      <c r="I9" s="24" t="n"/>
      <c r="J9" s="24" t="n"/>
      <c r="K9" s="24" t="n"/>
      <c r="L9" s="25" t="n"/>
    </row>
    <row r="10">
      <c r="A10" s="16" t="inlineStr">
        <is>
          <t>敏捷</t>
        </is>
      </c>
      <c r="B10" s="16" t="inlineStr">
        <is>
          <t>AGI</t>
        </is>
      </c>
      <c r="C10" s="6" t="n">
        <v>4</v>
      </c>
      <c r="D10" s="6" t="n">
        <v>1</v>
      </c>
      <c r="E10" s="8">
        <f>C10+D10</f>
        <v/>
      </c>
      <c r="F10" s="8">
        <f>INT(E10/2)</f>
        <v/>
      </c>
      <c r="G10" s="17" t="inlineStr">
        <is>
          <t>翻窗、推板、閃避、掙扎。追逐生存的主軸。</t>
        </is>
      </c>
      <c r="H10" s="24" t="n"/>
      <c r="I10" s="24" t="n"/>
      <c r="J10" s="24" t="n"/>
      <c r="K10" s="24" t="n"/>
      <c r="L10" s="25" t="n"/>
    </row>
    <row r="11">
      <c r="A11" s="16" t="inlineStr">
        <is>
          <t>技巧</t>
        </is>
      </c>
      <c r="B11" s="16" t="inlineStr">
        <is>
          <t>TEC</t>
        </is>
      </c>
      <c r="C11" s="6" t="n">
        <v>4</v>
      </c>
      <c r="D11" s="6" t="n">
        <v>0</v>
      </c>
      <c r="E11" s="8">
        <f>C11+D11</f>
        <v/>
      </c>
      <c r="F11" s="8">
        <f>INT(E11/2)</f>
        <v/>
      </c>
      <c r="G11" s="17" t="inlineStr">
        <is>
          <t>發電機修理、拆陷阱、開寶箱。勝利條件的主軸。</t>
        </is>
      </c>
      <c r="H11" s="24" t="n"/>
      <c r="I11" s="24" t="n"/>
      <c r="J11" s="24" t="n"/>
      <c r="K11" s="24" t="n"/>
      <c r="L11" s="25" t="n"/>
    </row>
    <row r="12">
      <c r="A12" s="16" t="inlineStr">
        <is>
          <t>隱蔽</t>
        </is>
      </c>
      <c r="B12" s="16" t="inlineStr">
        <is>
          <t>STL</t>
        </is>
      </c>
      <c r="C12" s="6" t="n">
        <v>4</v>
      </c>
      <c r="D12" s="6" t="n">
        <v>2</v>
      </c>
      <c r="E12" s="8">
        <f>C12+D12</f>
        <v/>
      </c>
      <c r="F12" s="8">
        <f>INT(E12/2)</f>
        <v/>
      </c>
      <c r="G12" s="17" t="inlineStr">
        <is>
          <t>蹲行、躲櫃、消抓痕、對抗殺手追蹤。</t>
        </is>
      </c>
      <c r="H12" s="24" t="n"/>
      <c r="I12" s="24" t="n"/>
      <c r="J12" s="24" t="n"/>
      <c r="K12" s="24" t="n"/>
      <c r="L12" s="25" t="n"/>
    </row>
    <row r="13">
      <c r="A13" s="16" t="inlineStr">
        <is>
          <t>專注</t>
        </is>
      </c>
      <c r="B13" s="16" t="inlineStr">
        <is>
          <t>FOC</t>
        </is>
      </c>
      <c r="C13" s="6" t="n">
        <v>3</v>
      </c>
      <c r="D13" s="6" t="n">
        <v>0</v>
      </c>
      <c r="E13" s="8">
        <f>C13+D13</f>
        <v/>
      </c>
      <c r="F13" s="8">
        <f>INT(E13/2)</f>
        <v/>
      </c>
      <c r="G13" s="17" t="inlineStr">
        <is>
          <t>技巧檢定四態品質、救援時機、抗干擾、掛鉤自救。</t>
        </is>
      </c>
      <c r="H13" s="24" t="n"/>
      <c r="I13" s="24" t="n"/>
      <c r="J13" s="24" t="n"/>
      <c r="K13" s="24" t="n"/>
      <c r="L13" s="25" t="n"/>
    </row>
    <row r="14">
      <c r="A14" s="16" t="inlineStr">
        <is>
          <t>意志</t>
        </is>
      </c>
      <c r="B14" s="16" t="inlineStr">
        <is>
          <t>WIL</t>
        </is>
      </c>
      <c r="C14" s="6" t="n">
        <v>3</v>
      </c>
      <c r="D14" s="6" t="n">
        <v>0</v>
      </c>
      <c r="E14" s="8">
        <f>C14+D14</f>
        <v/>
      </c>
      <c r="F14" s="8">
        <f>INT(E14/2)</f>
        <v/>
      </c>
      <c r="G14" s="17" t="inlineStr">
        <is>
          <t>生命值上限、恐懼抵抗、掛鉤存活輪數、瀕死爬行。</t>
        </is>
      </c>
      <c r="H14" s="24" t="n"/>
      <c r="I14" s="24" t="n"/>
      <c r="J14" s="24" t="n"/>
      <c r="K14" s="24" t="n"/>
      <c r="L14" s="25" t="n"/>
    </row>
    <row r="15">
      <c r="A15" s="5" t="inlineStr">
        <is>
          <t>合計</t>
        </is>
      </c>
      <c r="B15" s="25" t="n"/>
      <c r="C15" s="8">
        <f>SUM(C10:C14)</f>
        <v/>
      </c>
      <c r="D15" s="5" t="inlineStr">
        <is>
          <t>尚可分配</t>
        </is>
      </c>
      <c r="E15" s="8">
        <f>$E$5-SUM(C10:C14)</f>
        <v/>
      </c>
      <c r="F15" s="11" t="inlineStr">
        <is>
          <t>創角時基礎值每項 1–5，合計須等於屬性點（ATP）。原型調整由所選原型帶入。</t>
        </is>
      </c>
      <c r="G15" s="24" t="n"/>
      <c r="H15" s="24" t="n"/>
      <c r="I15" s="24" t="n"/>
      <c r="J15" s="24" t="n"/>
      <c r="K15" s="24" t="n"/>
      <c r="L15" s="25" t="n"/>
    </row>
    <row r="16" ht="20" customHeight="1">
      <c r="A16" s="13" t="inlineStr">
        <is>
          <t>二、技能（Skill）　技能等級（SL）0–5；等級 0 且需專業時，該檢定額外 −2（未受訓）</t>
        </is>
      </c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5" t="n"/>
    </row>
    <row r="17">
      <c r="A17" s="5" t="inlineStr">
        <is>
          <t>技能</t>
        </is>
      </c>
      <c r="B17" s="5" t="inlineStr">
        <is>
          <t>縮寫</t>
        </is>
      </c>
      <c r="C17" s="5" t="inlineStr">
        <is>
          <t>對應屬性</t>
        </is>
      </c>
      <c r="D17" s="5" t="inlineStr">
        <is>
          <t>技能等級（SL）</t>
        </is>
      </c>
      <c r="E17" s="5" t="inlineStr">
        <is>
          <t>屬性加值（AB）</t>
        </is>
      </c>
      <c r="F17" s="5" t="inlineStr">
        <is>
          <t>檢定總修正</t>
        </is>
      </c>
      <c r="G17" s="5" t="inlineStr">
        <is>
          <t>用途</t>
        </is>
      </c>
      <c r="H17" s="24" t="n"/>
      <c r="I17" s="24" t="n"/>
      <c r="J17" s="24" t="n"/>
      <c r="K17" s="24" t="n"/>
      <c r="L17" s="25" t="n"/>
    </row>
    <row r="18">
      <c r="A18" s="16" t="inlineStr">
        <is>
          <t>機械維修</t>
        </is>
      </c>
      <c r="B18" s="16" t="inlineStr">
        <is>
          <t>MEC</t>
        </is>
      </c>
      <c r="C18" s="6" t="inlineStr">
        <is>
          <t>技巧（TEC）</t>
        </is>
      </c>
      <c r="D18" s="6" t="n">
        <v>2</v>
      </c>
      <c r="E18" s="8">
        <f>F11</f>
        <v/>
      </c>
      <c r="F18" s="8">
        <f>D18+E18-IF(D18=0,2,0)</f>
        <v/>
      </c>
      <c r="G18" s="17" t="inlineStr">
        <is>
          <t>發電機修理、逃生門開啟、破壞鉤子</t>
        </is>
      </c>
      <c r="H18" s="24" t="n"/>
      <c r="I18" s="24" t="n"/>
      <c r="J18" s="24" t="n"/>
      <c r="K18" s="24" t="n"/>
      <c r="L18" s="25" t="n"/>
    </row>
    <row r="19">
      <c r="A19" s="16" t="inlineStr">
        <is>
          <t>急救</t>
        </is>
      </c>
      <c r="B19" s="16" t="inlineStr">
        <is>
          <t>MED</t>
        </is>
      </c>
      <c r="C19" s="6" t="inlineStr">
        <is>
          <t>專注（FOC）</t>
        </is>
      </c>
      <c r="D19" s="6" t="n">
        <v>0</v>
      </c>
      <c r="E19" s="8">
        <f>F13</f>
        <v/>
      </c>
      <c r="F19" s="8">
        <f>D19+E19-IF(D19=0,2,0)</f>
        <v/>
      </c>
      <c r="G19" s="17" t="inlineStr">
        <is>
          <t>治療他人、自我治療、扶起瀕死者、止血</t>
        </is>
      </c>
      <c r="H19" s="24" t="n"/>
      <c r="I19" s="24" t="n"/>
      <c r="J19" s="24" t="n"/>
      <c r="K19" s="24" t="n"/>
      <c r="L19" s="25" t="n"/>
    </row>
    <row r="20">
      <c r="A20" s="16" t="inlineStr">
        <is>
          <t>潛行</t>
        </is>
      </c>
      <c r="B20" s="16" t="inlineStr">
        <is>
          <t>SNK</t>
        </is>
      </c>
      <c r="C20" s="6" t="inlineStr">
        <is>
          <t>隱蔽（STL）</t>
        </is>
      </c>
      <c r="D20" s="6" t="n">
        <v>3</v>
      </c>
      <c r="E20" s="8">
        <f>F12</f>
        <v/>
      </c>
      <c r="F20" s="8">
        <f>D20+E20-IF(D20=0,2,0)</f>
        <v/>
      </c>
      <c r="G20" s="17" t="inlineStr">
        <is>
          <t>蹲行、躲入櫃子、消除抓痕、對抗追蹤</t>
        </is>
      </c>
      <c r="H20" s="24" t="n"/>
      <c r="I20" s="24" t="n"/>
      <c r="J20" s="24" t="n"/>
      <c r="K20" s="24" t="n"/>
      <c r="L20" s="25" t="n"/>
    </row>
    <row r="21">
      <c r="A21" s="16" t="inlineStr">
        <is>
          <t>攀越</t>
        </is>
      </c>
      <c r="B21" s="16" t="inlineStr">
        <is>
          <t>PRK</t>
        </is>
      </c>
      <c r="C21" s="6" t="inlineStr">
        <is>
          <t>敏捷（AGI）</t>
        </is>
      </c>
      <c r="D21" s="6" t="n">
        <v>1</v>
      </c>
      <c r="E21" s="8">
        <f>F10</f>
        <v/>
      </c>
      <c r="F21" s="8">
        <f>D21+E21-IF(D21=0,2,0)</f>
        <v/>
      </c>
      <c r="G21" s="17" t="inlineStr">
        <is>
          <t>翻越窗戶、越過障礙、跳落、繞圈</t>
        </is>
      </c>
      <c r="H21" s="24" t="n"/>
      <c r="I21" s="24" t="n"/>
      <c r="J21" s="24" t="n"/>
      <c r="K21" s="24" t="n"/>
      <c r="L21" s="25" t="n"/>
    </row>
    <row r="22">
      <c r="A22" s="16" t="inlineStr">
        <is>
          <t>掙脫</t>
        </is>
      </c>
      <c r="B22" s="16" t="inlineStr">
        <is>
          <t>ESQ</t>
        </is>
      </c>
      <c r="C22" s="6" t="inlineStr">
        <is>
          <t>敏捷（AGI）</t>
        </is>
      </c>
      <c r="D22" s="6" t="n">
        <v>0</v>
      </c>
      <c r="E22" s="8">
        <f>F10</f>
        <v/>
      </c>
      <c r="F22" s="8">
        <f>D22+E22-IF(D22=0,2,0)</f>
        <v/>
      </c>
      <c r="G22" s="17" t="inlineStr">
        <is>
          <t>掙扎、脫離陷阱、掙脫抓握</t>
        </is>
      </c>
      <c r="H22" s="24" t="n"/>
      <c r="I22" s="24" t="n"/>
      <c r="J22" s="24" t="n"/>
      <c r="K22" s="24" t="n"/>
      <c r="L22" s="25" t="n"/>
    </row>
    <row r="23">
      <c r="A23" s="16" t="inlineStr">
        <is>
          <t>搜索</t>
        </is>
      </c>
      <c r="B23" s="16" t="inlineStr">
        <is>
          <t>SRC</t>
        </is>
      </c>
      <c r="C23" s="6" t="inlineStr">
        <is>
          <t>技巧（TEC）</t>
        </is>
      </c>
      <c r="D23" s="6" t="n">
        <v>2</v>
      </c>
      <c r="E23" s="8">
        <f>F11</f>
        <v/>
      </c>
      <c r="F23" s="8">
        <f>D23+E23-IF(D23=0,2,0)</f>
        <v/>
      </c>
      <c r="G23" s="17" t="inlineStr">
        <is>
          <t>開啟寶箱、尋找地窖、辨識圖騰</t>
        </is>
      </c>
      <c r="H23" s="24" t="n"/>
      <c r="I23" s="24" t="n"/>
      <c r="J23" s="24" t="n"/>
      <c r="K23" s="24" t="n"/>
      <c r="L23" s="25" t="n"/>
    </row>
    <row r="24">
      <c r="A24" s="16" t="inlineStr">
        <is>
          <t>堅忍</t>
        </is>
      </c>
      <c r="B24" s="16" t="inlineStr">
        <is>
          <t>END</t>
        </is>
      </c>
      <c r="C24" s="6" t="inlineStr">
        <is>
          <t>意志（WIL）</t>
        </is>
      </c>
      <c r="D24" s="6" t="n">
        <v>0</v>
      </c>
      <c r="E24" s="8">
        <f>F14</f>
        <v/>
      </c>
      <c r="F24" s="8">
        <f>D24+E24-IF(D24=0,2,0)</f>
        <v/>
      </c>
      <c r="G24" s="17" t="inlineStr">
        <is>
          <t>抗恐懼、撐掛鉤、抵抗狀態效果、瀕死爬行</t>
        </is>
      </c>
      <c r="H24" s="24" t="n"/>
      <c r="I24" s="24" t="n"/>
      <c r="J24" s="24" t="n"/>
      <c r="K24" s="24" t="n"/>
      <c r="L24" s="25" t="n"/>
    </row>
    <row r="25">
      <c r="A25" s="16" t="inlineStr">
        <is>
          <t>洞察</t>
        </is>
      </c>
      <c r="B25" s="16" t="inlineStr">
        <is>
          <t>INS</t>
        </is>
      </c>
      <c r="C25" s="6" t="inlineStr">
        <is>
          <t>專注（FOC）</t>
        </is>
      </c>
      <c r="D25" s="6" t="n">
        <v>0</v>
      </c>
      <c r="E25" s="8">
        <f>F13</f>
        <v/>
      </c>
      <c r="F25" s="8">
        <f>D25+E25-IF(D25=0,2,0)</f>
        <v/>
      </c>
      <c r="G25" s="17" t="inlineStr">
        <is>
          <t>讀取光環、預判殺手動向、判斷救援時機</t>
        </is>
      </c>
      <c r="H25" s="24" t="n"/>
      <c r="I25" s="24" t="n"/>
      <c r="J25" s="24" t="n"/>
      <c r="K25" s="24" t="n"/>
      <c r="L25" s="25" t="n"/>
    </row>
    <row r="26">
      <c r="A26" s="5" t="inlineStr">
        <is>
          <t>合計</t>
        </is>
      </c>
      <c r="B26" s="24" t="n"/>
      <c r="C26" s="25" t="n"/>
      <c r="D26" s="8">
        <f>SUM(D18:D25)</f>
        <v/>
      </c>
      <c r="E26" s="5" t="inlineStr">
        <is>
          <t>尚可分配</t>
        </is>
      </c>
      <c r="F26" s="8">
        <f>$G$5-SUM(D18:D25)</f>
        <v/>
      </c>
      <c r="G26" s="11" t="inlineStr">
        <is>
          <t>「檢定總修正」已內含未受訓 −2 懲罰；情境修正（SM）另計。</t>
        </is>
      </c>
      <c r="H26" s="24" t="n"/>
      <c r="I26" s="24" t="n"/>
      <c r="J26" s="24" t="n"/>
      <c r="K26" s="24" t="n"/>
      <c r="L26" s="25" t="n"/>
    </row>
    <row r="27" ht="20" customHeight="1">
      <c r="A27" s="13" t="inlineStr">
        <is>
          <t>三、衍生值（Derived Value）　全部自動計算</t>
        </is>
      </c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5" t="n"/>
    </row>
    <row r="28">
      <c r="A28" s="5" t="inlineStr">
        <is>
          <t>生命值上限（HP_max）</t>
        </is>
      </c>
      <c r="B28" s="25" t="n"/>
      <c r="C28" s="8">
        <f>8+2*$E$14+$E$4</f>
        <v/>
      </c>
      <c r="D28" s="5" t="inlineStr">
        <is>
          <t>生命狀態上限（HS_max）</t>
        </is>
      </c>
      <c r="E28" s="25" t="n"/>
      <c r="F28" s="8">
        <f>IF(L28="是",1,2)</f>
        <v/>
      </c>
      <c r="G28" s="5" t="inlineStr">
        <is>
          <t>行動點上限（AP_max）</t>
        </is>
      </c>
      <c r="H28" s="25" t="n"/>
      <c r="I28" s="8">
        <f>IF(L29="是",3,4)</f>
        <v/>
      </c>
      <c r="J28" s="5" t="inlineStr">
        <is>
          <t>破碎（Broken）狀態？</t>
        </is>
      </c>
      <c r="K28" s="25" t="n"/>
      <c r="L28" s="6" t="inlineStr">
        <is>
          <t>否</t>
        </is>
      </c>
    </row>
    <row r="29">
      <c r="A29" s="5" t="inlineStr">
        <is>
          <t>移動格數（MOV）</t>
        </is>
      </c>
      <c r="B29" s="25" t="n"/>
      <c r="C29" s="8">
        <f>6+INT($F$10/2)</f>
        <v/>
      </c>
      <c r="D29" s="5" t="inlineStr">
        <is>
          <t>衝刺格數（SPR）</t>
        </is>
      </c>
      <c r="E29" s="25" t="n"/>
      <c r="F29" s="8">
        <f>(6+INT($F$10/2))*2</f>
        <v/>
      </c>
      <c r="G29" s="5" t="inlineStr">
        <is>
          <t>修理效率（REP）</t>
        </is>
      </c>
      <c r="H29" s="25" t="n"/>
      <c r="I29" s="8">
        <f>$F$11+$D$18</f>
        <v/>
      </c>
      <c r="J29" s="5" t="inlineStr">
        <is>
          <t>目前處於追逐中？</t>
        </is>
      </c>
      <c r="K29" s="25" t="n"/>
      <c r="L29" s="6" t="inlineStr">
        <is>
          <t>否</t>
        </is>
      </c>
    </row>
    <row r="30">
      <c r="A30" s="5" t="inlineStr">
        <is>
          <t>治療效率（HEAL）</t>
        </is>
      </c>
      <c r="B30" s="25" t="n"/>
      <c r="C30" s="8">
        <f>$F$13+$D$19</f>
        <v/>
      </c>
      <c r="D30" s="5" t="inlineStr">
        <is>
          <t>被動隱蔽值（PSTL）</t>
        </is>
      </c>
      <c r="E30" s="25" t="n"/>
      <c r="F30" s="8">
        <f>8+$F$12+$D$20</f>
        <v/>
      </c>
      <c r="G30" s="5" t="inlineStr">
        <is>
          <t>被動感知值（PPER）</t>
        </is>
      </c>
      <c r="H30" s="25" t="n"/>
      <c r="I30" s="8">
        <f>8+$F$13+$D$25</f>
        <v/>
      </c>
    </row>
    <row r="31">
      <c r="A31" s="5" t="inlineStr">
        <is>
          <t>恐懼抗性（FRES）</t>
        </is>
      </c>
      <c r="B31" s="25" t="n"/>
      <c r="C31" s="8">
        <f>10+$F$14+$D$24</f>
        <v/>
      </c>
      <c r="D31" s="5" t="inlineStr">
        <is>
          <t>追逐檢定修正（CHS）</t>
        </is>
      </c>
      <c r="E31" s="25" t="n"/>
      <c r="F31" s="8">
        <f>$F$10+$D$21</f>
        <v/>
      </c>
      <c r="G31" s="5" t="inlineStr">
        <is>
          <t>掙扎檢定修正（WIG）</t>
        </is>
      </c>
      <c r="H31" s="25" t="n"/>
      <c r="I31" s="8">
        <f>$F$10+$D$22</f>
        <v/>
      </c>
    </row>
    <row r="32">
      <c r="A32" s="5" t="inlineStr">
        <is>
          <t>掛鉤存活輪數（HKS）</t>
        </is>
      </c>
      <c r="B32" s="25" t="n"/>
      <c r="C32" s="8">
        <f>(8-$G$4)+INT($F$14/2)</f>
        <v/>
      </c>
      <c r="D32" s="5" t="inlineStr">
        <is>
          <t>掛鉤自救難度等級（DC）</t>
        </is>
      </c>
      <c r="E32" s="25" t="n"/>
      <c r="F32" s="8">
        <f>20-(4-$G$4)</f>
        <v/>
      </c>
      <c r="G32" s="5" t="inlineStr">
        <is>
          <t>負重上限（LOAD）</t>
        </is>
      </c>
      <c r="H32" s="25" t="n"/>
      <c r="I32" s="8">
        <f>2+IF($E$3="匠人（ART）",1,0)</f>
        <v/>
      </c>
    </row>
    <row r="33">
      <c r="A33" s="11" t="inlineStr">
        <is>
          <t>行動點（AP）：非追逐狀態每輪 4 點，追逐中 3 點。生命狀態（HS）：健康 → 受傷 → 瀕死；破碎（Broken）狀態下完全無法被治療。</t>
        </is>
      </c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5" t="n"/>
    </row>
    <row r="34" ht="20" customHeight="1">
      <c r="A34" s="13" t="inlineStr">
        <is>
          <t>四、臨場追蹤（Trial Tracker）　每場試煉開始時清空</t>
        </is>
      </c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5" t="n"/>
    </row>
    <row r="35">
      <c r="A35" s="5" t="inlineStr">
        <is>
          <t>目前生命狀態</t>
        </is>
      </c>
      <c r="B35" s="25" t="n"/>
      <c r="C35" s="6" t="n"/>
      <c r="D35" s="17" t="inlineStr">
        <is>
          <t>健康 / 受傷 / 瀕死</t>
        </is>
      </c>
      <c r="E35" s="24" t="n"/>
      <c r="F35" s="25" t="n"/>
      <c r="G35" s="5" t="inlineStr">
        <is>
          <t>目前生命值（HP）</t>
        </is>
      </c>
      <c r="H35" s="25" t="n"/>
      <c r="I35" s="6" t="n"/>
      <c r="J35" s="17" t="inlineStr"/>
      <c r="K35" s="24" t="n"/>
      <c r="L35" s="25" t="n"/>
    </row>
    <row r="36">
      <c r="A36" s="5" t="inlineStr">
        <is>
          <t>本場掛鉤次數</t>
        </is>
      </c>
      <c r="B36" s="25" t="n"/>
      <c r="C36" s="6" t="n"/>
      <c r="D36" s="17" t="inlineStr">
        <is>
          <t>0 / 1 / 2（第三次＝獻祭）</t>
        </is>
      </c>
      <c r="E36" s="24" t="n"/>
      <c r="F36" s="25" t="n"/>
      <c r="G36" s="5" t="inlineStr">
        <is>
          <t>掛鉤階段計時</t>
        </is>
      </c>
      <c r="H36" s="25" t="n"/>
      <c r="I36" s="6" t="n"/>
      <c r="J36" s="17" t="inlineStr">
        <is>
          <t>輪</t>
        </is>
      </c>
      <c r="K36" s="24" t="n"/>
      <c r="L36" s="25" t="n"/>
    </row>
    <row r="37">
      <c r="A37" s="5" t="inlineStr">
        <is>
          <t>目前距離帶（DB）</t>
        </is>
      </c>
      <c r="B37" s="25" t="n"/>
      <c r="C37" s="6" t="n"/>
      <c r="D37" s="17" t="inlineStr">
        <is>
          <t>接觸／近距／中距／遠距／脫離</t>
        </is>
      </c>
      <c r="E37" s="24" t="n"/>
      <c r="F37" s="25" t="n"/>
      <c r="G37" s="5" t="inlineStr">
        <is>
          <t>連續追逐輪數</t>
        </is>
      </c>
      <c r="H37" s="25" t="n"/>
      <c r="I37" s="6" t="n"/>
      <c r="J37" s="17" t="inlineStr">
        <is>
          <t>供血怒（Bloodlust）判定</t>
        </is>
      </c>
      <c r="K37" s="24" t="n"/>
      <c r="L37" s="25" t="n"/>
    </row>
    <row r="38">
      <c r="A38" s="5" t="inlineStr">
        <is>
          <t>剩餘行動點（AP）</t>
        </is>
      </c>
      <c r="B38" s="25" t="n"/>
      <c r="C38" s="6" t="n"/>
      <c r="D38" s="17" t="inlineStr"/>
      <c r="E38" s="24" t="n"/>
      <c r="F38" s="25" t="n"/>
      <c r="G38" s="5" t="inlineStr">
        <is>
          <t>堅持獎勵（PB）輪數</t>
        </is>
      </c>
      <c r="H38" s="25" t="n"/>
      <c r="I38" s="6" t="n"/>
      <c r="J38" s="17" t="inlineStr">
        <is>
          <t>連續同一動作輪數 −1，上限 +3</t>
        </is>
      </c>
      <c r="K38" s="24" t="n"/>
      <c r="L38" s="25" t="n"/>
    </row>
    <row r="39"/>
    <row r="40" ht="20" customHeight="1">
      <c r="A40" s="13" t="inlineStr">
        <is>
          <t>五、天賦（Perk）　欄位數依聲望等級（PRS）開放：初始 1 格，聲望等級 5／10／15 各再開 1 格</t>
        </is>
      </c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5" t="n"/>
    </row>
    <row r="41">
      <c r="A41" s="5" t="inlineStr">
        <is>
          <t>欄位</t>
        </is>
      </c>
      <c r="B41" s="5" t="inlineStr">
        <is>
          <t>天賦名稱</t>
        </is>
      </c>
      <c r="C41" s="24" t="n"/>
      <c r="D41" s="25" t="n"/>
      <c r="E41" s="5" t="inlineStr">
        <is>
          <t>階級</t>
        </is>
      </c>
      <c r="F41" s="5" t="inlineStr">
        <is>
          <t>效果摘要</t>
        </is>
      </c>
      <c r="G41" s="24" t="n"/>
      <c r="H41" s="24" t="n"/>
      <c r="I41" s="24" t="n"/>
      <c r="J41" s="24" t="n"/>
      <c r="K41" s="24" t="n"/>
      <c r="L41" s="25" t="n"/>
    </row>
    <row r="42">
      <c r="A42" s="5" t="inlineStr">
        <is>
          <t>1｜初始</t>
        </is>
      </c>
      <c r="B42" s="17" t="inlineStr">
        <is>
          <t>順手牽羊（TALENT-S15）</t>
        </is>
      </c>
      <c r="C42" s="24" t="n"/>
      <c r="D42" s="25" t="n"/>
      <c r="E42" s="6" t="inlineStr">
        <is>
          <t>第二階</t>
        </is>
      </c>
      <c r="F42" s="17" t="inlineStr">
        <is>
          <t>搜索寶箱（Chest）時稀有度擲骰結果 +1 階；自動得知 4 個距離帶內所有寶箱與地上物品位置。</t>
        </is>
      </c>
      <c r="G42" s="24" t="n"/>
      <c r="H42" s="24" t="n"/>
      <c r="I42" s="24" t="n"/>
      <c r="J42" s="24" t="n"/>
      <c r="K42" s="24" t="n"/>
      <c r="L42" s="25" t="n"/>
    </row>
    <row r="43">
      <c r="A43" s="5" t="inlineStr">
        <is>
          <t>2｜聲望等級 5</t>
        </is>
      </c>
      <c r="B43" s="17" t="inlineStr">
        <is>
          <t>巷弄游擊（TALENT-S13）</t>
        </is>
      </c>
      <c r="C43" s="24" t="n"/>
      <c r="D43" s="25" t="n"/>
      <c r="E43" s="6" t="inlineStr">
        <is>
          <t>第一階</t>
        </is>
      </c>
      <c r="F43" s="17" t="inlineStr">
        <is>
          <t>在建物內或狹窄地形移動時不留下抓痕（Scratch Mark）。</t>
        </is>
      </c>
      <c r="G43" s="24" t="n"/>
      <c r="H43" s="24" t="n"/>
      <c r="I43" s="24" t="n"/>
      <c r="J43" s="24" t="n"/>
      <c r="K43" s="24" t="n"/>
      <c r="L43" s="25" t="n"/>
    </row>
    <row r="44">
      <c r="A44" s="5" t="inlineStr">
        <is>
          <t>3｜聲望等級 10</t>
        </is>
      </c>
      <c r="B44" s="17" t="inlineStr"/>
      <c r="C44" s="24" t="n"/>
      <c r="D44" s="25" t="n"/>
      <c r="E44" s="6" t="inlineStr"/>
      <c r="F44" s="17" t="inlineStr"/>
      <c r="G44" s="24" t="n"/>
      <c r="H44" s="24" t="n"/>
      <c r="I44" s="24" t="n"/>
      <c r="J44" s="24" t="n"/>
      <c r="K44" s="24" t="n"/>
      <c r="L44" s="25" t="n"/>
    </row>
    <row r="45">
      <c r="A45" s="5" t="inlineStr">
        <is>
          <t>4｜聲望等級 15</t>
        </is>
      </c>
      <c r="B45" s="17" t="inlineStr"/>
      <c r="C45" s="24" t="n"/>
      <c r="D45" s="25" t="n"/>
      <c r="E45" s="6" t="inlineStr"/>
      <c r="F45" s="17" t="inlineStr"/>
      <c r="G45" s="24" t="n"/>
      <c r="H45" s="24" t="n"/>
      <c r="I45" s="24" t="n"/>
      <c r="J45" s="24" t="n"/>
      <c r="K45" s="24" t="n"/>
      <c r="L45" s="25" t="n"/>
    </row>
    <row r="46">
      <c r="A46" s="11" t="inlineStr">
        <is>
          <t>天賦分三階：第一階（罕見）／第二階（稀有）／第三階（非常稀有），階級欄請填第一階／第二階／第三階。條目見《天賦圖鑑》。獨行試煉（配置一）中涉及隊友的天賦，改以回聲同伴（Echo Companion）為對象；若場上無回聲同伴，改用該天賦的獨行變體條款。</t>
        </is>
      </c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5" t="n"/>
    </row>
    <row r="47" ht="20" customHeight="1">
      <c r="A47" s="13" t="inlineStr">
        <is>
          <t>六、攜帶物品與加裝（Item &amp; Add-on）　負重（LOAD）上限見衍生值</t>
        </is>
      </c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5" t="n"/>
    </row>
    <row r="48">
      <c r="A48" s="5" t="inlineStr">
        <is>
          <t>物品名稱</t>
        </is>
      </c>
      <c r="B48" s="24" t="n"/>
      <c r="C48" s="25" t="n"/>
      <c r="D48" s="5" t="inlineStr">
        <is>
          <t>類型</t>
        </is>
      </c>
      <c r="E48" s="25" t="n"/>
      <c r="F48" s="5" t="inlineStr">
        <is>
          <t>稀有度</t>
        </is>
      </c>
      <c r="G48" s="5" t="inlineStr">
        <is>
          <t>充能（CHG）</t>
        </is>
      </c>
      <c r="H48" s="5" t="inlineStr">
        <is>
          <t>加裝一</t>
        </is>
      </c>
      <c r="I48" s="25" t="n"/>
      <c r="J48" s="5" t="inlineStr">
        <is>
          <t>加裝二</t>
        </is>
      </c>
      <c r="K48" s="24" t="n"/>
      <c r="L48" s="25" t="n"/>
    </row>
    <row r="49">
      <c r="A49" s="17" t="inlineStr">
        <is>
          <t>工具箱（TBX）</t>
        </is>
      </c>
      <c r="B49" s="24" t="n"/>
      <c r="C49" s="25" t="n"/>
      <c r="D49" s="6" t="inlineStr">
        <is>
          <t>修理類</t>
        </is>
      </c>
      <c r="E49" s="25" t="n"/>
      <c r="F49" s="6" t="inlineStr">
        <is>
          <t>稀有</t>
        </is>
      </c>
      <c r="G49" s="6" t="n">
        <v>10</v>
      </c>
      <c r="H49" s="17" t="inlineStr">
        <is>
          <t>電動起子</t>
        </is>
      </c>
      <c r="I49" s="25" t="n"/>
      <c r="J49" s="17" t="inlineStr"/>
      <c r="K49" s="24" t="n"/>
      <c r="L49" s="25" t="n"/>
    </row>
    <row r="50">
      <c r="A50" s="17" t="inlineStr">
        <is>
          <t>信號彈（FLR）</t>
        </is>
      </c>
      <c r="B50" s="24" t="n"/>
      <c r="C50" s="25" t="n"/>
      <c r="D50" s="6" t="inlineStr">
        <is>
          <t>特殊類</t>
        </is>
      </c>
      <c r="E50" s="25" t="n"/>
      <c r="F50" s="6" t="inlineStr">
        <is>
          <t>普通</t>
        </is>
      </c>
      <c r="G50" s="6" t="n">
        <v>1</v>
      </c>
      <c r="H50" s="17" t="inlineStr"/>
      <c r="I50" s="25" t="n"/>
      <c r="J50" s="17" t="inlineStr"/>
      <c r="K50" s="24" t="n"/>
      <c r="L50" s="25" t="n"/>
    </row>
    <row r="51">
      <c r="A51" s="17" t="inlineStr"/>
      <c r="B51" s="24" t="n"/>
      <c r="C51" s="25" t="n"/>
      <c r="D51" s="6" t="inlineStr"/>
      <c r="E51" s="25" t="n"/>
      <c r="F51" s="6" t="inlineStr"/>
      <c r="G51" s="6" t="inlineStr"/>
      <c r="H51" s="17" t="inlineStr"/>
      <c r="I51" s="25" t="n"/>
      <c r="J51" s="17" t="inlineStr"/>
      <c r="K51" s="24" t="n"/>
      <c r="L51" s="25" t="n"/>
    </row>
    <row r="52">
      <c r="A52" s="17" t="inlineStr"/>
      <c r="B52" s="24" t="n"/>
      <c r="C52" s="25" t="n"/>
      <c r="D52" s="6" t="inlineStr"/>
      <c r="E52" s="25" t="n"/>
      <c r="F52" s="6" t="inlineStr"/>
      <c r="G52" s="6" t="inlineStr"/>
      <c r="H52" s="17" t="inlineStr"/>
      <c r="I52" s="25" t="n"/>
      <c r="J52" s="17" t="inlineStr"/>
      <c r="K52" s="24" t="n"/>
      <c r="L52" s="25" t="n"/>
    </row>
    <row r="53"/>
    <row r="54" ht="20" customHeight="1">
      <c r="A54" s="13" t="inlineStr">
        <is>
          <t>七、狀態效果（Status Effect）　勾選目前生效者，並記錄剩餘輪數</t>
        </is>
      </c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5" t="n"/>
    </row>
    <row r="55">
      <c r="A55" s="5" t="inlineStr">
        <is>
          <t>破碎（Broken）</t>
        </is>
      </c>
      <c r="B55" s="24" t="n"/>
      <c r="C55" s="25" t="n"/>
      <c r="D55" s="6" t="n"/>
      <c r="E55" s="5" t="inlineStr">
        <is>
          <t>深度創傷（Deep Wound）</t>
        </is>
      </c>
      <c r="F55" s="24" t="n"/>
      <c r="G55" s="25" t="n"/>
      <c r="H55" s="6" t="n"/>
      <c r="I55" s="5" t="inlineStr">
        <is>
          <t>耗竭（Exhausted）</t>
        </is>
      </c>
      <c r="J55" s="24" t="n"/>
      <c r="K55" s="25" t="n"/>
      <c r="L55" s="6" t="n"/>
    </row>
    <row r="56">
      <c r="A56" s="5" t="inlineStr">
        <is>
          <t>失明（Blindness）</t>
        </is>
      </c>
      <c r="B56" s="24" t="n"/>
      <c r="C56" s="25" t="n"/>
      <c r="D56" s="6" t="n"/>
      <c r="E56" s="5" t="inlineStr">
        <is>
          <t>出血（Haemorrhage）</t>
        </is>
      </c>
      <c r="F56" s="24" t="n"/>
      <c r="G56" s="25" t="n"/>
      <c r="H56" s="6" t="n"/>
      <c r="I56" s="5" t="inlineStr">
        <is>
          <t>堅韌（Endurance）</t>
        </is>
      </c>
      <c r="J56" s="24" t="n"/>
      <c r="K56" s="25" t="n"/>
      <c r="L56" s="6" t="n"/>
    </row>
    <row r="57">
      <c r="A57" s="5" t="inlineStr">
        <is>
          <t>加速（Haste）</t>
        </is>
      </c>
      <c r="B57" s="24" t="n"/>
      <c r="C57" s="25" t="n"/>
      <c r="D57" s="6" t="n"/>
      <c r="E57" s="5" t="inlineStr">
        <is>
          <t>阻礙（Hindered）</t>
        </is>
      </c>
      <c r="F57" s="24" t="n"/>
      <c r="G57" s="25" t="n"/>
      <c r="H57" s="6" t="n"/>
      <c r="I57" s="5" t="inlineStr">
        <is>
          <t>暴露（Exposed）</t>
        </is>
      </c>
      <c r="J57" s="24" t="n"/>
      <c r="K57" s="25" t="n"/>
      <c r="L57" s="6" t="n"/>
    </row>
    <row r="58">
      <c r="A58" s="5" t="inlineStr">
        <is>
          <t>撕裂（Mangled）</t>
        </is>
      </c>
      <c r="B58" s="24" t="n"/>
      <c r="C58" s="25" t="n"/>
      <c r="D58" s="6" t="n"/>
      <c r="E58" s="5" t="inlineStr">
        <is>
          <t>瘋狂（Madness）</t>
        </is>
      </c>
      <c r="F58" s="24" t="n"/>
      <c r="G58" s="25" t="n"/>
      <c r="H58" s="6" t="n"/>
      <c r="I58" s="5" t="inlineStr">
        <is>
          <t>顫慄（Trembling）</t>
        </is>
      </c>
      <c r="J58" s="24" t="n"/>
      <c r="K58" s="25" t="n"/>
      <c r="L58" s="6" t="n"/>
    </row>
    <row r="59"/>
    <row r="60" ht="20" customHeight="1">
      <c r="A60" s="13" t="inlineStr">
        <is>
          <t>八、背景與筆記</t>
        </is>
      </c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5" t="n"/>
    </row>
    <row r="61">
      <c r="A61" s="18" t="inlineStr">
        <is>
          <t>岑野，二十六歲，無固定住所，靠拆解廢棄物變賣維生。
他從十五歲起就沒有睡在同一個地方兩次。他有一套判斷「哪裡安全」的本能，準確率高到讓社工覺得詭異。進試煉的第一晚，這套本能告訴他：這裡沒有一個地方是安全的。他還是活下來了，靠的是第二套本能——判斷「哪裡比較不危險」。
【獨行定位】被動隱蔽值（PSTL）達 14，是全原型最高。「順手牽羊」在獨行試煉下額外重要——獨行沒有隊友分享物品，寶箱產出即全部補給。</t>
        </is>
      </c>
      <c r="B61" s="31" t="n"/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2" t="n"/>
    </row>
    <row r="62">
      <c r="A62" s="33" t="n"/>
      <c r="L62" s="34" t="n"/>
    </row>
    <row r="63">
      <c r="A63" s="33" t="n"/>
      <c r="L63" s="34" t="n"/>
    </row>
    <row r="64">
      <c r="A64" s="33" t="n"/>
      <c r="L64" s="34" t="n"/>
    </row>
    <row r="65">
      <c r="A65" s="33" t="n"/>
      <c r="L65" s="34" t="n"/>
    </row>
    <row r="66">
      <c r="A66" s="35" t="n"/>
      <c r="B66" s="36" t="n"/>
      <c r="C66" s="36" t="n"/>
      <c r="D66" s="36" t="n"/>
      <c r="E66" s="36" t="n"/>
      <c r="F66" s="36" t="n"/>
      <c r="G66" s="36" t="n"/>
      <c r="H66" s="36" t="n"/>
      <c r="I66" s="36" t="n"/>
      <c r="J66" s="36" t="n"/>
      <c r="K66" s="36" t="n"/>
      <c r="L66" s="37" t="n"/>
    </row>
  </sheetData>
  <mergeCells count="115">
    <mergeCell ref="B42:D42"/>
    <mergeCell ref="A15:B15"/>
    <mergeCell ref="G19:L19"/>
    <mergeCell ref="A46:L46"/>
    <mergeCell ref="I4:L4"/>
    <mergeCell ref="F43:L43"/>
    <mergeCell ref="J35:L35"/>
    <mergeCell ref="B44:D44"/>
    <mergeCell ref="J28:K28"/>
    <mergeCell ref="I56:K56"/>
    <mergeCell ref="D31:E31"/>
    <mergeCell ref="A26:C26"/>
    <mergeCell ref="A57:C57"/>
    <mergeCell ref="D37:F37"/>
    <mergeCell ref="G14:L14"/>
    <mergeCell ref="E57:G57"/>
    <mergeCell ref="J50:L50"/>
    <mergeCell ref="D48:E48"/>
    <mergeCell ref="H52:I52"/>
    <mergeCell ref="A52:C52"/>
    <mergeCell ref="J52:L52"/>
    <mergeCell ref="A61:L66"/>
    <mergeCell ref="E58:G58"/>
    <mergeCell ref="J48:L48"/>
    <mergeCell ref="A34:L34"/>
    <mergeCell ref="A35:B35"/>
    <mergeCell ref="F45:L45"/>
    <mergeCell ref="J38:L38"/>
    <mergeCell ref="A49:C49"/>
    <mergeCell ref="D51:E51"/>
    <mergeCell ref="A28:B28"/>
    <mergeCell ref="B43:D43"/>
    <mergeCell ref="A30:B30"/>
    <mergeCell ref="G10:L10"/>
    <mergeCell ref="G18:L18"/>
    <mergeCell ref="H50:I50"/>
    <mergeCell ref="A55:C55"/>
    <mergeCell ref="G38:H38"/>
    <mergeCell ref="A37:B37"/>
    <mergeCell ref="I6:L6"/>
    <mergeCell ref="H49:I49"/>
    <mergeCell ref="A2:C6"/>
    <mergeCell ref="G20:L20"/>
    <mergeCell ref="B45:D45"/>
    <mergeCell ref="G22:L22"/>
    <mergeCell ref="A58:C58"/>
    <mergeCell ref="E56:G56"/>
    <mergeCell ref="A40:L40"/>
    <mergeCell ref="G12:L12"/>
    <mergeCell ref="G21:L21"/>
    <mergeCell ref="A51:C51"/>
    <mergeCell ref="G35:H35"/>
    <mergeCell ref="A60:L60"/>
    <mergeCell ref="H48:I48"/>
    <mergeCell ref="D29:E29"/>
    <mergeCell ref="J37:L37"/>
    <mergeCell ref="G23:L23"/>
    <mergeCell ref="A16:L16"/>
    <mergeCell ref="J29:K29"/>
    <mergeCell ref="A36:B36"/>
    <mergeCell ref="A50:C50"/>
    <mergeCell ref="E2:G2"/>
    <mergeCell ref="I55:K55"/>
    <mergeCell ref="D52:E52"/>
    <mergeCell ref="D49:E49"/>
    <mergeCell ref="A47:L47"/>
    <mergeCell ref="G37:H37"/>
    <mergeCell ref="I2:L2"/>
    <mergeCell ref="G25:L25"/>
    <mergeCell ref="B41:D41"/>
    <mergeCell ref="G9:L9"/>
    <mergeCell ref="D35:F35"/>
    <mergeCell ref="A32:B32"/>
    <mergeCell ref="D28:E28"/>
    <mergeCell ref="G11:L11"/>
    <mergeCell ref="A38:B38"/>
    <mergeCell ref="D30:E30"/>
    <mergeCell ref="F41:L41"/>
    <mergeCell ref="G32:H32"/>
    <mergeCell ref="D36:F36"/>
    <mergeCell ref="I57:K57"/>
    <mergeCell ref="A54:L54"/>
    <mergeCell ref="A7:L7"/>
    <mergeCell ref="J49:L49"/>
    <mergeCell ref="J36:L36"/>
    <mergeCell ref="G13:L13"/>
    <mergeCell ref="A56:C56"/>
    <mergeCell ref="G36:H36"/>
    <mergeCell ref="I58:K58"/>
    <mergeCell ref="A27:L27"/>
    <mergeCell ref="G24:L24"/>
    <mergeCell ref="A33:L33"/>
    <mergeCell ref="F44:L44"/>
    <mergeCell ref="H51:I51"/>
    <mergeCell ref="A8:L8"/>
    <mergeCell ref="D32:E32"/>
    <mergeCell ref="G28:H28"/>
    <mergeCell ref="G26:L26"/>
    <mergeCell ref="J51:L51"/>
    <mergeCell ref="D38:F38"/>
    <mergeCell ref="G30:H30"/>
    <mergeCell ref="E3:G3"/>
    <mergeCell ref="F15:L15"/>
    <mergeCell ref="A48:C48"/>
    <mergeCell ref="F42:L42"/>
    <mergeCell ref="G29:H29"/>
    <mergeCell ref="E55:G55"/>
    <mergeCell ref="A29:B29"/>
    <mergeCell ref="I3:L3"/>
    <mergeCell ref="A1:L1"/>
    <mergeCell ref="G17:L17"/>
    <mergeCell ref="G31:H31"/>
    <mergeCell ref="D50:E50"/>
    <mergeCell ref="A31:B31"/>
    <mergeCell ref="I5:L5"/>
  </mergeCells>
  <dataValidations count="16">
    <dataValidation sqref="E3:G3" showDropDown="0" showInputMessage="0" showErrorMessage="0" allowBlank="1" type="list">
      <formula1>"號令者（LEA）,疾行者（SPR）,草藥師（HRB）,匠人（ART）,拾荒客（SCV）,退役兵（VET）"</formula1>
    </dataValidation>
    <dataValidation sqref="I3:L3" showDropDown="0" showInputMessage="0" showErrorMessage="0" allowBlank="1" type="list">
      <formula1>"機械師（REP）,守護者（RES）,幽影（STE）,磐石（END）,破襲手（SAB）,探路者（SCT）"</formula1>
    </dataValidation>
    <dataValidation sqref="L28:L29" showDropDown="0" showInputMessage="0" showErrorMessage="0" allowBlank="1" type="list">
      <formula1>"是,否"</formula1>
    </dataValidation>
    <dataValidation sqref="C35" showDropDown="0" showInputMessage="0" showErrorMessage="0" allowBlank="1" type="list">
      <formula1>"健康,受傷,瀕死"</formula1>
    </dataValidation>
    <dataValidation sqref="D55" showDropDown="0" showInputMessage="0" showErrorMessage="0" allowBlank="1" type="list">
      <formula1>",生效,1,2,3,4,5"</formula1>
    </dataValidation>
    <dataValidation sqref="H55" showDropDown="0" showInputMessage="0" showErrorMessage="0" allowBlank="1" type="list">
      <formula1>",生效,1,2,3,4,5"</formula1>
    </dataValidation>
    <dataValidation sqref="L55" showDropDown="0" showInputMessage="0" showErrorMessage="0" allowBlank="1" type="list">
      <formula1>",生效,1,2,3,4,5"</formula1>
    </dataValidation>
    <dataValidation sqref="D56" showDropDown="0" showInputMessage="0" showErrorMessage="0" allowBlank="1" type="list">
      <formula1>",生效,1,2,3,4,5"</formula1>
    </dataValidation>
    <dataValidation sqref="H56" showDropDown="0" showInputMessage="0" showErrorMessage="0" allowBlank="1" type="list">
      <formula1>",生效,1,2,3,4,5"</formula1>
    </dataValidation>
    <dataValidation sqref="L56" showDropDown="0" showInputMessage="0" showErrorMessage="0" allowBlank="1" type="list">
      <formula1>",生效,1,2,3,4,5"</formula1>
    </dataValidation>
    <dataValidation sqref="D57" showDropDown="0" showInputMessage="0" showErrorMessage="0" allowBlank="1" type="list">
      <formula1>",生效,1,2,3,4,5"</formula1>
    </dataValidation>
    <dataValidation sqref="H57" showDropDown="0" showInputMessage="0" showErrorMessage="0" allowBlank="1" type="list">
      <formula1>",生效,1,2,3,4,5"</formula1>
    </dataValidation>
    <dataValidation sqref="L57" showDropDown="0" showInputMessage="0" showErrorMessage="0" allowBlank="1" type="list">
      <formula1>",生效,1,2,3,4,5"</formula1>
    </dataValidation>
    <dataValidation sqref="D58" showDropDown="0" showInputMessage="0" showErrorMessage="0" allowBlank="1" type="list">
      <formula1>",生效,1,2,3,4,5"</formula1>
    </dataValidation>
    <dataValidation sqref="H58" showDropDown="0" showInputMessage="0" showErrorMessage="0" allowBlank="1" type="list">
      <formula1>",生效,1,2,3,4,5"</formula1>
    </dataValidation>
    <dataValidation sqref="L58" showDropDown="0" showInputMessage="0" showErrorMessage="0" allowBlank="1" type="list">
      <formula1>",生效,1,2,3,4,5"</formula1>
    </dataValidation>
  </dataValidations>
  <printOptions horizontalCentered="1"/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2026-08-01T19:18:30Z</dcterms:created>
  <dcterms:modified xsi:type="dcterms:W3CDTF">2026-08-02T12:11:54Z</dcterms:modified>
</cp:coreProperties>
</file>