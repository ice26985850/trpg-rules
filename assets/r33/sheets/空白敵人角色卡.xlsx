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殺手化身（空白）" sheetId="1" state="visible" r:id="rId1"/>
    <sheet name="領域造物（空白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FFFFFF"/>
      <sz val="11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</fonts>
  <fills count="12">
    <fill>
      <patternFill/>
    </fill>
    <fill>
      <patternFill patternType="gray125"/>
    </fill>
    <fill>
      <patternFill patternType="solid">
        <fgColor rgb="005E2733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5A6B7C"/>
      </patternFill>
    </fill>
    <fill>
      <patternFill patternType="solid">
        <fgColor rgb="00FCE4EC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3E4A2E"/>
      </patternFill>
    </fill>
    <fill>
      <patternFill patternType="solid">
        <fgColor rgb="00E6EAD9"/>
      </patternFill>
    </fill>
  </fills>
  <borders count="3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4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7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4" fillId="5" borderId="2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2" applyAlignment="1" pivotButton="0" quotePrefix="0" xfId="0">
      <alignment horizontal="center" vertical="center" wrapText="1"/>
    </xf>
    <xf numFmtId="0" fontId="0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化身名稱</t>
        </is>
      </c>
      <c r="E2" s="6" t="n"/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化身縮寫</t>
        </is>
      </c>
      <c r="E3" s="8" t="n"/>
      <c r="F3" s="5" t="inlineStr">
        <is>
          <t>本名</t>
        </is>
      </c>
      <c r="G3" s="6" t="n"/>
      <c r="H3" s="7" t="n"/>
      <c r="I3" s="7" t="n"/>
    </row>
    <row r="4">
      <c r="A4" s="4" t="n"/>
      <c r="B4" s="4" t="n"/>
      <c r="C4" s="4" t="n"/>
      <c r="D4" s="5" t="inlineStr">
        <is>
          <t>主場領域</t>
        </is>
      </c>
      <c r="E4" s="6" t="n"/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力量類型</t>
        </is>
      </c>
      <c r="E5" s="8" t="n"/>
      <c r="F5" s="7" t="n"/>
      <c r="G5" s="5" t="inlineStr">
        <is>
          <t>屬性傾向</t>
        </is>
      </c>
      <c r="H5" s="6" t="n"/>
      <c r="I5" s="7" t="n"/>
    </row>
    <row r="6" ht="20" customHeight="1">
      <c r="A6" s="9" t="inlineStr">
        <is>
          <t>一　試煉面板（灰底填寫，米黃底自動計算）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5" t="inlineStr">
        <is>
          <t>聲望等級（PRS）</t>
        </is>
      </c>
      <c r="B7" s="11" t="n"/>
      <c r="C7" s="8" t="n"/>
      <c r="D7" s="5" t="inlineStr">
        <is>
          <t>倖存者玩家人數 N</t>
        </is>
      </c>
      <c r="E7" s="11" t="n"/>
      <c r="F7" s="8" t="n"/>
      <c r="G7" s="5" t="inlineStr">
        <is>
          <t>化身危險係數（AVM）</t>
        </is>
      </c>
      <c r="H7" s="11" t="n"/>
      <c r="I7" s="8" t="n"/>
    </row>
    <row r="8">
      <c r="A8" s="12" t="inlineStr">
        <is>
          <t>挑戰等級（CR）</t>
        </is>
      </c>
      <c r="B8" s="13" t="n"/>
      <c r="C8" s="13" t="n"/>
      <c r="D8" s="14">
        <f>IF($C$7="","",$C$7+$I$7)</f>
        <v/>
      </c>
      <c r="E8" s="15" t="n"/>
      <c r="F8" s="6" t="inlineStr">
        <is>
          <t>聲望等級（PRS）＋ 化身危險係數（AVM）</t>
        </is>
      </c>
      <c r="G8" s="7" t="n"/>
      <c r="H8" s="7" t="n"/>
      <c r="I8" s="7" t="n"/>
    </row>
    <row r="9">
      <c r="A9" s="12" t="inlineStr">
        <is>
          <t>壓迫值（PRE）上限</t>
        </is>
      </c>
      <c r="B9" s="13" t="n"/>
      <c r="C9" s="13" t="n"/>
      <c r="D9" s="14">
        <f>IF(OR($C$7="",$F$7=""),"",4+2*$F$7+INT($C$7/4))</f>
        <v/>
      </c>
      <c r="E9" s="15" t="n"/>
      <c r="F9" s="6" t="inlineStr">
        <is>
          <t>4 ＋ 2×N ＋ INT(聲望等級（PRS）÷ 4)</t>
        </is>
      </c>
      <c r="G9" s="7" t="n"/>
      <c r="H9" s="7" t="n"/>
      <c r="I9" s="7" t="n"/>
    </row>
    <row r="10">
      <c r="A10" s="12" t="inlineStr">
        <is>
          <t>壓迫值（PRE）每輪回復</t>
        </is>
      </c>
      <c r="B10" s="13" t="n"/>
      <c r="C10" s="13" t="n"/>
      <c r="D10" s="14">
        <f>IF($F$7="","",2+INT($F$7/2))</f>
        <v/>
      </c>
      <c r="E10" s="15" t="n"/>
      <c r="F10" s="6" t="inlineStr">
        <is>
          <t>2 ＋ INT(N ÷ 2)</t>
        </is>
      </c>
      <c r="G10" s="7" t="n"/>
      <c r="H10" s="7" t="n"/>
      <c r="I10" s="7" t="n"/>
    </row>
    <row r="11">
      <c r="A11" s="12" t="inlineStr">
        <is>
          <t>行動點（AP）／輪</t>
        </is>
      </c>
      <c r="B11" s="13" t="n"/>
      <c r="C11" s="13" t="n"/>
      <c r="D11" s="14">
        <f>4</f>
        <v/>
      </c>
      <c r="E11" s="15" t="n"/>
      <c r="F11" s="6" t="inlineStr">
        <is>
          <t>殺手固定 4 點，壓迫值（PRE）為獨立資源池</t>
        </is>
      </c>
      <c r="G11" s="7" t="n"/>
      <c r="H11" s="7" t="n"/>
      <c r="I11" s="7" t="n"/>
    </row>
    <row r="12">
      <c r="A12" s="12" t="inlineStr">
        <is>
          <t>掛鉤階段輪數</t>
        </is>
      </c>
      <c r="B12" s="13" t="n"/>
      <c r="C12" s="13" t="n"/>
      <c r="D12" s="14">
        <f>IF($F$7="","",8-$F$7)</f>
        <v/>
      </c>
      <c r="E12" s="15" t="n"/>
      <c r="F12" s="6" t="inlineStr">
        <is>
          <t>8 − N。每階段結束推進一階，第二階段結束即獻祭</t>
        </is>
      </c>
      <c r="G12" s="7" t="n"/>
      <c r="H12" s="7" t="n"/>
      <c r="I12" s="7" t="n"/>
    </row>
    <row r="13">
      <c r="A13" s="12" t="inlineStr">
        <is>
          <t>終局崩塌（Endgame Collapse）輪數</t>
        </is>
      </c>
      <c r="B13" s="13" t="n"/>
      <c r="C13" s="13" t="n"/>
      <c r="D13" s="14">
        <f>IF($F$7="","",14-2*$F$7)</f>
        <v/>
      </c>
      <c r="E13" s="15" t="n"/>
      <c r="F13" s="6" t="inlineStr">
        <is>
          <t>14 − 2×N。最後一台發電機完成後開始倒數</t>
        </is>
      </c>
      <c r="G13" s="7" t="n"/>
      <c r="H13" s="7" t="n"/>
      <c r="I13" s="7" t="n"/>
    </row>
    <row r="14" ht="30" customHeight="1">
      <c r="A14" s="12" t="inlineStr">
        <is>
          <t>恐怖半徑（TR）</t>
        </is>
      </c>
      <c r="B14" s="13" t="n"/>
      <c r="C14" s="8" t="n"/>
      <c r="D14" s="5" t="inlineStr">
        <is>
          <t>格　→　公尺</t>
        </is>
      </c>
      <c r="E14" s="14">
        <f>IF(C14="","",C14*2)</f>
        <v/>
      </c>
      <c r="F14" s="6" t="inlineStr"/>
      <c r="G14" s="7" t="n"/>
      <c r="H14" s="7" t="n"/>
      <c r="I14" s="7" t="n"/>
    </row>
    <row r="15" ht="30" customHeight="1">
      <c r="A15" s="12" t="inlineStr">
        <is>
          <t>移動等級（MOV）</t>
        </is>
      </c>
      <c r="B15" s="13" t="n"/>
      <c r="C15" s="8" t="n"/>
      <c r="D15" s="5" t="inlineStr">
        <is>
          <t>格／輪</t>
        </is>
      </c>
      <c r="E15" s="8" t="n"/>
      <c r="F15" s="6" t="inlineStr"/>
      <c r="G15" s="7" t="n"/>
      <c r="H15" s="7" t="n"/>
      <c r="I15" s="7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20" customHeight="1">
      <c r="A17" s="9" t="inlineStr">
        <is>
          <t>二　屬性與技能（三基準對照）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30" customHeight="1">
      <c r="A18" s="5" t="inlineStr">
        <is>
          <t>屬性／技能</t>
        </is>
      </c>
      <c r="B18" s="11" t="n"/>
      <c r="C18" s="11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11" t="n"/>
    </row>
    <row r="19">
      <c r="A19" s="12" t="inlineStr">
        <is>
          <t>蠻力（BRU）</t>
        </is>
      </c>
      <c r="B19" s="13" t="n"/>
      <c r="C19" s="13" t="n"/>
      <c r="D19" s="8" t="inlineStr"/>
      <c r="E19" s="8" t="inlineStr"/>
      <c r="F19" s="8" t="inlineStr"/>
      <c r="G19" s="8" t="n"/>
      <c r="H19" s="6" t="n"/>
      <c r="I19" s="7" t="n"/>
    </row>
    <row r="20">
      <c r="A20" s="12" t="inlineStr">
        <is>
          <t>追獵（HNT）</t>
        </is>
      </c>
      <c r="B20" s="13" t="n"/>
      <c r="C20" s="13" t="n"/>
      <c r="D20" s="8" t="inlineStr"/>
      <c r="E20" s="8" t="inlineStr"/>
      <c r="F20" s="8" t="inlineStr"/>
      <c r="G20" s="8" t="n"/>
      <c r="H20" s="6" t="n"/>
      <c r="I20" s="7" t="n"/>
    </row>
    <row r="21">
      <c r="A21" s="12" t="inlineStr">
        <is>
          <t>感知（PER）</t>
        </is>
      </c>
      <c r="B21" s="13" t="n"/>
      <c r="C21" s="13" t="n"/>
      <c r="D21" s="8" t="inlineStr"/>
      <c r="E21" s="8" t="inlineStr"/>
      <c r="F21" s="8" t="inlineStr"/>
      <c r="G21" s="8" t="n"/>
      <c r="H21" s="6" t="n"/>
      <c r="I21" s="7" t="n"/>
    </row>
    <row r="22">
      <c r="A22" s="12" t="inlineStr">
        <is>
          <t>威壓（DRE）</t>
        </is>
      </c>
      <c r="B22" s="13" t="n"/>
      <c r="C22" s="13" t="n"/>
      <c r="D22" s="8" t="inlineStr"/>
      <c r="E22" s="8" t="inlineStr"/>
      <c r="F22" s="8" t="inlineStr"/>
      <c r="G22" s="8" t="n"/>
      <c r="H22" s="6" t="n"/>
      <c r="I22" s="7" t="n"/>
    </row>
    <row r="23">
      <c r="A23" s="12" t="inlineStr">
        <is>
          <t>秘能（OCC）</t>
        </is>
      </c>
      <c r="B23" s="13" t="n"/>
      <c r="C23" s="13" t="n"/>
      <c r="D23" s="8" t="inlineStr"/>
      <c r="E23" s="8" t="inlineStr"/>
      <c r="F23" s="8" t="inlineStr"/>
      <c r="G23" s="8" t="n"/>
      <c r="H23" s="6" t="n"/>
      <c r="I23" s="7" t="n"/>
    </row>
    <row r="24">
      <c r="A24" s="12" t="inlineStr">
        <is>
          <t>追蹤（TRK）</t>
        </is>
      </c>
      <c r="B24" s="13" t="n"/>
      <c r="C24" s="13" t="n"/>
      <c r="D24" s="8" t="inlineStr"/>
      <c r="E24" s="8" t="inlineStr"/>
      <c r="F24" s="8" t="inlineStr"/>
      <c r="G24" s="8" t="n"/>
      <c r="H24" s="6" t="n"/>
      <c r="I24" s="7" t="n"/>
    </row>
    <row r="25">
      <c r="A25" s="12" t="inlineStr">
        <is>
          <t>制暴（SUP）</t>
        </is>
      </c>
      <c r="B25" s="13" t="n"/>
      <c r="C25" s="13" t="n"/>
      <c r="D25" s="8" t="inlineStr"/>
      <c r="E25" s="8" t="inlineStr"/>
      <c r="F25" s="8" t="inlineStr"/>
      <c r="G25" s="8" t="n"/>
      <c r="H25" s="6" t="n"/>
      <c r="I25" s="7" t="n"/>
    </row>
    <row r="26">
      <c r="A26" s="12" t="inlineStr">
        <is>
          <t>逼迫（COE）</t>
        </is>
      </c>
      <c r="B26" s="13" t="n"/>
      <c r="C26" s="13" t="n"/>
      <c r="D26" s="8" t="inlineStr"/>
      <c r="E26" s="8" t="inlineStr"/>
      <c r="F26" s="8" t="inlineStr"/>
      <c r="G26" s="8" t="n"/>
      <c r="H26" s="6" t="n"/>
      <c r="I26" s="7" t="n"/>
    </row>
    <row r="27">
      <c r="A27" s="12" t="inlineStr">
        <is>
          <t>儀式（RIT）</t>
        </is>
      </c>
      <c r="B27" s="13" t="n"/>
      <c r="C27" s="13" t="n"/>
      <c r="D27" s="8" t="inlineStr"/>
      <c r="E27" s="8" t="inlineStr"/>
      <c r="F27" s="8" t="inlineStr"/>
      <c r="G27" s="8" t="n"/>
      <c r="H27" s="6" t="n"/>
      <c r="I27" s="7" t="n"/>
    </row>
    <row r="28">
      <c r="A28" s="12" t="inlineStr">
        <is>
          <t>挑戰等級（CR）</t>
        </is>
      </c>
      <c r="B28" s="13" t="n"/>
      <c r="C28" s="13" t="n"/>
      <c r="D28" s="8" t="inlineStr"/>
      <c r="E28" s="8" t="inlineStr"/>
      <c r="F28" s="8" t="inlineStr"/>
      <c r="G28" s="8" t="n"/>
      <c r="H28" s="6" t="n"/>
      <c r="I28" s="7" t="n"/>
    </row>
    <row r="29">
      <c r="A29" s="12" t="inlineStr">
        <is>
          <t>基礎攻擊修正</t>
        </is>
      </c>
      <c r="B29" s="13" t="n"/>
      <c r="C29" s="13" t="n"/>
      <c r="D29" s="8" t="inlineStr"/>
      <c r="E29" s="8" t="inlineStr"/>
      <c r="F29" s="8" t="inlineStr"/>
      <c r="G29" s="8" t="n"/>
      <c r="H29" s="6" t="n"/>
      <c r="I29" s="7" t="n"/>
    </row>
    <row r="30">
      <c r="A30" s="12" t="inlineStr">
        <is>
          <t>力量檢定修正</t>
        </is>
      </c>
      <c r="B30" s="13" t="n"/>
      <c r="C30" s="13" t="n"/>
      <c r="D30" s="8" t="inlineStr"/>
      <c r="E30" s="8" t="inlineStr"/>
      <c r="F30" s="8" t="inlineStr"/>
      <c r="G30" s="8" t="n"/>
      <c r="H30" s="6" t="n"/>
      <c r="I30" s="7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 ht="20" customHeight="1">
      <c r="A32" s="9" t="inlineStr">
        <is>
          <t>三　力量卡：（填寫力量名稱）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 ht="22" customHeight="1">
      <c r="A33" s="12" t="inlineStr">
        <is>
          <t>力量類型</t>
        </is>
      </c>
      <c r="B33" s="13" t="n"/>
      <c r="C33" s="18" t="n"/>
      <c r="D33" s="7" t="n"/>
      <c r="E33" s="7" t="n"/>
      <c r="F33" s="7" t="n"/>
      <c r="G33" s="7" t="n"/>
      <c r="H33" s="7" t="n"/>
      <c r="I33" s="7" t="n"/>
    </row>
    <row r="34" ht="22" customHeight="1">
      <c r="A34" s="12" t="inlineStr">
        <is>
          <t>力量充能（PWC）名稱</t>
        </is>
      </c>
      <c r="B34" s="13" t="n"/>
      <c r="C34" s="18" t="n"/>
      <c r="D34" s="7" t="n"/>
      <c r="E34" s="7" t="n"/>
      <c r="F34" s="7" t="n"/>
      <c r="G34" s="7" t="n"/>
      <c r="H34" s="7" t="n"/>
      <c r="I34" s="7" t="n"/>
    </row>
    <row r="35" ht="22" customHeight="1">
      <c r="A35" s="12" t="inlineStr">
        <is>
          <t>充能上限</t>
        </is>
      </c>
      <c r="B35" s="13" t="n"/>
      <c r="C35" s="18" t="n"/>
      <c r="D35" s="7" t="n"/>
      <c r="E35" s="7" t="n"/>
      <c r="F35" s="7" t="n"/>
      <c r="G35" s="7" t="n"/>
      <c r="H35" s="7" t="n"/>
      <c r="I35" s="7" t="n"/>
    </row>
    <row r="36" ht="22" customHeight="1">
      <c r="A36" s="12" t="inlineStr">
        <is>
          <t>充能回復</t>
        </is>
      </c>
      <c r="B36" s="13" t="n"/>
      <c r="C36" s="18" t="n"/>
      <c r="D36" s="7" t="n"/>
      <c r="E36" s="7" t="n"/>
      <c r="F36" s="7" t="n"/>
      <c r="G36" s="7" t="n"/>
      <c r="H36" s="7" t="n"/>
      <c r="I36" s="7" t="n"/>
    </row>
    <row r="37" ht="22" customHeight="1">
      <c r="A37" s="12" t="inlineStr">
        <is>
          <t>行動點（AP）成本</t>
        </is>
      </c>
      <c r="B37" s="13" t="n"/>
      <c r="C37" s="18" t="n"/>
      <c r="D37" s="7" t="n"/>
      <c r="E37" s="7" t="n"/>
      <c r="F37" s="7" t="n"/>
      <c r="G37" s="7" t="n"/>
      <c r="H37" s="7" t="n"/>
      <c r="I37" s="7" t="n"/>
    </row>
    <row r="38" ht="22" customHeight="1">
      <c r="A38" s="12" t="inlineStr">
        <is>
          <t>壓迫值（PRE）成本</t>
        </is>
      </c>
      <c r="B38" s="13" t="n"/>
      <c r="C38" s="18" t="n"/>
      <c r="D38" s="7" t="n"/>
      <c r="E38" s="7" t="n"/>
      <c r="F38" s="7" t="n"/>
      <c r="G38" s="7" t="n"/>
      <c r="H38" s="7" t="n"/>
      <c r="I38" s="7" t="n"/>
    </row>
    <row r="39" ht="22" customHeight="1">
      <c r="A39" s="12" t="inlineStr">
        <is>
          <t>判定式</t>
        </is>
      </c>
      <c r="B39" s="13" t="n"/>
      <c r="C39" s="18" t="n"/>
      <c r="D39" s="7" t="n"/>
      <c r="E39" s="7" t="n"/>
      <c r="F39" s="7" t="n"/>
      <c r="G39" s="7" t="n"/>
      <c r="H39" s="7" t="n"/>
      <c r="I39" s="7" t="n"/>
    </row>
    <row r="40" ht="22" customHeight="1">
      <c r="A40" s="12" t="inlineStr">
        <is>
          <t>命中效果</t>
        </is>
      </c>
      <c r="B40" s="13" t="n"/>
      <c r="C40" s="18" t="n"/>
      <c r="D40" s="7" t="n"/>
      <c r="E40" s="7" t="n"/>
      <c r="F40" s="7" t="n"/>
      <c r="G40" s="7" t="n"/>
      <c r="H40" s="7" t="n"/>
      <c r="I40" s="7" t="n"/>
    </row>
    <row r="41" ht="22" customHeight="1">
      <c r="A41" s="12" t="inlineStr">
        <is>
          <t>冷卻</t>
        </is>
      </c>
      <c r="B41" s="13" t="n"/>
      <c r="C41" s="18" t="n"/>
      <c r="D41" s="7" t="n"/>
      <c r="E41" s="7" t="n"/>
      <c r="F41" s="7" t="n"/>
      <c r="G41" s="7" t="n"/>
      <c r="H41" s="7" t="n"/>
      <c r="I41" s="7" t="n"/>
    </row>
    <row r="42" ht="22" customHeight="1">
      <c r="A42" s="12" t="inlineStr">
        <is>
          <t>倖存者應對</t>
        </is>
      </c>
      <c r="B42" s="13" t="n"/>
      <c r="C42" s="18" t="n"/>
      <c r="D42" s="7" t="n"/>
      <c r="E42" s="7" t="n"/>
      <c r="F42" s="7" t="n"/>
      <c r="G42" s="7" t="n"/>
      <c r="H42" s="7" t="n"/>
      <c r="I42" s="7" t="n"/>
    </row>
    <row r="43" ht="22" customHeight="1">
      <c r="A43" s="12" t="inlineStr">
        <is>
          <t>獨行配置調整</t>
        </is>
      </c>
      <c r="B43" s="13" t="n"/>
      <c r="C43" s="18" t="n"/>
      <c r="D43" s="7" t="n"/>
      <c r="E43" s="7" t="n"/>
      <c r="F43" s="7" t="n"/>
      <c r="G43" s="7" t="n"/>
      <c r="H43" s="7" t="n"/>
      <c r="I43" s="7" t="n"/>
    </row>
    <row r="44" ht="20" customHeight="1">
      <c r="A44" s="9" t="inlineStr">
        <is>
          <t>四　力量精通（Power Mastery）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5" t="inlineStr">
        <is>
          <t>階</t>
        </is>
      </c>
      <c r="B45" s="11" t="n"/>
      <c r="C45" s="5" t="inlineStr">
        <is>
          <t>效果</t>
        </is>
      </c>
      <c r="D45" s="11" t="n"/>
      <c r="E45" s="11" t="n"/>
      <c r="F45" s="11" t="n"/>
      <c r="G45" s="11" t="n"/>
      <c r="H45" s="11" t="n"/>
      <c r="I45" s="11" t="n"/>
    </row>
    <row r="46" ht="22" customHeight="1">
      <c r="A46" s="12" t="inlineStr">
        <is>
          <t>二階（聲望 6）</t>
        </is>
      </c>
      <c r="B46" s="13" t="n"/>
      <c r="C46" s="18" t="inlineStr"/>
      <c r="D46" s="7" t="n"/>
      <c r="E46" s="7" t="n"/>
      <c r="F46" s="7" t="n"/>
      <c r="G46" s="7" t="n"/>
      <c r="H46" s="7" t="n"/>
      <c r="I46" s="7" t="n"/>
    </row>
    <row r="47" ht="22" customHeight="1">
      <c r="A47" s="12" t="inlineStr">
        <is>
          <t>三階（聲望 11）</t>
        </is>
      </c>
      <c r="B47" s="13" t="n"/>
      <c r="C47" s="18" t="inlineStr"/>
      <c r="D47" s="7" t="n"/>
      <c r="E47" s="7" t="n"/>
      <c r="F47" s="7" t="n"/>
      <c r="G47" s="7" t="n"/>
      <c r="H47" s="7" t="n"/>
      <c r="I47" s="7" t="n"/>
    </row>
    <row r="48" ht="22" customHeight="1">
      <c r="A48" s="12" t="inlineStr">
        <is>
          <t>四階（聲望 16）</t>
        </is>
      </c>
      <c r="B48" s="13" t="n"/>
      <c r="C48" s="18" t="inlineStr"/>
      <c r="D48" s="7" t="n"/>
      <c r="E48" s="7" t="n"/>
      <c r="F48" s="7" t="n"/>
      <c r="G48" s="7" t="n"/>
      <c r="H48" s="7" t="n"/>
      <c r="I48" s="7" t="n"/>
    </row>
    <row r="49" ht="20" customHeight="1">
      <c r="A49" s="9" t="inlineStr">
        <is>
          <t>五　專屬天賦（Perk）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5" t="inlineStr">
        <is>
          <t>編號</t>
        </is>
      </c>
      <c r="B50" s="11" t="n"/>
      <c r="C50" s="5" t="inlineStr">
        <is>
          <t>名稱</t>
        </is>
      </c>
      <c r="D50" s="11" t="n"/>
      <c r="E50" s="11" t="n"/>
      <c r="F50" s="11" t="n"/>
      <c r="G50" s="5" t="inlineStr">
        <is>
          <t>出處</t>
        </is>
      </c>
      <c r="H50" s="11" t="n"/>
      <c r="I50" s="11" t="n"/>
    </row>
    <row r="51">
      <c r="A51" s="8" t="inlineStr"/>
      <c r="B51" s="7" t="n"/>
      <c r="C51" s="6" t="inlineStr"/>
      <c r="D51" s="7" t="n"/>
      <c r="E51" s="7" t="n"/>
      <c r="F51" s="7" t="n"/>
      <c r="G51" s="6" t="inlineStr"/>
      <c r="H51" s="7" t="n"/>
      <c r="I51" s="7" t="n"/>
    </row>
    <row r="52">
      <c r="A52" s="8" t="inlineStr"/>
      <c r="B52" s="7" t="n"/>
      <c r="C52" s="6" t="inlineStr"/>
      <c r="D52" s="7" t="n"/>
      <c r="E52" s="7" t="n"/>
      <c r="F52" s="7" t="n"/>
      <c r="G52" s="6" t="inlineStr"/>
      <c r="H52" s="7" t="n"/>
      <c r="I52" s="7" t="n"/>
    </row>
    <row r="53">
      <c r="A53" s="8" t="inlineStr"/>
      <c r="B53" s="7" t="n"/>
      <c r="C53" s="6" t="inlineStr"/>
      <c r="D53" s="7" t="n"/>
      <c r="E53" s="7" t="n"/>
      <c r="F53" s="7" t="n"/>
      <c r="G53" s="6" t="inlineStr"/>
      <c r="H53" s="7" t="n"/>
      <c r="I53" s="7" t="n"/>
    </row>
    <row r="54" ht="20" customHeight="1">
      <c r="A54" s="9" t="inlineStr">
        <is>
          <t>六　遭遇成本與投放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2" t="inlineStr">
        <is>
          <t>作為試煉主殺手</t>
        </is>
      </c>
      <c r="B55" s="13" t="n"/>
      <c r="C55" s="13" t="n"/>
      <c r="D55" s="6" t="inlineStr">
        <is>
          <t>佔遭遇預算（EB）的 60%</t>
        </is>
      </c>
      <c r="E55" s="7" t="n"/>
      <c r="F55" s="7" t="n"/>
      <c r="G55" s="7" t="n"/>
      <c r="H55" s="7" t="n"/>
      <c r="I55" s="7" t="n"/>
    </row>
    <row r="56">
      <c r="A56" s="12" t="inlineStr">
        <is>
          <t>作為劇本中的固定威脅</t>
        </is>
      </c>
      <c r="B56" s="13" t="n"/>
      <c r="C56" s="13" t="n"/>
      <c r="D56" s="6" t="inlineStr">
        <is>
          <t>挑戰等級（CR）× 2</t>
        </is>
      </c>
      <c r="E56" s="7" t="n"/>
      <c r="F56" s="7" t="n"/>
      <c r="G56" s="7" t="n"/>
      <c r="H56" s="7" t="n"/>
      <c r="I56" s="7" t="n"/>
    </row>
    <row r="57" ht="42" customHeight="1">
      <c r="A57" s="12" t="inlineStr">
        <is>
          <t>獨行配置（N ＝ 1）調整</t>
        </is>
      </c>
      <c r="B57" s="13" t="n"/>
      <c r="C57" s="13" t="n"/>
      <c r="D57" s="18" t="n"/>
      <c r="E57" s="7" t="n"/>
      <c r="F57" s="7" t="n"/>
      <c r="G57" s="7" t="n"/>
      <c r="H57" s="7" t="n"/>
      <c r="I57" s="7" t="n"/>
    </row>
    <row r="58" ht="20" customHeight="1">
      <c r="A58" s="9" t="inlineStr">
        <is>
          <t>七　試煉中追蹤軌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2" t="inlineStr">
        <is>
          <t>當前壓迫值（PRE）</t>
        </is>
      </c>
      <c r="B59" s="13" t="n"/>
      <c r="C59" s="8" t="n"/>
      <c r="D59" s="7" t="n"/>
      <c r="E59" s="12" t="inlineStr">
        <is>
          <t>升壓階段</t>
        </is>
      </c>
      <c r="F59" s="13" t="n"/>
      <c r="G59" s="8" t="inlineStr">
        <is>
          <t>☐ 一　☐ 二　☐ 三</t>
        </is>
      </c>
      <c r="H59" s="7" t="n"/>
      <c r="I59" s="7" t="n"/>
    </row>
    <row r="60">
      <c r="A60" s="12" t="inlineStr">
        <is>
          <t>已獻祭人數</t>
        </is>
      </c>
      <c r="B60" s="13" t="n"/>
      <c r="C60" s="8" t="n"/>
      <c r="D60" s="7" t="n"/>
      <c r="E60" s="12" t="inlineStr">
        <is>
          <t>獵殺線索（Hunt Lead）</t>
        </is>
      </c>
      <c r="F60" s="13" t="n"/>
      <c r="G60" s="8" t="n"/>
      <c r="H60" s="7" t="n"/>
      <c r="I60" s="7" t="n"/>
    </row>
    <row r="61" ht="44" customHeight="1">
      <c r="A61" s="12" t="inlineStr">
        <is>
          <t>備註</t>
        </is>
      </c>
      <c r="B61" s="13" t="n"/>
      <c r="C61" s="18" t="n"/>
      <c r="D61" s="7" t="n"/>
      <c r="E61" s="7" t="n"/>
      <c r="F61" s="7" t="n"/>
      <c r="G61" s="7" t="n"/>
      <c r="H61" s="7" t="n"/>
      <c r="I61" s="7" t="n"/>
    </row>
  </sheetData>
  <mergeCells count="125">
    <mergeCell ref="C36:I36"/>
    <mergeCell ref="C52:F52"/>
    <mergeCell ref="D57:I57"/>
    <mergeCell ref="A15:B15"/>
    <mergeCell ref="A51:B51"/>
    <mergeCell ref="A21:C21"/>
    <mergeCell ref="A26:C26"/>
    <mergeCell ref="A57:C57"/>
    <mergeCell ref="E4:I4"/>
    <mergeCell ref="A7:B7"/>
    <mergeCell ref="A23:C23"/>
    <mergeCell ref="A41:B41"/>
    <mergeCell ref="D13:E13"/>
    <mergeCell ref="A17:I17"/>
    <mergeCell ref="C45:I45"/>
    <mergeCell ref="D55:I55"/>
    <mergeCell ref="G50:I50"/>
    <mergeCell ref="D7:E7"/>
    <mergeCell ref="A33:B33"/>
    <mergeCell ref="A42:B42"/>
    <mergeCell ref="F15:I15"/>
    <mergeCell ref="C47:I47"/>
    <mergeCell ref="G52:I52"/>
    <mergeCell ref="C50:F50"/>
    <mergeCell ref="A53:B53"/>
    <mergeCell ref="A35:B35"/>
    <mergeCell ref="C40:I40"/>
    <mergeCell ref="H23:I23"/>
    <mergeCell ref="A2:C5"/>
    <mergeCell ref="A39:B39"/>
    <mergeCell ref="A48:B48"/>
    <mergeCell ref="F13:I13"/>
    <mergeCell ref="D10:E10"/>
    <mergeCell ref="A59:B59"/>
    <mergeCell ref="A45:B45"/>
    <mergeCell ref="E5:F5"/>
    <mergeCell ref="A55:C55"/>
    <mergeCell ref="A12:C12"/>
    <mergeCell ref="A61:B61"/>
    <mergeCell ref="H25:I25"/>
    <mergeCell ref="G7:H7"/>
    <mergeCell ref="D11:E11"/>
    <mergeCell ref="D56:I56"/>
    <mergeCell ref="C34:I34"/>
    <mergeCell ref="A37:B37"/>
    <mergeCell ref="A46:B46"/>
    <mergeCell ref="C42:I42"/>
    <mergeCell ref="A29:C29"/>
    <mergeCell ref="G51:I51"/>
    <mergeCell ref="A13:C13"/>
    <mergeCell ref="C60:D60"/>
    <mergeCell ref="H19:I19"/>
    <mergeCell ref="H28:I28"/>
    <mergeCell ref="D9:E9"/>
    <mergeCell ref="A24:C24"/>
    <mergeCell ref="A49:I49"/>
    <mergeCell ref="A52:B52"/>
    <mergeCell ref="A1:I1"/>
    <mergeCell ref="H5:I5"/>
    <mergeCell ref="C46:I46"/>
    <mergeCell ref="A34:B34"/>
    <mergeCell ref="A25:C25"/>
    <mergeCell ref="C61:I61"/>
    <mergeCell ref="F9:I9"/>
    <mergeCell ref="C48:I48"/>
    <mergeCell ref="G53:I53"/>
    <mergeCell ref="A18:C18"/>
    <mergeCell ref="A36:B36"/>
    <mergeCell ref="G3:I3"/>
    <mergeCell ref="C38:I38"/>
    <mergeCell ref="C53:F53"/>
    <mergeCell ref="H21:I21"/>
    <mergeCell ref="A32:I32"/>
    <mergeCell ref="A22:C22"/>
    <mergeCell ref="C33:I33"/>
    <mergeCell ref="F10:I10"/>
    <mergeCell ref="A20:C20"/>
    <mergeCell ref="C59:D59"/>
    <mergeCell ref="A28:C28"/>
    <mergeCell ref="E59:F59"/>
    <mergeCell ref="C35:I35"/>
    <mergeCell ref="E2:I2"/>
    <mergeCell ref="A14:B14"/>
    <mergeCell ref="A30:C30"/>
    <mergeCell ref="H22:I22"/>
    <mergeCell ref="D12:E12"/>
    <mergeCell ref="A38:B38"/>
    <mergeCell ref="A43:B43"/>
    <mergeCell ref="F8:I8"/>
    <mergeCell ref="A6:I6"/>
    <mergeCell ref="A40:B40"/>
    <mergeCell ref="C51:F51"/>
    <mergeCell ref="H30:I30"/>
    <mergeCell ref="A16:I16"/>
    <mergeCell ref="H20:I20"/>
    <mergeCell ref="A60:B60"/>
    <mergeCell ref="H29:I29"/>
    <mergeCell ref="C39:I39"/>
    <mergeCell ref="A56:C56"/>
    <mergeCell ref="A27:C27"/>
    <mergeCell ref="C37:I37"/>
    <mergeCell ref="F14:I14"/>
    <mergeCell ref="A8:C8"/>
    <mergeCell ref="F11:I11"/>
    <mergeCell ref="E60:F60"/>
    <mergeCell ref="A50:B50"/>
    <mergeCell ref="A10:C10"/>
    <mergeCell ref="A19:C19"/>
    <mergeCell ref="G60:I60"/>
    <mergeCell ref="A44:I44"/>
    <mergeCell ref="F12:I12"/>
    <mergeCell ref="A47:B47"/>
    <mergeCell ref="A9:C9"/>
    <mergeCell ref="A31:I31"/>
    <mergeCell ref="A58:I58"/>
    <mergeCell ref="G59:I59"/>
    <mergeCell ref="C41:I41"/>
    <mergeCell ref="H27:I27"/>
    <mergeCell ref="D8:E8"/>
    <mergeCell ref="A11:C11"/>
    <mergeCell ref="H24:I24"/>
    <mergeCell ref="H18:I18"/>
    <mergeCell ref="C43:I43"/>
    <mergeCell ref="A54:I5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敵人角色卡　·　領域造物（Realm Creature）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編號</t>
        </is>
      </c>
      <c r="E2" s="8" t="n"/>
      <c r="F2" s="5" t="inlineStr">
        <is>
          <t>名稱</t>
        </is>
      </c>
      <c r="G2" s="6" t="n"/>
      <c r="H2" s="7" t="n"/>
      <c r="I2" s="7" t="n"/>
    </row>
    <row r="3">
      <c r="A3" s="4" t="n"/>
      <c r="B3" s="4" t="n"/>
      <c r="C3" s="4" t="n"/>
      <c r="D3" s="5" t="inlineStr">
        <is>
          <t>所屬領域</t>
        </is>
      </c>
      <c r="E3" s="6" t="n"/>
      <c r="F3" s="7" t="n"/>
      <c r="G3" s="7" t="n"/>
      <c r="H3" s="7" t="n"/>
      <c r="I3" s="7" t="n"/>
    </row>
    <row r="4">
      <c r="A4" s="4" t="n"/>
      <c r="B4" s="4" t="n"/>
      <c r="C4" s="4" t="n"/>
      <c r="D4" s="5" t="inlineStr">
        <is>
          <t>類型</t>
        </is>
      </c>
      <c r="E4" s="6" t="n"/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7" t="n"/>
    </row>
    <row r="6" ht="20" customHeight="1">
      <c r="A6" s="9" t="inlineStr">
        <is>
          <t>一　數據（填入挑戰等級（CR），其餘自動計算）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 ht="30" customHeight="1">
      <c r="A7" s="5" t="inlineStr">
        <is>
          <t>挑戰等級（CR）</t>
        </is>
      </c>
      <c r="B7" s="11" t="n"/>
      <c r="C7" s="8" t="n"/>
      <c r="D7" s="5" t="inlineStr">
        <is>
          <t>移動</t>
        </is>
      </c>
      <c r="E7" s="11" t="n"/>
      <c r="F7" s="6" t="n"/>
      <c r="G7" s="7" t="n"/>
      <c r="H7" s="7" t="n"/>
      <c r="I7" s="7" t="n"/>
    </row>
    <row r="8">
      <c r="A8" s="21" t="inlineStr">
        <is>
          <t>生命值（HP）</t>
        </is>
      </c>
      <c r="B8" s="22" t="n"/>
      <c r="C8" s="14">
        <f>IF($C$7="","",10+4*$C$7)</f>
        <v/>
      </c>
      <c r="D8" s="15" t="n"/>
      <c r="E8" s="6" t="inlineStr">
        <is>
          <t>10 ＋ 4×挑戰等級（CR）</t>
        </is>
      </c>
      <c r="F8" s="7" t="n"/>
      <c r="G8" s="7" t="n"/>
      <c r="H8" s="7" t="n"/>
      <c r="I8" s="7" t="n"/>
    </row>
    <row r="9">
      <c r="A9" s="21" t="inlineStr">
        <is>
          <t>攻擊修正</t>
        </is>
      </c>
      <c r="B9" s="22" t="n"/>
      <c r="C9" s="14">
        <f>IF($C$7="","",INT($C$7/2)+2)</f>
        <v/>
      </c>
      <c r="D9" s="15" t="n"/>
      <c r="E9" s="6" t="inlineStr">
        <is>
          <t>INT(CR ÷ 2) ＋ 2</t>
        </is>
      </c>
      <c r="F9" s="7" t="n"/>
      <c r="G9" s="7" t="n"/>
      <c r="H9" s="7" t="n"/>
      <c r="I9" s="7" t="n"/>
    </row>
    <row r="10">
      <c r="A10" s="21" t="inlineStr">
        <is>
          <t>防禦難度等級（DC）</t>
        </is>
      </c>
      <c r="B10" s="22" t="n"/>
      <c r="C10" s="14">
        <f>IF($C$7="","",10+INT($C$7/2))</f>
        <v/>
      </c>
      <c r="D10" s="15" t="n"/>
      <c r="E10" s="6" t="inlineStr">
        <is>
          <t>10 ＋ INT(CR ÷ 2)。倖存者攻擊或干擾此造物時的目標值</t>
        </is>
      </c>
      <c r="F10" s="7" t="n"/>
      <c r="G10" s="7" t="n"/>
      <c r="H10" s="7" t="n"/>
      <c r="I10" s="7" t="n"/>
    </row>
    <row r="11">
      <c r="A11" s="21" t="inlineStr">
        <is>
          <t>行動點（AP）／輪</t>
        </is>
      </c>
      <c r="B11" s="22" t="n"/>
      <c r="C11" s="14">
        <f>IF($C$7="","",IF($C$7&gt;=8,4,IF($C$7&gt;=5,3,2)))</f>
        <v/>
      </c>
      <c r="D11" s="15" t="n"/>
      <c r="E11" s="6" t="inlineStr">
        <is>
          <t>CR 1–4 → 2／CR 5–7 → 3／CR 8 以上 → 4</t>
        </is>
      </c>
      <c r="F11" s="7" t="n"/>
      <c r="G11" s="7" t="n"/>
      <c r="H11" s="7" t="n"/>
      <c r="I11" s="7" t="n"/>
    </row>
    <row r="12">
      <c r="A12" s="21" t="inlineStr">
        <is>
          <t>韌性值（RES）</t>
        </is>
      </c>
      <c r="B12" s="22" t="n"/>
      <c r="C12" s="14">
        <f>IF($C$7="","",INT($C$7/3))</f>
        <v/>
      </c>
      <c r="D12" s="15" t="n"/>
      <c r="E12" s="6" t="inlineStr">
        <is>
          <t>INT(CR ÷ 3)。加在抵抗狀態效果與強制位移的檢定上</t>
        </is>
      </c>
      <c r="F12" s="7" t="n"/>
      <c r="G12" s="7" t="n"/>
      <c r="H12" s="7" t="n"/>
      <c r="I12" s="7" t="n"/>
    </row>
    <row r="13">
      <c r="A13" s="21" t="inlineStr">
        <is>
          <t>遭遇預算成本（EBC）</t>
        </is>
      </c>
      <c r="B13" s="22" t="n"/>
      <c r="C13" s="14">
        <f>IF($C$7="","",$C$7*IF($E$5="是",3,2))</f>
        <v/>
      </c>
      <c r="D13" s="15" t="n"/>
      <c r="E13" s="6" t="inlineStr">
        <is>
          <t>CR × 2（標準）／CR × 3（首領級）</t>
        </is>
      </c>
      <c r="F13" s="7" t="n"/>
      <c r="G13" s="7" t="n"/>
      <c r="H13" s="7" t="n"/>
      <c r="I13" s="7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 ht="20" customHeight="1">
      <c r="A15" s="9" t="inlineStr">
        <is>
          <t>二　行為、效果與驅散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21" t="inlineStr">
        <is>
          <t>行為</t>
        </is>
      </c>
      <c r="B16" s="22" t="n"/>
      <c r="C16" s="18" t="n"/>
      <c r="D16" s="7" t="n"/>
      <c r="E16" s="7" t="n"/>
      <c r="F16" s="7" t="n"/>
      <c r="G16" s="7" t="n"/>
      <c r="H16" s="7" t="n"/>
      <c r="I16" s="7" t="n"/>
    </row>
    <row r="17" ht="22" customHeight="1">
      <c r="A17" s="21" t="inlineStr">
        <is>
          <t>效果</t>
        </is>
      </c>
      <c r="B17" s="22" t="n"/>
      <c r="C17" s="18" t="n"/>
      <c r="D17" s="7" t="n"/>
      <c r="E17" s="7" t="n"/>
      <c r="F17" s="7" t="n"/>
      <c r="G17" s="7" t="n"/>
      <c r="H17" s="7" t="n"/>
      <c r="I17" s="7" t="n"/>
    </row>
    <row r="18" ht="22" customHeight="1">
      <c r="A18" s="21" t="inlineStr">
        <is>
          <t>驅散弱點</t>
        </is>
      </c>
      <c r="B18" s="22" t="n"/>
      <c r="C18" s="18" t="n"/>
      <c r="D18" s="7" t="n"/>
      <c r="E18" s="7" t="n"/>
      <c r="F18" s="7" t="n"/>
      <c r="G18" s="7" t="n"/>
      <c r="H18" s="7" t="n"/>
      <c r="I18" s="7" t="n"/>
    </row>
    <row r="19" ht="22" customHeight="1">
      <c r="A19" s="21" t="inlineStr">
        <is>
          <t>獨行配置（N ＝ 1）調整</t>
        </is>
      </c>
      <c r="B19" s="22" t="n"/>
      <c r="C19" s="18" t="n"/>
      <c r="D19" s="7" t="n"/>
      <c r="E19" s="7" t="n"/>
      <c r="F19" s="7" t="n"/>
      <c r="G19" s="7" t="n"/>
      <c r="H19" s="7" t="n"/>
      <c r="I19" s="7" t="n"/>
    </row>
    <row r="20" ht="20" customHeight="1">
      <c r="A20" s="9" t="inlineStr">
        <is>
          <t>四　試煉中追蹤軌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21" t="inlineStr">
        <is>
          <t>當前生命值（HP）</t>
        </is>
      </c>
      <c r="B21" s="22" t="n"/>
      <c r="C21" s="8" t="n"/>
      <c r="D21" s="7" t="n"/>
      <c r="E21" s="21" t="inlineStr">
        <is>
          <t>核心暴露／階段</t>
        </is>
      </c>
      <c r="F21" s="22" t="n"/>
      <c r="G21" s="6" t="n"/>
      <c r="H21" s="7" t="n"/>
      <c r="I21" s="7" t="n"/>
    </row>
    <row r="22">
      <c r="A22" s="21" t="inlineStr">
        <is>
          <t>當前狀態效果</t>
        </is>
      </c>
      <c r="B22" s="22" t="n"/>
      <c r="C22" s="6" t="n"/>
      <c r="D22" s="7" t="n"/>
      <c r="E22" s="7" t="n"/>
      <c r="F22" s="7" t="n"/>
      <c r="G22" s="7" t="n"/>
      <c r="H22" s="7" t="n"/>
      <c r="I22" s="7" t="n"/>
    </row>
    <row r="23" ht="44" customHeight="1">
      <c r="A23" s="21" t="inlineStr">
        <is>
          <t>備註</t>
        </is>
      </c>
      <c r="B23" s="22" t="n"/>
      <c r="C23" s="18" t="n"/>
      <c r="D23" s="7" t="n"/>
      <c r="E23" s="7" t="n"/>
      <c r="F23" s="7" t="n"/>
      <c r="G23" s="7" t="n"/>
      <c r="H23" s="7" t="n"/>
      <c r="I23" s="7" t="n"/>
    </row>
  </sheetData>
  <mergeCells count="47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E10:I10"/>
    <mergeCell ref="A14:I14"/>
    <mergeCell ref="E13:I13"/>
    <mergeCell ref="C9:D9"/>
    <mergeCell ref="A18:B18"/>
    <mergeCell ref="A20:I20"/>
    <mergeCell ref="E9:I9"/>
    <mergeCell ref="A12:B12"/>
    <mergeCell ref="C12:D12"/>
    <mergeCell ref="A21:B21"/>
    <mergeCell ref="D7:E7"/>
    <mergeCell ref="C21:D21"/>
    <mergeCell ref="F7:I7"/>
    <mergeCell ref="C11:D11"/>
    <mergeCell ref="E11:I11"/>
    <mergeCell ref="C16:I16"/>
    <mergeCell ref="A17:B17"/>
    <mergeCell ref="A23:B23"/>
    <mergeCell ref="A8:B8"/>
    <mergeCell ref="G21:I21"/>
    <mergeCell ref="C8:D8"/>
    <mergeCell ref="A22:B22"/>
    <mergeCell ref="A15:I15"/>
    <mergeCell ref="G2:I2"/>
    <mergeCell ref="C22:I22"/>
    <mergeCell ref="A19:B19"/>
    <mergeCell ref="A10:B10"/>
    <mergeCell ref="A1:I1"/>
    <mergeCell ref="A13:B13"/>
    <mergeCell ref="H5:I5"/>
    <mergeCell ref="C13:D13"/>
    <mergeCell ref="A6:I6"/>
    <mergeCell ref="A2:C5"/>
    <mergeCell ref="A9:B9"/>
    <mergeCell ref="E21:F21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2026-08-01T19:34:46Z</dcterms:created>
  <dcterms:modified xsi:type="dcterms:W3CDTF">2026-08-01T19:34:46Z</dcterms:modified>
</cp:coreProperties>
</file>