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-1 陷阱者（TRP） 殷萬山" sheetId="1" state="visible" r:id="rId1"/>
    <sheet name="2-2 幽靈（WRT） 歐立森" sheetId="2" state="visible" r:id="rId2"/>
    <sheet name="2-3 鏈鋸屠夫（HBY） 卓炳山" sheetId="3" state="visible" r:id="rId3"/>
    <sheet name="2-4 幽咽護士（NRS） 桑黎" sheetId="4" state="visible" r:id="rId4"/>
    <sheet name="2-5 獵斧女（HTR） 苗霜" sheetId="5" state="visible" r:id="rId5"/>
    <sheet name="2-6 泥沼巫婆（HAG） 敖玄娘" sheetId="6" state="visible" r:id="rId6"/>
    <sheet name="2-7 電療醫師（DOC） 譚仲儒" sheetId="7" state="visible" r:id="rId7"/>
    <sheet name="2-8 狂徒軍團（LGN） 郗律" sheetId="8" state="visible" r:id="rId8"/>
    <sheet name="2-10 緘默者（SIL） 希爾妲·蘭恩" sheetId="9" state="visible" r:id="rId9"/>
    <sheet name="RC-01 鏽鴉群" sheetId="10" state="visible" r:id="rId10"/>
    <sheet name="RC-02 井裡的合唱" sheetId="11" state="visible" r:id="rId11"/>
    <sheet name="RC-03 鐵皮傀儡" sheetId="12" state="visible" r:id="rId12"/>
    <sheet name="RC-04 稻草殘影" sheetId="13" state="visible" r:id="rId13"/>
    <sheet name="RC-05 病房殘影" sheetId="14" state="visible" r:id="rId14"/>
    <sheet name="RC-06 泥手" sheetId="15" state="visible" r:id="rId15"/>
    <sheet name="RC-07 觀察窗之眼" sheetId="16" state="visible" r:id="rId16"/>
    <sheet name="RC-08 血葉群" sheetId="17" state="visible" r:id="rId17"/>
    <sheet name="RC-09 骨場石雕" sheetId="18" state="visible" r:id="rId18"/>
    <sheet name="RC-10 霧窖看守" sheetId="19" state="visible" r:id="rId19"/>
    <sheet name="RC-11 虛空拾荒者" sheetId="20" state="visible" r:id="rId20"/>
    <sheet name="RC-12 鉤上之爪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FFFFFF"/>
      <sz val="11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</fonts>
  <fills count="13">
    <fill>
      <patternFill/>
    </fill>
    <fill>
      <patternFill patternType="gray125"/>
    </fill>
    <fill>
      <patternFill patternType="solid">
        <fgColor rgb="005E2733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5A6B7C"/>
      </patternFill>
    </fill>
    <fill>
      <patternFill patternType="solid">
        <fgColor rgb="00FCE4EC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F3D6DC"/>
      </patternFill>
    </fill>
    <fill>
      <patternFill patternType="solid">
        <fgColor rgb="003E4A2E"/>
      </patternFill>
    </fill>
    <fill>
      <patternFill patternType="solid">
        <fgColor rgb="00E6EAD9"/>
      </patternFill>
    </fill>
  </fills>
  <borders count="16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  <border>
      <left/>
      <right/>
      <top style="thin">
        <color rgb="00B7C0C8"/>
      </top>
      <bottom/>
      <diagonal/>
    </border>
    <border>
      <left/>
      <right style="thin">
        <color rgb="00B7C0C8"/>
      </right>
      <top style="thin">
        <color rgb="00B7C0C8"/>
      </top>
      <bottom/>
      <diagonal/>
    </border>
    <border>
      <left/>
      <right/>
      <top style="thin">
        <color rgb="00B7C0C8"/>
      </top>
      <bottom style="thin">
        <color rgb="00B7C0C8"/>
      </bottom>
      <diagonal/>
    </border>
    <border>
      <left/>
      <right style="thin">
        <color rgb="00B7C0C8"/>
      </right>
      <top style="thin">
        <color rgb="00B7C0C8"/>
      </top>
      <bottom style="thin">
        <color rgb="00B7C0C8"/>
      </bottom>
      <diagonal/>
    </border>
    <border>
      <left/>
      <right/>
      <top style="medium">
        <color rgb="007C8A96"/>
      </top>
      <bottom/>
      <diagonal/>
    </border>
    <border>
      <left style="medium">
        <color rgb="007C8A96"/>
      </left>
      <right/>
      <top/>
      <bottom/>
      <diagonal/>
    </border>
    <border>
      <left/>
      <right style="medium">
        <color rgb="007C8A96"/>
      </right>
      <top style="medium">
        <color rgb="007C8A96"/>
      </top>
      <bottom/>
      <diagonal/>
    </border>
    <border>
      <left/>
      <right style="medium">
        <color rgb="007C8A96"/>
      </right>
      <top/>
      <bottom/>
      <diagonal/>
    </border>
    <border>
      <left style="medium">
        <color rgb="007C8A96"/>
      </left>
      <right/>
      <top/>
      <bottom style="medium">
        <color rgb="007C8A96"/>
      </bottom>
      <diagonal/>
    </border>
    <border>
      <left/>
      <right/>
      <top/>
      <bottom style="medium">
        <color rgb="007C8A96"/>
      </bottom>
      <diagonal/>
    </border>
    <border>
      <left/>
      <right style="medium">
        <color rgb="007C8A96"/>
      </right>
      <top/>
      <bottom style="medium">
        <color rgb="007C8A96"/>
      </bottom>
      <diagonal/>
    </border>
    <border>
      <left/>
      <right/>
      <top style="medium">
        <color rgb="007C8A96"/>
      </top>
      <bottom style="medium">
        <color rgb="007C8A96"/>
      </bottom>
      <diagonal/>
    </border>
    <border>
      <left/>
      <right style="medium">
        <color rgb="007C8A96"/>
      </right>
      <top style="medium">
        <color rgb="007C8A96"/>
      </top>
      <bottom style="medium">
        <color rgb="007C8A96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0" fillId="4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8" borderId="2" applyAlignment="1" pivotButton="0" quotePrefix="0" xfId="0">
      <alignment horizontal="center" vertical="center" wrapText="1"/>
    </xf>
    <xf numFmtId="0" fontId="0" fillId="8" borderId="2" pivotButton="0" quotePrefix="0" xfId="0"/>
    <xf numFmtId="0" fontId="7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4" fillId="5" borderId="2" applyAlignment="1" pivotButton="0" quotePrefix="0" xfId="0">
      <alignment horizontal="left" vertical="top" wrapText="1"/>
    </xf>
    <xf numFmtId="0" fontId="3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" fillId="12" borderId="2" applyAlignment="1" pivotButton="0" quotePrefix="0" xfId="0">
      <alignment horizontal="center" vertical="center" wrapText="1"/>
    </xf>
    <xf numFmtId="0" fontId="0" fillId="12" borderId="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陷阱者（TRP）｜殷萬山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TRP</t>
        </is>
      </c>
      <c r="F3" s="5" t="inlineStr">
        <is>
          <t>本名</t>
        </is>
      </c>
      <c r="G3" s="6" t="inlineStr">
        <is>
          <t>殷萬山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R1 麥克米蘭莊園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佈設型</t>
        </is>
      </c>
      <c r="F5" s="30" t="n"/>
      <c r="G5" s="5" t="inlineStr">
        <is>
          <t>屬性傾向</t>
        </is>
      </c>
      <c r="H5" s="6" t="inlineStr">
        <is>
          <t>蠻力（BRU）＋2、秘能（OCC）＋1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0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16</v>
      </c>
      <c r="D14" s="5" t="inlineStr">
        <is>
          <t>格　→　公尺</t>
        </is>
      </c>
      <c r="E14" s="14">
        <f>IF(C14="","",C14*2)</f>
        <v/>
      </c>
      <c r="F14" s="6" t="inlineStr">
        <is>
          <t>32 公尺 ＝ 16 格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7</v>
      </c>
      <c r="D15" s="5" t="inlineStr">
        <is>
          <t>格／輪</t>
        </is>
      </c>
      <c r="E15" s="8" t="n"/>
      <c r="F15" s="6" t="inlineStr">
        <is>
          <t>第三級 標準（7 格／輪，移動速度優勢 +2）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3</t>
        </is>
      </c>
      <c r="E19" s="8" t="inlineStr">
        <is>
          <t>4</t>
        </is>
      </c>
      <c r="F19" s="8" t="inlineStr">
        <is>
          <t>5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2</t>
        </is>
      </c>
      <c r="E20" s="8" t="inlineStr">
        <is>
          <t>3</t>
        </is>
      </c>
      <c r="F20" s="8" t="inlineStr">
        <is>
          <t>4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1</t>
        </is>
      </c>
      <c r="E21" s="8" t="inlineStr">
        <is>
          <t>2</t>
        </is>
      </c>
      <c r="F21" s="8" t="inlineStr">
        <is>
          <t>3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1</t>
        </is>
      </c>
      <c r="E22" s="8" t="inlineStr">
        <is>
          <t>2</t>
        </is>
      </c>
      <c r="F22" s="8" t="inlineStr">
        <is>
          <t>2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1</t>
        </is>
      </c>
      <c r="E23" s="8" t="inlineStr">
        <is>
          <t>2</t>
        </is>
      </c>
      <c r="F23" s="8" t="inlineStr">
        <is>
          <t>4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0</t>
        </is>
      </c>
      <c r="E24" s="8" t="inlineStr">
        <is>
          <t>2</t>
        </is>
      </c>
      <c r="F24" s="8" t="inlineStr">
        <is>
          <t>3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1</t>
        </is>
      </c>
      <c r="E25" s="8" t="inlineStr">
        <is>
          <t>3</t>
        </is>
      </c>
      <c r="F25" s="8" t="inlineStr">
        <is>
          <t>5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1</t>
        </is>
      </c>
      <c r="E26" s="8" t="inlineStr">
        <is>
          <t>1</t>
        </is>
      </c>
      <c r="F26" s="8" t="inlineStr">
        <is>
          <t>2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0</t>
        </is>
      </c>
      <c r="E27" s="8" t="inlineStr">
        <is>
          <t>2</t>
        </is>
      </c>
      <c r="F27" s="8" t="inlineStr">
        <is>
          <t>4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1</t>
        </is>
      </c>
      <c r="E28" s="8" t="inlineStr">
        <is>
          <t>10</t>
        </is>
      </c>
      <c r="F28" s="8" t="inlineStr">
        <is>
          <t>20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+4</t>
        </is>
      </c>
      <c r="E29" s="8" t="inlineStr">
        <is>
          <t>+7</t>
        </is>
      </c>
      <c r="F29" s="8" t="inlineStr">
        <is>
          <t>+10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+1</t>
        </is>
      </c>
      <c r="E30" s="8" t="inlineStr">
        <is>
          <t>+4</t>
        </is>
      </c>
      <c r="F30" s="8" t="inlineStr">
        <is>
          <t>+8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力量卡：捕獸夾（Bear Trap）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佈設型（持久物件，非冷卻資源）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陷阱庫存（Trap Stock）</t>
        </is>
      </c>
      <c r="D35" s="29" t="n"/>
      <c r="E35" s="29" t="n"/>
      <c r="F35" s="29" t="n"/>
      <c r="G35" s="29" t="n"/>
      <c r="H35" s="29" t="n"/>
      <c r="I35" s="30" t="n"/>
    </row>
    <row r="36" ht="33" customHeight="1">
      <c r="A36" s="12" t="inlineStr">
        <is>
          <t>充能上限</t>
        </is>
      </c>
      <c r="B36" s="30" t="n"/>
      <c r="C36" s="18" t="inlineStr">
        <is>
          <t>PWC_max = 4 + INT(OCC / 2)　→ 秘能 1–3：4 個；秘能 4–5：6 個</t>
        </is>
      </c>
      <c r="D36" s="29" t="n"/>
      <c r="E36" s="29" t="n"/>
      <c r="F36" s="29" t="n"/>
      <c r="G36" s="29" t="n"/>
      <c r="H36" s="29" t="n"/>
      <c r="I36" s="30" t="n"/>
    </row>
    <row r="37" ht="33" customHeight="1">
      <c r="A37" s="12" t="inlineStr">
        <is>
          <t>充能回復</t>
        </is>
      </c>
      <c r="B37" s="30" t="n"/>
      <c r="C37" s="18" t="inlineStr">
        <is>
          <t>不自動回復。回收已觸發或未觸發的陷阱：1 行動點（AP），返還庫存。地圖上另散置 2 + N 個閒置陷阱可撿取（1 行動點（AP）／個）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行動點（AP）成本</t>
        </is>
      </c>
      <c r="B38" s="30" t="n"/>
      <c r="C38" s="18" t="inlineStr">
        <is>
          <t>佈設 1 點；重設已觸發的陷阱 1 點；回收 1 點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壓迫值（PRE）成本</t>
        </is>
      </c>
      <c r="B39" s="30" t="n"/>
      <c r="C39" s="18" t="inlineStr">
        <is>
          <t>佈設 1 點；重設 0 點</t>
        </is>
      </c>
      <c r="D39" s="29" t="n"/>
      <c r="E39" s="29" t="n"/>
      <c r="F39" s="29" t="n"/>
      <c r="G39" s="29" t="n"/>
      <c r="H39" s="29" t="n"/>
      <c r="I39" s="30" t="n"/>
    </row>
    <row r="40" ht="63" customHeight="1">
      <c r="A40" s="12" t="inlineStr">
        <is>
          <t>判定式（佈設）</t>
        </is>
      </c>
      <c r="B40" s="30" t="n"/>
      <c r="C40" s="18" t="inlineStr">
        <is>
          <t>無需檢定。佈設於自身所在格，成為隱藏物件。
倖存者察覺難度等級（DC）＝ 10 + 2 × 秘能（OCC）（聲望 1：DC 12／聲望 10：DC 14／聲望 20：DC 18）</t>
        </is>
      </c>
      <c r="D40" s="29" t="n"/>
      <c r="E40" s="29" t="n"/>
      <c r="F40" s="29" t="n"/>
      <c r="G40" s="29" t="n"/>
      <c r="H40" s="29" t="n"/>
      <c r="I40" s="30" t="n"/>
    </row>
    <row r="41" ht="63" customHeight="1">
      <c r="A41" s="12" t="inlineStr">
        <is>
          <t>判定式（觸發）</t>
        </is>
      </c>
      <c r="B41" s="30" t="n"/>
      <c r="C41" s="18" t="inlineStr">
        <is>
          <t>倖存者以奔跑或全速衝刺進入該格：自動踩中，無檢定。
倖存者以步行或蹲行進入該格：先做 專注（FOC）檢定 vs 察覺難度等級（DC）；成功則停在該格前一格並得知陷阱位置，失敗則踩中。</t>
        </is>
      </c>
      <c r="D41" s="29" t="n"/>
      <c r="E41" s="29" t="n"/>
      <c r="F41" s="29" t="n"/>
      <c r="G41" s="29" t="n"/>
      <c r="H41" s="29" t="n"/>
      <c r="I41" s="30" t="n"/>
    </row>
    <row r="42" ht="48" customHeight="1">
      <c r="A42" s="12" t="inlineStr">
        <is>
          <t>命中效果</t>
        </is>
      </c>
      <c r="B42" s="30" t="n"/>
      <c r="C42" s="18" t="inlineStr">
        <is>
          <t>踩中者：① 立即損失 1 階生命狀態（HS）；② 獲得 受困（Snared，ST-29）；③ 觸發噪音通知，殺手免費獲得 1 個獵殺線索（Hunt Lead）並得知精確格位。</t>
        </is>
      </c>
      <c r="D42" s="29" t="n"/>
      <c r="E42" s="29" t="n"/>
      <c r="F42" s="29" t="n"/>
      <c r="G42" s="29" t="n"/>
      <c r="H42" s="29" t="n"/>
      <c r="I42" s="30" t="n"/>
    </row>
    <row r="43" ht="63" customHeight="1">
      <c r="A43" s="12" t="inlineStr">
        <is>
          <t>脫困（自力）</t>
        </is>
      </c>
      <c r="B43" s="30" t="n"/>
      <c r="C43" s="18" t="inlineStr">
        <is>
          <t>2 行動點（AP）＋ 敏捷（AGI）＋掙脫（ESQ）檢定 vs 難度等級（DC）14。
大成功：脫困且不留血跡；成功：脫困；失敗：仍受困；大失敗：仍受困且再損失 1 階生命狀態（HS）（若已受傷則進入瀕死）。</t>
        </is>
      </c>
      <c r="D43" s="29" t="n"/>
      <c r="E43" s="29" t="n"/>
      <c r="F43" s="29" t="n"/>
      <c r="G43" s="29" t="n"/>
      <c r="H43" s="29" t="n"/>
      <c r="I43" s="30" t="n"/>
    </row>
    <row r="44" ht="33" customHeight="1">
      <c r="A44" s="12" t="inlineStr">
        <is>
          <t>脫困（他救）</t>
        </is>
      </c>
      <c r="B44" s="30" t="n"/>
      <c r="C44" s="18" t="inlineStr">
        <is>
          <t>隊友或回聲同伴花 2 行動點（AP） 自動解開，無檢定，無風險。這是本力量最重要的隊友價值錨點。</t>
        </is>
      </c>
      <c r="D44" s="29" t="n"/>
      <c r="E44" s="29" t="n"/>
      <c r="F44" s="29" t="n"/>
      <c r="G44" s="29" t="n"/>
      <c r="H44" s="29" t="n"/>
      <c r="I44" s="30" t="n"/>
    </row>
    <row r="45" ht="33" customHeight="1">
      <c r="A45" s="12" t="inlineStr">
        <is>
          <t>拆除（未觸發）</t>
        </is>
      </c>
      <c r="B45" s="30" t="n"/>
      <c r="C45" s="18" t="inlineStr">
        <is>
          <t>2 行動點（AP）＋ 技巧（TEC）＋機械維修（MEC）檢定 vs 難度等級（DC）12。大失敗 → 立即踩中。拆除成功的陷阱永久移除，不返還庫存。</t>
        </is>
      </c>
      <c r="D45" s="29" t="n"/>
      <c r="E45" s="29" t="n"/>
      <c r="F45" s="29" t="n"/>
      <c r="G45" s="29" t="n"/>
      <c r="H45" s="29" t="n"/>
      <c r="I45" s="30" t="n"/>
    </row>
    <row r="46" ht="33" customHeight="1">
      <c r="A46" s="12" t="inlineStr">
        <is>
          <t>失手／代價</t>
        </is>
      </c>
      <c r="B46" s="30" t="n"/>
      <c r="C46" s="18" t="inlineStr">
        <is>
          <t>陷阱是沉沒成本：佈設耗費的行動點（AP）與壓迫值（PRE）不會退還。若倖存者從未走過該區域，這筆投資完全歸零。陷阱者的技術上限就在於「猜對路線」。</t>
        </is>
      </c>
      <c r="D46" s="29" t="n"/>
      <c r="E46" s="29" t="n"/>
      <c r="F46" s="29" t="n"/>
      <c r="G46" s="29" t="n"/>
      <c r="H46" s="29" t="n"/>
      <c r="I46" s="30" t="n"/>
    </row>
    <row r="47" ht="22" customHeight="1">
      <c r="A47" s="12" t="inlineStr">
        <is>
          <t>冷卻</t>
        </is>
      </c>
      <c r="B47" s="30" t="n"/>
      <c r="C47" s="18" t="inlineStr">
        <is>
          <t>無</t>
        </is>
      </c>
      <c r="D47" s="29" t="n"/>
      <c r="E47" s="29" t="n"/>
      <c r="F47" s="29" t="n"/>
      <c r="G47" s="29" t="n"/>
      <c r="H47" s="29" t="n"/>
      <c r="I47" s="30" t="n"/>
    </row>
    <row r="48" ht="48" customHeight="1">
      <c r="A48" s="12" t="inlineStr">
        <is>
          <t>倖存者應對</t>
        </is>
      </c>
      <c r="B48" s="30" t="n"/>
      <c r="C48" s="18" t="inlineStr">
        <is>
          <t>① 蹲行通過陌生區域——步行／蹲行才有察覺檢定機會；② 記住已知陷阱位置並用來繞圈（陷阱格對殺手自己也是障礙：殺手不會踩，但倖存者可利用該格逼殺手繞路，追逐檢定 +2）；③ 優先解救受困隊友——2 行動點（AP）自動成功，比自己掙扎划算得多。</t>
        </is>
      </c>
      <c r="D48" s="29" t="n"/>
      <c r="E48" s="29" t="n"/>
      <c r="F48" s="29" t="n"/>
      <c r="G48" s="29" t="n"/>
      <c r="H48" s="29" t="n"/>
      <c r="I48" s="30" t="n"/>
    </row>
    <row r="49" ht="33" customHeight="1">
      <c r="A49" s="12" t="inlineStr">
        <is>
          <t>獨行配置調整</t>
        </is>
      </c>
      <c r="B49" s="30" t="n"/>
      <c r="C49" s="18" t="inlineStr">
        <is>
          <t>N = 1 時：陷阱庫存上限 −1；且受困（Snared）狀態下，自力脫困難度等級（DC）由 14 降為 12（無隊友可救，須放寬）。</t>
        </is>
      </c>
      <c r="D49" s="29" t="n"/>
      <c r="E49" s="29" t="n"/>
      <c r="F49" s="29" t="n"/>
      <c r="G49" s="29" t="n"/>
      <c r="H49" s="29" t="n"/>
      <c r="I49" s="30" t="n"/>
    </row>
    <row r="50" ht="20" customHeight="1">
      <c r="A50" s="9" t="inlineStr">
        <is>
          <t>四　力量精通（Power Mastery）</t>
        </is>
      </c>
      <c r="B50" s="29" t="n"/>
      <c r="C50" s="29" t="n"/>
      <c r="D50" s="29" t="n"/>
      <c r="E50" s="29" t="n"/>
      <c r="F50" s="29" t="n"/>
      <c r="G50" s="29" t="n"/>
      <c r="H50" s="29" t="n"/>
      <c r="I50" s="30" t="n"/>
    </row>
    <row r="51">
      <c r="A51" s="5" t="inlineStr">
        <is>
          <t>階</t>
        </is>
      </c>
      <c r="B51" s="30" t="n"/>
      <c r="C51" s="5" t="inlineStr">
        <is>
          <t>效果</t>
        </is>
      </c>
      <c r="D51" s="29" t="n"/>
      <c r="E51" s="29" t="n"/>
      <c r="F51" s="29" t="n"/>
      <c r="G51" s="29" t="n"/>
      <c r="H51" s="29" t="n"/>
      <c r="I51" s="30" t="n"/>
    </row>
    <row r="52" ht="33" customHeight="1">
      <c r="A52" s="12" t="inlineStr">
        <is>
          <t>二階（聲望 6）</t>
        </is>
      </c>
      <c r="B52" s="30" t="n"/>
      <c r="C52" s="18" t="inlineStr">
        <is>
          <t>佈設行動點（AP）成本降為 0 點（仍需 1 壓迫值（PRE））。可在移動途中順手佈設。</t>
        </is>
      </c>
      <c r="D52" s="29" t="n"/>
      <c r="E52" s="29" t="n"/>
      <c r="F52" s="29" t="n"/>
      <c r="G52" s="29" t="n"/>
      <c r="H52" s="29" t="n"/>
      <c r="I52" s="30" t="n"/>
    </row>
    <row r="53" ht="22" customHeight="1">
      <c r="A53" s="12" t="inlineStr">
        <is>
          <t>三階（聲望 11）</t>
        </is>
      </c>
      <c r="B53" s="30" t="n"/>
      <c r="C53" s="18" t="inlineStr">
        <is>
          <t>陷阱庫存上限 +2；重設已觸發陷阱不需行動點（AP）（走過即重設）。</t>
        </is>
      </c>
      <c r="D53" s="29" t="n"/>
      <c r="E53" s="29" t="n"/>
      <c r="F53" s="29" t="n"/>
      <c r="G53" s="29" t="n"/>
      <c r="H53" s="29" t="n"/>
      <c r="I53" s="30" t="n"/>
    </row>
    <row r="54" ht="93" customHeight="1">
      <c r="A54" s="12" t="inlineStr">
        <is>
          <t>四階（聲望 16）</t>
        </is>
      </c>
      <c r="B54" s="30" t="n"/>
      <c r="C54" s="18" t="inlineStr">
        <is>
          <t>終焉形態｜鐵齒之網（Iron Jaw Web）
成本 4 壓迫值（PRE）＋ 2 行動點（AP），每場試煉 3 次。
立即在自身周圍 半徑 4 格內的所有空格同時佈設陷阱（不消耗庫存，這些陷阱在 5 輪後自行消失）。此期間任何踩中者，若已處於受傷（Injured）狀態，直接進入瀕死（Dying）。</t>
        </is>
      </c>
      <c r="D54" s="29" t="n"/>
      <c r="E54" s="29" t="n"/>
      <c r="F54" s="29" t="n"/>
      <c r="G54" s="29" t="n"/>
      <c r="H54" s="29" t="n"/>
      <c r="I54" s="30" t="n"/>
    </row>
    <row r="55" ht="20" customHeight="1">
      <c r="A55" s="9" t="inlineStr">
        <is>
          <t>五　專屬天賦（Perk）</t>
        </is>
      </c>
      <c r="B55" s="29" t="n"/>
      <c r="C55" s="29" t="n"/>
      <c r="D55" s="29" t="n"/>
      <c r="E55" s="29" t="n"/>
      <c r="F55" s="29" t="n"/>
      <c r="G55" s="29" t="n"/>
      <c r="H55" s="29" t="n"/>
      <c r="I55" s="30" t="n"/>
    </row>
    <row r="56">
      <c r="A56" s="5" t="inlineStr">
        <is>
          <t>編號</t>
        </is>
      </c>
      <c r="B56" s="30" t="n"/>
      <c r="C56" s="5" t="inlineStr">
        <is>
          <t>名稱</t>
        </is>
      </c>
      <c r="D56" s="29" t="n"/>
      <c r="E56" s="29" t="n"/>
      <c r="F56" s="30" t="n"/>
      <c r="G56" s="5" t="inlineStr">
        <is>
          <t>出處</t>
        </is>
      </c>
      <c r="H56" s="29" t="n"/>
      <c r="I56" s="30" t="n"/>
    </row>
    <row r="57">
      <c r="A57" s="8" t="inlineStr">
        <is>
          <t>TALENT-K01</t>
        </is>
      </c>
      <c r="B57" s="30" t="n"/>
      <c r="C57" s="6" t="inlineStr">
        <is>
          <t>不安氣場（Unnerving Presence）</t>
        </is>
      </c>
      <c r="D57" s="29" t="n"/>
      <c r="E57" s="29" t="n"/>
      <c r="F57" s="30" t="n"/>
      <c r="G57" s="6" t="inlineStr">
        <is>
          <t>21_天賦條目.md</t>
        </is>
      </c>
      <c r="H57" s="29" t="n"/>
      <c r="I57" s="30" t="n"/>
    </row>
    <row r="58">
      <c r="A58" s="8" t="inlineStr">
        <is>
          <t>TALENT-K02</t>
        </is>
      </c>
      <c r="B58" s="30" t="n"/>
      <c r="C58" s="6" t="inlineStr">
        <is>
          <t>蠻力破壞（Brutal Strength）</t>
        </is>
      </c>
      <c r="D58" s="29" t="n"/>
      <c r="E58" s="29" t="n"/>
      <c r="F58" s="30" t="n"/>
      <c r="G58" s="6" t="inlineStr">
        <is>
          <t>同上</t>
        </is>
      </c>
      <c r="H58" s="29" t="n"/>
      <c r="I58" s="30" t="n"/>
    </row>
    <row r="59">
      <c r="A59" s="8" t="inlineStr">
        <is>
          <t>TALENT-K03</t>
        </is>
      </c>
      <c r="B59" s="30" t="n"/>
      <c r="C59" s="6" t="inlineStr">
        <is>
          <t>煽動壓迫（Agitation）</t>
        </is>
      </c>
      <c r="D59" s="29" t="n"/>
      <c r="E59" s="29" t="n"/>
      <c r="F59" s="30" t="n"/>
      <c r="G59" s="6" t="inlineStr">
        <is>
          <t>同上</t>
        </is>
      </c>
      <c r="H59" s="29" t="n"/>
      <c r="I59" s="30" t="n"/>
    </row>
    <row r="60" ht="20" customHeight="1">
      <c r="A60" s="9" t="inlineStr">
        <is>
          <t>六　遭遇成本與投放</t>
        </is>
      </c>
      <c r="B60" s="29" t="n"/>
      <c r="C60" s="29" t="n"/>
      <c r="D60" s="29" t="n"/>
      <c r="E60" s="29" t="n"/>
      <c r="F60" s="29" t="n"/>
      <c r="G60" s="29" t="n"/>
      <c r="H60" s="29" t="n"/>
      <c r="I60" s="30" t="n"/>
    </row>
    <row r="61">
      <c r="A61" s="12" t="inlineStr">
        <is>
          <t>用途</t>
        </is>
      </c>
      <c r="B61" s="29" t="n"/>
      <c r="C61" s="30" t="n"/>
      <c r="D61" s="6" t="inlineStr">
        <is>
          <t>成本</t>
        </is>
      </c>
      <c r="E61" s="29" t="n"/>
      <c r="F61" s="29" t="n"/>
      <c r="G61" s="29" t="n"/>
      <c r="H61" s="29" t="n"/>
      <c r="I61" s="30" t="n"/>
    </row>
    <row r="62">
      <c r="A62" s="12" t="inlineStr">
        <is>
          <t>作為試煉主殺手</t>
        </is>
      </c>
      <c r="B62" s="29" t="n"/>
      <c r="C62" s="30" t="n"/>
      <c r="D62" s="6" t="inlineStr">
        <is>
          <t>佔遭遇預算（EB）的 60%</t>
        </is>
      </c>
      <c r="E62" s="29" t="n"/>
      <c r="F62" s="29" t="n"/>
      <c r="G62" s="29" t="n"/>
      <c r="H62" s="29" t="n"/>
      <c r="I62" s="30" t="n"/>
    </row>
    <row r="63">
      <c r="A63" s="12" t="inlineStr">
        <is>
          <t>作為劇本中的固定威脅（不追逐，只佈陷阱）</t>
        </is>
      </c>
      <c r="B63" s="29" t="n"/>
      <c r="C63" s="30" t="n"/>
      <c r="D63" s="6" t="inlineStr">
        <is>
          <t>CR × 2</t>
        </is>
      </c>
      <c r="E63" s="29" t="n"/>
      <c r="F63" s="29" t="n"/>
      <c r="G63" s="29" t="n"/>
      <c r="H63" s="29" t="n"/>
      <c r="I63" s="30" t="n"/>
    </row>
    <row r="64" ht="42" customHeight="1">
      <c r="A64" s="12" t="inlineStr">
        <is>
          <t>獨行配置（N ＝ 1）調整</t>
        </is>
      </c>
      <c r="B64" s="29" t="n"/>
      <c r="C64" s="30" t="n"/>
      <c r="D64" s="18" t="inlineStr">
        <is>
          <t>N = 1 時：陷阱庫存上限 −1；且受困（Snared）狀態下，自力脫困難度等級（DC）由 14 降為 12（無隊友可救，須放寬）。</t>
        </is>
      </c>
      <c r="E64" s="29" t="n"/>
      <c r="F64" s="29" t="n"/>
      <c r="G64" s="29" t="n"/>
      <c r="H64" s="29" t="n"/>
      <c r="I64" s="30" t="n"/>
    </row>
    <row r="65" ht="20" customHeight="1">
      <c r="A65" s="9" t="inlineStr">
        <is>
          <t>七　試煉中追蹤軌</t>
        </is>
      </c>
      <c r="B65" s="29" t="n"/>
      <c r="C65" s="29" t="n"/>
      <c r="D65" s="29" t="n"/>
      <c r="E65" s="29" t="n"/>
      <c r="F65" s="29" t="n"/>
      <c r="G65" s="29" t="n"/>
      <c r="H65" s="29" t="n"/>
      <c r="I65" s="30" t="n"/>
    </row>
    <row r="66">
      <c r="A66" s="12" t="inlineStr">
        <is>
          <t>當前壓迫值（PRE）</t>
        </is>
      </c>
      <c r="B66" s="30" t="n"/>
      <c r="C66" s="8" t="n"/>
      <c r="D66" s="30" t="n"/>
      <c r="E66" s="12" t="inlineStr">
        <is>
          <t>升壓階段</t>
        </is>
      </c>
      <c r="F66" s="30" t="n"/>
      <c r="G66" s="8" t="inlineStr">
        <is>
          <t>☐ 一　☐ 二　☐ 三</t>
        </is>
      </c>
      <c r="H66" s="29" t="n"/>
      <c r="I66" s="30" t="n"/>
    </row>
    <row r="67">
      <c r="A67" s="12" t="inlineStr">
        <is>
          <t>已獻祭人數</t>
        </is>
      </c>
      <c r="B67" s="30" t="n"/>
      <c r="C67" s="8" t="n"/>
      <c r="D67" s="30" t="n"/>
      <c r="E67" s="12" t="inlineStr">
        <is>
          <t>獵殺線索（Hunt Lead）</t>
        </is>
      </c>
      <c r="F67" s="30" t="n"/>
      <c r="G67" s="8" t="n"/>
      <c r="H67" s="29" t="n"/>
      <c r="I67" s="30" t="n"/>
    </row>
    <row r="68" ht="44" customHeight="1">
      <c r="A68" s="12" t="inlineStr">
        <is>
          <t>備註</t>
        </is>
      </c>
      <c r="B68" s="30" t="n"/>
      <c r="C68" s="18" t="n"/>
      <c r="D68" s="29" t="n"/>
      <c r="E68" s="29" t="n"/>
      <c r="F68" s="29" t="n"/>
      <c r="G68" s="29" t="n"/>
      <c r="H68" s="29" t="n"/>
      <c r="I68" s="30" t="n"/>
    </row>
  </sheetData>
  <mergeCells count="139">
    <mergeCell ref="C36:I36"/>
    <mergeCell ref="A15:B15"/>
    <mergeCell ref="A51:B51"/>
    <mergeCell ref="A21:C21"/>
    <mergeCell ref="A26:C26"/>
    <mergeCell ref="C53:I53"/>
    <mergeCell ref="A54:B54"/>
    <mergeCell ref="E4:I4"/>
    <mergeCell ref="A7:B7"/>
    <mergeCell ref="A23:C23"/>
    <mergeCell ref="A41:B41"/>
    <mergeCell ref="D13:E13"/>
    <mergeCell ref="A17:I17"/>
    <mergeCell ref="A56:B56"/>
    <mergeCell ref="C45:I45"/>
    <mergeCell ref="A63:C63"/>
    <mergeCell ref="D7:E7"/>
    <mergeCell ref="A33:B33"/>
    <mergeCell ref="A42:B42"/>
    <mergeCell ref="F15:I15"/>
    <mergeCell ref="C47:I47"/>
    <mergeCell ref="A53:B53"/>
    <mergeCell ref="A35:B35"/>
    <mergeCell ref="C40:I40"/>
    <mergeCell ref="C56:F56"/>
    <mergeCell ref="C67:D67"/>
    <mergeCell ref="A68:B68"/>
    <mergeCell ref="H23:I23"/>
    <mergeCell ref="A2:C5"/>
    <mergeCell ref="A39:B39"/>
    <mergeCell ref="A48:B48"/>
    <mergeCell ref="F13:I13"/>
    <mergeCell ref="D10:E10"/>
    <mergeCell ref="A59:B59"/>
    <mergeCell ref="A45:B45"/>
    <mergeCell ref="E67:F67"/>
    <mergeCell ref="E5:F5"/>
    <mergeCell ref="A12:C12"/>
    <mergeCell ref="H25:I25"/>
    <mergeCell ref="G7:H7"/>
    <mergeCell ref="D62:I62"/>
    <mergeCell ref="D11:E11"/>
    <mergeCell ref="C34:I34"/>
    <mergeCell ref="A37:B37"/>
    <mergeCell ref="A46:B46"/>
    <mergeCell ref="C68:I68"/>
    <mergeCell ref="C42:I42"/>
    <mergeCell ref="A29:C29"/>
    <mergeCell ref="D64:I64"/>
    <mergeCell ref="A13:C13"/>
    <mergeCell ref="H19:I19"/>
    <mergeCell ref="G56:I56"/>
    <mergeCell ref="H28:I28"/>
    <mergeCell ref="D9:E9"/>
    <mergeCell ref="A24:C24"/>
    <mergeCell ref="C44:I44"/>
    <mergeCell ref="A52:B52"/>
    <mergeCell ref="A1:I1"/>
    <mergeCell ref="C66:D66"/>
    <mergeCell ref="H5:I5"/>
    <mergeCell ref="C46:I46"/>
    <mergeCell ref="E66:F66"/>
    <mergeCell ref="C51:I51"/>
    <mergeCell ref="A34:B34"/>
    <mergeCell ref="A25:C25"/>
    <mergeCell ref="A65:I65"/>
    <mergeCell ref="G66:I66"/>
    <mergeCell ref="F9:I9"/>
    <mergeCell ref="C48:I48"/>
    <mergeCell ref="A49:B49"/>
    <mergeCell ref="D61:I61"/>
    <mergeCell ref="A18:C18"/>
    <mergeCell ref="A36:B36"/>
    <mergeCell ref="G3:I3"/>
    <mergeCell ref="C38:I38"/>
    <mergeCell ref="A55:I55"/>
    <mergeCell ref="C57:F57"/>
    <mergeCell ref="G58:I58"/>
    <mergeCell ref="H21:I21"/>
    <mergeCell ref="A32:I32"/>
    <mergeCell ref="C49:I49"/>
    <mergeCell ref="A22:C22"/>
    <mergeCell ref="A62:C62"/>
    <mergeCell ref="C33:I33"/>
    <mergeCell ref="C58:F58"/>
    <mergeCell ref="F10:I10"/>
    <mergeCell ref="A20:C20"/>
    <mergeCell ref="A28:C28"/>
    <mergeCell ref="A57:B57"/>
    <mergeCell ref="C35:I35"/>
    <mergeCell ref="E2:I2"/>
    <mergeCell ref="A14:B14"/>
    <mergeCell ref="A30:C30"/>
    <mergeCell ref="H22:I22"/>
    <mergeCell ref="D12:E12"/>
    <mergeCell ref="A64:C64"/>
    <mergeCell ref="D63:I63"/>
    <mergeCell ref="A38:B38"/>
    <mergeCell ref="A43:B43"/>
    <mergeCell ref="F8:I8"/>
    <mergeCell ref="A61:C61"/>
    <mergeCell ref="A6:I6"/>
    <mergeCell ref="A40:B40"/>
    <mergeCell ref="A67:B67"/>
    <mergeCell ref="H30:I30"/>
    <mergeCell ref="A16:I16"/>
    <mergeCell ref="C52:I52"/>
    <mergeCell ref="H20:I20"/>
    <mergeCell ref="G57:I57"/>
    <mergeCell ref="H29:I29"/>
    <mergeCell ref="C39:I39"/>
    <mergeCell ref="A27:C27"/>
    <mergeCell ref="A50:I50"/>
    <mergeCell ref="C37:I37"/>
    <mergeCell ref="F14:I14"/>
    <mergeCell ref="A8:C8"/>
    <mergeCell ref="F11:I11"/>
    <mergeCell ref="A66:B66"/>
    <mergeCell ref="A10:C10"/>
    <mergeCell ref="A19:C19"/>
    <mergeCell ref="A47:B47"/>
    <mergeCell ref="F12:I12"/>
    <mergeCell ref="A9:C9"/>
    <mergeCell ref="A31:I31"/>
    <mergeCell ref="C54:I54"/>
    <mergeCell ref="G59:I59"/>
    <mergeCell ref="C41:I41"/>
    <mergeCell ref="H27:I27"/>
    <mergeCell ref="D8:E8"/>
    <mergeCell ref="A11:C11"/>
    <mergeCell ref="A60:I60"/>
    <mergeCell ref="H24:I24"/>
    <mergeCell ref="G67:I67"/>
    <mergeCell ref="H18:I18"/>
    <mergeCell ref="C43:I43"/>
    <mergeCell ref="C59:F59"/>
    <mergeCell ref="A44:B44"/>
    <mergeCell ref="A58:B58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幽靈（WRT）｜歐立森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WRT</t>
        </is>
      </c>
      <c r="F3" s="5" t="inlineStr">
        <is>
          <t>本名</t>
        </is>
      </c>
      <c r="G3" s="6" t="inlineStr">
        <is>
          <t>歐立森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R2 廢車場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潛行型</t>
        </is>
      </c>
      <c r="F5" s="30" t="n"/>
      <c r="G5" s="5" t="inlineStr">
        <is>
          <t>屬性傾向</t>
        </is>
      </c>
      <c r="H5" s="6" t="inlineStr">
        <is>
          <t>秘能（OCC）＋2、追獵（HNT）＋1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1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16</v>
      </c>
      <c r="D14" s="5" t="inlineStr">
        <is>
          <t>格　→　公尺</t>
        </is>
      </c>
      <c r="E14" s="14">
        <f>IF(C14="","",C14*2)</f>
        <v/>
      </c>
      <c r="F14" s="6" t="inlineStr">
        <is>
          <t>32 公尺 ＝ 16 格（隱形時 0 公尺）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7</v>
      </c>
      <c r="D15" s="5" t="inlineStr">
        <is>
          <t>格／輪</t>
        </is>
      </c>
      <c r="E15" s="8" t="n"/>
      <c r="F15" s="6" t="inlineStr">
        <is>
          <t>第三級 標準（7 格／輪，移動速度優勢 +2）；隱形時第四級 迅捷（8 格／輪，移動速度優勢 +3）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2</t>
        </is>
      </c>
      <c r="E19" s="8" t="inlineStr">
        <is>
          <t>3</t>
        </is>
      </c>
      <c r="F19" s="8" t="inlineStr">
        <is>
          <t>4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2</t>
        </is>
      </c>
      <c r="E20" s="8" t="inlineStr">
        <is>
          <t>3</t>
        </is>
      </c>
      <c r="F20" s="8" t="inlineStr">
        <is>
          <t>4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1</t>
        </is>
      </c>
      <c r="E21" s="8" t="inlineStr">
        <is>
          <t>2</t>
        </is>
      </c>
      <c r="F21" s="8" t="inlineStr">
        <is>
          <t>3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1</t>
        </is>
      </c>
      <c r="E22" s="8" t="inlineStr">
        <is>
          <t>1</t>
        </is>
      </c>
      <c r="F22" s="8" t="inlineStr">
        <is>
          <t>2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2</t>
        </is>
      </c>
      <c r="E23" s="8" t="inlineStr">
        <is>
          <t>4</t>
        </is>
      </c>
      <c r="F23" s="8" t="inlineStr">
        <is>
          <t>5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1</t>
        </is>
      </c>
      <c r="E24" s="8" t="inlineStr">
        <is>
          <t>2</t>
        </is>
      </c>
      <c r="F24" s="8" t="inlineStr">
        <is>
          <t>4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1</t>
        </is>
      </c>
      <c r="E25" s="8" t="inlineStr">
        <is>
          <t>2</t>
        </is>
      </c>
      <c r="F25" s="8" t="inlineStr">
        <is>
          <t>4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0</t>
        </is>
      </c>
      <c r="E26" s="8" t="inlineStr">
        <is>
          <t>1</t>
        </is>
      </c>
      <c r="F26" s="8" t="inlineStr">
        <is>
          <t>2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0</t>
        </is>
      </c>
      <c r="E27" s="8" t="inlineStr">
        <is>
          <t>3</t>
        </is>
      </c>
      <c r="F27" s="8" t="inlineStr">
        <is>
          <t>5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2</t>
        </is>
      </c>
      <c r="E28" s="8" t="inlineStr">
        <is>
          <t>11</t>
        </is>
      </c>
      <c r="F28" s="8" t="inlineStr">
        <is>
          <t>21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+3</t>
        </is>
      </c>
      <c r="E29" s="8" t="inlineStr">
        <is>
          <t>+5</t>
        </is>
      </c>
      <c r="F29" s="8" t="inlineStr">
        <is>
          <t>+8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+2</t>
        </is>
      </c>
      <c r="E30" s="8" t="inlineStr">
        <is>
          <t>+7</t>
        </is>
      </c>
      <c r="F30" s="8" t="inlineStr">
        <is>
          <t>+10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力量卡：招魂鈴（Spirit Bell）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潛行型（冷卻制，無庫存）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無充能池。以冷卻為唯一限制</t>
        </is>
      </c>
      <c r="D35" s="29" t="n"/>
      <c r="E35" s="29" t="n"/>
      <c r="F35" s="29" t="n"/>
      <c r="G35" s="29" t="n"/>
      <c r="H35" s="29" t="n"/>
      <c r="I35" s="30" t="n"/>
    </row>
    <row r="36" ht="22" customHeight="1">
      <c r="A36" s="12" t="inlineStr">
        <is>
          <t>充能上限／回復</t>
        </is>
      </c>
      <c r="B36" s="30" t="n"/>
      <c r="C36" s="18" t="inlineStr">
        <is>
          <t>不適用</t>
        </is>
      </c>
      <c r="D36" s="29" t="n"/>
      <c r="E36" s="29" t="n"/>
      <c r="F36" s="29" t="n"/>
      <c r="G36" s="29" t="n"/>
      <c r="H36" s="29" t="n"/>
      <c r="I36" s="30" t="n"/>
    </row>
    <row r="37" ht="22" customHeight="1">
      <c r="A37" s="12" t="inlineStr">
        <is>
          <t>行動點（AP）成本</t>
        </is>
      </c>
      <c r="B37" s="30" t="n"/>
      <c r="C37" s="18" t="inlineStr">
        <is>
          <t>隱形（Cloak）1 點；解除隱形（Uncloak）1 點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壓迫值（PRE）成本</t>
        </is>
      </c>
      <c r="B38" s="30" t="n"/>
      <c r="C38" s="18" t="inlineStr">
        <is>
          <t>隱形 2 點；解除 0 點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判定式</t>
        </is>
      </c>
      <c r="B39" s="30" t="n"/>
      <c r="C39" s="18" t="inlineStr">
        <is>
          <t>隱形／解除無需檢定，必定成功。判定發生在倖存者側（見下）</t>
        </is>
      </c>
      <c r="D39" s="29" t="n"/>
      <c r="E39" s="29" t="n"/>
      <c r="F39" s="29" t="n"/>
      <c r="G39" s="29" t="n"/>
      <c r="H39" s="29" t="n"/>
      <c r="I39" s="30" t="n"/>
    </row>
    <row r="40" ht="108" customHeight="1">
      <c r="A40" s="12" t="inlineStr">
        <is>
          <t>隱形（Cloak）狀態效果</t>
        </is>
      </c>
      <c r="B40" s="30" t="n"/>
      <c r="C40" s="18" t="inlineStr">
        <is>
          <t>① 獲得 不可探測（Undetectable，ST-12）：恐怖半徑（TR）降為 0 公尺，不發放心跳籌碼，不留紅漬（Red Stain）。
② 移動等級提升至 第四級 迅捷（8 格／輪，移動速度優勢 +3）。
③ 不可進行基礎攻擊，不可破壞板子，不可扛人。
④ 隱形持續至主動解除，或連續 6 輪後自動解除。</t>
        </is>
      </c>
      <c r="D40" s="29" t="n"/>
      <c r="E40" s="29" t="n"/>
      <c r="F40" s="29" t="n"/>
      <c r="G40" s="29" t="n"/>
      <c r="H40" s="29" t="n"/>
      <c r="I40" s="30" t="n"/>
    </row>
    <row r="41" ht="123" customHeight="1">
      <c r="A41" s="12" t="inlineStr">
        <is>
          <t>鈴聲（倖存者偵測）</t>
        </is>
      </c>
      <c r="B41" s="30" t="n"/>
      <c r="C41" s="18" t="inlineStr">
        <is>
          <t>隱形時，處於 中距（MID，4–8 格）以內的倖存者，每輪結束時可做 專注（FOC）＋洞察（INS）檢定 vs 難度等級（DC）12。
大成功：得知幽靈所在的距離帶與大致方位（八方位取一）。
成功：得知距離帶（不知方位）。
失敗：無資訊。
大失敗：獲得錯誤資訊——主持人（GM）給出一個假距離帶（這是本化身資訊戰的核心）。</t>
        </is>
      </c>
      <c r="D41" s="29" t="n"/>
      <c r="E41" s="29" t="n"/>
      <c r="F41" s="29" t="n"/>
      <c r="G41" s="29" t="n"/>
      <c r="H41" s="29" t="n"/>
      <c r="I41" s="30" t="n"/>
    </row>
    <row r="42" ht="78" customHeight="1">
      <c r="A42" s="12" t="inlineStr">
        <is>
          <t>解除隱形（Uncloak）</t>
        </is>
      </c>
      <c r="B42" s="30" t="n"/>
      <c r="C42" s="18" t="inlineStr">
        <is>
          <t>花 1 行動點（AP） 解除。當輪：
① 硬直：解除後本輪剩餘行動點（AP）−1；
② 突襲加成：解除後的本輪首次基礎攻擊 +4，且該次攻擊無視板子暈眩（Stun）（即使倖存者成功推板，幽靈不暈眩，僅追逐間距 +1）。</t>
        </is>
      </c>
      <c r="D42" s="29" t="n"/>
      <c r="E42" s="29" t="n"/>
      <c r="F42" s="29" t="n"/>
      <c r="G42" s="29" t="n"/>
      <c r="H42" s="29" t="n"/>
      <c r="I42" s="30" t="n"/>
    </row>
    <row r="43" ht="63" customHeight="1">
      <c r="A43" s="12" t="inlineStr">
        <is>
          <t>失手／代價</t>
        </is>
      </c>
      <c r="B43" s="30" t="n"/>
      <c r="C43" s="18" t="inlineStr">
        <is>
          <t>① 隱形期間完全無法造成傷害——隱形每一輪都是「不施加壓力」的一輪，倖存者可安心修機。
② 解除硬直讓幽靈在「解除的那一輪」實際只有 3 行動點（AP），若判斷失誤（倖存者已跑遠），這一輪等於完全浪費。</t>
        </is>
      </c>
      <c r="D43" s="29" t="n"/>
      <c r="E43" s="29" t="n"/>
      <c r="F43" s="29" t="n"/>
      <c r="G43" s="29" t="n"/>
      <c r="H43" s="29" t="n"/>
      <c r="I43" s="30" t="n"/>
    </row>
    <row r="44" ht="22" customHeight="1">
      <c r="A44" s="12" t="inlineStr">
        <is>
          <t>冷卻</t>
        </is>
      </c>
      <c r="B44" s="30" t="n"/>
      <c r="C44" s="18" t="inlineStr">
        <is>
          <t>解除隱形後 2 輪不可再次隱形</t>
        </is>
      </c>
      <c r="D44" s="29" t="n"/>
      <c r="E44" s="29" t="n"/>
      <c r="F44" s="29" t="n"/>
      <c r="G44" s="29" t="n"/>
      <c r="H44" s="29" t="n"/>
      <c r="I44" s="30" t="n"/>
    </row>
    <row r="45" ht="48" customHeight="1">
      <c r="A45" s="12" t="inlineStr">
        <is>
          <t>倖存者應對</t>
        </is>
      </c>
      <c r="B45" s="30" t="n"/>
      <c r="C45" s="18" t="inlineStr">
        <is>
          <t>① 貼牆蹲行 + 洞察檢定——主動偵測鈴聲，成功一次就知道該往哪跑；② 不要在開闊地修機——幽靈的突襲加成 +4 在開闊地幾乎必中；③ 推板要提早——反正解除當輪推板不會造成暈眩，不如提前一輪推，用追逐間距換空間。</t>
        </is>
      </c>
      <c r="D45" s="29" t="n"/>
      <c r="E45" s="29" t="n"/>
      <c r="F45" s="29" t="n"/>
      <c r="G45" s="29" t="n"/>
      <c r="H45" s="29" t="n"/>
      <c r="I45" s="30" t="n"/>
    </row>
    <row r="46" ht="33" customHeight="1">
      <c r="A46" s="12" t="inlineStr">
        <is>
          <t>獨行配置調整</t>
        </is>
      </c>
      <c r="B46" s="30" t="n"/>
      <c r="C46" s="18" t="inlineStr">
        <is>
          <t>N = 1 時：鈴聲偵測檢定的難度等級（DC）由 12 降為 10，且大失敗不給假資訊（改為無資訊）。單人玩家沒有隊友報點，被餵假情報會直接崩盤。</t>
        </is>
      </c>
      <c r="D46" s="29" t="n"/>
      <c r="E46" s="29" t="n"/>
      <c r="F46" s="29" t="n"/>
      <c r="G46" s="29" t="n"/>
      <c r="H46" s="29" t="n"/>
      <c r="I46" s="30" t="n"/>
    </row>
    <row r="47" ht="20" customHeight="1">
      <c r="A47" s="9" t="inlineStr">
        <is>
          <t>四　力量精通（Power Mastery）</t>
        </is>
      </c>
      <c r="B47" s="29" t="n"/>
      <c r="C47" s="29" t="n"/>
      <c r="D47" s="29" t="n"/>
      <c r="E47" s="29" t="n"/>
      <c r="F47" s="29" t="n"/>
      <c r="G47" s="29" t="n"/>
      <c r="H47" s="29" t="n"/>
      <c r="I47" s="30" t="n"/>
    </row>
    <row r="48">
      <c r="A48" s="5" t="inlineStr">
        <is>
          <t>階</t>
        </is>
      </c>
      <c r="B48" s="30" t="n"/>
      <c r="C48" s="5" t="inlineStr">
        <is>
          <t>效果</t>
        </is>
      </c>
      <c r="D48" s="29" t="n"/>
      <c r="E48" s="29" t="n"/>
      <c r="F48" s="29" t="n"/>
      <c r="G48" s="29" t="n"/>
      <c r="H48" s="29" t="n"/>
      <c r="I48" s="30" t="n"/>
    </row>
    <row r="49" ht="22" customHeight="1">
      <c r="A49" s="12" t="inlineStr">
        <is>
          <t>二階（聲望 6）</t>
        </is>
      </c>
      <c r="B49" s="30" t="n"/>
      <c r="C49" s="18" t="inlineStr">
        <is>
          <t>冷卻由 2 輪降為 1 輪。</t>
        </is>
      </c>
      <c r="D49" s="29" t="n"/>
      <c r="E49" s="29" t="n"/>
      <c r="F49" s="29" t="n"/>
      <c r="G49" s="29" t="n"/>
      <c r="H49" s="29" t="n"/>
      <c r="I49" s="30" t="n"/>
    </row>
    <row r="50" ht="33" customHeight="1">
      <c r="A50" s="12" t="inlineStr">
        <is>
          <t>三階（聲望 11）</t>
        </is>
      </c>
      <c r="B50" s="30" t="n"/>
      <c r="C50" s="18" t="inlineStr">
        <is>
          <t>隱形時移動配額再 +1 格（共 9 格／輪）；解除硬直由「−1 行動點（AP）」降為 0。</t>
        </is>
      </c>
      <c r="D50" s="29" t="n"/>
      <c r="E50" s="29" t="n"/>
      <c r="F50" s="29" t="n"/>
      <c r="G50" s="29" t="n"/>
      <c r="H50" s="29" t="n"/>
      <c r="I50" s="30" t="n"/>
    </row>
    <row r="51" ht="93" customHeight="1">
      <c r="A51" s="12" t="inlineStr">
        <is>
          <t>四階（聲望 16）</t>
        </is>
      </c>
      <c r="B51" s="30" t="n"/>
      <c r="C51" s="18" t="inlineStr">
        <is>
          <t>終焉形態｜無聲之鈴（The Silent Bell）
成本 4 壓迫值（PRE）＋ 1 行動點（AP），每場試煉 3 次。
進入「無聲隱形」：持續 3 輪，期間 ① 倖存者的鈴聲偵測難度等級（DC）提升至 18；② 可以進行基礎攻擊而不解除隱形（每輪限 1 次，攻擊修正 −2）；③ 3 輪結束時自動解除，無硬直。</t>
        </is>
      </c>
      <c r="D51" s="29" t="n"/>
      <c r="E51" s="29" t="n"/>
      <c r="F51" s="29" t="n"/>
      <c r="G51" s="29" t="n"/>
      <c r="H51" s="29" t="n"/>
      <c r="I51" s="30" t="n"/>
    </row>
    <row r="52" ht="20" customHeight="1">
      <c r="A52" s="9" t="inlineStr">
        <is>
          <t>五　專屬天賦（Perk）</t>
        </is>
      </c>
      <c r="B52" s="29" t="n"/>
      <c r="C52" s="29" t="n"/>
      <c r="D52" s="29" t="n"/>
      <c r="E52" s="29" t="n"/>
      <c r="F52" s="29" t="n"/>
      <c r="G52" s="29" t="n"/>
      <c r="H52" s="29" t="n"/>
      <c r="I52" s="30" t="n"/>
    </row>
    <row r="53">
      <c r="A53" s="5" t="inlineStr">
        <is>
          <t>編號</t>
        </is>
      </c>
      <c r="B53" s="30" t="n"/>
      <c r="C53" s="5" t="inlineStr">
        <is>
          <t>名稱</t>
        </is>
      </c>
      <c r="D53" s="29" t="n"/>
      <c r="E53" s="29" t="n"/>
      <c r="F53" s="30" t="n"/>
      <c r="G53" s="5" t="inlineStr">
        <is>
          <t>出處</t>
        </is>
      </c>
      <c r="H53" s="29" t="n"/>
      <c r="I53" s="30" t="n"/>
    </row>
    <row r="54">
      <c r="A54" s="8" t="inlineStr">
        <is>
          <t>TALENT-K04</t>
        </is>
      </c>
      <c r="B54" s="30" t="n"/>
      <c r="C54" s="6" t="inlineStr">
        <is>
          <t>獵手預判（Predator）</t>
        </is>
      </c>
      <c r="D54" s="29" t="n"/>
      <c r="E54" s="29" t="n"/>
      <c r="F54" s="30" t="n"/>
      <c r="G54" s="6" t="n"/>
      <c r="H54" s="29" t="n"/>
      <c r="I54" s="30" t="n"/>
    </row>
    <row r="55">
      <c r="A55" s="8" t="inlineStr">
        <is>
          <t>TALENT-K05</t>
        </is>
      </c>
      <c r="B55" s="30" t="n"/>
      <c r="C55" s="6" t="inlineStr">
        <is>
          <t>血跡追蹤（Bloodhound）</t>
        </is>
      </c>
      <c r="D55" s="29" t="n"/>
      <c r="E55" s="29" t="n"/>
      <c r="F55" s="30" t="n"/>
      <c r="G55" s="6" t="n"/>
      <c r="H55" s="29" t="n"/>
      <c r="I55" s="30" t="n"/>
    </row>
    <row r="56">
      <c r="A56" s="8" t="inlineStr">
        <is>
          <t>TALENT-K06</t>
        </is>
      </c>
      <c r="B56" s="30" t="n"/>
      <c r="C56" s="6" t="inlineStr">
        <is>
          <t>暗影視野（Shadowborn）</t>
        </is>
      </c>
      <c r="D56" s="29" t="n"/>
      <c r="E56" s="29" t="n"/>
      <c r="F56" s="30" t="n"/>
      <c r="G56" s="6" t="n"/>
      <c r="H56" s="29" t="n"/>
      <c r="I56" s="30" t="n"/>
    </row>
    <row r="57" ht="20" customHeight="1">
      <c r="A57" s="9" t="inlineStr">
        <is>
          <t>六　遭遇成本與投放</t>
        </is>
      </c>
      <c r="B57" s="29" t="n"/>
      <c r="C57" s="29" t="n"/>
      <c r="D57" s="29" t="n"/>
      <c r="E57" s="29" t="n"/>
      <c r="F57" s="29" t="n"/>
      <c r="G57" s="29" t="n"/>
      <c r="H57" s="29" t="n"/>
      <c r="I57" s="30" t="n"/>
    </row>
    <row r="58">
      <c r="A58" s="12" t="inlineStr">
        <is>
          <t>作為試煉主殺手</t>
        </is>
      </c>
      <c r="B58" s="29" t="n"/>
      <c r="C58" s="30" t="n"/>
      <c r="D58" s="6" t="inlineStr">
        <is>
          <t>佔遭遇預算（EB）的 60%</t>
        </is>
      </c>
      <c r="E58" s="29" t="n"/>
      <c r="F58" s="29" t="n"/>
      <c r="G58" s="29" t="n"/>
      <c r="H58" s="29" t="n"/>
      <c r="I58" s="30" t="n"/>
    </row>
    <row r="59">
      <c r="A59" s="12" t="inlineStr">
        <is>
          <t>作為劇本中的固定威脅</t>
        </is>
      </c>
      <c r="B59" s="29" t="n"/>
      <c r="C59" s="30" t="n"/>
      <c r="D59" s="6" t="inlineStr">
        <is>
          <t>挑戰等級（CR）× 2</t>
        </is>
      </c>
      <c r="E59" s="29" t="n"/>
      <c r="F59" s="29" t="n"/>
      <c r="G59" s="29" t="n"/>
      <c r="H59" s="29" t="n"/>
      <c r="I59" s="30" t="n"/>
    </row>
    <row r="60" ht="42" customHeight="1">
      <c r="A60" s="12" t="inlineStr">
        <is>
          <t>獨行配置（N ＝ 1）調整</t>
        </is>
      </c>
      <c r="B60" s="29" t="n"/>
      <c r="C60" s="30" t="n"/>
      <c r="D60" s="18" t="inlineStr">
        <is>
          <t>N = 1 時：鈴聲偵測檢定的難度等級（DC）由 12 降為 10，且大失敗不給假資訊（改為無資訊）。單人玩家沒有隊友報點，被餵假情報會直接崩盤。</t>
        </is>
      </c>
      <c r="E60" s="29" t="n"/>
      <c r="F60" s="29" t="n"/>
      <c r="G60" s="29" t="n"/>
      <c r="H60" s="29" t="n"/>
      <c r="I60" s="30" t="n"/>
    </row>
    <row r="61" ht="20" customHeight="1">
      <c r="A61" s="9" t="inlineStr">
        <is>
          <t>七　試煉中追蹤軌</t>
        </is>
      </c>
      <c r="B61" s="29" t="n"/>
      <c r="C61" s="29" t="n"/>
      <c r="D61" s="29" t="n"/>
      <c r="E61" s="29" t="n"/>
      <c r="F61" s="29" t="n"/>
      <c r="G61" s="29" t="n"/>
      <c r="H61" s="29" t="n"/>
      <c r="I61" s="30" t="n"/>
    </row>
    <row r="62">
      <c r="A62" s="12" t="inlineStr">
        <is>
          <t>當前壓迫值（PRE）</t>
        </is>
      </c>
      <c r="B62" s="30" t="n"/>
      <c r="C62" s="8" t="n"/>
      <c r="D62" s="30" t="n"/>
      <c r="E62" s="12" t="inlineStr">
        <is>
          <t>升壓階段</t>
        </is>
      </c>
      <c r="F62" s="30" t="n"/>
      <c r="G62" s="8" t="inlineStr">
        <is>
          <t>☐ 一　☐ 二　☐ 三</t>
        </is>
      </c>
      <c r="H62" s="29" t="n"/>
      <c r="I62" s="30" t="n"/>
    </row>
    <row r="63">
      <c r="A63" s="12" t="inlineStr">
        <is>
          <t>已獻祭人數</t>
        </is>
      </c>
      <c r="B63" s="30" t="n"/>
      <c r="C63" s="8" t="n"/>
      <c r="D63" s="30" t="n"/>
      <c r="E63" s="12" t="inlineStr">
        <is>
          <t>獵殺線索（Hunt Lead）</t>
        </is>
      </c>
      <c r="F63" s="30" t="n"/>
      <c r="G63" s="8" t="n"/>
      <c r="H63" s="29" t="n"/>
      <c r="I63" s="30" t="n"/>
    </row>
    <row r="64" ht="44" customHeight="1">
      <c r="A64" s="12" t="inlineStr">
        <is>
          <t>備註</t>
        </is>
      </c>
      <c r="B64" s="30" t="n"/>
      <c r="C64" s="18" t="n"/>
      <c r="D64" s="29" t="n"/>
      <c r="E64" s="29" t="n"/>
      <c r="F64" s="29" t="n"/>
      <c r="G64" s="29" t="n"/>
      <c r="H64" s="29" t="n"/>
      <c r="I64" s="30" t="n"/>
    </row>
  </sheetData>
  <mergeCells count="131">
    <mergeCell ref="C36:I36"/>
    <mergeCell ref="A64:B64"/>
    <mergeCell ref="A15:B15"/>
    <mergeCell ref="C62:D62"/>
    <mergeCell ref="E62:F62"/>
    <mergeCell ref="A51:B51"/>
    <mergeCell ref="G62:I62"/>
    <mergeCell ref="A21:C21"/>
    <mergeCell ref="A26:C26"/>
    <mergeCell ref="A54:B54"/>
    <mergeCell ref="E4:I4"/>
    <mergeCell ref="A7:B7"/>
    <mergeCell ref="A23:C23"/>
    <mergeCell ref="A41:B41"/>
    <mergeCell ref="D13:E13"/>
    <mergeCell ref="C63:D63"/>
    <mergeCell ref="E63:F63"/>
    <mergeCell ref="A17:I17"/>
    <mergeCell ref="A56:B56"/>
    <mergeCell ref="G63:I63"/>
    <mergeCell ref="C45:I45"/>
    <mergeCell ref="D7:E7"/>
    <mergeCell ref="A33:B33"/>
    <mergeCell ref="A42:B42"/>
    <mergeCell ref="C54:F54"/>
    <mergeCell ref="F15:I15"/>
    <mergeCell ref="D59:I59"/>
    <mergeCell ref="D60:I60"/>
    <mergeCell ref="A53:B53"/>
    <mergeCell ref="A35:B35"/>
    <mergeCell ref="A62:B62"/>
    <mergeCell ref="C40:I40"/>
    <mergeCell ref="C56:F56"/>
    <mergeCell ref="H23:I23"/>
    <mergeCell ref="A61:I61"/>
    <mergeCell ref="A2:C5"/>
    <mergeCell ref="A39:B39"/>
    <mergeCell ref="A48:B48"/>
    <mergeCell ref="F13:I13"/>
    <mergeCell ref="D10:E10"/>
    <mergeCell ref="A45:B45"/>
    <mergeCell ref="E5:F5"/>
    <mergeCell ref="A12:C12"/>
    <mergeCell ref="H25:I25"/>
    <mergeCell ref="G7:H7"/>
    <mergeCell ref="D11:E11"/>
    <mergeCell ref="C34:I34"/>
    <mergeCell ref="A37:B37"/>
    <mergeCell ref="A46:B46"/>
    <mergeCell ref="G55:I55"/>
    <mergeCell ref="D58:I58"/>
    <mergeCell ref="C42:I42"/>
    <mergeCell ref="A29:C29"/>
    <mergeCell ref="A52:I52"/>
    <mergeCell ref="G54:I54"/>
    <mergeCell ref="A13:C13"/>
    <mergeCell ref="A58:C58"/>
    <mergeCell ref="H19:I19"/>
    <mergeCell ref="G56:I56"/>
    <mergeCell ref="H28:I28"/>
    <mergeCell ref="D9:E9"/>
    <mergeCell ref="A24:C24"/>
    <mergeCell ref="C44:I44"/>
    <mergeCell ref="A60:C60"/>
    <mergeCell ref="A63:B63"/>
    <mergeCell ref="A1:I1"/>
    <mergeCell ref="H5:I5"/>
    <mergeCell ref="C46:I46"/>
    <mergeCell ref="C51:I51"/>
    <mergeCell ref="A34:B34"/>
    <mergeCell ref="A25:C25"/>
    <mergeCell ref="F9:I9"/>
    <mergeCell ref="C48:I48"/>
    <mergeCell ref="A49:B49"/>
    <mergeCell ref="G53:I53"/>
    <mergeCell ref="A18:C18"/>
    <mergeCell ref="A36:B36"/>
    <mergeCell ref="G3:I3"/>
    <mergeCell ref="C38:I38"/>
    <mergeCell ref="C53:F53"/>
    <mergeCell ref="H21:I21"/>
    <mergeCell ref="A57:I57"/>
    <mergeCell ref="A32:I32"/>
    <mergeCell ref="C49:I49"/>
    <mergeCell ref="A22:C22"/>
    <mergeCell ref="C33:I33"/>
    <mergeCell ref="F10:I10"/>
    <mergeCell ref="A20:C20"/>
    <mergeCell ref="A55:B55"/>
    <mergeCell ref="A28:C28"/>
    <mergeCell ref="C35:I35"/>
    <mergeCell ref="E2:I2"/>
    <mergeCell ref="A14:B14"/>
    <mergeCell ref="A30:C30"/>
    <mergeCell ref="H22:I22"/>
    <mergeCell ref="A59:C59"/>
    <mergeCell ref="D12:E12"/>
    <mergeCell ref="A38:B38"/>
    <mergeCell ref="A43:B43"/>
    <mergeCell ref="F8:I8"/>
    <mergeCell ref="A6:I6"/>
    <mergeCell ref="A40:B40"/>
    <mergeCell ref="H30:I30"/>
    <mergeCell ref="A16:I16"/>
    <mergeCell ref="H20:I20"/>
    <mergeCell ref="H29:I29"/>
    <mergeCell ref="C39:I39"/>
    <mergeCell ref="A27:C27"/>
    <mergeCell ref="C37:I37"/>
    <mergeCell ref="F14:I14"/>
    <mergeCell ref="A47:I47"/>
    <mergeCell ref="A8:C8"/>
    <mergeCell ref="F11:I11"/>
    <mergeCell ref="A50:B50"/>
    <mergeCell ref="A10:C10"/>
    <mergeCell ref="A19:C19"/>
    <mergeCell ref="C64:I64"/>
    <mergeCell ref="F12:I12"/>
    <mergeCell ref="A9:C9"/>
    <mergeCell ref="A31:I31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鏈鋸屠夫（HBY）｜卓炳山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HBY</t>
        </is>
      </c>
      <c r="F3" s="5" t="inlineStr">
        <is>
          <t>本名</t>
        </is>
      </c>
      <c r="G3" s="6" t="inlineStr">
        <is>
          <t>卓炳山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R3 寒風農場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衝刺型</t>
        </is>
      </c>
      <c r="F5" s="30" t="n"/>
      <c r="G5" s="5" t="inlineStr">
        <is>
          <t>屬性傾向</t>
        </is>
      </c>
      <c r="H5" s="6" t="inlineStr">
        <is>
          <t>蠻力（BRU）＋2、追獵（HNT）＋1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2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16</v>
      </c>
      <c r="D14" s="5" t="inlineStr">
        <is>
          <t>格　→　公尺</t>
        </is>
      </c>
      <c r="E14" s="14">
        <f>IF(C14="","",C14*2)</f>
        <v/>
      </c>
      <c r="F14" s="6" t="inlineStr">
        <is>
          <t>32 公尺 ＝ 16 格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7</v>
      </c>
      <c r="D15" s="5" t="inlineStr">
        <is>
          <t>格／輪</t>
        </is>
      </c>
      <c r="E15" s="8" t="n"/>
      <c r="F15" s="6" t="inlineStr">
        <is>
          <t>第三級 標準（7 格／輪，移動速度優勢 +2）；衝刺時第五級 極速（14 格直線，移動速度優勢 +5）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3</t>
        </is>
      </c>
      <c r="E19" s="8" t="inlineStr">
        <is>
          <t>5</t>
        </is>
      </c>
      <c r="F19" s="8" t="inlineStr">
        <is>
          <t>5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2</t>
        </is>
      </c>
      <c r="E20" s="8" t="inlineStr">
        <is>
          <t>3</t>
        </is>
      </c>
      <c r="F20" s="8" t="inlineStr">
        <is>
          <t>5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1</t>
        </is>
      </c>
      <c r="E21" s="8" t="inlineStr">
        <is>
          <t>2</t>
        </is>
      </c>
      <c r="F21" s="8" t="inlineStr">
        <is>
          <t>3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1</t>
        </is>
      </c>
      <c r="E22" s="8" t="inlineStr">
        <is>
          <t>1</t>
        </is>
      </c>
      <c r="F22" s="8" t="inlineStr">
        <is>
          <t>2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1</t>
        </is>
      </c>
      <c r="E23" s="8" t="inlineStr">
        <is>
          <t>2</t>
        </is>
      </c>
      <c r="F23" s="8" t="inlineStr">
        <is>
          <t>3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0</t>
        </is>
      </c>
      <c r="E24" s="8" t="inlineStr">
        <is>
          <t>1</t>
        </is>
      </c>
      <c r="F24" s="8" t="inlineStr">
        <is>
          <t>3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1</t>
        </is>
      </c>
      <c r="E25" s="8" t="inlineStr">
        <is>
          <t>3</t>
        </is>
      </c>
      <c r="F25" s="8" t="inlineStr">
        <is>
          <t>5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0</t>
        </is>
      </c>
      <c r="E26" s="8" t="inlineStr">
        <is>
          <t>1</t>
        </is>
      </c>
      <c r="F26" s="8" t="inlineStr">
        <is>
          <t>2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1</t>
        </is>
      </c>
      <c r="E27" s="8" t="inlineStr">
        <is>
          <t>3</t>
        </is>
      </c>
      <c r="F27" s="8" t="inlineStr">
        <is>
          <t>4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3</t>
        </is>
      </c>
      <c r="E28" s="8" t="inlineStr">
        <is>
          <t>12</t>
        </is>
      </c>
      <c r="F28" s="8" t="inlineStr">
        <is>
          <t>22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+4</t>
        </is>
      </c>
      <c r="E29" s="8" t="inlineStr">
        <is>
          <t>+8</t>
        </is>
      </c>
      <c r="F29" s="8" t="inlineStr">
        <is>
          <t>+10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+2</t>
        </is>
      </c>
      <c r="E30" s="8" t="inlineStr">
        <is>
          <t>+5</t>
        </is>
      </c>
      <c r="F30" s="8" t="inlineStr">
        <is>
          <t>+7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力量卡：長柄鏈鋸（Chainsaw Rush）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衝刺型（過熱計量制）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過熱計量（Overheat Gauge）——逆向資源：數值越高越糟</t>
        </is>
      </c>
      <c r="D35" s="29" t="n"/>
      <c r="E35" s="29" t="n"/>
      <c r="F35" s="29" t="n"/>
      <c r="G35" s="29" t="n"/>
      <c r="H35" s="29" t="n"/>
      <c r="I35" s="30" t="n"/>
    </row>
    <row r="36" ht="33" customHeight="1">
      <c r="A36" s="12" t="inlineStr">
        <is>
          <t>充能上限</t>
        </is>
      </c>
      <c r="B36" s="30" t="n"/>
      <c r="C36" s="18" t="inlineStr">
        <is>
          <t>過熱上限 = 4（三階精通後 6）。達上限 → 鏈鋸鎖死 3 輪，期間不可使用力量，且該 3 輪內 血怒（Bloodlust）不累積</t>
        </is>
      </c>
      <c r="D36" s="29" t="n"/>
      <c r="E36" s="29" t="n"/>
      <c r="F36" s="29" t="n"/>
      <c r="G36" s="29" t="n"/>
      <c r="H36" s="29" t="n"/>
      <c r="I36" s="30" t="n"/>
    </row>
    <row r="37" ht="22" customHeight="1">
      <c r="A37" s="12" t="inlineStr">
        <is>
          <t>充能回復</t>
        </is>
      </c>
      <c r="B37" s="30" t="n"/>
      <c r="C37" s="18" t="inlineStr">
        <is>
          <t>未使用力量的每一輪，過熱 −1；鎖死解除時過熱歸 0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行動點（AP）成本</t>
        </is>
      </c>
      <c r="B38" s="30" t="n"/>
      <c r="C38" s="18" t="inlineStr">
        <is>
          <t>2 點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壓迫值（PRE）成本</t>
        </is>
      </c>
      <c r="B39" s="30" t="n"/>
      <c r="C39" s="18" t="inlineStr">
        <is>
          <t>3 點</t>
        </is>
      </c>
      <c r="D39" s="29" t="n"/>
      <c r="E39" s="29" t="n"/>
      <c r="F39" s="29" t="n"/>
      <c r="G39" s="29" t="n"/>
      <c r="H39" s="29" t="n"/>
      <c r="I39" s="30" t="n"/>
    </row>
    <row r="40" ht="78" customHeight="1">
      <c r="A40" s="12" t="inlineStr">
        <is>
          <t>判定式（路徑）</t>
        </is>
      </c>
      <c r="B40" s="30" t="n"/>
      <c r="C40" s="18" t="inlineStr">
        <is>
          <t>宣告一條直線路徑，長度上限 14 格（起點為自身所在格）。路徑必須先在地圖上畫出，再進行任何判定——這防止殺手玩家事後調整路線。
路徑中若需轉向（改變方向 45 度或 90 度，每次衝刺最多 1 次）：追獵（HNT）＋制暴（SUP）檢定 vs 難度等級（DC）12。失敗 → 立即撞擊（見下）。</t>
        </is>
      </c>
      <c r="D40" s="29" t="n"/>
      <c r="E40" s="29" t="n"/>
      <c r="F40" s="29" t="n"/>
      <c r="G40" s="29" t="n"/>
      <c r="H40" s="29" t="n"/>
      <c r="I40" s="30" t="n"/>
    </row>
    <row r="41" ht="78" customHeight="1">
      <c r="A41" s="12" t="inlineStr">
        <is>
          <t>判定式（命中）</t>
        </is>
      </c>
      <c r="B41" s="30" t="n"/>
      <c r="C41" s="18" t="inlineStr">
        <is>
          <t>路徑經過任一倖存者所在格時，進行：
力量檢定 2d10 + 秘能（OCC） + 儀式（RIT）　對抗　倖存者 2d10 + 敏捷（AGI） + 攀越（PRK）
平手殺手勝（核心機制通則）。</t>
        </is>
      </c>
      <c r="D41" s="29" t="n"/>
      <c r="E41" s="29" t="n"/>
      <c r="F41" s="29" t="n"/>
      <c r="G41" s="29" t="n"/>
      <c r="H41" s="29" t="n"/>
      <c r="I41" s="30" t="n"/>
    </row>
    <row r="42" ht="63" customHeight="1">
      <c r="A42" s="12" t="inlineStr">
        <is>
          <t>命中效果</t>
        </is>
      </c>
      <c r="B42" s="30" t="n"/>
      <c r="C42" s="18" t="inlineStr">
        <is>
          <t>直接進入瀕死（Dying），無視當前生命狀態（HS）。即使目標處於健康（Healthy），也一擊倒地。
命中後衝刺立即停止（不繼續穿過），過熱 +1，殺手獲得 2 壓迫值（PRE）。</t>
        </is>
      </c>
      <c r="D42" s="29" t="n"/>
      <c r="E42" s="29" t="n"/>
      <c r="F42" s="29" t="n"/>
      <c r="G42" s="29" t="n"/>
      <c r="H42" s="29" t="n"/>
      <c r="I42" s="30" t="n"/>
    </row>
    <row r="43" ht="108" customHeight="1">
      <c r="A43" s="12" t="inlineStr">
        <is>
          <t>失手／代價</t>
        </is>
      </c>
      <c r="B43" s="30" t="n"/>
      <c r="C43" s="18" t="inlineStr">
        <is>
          <t>① 未命中任何人（路徑走完無接觸）：過熱 +1，下一輪損失 1 行動點（AP）。
② 撞擊（Collision）——路徑撞上牆壁、板子、車體或轉向失敗：立即停止、過熱 +2、下一輪行動點（AP）歸零（完全硬直）、血怒（Bloodlust）歸零。這是全系統最重的自我懲罰。
③ 倖存者可主動製造撞擊：站在障礙物後方誘使衝刺，這是本化身的核心反制。</t>
        </is>
      </c>
      <c r="D43" s="29" t="n"/>
      <c r="E43" s="29" t="n"/>
      <c r="F43" s="29" t="n"/>
      <c r="G43" s="29" t="n"/>
      <c r="H43" s="29" t="n"/>
      <c r="I43" s="30" t="n"/>
    </row>
    <row r="44" ht="22" customHeight="1">
      <c r="A44" s="12" t="inlineStr">
        <is>
          <t>冷卻</t>
        </is>
      </c>
      <c r="B44" s="30" t="n"/>
      <c r="C44" s="18" t="inlineStr">
        <is>
          <t>無固定冷卻，由過熱計量控制節奏</t>
        </is>
      </c>
      <c r="D44" s="29" t="n"/>
      <c r="E44" s="29" t="n"/>
      <c r="F44" s="29" t="n"/>
      <c r="G44" s="29" t="n"/>
      <c r="H44" s="29" t="n"/>
      <c r="I44" s="30" t="n"/>
    </row>
    <row r="45" ht="78" customHeight="1">
      <c r="A45" s="12" t="inlineStr">
        <is>
          <t>倖存者應對</t>
        </is>
      </c>
      <c r="B45" s="30" t="n"/>
      <c r="C45" s="18" t="inlineStr">
        <is>
          <t>① 絕不在開闊地被追——寒風農場的玉米田是唯一的救命處，直線路徑無法穿越密集玉米（視為障礙，觸發撞擊）；② 貼著障礙物繞圈——迫使他轉向檢定（難度等級（DC）12，聲望 10 的屠夫成功率約 79%，但失敗就是整輪硬直）；③ 數過熱——過熱是公開資訊（主持人（GM）須在屏風外側放置過熱指示物），過熱 3 時逼他再用一次即可鎖死 3 輪。</t>
        </is>
      </c>
      <c r="D45" s="29" t="n"/>
      <c r="E45" s="29" t="n"/>
      <c r="F45" s="29" t="n"/>
      <c r="G45" s="29" t="n"/>
      <c r="H45" s="29" t="n"/>
      <c r="I45" s="30" t="n"/>
    </row>
    <row r="46" ht="63" customHeight="1">
      <c r="A46" s="12" t="inlineStr">
        <is>
          <t>獨行配置調整</t>
        </is>
      </c>
      <c r="B46" s="30" t="n"/>
      <c r="C46" s="18" t="inlineStr">
        <is>
          <t>N = 1 時：命中效果由「直接瀕死」改為「損失 1 階生命狀態（HS） ＋ 深度創傷（Deep Wound，ST-04）」。
理由：單人玩家一次失誤直接倒地、無人可扶，等於試煉結束。改為兩段式後，玩家仍受重創但有自救空間（深度創傷自愈見 2-8 節）。</t>
        </is>
      </c>
      <c r="D46" s="29" t="n"/>
      <c r="E46" s="29" t="n"/>
      <c r="F46" s="29" t="n"/>
      <c r="G46" s="29" t="n"/>
      <c r="H46" s="29" t="n"/>
      <c r="I46" s="30" t="n"/>
    </row>
    <row r="47" ht="20" customHeight="1">
      <c r="A47" s="9" t="inlineStr">
        <is>
          <t>四　力量精通（Power Mastery）</t>
        </is>
      </c>
      <c r="B47" s="29" t="n"/>
      <c r="C47" s="29" t="n"/>
      <c r="D47" s="29" t="n"/>
      <c r="E47" s="29" t="n"/>
      <c r="F47" s="29" t="n"/>
      <c r="G47" s="29" t="n"/>
      <c r="H47" s="29" t="n"/>
      <c r="I47" s="30" t="n"/>
    </row>
    <row r="48">
      <c r="A48" s="5" t="inlineStr">
        <is>
          <t>階</t>
        </is>
      </c>
      <c r="B48" s="30" t="n"/>
      <c r="C48" s="5" t="inlineStr">
        <is>
          <t>效果</t>
        </is>
      </c>
      <c r="D48" s="29" t="n"/>
      <c r="E48" s="29" t="n"/>
      <c r="F48" s="29" t="n"/>
      <c r="G48" s="29" t="n"/>
      <c r="H48" s="29" t="n"/>
      <c r="I48" s="30" t="n"/>
    </row>
    <row r="49" ht="22" customHeight="1">
      <c r="A49" s="12" t="inlineStr">
        <is>
          <t>二階（聲望 6）</t>
        </is>
      </c>
      <c r="B49" s="30" t="n"/>
      <c r="C49" s="18" t="inlineStr">
        <is>
          <t>行動點（AP）成本降為 1 點（本化身無冷卻，依 §1-5 通則改為成本 −1）。</t>
        </is>
      </c>
      <c r="D49" s="29" t="n"/>
      <c r="E49" s="29" t="n"/>
      <c r="F49" s="29" t="n"/>
      <c r="G49" s="29" t="n"/>
      <c r="H49" s="29" t="n"/>
      <c r="I49" s="30" t="n"/>
    </row>
    <row r="50" ht="22" customHeight="1">
      <c r="A50" s="12" t="inlineStr">
        <is>
          <t>三階（聲望 11）</t>
        </is>
      </c>
      <c r="B50" s="30" t="n"/>
      <c r="C50" s="18" t="inlineStr">
        <is>
          <t>過熱上限提升至 6；未使用力量的輪次過熱 −2。</t>
        </is>
      </c>
      <c r="D50" s="29" t="n"/>
      <c r="E50" s="29" t="n"/>
      <c r="F50" s="29" t="n"/>
      <c r="G50" s="29" t="n"/>
      <c r="H50" s="29" t="n"/>
      <c r="I50" s="30" t="n"/>
    </row>
    <row r="51" ht="93" customHeight="1">
      <c r="A51" s="12" t="inlineStr">
        <is>
          <t>四階（聲望 16）</t>
        </is>
      </c>
      <c r="B51" s="30" t="n"/>
      <c r="C51" s="18" t="inlineStr">
        <is>
          <t>終焉形態｜不停的鋸（The Saw That Never Stops）
成本 5 壓迫值（PRE）（行動點（AP）成本照常），每場試煉 3 次。
宣告時進入「連鋸」：命中一名倖存者後，可立即免費（0 行動點（AP））再宣告一次 6 格的新衝刺，最多連續 3 段。每段各自判定，每段命中過熱 +2。任一段撞擊則全部中止並套用撞擊懲罰。</t>
        </is>
      </c>
      <c r="D51" s="29" t="n"/>
      <c r="E51" s="29" t="n"/>
      <c r="F51" s="29" t="n"/>
      <c r="G51" s="29" t="n"/>
      <c r="H51" s="29" t="n"/>
      <c r="I51" s="30" t="n"/>
    </row>
    <row r="52" ht="20" customHeight="1">
      <c r="A52" s="9" t="inlineStr">
        <is>
          <t>五　專屬天賦（Perk）</t>
        </is>
      </c>
      <c r="B52" s="29" t="n"/>
      <c r="C52" s="29" t="n"/>
      <c r="D52" s="29" t="n"/>
      <c r="E52" s="29" t="n"/>
      <c r="F52" s="29" t="n"/>
      <c r="G52" s="29" t="n"/>
      <c r="H52" s="29" t="n"/>
      <c r="I52" s="30" t="n"/>
    </row>
    <row r="53">
      <c r="A53" s="5" t="inlineStr">
        <is>
          <t>編號</t>
        </is>
      </c>
      <c r="B53" s="30" t="n"/>
      <c r="C53" s="5" t="inlineStr">
        <is>
          <t>名稱</t>
        </is>
      </c>
      <c r="D53" s="29" t="n"/>
      <c r="E53" s="29" t="n"/>
      <c r="F53" s="30" t="n"/>
      <c r="G53" s="5" t="inlineStr">
        <is>
          <t>出處</t>
        </is>
      </c>
      <c r="H53" s="29" t="n"/>
      <c r="I53" s="30" t="n"/>
    </row>
    <row r="54">
      <c r="A54" s="8" t="inlineStr">
        <is>
          <t>TALENT-K07</t>
        </is>
      </c>
      <c r="B54" s="30" t="n"/>
      <c r="C54" s="6" t="inlineStr">
        <is>
          <t>泰然自若（Enduring）</t>
        </is>
      </c>
      <c r="D54" s="29" t="n"/>
      <c r="E54" s="29" t="n"/>
      <c r="F54" s="30" t="n"/>
      <c r="G54" s="6" t="n"/>
      <c r="H54" s="29" t="n"/>
      <c r="I54" s="30" t="n"/>
    </row>
    <row r="55">
      <c r="A55" s="8" t="inlineStr">
        <is>
          <t>TALENT-K08</t>
        </is>
      </c>
      <c r="B55" s="30" t="n"/>
      <c r="C55" s="6" t="inlineStr">
        <is>
          <t>鏽蝕之怒（Lightborn 改編）</t>
        </is>
      </c>
      <c r="D55" s="29" t="n"/>
      <c r="E55" s="29" t="n"/>
      <c r="F55" s="30" t="n"/>
      <c r="G55" s="6" t="n"/>
      <c r="H55" s="29" t="n"/>
      <c r="I55" s="30" t="n"/>
    </row>
    <row r="56">
      <c r="A56" s="8" t="inlineStr">
        <is>
          <t>TALENT-K09</t>
        </is>
      </c>
      <c r="B56" s="30" t="n"/>
      <c r="C56" s="6" t="inlineStr">
        <is>
          <t>狂野嗅覺（Tinkerer 改編）</t>
        </is>
      </c>
      <c r="D56" s="29" t="n"/>
      <c r="E56" s="29" t="n"/>
      <c r="F56" s="30" t="n"/>
      <c r="G56" s="6" t="n"/>
      <c r="H56" s="29" t="n"/>
      <c r="I56" s="30" t="n"/>
    </row>
    <row r="57" ht="20" customHeight="1">
      <c r="A57" s="9" t="inlineStr">
        <is>
          <t>六　遭遇成本與投放</t>
        </is>
      </c>
      <c r="B57" s="29" t="n"/>
      <c r="C57" s="29" t="n"/>
      <c r="D57" s="29" t="n"/>
      <c r="E57" s="29" t="n"/>
      <c r="F57" s="29" t="n"/>
      <c r="G57" s="29" t="n"/>
      <c r="H57" s="29" t="n"/>
      <c r="I57" s="30" t="n"/>
    </row>
    <row r="58">
      <c r="A58" s="12" t="inlineStr">
        <is>
          <t>作為試煉主殺手</t>
        </is>
      </c>
      <c r="B58" s="29" t="n"/>
      <c r="C58" s="30" t="n"/>
      <c r="D58" s="6" t="inlineStr">
        <is>
          <t>佔遭遇預算（EB）的 60%</t>
        </is>
      </c>
      <c r="E58" s="29" t="n"/>
      <c r="F58" s="29" t="n"/>
      <c r="G58" s="29" t="n"/>
      <c r="H58" s="29" t="n"/>
      <c r="I58" s="30" t="n"/>
    </row>
    <row r="59">
      <c r="A59" s="12" t="inlineStr">
        <is>
          <t>作為劇本中的固定威脅</t>
        </is>
      </c>
      <c r="B59" s="29" t="n"/>
      <c r="C59" s="30" t="n"/>
      <c r="D59" s="6" t="inlineStr">
        <is>
          <t>挑戰等級（CR）× 2</t>
        </is>
      </c>
      <c r="E59" s="29" t="n"/>
      <c r="F59" s="29" t="n"/>
      <c r="G59" s="29" t="n"/>
      <c r="H59" s="29" t="n"/>
      <c r="I59" s="30" t="n"/>
    </row>
    <row r="60" ht="42" customHeight="1">
      <c r="A60" s="12" t="inlineStr">
        <is>
          <t>獨行配置（N ＝ 1）調整</t>
        </is>
      </c>
      <c r="B60" s="29" t="n"/>
      <c r="C60" s="30" t="n"/>
      <c r="D60" s="18" t="inlineStr">
        <is>
          <t>N = 1 時：命中效果由「直接瀕死」改為「損失 1 階生命狀態（HS） ＋ 深度創傷（Deep Wound，ST-04）」。
理由：單人玩家一次失誤直接倒地、無人可扶，等於試煉結束。改為兩段式後，玩家仍受重創但有自救空間（深度創傷自愈見 2-8 節）。</t>
        </is>
      </c>
      <c r="E60" s="29" t="n"/>
      <c r="F60" s="29" t="n"/>
      <c r="G60" s="29" t="n"/>
      <c r="H60" s="29" t="n"/>
      <c r="I60" s="30" t="n"/>
    </row>
    <row r="61" ht="20" customHeight="1">
      <c r="A61" s="9" t="inlineStr">
        <is>
          <t>七　試煉中追蹤軌</t>
        </is>
      </c>
      <c r="B61" s="29" t="n"/>
      <c r="C61" s="29" t="n"/>
      <c r="D61" s="29" t="n"/>
      <c r="E61" s="29" t="n"/>
      <c r="F61" s="29" t="n"/>
      <c r="G61" s="29" t="n"/>
      <c r="H61" s="29" t="n"/>
      <c r="I61" s="30" t="n"/>
    </row>
    <row r="62">
      <c r="A62" s="12" t="inlineStr">
        <is>
          <t>當前壓迫值（PRE）</t>
        </is>
      </c>
      <c r="B62" s="30" t="n"/>
      <c r="C62" s="8" t="n"/>
      <c r="D62" s="30" t="n"/>
      <c r="E62" s="12" t="inlineStr">
        <is>
          <t>升壓階段</t>
        </is>
      </c>
      <c r="F62" s="30" t="n"/>
      <c r="G62" s="8" t="inlineStr">
        <is>
          <t>☐ 一　☐ 二　☐ 三</t>
        </is>
      </c>
      <c r="H62" s="29" t="n"/>
      <c r="I62" s="30" t="n"/>
    </row>
    <row r="63">
      <c r="A63" s="12" t="inlineStr">
        <is>
          <t>已獻祭人數</t>
        </is>
      </c>
      <c r="B63" s="30" t="n"/>
      <c r="C63" s="8" t="n"/>
      <c r="D63" s="30" t="n"/>
      <c r="E63" s="12" t="inlineStr">
        <is>
          <t>獵殺線索（Hunt Lead）</t>
        </is>
      </c>
      <c r="F63" s="30" t="n"/>
      <c r="G63" s="8" t="n"/>
      <c r="H63" s="29" t="n"/>
      <c r="I63" s="30" t="n"/>
    </row>
    <row r="64" ht="44" customHeight="1">
      <c r="A64" s="12" t="inlineStr">
        <is>
          <t>備註</t>
        </is>
      </c>
      <c r="B64" s="30" t="n"/>
      <c r="C64" s="18" t="n"/>
      <c r="D64" s="29" t="n"/>
      <c r="E64" s="29" t="n"/>
      <c r="F64" s="29" t="n"/>
      <c r="G64" s="29" t="n"/>
      <c r="H64" s="29" t="n"/>
      <c r="I64" s="30" t="n"/>
    </row>
  </sheetData>
  <mergeCells count="131">
    <mergeCell ref="C36:I36"/>
    <mergeCell ref="A64:B64"/>
    <mergeCell ref="A15:B15"/>
    <mergeCell ref="C62:D62"/>
    <mergeCell ref="E62:F62"/>
    <mergeCell ref="A51:B51"/>
    <mergeCell ref="G62:I62"/>
    <mergeCell ref="A21:C21"/>
    <mergeCell ref="A26:C26"/>
    <mergeCell ref="A54:B54"/>
    <mergeCell ref="E4:I4"/>
    <mergeCell ref="A7:B7"/>
    <mergeCell ref="A23:C23"/>
    <mergeCell ref="A41:B41"/>
    <mergeCell ref="D13:E13"/>
    <mergeCell ref="C63:D63"/>
    <mergeCell ref="E63:F63"/>
    <mergeCell ref="A17:I17"/>
    <mergeCell ref="A56:B56"/>
    <mergeCell ref="G63:I63"/>
    <mergeCell ref="C45:I45"/>
    <mergeCell ref="D7:E7"/>
    <mergeCell ref="A33:B33"/>
    <mergeCell ref="A42:B42"/>
    <mergeCell ref="C54:F54"/>
    <mergeCell ref="F15:I15"/>
    <mergeCell ref="D59:I59"/>
    <mergeCell ref="D60:I60"/>
    <mergeCell ref="A53:B53"/>
    <mergeCell ref="A35:B35"/>
    <mergeCell ref="A62:B62"/>
    <mergeCell ref="C40:I40"/>
    <mergeCell ref="C56:F56"/>
    <mergeCell ref="H23:I23"/>
    <mergeCell ref="A61:I61"/>
    <mergeCell ref="A2:C5"/>
    <mergeCell ref="A39:B39"/>
    <mergeCell ref="A48:B48"/>
    <mergeCell ref="F13:I13"/>
    <mergeCell ref="D10:E10"/>
    <mergeCell ref="A45:B45"/>
    <mergeCell ref="E5:F5"/>
    <mergeCell ref="A12:C12"/>
    <mergeCell ref="H25:I25"/>
    <mergeCell ref="G7:H7"/>
    <mergeCell ref="D11:E11"/>
    <mergeCell ref="C34:I34"/>
    <mergeCell ref="A37:B37"/>
    <mergeCell ref="A46:B46"/>
    <mergeCell ref="G55:I55"/>
    <mergeCell ref="D58:I58"/>
    <mergeCell ref="C42:I42"/>
    <mergeCell ref="A29:C29"/>
    <mergeCell ref="A52:I52"/>
    <mergeCell ref="G54:I54"/>
    <mergeCell ref="A13:C13"/>
    <mergeCell ref="A58:C58"/>
    <mergeCell ref="H19:I19"/>
    <mergeCell ref="G56:I56"/>
    <mergeCell ref="H28:I28"/>
    <mergeCell ref="D9:E9"/>
    <mergeCell ref="A24:C24"/>
    <mergeCell ref="C44:I44"/>
    <mergeCell ref="A60:C60"/>
    <mergeCell ref="A63:B63"/>
    <mergeCell ref="A1:I1"/>
    <mergeCell ref="H5:I5"/>
    <mergeCell ref="C46:I46"/>
    <mergeCell ref="C51:I51"/>
    <mergeCell ref="A34:B34"/>
    <mergeCell ref="A25:C25"/>
    <mergeCell ref="F9:I9"/>
    <mergeCell ref="C48:I48"/>
    <mergeCell ref="A49:B49"/>
    <mergeCell ref="G53:I53"/>
    <mergeCell ref="A18:C18"/>
    <mergeCell ref="A36:B36"/>
    <mergeCell ref="G3:I3"/>
    <mergeCell ref="C38:I38"/>
    <mergeCell ref="C53:F53"/>
    <mergeCell ref="H21:I21"/>
    <mergeCell ref="A57:I57"/>
    <mergeCell ref="A32:I32"/>
    <mergeCell ref="C49:I49"/>
    <mergeCell ref="A22:C22"/>
    <mergeCell ref="C33:I33"/>
    <mergeCell ref="F10:I10"/>
    <mergeCell ref="A20:C20"/>
    <mergeCell ref="A55:B55"/>
    <mergeCell ref="A28:C28"/>
    <mergeCell ref="C35:I35"/>
    <mergeCell ref="E2:I2"/>
    <mergeCell ref="A14:B14"/>
    <mergeCell ref="A30:C30"/>
    <mergeCell ref="H22:I22"/>
    <mergeCell ref="A59:C59"/>
    <mergeCell ref="D12:E12"/>
    <mergeCell ref="A38:B38"/>
    <mergeCell ref="A43:B43"/>
    <mergeCell ref="F8:I8"/>
    <mergeCell ref="A6:I6"/>
    <mergeCell ref="A40:B40"/>
    <mergeCell ref="H30:I30"/>
    <mergeCell ref="A16:I16"/>
    <mergeCell ref="H20:I20"/>
    <mergeCell ref="H29:I29"/>
    <mergeCell ref="C39:I39"/>
    <mergeCell ref="A27:C27"/>
    <mergeCell ref="C37:I37"/>
    <mergeCell ref="F14:I14"/>
    <mergeCell ref="A47:I47"/>
    <mergeCell ref="A8:C8"/>
    <mergeCell ref="F11:I11"/>
    <mergeCell ref="A50:B50"/>
    <mergeCell ref="A10:C10"/>
    <mergeCell ref="A19:C19"/>
    <mergeCell ref="C64:I64"/>
    <mergeCell ref="F12:I12"/>
    <mergeCell ref="A9:C9"/>
    <mergeCell ref="A31:I31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幽咽護士（NRS）｜桑黎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NRS</t>
        </is>
      </c>
      <c r="F3" s="5" t="inlineStr">
        <is>
          <t>本名</t>
        </is>
      </c>
      <c r="G3" s="6" t="inlineStr">
        <is>
          <t>桑黎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R4 克羅特斯精神病院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位移型</t>
        </is>
      </c>
      <c r="F5" s="30" t="n"/>
      <c r="G5" s="5" t="inlineStr">
        <is>
          <t>屬性傾向</t>
        </is>
      </c>
      <c r="H5" s="6" t="inlineStr">
        <is>
          <t>秘能（OCC）＋3、蠻力（BRU）−1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3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16</v>
      </c>
      <c r="D14" s="5" t="inlineStr">
        <is>
          <t>格　→　公尺</t>
        </is>
      </c>
      <c r="E14" s="14">
        <f>IF(C14="","",C14*2)</f>
        <v/>
      </c>
      <c r="F14" s="6" t="inlineStr">
        <is>
          <t>32 公尺 ＝ 16 格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6</v>
      </c>
      <c r="D15" s="5" t="inlineStr">
        <is>
          <t>格／輪</t>
        </is>
      </c>
      <c r="E15" s="8" t="n"/>
      <c r="F15" s="6" t="inlineStr">
        <is>
          <t>第一級 遲緩（6 格／輪，移動速度優勢 +0）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1</t>
        </is>
      </c>
      <c r="E19" s="8" t="inlineStr">
        <is>
          <t>2</t>
        </is>
      </c>
      <c r="F19" s="8" t="inlineStr">
        <is>
          <t>3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1</t>
        </is>
      </c>
      <c r="E20" s="8" t="inlineStr">
        <is>
          <t>2</t>
        </is>
      </c>
      <c r="F20" s="8" t="inlineStr">
        <is>
          <t>3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2</t>
        </is>
      </c>
      <c r="E21" s="8" t="inlineStr">
        <is>
          <t>3</t>
        </is>
      </c>
      <c r="F21" s="8" t="inlineStr">
        <is>
          <t>4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1</t>
        </is>
      </c>
      <c r="E22" s="8" t="inlineStr">
        <is>
          <t>2</t>
        </is>
      </c>
      <c r="F22" s="8" t="inlineStr">
        <is>
          <t>3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3</t>
        </is>
      </c>
      <c r="E23" s="8" t="inlineStr">
        <is>
          <t>4</t>
        </is>
      </c>
      <c r="F23" s="8" t="inlineStr">
        <is>
          <t>5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1</t>
        </is>
      </c>
      <c r="E24" s="8" t="inlineStr">
        <is>
          <t>3</t>
        </is>
      </c>
      <c r="F24" s="8" t="inlineStr">
        <is>
          <t>5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0</t>
        </is>
      </c>
      <c r="E25" s="8" t="inlineStr">
        <is>
          <t>1</t>
        </is>
      </c>
      <c r="F25" s="8" t="inlineStr">
        <is>
          <t>3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0</t>
        </is>
      </c>
      <c r="E26" s="8" t="inlineStr">
        <is>
          <t>1</t>
        </is>
      </c>
      <c r="F26" s="8" t="inlineStr">
        <is>
          <t>2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1</t>
        </is>
      </c>
      <c r="E27" s="8" t="inlineStr">
        <is>
          <t>4</t>
        </is>
      </c>
      <c r="F27" s="8" t="inlineStr">
        <is>
          <t>5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4</t>
        </is>
      </c>
      <c r="E28" s="8" t="inlineStr">
        <is>
          <t>13</t>
        </is>
      </c>
      <c r="F28" s="8" t="inlineStr">
        <is>
          <t>23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+1</t>
        </is>
      </c>
      <c r="E29" s="8" t="inlineStr">
        <is>
          <t>+3</t>
        </is>
      </c>
      <c r="F29" s="8" t="inlineStr">
        <is>
          <t>+6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+4</t>
        </is>
      </c>
      <c r="E30" s="8" t="inlineStr">
        <is>
          <t>+8</t>
        </is>
      </c>
      <c r="F30" s="8" t="inlineStr">
        <is>
          <t>+10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力量卡：閃現（Blink）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位移型（充能 ＋ 疲勞制）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閃現充能（Blink Charge）</t>
        </is>
      </c>
      <c r="D35" s="29" t="n"/>
      <c r="E35" s="29" t="n"/>
      <c r="F35" s="29" t="n"/>
      <c r="G35" s="29" t="n"/>
      <c r="H35" s="29" t="n"/>
      <c r="I35" s="30" t="n"/>
    </row>
    <row r="36" ht="22" customHeight="1">
      <c r="A36" s="12" t="inlineStr">
        <is>
          <t>充能上限</t>
        </is>
      </c>
      <c r="B36" s="30" t="n"/>
      <c r="C36" s="18" t="inlineStr">
        <is>
          <t>PWC_max = 2（三階精通後 3）</t>
        </is>
      </c>
      <c r="D36" s="29" t="n"/>
      <c r="E36" s="29" t="n"/>
      <c r="F36" s="29" t="n"/>
      <c r="G36" s="29" t="n"/>
      <c r="H36" s="29" t="n"/>
      <c r="I36" s="30" t="n"/>
    </row>
    <row r="37" ht="22" customHeight="1">
      <c r="A37" s="12" t="inlineStr">
        <is>
          <t>充能回復</t>
        </is>
      </c>
      <c r="B37" s="30" t="n"/>
      <c r="C37" s="18" t="inlineStr">
        <is>
          <t>疲勞（Fatigue）結束時全部回滿。不會逐輪回復——這是本力量節奏的關鍵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行動點（AP）成本</t>
        </is>
      </c>
      <c r="B38" s="30" t="n"/>
      <c r="C38" s="18" t="inlineStr">
        <is>
          <t>每次閃現 1 點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壓迫值（PRE）成本</t>
        </is>
      </c>
      <c r="B39" s="30" t="n"/>
      <c r="C39" s="18" t="inlineStr">
        <is>
          <t>第一次閃現 2 點；同輪第二次閃現 1 點</t>
        </is>
      </c>
      <c r="D39" s="29" t="n"/>
      <c r="E39" s="29" t="n"/>
      <c r="F39" s="29" t="n"/>
      <c r="G39" s="29" t="n"/>
      <c r="H39" s="29" t="n"/>
      <c r="I39" s="30" t="n"/>
    </row>
    <row r="40" ht="78" customHeight="1">
      <c r="A40" s="12" t="inlineStr">
        <is>
          <t>判定式</t>
        </is>
      </c>
      <c r="B40" s="30" t="n"/>
      <c r="C40" s="18" t="inlineStr">
        <is>
          <t>宣告目標格（無視地形、牆壁、板子、高低差），距離上限 中距（MID）8 格。
力量檢定 2d10 + 秘能（OCC） + 儀式（RIT) vs 難度等級（DC） = 8 + 目標格距離（格數）
同輪第二次閃現：難度等級（DC）+4，距離上限降為 4 格。</t>
        </is>
      </c>
      <c r="D40" s="29" t="n"/>
      <c r="E40" s="29" t="n"/>
      <c r="F40" s="29" t="n"/>
      <c r="G40" s="29" t="n"/>
      <c r="H40" s="29" t="n"/>
      <c r="I40" s="30" t="n"/>
    </row>
    <row r="41" ht="108" customHeight="1">
      <c r="A41" s="12" t="inlineStr">
        <is>
          <t>命中效果（落點）</t>
        </is>
      </c>
      <c r="B41" s="30" t="n"/>
      <c r="C41" s="18" t="inlineStr">
        <is>
          <t>大成功：精確落於目標格，且落地後的第一次基礎攻擊 +4。
成功：精確落於目標格，落地後的第一次基礎攻擊 +2。
失敗：落於目標格的 1d4 格外，方向由主持人（GM）擲 d8 決定（正北起順時針）。無攻擊加成。
大失敗：落於目標格 1d4 格外，且立即進入疲勞（Fatigue），本輪結束。</t>
        </is>
      </c>
      <c r="D41" s="29" t="n"/>
      <c r="E41" s="29" t="n"/>
      <c r="F41" s="29" t="n"/>
      <c r="G41" s="29" t="n"/>
      <c r="H41" s="29" t="n"/>
      <c r="I41" s="30" t="n"/>
    </row>
    <row r="42" ht="22" customHeight="1">
      <c r="A42" s="12" t="inlineStr">
        <is>
          <t>閃現攻擊</t>
        </is>
      </c>
      <c r="B42" s="30" t="n"/>
      <c r="C42" s="18" t="inlineStr">
        <is>
          <t>落地後的同一輪，基礎攻擊的行動點（AP）成本由 2 點降為 1 點（把握瞬間）。</t>
        </is>
      </c>
      <c r="D42" s="29" t="n"/>
      <c r="E42" s="29" t="n"/>
      <c r="F42" s="29" t="n"/>
      <c r="G42" s="29" t="n"/>
      <c r="H42" s="29" t="n"/>
      <c r="I42" s="30" t="n"/>
    </row>
    <row r="43" ht="78" customHeight="1">
      <c r="A43" s="12" t="inlineStr">
        <is>
          <t>疲勞（Fatigue）</t>
        </is>
      </c>
      <c r="B43" s="30" t="n"/>
      <c r="C43" s="18" t="inlineStr">
        <is>
          <t>觸發條件：閃現充能耗盡後的該輪結束時，或閃現大失敗時立即。
效果：下一輪行動點（AP）＝ 0，不可移動、不可攻擊、不可使用力量。倖存者可在此輪安全逃離或修機。
疲勞結束後，閃現充能全數回復。</t>
        </is>
      </c>
      <c r="D43" s="29" t="n"/>
      <c r="E43" s="29" t="n"/>
      <c r="F43" s="29" t="n"/>
      <c r="G43" s="29" t="n"/>
      <c r="H43" s="29" t="n"/>
      <c r="I43" s="30" t="n"/>
    </row>
    <row r="44" ht="78" customHeight="1">
      <c r="A44" s="12" t="inlineStr">
        <is>
          <t>失手／代價</t>
        </is>
      </c>
      <c r="B44" s="30" t="n"/>
      <c r="C44" s="18" t="inlineStr">
        <is>
          <t>① 基礎移動遲緩（6 格／輪）且移動速度優勢 +0——純追逐追不上任何倖存者；
② 疲勞是完整一輪的真空期，等於每 1–2 次閃現就要「送」對手一輪；
③ 判定失敗會落在錯誤位置，可能反而拉開距離。</t>
        </is>
      </c>
      <c r="D44" s="29" t="n"/>
      <c r="E44" s="29" t="n"/>
      <c r="F44" s="29" t="n"/>
      <c r="G44" s="29" t="n"/>
      <c r="H44" s="29" t="n"/>
      <c r="I44" s="30" t="n"/>
    </row>
    <row r="45" ht="22" customHeight="1">
      <c r="A45" s="12" t="inlineStr">
        <is>
          <t>冷卻</t>
        </is>
      </c>
      <c r="B45" s="30" t="n"/>
      <c r="C45" s="18" t="inlineStr">
        <is>
          <t>無固定冷卻，由疲勞控制節奏</t>
        </is>
      </c>
      <c r="D45" s="29" t="n"/>
      <c r="E45" s="29" t="n"/>
      <c r="F45" s="29" t="n"/>
      <c r="G45" s="29" t="n"/>
      <c r="H45" s="29" t="n"/>
      <c r="I45" s="30" t="n"/>
    </row>
    <row r="46" ht="63" customHeight="1">
      <c r="A46" s="12" t="inlineStr">
        <is>
          <t>倖存者應對</t>
        </is>
      </c>
      <c r="B46" s="30" t="n"/>
      <c r="C46" s="18" t="inlineStr">
        <is>
          <t>① 不要直線逃跑——閃現預判的是你的「延長線」，急轉（Juke）動作對護士的價值是全化身最高；② 貼近而非拉遠——閃現的難度等級（DC）隨距離增加（8 格 = 難度等級 16），把她逼在 2–3 格內反而讓她閃不了、又追不上；③ 數疲勞——閃現充能與疲勞狀態為公開資訊，疲勞輪是你唯一的免費輪，用來完成發電機的最後進度點（PP）。</t>
        </is>
      </c>
      <c r="D46" s="29" t="n"/>
      <c r="E46" s="29" t="n"/>
      <c r="F46" s="29" t="n"/>
      <c r="G46" s="29" t="n"/>
      <c r="H46" s="29" t="n"/>
      <c r="I46" s="30" t="n"/>
    </row>
    <row r="47" ht="63" customHeight="1">
      <c r="A47" s="12" t="inlineStr">
        <is>
          <t>獨行配置調整</t>
        </is>
      </c>
      <c r="B47" s="30" t="n"/>
      <c r="C47" s="18" t="inlineStr">
        <is>
          <t>N = 1 時：閃現充能上限固定為 2（不受三階精通與加裝提升），且疲勞由「行動點（AP）＝ 0」維持不變。
理由：護士對單人玩家是災難級化身。若主持人（GM）在配置一使用護士，須額外給予玩家 1 點希望點（HOP） 作為開場補償。</t>
        </is>
      </c>
      <c r="D47" s="29" t="n"/>
      <c r="E47" s="29" t="n"/>
      <c r="F47" s="29" t="n"/>
      <c r="G47" s="29" t="n"/>
      <c r="H47" s="29" t="n"/>
      <c r="I47" s="30" t="n"/>
    </row>
    <row r="48" ht="20" customHeight="1">
      <c r="A48" s="9" t="inlineStr">
        <is>
          <t>四　力量精通（Power Mastery）</t>
        </is>
      </c>
      <c r="B48" s="29" t="n"/>
      <c r="C48" s="29" t="n"/>
      <c r="D48" s="29" t="n"/>
      <c r="E48" s="29" t="n"/>
      <c r="F48" s="29" t="n"/>
      <c r="G48" s="29" t="n"/>
      <c r="H48" s="29" t="n"/>
      <c r="I48" s="30" t="n"/>
    </row>
    <row r="49">
      <c r="A49" s="5" t="inlineStr">
        <is>
          <t>階</t>
        </is>
      </c>
      <c r="B49" s="30" t="n"/>
      <c r="C49" s="5" t="inlineStr">
        <is>
          <t>效果</t>
        </is>
      </c>
      <c r="D49" s="29" t="n"/>
      <c r="E49" s="29" t="n"/>
      <c r="F49" s="29" t="n"/>
      <c r="G49" s="29" t="n"/>
      <c r="H49" s="29" t="n"/>
      <c r="I49" s="30" t="n"/>
    </row>
    <row r="50" ht="22" customHeight="1">
      <c r="A50" s="12" t="inlineStr">
        <is>
          <t>二階（聲望 6）</t>
        </is>
      </c>
      <c r="B50" s="30" t="n"/>
      <c r="C50" s="18" t="inlineStr">
        <is>
          <t>疲勞由「行動點（AP）＝ 0」改為「行動點（AP）＝ 2 且不可攻擊」。</t>
        </is>
      </c>
      <c r="D50" s="29" t="n"/>
      <c r="E50" s="29" t="n"/>
      <c r="F50" s="29" t="n"/>
      <c r="G50" s="29" t="n"/>
      <c r="H50" s="29" t="n"/>
      <c r="I50" s="30" t="n"/>
    </row>
    <row r="51" ht="22" customHeight="1">
      <c r="A51" s="12" t="inlineStr">
        <is>
          <t>三階（聲望 11）</t>
        </is>
      </c>
      <c r="B51" s="30" t="n"/>
      <c r="C51" s="18" t="inlineStr">
        <is>
          <t>閃現充能上限 3；同輪第三次閃現的難度等級（DC）+8，距離上限 2 格。</t>
        </is>
      </c>
      <c r="D51" s="29" t="n"/>
      <c r="E51" s="29" t="n"/>
      <c r="F51" s="29" t="n"/>
      <c r="G51" s="29" t="n"/>
      <c r="H51" s="29" t="n"/>
      <c r="I51" s="30" t="n"/>
    </row>
    <row r="52" ht="78" customHeight="1">
      <c r="A52" s="12" t="inlineStr">
        <is>
          <t>四階（聲望 16）</t>
        </is>
      </c>
      <c r="B52" s="30" t="n"/>
      <c r="C52" s="18" t="inlineStr">
        <is>
          <t>終焉形態｜無處可逃（Nowhere Left）
成本 5 壓迫值（PRE）＋ 1 行動點（AP），每場試煉 3 次。
本輪內：① 閃現距離上限提升至 遠距（FAR）16 格；② 同輪多次閃現不受難度等級（DC）遞增懲罰；③ 本輪不觸發疲勞（延至下一輪結束）。</t>
        </is>
      </c>
      <c r="D52" s="29" t="n"/>
      <c r="E52" s="29" t="n"/>
      <c r="F52" s="29" t="n"/>
      <c r="G52" s="29" t="n"/>
      <c r="H52" s="29" t="n"/>
      <c r="I52" s="30" t="n"/>
    </row>
    <row r="53" ht="20" customHeight="1">
      <c r="A53" s="9" t="inlineStr">
        <is>
          <t>五　專屬天賦（Perk）</t>
        </is>
      </c>
      <c r="B53" s="29" t="n"/>
      <c r="C53" s="29" t="n"/>
      <c r="D53" s="29" t="n"/>
      <c r="E53" s="29" t="n"/>
      <c r="F53" s="29" t="n"/>
      <c r="G53" s="29" t="n"/>
      <c r="H53" s="29" t="n"/>
      <c r="I53" s="30" t="n"/>
    </row>
    <row r="54">
      <c r="A54" s="5" t="inlineStr">
        <is>
          <t>編號</t>
        </is>
      </c>
      <c r="B54" s="30" t="n"/>
      <c r="C54" s="5" t="inlineStr">
        <is>
          <t>名稱</t>
        </is>
      </c>
      <c r="D54" s="29" t="n"/>
      <c r="E54" s="29" t="n"/>
      <c r="F54" s="30" t="n"/>
      <c r="G54" s="5" t="inlineStr">
        <is>
          <t>出處</t>
        </is>
      </c>
      <c r="H54" s="29" t="n"/>
      <c r="I54" s="30" t="n"/>
    </row>
    <row r="55">
      <c r="A55" s="8" t="inlineStr">
        <is>
          <t>TALENT-K10</t>
        </is>
      </c>
      <c r="B55" s="30" t="n"/>
      <c r="C55" s="6" t="inlineStr">
        <is>
          <t>護士的呼喚（A Nurse's Calling）</t>
        </is>
      </c>
      <c r="D55" s="29" t="n"/>
      <c r="E55" s="29" t="n"/>
      <c r="F55" s="30" t="n"/>
      <c r="G55" s="6" t="n"/>
      <c r="H55" s="29" t="n"/>
      <c r="I55" s="30" t="n"/>
    </row>
    <row r="56">
      <c r="A56" s="8" t="inlineStr">
        <is>
          <t>TALENT-K11</t>
        </is>
      </c>
      <c r="B56" s="30" t="n"/>
      <c r="C56" s="6" t="inlineStr">
        <is>
          <t>凋亡之光（Thanatophobia）</t>
        </is>
      </c>
      <c r="D56" s="29" t="n"/>
      <c r="E56" s="29" t="n"/>
      <c r="F56" s="30" t="n"/>
      <c r="G56" s="6" t="n"/>
      <c r="H56" s="29" t="n"/>
      <c r="I56" s="30" t="n"/>
    </row>
    <row r="57">
      <c r="A57" s="8" t="inlineStr">
        <is>
          <t>TALENT-K12</t>
        </is>
      </c>
      <c r="B57" s="30" t="n"/>
      <c r="C57" s="6" t="inlineStr">
        <is>
          <t>最後關頭（Stridor 改編）</t>
        </is>
      </c>
      <c r="D57" s="29" t="n"/>
      <c r="E57" s="29" t="n"/>
      <c r="F57" s="30" t="n"/>
      <c r="G57" s="6" t="n"/>
      <c r="H57" s="29" t="n"/>
      <c r="I57" s="30" t="n"/>
    </row>
    <row r="58" ht="20" customHeight="1">
      <c r="A58" s="9" t="inlineStr">
        <is>
          <t>六　遭遇成本與投放</t>
        </is>
      </c>
      <c r="B58" s="29" t="n"/>
      <c r="C58" s="29" t="n"/>
      <c r="D58" s="29" t="n"/>
      <c r="E58" s="29" t="n"/>
      <c r="F58" s="29" t="n"/>
      <c r="G58" s="29" t="n"/>
      <c r="H58" s="29" t="n"/>
      <c r="I58" s="30" t="n"/>
    </row>
    <row r="59">
      <c r="A59" s="12" t="inlineStr">
        <is>
          <t>作為試煉主殺手</t>
        </is>
      </c>
      <c r="B59" s="29" t="n"/>
      <c r="C59" s="30" t="n"/>
      <c r="D59" s="6" t="inlineStr">
        <is>
          <t>佔遭遇預算（EB）的 60%</t>
        </is>
      </c>
      <c r="E59" s="29" t="n"/>
      <c r="F59" s="29" t="n"/>
      <c r="G59" s="29" t="n"/>
      <c r="H59" s="29" t="n"/>
      <c r="I59" s="30" t="n"/>
    </row>
    <row r="60">
      <c r="A60" s="12" t="inlineStr">
        <is>
          <t>作為劇本中的固定威脅</t>
        </is>
      </c>
      <c r="B60" s="29" t="n"/>
      <c r="C60" s="30" t="n"/>
      <c r="D60" s="6" t="inlineStr">
        <is>
          <t>挑戰等級（CR）× 2</t>
        </is>
      </c>
      <c r="E60" s="29" t="n"/>
      <c r="F60" s="29" t="n"/>
      <c r="G60" s="29" t="n"/>
      <c r="H60" s="29" t="n"/>
      <c r="I60" s="30" t="n"/>
    </row>
    <row r="61" ht="42" customHeight="1">
      <c r="A61" s="12" t="inlineStr">
        <is>
          <t>獨行配置（N ＝ 1）調整</t>
        </is>
      </c>
      <c r="B61" s="29" t="n"/>
      <c r="C61" s="30" t="n"/>
      <c r="D61" s="18" t="inlineStr">
        <is>
          <t>N = 1 時：閃現充能上限固定為 2（不受三階精通與加裝提升），且疲勞由「行動點（AP）＝ 0」維持不變。
理由：護士對單人玩家是災難級化身。若主持人（GM）在配置一使用護士，須額外給予玩家 1 點希望點（HOP） 作為開場補償。</t>
        </is>
      </c>
      <c r="E61" s="29" t="n"/>
      <c r="F61" s="29" t="n"/>
      <c r="G61" s="29" t="n"/>
      <c r="H61" s="29" t="n"/>
      <c r="I61" s="30" t="n"/>
    </row>
    <row r="62" ht="20" customHeight="1">
      <c r="A62" s="9" t="inlineStr">
        <is>
          <t>七　試煉中追蹤軌</t>
        </is>
      </c>
      <c r="B62" s="29" t="n"/>
      <c r="C62" s="29" t="n"/>
      <c r="D62" s="29" t="n"/>
      <c r="E62" s="29" t="n"/>
      <c r="F62" s="29" t="n"/>
      <c r="G62" s="29" t="n"/>
      <c r="H62" s="29" t="n"/>
      <c r="I62" s="30" t="n"/>
    </row>
    <row r="63">
      <c r="A63" s="12" t="inlineStr">
        <is>
          <t>當前壓迫值（PRE）</t>
        </is>
      </c>
      <c r="B63" s="30" t="n"/>
      <c r="C63" s="8" t="n"/>
      <c r="D63" s="30" t="n"/>
      <c r="E63" s="12" t="inlineStr">
        <is>
          <t>升壓階段</t>
        </is>
      </c>
      <c r="F63" s="30" t="n"/>
      <c r="G63" s="8" t="inlineStr">
        <is>
          <t>☐ 一　☐ 二　☐ 三</t>
        </is>
      </c>
      <c r="H63" s="29" t="n"/>
      <c r="I63" s="30" t="n"/>
    </row>
    <row r="64">
      <c r="A64" s="12" t="inlineStr">
        <is>
          <t>已獻祭人數</t>
        </is>
      </c>
      <c r="B64" s="30" t="n"/>
      <c r="C64" s="8" t="n"/>
      <c r="D64" s="30" t="n"/>
      <c r="E64" s="12" t="inlineStr">
        <is>
          <t>獵殺線索（Hunt Lead）</t>
        </is>
      </c>
      <c r="F64" s="30" t="n"/>
      <c r="G64" s="8" t="n"/>
      <c r="H64" s="29" t="n"/>
      <c r="I64" s="30" t="n"/>
    </row>
    <row r="65" ht="44" customHeight="1">
      <c r="A65" s="12" t="inlineStr">
        <is>
          <t>備註</t>
        </is>
      </c>
      <c r="B65" s="30" t="n"/>
      <c r="C65" s="18" t="n"/>
      <c r="D65" s="29" t="n"/>
      <c r="E65" s="29" t="n"/>
      <c r="F65" s="29" t="n"/>
      <c r="G65" s="29" t="n"/>
      <c r="H65" s="29" t="n"/>
      <c r="I65" s="30" t="n"/>
    </row>
  </sheetData>
  <mergeCells count="133">
    <mergeCell ref="C36:I36"/>
    <mergeCell ref="A15:B15"/>
    <mergeCell ref="A64:B64"/>
    <mergeCell ref="A51:B51"/>
    <mergeCell ref="A21:C21"/>
    <mergeCell ref="C64:D64"/>
    <mergeCell ref="A26:C26"/>
    <mergeCell ref="E64:F64"/>
    <mergeCell ref="A54:B54"/>
    <mergeCell ref="E4:I4"/>
    <mergeCell ref="A7:B7"/>
    <mergeCell ref="A23:C23"/>
    <mergeCell ref="A41:B41"/>
    <mergeCell ref="D13:E13"/>
    <mergeCell ref="C63:D63"/>
    <mergeCell ref="E63:F63"/>
    <mergeCell ref="A17:I17"/>
    <mergeCell ref="A53:I53"/>
    <mergeCell ref="A56:B56"/>
    <mergeCell ref="A62:I62"/>
    <mergeCell ref="G63:I63"/>
    <mergeCell ref="C45:I45"/>
    <mergeCell ref="D7:E7"/>
    <mergeCell ref="A33:B33"/>
    <mergeCell ref="A42:B42"/>
    <mergeCell ref="C54:F54"/>
    <mergeCell ref="F15:I15"/>
    <mergeCell ref="D59:I59"/>
    <mergeCell ref="C47:I47"/>
    <mergeCell ref="D60:I60"/>
    <mergeCell ref="A48:I48"/>
    <mergeCell ref="A35:B35"/>
    <mergeCell ref="C40:I40"/>
    <mergeCell ref="C56:F56"/>
    <mergeCell ref="H23:I23"/>
    <mergeCell ref="A2:C5"/>
    <mergeCell ref="A39:B39"/>
    <mergeCell ref="F13:I13"/>
    <mergeCell ref="D10:E10"/>
    <mergeCell ref="A45:B45"/>
    <mergeCell ref="E5:F5"/>
    <mergeCell ref="A12:C12"/>
    <mergeCell ref="H25:I25"/>
    <mergeCell ref="G7:H7"/>
    <mergeCell ref="D11:E11"/>
    <mergeCell ref="C34:I34"/>
    <mergeCell ref="A37:B37"/>
    <mergeCell ref="A46:B46"/>
    <mergeCell ref="G55:I55"/>
    <mergeCell ref="G64:I64"/>
    <mergeCell ref="C42:I42"/>
    <mergeCell ref="A29:C29"/>
    <mergeCell ref="G54:I54"/>
    <mergeCell ref="A13:C13"/>
    <mergeCell ref="H19:I19"/>
    <mergeCell ref="G56:I56"/>
    <mergeCell ref="H28:I28"/>
    <mergeCell ref="D9:E9"/>
    <mergeCell ref="C65:I65"/>
    <mergeCell ref="A24:C24"/>
    <mergeCell ref="C44:I44"/>
    <mergeCell ref="A60:C60"/>
    <mergeCell ref="A52:B52"/>
    <mergeCell ref="A63:B63"/>
    <mergeCell ref="A1:I1"/>
    <mergeCell ref="H5:I5"/>
    <mergeCell ref="C46:I46"/>
    <mergeCell ref="C51:I51"/>
    <mergeCell ref="A34:B34"/>
    <mergeCell ref="A25:C25"/>
    <mergeCell ref="F9:I9"/>
    <mergeCell ref="A49:B49"/>
    <mergeCell ref="D61:I61"/>
    <mergeCell ref="A18:C18"/>
    <mergeCell ref="A36:B36"/>
    <mergeCell ref="G3:I3"/>
    <mergeCell ref="C38:I38"/>
    <mergeCell ref="C57:F57"/>
    <mergeCell ref="H21:I21"/>
    <mergeCell ref="A65:B65"/>
    <mergeCell ref="A32:I32"/>
    <mergeCell ref="C49:I49"/>
    <mergeCell ref="A22:C22"/>
    <mergeCell ref="C33:I33"/>
    <mergeCell ref="F10:I10"/>
    <mergeCell ref="A20:C20"/>
    <mergeCell ref="A55:B55"/>
    <mergeCell ref="A28:C28"/>
    <mergeCell ref="A57:B57"/>
    <mergeCell ref="C35:I35"/>
    <mergeCell ref="E2:I2"/>
    <mergeCell ref="A14:B14"/>
    <mergeCell ref="A30:C30"/>
    <mergeCell ref="H22:I22"/>
    <mergeCell ref="A59:C59"/>
    <mergeCell ref="D12:E12"/>
    <mergeCell ref="A38:B38"/>
    <mergeCell ref="A43:B43"/>
    <mergeCell ref="F8:I8"/>
    <mergeCell ref="A61:C61"/>
    <mergeCell ref="A6:I6"/>
    <mergeCell ref="A40:B40"/>
    <mergeCell ref="H30:I30"/>
    <mergeCell ref="A16:I16"/>
    <mergeCell ref="C52:I52"/>
    <mergeCell ref="H20:I20"/>
    <mergeCell ref="G57:I57"/>
    <mergeCell ref="H29:I29"/>
    <mergeCell ref="C39:I39"/>
    <mergeCell ref="A27:C27"/>
    <mergeCell ref="C37:I37"/>
    <mergeCell ref="F14:I14"/>
    <mergeCell ref="A8:C8"/>
    <mergeCell ref="F11:I11"/>
    <mergeCell ref="A50:B50"/>
    <mergeCell ref="A10:C10"/>
    <mergeCell ref="A19:C19"/>
    <mergeCell ref="A47:B47"/>
    <mergeCell ref="F12:I12"/>
    <mergeCell ref="A9:C9"/>
    <mergeCell ref="A31:I31"/>
    <mergeCell ref="A58:I58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獵斧女（HTR）｜苗霜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HTR</t>
        </is>
      </c>
      <c r="F3" s="5" t="inlineStr">
        <is>
          <t>本名</t>
        </is>
      </c>
      <c r="G3" s="6" t="inlineStr">
        <is>
          <t>苗霜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R7 血紅森林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投射型</t>
        </is>
      </c>
      <c r="F5" s="30" t="n"/>
      <c r="G5" s="5" t="inlineStr">
        <is>
          <t>屬性傾向</t>
        </is>
      </c>
      <c r="H5" s="6" t="inlineStr">
        <is>
          <t>追獵（HNT）＋2、蠻力（BRU）＋1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1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10</v>
      </c>
      <c r="D14" s="5" t="inlineStr">
        <is>
          <t>格　→　公尺</t>
        </is>
      </c>
      <c r="E14" s="14">
        <f>IF(C14="","",C14*2)</f>
        <v/>
      </c>
      <c r="F14" s="6" t="inlineStr">
        <is>
          <t>20 公尺 ＝ 10 格　＋　搖籃曲半徑（Lullaby Radius）44 公尺 ＝ 22 格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6</v>
      </c>
      <c r="D15" s="5" t="inlineStr">
        <is>
          <t>格／輪</t>
        </is>
      </c>
      <c r="E15" s="8" t="n"/>
      <c r="F15" s="6" t="inlineStr">
        <is>
          <t>第二級 微遲（6 格／輪，移動速度優勢 +1）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2</t>
        </is>
      </c>
      <c r="E19" s="8" t="inlineStr">
        <is>
          <t>3</t>
        </is>
      </c>
      <c r="F19" s="8" t="inlineStr">
        <is>
          <t>4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3</t>
        </is>
      </c>
      <c r="E20" s="8" t="inlineStr">
        <is>
          <t>4</t>
        </is>
      </c>
      <c r="F20" s="8" t="inlineStr">
        <is>
          <t>5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1</t>
        </is>
      </c>
      <c r="E21" s="8" t="inlineStr">
        <is>
          <t>2</t>
        </is>
      </c>
      <c r="F21" s="8" t="inlineStr">
        <is>
          <t>3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1</t>
        </is>
      </c>
      <c r="E22" s="8" t="inlineStr">
        <is>
          <t>1</t>
        </is>
      </c>
      <c r="F22" s="8" t="inlineStr">
        <is>
          <t>2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1</t>
        </is>
      </c>
      <c r="E23" s="8" t="inlineStr">
        <is>
          <t>3</t>
        </is>
      </c>
      <c r="F23" s="8" t="inlineStr">
        <is>
          <t>4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0</t>
        </is>
      </c>
      <c r="E24" s="8" t="inlineStr">
        <is>
          <t>2</t>
        </is>
      </c>
      <c r="F24" s="8" t="inlineStr">
        <is>
          <t>4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1</t>
        </is>
      </c>
      <c r="E25" s="8" t="inlineStr">
        <is>
          <t>2</t>
        </is>
      </c>
      <c r="F25" s="8" t="inlineStr">
        <is>
          <t>4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0</t>
        </is>
      </c>
      <c r="E26" s="8" t="inlineStr">
        <is>
          <t>1</t>
        </is>
      </c>
      <c r="F26" s="8" t="inlineStr">
        <is>
          <t>2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1</t>
        </is>
      </c>
      <c r="E27" s="8" t="inlineStr">
        <is>
          <t>3</t>
        </is>
      </c>
      <c r="F27" s="8" t="inlineStr">
        <is>
          <t>5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2</t>
        </is>
      </c>
      <c r="E28" s="8" t="inlineStr">
        <is>
          <t>11</t>
        </is>
      </c>
      <c r="F28" s="8" t="inlineStr">
        <is>
          <t>21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+3</t>
        </is>
      </c>
      <c r="E29" s="8" t="inlineStr">
        <is>
          <t>+5</t>
        </is>
      </c>
      <c r="F29" s="8" t="inlineStr">
        <is>
          <t>+8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+2</t>
        </is>
      </c>
      <c r="E30" s="8" t="inlineStr">
        <is>
          <t>+6</t>
        </is>
      </c>
      <c r="F30" s="8" t="inlineStr">
        <is>
          <t>+9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力量卡：手斧（Hand Axe）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投射型（彈藥制）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手斧彈藥（Hatchet Ammo）</t>
        </is>
      </c>
      <c r="D35" s="29" t="n"/>
      <c r="E35" s="29" t="n"/>
      <c r="F35" s="29" t="n"/>
      <c r="G35" s="29" t="n"/>
      <c r="H35" s="29" t="n"/>
      <c r="I35" s="30" t="n"/>
    </row>
    <row r="36" ht="22" customHeight="1">
      <c r="A36" s="12" t="inlineStr">
        <is>
          <t>充能上限</t>
        </is>
      </c>
      <c r="B36" s="30" t="n"/>
      <c r="C36" s="18" t="inlineStr">
        <is>
          <t>PWC_max = 5（三階精通後 7）</t>
        </is>
      </c>
      <c r="D36" s="29" t="n"/>
      <c r="E36" s="29" t="n"/>
      <c r="F36" s="29" t="n"/>
      <c r="G36" s="29" t="n"/>
      <c r="H36" s="29" t="n"/>
      <c r="I36" s="30" t="n"/>
    </row>
    <row r="37" ht="33" customHeight="1">
      <c r="A37" s="12" t="inlineStr">
        <is>
          <t>充能回復</t>
        </is>
      </c>
      <c r="B37" s="30" t="n"/>
      <c r="C37" s="18" t="inlineStr">
        <is>
          <t>不自動回復。至任一置物櫃（Locker）花 1 行動點（AP） 補滿。地圖上的置物櫃數量由 world-crafter 的領域配置決定（建議 4 + N 個）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行動點（AP）成本</t>
        </is>
      </c>
      <c r="B38" s="30" t="n"/>
      <c r="C38" s="18" t="inlineStr">
        <is>
          <t>蓄力 1 點 ＋ 投擲 1 點（合計 2 點，可分兩輪執行：本輪蓄力、下輪投擲）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壓迫值（PRE）成本</t>
        </is>
      </c>
      <c r="B39" s="30" t="n"/>
      <c r="C39" s="18" t="inlineStr">
        <is>
          <t>2 點</t>
        </is>
      </c>
      <c r="D39" s="29" t="n"/>
      <c r="E39" s="29" t="n"/>
      <c r="F39" s="29" t="n"/>
      <c r="G39" s="29" t="n"/>
      <c r="H39" s="29" t="n"/>
      <c r="I39" s="30" t="n"/>
    </row>
    <row r="40" ht="123" customHeight="1">
      <c r="A40" s="12" t="inlineStr">
        <is>
          <t>判定式</t>
        </is>
      </c>
      <c r="B40" s="30" t="n"/>
      <c r="C40" s="18" t="inlineStr">
        <is>
          <t>射程上限 遠距（FAR）16 格，需有視線（Line of Sight）。
力量檢定 2d10 + 秘能（OCC） + 儀式（RIT) − 距離懲罰　對抗　倖存者 2d10 + 敏捷（AGI） + 攀越（PRK）
若目標本輪未移動（修機、治療、開櫃），改為對抗靜態 難度等級（DC）12（不擲骰）。
距離懲罰：接觸（CON）／近距（NEA）−0；中距（MID）−2；遠距（FAR）−4。</t>
        </is>
      </c>
      <c r="D40" s="29" t="n"/>
      <c r="E40" s="29" t="n"/>
      <c r="F40" s="29" t="n"/>
      <c r="G40" s="29" t="n"/>
      <c r="H40" s="29" t="n"/>
      <c r="I40" s="30" t="n"/>
    </row>
    <row r="41" ht="93" customHeight="1">
      <c r="A41" s="12" t="inlineStr">
        <is>
          <t>命中效果</t>
        </is>
      </c>
      <c r="B41" s="30" t="n"/>
      <c r="C41" s="18" t="inlineStr">
        <is>
          <t>成功：損失 1 階生命狀態（HS）。
大成功：損失 1 階生命狀態（HS）＋ 出血（Haemorrhage，ST-07） 3 輪。
目標若在飛行路徑上有掩體（障礙物遮擋）：掩體吸收此次投擲，倖存者無傷（掩體是明確的機制，不是描述——見 §5-3 射程與掩體）。</t>
        </is>
      </c>
      <c r="D41" s="29" t="n"/>
      <c r="E41" s="29" t="n"/>
      <c r="F41" s="29" t="n"/>
      <c r="G41" s="29" t="n"/>
      <c r="H41" s="29" t="n"/>
      <c r="I41" s="30" t="n"/>
    </row>
    <row r="42" ht="33" customHeight="1">
      <c r="A42" s="12" t="inlineStr">
        <is>
          <t>蓄力代價</t>
        </is>
      </c>
      <c r="B42" s="30" t="n"/>
      <c r="C42" s="18" t="inlineStr">
        <is>
          <t>蓄力的那一輪，移動配額降為 3 格，且移動速度優勢降為 +0。若蓄力後未於下一輪投擲，蓄力失效（不返還行動點（AP），返還壓迫值（PRE））。</t>
        </is>
      </c>
      <c r="D42" s="29" t="n"/>
      <c r="E42" s="29" t="n"/>
      <c r="F42" s="29" t="n"/>
      <c r="G42" s="29" t="n"/>
      <c r="H42" s="29" t="n"/>
      <c r="I42" s="30" t="n"/>
    </row>
    <row r="43" ht="33" customHeight="1">
      <c r="A43" s="12" t="inlineStr">
        <is>
          <t>失手／代價</t>
        </is>
      </c>
      <c r="B43" s="30" t="n"/>
      <c r="C43" s="18" t="inlineStr">
        <is>
          <t>① 未命中：彈藥仍消耗 1 支；② 彈藥歸零後必須回置物櫃補給，這段路程是倖存者最寶貴的修機窗口；③ 蓄力減速使她在近距離的追逐能力低於標準殺手。</t>
        </is>
      </c>
      <c r="D43" s="29" t="n"/>
      <c r="E43" s="29" t="n"/>
      <c r="F43" s="29" t="n"/>
      <c r="G43" s="29" t="n"/>
      <c r="H43" s="29" t="n"/>
      <c r="I43" s="30" t="n"/>
    </row>
    <row r="44" ht="22" customHeight="1">
      <c r="A44" s="12" t="inlineStr">
        <is>
          <t>冷卻</t>
        </is>
      </c>
      <c r="B44" s="30" t="n"/>
      <c r="C44" s="18" t="inlineStr">
        <is>
          <t>無</t>
        </is>
      </c>
      <c r="D44" s="29" t="n"/>
      <c r="E44" s="29" t="n"/>
      <c r="F44" s="29" t="n"/>
      <c r="G44" s="29" t="n"/>
      <c r="H44" s="29" t="n"/>
      <c r="I44" s="30" t="n"/>
    </row>
    <row r="45" ht="150" customHeight="1">
      <c r="A45" s="12" t="inlineStr">
        <is>
          <t>搖籃曲（Lullaby）規則</t>
        </is>
      </c>
      <c r="B45" s="30" t="n"/>
      <c r="C45" s="18" t="inlineStr">
        <is>
          <t>這是全系統最重要的「資訊錯位」機制，必須嚴格執行。
① 位於 22 格（44 公尺）以內、10 格（20 公尺）以外的倖存者：主持人（GM）以口頭哼唱或播放提示音告知該玩家「你聽見了歌聲」，但不發放任何心跳籌碼。
② 位於 10 格（20 公尺）以內：正常依恐怖半徑（TR）發放心跳籌碼。
③ 玩家因此會處於「知道她在附近但完全不知道多近」的狀態——這正是原著獵斧女最著名的心理壓迫。
④ 搖籃曲不受不可探測（Undetectable）壓制（歌聲不是心跳）。</t>
        </is>
      </c>
      <c r="D45" s="29" t="n"/>
      <c r="E45" s="29" t="n"/>
      <c r="F45" s="29" t="n"/>
      <c r="G45" s="29" t="n"/>
      <c r="H45" s="29" t="n"/>
      <c r="I45" s="30" t="n"/>
    </row>
    <row r="46" ht="48" customHeight="1">
      <c r="A46" s="12" t="inlineStr">
        <is>
          <t>倖存者應對</t>
        </is>
      </c>
      <c r="B46" s="30" t="n"/>
      <c r="C46" s="18" t="inlineStr">
        <is>
          <t>① 保持掩體在你與歌聲來源之間——掩體完全吸收投擲；② 持續移動——靜止目標對抗靜態難度等級（DC）12，等於放棄閃避；③ 記錄她的補給路線——彈藥 5 支用完必回置物櫃，那是安全窗口。</t>
        </is>
      </c>
      <c r="D46" s="29" t="n"/>
      <c r="E46" s="29" t="n"/>
      <c r="F46" s="29" t="n"/>
      <c r="G46" s="29" t="n"/>
      <c r="H46" s="29" t="n"/>
      <c r="I46" s="30" t="n"/>
    </row>
    <row r="47" ht="33" customHeight="1">
      <c r="A47" s="12" t="inlineStr">
        <is>
          <t>獨行配置調整</t>
        </is>
      </c>
      <c r="B47" s="30" t="n"/>
      <c r="C47" s="18" t="inlineStr">
        <is>
          <t>N = 1 時：彈藥上限 −1（4 支）；且搖籃曲的哼唱每輪最多一次（避免單人玩家整場被聲音壓垮，失去判斷力）。</t>
        </is>
      </c>
      <c r="D47" s="29" t="n"/>
      <c r="E47" s="29" t="n"/>
      <c r="F47" s="29" t="n"/>
      <c r="G47" s="29" t="n"/>
      <c r="H47" s="29" t="n"/>
      <c r="I47" s="30" t="n"/>
    </row>
    <row r="48" ht="20" customHeight="1">
      <c r="A48" s="9" t="inlineStr">
        <is>
          <t>四　力量精通（Power Mastery）</t>
        </is>
      </c>
      <c r="B48" s="29" t="n"/>
      <c r="C48" s="29" t="n"/>
      <c r="D48" s="29" t="n"/>
      <c r="E48" s="29" t="n"/>
      <c r="F48" s="29" t="n"/>
      <c r="G48" s="29" t="n"/>
      <c r="H48" s="29" t="n"/>
      <c r="I48" s="30" t="n"/>
    </row>
    <row r="49">
      <c r="A49" s="5" t="inlineStr">
        <is>
          <t>階</t>
        </is>
      </c>
      <c r="B49" s="30" t="n"/>
      <c r="C49" s="5" t="inlineStr">
        <is>
          <t>效果</t>
        </is>
      </c>
      <c r="D49" s="29" t="n"/>
      <c r="E49" s="29" t="n"/>
      <c r="F49" s="29" t="n"/>
      <c r="G49" s="29" t="n"/>
      <c r="H49" s="29" t="n"/>
      <c r="I49" s="30" t="n"/>
    </row>
    <row r="50" ht="22" customHeight="1">
      <c r="A50" s="12" t="inlineStr">
        <is>
          <t>二階（聲望 6）</t>
        </is>
      </c>
      <c r="B50" s="30" t="n"/>
      <c r="C50" s="18" t="inlineStr">
        <is>
          <t>蓄力與投擲合併為 1 行動點（AP）（快速投擲）。</t>
        </is>
      </c>
      <c r="D50" s="29" t="n"/>
      <c r="E50" s="29" t="n"/>
      <c r="F50" s="29" t="n"/>
      <c r="G50" s="29" t="n"/>
      <c r="H50" s="29" t="n"/>
      <c r="I50" s="30" t="n"/>
    </row>
    <row r="51" ht="22" customHeight="1">
      <c r="A51" s="12" t="inlineStr">
        <is>
          <t>三階（聲望 11）</t>
        </is>
      </c>
      <c r="B51" s="30" t="n"/>
      <c r="C51" s="18" t="inlineStr">
        <is>
          <t>彈藥上限 7；蓄力輪的移動配額懲罰取消（維持 6 格）。</t>
        </is>
      </c>
      <c r="D51" s="29" t="n"/>
      <c r="E51" s="29" t="n"/>
      <c r="F51" s="29" t="n"/>
      <c r="G51" s="29" t="n"/>
      <c r="H51" s="29" t="n"/>
      <c r="I51" s="30" t="n"/>
    </row>
    <row r="52" ht="93" customHeight="1">
      <c r="A52" s="12" t="inlineStr">
        <is>
          <t>四階（聲望 16）</t>
        </is>
      </c>
      <c r="B52" s="30" t="n"/>
      <c r="C52" s="18" t="inlineStr">
        <is>
          <t>終焉形態｜回響之斧（The Echoing Axe）
成本 4 壓迫值（PRE）＋ 2 行動點（AP），每場試煉 3 次。
一次投出 3 支手斧（消耗 3 彈藥），可指定同一目標或不同目標，各自判定。任一支命中處於遠距（FAR）的目標時，額外施加 暴露（Exposed，ST-06） 2 輪。</t>
        </is>
      </c>
      <c r="D52" s="29" t="n"/>
      <c r="E52" s="29" t="n"/>
      <c r="F52" s="29" t="n"/>
      <c r="G52" s="29" t="n"/>
      <c r="H52" s="29" t="n"/>
      <c r="I52" s="30" t="n"/>
    </row>
    <row r="53" ht="20" customHeight="1">
      <c r="A53" s="9" t="inlineStr">
        <is>
          <t>五　專屬天賦（Perk）</t>
        </is>
      </c>
      <c r="B53" s="29" t="n"/>
      <c r="C53" s="29" t="n"/>
      <c r="D53" s="29" t="n"/>
      <c r="E53" s="29" t="n"/>
      <c r="F53" s="29" t="n"/>
      <c r="G53" s="29" t="n"/>
      <c r="H53" s="29" t="n"/>
      <c r="I53" s="30" t="n"/>
    </row>
    <row r="54">
      <c r="A54" s="5" t="inlineStr">
        <is>
          <t>編號</t>
        </is>
      </c>
      <c r="B54" s="30" t="n"/>
      <c r="C54" s="5" t="inlineStr">
        <is>
          <t>名稱</t>
        </is>
      </c>
      <c r="D54" s="29" t="n"/>
      <c r="E54" s="29" t="n"/>
      <c r="F54" s="30" t="n"/>
      <c r="G54" s="5" t="inlineStr">
        <is>
          <t>出處</t>
        </is>
      </c>
      <c r="H54" s="29" t="n"/>
      <c r="I54" s="30" t="n"/>
    </row>
    <row r="55">
      <c r="A55" s="8" t="inlineStr">
        <is>
          <t>TALENT-K13</t>
        </is>
      </c>
      <c r="B55" s="30" t="n"/>
      <c r="C55" s="6" t="inlineStr">
        <is>
          <t>獵物之獸（Beast of Prey）</t>
        </is>
      </c>
      <c r="D55" s="29" t="n"/>
      <c r="E55" s="29" t="n"/>
      <c r="F55" s="30" t="n"/>
      <c r="G55" s="6" t="n"/>
      <c r="H55" s="29" t="n"/>
      <c r="I55" s="30" t="n"/>
    </row>
    <row r="56">
      <c r="A56" s="8" t="inlineStr">
        <is>
          <t>TALENT-K14</t>
        </is>
      </c>
      <c r="B56" s="30" t="n"/>
      <c r="C56" s="6" t="inlineStr">
        <is>
          <t>領地本能（Territorial Imperative）</t>
        </is>
      </c>
      <c r="D56" s="29" t="n"/>
      <c r="E56" s="29" t="n"/>
      <c r="F56" s="30" t="n"/>
      <c r="G56" s="6" t="n"/>
      <c r="H56" s="29" t="n"/>
      <c r="I56" s="30" t="n"/>
    </row>
    <row r="57">
      <c r="A57" s="8" t="inlineStr">
        <is>
          <t>TALENT-K15</t>
        </is>
      </c>
      <c r="B57" s="30" t="n"/>
      <c r="C57" s="6" t="inlineStr">
        <is>
          <t>詛咒：搖籃曲（Hex: Huntress Lullaby）</t>
        </is>
      </c>
      <c r="D57" s="29" t="n"/>
      <c r="E57" s="29" t="n"/>
      <c r="F57" s="30" t="n"/>
      <c r="G57" s="6" t="n"/>
      <c r="H57" s="29" t="n"/>
      <c r="I57" s="30" t="n"/>
    </row>
    <row r="58" ht="20" customHeight="1">
      <c r="A58" s="9" t="inlineStr">
        <is>
          <t>六　遭遇成本與投放</t>
        </is>
      </c>
      <c r="B58" s="29" t="n"/>
      <c r="C58" s="29" t="n"/>
      <c r="D58" s="29" t="n"/>
      <c r="E58" s="29" t="n"/>
      <c r="F58" s="29" t="n"/>
      <c r="G58" s="29" t="n"/>
      <c r="H58" s="29" t="n"/>
      <c r="I58" s="30" t="n"/>
    </row>
    <row r="59">
      <c r="A59" s="12" t="inlineStr">
        <is>
          <t>作為試煉主殺手</t>
        </is>
      </c>
      <c r="B59" s="29" t="n"/>
      <c r="C59" s="30" t="n"/>
      <c r="D59" s="6" t="inlineStr">
        <is>
          <t>佔遭遇預算（EB）的 60%</t>
        </is>
      </c>
      <c r="E59" s="29" t="n"/>
      <c r="F59" s="29" t="n"/>
      <c r="G59" s="29" t="n"/>
      <c r="H59" s="29" t="n"/>
      <c r="I59" s="30" t="n"/>
    </row>
    <row r="60">
      <c r="A60" s="12" t="inlineStr">
        <is>
          <t>作為劇本中的固定威脅</t>
        </is>
      </c>
      <c r="B60" s="29" t="n"/>
      <c r="C60" s="30" t="n"/>
      <c r="D60" s="6" t="inlineStr">
        <is>
          <t>挑戰等級（CR）× 2</t>
        </is>
      </c>
      <c r="E60" s="29" t="n"/>
      <c r="F60" s="29" t="n"/>
      <c r="G60" s="29" t="n"/>
      <c r="H60" s="29" t="n"/>
      <c r="I60" s="30" t="n"/>
    </row>
    <row r="61" ht="42" customHeight="1">
      <c r="A61" s="12" t="inlineStr">
        <is>
          <t>獨行配置（N ＝ 1）調整</t>
        </is>
      </c>
      <c r="B61" s="29" t="n"/>
      <c r="C61" s="30" t="n"/>
      <c r="D61" s="18" t="inlineStr">
        <is>
          <t>N = 1 時：彈藥上限 −1（4 支）；且搖籃曲的哼唱每輪最多一次（避免單人玩家整場被聲音壓垮，失去判斷力）。</t>
        </is>
      </c>
      <c r="E61" s="29" t="n"/>
      <c r="F61" s="29" t="n"/>
      <c r="G61" s="29" t="n"/>
      <c r="H61" s="29" t="n"/>
      <c r="I61" s="30" t="n"/>
    </row>
    <row r="62" ht="20" customHeight="1">
      <c r="A62" s="9" t="inlineStr">
        <is>
          <t>七　試煉中追蹤軌</t>
        </is>
      </c>
      <c r="B62" s="29" t="n"/>
      <c r="C62" s="29" t="n"/>
      <c r="D62" s="29" t="n"/>
      <c r="E62" s="29" t="n"/>
      <c r="F62" s="29" t="n"/>
      <c r="G62" s="29" t="n"/>
      <c r="H62" s="29" t="n"/>
      <c r="I62" s="30" t="n"/>
    </row>
    <row r="63">
      <c r="A63" s="12" t="inlineStr">
        <is>
          <t>當前壓迫值（PRE）</t>
        </is>
      </c>
      <c r="B63" s="30" t="n"/>
      <c r="C63" s="8" t="n"/>
      <c r="D63" s="30" t="n"/>
      <c r="E63" s="12" t="inlineStr">
        <is>
          <t>升壓階段</t>
        </is>
      </c>
      <c r="F63" s="30" t="n"/>
      <c r="G63" s="8" t="inlineStr">
        <is>
          <t>☐ 一　☐ 二　☐ 三</t>
        </is>
      </c>
      <c r="H63" s="29" t="n"/>
      <c r="I63" s="30" t="n"/>
    </row>
    <row r="64">
      <c r="A64" s="12" t="inlineStr">
        <is>
          <t>已獻祭人數</t>
        </is>
      </c>
      <c r="B64" s="30" t="n"/>
      <c r="C64" s="8" t="n"/>
      <c r="D64" s="30" t="n"/>
      <c r="E64" s="12" t="inlineStr">
        <is>
          <t>獵殺線索（Hunt Lead）</t>
        </is>
      </c>
      <c r="F64" s="30" t="n"/>
      <c r="G64" s="8" t="n"/>
      <c r="H64" s="29" t="n"/>
      <c r="I64" s="30" t="n"/>
    </row>
    <row r="65" ht="44" customHeight="1">
      <c r="A65" s="12" t="inlineStr">
        <is>
          <t>備註</t>
        </is>
      </c>
      <c r="B65" s="30" t="n"/>
      <c r="C65" s="18" t="n"/>
      <c r="D65" s="29" t="n"/>
      <c r="E65" s="29" t="n"/>
      <c r="F65" s="29" t="n"/>
      <c r="G65" s="29" t="n"/>
      <c r="H65" s="29" t="n"/>
      <c r="I65" s="30" t="n"/>
    </row>
  </sheetData>
  <mergeCells count="133">
    <mergeCell ref="C36:I36"/>
    <mergeCell ref="A15:B15"/>
    <mergeCell ref="A64:B64"/>
    <mergeCell ref="A51:B51"/>
    <mergeCell ref="A21:C21"/>
    <mergeCell ref="C64:D64"/>
    <mergeCell ref="A26:C26"/>
    <mergeCell ref="E64:F64"/>
    <mergeCell ref="A54:B54"/>
    <mergeCell ref="E4:I4"/>
    <mergeCell ref="A7:B7"/>
    <mergeCell ref="A23:C23"/>
    <mergeCell ref="A41:B41"/>
    <mergeCell ref="D13:E13"/>
    <mergeCell ref="C63:D63"/>
    <mergeCell ref="E63:F63"/>
    <mergeCell ref="A17:I17"/>
    <mergeCell ref="A53:I53"/>
    <mergeCell ref="A56:B56"/>
    <mergeCell ref="A62:I62"/>
    <mergeCell ref="G63:I63"/>
    <mergeCell ref="C45:I45"/>
    <mergeCell ref="D7:E7"/>
    <mergeCell ref="A33:B33"/>
    <mergeCell ref="A42:B42"/>
    <mergeCell ref="C54:F54"/>
    <mergeCell ref="F15:I15"/>
    <mergeCell ref="D59:I59"/>
    <mergeCell ref="C47:I47"/>
    <mergeCell ref="D60:I60"/>
    <mergeCell ref="A48:I48"/>
    <mergeCell ref="A35:B35"/>
    <mergeCell ref="C40:I40"/>
    <mergeCell ref="C56:F56"/>
    <mergeCell ref="H23:I23"/>
    <mergeCell ref="A2:C5"/>
    <mergeCell ref="A39:B39"/>
    <mergeCell ref="F13:I13"/>
    <mergeCell ref="D10:E10"/>
    <mergeCell ref="A45:B45"/>
    <mergeCell ref="E5:F5"/>
    <mergeCell ref="A12:C12"/>
    <mergeCell ref="H25:I25"/>
    <mergeCell ref="G7:H7"/>
    <mergeCell ref="D11:E11"/>
    <mergeCell ref="C34:I34"/>
    <mergeCell ref="A37:B37"/>
    <mergeCell ref="A46:B46"/>
    <mergeCell ref="G55:I55"/>
    <mergeCell ref="G64:I64"/>
    <mergeCell ref="C42:I42"/>
    <mergeCell ref="A29:C29"/>
    <mergeCell ref="G54:I54"/>
    <mergeCell ref="A13:C13"/>
    <mergeCell ref="H19:I19"/>
    <mergeCell ref="G56:I56"/>
    <mergeCell ref="H28:I28"/>
    <mergeCell ref="D9:E9"/>
    <mergeCell ref="C65:I65"/>
    <mergeCell ref="A24:C24"/>
    <mergeCell ref="C44:I44"/>
    <mergeCell ref="A60:C60"/>
    <mergeCell ref="A52:B52"/>
    <mergeCell ref="A63:B63"/>
    <mergeCell ref="A1:I1"/>
    <mergeCell ref="H5:I5"/>
    <mergeCell ref="C46:I46"/>
    <mergeCell ref="C51:I51"/>
    <mergeCell ref="A34:B34"/>
    <mergeCell ref="A25:C25"/>
    <mergeCell ref="F9:I9"/>
    <mergeCell ref="A49:B49"/>
    <mergeCell ref="D61:I61"/>
    <mergeCell ref="A18:C18"/>
    <mergeCell ref="A36:B36"/>
    <mergeCell ref="G3:I3"/>
    <mergeCell ref="C38:I38"/>
    <mergeCell ref="C57:F57"/>
    <mergeCell ref="H21:I21"/>
    <mergeCell ref="A65:B65"/>
    <mergeCell ref="A32:I32"/>
    <mergeCell ref="C49:I49"/>
    <mergeCell ref="A22:C22"/>
    <mergeCell ref="C33:I33"/>
    <mergeCell ref="F10:I10"/>
    <mergeCell ref="A20:C20"/>
    <mergeCell ref="A55:B55"/>
    <mergeCell ref="A28:C28"/>
    <mergeCell ref="A57:B57"/>
    <mergeCell ref="C35:I35"/>
    <mergeCell ref="E2:I2"/>
    <mergeCell ref="A14:B14"/>
    <mergeCell ref="A30:C30"/>
    <mergeCell ref="H22:I22"/>
    <mergeCell ref="A59:C59"/>
    <mergeCell ref="D12:E12"/>
    <mergeCell ref="A38:B38"/>
    <mergeCell ref="A43:B43"/>
    <mergeCell ref="F8:I8"/>
    <mergeCell ref="A61:C61"/>
    <mergeCell ref="A6:I6"/>
    <mergeCell ref="A40:B40"/>
    <mergeCell ref="H30:I30"/>
    <mergeCell ref="A16:I16"/>
    <mergeCell ref="C52:I52"/>
    <mergeCell ref="H20:I20"/>
    <mergeCell ref="G57:I57"/>
    <mergeCell ref="H29:I29"/>
    <mergeCell ref="C39:I39"/>
    <mergeCell ref="A27:C27"/>
    <mergeCell ref="C37:I37"/>
    <mergeCell ref="F14:I14"/>
    <mergeCell ref="A8:C8"/>
    <mergeCell ref="F11:I11"/>
    <mergeCell ref="A50:B50"/>
    <mergeCell ref="A10:C10"/>
    <mergeCell ref="A19:C19"/>
    <mergeCell ref="A47:B47"/>
    <mergeCell ref="F12:I12"/>
    <mergeCell ref="A9:C9"/>
    <mergeCell ref="A31:I31"/>
    <mergeCell ref="A58:I58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泥沼巫婆（HAG）｜敖玄娘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HAG</t>
        </is>
      </c>
      <c r="F3" s="5" t="inlineStr">
        <is>
          <t>本名</t>
        </is>
      </c>
      <c r="G3" s="6" t="inlineStr">
        <is>
          <t>敖玄娘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R5 死水沼澤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佈設位移型</t>
        </is>
      </c>
      <c r="F5" s="30" t="n"/>
      <c r="G5" s="5" t="inlineStr">
        <is>
          <t>屬性傾向</t>
        </is>
      </c>
      <c r="H5" s="6" t="inlineStr">
        <is>
          <t>秘能（OCC）＋2、威壓（DRE）＋1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0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12</v>
      </c>
      <c r="D14" s="5" t="inlineStr">
        <is>
          <t>格　→　公尺</t>
        </is>
      </c>
      <c r="E14" s="14">
        <f>IF(C14="","",C14*2)</f>
        <v/>
      </c>
      <c r="F14" s="6" t="inlineStr">
        <is>
          <t>24 公尺 ＝ 12 格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6</v>
      </c>
      <c r="D15" s="5" t="inlineStr">
        <is>
          <t>格／輪</t>
        </is>
      </c>
      <c r="E15" s="8" t="n"/>
      <c r="F15" s="6" t="inlineStr">
        <is>
          <t>第二級 微遲（6 格／輪，移動速度優勢 +1）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1</t>
        </is>
      </c>
      <c r="E19" s="8" t="inlineStr">
        <is>
          <t>2</t>
        </is>
      </c>
      <c r="F19" s="8" t="inlineStr">
        <is>
          <t>3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1</t>
        </is>
      </c>
      <c r="E20" s="8" t="inlineStr">
        <is>
          <t>2</t>
        </is>
      </c>
      <c r="F20" s="8" t="inlineStr">
        <is>
          <t>3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2</t>
        </is>
      </c>
      <c r="E21" s="8" t="inlineStr">
        <is>
          <t>3</t>
        </is>
      </c>
      <c r="F21" s="8" t="inlineStr">
        <is>
          <t>4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2</t>
        </is>
      </c>
      <c r="E22" s="8" t="inlineStr">
        <is>
          <t>3</t>
        </is>
      </c>
      <c r="F22" s="8" t="inlineStr">
        <is>
          <t>4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2</t>
        </is>
      </c>
      <c r="E23" s="8" t="inlineStr">
        <is>
          <t>3</t>
        </is>
      </c>
      <c r="F23" s="8" t="inlineStr">
        <is>
          <t>5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1</t>
        </is>
      </c>
      <c r="E24" s="8" t="inlineStr">
        <is>
          <t>2</t>
        </is>
      </c>
      <c r="F24" s="8" t="inlineStr">
        <is>
          <t>4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0</t>
        </is>
      </c>
      <c r="E25" s="8" t="inlineStr">
        <is>
          <t>1</t>
        </is>
      </c>
      <c r="F25" s="8" t="inlineStr">
        <is>
          <t>3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1</t>
        </is>
      </c>
      <c r="E26" s="8" t="inlineStr">
        <is>
          <t>3</t>
        </is>
      </c>
      <c r="F26" s="8" t="inlineStr">
        <is>
          <t>4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1</t>
        </is>
      </c>
      <c r="E27" s="8" t="inlineStr">
        <is>
          <t>3</t>
        </is>
      </c>
      <c r="F27" s="8" t="inlineStr">
        <is>
          <t>5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2</t>
        </is>
      </c>
      <c r="E28" s="8" t="inlineStr">
        <is>
          <t>11</t>
        </is>
      </c>
      <c r="F28" s="8" t="inlineStr">
        <is>
          <t>21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+1</t>
        </is>
      </c>
      <c r="E29" s="8" t="inlineStr">
        <is>
          <t>+3</t>
        </is>
      </c>
      <c r="F29" s="8" t="inlineStr">
        <is>
          <t>+6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+3</t>
        </is>
      </c>
      <c r="E30" s="8" t="inlineStr">
        <is>
          <t>+6</t>
        </is>
      </c>
      <c r="F30" s="8" t="inlineStr">
        <is>
          <t>+10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力量卡：泥符（Mud Glyph）與幻影瞬移（Phantasm Teleport）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佈設位移型（雙段式：先投資，後回收）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泥符庫存（Glyph Stock）</t>
        </is>
      </c>
      <c r="D35" s="29" t="n"/>
      <c r="E35" s="29" t="n"/>
      <c r="F35" s="29" t="n"/>
      <c r="G35" s="29" t="n"/>
      <c r="H35" s="29" t="n"/>
      <c r="I35" s="30" t="n"/>
    </row>
    <row r="36" ht="22" customHeight="1">
      <c r="A36" s="12" t="inlineStr">
        <is>
          <t>充能上限</t>
        </is>
      </c>
      <c r="B36" s="30" t="n"/>
      <c r="C36" s="18" t="inlineStr">
        <is>
          <t>PWC_max = 6（三階精通後 8）</t>
        </is>
      </c>
      <c r="D36" s="29" t="n"/>
      <c r="E36" s="29" t="n"/>
      <c r="F36" s="29" t="n"/>
      <c r="G36" s="29" t="n"/>
      <c r="H36" s="29" t="n"/>
      <c r="I36" s="30" t="n"/>
    </row>
    <row r="37" ht="33" customHeight="1">
      <c r="A37" s="12" t="inlineStr">
        <is>
          <t>充能回復</t>
        </is>
      </c>
      <c r="B37" s="30" t="n"/>
      <c r="C37" s="18" t="inlineStr">
        <is>
          <t>回收自己的泥符：1 行動點（AP），返還庫存。被觸發的泥符消失且不返還（四階精通除外）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行動點（AP）成本</t>
        </is>
      </c>
      <c r="B38" s="30" t="n"/>
      <c r="C38" s="18" t="inlineStr">
        <is>
          <t>畫符 1 點；瞬移 0 點（自由動作）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壓迫值（PRE）成本</t>
        </is>
      </c>
      <c r="B39" s="30" t="n"/>
      <c r="C39" s="18" t="inlineStr">
        <is>
          <t>畫符 1 點；瞬移 2 點</t>
        </is>
      </c>
      <c r="D39" s="29" t="n"/>
      <c r="E39" s="29" t="n"/>
      <c r="F39" s="29" t="n"/>
      <c r="G39" s="29" t="n"/>
      <c r="H39" s="29" t="n"/>
      <c r="I39" s="30" t="n"/>
    </row>
    <row r="40" ht="63" customHeight="1">
      <c r="A40" s="12" t="inlineStr">
        <is>
          <t>判定式（畫符）</t>
        </is>
      </c>
      <c r="B40" s="30" t="n"/>
      <c r="C40" s="18" t="inlineStr">
        <is>
          <t>無需檢定。畫於自身所在格，成為隱藏物件。
倖存者察覺難度等級（DC）＝ 10 + 2 × 秘能（OCC）（聲望 1：DC 14／聲望 10：DC 16／聲望 20：DC 20）</t>
        </is>
      </c>
      <c r="D40" s="29" t="n"/>
      <c r="E40" s="29" t="n"/>
      <c r="F40" s="29" t="n"/>
      <c r="G40" s="29" t="n"/>
      <c r="H40" s="29" t="n"/>
      <c r="I40" s="30" t="n"/>
    </row>
    <row r="41" ht="63" customHeight="1">
      <c r="A41" s="12" t="inlineStr">
        <is>
          <t>判定式（觸發）</t>
        </is>
      </c>
      <c r="B41" s="30" t="n"/>
      <c r="C41" s="18" t="inlineStr">
        <is>
          <t>倖存者以站姿（步行／奔跑／衝刺）進入泥符所在格或其相鄰 8 格：自動觸發。
倖存者以蹲行通過：先做 隱蔽（STL）＋潛行（SNK）檢定 vs 難度等級（DC）12；成功則安全通過且得知泥符位置，失敗則觸發。</t>
        </is>
      </c>
      <c r="D41" s="29" t="n"/>
      <c r="E41" s="29" t="n"/>
      <c r="F41" s="29" t="n"/>
      <c r="G41" s="29" t="n"/>
      <c r="H41" s="29" t="n"/>
      <c r="I41" s="30" t="n"/>
    </row>
    <row r="42" ht="78" customHeight="1">
      <c r="A42" s="12" t="inlineStr">
        <is>
          <t>觸發效果（對倖存者）</t>
        </is>
      </c>
      <c r="B42" s="30" t="n"/>
      <c r="C42" s="18" t="inlineStr">
        <is>
          <t>① 立即獲得 顯形（Revealed，ST-18） 1 輪（尖叫）；
② 獲得 顫慄（Trembling，ST-26） 1 輪（行動點（AP）−1）；
③ 主持人（GM）在地圖上標示該倖存者位置，殺手免費獲得 1 個獵殺線索（Hunt Lead）。</t>
        </is>
      </c>
      <c r="D42" s="29" t="n"/>
      <c r="E42" s="29" t="n"/>
      <c r="F42" s="29" t="n"/>
      <c r="G42" s="29" t="n"/>
      <c r="H42" s="29" t="n"/>
      <c r="I42" s="30" t="n"/>
    </row>
    <row r="43" ht="93" customHeight="1">
      <c r="A43" s="12" t="inlineStr">
        <is>
          <t>瞬移（Phantasm Teleport）</t>
        </is>
      </c>
      <c r="B43" s="30" t="n"/>
      <c r="C43" s="18" t="inlineStr">
        <is>
          <t>泥符被觸發的當下，巫婆可花 0 行動點（AP）＋ 2 壓迫值（PRE） 立即傳送至該泥符所在格。
射程無限（同一領域內）。
代價：瞬移後，該輪剩餘行動點（AP）上限降為 2 點（無法瞬移後立刻打滿全套攻擊）。
限制：每輪最多瞬移 1 次。</t>
        </is>
      </c>
      <c r="D43" s="29" t="n"/>
      <c r="E43" s="29" t="n"/>
      <c r="F43" s="29" t="n"/>
      <c r="G43" s="29" t="n"/>
      <c r="H43" s="29" t="n"/>
      <c r="I43" s="30" t="n"/>
    </row>
    <row r="44" ht="63" customHeight="1">
      <c r="A44" s="12" t="inlineStr">
        <is>
          <t>消符（倖存者反制）</t>
        </is>
      </c>
      <c r="B44" s="30" t="n"/>
      <c r="C44" s="18" t="inlineStr">
        <is>
          <t>① 手電筒（FLT）照射：1 行動點（AP），自動消除，無檢定，消耗 2 充能；
② 技巧（TEC）＋搜索（SRC）檢定 vs 難度等級（DC）14：2 行動點（AP），成功消除（大失敗則觸發）。</t>
        </is>
      </c>
      <c r="D44" s="29" t="n"/>
      <c r="E44" s="29" t="n"/>
      <c r="F44" s="29" t="n"/>
      <c r="G44" s="29" t="n"/>
      <c r="H44" s="29" t="n"/>
      <c r="I44" s="30" t="n"/>
    </row>
    <row r="45" ht="93" customHeight="1">
      <c r="A45" s="12" t="inlineStr">
        <is>
          <t>失手／代價</t>
        </is>
      </c>
      <c r="B45" s="30" t="n"/>
      <c r="C45" s="18" t="inlineStr">
        <is>
          <t>① 泥符是純沉沒成本——畫在無人經過處等於白費行動點（AP）與壓迫值（PRE）；
② 巫婆的基礎屬性（蠻力（BRU）、追獵（HNT））是全化身最低，一旦泥符佈局被拆解，她在正面追逐幾乎打不贏任何倖存者；
③ 瞬移後行動點（AP）上限 2，代表她瞬移到現場也不一定能立刻造成傷害。</t>
        </is>
      </c>
      <c r="D45" s="29" t="n"/>
      <c r="E45" s="29" t="n"/>
      <c r="F45" s="29" t="n"/>
      <c r="G45" s="29" t="n"/>
      <c r="H45" s="29" t="n"/>
      <c r="I45" s="30" t="n"/>
    </row>
    <row r="46" ht="22" customHeight="1">
      <c r="A46" s="12" t="inlineStr">
        <is>
          <t>冷卻</t>
        </is>
      </c>
      <c r="B46" s="30" t="n"/>
      <c r="C46" s="18" t="inlineStr">
        <is>
          <t>瞬移每輪 1 次</t>
        </is>
      </c>
      <c r="D46" s="29" t="n"/>
      <c r="E46" s="29" t="n"/>
      <c r="F46" s="29" t="n"/>
      <c r="G46" s="29" t="n"/>
      <c r="H46" s="29" t="n"/>
      <c r="I46" s="30" t="n"/>
    </row>
    <row r="47" ht="63" customHeight="1">
      <c r="A47" s="12" t="inlineStr">
        <is>
          <t>倖存者應對</t>
        </is>
      </c>
      <c r="B47" s="30" t="n"/>
      <c r="C47" s="18" t="inlineStr">
        <is>
          <t>① 全程蹲行通過陌生窄道——死水沼澤的木棧道是她的主戰場；② 帶手電筒（FLT）——1 行動點（AP）消符是本系統最高效的反制動作之一；③ 記錄已知泥符——泥符是靜態的，畫在地圖上就永遠是情報；④ 前 6 輪打進度——她的前期壓迫是全化身最低，前 6 輪是倖存者的黃金修機期。</t>
        </is>
      </c>
      <c r="D47" s="29" t="n"/>
      <c r="E47" s="29" t="n"/>
      <c r="F47" s="29" t="n"/>
      <c r="G47" s="29" t="n"/>
      <c r="H47" s="29" t="n"/>
      <c r="I47" s="30" t="n"/>
    </row>
    <row r="48" ht="48" customHeight="1">
      <c r="A48" s="12" t="inlineStr">
        <is>
          <t>獨行配置調整</t>
        </is>
      </c>
      <c r="B48" s="30" t="n"/>
      <c r="C48" s="18" t="inlineStr">
        <is>
          <t>N = 1 時：泥符庫存上限 4；且瞬移後的行動點（AP）上限降為 1 點。
理由：單人玩家沒有隊友幫忙消符，泥符網會迅速覆蓋整張圖並形成無法通行的區域。</t>
        </is>
      </c>
      <c r="D48" s="29" t="n"/>
      <c r="E48" s="29" t="n"/>
      <c r="F48" s="29" t="n"/>
      <c r="G48" s="29" t="n"/>
      <c r="H48" s="29" t="n"/>
      <c r="I48" s="30" t="n"/>
    </row>
    <row r="49" ht="20" customHeight="1">
      <c r="A49" s="9" t="inlineStr">
        <is>
          <t>四　力量精通（Power Mastery）</t>
        </is>
      </c>
      <c r="B49" s="29" t="n"/>
      <c r="C49" s="29" t="n"/>
      <c r="D49" s="29" t="n"/>
      <c r="E49" s="29" t="n"/>
      <c r="F49" s="29" t="n"/>
      <c r="G49" s="29" t="n"/>
      <c r="H49" s="29" t="n"/>
      <c r="I49" s="30" t="n"/>
    </row>
    <row r="50">
      <c r="A50" s="5" t="inlineStr">
        <is>
          <t>階</t>
        </is>
      </c>
      <c r="B50" s="30" t="n"/>
      <c r="C50" s="5" t="inlineStr">
        <is>
          <t>效果</t>
        </is>
      </c>
      <c r="D50" s="29" t="n"/>
      <c r="E50" s="29" t="n"/>
      <c r="F50" s="29" t="n"/>
      <c r="G50" s="29" t="n"/>
      <c r="H50" s="29" t="n"/>
      <c r="I50" s="30" t="n"/>
    </row>
    <row r="51" ht="22" customHeight="1">
      <c r="A51" s="12" t="inlineStr">
        <is>
          <t>二階（聲望 6）</t>
        </is>
      </c>
      <c r="B51" s="30" t="n"/>
      <c r="C51" s="18" t="inlineStr">
        <is>
          <t>瞬移壓迫值（PRE）成本降為 1 點。</t>
        </is>
      </c>
      <c r="D51" s="29" t="n"/>
      <c r="E51" s="29" t="n"/>
      <c r="F51" s="29" t="n"/>
      <c r="G51" s="29" t="n"/>
      <c r="H51" s="29" t="n"/>
      <c r="I51" s="30" t="n"/>
    </row>
    <row r="52" ht="22" customHeight="1">
      <c r="A52" s="12" t="inlineStr">
        <is>
          <t>三階（聲望 11）</t>
        </is>
      </c>
      <c r="B52" s="30" t="n"/>
      <c r="C52" s="18" t="inlineStr">
        <is>
          <t>泥符庫存上限 8；瞬移後行動點（AP）上限提升為 3 點。</t>
        </is>
      </c>
      <c r="D52" s="29" t="n"/>
      <c r="E52" s="29" t="n"/>
      <c r="F52" s="29" t="n"/>
      <c r="G52" s="29" t="n"/>
      <c r="H52" s="29" t="n"/>
      <c r="I52" s="30" t="n"/>
    </row>
    <row r="53" ht="78" customHeight="1">
      <c r="A53" s="12" t="inlineStr">
        <is>
          <t>四階（聲望 16）</t>
        </is>
      </c>
      <c r="B53" s="30" t="n"/>
      <c r="C53" s="18" t="inlineStr">
        <is>
          <t>終焉形態｜泥沼之界（The Mire Dominion）
成本 4 壓迫值（PRE）＋ 1 行動點（AP），每場試煉 3 次。
持續 5 輪：期間所有泥符在被觸發後不消失（可重複觸發，同一泥符每輪最多觸發 1 次），且瞬移改為每輪 2 次。</t>
        </is>
      </c>
      <c r="D53" s="29" t="n"/>
      <c r="E53" s="29" t="n"/>
      <c r="F53" s="29" t="n"/>
      <c r="G53" s="29" t="n"/>
      <c r="H53" s="29" t="n"/>
      <c r="I53" s="30" t="n"/>
    </row>
    <row r="54" ht="20" customHeight="1">
      <c r="A54" s="9" t="inlineStr">
        <is>
          <t>五　專屬天賦（Perk）</t>
        </is>
      </c>
      <c r="B54" s="29" t="n"/>
      <c r="C54" s="29" t="n"/>
      <c r="D54" s="29" t="n"/>
      <c r="E54" s="29" t="n"/>
      <c r="F54" s="29" t="n"/>
      <c r="G54" s="29" t="n"/>
      <c r="H54" s="29" t="n"/>
      <c r="I54" s="30" t="n"/>
    </row>
    <row r="55">
      <c r="A55" s="5" t="inlineStr">
        <is>
          <t>編號</t>
        </is>
      </c>
      <c r="B55" s="30" t="n"/>
      <c r="C55" s="5" t="inlineStr">
        <is>
          <t>名稱</t>
        </is>
      </c>
      <c r="D55" s="29" t="n"/>
      <c r="E55" s="29" t="n"/>
      <c r="F55" s="30" t="n"/>
      <c r="G55" s="5" t="inlineStr">
        <is>
          <t>出處</t>
        </is>
      </c>
      <c r="H55" s="29" t="n"/>
      <c r="I55" s="30" t="n"/>
    </row>
    <row r="56">
      <c r="A56" s="8" t="inlineStr">
        <is>
          <t>TALENT-K16</t>
        </is>
      </c>
      <c r="B56" s="30" t="n"/>
      <c r="C56" s="6" t="inlineStr">
        <is>
          <t>詛咒：毀滅（Hex: Ruin）</t>
        </is>
      </c>
      <c r="D56" s="29" t="n"/>
      <c r="E56" s="29" t="n"/>
      <c r="F56" s="30" t="n"/>
      <c r="G56" s="6" t="n"/>
      <c r="H56" s="29" t="n"/>
      <c r="I56" s="30" t="n"/>
    </row>
    <row r="57">
      <c r="A57" s="8" t="inlineStr">
        <is>
          <t>TALENT-K17</t>
        </is>
      </c>
      <c r="B57" s="30" t="n"/>
      <c r="C57" s="6" t="inlineStr">
        <is>
          <t>詛咒：吞噬希望（Hex: Devour Hope）</t>
        </is>
      </c>
      <c r="D57" s="29" t="n"/>
      <c r="E57" s="29" t="n"/>
      <c r="F57" s="30" t="n"/>
      <c r="G57" s="6" t="n"/>
      <c r="H57" s="29" t="n"/>
      <c r="I57" s="30" t="n"/>
    </row>
    <row r="58">
      <c r="A58" s="8" t="inlineStr">
        <is>
          <t>TALENT-K18</t>
        </is>
      </c>
      <c r="B58" s="30" t="n"/>
      <c r="C58" s="6" t="inlineStr">
        <is>
          <t>詛咒：第三封印（Hex: The Third Seal）</t>
        </is>
      </c>
      <c r="D58" s="29" t="n"/>
      <c r="E58" s="29" t="n"/>
      <c r="F58" s="30" t="n"/>
      <c r="G58" s="6" t="n"/>
      <c r="H58" s="29" t="n"/>
      <c r="I58" s="30" t="n"/>
    </row>
    <row r="59" ht="20" customHeight="1">
      <c r="A59" s="9" t="inlineStr">
        <is>
          <t>六　遭遇成本與投放</t>
        </is>
      </c>
      <c r="B59" s="29" t="n"/>
      <c r="C59" s="29" t="n"/>
      <c r="D59" s="29" t="n"/>
      <c r="E59" s="29" t="n"/>
      <c r="F59" s="29" t="n"/>
      <c r="G59" s="29" t="n"/>
      <c r="H59" s="29" t="n"/>
      <c r="I59" s="30" t="n"/>
    </row>
    <row r="60">
      <c r="A60" s="12" t="inlineStr">
        <is>
          <t>作為試煉主殺手</t>
        </is>
      </c>
      <c r="B60" s="29" t="n"/>
      <c r="C60" s="30" t="n"/>
      <c r="D60" s="6" t="inlineStr">
        <is>
          <t>佔遭遇預算（EB）的 60%</t>
        </is>
      </c>
      <c r="E60" s="29" t="n"/>
      <c r="F60" s="29" t="n"/>
      <c r="G60" s="29" t="n"/>
      <c r="H60" s="29" t="n"/>
      <c r="I60" s="30" t="n"/>
    </row>
    <row r="61">
      <c r="A61" s="12" t="inlineStr">
        <is>
          <t>作為劇本中的固定威脅</t>
        </is>
      </c>
      <c r="B61" s="29" t="n"/>
      <c r="C61" s="30" t="n"/>
      <c r="D61" s="6" t="inlineStr">
        <is>
          <t>挑戰等級（CR）× 2</t>
        </is>
      </c>
      <c r="E61" s="29" t="n"/>
      <c r="F61" s="29" t="n"/>
      <c r="G61" s="29" t="n"/>
      <c r="H61" s="29" t="n"/>
      <c r="I61" s="30" t="n"/>
    </row>
    <row r="62" ht="42" customHeight="1">
      <c r="A62" s="12" t="inlineStr">
        <is>
          <t>獨行配置（N ＝ 1）調整</t>
        </is>
      </c>
      <c r="B62" s="29" t="n"/>
      <c r="C62" s="30" t="n"/>
      <c r="D62" s="18" t="inlineStr">
        <is>
          <t>N = 1 時：泥符庫存上限 4；且瞬移後的行動點（AP）上限降為 1 點。
理由：單人玩家沒有隊友幫忙消符，泥符網會迅速覆蓋整張圖並形成無法通行的區域。</t>
        </is>
      </c>
      <c r="E62" s="29" t="n"/>
      <c r="F62" s="29" t="n"/>
      <c r="G62" s="29" t="n"/>
      <c r="H62" s="29" t="n"/>
      <c r="I62" s="30" t="n"/>
    </row>
    <row r="63" ht="20" customHeight="1">
      <c r="A63" s="9" t="inlineStr">
        <is>
          <t>七　試煉中追蹤軌</t>
        </is>
      </c>
      <c r="B63" s="29" t="n"/>
      <c r="C63" s="29" t="n"/>
      <c r="D63" s="29" t="n"/>
      <c r="E63" s="29" t="n"/>
      <c r="F63" s="29" t="n"/>
      <c r="G63" s="29" t="n"/>
      <c r="H63" s="29" t="n"/>
      <c r="I63" s="30" t="n"/>
    </row>
    <row r="64">
      <c r="A64" s="12" t="inlineStr">
        <is>
          <t>當前壓迫值（PRE）</t>
        </is>
      </c>
      <c r="B64" s="30" t="n"/>
      <c r="C64" s="8" t="n"/>
      <c r="D64" s="30" t="n"/>
      <c r="E64" s="12" t="inlineStr">
        <is>
          <t>升壓階段</t>
        </is>
      </c>
      <c r="F64" s="30" t="n"/>
      <c r="G64" s="8" t="inlineStr">
        <is>
          <t>☐ 一　☐ 二　☐ 三</t>
        </is>
      </c>
      <c r="H64" s="29" t="n"/>
      <c r="I64" s="30" t="n"/>
    </row>
    <row r="65">
      <c r="A65" s="12" t="inlineStr">
        <is>
          <t>已獻祭人數</t>
        </is>
      </c>
      <c r="B65" s="30" t="n"/>
      <c r="C65" s="8" t="n"/>
      <c r="D65" s="30" t="n"/>
      <c r="E65" s="12" t="inlineStr">
        <is>
          <t>獵殺線索（Hunt Lead）</t>
        </is>
      </c>
      <c r="F65" s="30" t="n"/>
      <c r="G65" s="8" t="n"/>
      <c r="H65" s="29" t="n"/>
      <c r="I65" s="30" t="n"/>
    </row>
    <row r="66" ht="44" customHeight="1">
      <c r="A66" s="12" t="inlineStr">
        <is>
          <t>備註</t>
        </is>
      </c>
      <c r="B66" s="30" t="n"/>
      <c r="C66" s="18" t="n"/>
      <c r="D66" s="29" t="n"/>
      <c r="E66" s="29" t="n"/>
      <c r="F66" s="29" t="n"/>
      <c r="G66" s="29" t="n"/>
      <c r="H66" s="29" t="n"/>
      <c r="I66" s="30" t="n"/>
    </row>
  </sheetData>
  <mergeCells count="135">
    <mergeCell ref="C36:I36"/>
    <mergeCell ref="A15:B15"/>
    <mergeCell ref="A64:B64"/>
    <mergeCell ref="A51:B51"/>
    <mergeCell ref="A21:C21"/>
    <mergeCell ref="C64:D64"/>
    <mergeCell ref="A26:C26"/>
    <mergeCell ref="E64:F64"/>
    <mergeCell ref="C53:I53"/>
    <mergeCell ref="E4:I4"/>
    <mergeCell ref="A7:B7"/>
    <mergeCell ref="A23:C23"/>
    <mergeCell ref="A41:B41"/>
    <mergeCell ref="D13:E13"/>
    <mergeCell ref="G65:I65"/>
    <mergeCell ref="A17:I17"/>
    <mergeCell ref="A56:B56"/>
    <mergeCell ref="E65:F65"/>
    <mergeCell ref="C45:I45"/>
    <mergeCell ref="D7:E7"/>
    <mergeCell ref="A33:B33"/>
    <mergeCell ref="A42:B42"/>
    <mergeCell ref="F15:I15"/>
    <mergeCell ref="C47:I47"/>
    <mergeCell ref="D60:I60"/>
    <mergeCell ref="A53:B53"/>
    <mergeCell ref="A35:B35"/>
    <mergeCell ref="A59:I59"/>
    <mergeCell ref="C40:I40"/>
    <mergeCell ref="C56:F56"/>
    <mergeCell ref="H23:I23"/>
    <mergeCell ref="A2:C5"/>
    <mergeCell ref="A39:B39"/>
    <mergeCell ref="A48:B48"/>
    <mergeCell ref="F13:I13"/>
    <mergeCell ref="D10:E10"/>
    <mergeCell ref="A45:B45"/>
    <mergeCell ref="E5:F5"/>
    <mergeCell ref="A12:C12"/>
    <mergeCell ref="C66:I66"/>
    <mergeCell ref="H25:I25"/>
    <mergeCell ref="G7:H7"/>
    <mergeCell ref="D62:I62"/>
    <mergeCell ref="D11:E11"/>
    <mergeCell ref="C34:I34"/>
    <mergeCell ref="A37:B37"/>
    <mergeCell ref="A46:B46"/>
    <mergeCell ref="G55:I55"/>
    <mergeCell ref="G64:I64"/>
    <mergeCell ref="C42:I42"/>
    <mergeCell ref="A29:C29"/>
    <mergeCell ref="A13:C13"/>
    <mergeCell ref="A63:I63"/>
    <mergeCell ref="H19:I19"/>
    <mergeCell ref="G56:I56"/>
    <mergeCell ref="H28:I28"/>
    <mergeCell ref="D9:E9"/>
    <mergeCell ref="A24:C24"/>
    <mergeCell ref="C44:I44"/>
    <mergeCell ref="A60:C60"/>
    <mergeCell ref="A49:I49"/>
    <mergeCell ref="A52:B52"/>
    <mergeCell ref="A1:I1"/>
    <mergeCell ref="H5:I5"/>
    <mergeCell ref="C46:I46"/>
    <mergeCell ref="C51:I51"/>
    <mergeCell ref="A34:B34"/>
    <mergeCell ref="A25:C25"/>
    <mergeCell ref="F9:I9"/>
    <mergeCell ref="C48:I48"/>
    <mergeCell ref="D61:I61"/>
    <mergeCell ref="A18:C18"/>
    <mergeCell ref="A36:B36"/>
    <mergeCell ref="G3:I3"/>
    <mergeCell ref="C38:I38"/>
    <mergeCell ref="C57:F57"/>
    <mergeCell ref="G58:I58"/>
    <mergeCell ref="H21:I21"/>
    <mergeCell ref="A65:B65"/>
    <mergeCell ref="A32:I32"/>
    <mergeCell ref="C65:D65"/>
    <mergeCell ref="A22:C22"/>
    <mergeCell ref="A62:C62"/>
    <mergeCell ref="C33:I33"/>
    <mergeCell ref="C58:F58"/>
    <mergeCell ref="F10:I10"/>
    <mergeCell ref="A20:C20"/>
    <mergeCell ref="A55:B55"/>
    <mergeCell ref="A28:C28"/>
    <mergeCell ref="A57:B57"/>
    <mergeCell ref="C35:I35"/>
    <mergeCell ref="E2:I2"/>
    <mergeCell ref="A14:B14"/>
    <mergeCell ref="A30:C30"/>
    <mergeCell ref="H22:I22"/>
    <mergeCell ref="D12:E12"/>
    <mergeCell ref="A38:B38"/>
    <mergeCell ref="A43:B43"/>
    <mergeCell ref="F8:I8"/>
    <mergeCell ref="A61:C61"/>
    <mergeCell ref="A6:I6"/>
    <mergeCell ref="A40:B40"/>
    <mergeCell ref="H30:I30"/>
    <mergeCell ref="A16:I16"/>
    <mergeCell ref="C52:I52"/>
    <mergeCell ref="H20:I20"/>
    <mergeCell ref="G57:I57"/>
    <mergeCell ref="H29:I29"/>
    <mergeCell ref="C39:I39"/>
    <mergeCell ref="A27:C27"/>
    <mergeCell ref="C37:I37"/>
    <mergeCell ref="F14:I14"/>
    <mergeCell ref="A8:C8"/>
    <mergeCell ref="F11:I11"/>
    <mergeCell ref="A66:B66"/>
    <mergeCell ref="A50:B50"/>
    <mergeCell ref="A10:C10"/>
    <mergeCell ref="A19:C19"/>
    <mergeCell ref="A47:B47"/>
    <mergeCell ref="F12:I12"/>
    <mergeCell ref="A9:C9"/>
    <mergeCell ref="A31:I31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A58:B58"/>
    <mergeCell ref="A54:I5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電療醫師（DOC）｜譚仲儒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DOC</t>
        </is>
      </c>
      <c r="F3" s="5" t="inlineStr">
        <is>
          <t>本名</t>
        </is>
      </c>
      <c r="G3" s="6" t="inlineStr">
        <is>
          <t>譚仲儒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R6 雷利紀念研究所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範圍型</t>
        </is>
      </c>
      <c r="F5" s="30" t="n"/>
      <c r="G5" s="5" t="inlineStr">
        <is>
          <t>屬性傾向</t>
        </is>
      </c>
      <c r="H5" s="6" t="inlineStr">
        <is>
          <t>威壓（DRE）＋3、追獵（HNT）＋1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1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16</v>
      </c>
      <c r="D14" s="5" t="inlineStr">
        <is>
          <t>格　→　公尺</t>
        </is>
      </c>
      <c r="E14" s="14">
        <f>IF(C14="","",C14*2)</f>
        <v/>
      </c>
      <c r="F14" s="6" t="inlineStr">
        <is>
          <t>32 公尺 ＝ 16 格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7</v>
      </c>
      <c r="D15" s="5" t="inlineStr">
        <is>
          <t>格／輪</t>
        </is>
      </c>
      <c r="E15" s="8" t="n"/>
      <c r="F15" s="6" t="inlineStr">
        <is>
          <t>第三級 標準（7 格／輪，移動速度優勢 +2）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1</t>
        </is>
      </c>
      <c r="E19" s="8" t="inlineStr">
        <is>
          <t>2</t>
        </is>
      </c>
      <c r="F19" s="8" t="inlineStr">
        <is>
          <t>3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2</t>
        </is>
      </c>
      <c r="E20" s="8" t="inlineStr">
        <is>
          <t>3</t>
        </is>
      </c>
      <c r="F20" s="8" t="inlineStr">
        <is>
          <t>4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1</t>
        </is>
      </c>
      <c r="E21" s="8" t="inlineStr">
        <is>
          <t>2</t>
        </is>
      </c>
      <c r="F21" s="8" t="inlineStr">
        <is>
          <t>3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3</t>
        </is>
      </c>
      <c r="E22" s="8" t="inlineStr">
        <is>
          <t>4</t>
        </is>
      </c>
      <c r="F22" s="8" t="inlineStr">
        <is>
          <t>5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1</t>
        </is>
      </c>
      <c r="E23" s="8" t="inlineStr">
        <is>
          <t>2</t>
        </is>
      </c>
      <c r="F23" s="8" t="inlineStr">
        <is>
          <t>3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0</t>
        </is>
      </c>
      <c r="E24" s="8" t="inlineStr">
        <is>
          <t>2</t>
        </is>
      </c>
      <c r="F24" s="8" t="inlineStr">
        <is>
          <t>3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1</t>
        </is>
      </c>
      <c r="E25" s="8" t="inlineStr">
        <is>
          <t>2</t>
        </is>
      </c>
      <c r="F25" s="8" t="inlineStr">
        <is>
          <t>4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1</t>
        </is>
      </c>
      <c r="E26" s="8" t="inlineStr">
        <is>
          <t>4</t>
        </is>
      </c>
      <c r="F26" s="8" t="inlineStr">
        <is>
          <t>5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0</t>
        </is>
      </c>
      <c r="E27" s="8" t="inlineStr">
        <is>
          <t>2</t>
        </is>
      </c>
      <c r="F27" s="8" t="inlineStr">
        <is>
          <t>4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2</t>
        </is>
      </c>
      <c r="E28" s="8" t="inlineStr">
        <is>
          <t>11</t>
        </is>
      </c>
      <c r="F28" s="8" t="inlineStr">
        <is>
          <t>21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+2</t>
        </is>
      </c>
      <c r="E29" s="8" t="inlineStr">
        <is>
          <t>+4</t>
        </is>
      </c>
      <c r="F29" s="8" t="inlineStr">
        <is>
          <t>+7</t>
        </is>
      </c>
      <c r="G29" s="8" t="n"/>
      <c r="H29" s="6" t="n"/>
      <c r="I29" s="30" t="n"/>
    </row>
    <row r="30">
      <c r="A30" s="12" t="inlineStr">
        <is>
          <t>力量檢定修正</t>
        </is>
      </c>
      <c r="B30" s="29" t="n"/>
      <c r="C30" s="30" t="n"/>
      <c r="D30" s="8" t="inlineStr">
        <is>
          <t>+1</t>
        </is>
      </c>
      <c r="E30" s="8" t="inlineStr">
        <is>
          <t>+4</t>
        </is>
      </c>
      <c r="F30" s="8" t="inlineStr">
        <is>
          <t>+7</t>
        </is>
      </c>
      <c r="G30" s="8" t="n"/>
      <c r="H30" s="6" t="n"/>
      <c r="I30" s="30" t="n"/>
    </row>
    <row r="31">
      <c r="A31" s="12" t="inlineStr">
        <is>
          <t>恐懼施壓修正</t>
        </is>
      </c>
      <c r="B31" s="29" t="n"/>
      <c r="C31" s="30" t="n"/>
      <c r="D31" s="8" t="inlineStr">
        <is>
          <t>+4</t>
        </is>
      </c>
      <c r="E31" s="8" t="inlineStr">
        <is>
          <t>+8</t>
        </is>
      </c>
      <c r="F31" s="8" t="inlineStr">
        <is>
          <t>+10</t>
        </is>
      </c>
      <c r="G31" s="8" t="n"/>
      <c r="H31" s="6" t="n"/>
      <c r="I31" s="30" t="n"/>
    </row>
    <row r="32">
      <c r="A32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0" customHeight="1">
      <c r="A33" s="9" t="inlineStr">
        <is>
          <t>三　力量卡：電擊治療（Shock Therapy）與靜態場（Static Field）</t>
        </is>
      </c>
      <c r="B33" s="29" t="n"/>
      <c r="C33" s="29" t="n"/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欄位</t>
        </is>
      </c>
      <c r="B34" s="30" t="n"/>
      <c r="C34" s="18" t="inlineStr">
        <is>
          <t>內容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力量類型</t>
        </is>
      </c>
      <c r="B35" s="30" t="n"/>
      <c r="C35" s="18" t="inlineStr">
        <is>
          <t>範圍型（雙模式切換）</t>
        </is>
      </c>
      <c r="D35" s="29" t="n"/>
      <c r="E35" s="29" t="n"/>
      <c r="F35" s="29" t="n"/>
      <c r="G35" s="29" t="n"/>
      <c r="H35" s="29" t="n"/>
      <c r="I35" s="30" t="n"/>
    </row>
    <row r="36" ht="22" customHeight="1">
      <c r="A36" s="12" t="inlineStr">
        <is>
          <t>力量充能（PWC）名稱</t>
        </is>
      </c>
      <c r="B36" s="30" t="n"/>
      <c r="C36" s="18" t="inlineStr">
        <is>
          <t>無充能池。以目標身上的瘋狂（Madness，ST-15）層數為資源軸</t>
        </is>
      </c>
      <c r="D36" s="29" t="n"/>
      <c r="E36" s="29" t="n"/>
      <c r="F36" s="29" t="n"/>
      <c r="G36" s="29" t="n"/>
      <c r="H36" s="29" t="n"/>
      <c r="I36" s="30" t="n"/>
    </row>
    <row r="37" ht="22" customHeight="1">
      <c r="A37" s="12" t="inlineStr">
        <is>
          <t>模式切換</t>
        </is>
      </c>
      <c r="B37" s="30" t="n"/>
      <c r="C37" s="18" t="inlineStr">
        <is>
          <t>0 行動點（AP），每輪限 1 次。兩模式不可同時生效</t>
        </is>
      </c>
      <c r="D37" s="29" t="n"/>
      <c r="E37" s="29" t="n"/>
      <c r="F37" s="29" t="n"/>
      <c r="G37" s="29" t="n"/>
      <c r="H37" s="29" t="n"/>
      <c r="I37" s="30" t="n"/>
    </row>
    <row r="38" ht="108" customHeight="1">
      <c r="A38" s="12" t="inlineStr">
        <is>
          <t>【模式一】靜態場（被動）</t>
        </is>
      </c>
      <c r="B38" s="30" t="n"/>
      <c r="C38" s="18" t="inlineStr">
        <is>
          <t>恐怖半徑（TR）內的所有倖存者，於每輪結束時做 意志（WIL）＋堅忍（END）檢定 vs 難度等級（DC） = 10 + 威壓（DRE）。
失敗 → 瘋狂（Madness）+1 層。
大失敗 → 瘋狂 +2 層。
此模式下，醫師的基礎攻擊 −2（他分心在維持場域）。</t>
        </is>
      </c>
      <c r="D38" s="29" t="n"/>
      <c r="E38" s="29" t="n"/>
      <c r="F38" s="29" t="n"/>
      <c r="G38" s="29" t="n"/>
      <c r="H38" s="29" t="n"/>
      <c r="I38" s="30" t="n"/>
    </row>
    <row r="39" ht="123" customHeight="1">
      <c r="A39" s="12" t="inlineStr">
        <is>
          <t>【模式二】電擊治療（主動）</t>
        </is>
      </c>
      <c r="B39" s="30" t="n"/>
      <c r="C39" s="18" t="inlineStr">
        <is>
          <t>2 行動點（AP）＋ 2 壓迫值（PRE）。二選一：
（甲）自身中心 4 格半徑（近距（NEA））全體；
（乙）指定方向的錐形：起點自身，長 6 格，末端寬 4 格（切比雪夫距離計算，見 30_追逐戰鬥.md §10-4）。
力量檢定 2d10 + 秘能（OCC） + 儀式（RIT)　對抗　各目標 2d10 + 專注（FOC） + 洞察（INS)。</t>
        </is>
      </c>
      <c r="D39" s="29" t="n"/>
      <c r="E39" s="29" t="n"/>
      <c r="F39" s="29" t="n"/>
      <c r="G39" s="29" t="n"/>
      <c r="H39" s="29" t="n"/>
      <c r="I39" s="30" t="n"/>
    </row>
    <row r="40" ht="78" customHeight="1">
      <c r="A40" s="12" t="inlineStr">
        <is>
          <t>電擊命中效果</t>
        </is>
      </c>
      <c r="B40" s="30" t="n"/>
      <c r="C40" s="18" t="inlineStr">
        <is>
          <t>① 瘋狂（Madness）+1 層；
② 目標本輪剩餘行動點（AP）歸零（重現原著「被電擊後無法翻窗推板」）；
③ 若目標正在進行持續動作（修理、治療、開門），該動作進度點（PP）−2。</t>
        </is>
      </c>
      <c r="D40" s="29" t="n"/>
      <c r="E40" s="29" t="n"/>
      <c r="F40" s="29" t="n"/>
      <c r="G40" s="29" t="n"/>
      <c r="H40" s="29" t="n"/>
      <c r="I40" s="30" t="n"/>
    </row>
    <row r="41" ht="108" customHeight="1">
      <c r="A41" s="12" t="inlineStr">
        <is>
          <t>瘋狂（Madness）階梯</t>
        </is>
      </c>
      <c r="B41" s="30" t="n"/>
      <c r="C41" s="18" t="inlineStr">
        <is>
          <t>第 1 層：所有技巧檢定 −2。
第 2 層：所有技巧檢定 −4；每輪開始時 專注（FOC）檢定 vs 難度等級（DC）12，失敗則尖叫（獲得顯形（Revealed，ST-18）1 輪）。
第 3 層｜瘋狂發作（Madness Snap）：立即尖叫；持續 3 輪 行動點（AP）−1；且主持人（GM）可在該玩家的行動暗記卡上放置 1 枚假心跳籌碼（該玩家無法分辨真假——這是本化身最惡毒也最精彩的機制）。</t>
        </is>
      </c>
      <c r="D41" s="29" t="n"/>
      <c r="E41" s="29" t="n"/>
      <c r="F41" s="29" t="n"/>
      <c r="G41" s="29" t="n"/>
      <c r="H41" s="29" t="n"/>
      <c r="I41" s="30" t="n"/>
    </row>
    <row r="42" ht="93" customHeight="1">
      <c r="A42" s="12" t="inlineStr">
        <is>
          <t>瘋狂解除</t>
        </is>
      </c>
      <c r="B42" s="30" t="n"/>
      <c r="C42" s="18" t="inlineStr">
        <is>
          <t>① 清醒動作：3 行動點（AP）＋ 意志（WIL）＋堅忍（END）檢定 vs 難度等級（DC）14，成功 −1 層（大成功 −2 層）；
② 完成一次治療（自我或被治療）時 −1 層；
③ 每完成 1 台發電機，全體倖存者 −1 層（成就感驅散恐懼——這是刻意的正回饋設計）。</t>
        </is>
      </c>
      <c r="D42" s="29" t="n"/>
      <c r="E42" s="29" t="n"/>
      <c r="F42" s="29" t="n"/>
      <c r="G42" s="29" t="n"/>
      <c r="H42" s="29" t="n"/>
      <c r="I42" s="30" t="n"/>
    </row>
    <row r="43" ht="78" customHeight="1">
      <c r="A43" s="12" t="inlineStr">
        <is>
          <t>失手／代價</t>
        </is>
      </c>
      <c r="B43" s="30" t="n"/>
      <c r="C43" s="18" t="inlineStr">
        <is>
          <t>① 靜態場模式下基礎攻擊 −2，兩種模式互斥使他無法同時「壓迫」與「處決」；
② 瘋狂只干擾檢定，不直接扣生命狀態（HS）——醫師是全化身中「純殺傷力」最低的；
③ 每台發電機完成即全體 −1 層，倖存者推進目標本身就是解毒劑。</t>
        </is>
      </c>
      <c r="D43" s="29" t="n"/>
      <c r="E43" s="29" t="n"/>
      <c r="F43" s="29" t="n"/>
      <c r="G43" s="29" t="n"/>
      <c r="H43" s="29" t="n"/>
      <c r="I43" s="30" t="n"/>
    </row>
    <row r="44" ht="22" customHeight="1">
      <c r="A44" s="12" t="inlineStr">
        <is>
          <t>冷卻</t>
        </is>
      </c>
      <c r="B44" s="30" t="n"/>
      <c r="C44" s="18" t="inlineStr">
        <is>
          <t>電擊治療 1 輪</t>
        </is>
      </c>
      <c r="D44" s="29" t="n"/>
      <c r="E44" s="29" t="n"/>
      <c r="F44" s="29" t="n"/>
      <c r="G44" s="29" t="n"/>
      <c r="H44" s="29" t="n"/>
      <c r="I44" s="30" t="n"/>
    </row>
    <row r="45" ht="48" customHeight="1">
      <c r="A45" s="12" t="inlineStr">
        <is>
          <t>倖存者應對</t>
        </is>
      </c>
      <c r="B45" s="30" t="n"/>
      <c r="C45" s="18" t="inlineStr">
        <is>
          <t>① 推進發電機就是解藥——不要停下來對抗瘋狂，完成目標即可清層；② 散開——電擊是範圍效果（AOE），4 格內站兩人等於送他雙倍收益；③ 第 2 層就處理——第 3 層的假心跳籌碼會摧毀你的全部判斷，別讓它到那一步。</t>
        </is>
      </c>
      <c r="D45" s="29" t="n"/>
      <c r="E45" s="29" t="n"/>
      <c r="F45" s="29" t="n"/>
      <c r="G45" s="29" t="n"/>
      <c r="H45" s="29" t="n"/>
      <c r="I45" s="30" t="n"/>
    </row>
    <row r="46" ht="63" customHeight="1">
      <c r="A46" s="12" t="inlineStr">
        <is>
          <t>獨行配置調整</t>
        </is>
      </c>
      <c r="B46" s="30" t="n"/>
      <c r="C46" s="18" t="inlineStr">
        <is>
          <t>N = 1 時：瘋狂第 3 層的「假心跳籌碼」改為每 2 輪最多 1 枚，且第 3 層的行動點（AP）−1 縮短為 2 輪。
理由：單人玩家的資訊來源只有自己的心跳籌碼，全面污染等於直接失明。</t>
        </is>
      </c>
      <c r="D46" s="29" t="n"/>
      <c r="E46" s="29" t="n"/>
      <c r="F46" s="29" t="n"/>
      <c r="G46" s="29" t="n"/>
      <c r="H46" s="29" t="n"/>
      <c r="I46" s="30" t="n"/>
    </row>
    <row r="47" ht="20" customHeight="1">
      <c r="A47" s="9" t="inlineStr">
        <is>
          <t>四　力量精通（Power Mastery）</t>
        </is>
      </c>
      <c r="B47" s="29" t="n"/>
      <c r="C47" s="29" t="n"/>
      <c r="D47" s="29" t="n"/>
      <c r="E47" s="29" t="n"/>
      <c r="F47" s="29" t="n"/>
      <c r="G47" s="29" t="n"/>
      <c r="H47" s="29" t="n"/>
      <c r="I47" s="30" t="n"/>
    </row>
    <row r="48">
      <c r="A48" s="5" t="inlineStr">
        <is>
          <t>階</t>
        </is>
      </c>
      <c r="B48" s="30" t="n"/>
      <c r="C48" s="5" t="inlineStr">
        <is>
          <t>效果</t>
        </is>
      </c>
      <c r="D48" s="29" t="n"/>
      <c r="E48" s="29" t="n"/>
      <c r="F48" s="29" t="n"/>
      <c r="G48" s="29" t="n"/>
      <c r="H48" s="29" t="n"/>
      <c r="I48" s="30" t="n"/>
    </row>
    <row r="49" ht="22" customHeight="1">
      <c r="A49" s="12" t="inlineStr">
        <is>
          <t>二階（聲望 6）</t>
        </is>
      </c>
      <c r="B49" s="30" t="n"/>
      <c r="C49" s="18" t="inlineStr">
        <is>
          <t>電擊治療冷卻降為 0 輪（行動點（AP）成本仍為 2）。</t>
        </is>
      </c>
      <c r="D49" s="29" t="n"/>
      <c r="E49" s="29" t="n"/>
      <c r="F49" s="29" t="n"/>
      <c r="G49" s="29" t="n"/>
      <c r="H49" s="29" t="n"/>
      <c r="I49" s="30" t="n"/>
    </row>
    <row r="50" ht="22" customHeight="1">
      <c r="A50" s="12" t="inlineStr">
        <is>
          <t>三階（聲望 11）</t>
        </is>
      </c>
      <c r="B50" s="30" t="n"/>
      <c r="C50" s="18" t="inlineStr">
        <is>
          <t>靜態場的難度等級（DC）+2；錐形範圍延長為 8 格。</t>
        </is>
      </c>
      <c r="D50" s="29" t="n"/>
      <c r="E50" s="29" t="n"/>
      <c r="F50" s="29" t="n"/>
      <c r="G50" s="29" t="n"/>
      <c r="H50" s="29" t="n"/>
      <c r="I50" s="30" t="n"/>
    </row>
    <row r="51" ht="93" customHeight="1">
      <c r="A51" s="12" t="inlineStr">
        <is>
          <t>四階（聲望 16）</t>
        </is>
      </c>
      <c r="B51" s="30" t="n"/>
      <c r="C51" s="18" t="inlineStr">
        <is>
          <t>終焉形態｜全院會診（Grand Rounds）
成本 4 壓迫值（PRE）＋ 2 行動點（AP），每場試煉 3 次。
持續 4 輪：期間 ① 靜態場與電擊治療可同時生效（不再互斥，且無 −2 攻擊懲罰）；② 處於瘋狂第 3 層的倖存者，其相鄰 4 格內的其他倖存者技巧檢定 −2（瘋狂會傳染）。</t>
        </is>
      </c>
      <c r="D51" s="29" t="n"/>
      <c r="E51" s="29" t="n"/>
      <c r="F51" s="29" t="n"/>
      <c r="G51" s="29" t="n"/>
      <c r="H51" s="29" t="n"/>
      <c r="I51" s="30" t="n"/>
    </row>
    <row r="52" ht="20" customHeight="1">
      <c r="A52" s="9" t="inlineStr">
        <is>
          <t>五　專屬天賦（Perk）</t>
        </is>
      </c>
      <c r="B52" s="29" t="n"/>
      <c r="C52" s="29" t="n"/>
      <c r="D52" s="29" t="n"/>
      <c r="E52" s="29" t="n"/>
      <c r="F52" s="29" t="n"/>
      <c r="G52" s="29" t="n"/>
      <c r="H52" s="29" t="n"/>
      <c r="I52" s="30" t="n"/>
    </row>
    <row r="53">
      <c r="A53" s="5" t="inlineStr">
        <is>
          <t>編號</t>
        </is>
      </c>
      <c r="B53" s="30" t="n"/>
      <c r="C53" s="5" t="inlineStr">
        <is>
          <t>名稱</t>
        </is>
      </c>
      <c r="D53" s="29" t="n"/>
      <c r="E53" s="29" t="n"/>
      <c r="F53" s="30" t="n"/>
      <c r="G53" s="5" t="inlineStr">
        <is>
          <t>出處</t>
        </is>
      </c>
      <c r="H53" s="29" t="n"/>
      <c r="I53" s="30" t="n"/>
    </row>
    <row r="54">
      <c r="A54" s="8" t="inlineStr">
        <is>
          <t>TALENT-K19</t>
        </is>
      </c>
      <c r="B54" s="30" t="n"/>
      <c r="C54" s="6" t="inlineStr">
        <is>
          <t>過載超充（Overcharge）</t>
        </is>
      </c>
      <c r="D54" s="29" t="n"/>
      <c r="E54" s="29" t="n"/>
      <c r="F54" s="30" t="n"/>
      <c r="G54" s="6" t="n"/>
      <c r="H54" s="29" t="n"/>
      <c r="I54" s="30" t="n"/>
    </row>
    <row r="55">
      <c r="A55" s="8" t="inlineStr">
        <is>
          <t>TALENT-K20</t>
        </is>
      </c>
      <c r="B55" s="30" t="n"/>
      <c r="C55" s="6" t="inlineStr">
        <is>
          <t>監控與濫用（Monitor &amp; Abuse）</t>
        </is>
      </c>
      <c r="D55" s="29" t="n"/>
      <c r="E55" s="29" t="n"/>
      <c r="F55" s="30" t="n"/>
      <c r="G55" s="6" t="n"/>
      <c r="H55" s="29" t="n"/>
      <c r="I55" s="30" t="n"/>
    </row>
    <row r="56">
      <c r="A56" s="8" t="inlineStr">
        <is>
          <t>TALENT-K21</t>
        </is>
      </c>
      <c r="B56" s="30" t="n"/>
      <c r="C56" s="6" t="inlineStr">
        <is>
          <t>壓迫存在（Overwhelming Presence）</t>
        </is>
      </c>
      <c r="D56" s="29" t="n"/>
      <c r="E56" s="29" t="n"/>
      <c r="F56" s="30" t="n"/>
      <c r="G56" s="6" t="n"/>
      <c r="H56" s="29" t="n"/>
      <c r="I56" s="30" t="n"/>
    </row>
    <row r="57" ht="20" customHeight="1">
      <c r="A57" s="9" t="inlineStr">
        <is>
          <t>六　遭遇成本與投放</t>
        </is>
      </c>
      <c r="B57" s="29" t="n"/>
      <c r="C57" s="29" t="n"/>
      <c r="D57" s="29" t="n"/>
      <c r="E57" s="29" t="n"/>
      <c r="F57" s="29" t="n"/>
      <c r="G57" s="29" t="n"/>
      <c r="H57" s="29" t="n"/>
      <c r="I57" s="30" t="n"/>
    </row>
    <row r="58">
      <c r="A58" s="12" t="inlineStr">
        <is>
          <t>作為試煉主殺手</t>
        </is>
      </c>
      <c r="B58" s="29" t="n"/>
      <c r="C58" s="30" t="n"/>
      <c r="D58" s="6" t="inlineStr">
        <is>
          <t>佔遭遇預算（EB）的 60%</t>
        </is>
      </c>
      <c r="E58" s="29" t="n"/>
      <c r="F58" s="29" t="n"/>
      <c r="G58" s="29" t="n"/>
      <c r="H58" s="29" t="n"/>
      <c r="I58" s="30" t="n"/>
    </row>
    <row r="59">
      <c r="A59" s="12" t="inlineStr">
        <is>
          <t>作為劇本中的固定威脅</t>
        </is>
      </c>
      <c r="B59" s="29" t="n"/>
      <c r="C59" s="30" t="n"/>
      <c r="D59" s="6" t="inlineStr">
        <is>
          <t>挑戰等級（CR）× 2</t>
        </is>
      </c>
      <c r="E59" s="29" t="n"/>
      <c r="F59" s="29" t="n"/>
      <c r="G59" s="29" t="n"/>
      <c r="H59" s="29" t="n"/>
      <c r="I59" s="30" t="n"/>
    </row>
    <row r="60" ht="42" customHeight="1">
      <c r="A60" s="12" t="inlineStr">
        <is>
          <t>獨行配置（N ＝ 1）調整</t>
        </is>
      </c>
      <c r="B60" s="29" t="n"/>
      <c r="C60" s="30" t="n"/>
      <c r="D60" s="18" t="inlineStr">
        <is>
          <t>N = 1 時：瘋狂第 3 層的「假心跳籌碼」改為每 2 輪最多 1 枚，且第 3 層的行動點（AP）−1 縮短為 2 輪。
理由：單人玩家的資訊來源只有自己的心跳籌碼，全面污染等於直接失明。</t>
        </is>
      </c>
      <c r="E60" s="29" t="n"/>
      <c r="F60" s="29" t="n"/>
      <c r="G60" s="29" t="n"/>
      <c r="H60" s="29" t="n"/>
      <c r="I60" s="30" t="n"/>
    </row>
    <row r="61" ht="20" customHeight="1">
      <c r="A61" s="9" t="inlineStr">
        <is>
          <t>七　試煉中追蹤軌</t>
        </is>
      </c>
      <c r="B61" s="29" t="n"/>
      <c r="C61" s="29" t="n"/>
      <c r="D61" s="29" t="n"/>
      <c r="E61" s="29" t="n"/>
      <c r="F61" s="29" t="n"/>
      <c r="G61" s="29" t="n"/>
      <c r="H61" s="29" t="n"/>
      <c r="I61" s="30" t="n"/>
    </row>
    <row r="62">
      <c r="A62" s="12" t="inlineStr">
        <is>
          <t>當前壓迫值（PRE）</t>
        </is>
      </c>
      <c r="B62" s="30" t="n"/>
      <c r="C62" s="8" t="n"/>
      <c r="D62" s="30" t="n"/>
      <c r="E62" s="12" t="inlineStr">
        <is>
          <t>升壓階段</t>
        </is>
      </c>
      <c r="F62" s="30" t="n"/>
      <c r="G62" s="8" t="inlineStr">
        <is>
          <t>☐ 一　☐ 二　☐ 三</t>
        </is>
      </c>
      <c r="H62" s="29" t="n"/>
      <c r="I62" s="30" t="n"/>
    </row>
    <row r="63">
      <c r="A63" s="12" t="inlineStr">
        <is>
          <t>已獻祭人數</t>
        </is>
      </c>
      <c r="B63" s="30" t="n"/>
      <c r="C63" s="8" t="n"/>
      <c r="D63" s="30" t="n"/>
      <c r="E63" s="12" t="inlineStr">
        <is>
          <t>獵殺線索（Hunt Lead）</t>
        </is>
      </c>
      <c r="F63" s="30" t="n"/>
      <c r="G63" s="8" t="n"/>
      <c r="H63" s="29" t="n"/>
      <c r="I63" s="30" t="n"/>
    </row>
    <row r="64" ht="44" customHeight="1">
      <c r="A64" s="12" t="inlineStr">
        <is>
          <t>備註</t>
        </is>
      </c>
      <c r="B64" s="30" t="n"/>
      <c r="C64" s="18" t="n"/>
      <c r="D64" s="29" t="n"/>
      <c r="E64" s="29" t="n"/>
      <c r="F64" s="29" t="n"/>
      <c r="G64" s="29" t="n"/>
      <c r="H64" s="29" t="n"/>
      <c r="I64" s="30" t="n"/>
    </row>
  </sheetData>
  <mergeCells count="131">
    <mergeCell ref="C36:I36"/>
    <mergeCell ref="A64:B64"/>
    <mergeCell ref="A15:B15"/>
    <mergeCell ref="C62:D62"/>
    <mergeCell ref="E62:F62"/>
    <mergeCell ref="A51:B51"/>
    <mergeCell ref="G62:I62"/>
    <mergeCell ref="A21:C21"/>
    <mergeCell ref="A26:C26"/>
    <mergeCell ref="A54:B54"/>
    <mergeCell ref="A33:I33"/>
    <mergeCell ref="E4:I4"/>
    <mergeCell ref="A7:B7"/>
    <mergeCell ref="A23:C23"/>
    <mergeCell ref="A41:B41"/>
    <mergeCell ref="D13:E13"/>
    <mergeCell ref="C63:D63"/>
    <mergeCell ref="E63:F63"/>
    <mergeCell ref="A17:I17"/>
    <mergeCell ref="A56:B56"/>
    <mergeCell ref="G63:I63"/>
    <mergeCell ref="C45:I45"/>
    <mergeCell ref="D7:E7"/>
    <mergeCell ref="A42:B42"/>
    <mergeCell ref="C54:F54"/>
    <mergeCell ref="F15:I15"/>
    <mergeCell ref="D59:I59"/>
    <mergeCell ref="D60:I60"/>
    <mergeCell ref="A53:B53"/>
    <mergeCell ref="A35:B35"/>
    <mergeCell ref="A62:B62"/>
    <mergeCell ref="C40:I40"/>
    <mergeCell ref="C56:F56"/>
    <mergeCell ref="H23:I23"/>
    <mergeCell ref="A61:I61"/>
    <mergeCell ref="A2:C5"/>
    <mergeCell ref="A39:B39"/>
    <mergeCell ref="A48:B48"/>
    <mergeCell ref="F13:I13"/>
    <mergeCell ref="D10:E10"/>
    <mergeCell ref="A45:B45"/>
    <mergeCell ref="E5:F5"/>
    <mergeCell ref="A12:C12"/>
    <mergeCell ref="H25:I25"/>
    <mergeCell ref="G7:H7"/>
    <mergeCell ref="D11:E11"/>
    <mergeCell ref="C34:I34"/>
    <mergeCell ref="A37:B37"/>
    <mergeCell ref="A46:B46"/>
    <mergeCell ref="G55:I55"/>
    <mergeCell ref="D58:I58"/>
    <mergeCell ref="C42:I42"/>
    <mergeCell ref="A29:C29"/>
    <mergeCell ref="A52:I52"/>
    <mergeCell ref="G54:I54"/>
    <mergeCell ref="A13:C13"/>
    <mergeCell ref="A31:C31"/>
    <mergeCell ref="A58:C58"/>
    <mergeCell ref="H19:I19"/>
    <mergeCell ref="G56:I56"/>
    <mergeCell ref="H28:I28"/>
    <mergeCell ref="D9:E9"/>
    <mergeCell ref="A24:C24"/>
    <mergeCell ref="C44:I44"/>
    <mergeCell ref="A60:C60"/>
    <mergeCell ref="A63:B63"/>
    <mergeCell ref="A1:I1"/>
    <mergeCell ref="H5:I5"/>
    <mergeCell ref="C46:I46"/>
    <mergeCell ref="C51:I51"/>
    <mergeCell ref="A34:B34"/>
    <mergeCell ref="A25:C25"/>
    <mergeCell ref="F9:I9"/>
    <mergeCell ref="C48:I48"/>
    <mergeCell ref="A49:B49"/>
    <mergeCell ref="G53:I53"/>
    <mergeCell ref="A18:C18"/>
    <mergeCell ref="A36:B36"/>
    <mergeCell ref="G3:I3"/>
    <mergeCell ref="C38:I38"/>
    <mergeCell ref="H31:I31"/>
    <mergeCell ref="C53:F53"/>
    <mergeCell ref="H21:I21"/>
    <mergeCell ref="A57:I57"/>
    <mergeCell ref="A32:I32"/>
    <mergeCell ref="C49:I49"/>
    <mergeCell ref="A22:C22"/>
    <mergeCell ref="F10:I10"/>
    <mergeCell ref="A20:C20"/>
    <mergeCell ref="A55:B55"/>
    <mergeCell ref="A28:C28"/>
    <mergeCell ref="C35:I35"/>
    <mergeCell ref="E2:I2"/>
    <mergeCell ref="A14:B14"/>
    <mergeCell ref="A30:C30"/>
    <mergeCell ref="H22:I22"/>
    <mergeCell ref="A59:C59"/>
    <mergeCell ref="D12:E12"/>
    <mergeCell ref="A38:B38"/>
    <mergeCell ref="A43:B43"/>
    <mergeCell ref="F8:I8"/>
    <mergeCell ref="A6:I6"/>
    <mergeCell ref="A40:B40"/>
    <mergeCell ref="H30:I30"/>
    <mergeCell ref="A16:I16"/>
    <mergeCell ref="H20:I20"/>
    <mergeCell ref="H29:I29"/>
    <mergeCell ref="C39:I39"/>
    <mergeCell ref="A27:C27"/>
    <mergeCell ref="C37:I37"/>
    <mergeCell ref="F14:I14"/>
    <mergeCell ref="A47:I47"/>
    <mergeCell ref="A8:C8"/>
    <mergeCell ref="F11:I11"/>
    <mergeCell ref="A50:B50"/>
    <mergeCell ref="A10:C10"/>
    <mergeCell ref="A19:C19"/>
    <mergeCell ref="C64:I64"/>
    <mergeCell ref="F12:I12"/>
    <mergeCell ref="A9:C9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狂徒軍團（LGN）｜郗律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LGN</t>
        </is>
      </c>
      <c r="F3" s="5" t="inlineStr">
        <is>
          <t>本名</t>
        </is>
      </c>
      <c r="G3" s="6" t="inlineStr">
        <is>
          <t>郗律（四人共用一身，簽字者）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R8 遺棄骨場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連擊型</t>
        </is>
      </c>
      <c r="F5" s="30" t="n"/>
      <c r="G5" s="5" t="inlineStr">
        <is>
          <t>屬性傾向</t>
        </is>
      </c>
      <c r="H5" s="6" t="inlineStr">
        <is>
          <t>追獵（HNT）＋2、蠻力（BRU）＋1</t>
        </is>
      </c>
      <c r="I5" s="30" t="n"/>
    </row>
    <row r="6" ht="20" customHeight="1">
      <c r="A6" s="9" t="inlineStr">
        <is>
          <t>一　試煉面板（灰底填寫，米黃底自動計算）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>
      <c r="A7" s="5" t="inlineStr">
        <is>
          <t>聲望等級（PRS）</t>
        </is>
      </c>
      <c r="B7" s="30" t="n"/>
      <c r="C7" s="8" t="n"/>
      <c r="D7" s="5" t="inlineStr">
        <is>
          <t>倖存者玩家人數 N</t>
        </is>
      </c>
      <c r="E7" s="30" t="n"/>
      <c r="F7" s="8" t="n"/>
      <c r="G7" s="5" t="inlineStr">
        <is>
          <t>化身危險係數（AVM）</t>
        </is>
      </c>
      <c r="H7" s="30" t="n"/>
      <c r="I7" s="8" t="n">
        <v>1</v>
      </c>
    </row>
    <row r="8">
      <c r="A8" s="12" t="inlineStr">
        <is>
          <t>挑戰等級（CR）</t>
        </is>
      </c>
      <c r="B8" s="29" t="n"/>
      <c r="C8" s="30" t="n"/>
      <c r="D8" s="14">
        <f>IF($C$7="","",$C$7+$I$7)</f>
        <v/>
      </c>
      <c r="E8" s="30" t="n"/>
      <c r="F8" s="6" t="inlineStr">
        <is>
          <t>聲望等級（PRS）＋ 化身危險係數（AVM）</t>
        </is>
      </c>
      <c r="G8" s="29" t="n"/>
      <c r="H8" s="29" t="n"/>
      <c r="I8" s="30" t="n"/>
    </row>
    <row r="9">
      <c r="A9" s="12" t="inlineStr">
        <is>
          <t>壓迫值（PRE）上限</t>
        </is>
      </c>
      <c r="B9" s="29" t="n"/>
      <c r="C9" s="30" t="n"/>
      <c r="D9" s="14">
        <f>IF(OR($C$7="",$F$7=""),"",4+2*$F$7+INT($C$7/4))</f>
        <v/>
      </c>
      <c r="E9" s="30" t="n"/>
      <c r="F9" s="6" t="inlineStr">
        <is>
          <t>4 ＋ 2×N ＋ INT(聲望等級（PRS）÷ 4)</t>
        </is>
      </c>
      <c r="G9" s="29" t="n"/>
      <c r="H9" s="29" t="n"/>
      <c r="I9" s="30" t="n"/>
    </row>
    <row r="10">
      <c r="A10" s="12" t="inlineStr">
        <is>
          <t>壓迫值（PRE）每輪回復</t>
        </is>
      </c>
      <c r="B10" s="29" t="n"/>
      <c r="C10" s="30" t="n"/>
      <c r="D10" s="14">
        <f>IF($F$7="","",2+INT($F$7/2))</f>
        <v/>
      </c>
      <c r="E10" s="30" t="n"/>
      <c r="F10" s="6" t="inlineStr">
        <is>
          <t>2 ＋ INT(N ÷ 2)</t>
        </is>
      </c>
      <c r="G10" s="29" t="n"/>
      <c r="H10" s="29" t="n"/>
      <c r="I10" s="30" t="n"/>
    </row>
    <row r="11">
      <c r="A11" s="12" t="inlineStr">
        <is>
          <t>行動點（AP）／輪</t>
        </is>
      </c>
      <c r="B11" s="29" t="n"/>
      <c r="C11" s="30" t="n"/>
      <c r="D11" s="14">
        <f>4</f>
        <v/>
      </c>
      <c r="E11" s="30" t="n"/>
      <c r="F11" s="6" t="inlineStr">
        <is>
          <t>殺手固定 4 點，壓迫值（PRE）為獨立資源池</t>
        </is>
      </c>
      <c r="G11" s="29" t="n"/>
      <c r="H11" s="29" t="n"/>
      <c r="I11" s="30" t="n"/>
    </row>
    <row r="12">
      <c r="A12" s="12" t="inlineStr">
        <is>
          <t>掛鉤階段輪數</t>
        </is>
      </c>
      <c r="B12" s="29" t="n"/>
      <c r="C12" s="30" t="n"/>
      <c r="D12" s="14">
        <f>IF($F$7="","",8-$F$7)</f>
        <v/>
      </c>
      <c r="E12" s="30" t="n"/>
      <c r="F12" s="6" t="inlineStr">
        <is>
          <t>8 − N。每階段結束推進一階，第二階段結束即獻祭</t>
        </is>
      </c>
      <c r="G12" s="29" t="n"/>
      <c r="H12" s="29" t="n"/>
      <c r="I12" s="30" t="n"/>
    </row>
    <row r="13">
      <c r="A13" s="12" t="inlineStr">
        <is>
          <t>終局崩塌（Endgame Collapse）輪數</t>
        </is>
      </c>
      <c r="B13" s="29" t="n"/>
      <c r="C13" s="30" t="n"/>
      <c r="D13" s="14">
        <f>IF($F$7="","",14-2*$F$7)</f>
        <v/>
      </c>
      <c r="E13" s="30" t="n"/>
      <c r="F13" s="6" t="inlineStr">
        <is>
          <t>14 − 2×N。最後一台發電機完成後開始倒數</t>
        </is>
      </c>
      <c r="G13" s="29" t="n"/>
      <c r="H13" s="29" t="n"/>
      <c r="I13" s="30" t="n"/>
    </row>
    <row r="14" ht="30" customHeight="1">
      <c r="A14" s="12" t="inlineStr">
        <is>
          <t>恐怖半徑（TR）</t>
        </is>
      </c>
      <c r="B14" s="30" t="n"/>
      <c r="C14" s="8" t="n">
        <v>16</v>
      </c>
      <c r="D14" s="5" t="inlineStr">
        <is>
          <t>格　→　公尺</t>
        </is>
      </c>
      <c r="E14" s="14">
        <f>IF(C14="","",C14*2)</f>
        <v/>
      </c>
      <c r="F14" s="6" t="inlineStr">
        <is>
          <t>32 公尺 ＝ 16 格（狂暴時 40 公尺 ＝ 20 格）</t>
        </is>
      </c>
      <c r="G14" s="29" t="n"/>
      <c r="H14" s="29" t="n"/>
      <c r="I14" s="30" t="n"/>
    </row>
    <row r="15" ht="30" customHeight="1">
      <c r="A15" s="12" t="inlineStr">
        <is>
          <t>移動等級（MOV）</t>
        </is>
      </c>
      <c r="B15" s="30" t="n"/>
      <c r="C15" s="8" t="n">
        <v>7</v>
      </c>
      <c r="D15" s="5" t="inlineStr">
        <is>
          <t>格／輪</t>
        </is>
      </c>
      <c r="E15" s="8" t="n"/>
      <c r="F15" s="6" t="inlineStr">
        <is>
          <t>第三級 標準（7 格／輪，移動速度優勢 +2）；狂暴時第四級 迅捷（8 格／輪，移動速度優勢 +3）</t>
        </is>
      </c>
      <c r="G15" s="29" t="n"/>
      <c r="H15" s="29" t="n"/>
      <c r="I15" s="30" t="n"/>
    </row>
    <row r="16">
      <c r="A16" s="16" t="inlineStr">
        <is>
          <t>1 格 ＝ 2 公尺。距離帶（DB）：接觸（CON）0–1 格／近距（NEA）1–4 格／中距（MID）4–8 格／遠距（FAR）8–16 格／脫離（ESC）16 格以上。</t>
        </is>
      </c>
      <c r="B16" s="29" t="n"/>
      <c r="C16" s="29" t="n"/>
      <c r="D16" s="29" t="n"/>
      <c r="E16" s="29" t="n"/>
      <c r="F16" s="29" t="n"/>
      <c r="G16" s="29" t="n"/>
      <c r="H16" s="29" t="n"/>
      <c r="I16" s="30" t="n"/>
    </row>
    <row r="17" ht="20" customHeight="1">
      <c r="A17" s="9" t="inlineStr">
        <is>
          <t>二　屬性與技能（三基準對照）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30" customHeight="1">
      <c r="A18" s="5" t="inlineStr">
        <is>
          <t>屬性／技能</t>
        </is>
      </c>
      <c r="B18" s="29" t="n"/>
      <c r="C18" s="30" t="n"/>
      <c r="D18" s="5" t="inlineStr">
        <is>
          <t>聲望等級 1（8 點）</t>
        </is>
      </c>
      <c r="E18" s="5" t="inlineStr">
        <is>
          <t>聲望等級 10（13 點）</t>
        </is>
      </c>
      <c r="F18" s="5" t="inlineStr">
        <is>
          <t>聲望等級 20（18 點）</t>
        </is>
      </c>
      <c r="G18" s="5" t="inlineStr">
        <is>
          <t>本場採用</t>
        </is>
      </c>
      <c r="H18" s="5" t="inlineStr">
        <is>
          <t>備註</t>
        </is>
      </c>
      <c r="I18" s="30" t="n"/>
    </row>
    <row r="19">
      <c r="A19" s="12" t="inlineStr">
        <is>
          <t>蠻力（BRU）</t>
        </is>
      </c>
      <c r="B19" s="29" t="n"/>
      <c r="C19" s="30" t="n"/>
      <c r="D19" s="8" t="inlineStr">
        <is>
          <t>2</t>
        </is>
      </c>
      <c r="E19" s="8" t="inlineStr">
        <is>
          <t>3</t>
        </is>
      </c>
      <c r="F19" s="8" t="inlineStr">
        <is>
          <t>4</t>
        </is>
      </c>
      <c r="G19" s="8" t="n"/>
      <c r="H19" s="6" t="n"/>
      <c r="I19" s="30" t="n"/>
    </row>
    <row r="20">
      <c r="A20" s="12" t="inlineStr">
        <is>
          <t>追獵（HNT）</t>
        </is>
      </c>
      <c r="B20" s="29" t="n"/>
      <c r="C20" s="30" t="n"/>
      <c r="D20" s="8" t="inlineStr">
        <is>
          <t>3</t>
        </is>
      </c>
      <c r="E20" s="8" t="inlineStr">
        <is>
          <t>4</t>
        </is>
      </c>
      <c r="F20" s="8" t="inlineStr">
        <is>
          <t>5</t>
        </is>
      </c>
      <c r="G20" s="8" t="n"/>
      <c r="H20" s="6" t="n"/>
      <c r="I20" s="30" t="n"/>
    </row>
    <row r="21">
      <c r="A21" s="12" t="inlineStr">
        <is>
          <t>感知（PER）</t>
        </is>
      </c>
      <c r="B21" s="29" t="n"/>
      <c r="C21" s="30" t="n"/>
      <c r="D21" s="8" t="inlineStr">
        <is>
          <t>1</t>
        </is>
      </c>
      <c r="E21" s="8" t="inlineStr">
        <is>
          <t>2</t>
        </is>
      </c>
      <c r="F21" s="8" t="inlineStr">
        <is>
          <t>4</t>
        </is>
      </c>
      <c r="G21" s="8" t="n"/>
      <c r="H21" s="6" t="n"/>
      <c r="I21" s="30" t="n"/>
    </row>
    <row r="22">
      <c r="A22" s="12" t="inlineStr">
        <is>
          <t>威壓（DRE）</t>
        </is>
      </c>
      <c r="B22" s="29" t="n"/>
      <c r="C22" s="30" t="n"/>
      <c r="D22" s="8" t="inlineStr">
        <is>
          <t>1</t>
        </is>
      </c>
      <c r="E22" s="8" t="inlineStr">
        <is>
          <t>2</t>
        </is>
      </c>
      <c r="F22" s="8" t="inlineStr">
        <is>
          <t>2</t>
        </is>
      </c>
      <c r="G22" s="8" t="n"/>
      <c r="H22" s="6" t="n"/>
      <c r="I22" s="30" t="n"/>
    </row>
    <row r="23">
      <c r="A23" s="12" t="inlineStr">
        <is>
          <t>秘能（OCC）</t>
        </is>
      </c>
      <c r="B23" s="29" t="n"/>
      <c r="C23" s="30" t="n"/>
      <c r="D23" s="8" t="inlineStr">
        <is>
          <t>1</t>
        </is>
      </c>
      <c r="E23" s="8" t="inlineStr">
        <is>
          <t>2</t>
        </is>
      </c>
      <c r="F23" s="8" t="inlineStr">
        <is>
          <t>3</t>
        </is>
      </c>
      <c r="G23" s="8" t="n"/>
      <c r="H23" s="6" t="n"/>
      <c r="I23" s="30" t="n"/>
    </row>
    <row r="24">
      <c r="A24" s="12" t="inlineStr">
        <is>
          <t>追蹤（TRK）</t>
        </is>
      </c>
      <c r="B24" s="29" t="n"/>
      <c r="C24" s="30" t="n"/>
      <c r="D24" s="8" t="inlineStr">
        <is>
          <t>1</t>
        </is>
      </c>
      <c r="E24" s="8" t="inlineStr">
        <is>
          <t>3</t>
        </is>
      </c>
      <c r="F24" s="8" t="inlineStr">
        <is>
          <t>4</t>
        </is>
      </c>
      <c r="G24" s="8" t="n"/>
      <c r="H24" s="6" t="n"/>
      <c r="I24" s="30" t="n"/>
    </row>
    <row r="25">
      <c r="A25" s="12" t="inlineStr">
        <is>
          <t>制暴（SUP）</t>
        </is>
      </c>
      <c r="B25" s="29" t="n"/>
      <c r="C25" s="30" t="n"/>
      <c r="D25" s="8" t="inlineStr">
        <is>
          <t>1</t>
        </is>
      </c>
      <c r="E25" s="8" t="inlineStr">
        <is>
          <t>2</t>
        </is>
      </c>
      <c r="F25" s="8" t="inlineStr">
        <is>
          <t>4</t>
        </is>
      </c>
      <c r="G25" s="8" t="n"/>
      <c r="H25" s="6" t="n"/>
      <c r="I25" s="30" t="n"/>
    </row>
    <row r="26">
      <c r="A26" s="12" t="inlineStr">
        <is>
          <t>逼迫（COE）</t>
        </is>
      </c>
      <c r="B26" s="29" t="n"/>
      <c r="C26" s="30" t="n"/>
      <c r="D26" s="8" t="inlineStr">
        <is>
          <t>0</t>
        </is>
      </c>
      <c r="E26" s="8" t="inlineStr">
        <is>
          <t>1</t>
        </is>
      </c>
      <c r="F26" s="8" t="inlineStr">
        <is>
          <t>3</t>
        </is>
      </c>
      <c r="G26" s="8" t="n"/>
      <c r="H26" s="6" t="n"/>
      <c r="I26" s="30" t="n"/>
    </row>
    <row r="27">
      <c r="A27" s="12" t="inlineStr">
        <is>
          <t>儀式（RIT）</t>
        </is>
      </c>
      <c r="B27" s="29" t="n"/>
      <c r="C27" s="30" t="n"/>
      <c r="D27" s="8" t="inlineStr">
        <is>
          <t>0</t>
        </is>
      </c>
      <c r="E27" s="8" t="inlineStr">
        <is>
          <t>2</t>
        </is>
      </c>
      <c r="F27" s="8" t="inlineStr">
        <is>
          <t>4</t>
        </is>
      </c>
      <c r="G27" s="8" t="n"/>
      <c r="H27" s="6" t="n"/>
      <c r="I27" s="30" t="n"/>
    </row>
    <row r="28">
      <c r="A28" s="12" t="inlineStr">
        <is>
          <t>挑戰等級（CR）</t>
        </is>
      </c>
      <c r="B28" s="29" t="n"/>
      <c r="C28" s="30" t="n"/>
      <c r="D28" s="8" t="inlineStr">
        <is>
          <t>2</t>
        </is>
      </c>
      <c r="E28" s="8" t="inlineStr">
        <is>
          <t>11</t>
        </is>
      </c>
      <c r="F28" s="8" t="inlineStr">
        <is>
          <t>21</t>
        </is>
      </c>
      <c r="G28" s="8" t="n"/>
      <c r="H28" s="6" t="n"/>
      <c r="I28" s="30" t="n"/>
    </row>
    <row r="29">
      <c r="A29" s="12" t="inlineStr">
        <is>
          <t>基礎攻擊修正</t>
        </is>
      </c>
      <c r="B29" s="29" t="n"/>
      <c r="C29" s="30" t="n"/>
      <c r="D29" s="8" t="inlineStr">
        <is>
          <t>+3</t>
        </is>
      </c>
      <c r="E29" s="8" t="inlineStr">
        <is>
          <t>+5</t>
        </is>
      </c>
      <c r="F29" s="8" t="inlineStr">
        <is>
          <t>+8</t>
        </is>
      </c>
      <c r="G29" s="8" t="n"/>
      <c r="H29" s="6" t="n"/>
      <c r="I29" s="30" t="n"/>
    </row>
    <row r="30">
      <c r="A30" s="12" t="inlineStr">
        <is>
          <t>追逐對抗修正（狂暴時）</t>
        </is>
      </c>
      <c r="B30" s="29" t="n"/>
      <c r="C30" s="30" t="n"/>
      <c r="D30" s="8" t="inlineStr">
        <is>
          <t>+6</t>
        </is>
      </c>
      <c r="E30" s="8" t="inlineStr">
        <is>
          <t>+7</t>
        </is>
      </c>
      <c r="F30" s="8" t="inlineStr">
        <is>
          <t>+8</t>
        </is>
      </c>
      <c r="G30" s="8" t="n"/>
      <c r="H30" s="6" t="n"/>
      <c r="I30" s="30" t="n"/>
    </row>
    <row r="31">
      <c r="A31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1" s="29" t="n"/>
      <c r="C31" s="29" t="n"/>
      <c r="D31" s="29" t="n"/>
      <c r="E31" s="29" t="n"/>
      <c r="F31" s="29" t="n"/>
      <c r="G31" s="29" t="n"/>
      <c r="H31" s="29" t="n"/>
      <c r="I31" s="30" t="n"/>
    </row>
    <row r="32" ht="20" customHeight="1">
      <c r="A32" s="9" t="inlineStr">
        <is>
          <t>三　力量卡：狂暴（Frenzy）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2" customHeight="1">
      <c r="A33" s="12" t="inlineStr">
        <is>
          <t>欄位</t>
        </is>
      </c>
      <c r="B33" s="30" t="n"/>
      <c r="C33" s="18" t="inlineStr">
        <is>
          <t>內容</t>
        </is>
      </c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力量類型</t>
        </is>
      </c>
      <c r="B34" s="30" t="n"/>
      <c r="C34" s="18" t="inlineStr">
        <is>
          <t>連擊型（計量制）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力量充能（PWC）名稱</t>
        </is>
      </c>
      <c r="B35" s="30" t="n"/>
      <c r="C35" s="18" t="inlineStr">
        <is>
          <t>狂暴計量（Frenzy Gauge），範圍 0–5（三階精通後 0–7）</t>
        </is>
      </c>
      <c r="D35" s="29" t="n"/>
      <c r="E35" s="29" t="n"/>
      <c r="F35" s="29" t="n"/>
      <c r="G35" s="29" t="n"/>
      <c r="H35" s="29" t="n"/>
      <c r="I35" s="30" t="n"/>
    </row>
    <row r="36" ht="22" customHeight="1">
      <c r="A36" s="12" t="inlineStr">
        <is>
          <t>充能上限</t>
        </is>
      </c>
      <c r="B36" s="30" t="n"/>
      <c r="C36" s="18" t="inlineStr">
        <is>
          <t>PWC_max = 5（三階精通後 7）</t>
        </is>
      </c>
      <c r="D36" s="29" t="n"/>
      <c r="E36" s="29" t="n"/>
      <c r="F36" s="29" t="n"/>
      <c r="G36" s="29" t="n"/>
      <c r="H36" s="29" t="n"/>
      <c r="I36" s="30" t="n"/>
    </row>
    <row r="37" ht="22" customHeight="1">
      <c r="A37" s="12" t="inlineStr">
        <is>
          <t>充能回復</t>
        </is>
      </c>
      <c r="B37" s="30" t="n"/>
      <c r="C37" s="18" t="inlineStr">
        <is>
          <t>狂暴期間每命中一名尚未在本次狂暴中被命中的目標 +1；狂暴結束時歸 0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行動點（AP）成本</t>
        </is>
      </c>
      <c r="B38" s="30" t="n"/>
      <c r="C38" s="18" t="inlineStr">
        <is>
          <t>啟動狂暴 1 點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壓迫值（PRE）成本</t>
        </is>
      </c>
      <c r="B39" s="30" t="n"/>
      <c r="C39" s="18" t="inlineStr">
        <is>
          <t>2 點</t>
        </is>
      </c>
      <c r="D39" s="29" t="n"/>
      <c r="E39" s="29" t="n"/>
      <c r="F39" s="29" t="n"/>
      <c r="G39" s="29" t="n"/>
      <c r="H39" s="29" t="n"/>
      <c r="I39" s="30" t="n"/>
    </row>
    <row r="40" ht="22" customHeight="1">
      <c r="A40" s="12" t="inlineStr">
        <is>
          <t>判定式（啟動）</t>
        </is>
      </c>
      <c r="B40" s="30" t="n"/>
      <c r="C40" s="18" t="inlineStr">
        <is>
          <t>無需檢定。宣告即進入狂暴，持續 3 輪（二階精通後 4 輪）</t>
        </is>
      </c>
      <c r="D40" s="29" t="n"/>
      <c r="E40" s="29" t="n"/>
      <c r="F40" s="29" t="n"/>
      <c r="G40" s="29" t="n"/>
      <c r="H40" s="29" t="n"/>
      <c r="I40" s="30" t="n"/>
    </row>
    <row r="41" ht="150" customHeight="1">
      <c r="A41" s="12" t="inlineStr">
        <is>
          <t>狂暴狀態效果</t>
        </is>
      </c>
      <c r="B41" s="30" t="n"/>
      <c r="C41" s="18" t="inlineStr">
        <is>
          <t>① 移動等級提升至 第四級 迅捷（8 格／輪，移動速度優勢 +3）；
② 恐怖半徑（TR）擴大至 40 公尺（20 格）——這是代價也是威力：更遠的倖存者提早收到心跳籌碼；
③ 基礎攻擊行動點（AP）成本由 2 點降為 1 點；
④ 攻擊命中不扣生命狀態（HS），改為施加 深度創傷（Deep Wound，ST-04）；若目標已有深度創傷，則正常損失 1 階生命狀態（HS）；
⑤ 追擊（Pursue）：每次命中後，可立即 0 行動點（AP） 朝任一其他倖存者方向移動 4 格。</t>
        </is>
      </c>
      <c r="D41" s="29" t="n"/>
      <c r="E41" s="29" t="n"/>
      <c r="F41" s="29" t="n"/>
      <c r="G41" s="29" t="n"/>
      <c r="H41" s="29" t="n"/>
      <c r="I41" s="30" t="n"/>
    </row>
    <row r="42" ht="123" customHeight="1">
      <c r="A42" s="12" t="inlineStr">
        <is>
          <t>深度創傷（Deep Wound）自愈規則</t>
        </is>
      </c>
      <c r="B42" s="30" t="n"/>
      <c r="C42" s="18" t="inlineStr">
        <is>
          <t>自愈（Mend）：2 行動點（AP）＋ 專注（FOC）＋急救（MED）檢定 vs 難度等級（DC）12，需累積 2 次成功。
計時：施加後 4 輪。逾時未完成自愈 → 立即進入瀕死（Dying）。
倒退：未完成自愈期間，每輪結束時做 意志（WIL）檢定 vs 難度等級（DC）10，失敗則自愈進度 −1 次成功。
奔跑加速惡化：自愈未完成時若進行「全速衝刺」，計時 −1 輪。</t>
        </is>
      </c>
      <c r="D42" s="29" t="n"/>
      <c r="E42" s="29" t="n"/>
      <c r="F42" s="29" t="n"/>
      <c r="G42" s="29" t="n"/>
      <c r="H42" s="29" t="n"/>
      <c r="I42" s="30" t="n"/>
    </row>
    <row r="43" ht="78" customHeight="1">
      <c r="A43" s="12" t="inlineStr">
        <is>
          <t>狂暴結束硬直</t>
        </is>
      </c>
      <c r="B43" s="30" t="n"/>
      <c r="C43" s="18" t="inlineStr">
        <is>
          <t>狂暴自然結束時檢查計量：
計量 0–1：硬直 1 輪（下一輪行動點（AP）＝ 2，不可攻擊）；
計量 2：無硬直；
計量 ≥ 3：無硬直，且返還 2 壓迫值（PRE）。</t>
        </is>
      </c>
      <c r="D43" s="29" t="n"/>
      <c r="E43" s="29" t="n"/>
      <c r="F43" s="29" t="n"/>
      <c r="G43" s="29" t="n"/>
      <c r="H43" s="29" t="n"/>
      <c r="I43" s="30" t="n"/>
    </row>
    <row r="44" ht="78" customHeight="1">
      <c r="A44" s="12" t="inlineStr">
        <is>
          <t>失手／代價</t>
        </is>
      </c>
      <c r="B44" s="30" t="n"/>
      <c r="C44" s="18" t="inlineStr">
        <is>
          <t>① 狂暴期間無法擊倒任何人（除非對方已有深度創傷）——這是純粹的「鋪傷」階段，不推進殺手的勝利條件；
② 恐怖半徑擴大 8 公尺，等於主動向 4 格外的倖存者報點；
③ 空砍收場（計量 0–1）等於白送一輪。</t>
        </is>
      </c>
      <c r="D44" s="29" t="n"/>
      <c r="E44" s="29" t="n"/>
      <c r="F44" s="29" t="n"/>
      <c r="G44" s="29" t="n"/>
      <c r="H44" s="29" t="n"/>
      <c r="I44" s="30" t="n"/>
    </row>
    <row r="45" ht="22" customHeight="1">
      <c r="A45" s="12" t="inlineStr">
        <is>
          <t>冷卻</t>
        </is>
      </c>
      <c r="B45" s="30" t="n"/>
      <c r="C45" s="18" t="inlineStr">
        <is>
          <t>狂暴結束後 2 輪不可再啟動</t>
        </is>
      </c>
      <c r="D45" s="29" t="n"/>
      <c r="E45" s="29" t="n"/>
      <c r="F45" s="29" t="n"/>
      <c r="G45" s="29" t="n"/>
      <c r="H45" s="29" t="n"/>
      <c r="I45" s="30" t="n"/>
    </row>
    <row r="46" ht="63" customHeight="1">
      <c r="A46" s="12" t="inlineStr">
        <is>
          <t>倖存者應對</t>
        </is>
      </c>
      <c r="B46" s="30" t="n"/>
      <c r="C46" s="18" t="inlineStr">
        <is>
          <t>① 立刻自愈，不要硬撐——4 輪計時很短，且倒退檢定會吃掉進度；② 分散站位——追擊移動 4 格是他串聯目標的關鍵，隊友間隔 8 格以上可切斷連鎖；③ 狂暴期間反而是修機時間——他打不倒你，只能給你深度創傷。若你已有深度創傷在自愈中，就交給隊友頂替，你退開；④ 數輪數——狂暴 3 輪、冷卻 2 輪，節奏極為固定。</t>
        </is>
      </c>
      <c r="D46" s="29" t="n"/>
      <c r="E46" s="29" t="n"/>
      <c r="F46" s="29" t="n"/>
      <c r="G46" s="29" t="n"/>
      <c r="H46" s="29" t="n"/>
      <c r="I46" s="30" t="n"/>
    </row>
    <row r="47" ht="150" customHeight="1">
      <c r="A47" s="12" t="inlineStr">
        <is>
          <t>獨行配置調整（重要）</t>
        </is>
      </c>
      <c r="B47" s="30" t="n"/>
      <c r="C47" s="18" t="inlineStr">
        <is>
          <t>N = 1 且無回聲同伴存活時，力量改為以下版本：
① 追擊（Pursue）失效（沒有第二個目標）；
② 改為：每次狂暴命中，殺手額外獲得 2 壓迫值（PRE），且該次命中對目標施加的深度創傷計時縮短為 3 輪；
③ 狂暴結束硬直恆為 1 輪（不論計量）；
④ 恐怖半徑擴大維持（保留倖存者的預警權益）。
理由：軍團的力量在設計上綁定多目標，單人局若不改寫，他將退化為「無法擊倒人的殺手」，試煉會陷入僵局。</t>
        </is>
      </c>
      <c r="D47" s="29" t="n"/>
      <c r="E47" s="29" t="n"/>
      <c r="F47" s="29" t="n"/>
      <c r="G47" s="29" t="n"/>
      <c r="H47" s="29" t="n"/>
      <c r="I47" s="30" t="n"/>
    </row>
    <row r="48" ht="20" customHeight="1">
      <c r="A48" s="9" t="inlineStr">
        <is>
          <t>四　力量精通（Power Mastery）</t>
        </is>
      </c>
      <c r="B48" s="29" t="n"/>
      <c r="C48" s="29" t="n"/>
      <c r="D48" s="29" t="n"/>
      <c r="E48" s="29" t="n"/>
      <c r="F48" s="29" t="n"/>
      <c r="G48" s="29" t="n"/>
      <c r="H48" s="29" t="n"/>
      <c r="I48" s="30" t="n"/>
    </row>
    <row r="49">
      <c r="A49" s="5" t="inlineStr">
        <is>
          <t>階</t>
        </is>
      </c>
      <c r="B49" s="30" t="n"/>
      <c r="C49" s="5" t="inlineStr">
        <is>
          <t>效果</t>
        </is>
      </c>
      <c r="D49" s="29" t="n"/>
      <c r="E49" s="29" t="n"/>
      <c r="F49" s="29" t="n"/>
      <c r="G49" s="29" t="n"/>
      <c r="H49" s="29" t="n"/>
      <c r="I49" s="30" t="n"/>
    </row>
    <row r="50" ht="22" customHeight="1">
      <c r="A50" s="12" t="inlineStr">
        <is>
          <t>二階（聲望 6）</t>
        </is>
      </c>
      <c r="B50" s="30" t="n"/>
      <c r="C50" s="18" t="inlineStr">
        <is>
          <t>狂暴持續 4 輪；冷卻降為 1 輪。</t>
        </is>
      </c>
      <c r="D50" s="29" t="n"/>
      <c r="E50" s="29" t="n"/>
      <c r="F50" s="29" t="n"/>
      <c r="G50" s="29" t="n"/>
      <c r="H50" s="29" t="n"/>
      <c r="I50" s="30" t="n"/>
    </row>
    <row r="51" ht="22" customHeight="1">
      <c r="A51" s="12" t="inlineStr">
        <is>
          <t>三階（聲望 11）</t>
        </is>
      </c>
      <c r="B51" s="30" t="n"/>
      <c r="C51" s="18" t="inlineStr">
        <is>
          <t>狂暴計量上限 7；狂暴期間每累積 2 點計量，基礎攻擊 +1（最高 +3）。</t>
        </is>
      </c>
      <c r="D51" s="29" t="n"/>
      <c r="E51" s="29" t="n"/>
      <c r="F51" s="29" t="n"/>
      <c r="G51" s="29" t="n"/>
      <c r="H51" s="29" t="n"/>
      <c r="I51" s="30" t="n"/>
    </row>
    <row r="52" ht="93" customHeight="1">
      <c r="A52" s="12" t="inlineStr">
        <is>
          <t>四階（聲望 16）</t>
        </is>
      </c>
      <c r="B52" s="30" t="n"/>
      <c r="C52" s="18" t="inlineStr">
        <is>
          <t>終焉形態｜四人一體（The Four As One）
成本 5 壓迫值（PRE）＋ 1 行動點（AP），每場試煉 3 次。
本次狂暴期間：① 每輪可額外進行 1 次 0 行動點（AP）的 4 格移動；② 攻擊命中已有深度創傷的目標時，直接進入瀕死（Dying）（跳過受傷階段）；③ 狂暴期間不受板子暈眩（Stun）。</t>
        </is>
      </c>
      <c r="D52" s="29" t="n"/>
      <c r="E52" s="29" t="n"/>
      <c r="F52" s="29" t="n"/>
      <c r="G52" s="29" t="n"/>
      <c r="H52" s="29" t="n"/>
      <c r="I52" s="30" t="n"/>
    </row>
    <row r="53" ht="20" customHeight="1">
      <c r="A53" s="9" t="inlineStr">
        <is>
          <t>五　專屬天賦（Perk）</t>
        </is>
      </c>
      <c r="B53" s="29" t="n"/>
      <c r="C53" s="29" t="n"/>
      <c r="D53" s="29" t="n"/>
      <c r="E53" s="29" t="n"/>
      <c r="F53" s="29" t="n"/>
      <c r="G53" s="29" t="n"/>
      <c r="H53" s="29" t="n"/>
      <c r="I53" s="30" t="n"/>
    </row>
    <row r="54">
      <c r="A54" s="5" t="inlineStr">
        <is>
          <t>編號</t>
        </is>
      </c>
      <c r="B54" s="30" t="n"/>
      <c r="C54" s="5" t="inlineStr">
        <is>
          <t>名稱</t>
        </is>
      </c>
      <c r="D54" s="29" t="n"/>
      <c r="E54" s="29" t="n"/>
      <c r="F54" s="30" t="n"/>
      <c r="G54" s="5" t="inlineStr">
        <is>
          <t>出處</t>
        </is>
      </c>
      <c r="H54" s="29" t="n"/>
      <c r="I54" s="30" t="n"/>
    </row>
    <row r="55">
      <c r="A55" s="8" t="inlineStr">
        <is>
          <t>TALENT-K22</t>
        </is>
      </c>
      <c r="B55" s="30" t="n"/>
      <c r="C55" s="6" t="inlineStr">
        <is>
          <t>不諧共鳴（Discordance）</t>
        </is>
      </c>
      <c r="D55" s="29" t="n"/>
      <c r="E55" s="29" t="n"/>
      <c r="F55" s="30" t="n"/>
      <c r="G55" s="6" t="n"/>
      <c r="H55" s="29" t="n"/>
      <c r="I55" s="30" t="n"/>
    </row>
    <row r="56">
      <c r="A56" s="8" t="inlineStr">
        <is>
          <t>TALENT-K23</t>
        </is>
      </c>
      <c r="B56" s="30" t="n"/>
      <c r="C56" s="6" t="inlineStr">
        <is>
          <t>鐵處女（Iron Maiden）</t>
        </is>
      </c>
      <c r="D56" s="29" t="n"/>
      <c r="E56" s="29" t="n"/>
      <c r="F56" s="30" t="n"/>
      <c r="G56" s="6" t="n"/>
      <c r="H56" s="29" t="n"/>
      <c r="I56" s="30" t="n"/>
    </row>
    <row r="57">
      <c r="A57" s="8" t="inlineStr">
        <is>
          <t>TALENT-K24</t>
        </is>
      </c>
      <c r="B57" s="30" t="n"/>
      <c r="C57" s="6" t="inlineStr">
        <is>
          <t>狂怒掌控（Mad Grit）</t>
        </is>
      </c>
      <c r="D57" s="29" t="n"/>
      <c r="E57" s="29" t="n"/>
      <c r="F57" s="30" t="n"/>
      <c r="G57" s="6" t="n"/>
      <c r="H57" s="29" t="n"/>
      <c r="I57" s="30" t="n"/>
    </row>
    <row r="58" ht="20" customHeight="1">
      <c r="A58" s="9" t="inlineStr">
        <is>
          <t>六　遭遇成本與投放</t>
        </is>
      </c>
      <c r="B58" s="29" t="n"/>
      <c r="C58" s="29" t="n"/>
      <c r="D58" s="29" t="n"/>
      <c r="E58" s="29" t="n"/>
      <c r="F58" s="29" t="n"/>
      <c r="G58" s="29" t="n"/>
      <c r="H58" s="29" t="n"/>
      <c r="I58" s="30" t="n"/>
    </row>
    <row r="59">
      <c r="A59" s="12" t="inlineStr">
        <is>
          <t>作為試煉主殺手</t>
        </is>
      </c>
      <c r="B59" s="29" t="n"/>
      <c r="C59" s="30" t="n"/>
      <c r="D59" s="6" t="inlineStr">
        <is>
          <t>佔遭遇預算（EB）的 60%</t>
        </is>
      </c>
      <c r="E59" s="29" t="n"/>
      <c r="F59" s="29" t="n"/>
      <c r="G59" s="29" t="n"/>
      <c r="H59" s="29" t="n"/>
      <c r="I59" s="30" t="n"/>
    </row>
    <row r="60">
      <c r="A60" s="12" t="inlineStr">
        <is>
          <t>作為劇本中的固定威脅</t>
        </is>
      </c>
      <c r="B60" s="29" t="n"/>
      <c r="C60" s="30" t="n"/>
      <c r="D60" s="6" t="inlineStr">
        <is>
          <t>挑戰等級（CR）× 2</t>
        </is>
      </c>
      <c r="E60" s="29" t="n"/>
      <c r="F60" s="29" t="n"/>
      <c r="G60" s="29" t="n"/>
      <c r="H60" s="29" t="n"/>
      <c r="I60" s="30" t="n"/>
    </row>
    <row r="61" ht="42" customHeight="1">
      <c r="A61" s="12" t="inlineStr">
        <is>
          <t>獨行配置（N ＝ 1）調整</t>
        </is>
      </c>
      <c r="B61" s="29" t="n"/>
      <c r="C61" s="30" t="n"/>
      <c r="D61" s="18" t="n"/>
      <c r="E61" s="29" t="n"/>
      <c r="F61" s="29" t="n"/>
      <c r="G61" s="29" t="n"/>
      <c r="H61" s="29" t="n"/>
      <c r="I61" s="30" t="n"/>
    </row>
    <row r="62" ht="20" customHeight="1">
      <c r="A62" s="9" t="inlineStr">
        <is>
          <t>七　試煉中追蹤軌</t>
        </is>
      </c>
      <c r="B62" s="29" t="n"/>
      <c r="C62" s="29" t="n"/>
      <c r="D62" s="29" t="n"/>
      <c r="E62" s="29" t="n"/>
      <c r="F62" s="29" t="n"/>
      <c r="G62" s="29" t="n"/>
      <c r="H62" s="29" t="n"/>
      <c r="I62" s="30" t="n"/>
    </row>
    <row r="63">
      <c r="A63" s="12" t="inlineStr">
        <is>
          <t>當前壓迫值（PRE）</t>
        </is>
      </c>
      <c r="B63" s="30" t="n"/>
      <c r="C63" s="8" t="n"/>
      <c r="D63" s="30" t="n"/>
      <c r="E63" s="12" t="inlineStr">
        <is>
          <t>升壓階段</t>
        </is>
      </c>
      <c r="F63" s="30" t="n"/>
      <c r="G63" s="8" t="inlineStr">
        <is>
          <t>☐ 一　☐ 二　☐ 三</t>
        </is>
      </c>
      <c r="H63" s="29" t="n"/>
      <c r="I63" s="30" t="n"/>
    </row>
    <row r="64">
      <c r="A64" s="12" t="inlineStr">
        <is>
          <t>已獻祭人數</t>
        </is>
      </c>
      <c r="B64" s="30" t="n"/>
      <c r="C64" s="8" t="n"/>
      <c r="D64" s="30" t="n"/>
      <c r="E64" s="12" t="inlineStr">
        <is>
          <t>獵殺線索（Hunt Lead）</t>
        </is>
      </c>
      <c r="F64" s="30" t="n"/>
      <c r="G64" s="8" t="n"/>
      <c r="H64" s="29" t="n"/>
      <c r="I64" s="30" t="n"/>
    </row>
    <row r="65" ht="44" customHeight="1">
      <c r="A65" s="12" t="inlineStr">
        <is>
          <t>備註</t>
        </is>
      </c>
      <c r="B65" s="30" t="n"/>
      <c r="C65" s="18" t="n"/>
      <c r="D65" s="29" t="n"/>
      <c r="E65" s="29" t="n"/>
      <c r="F65" s="29" t="n"/>
      <c r="G65" s="29" t="n"/>
      <c r="H65" s="29" t="n"/>
      <c r="I65" s="30" t="n"/>
    </row>
  </sheetData>
  <mergeCells count="133">
    <mergeCell ref="C36:I36"/>
    <mergeCell ref="A15:B15"/>
    <mergeCell ref="A64:B64"/>
    <mergeCell ref="A51:B51"/>
    <mergeCell ref="A21:C21"/>
    <mergeCell ref="C64:D64"/>
    <mergeCell ref="A26:C26"/>
    <mergeCell ref="E64:F64"/>
    <mergeCell ref="A54:B54"/>
    <mergeCell ref="E4:I4"/>
    <mergeCell ref="A7:B7"/>
    <mergeCell ref="A23:C23"/>
    <mergeCell ref="A41:B41"/>
    <mergeCell ref="D13:E13"/>
    <mergeCell ref="C63:D63"/>
    <mergeCell ref="E63:F63"/>
    <mergeCell ref="A17:I17"/>
    <mergeCell ref="A53:I53"/>
    <mergeCell ref="A56:B56"/>
    <mergeCell ref="A62:I62"/>
    <mergeCell ref="G63:I63"/>
    <mergeCell ref="C45:I45"/>
    <mergeCell ref="D7:E7"/>
    <mergeCell ref="A33:B33"/>
    <mergeCell ref="A42:B42"/>
    <mergeCell ref="C54:F54"/>
    <mergeCell ref="F15:I15"/>
    <mergeCell ref="D59:I59"/>
    <mergeCell ref="C47:I47"/>
    <mergeCell ref="D60:I60"/>
    <mergeCell ref="A48:I48"/>
    <mergeCell ref="A35:B35"/>
    <mergeCell ref="C40:I40"/>
    <mergeCell ref="C56:F56"/>
    <mergeCell ref="H23:I23"/>
    <mergeCell ref="A2:C5"/>
    <mergeCell ref="A39:B39"/>
    <mergeCell ref="F13:I13"/>
    <mergeCell ref="D10:E10"/>
    <mergeCell ref="A45:B45"/>
    <mergeCell ref="E5:F5"/>
    <mergeCell ref="A12:C12"/>
    <mergeCell ref="H25:I25"/>
    <mergeCell ref="G7:H7"/>
    <mergeCell ref="D11:E11"/>
    <mergeCell ref="C34:I34"/>
    <mergeCell ref="A37:B37"/>
    <mergeCell ref="A46:B46"/>
    <mergeCell ref="G55:I55"/>
    <mergeCell ref="G64:I64"/>
    <mergeCell ref="C42:I42"/>
    <mergeCell ref="A29:C29"/>
    <mergeCell ref="G54:I54"/>
    <mergeCell ref="A13:C13"/>
    <mergeCell ref="H19:I19"/>
    <mergeCell ref="G56:I56"/>
    <mergeCell ref="H28:I28"/>
    <mergeCell ref="D9:E9"/>
    <mergeCell ref="C65:I65"/>
    <mergeCell ref="A24:C24"/>
    <mergeCell ref="C44:I44"/>
    <mergeCell ref="A60:C60"/>
    <mergeCell ref="A52:B52"/>
    <mergeCell ref="A63:B63"/>
    <mergeCell ref="A1:I1"/>
    <mergeCell ref="H5:I5"/>
    <mergeCell ref="C46:I46"/>
    <mergeCell ref="C51:I51"/>
    <mergeCell ref="A34:B34"/>
    <mergeCell ref="A25:C25"/>
    <mergeCell ref="F9:I9"/>
    <mergeCell ref="A49:B49"/>
    <mergeCell ref="D61:I61"/>
    <mergeCell ref="A18:C18"/>
    <mergeCell ref="A36:B36"/>
    <mergeCell ref="G3:I3"/>
    <mergeCell ref="C38:I38"/>
    <mergeCell ref="C57:F57"/>
    <mergeCell ref="H21:I21"/>
    <mergeCell ref="A65:B65"/>
    <mergeCell ref="A32:I32"/>
    <mergeCell ref="C49:I49"/>
    <mergeCell ref="A22:C22"/>
    <mergeCell ref="C33:I33"/>
    <mergeCell ref="F10:I10"/>
    <mergeCell ref="A20:C20"/>
    <mergeCell ref="A55:B55"/>
    <mergeCell ref="A28:C28"/>
    <mergeCell ref="A57:B57"/>
    <mergeCell ref="C35:I35"/>
    <mergeCell ref="E2:I2"/>
    <mergeCell ref="A14:B14"/>
    <mergeCell ref="A30:C30"/>
    <mergeCell ref="H22:I22"/>
    <mergeCell ref="A59:C59"/>
    <mergeCell ref="D12:E12"/>
    <mergeCell ref="A38:B38"/>
    <mergeCell ref="A43:B43"/>
    <mergeCell ref="F8:I8"/>
    <mergeCell ref="A61:C61"/>
    <mergeCell ref="A6:I6"/>
    <mergeCell ref="A40:B40"/>
    <mergeCell ref="H30:I30"/>
    <mergeCell ref="A16:I16"/>
    <mergeCell ref="C52:I52"/>
    <mergeCell ref="H20:I20"/>
    <mergeCell ref="G57:I57"/>
    <mergeCell ref="H29:I29"/>
    <mergeCell ref="C39:I39"/>
    <mergeCell ref="A27:C27"/>
    <mergeCell ref="C37:I37"/>
    <mergeCell ref="F14:I14"/>
    <mergeCell ref="A8:C8"/>
    <mergeCell ref="F11:I11"/>
    <mergeCell ref="A50:B50"/>
    <mergeCell ref="A10:C10"/>
    <mergeCell ref="A19:C19"/>
    <mergeCell ref="A47:B47"/>
    <mergeCell ref="F12:I12"/>
    <mergeCell ref="A9:C9"/>
    <mergeCell ref="A31:I31"/>
    <mergeCell ref="A58:I58"/>
    <mergeCell ref="C55:F55"/>
    <mergeCell ref="C41:I41"/>
    <mergeCell ref="H27:I27"/>
    <mergeCell ref="D8:E8"/>
    <mergeCell ref="C50:I50"/>
    <mergeCell ref="A11:C11"/>
    <mergeCell ref="H24:I24"/>
    <mergeCell ref="H18:I18"/>
    <mergeCell ref="C43:I43"/>
    <mergeCell ref="A44:B4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敵人角色卡　·　殺手化身（Killer Avatar）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化身名稱</t>
        </is>
      </c>
      <c r="E2" s="6" t="inlineStr">
        <is>
          <t>緘默者（SIL）｜希爾妲·蘭恩</t>
        </is>
      </c>
      <c r="F2" s="29" t="n"/>
      <c r="G2" s="29" t="n"/>
      <c r="H2" s="29" t="n"/>
      <c r="I2" s="30" t="n"/>
    </row>
    <row r="3">
      <c r="A3" s="31" t="n"/>
      <c r="C3" s="32" t="n"/>
      <c r="D3" s="5" t="inlineStr">
        <is>
          <t>化身縮寫</t>
        </is>
      </c>
      <c r="E3" s="8" t="inlineStr">
        <is>
          <t>SIL</t>
        </is>
      </c>
      <c r="F3" s="5" t="inlineStr">
        <is>
          <t>本名</t>
        </is>
      </c>
      <c r="G3" s="6" t="inlineStr">
        <is>
          <t>希爾妲·蘭恩（Hilda Lane）</t>
        </is>
      </c>
      <c r="H3" s="29" t="n"/>
      <c r="I3" s="30" t="n"/>
    </row>
    <row r="4">
      <c r="A4" s="31" t="n"/>
      <c r="C4" s="32" t="n"/>
      <c r="D4" s="5" t="inlineStr">
        <is>
          <t>主場領域</t>
        </is>
      </c>
      <c r="E4" s="6" t="inlineStr">
        <is>
          <t>R4 克羅特斯精神病院（十三號療程室）｜【劇情專屬：S6–S8 登場】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力量類型</t>
        </is>
      </c>
      <c r="E5" s="8" t="inlineStr">
        <is>
          <t>心理壓迫型（非殺傷）</t>
        </is>
      </c>
      <c r="F5" s="30" t="n"/>
      <c r="G5" s="5" t="inlineStr">
        <is>
          <t>屬性傾向</t>
        </is>
      </c>
      <c r="H5" s="6" t="inlineStr">
        <is>
          <t>威壓（DRE）＋2、秘能（OCC）＋1</t>
        </is>
      </c>
      <c r="I5" s="30" t="n"/>
    </row>
    <row r="6">
      <c r="A6" s="19" t="inlineStr">
        <is>
          <t>【劇情專屬化身】不納入標準化身池，僅由主持人（GM）於指定劇本投放。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20" customHeight="1">
      <c r="A7" s="9" t="inlineStr">
        <is>
          <t>一　試煉面板（灰底填寫，米黃底自動計算）</t>
        </is>
      </c>
      <c r="B7" s="29" t="n"/>
      <c r="C7" s="29" t="n"/>
      <c r="D7" s="29" t="n"/>
      <c r="E7" s="29" t="n"/>
      <c r="F7" s="29" t="n"/>
      <c r="G7" s="29" t="n"/>
      <c r="H7" s="29" t="n"/>
      <c r="I7" s="30" t="n"/>
    </row>
    <row r="8">
      <c r="A8" s="5" t="inlineStr">
        <is>
          <t>聲望等級（PRS）</t>
        </is>
      </c>
      <c r="B8" s="30" t="n"/>
      <c r="C8" s="8" t="n"/>
      <c r="D8" s="5" t="inlineStr">
        <is>
          <t>倖存者玩家人數 N</t>
        </is>
      </c>
      <c r="E8" s="30" t="n"/>
      <c r="F8" s="8" t="n"/>
      <c r="G8" s="5" t="inlineStr">
        <is>
          <t>化身危險係數（AVM）</t>
        </is>
      </c>
      <c r="H8" s="30" t="n"/>
      <c r="I8" s="8" t="n">
        <v>0</v>
      </c>
    </row>
    <row r="9">
      <c r="A9" s="12" t="inlineStr">
        <is>
          <t>挑戰等級（CR）</t>
        </is>
      </c>
      <c r="B9" s="29" t="n"/>
      <c r="C9" s="30" t="n"/>
      <c r="D9" s="14">
        <f>IF($C$8="","",$C$8+$I$8)</f>
        <v/>
      </c>
      <c r="E9" s="30" t="n"/>
      <c r="F9" s="6" t="inlineStr">
        <is>
          <t>聲望等級（PRS）＋ 化身危險係數（AVM）</t>
        </is>
      </c>
      <c r="G9" s="29" t="n"/>
      <c r="H9" s="29" t="n"/>
      <c r="I9" s="30" t="n"/>
    </row>
    <row r="10">
      <c r="A10" s="12" t="inlineStr">
        <is>
          <t>壓迫值（PRE）上限</t>
        </is>
      </c>
      <c r="B10" s="29" t="n"/>
      <c r="C10" s="30" t="n"/>
      <c r="D10" s="14">
        <f>IF(OR($C$8="",$F$8=""),"",4+2*$F$8+INT($C$8/4))</f>
        <v/>
      </c>
      <c r="E10" s="30" t="n"/>
      <c r="F10" s="6" t="inlineStr">
        <is>
          <t>4 ＋ 2×N ＋ INT(聲望等級（PRS）÷ 4)</t>
        </is>
      </c>
      <c r="G10" s="29" t="n"/>
      <c r="H10" s="29" t="n"/>
      <c r="I10" s="30" t="n"/>
    </row>
    <row r="11">
      <c r="A11" s="12" t="inlineStr">
        <is>
          <t>壓迫值（PRE）每輪回復</t>
        </is>
      </c>
      <c r="B11" s="29" t="n"/>
      <c r="C11" s="30" t="n"/>
      <c r="D11" s="14">
        <f>IF($F$8="","",2+INT($F$8/2))</f>
        <v/>
      </c>
      <c r="E11" s="30" t="n"/>
      <c r="F11" s="6" t="inlineStr">
        <is>
          <t>2 ＋ INT(N ÷ 2)</t>
        </is>
      </c>
      <c r="G11" s="29" t="n"/>
      <c r="H11" s="29" t="n"/>
      <c r="I11" s="30" t="n"/>
    </row>
    <row r="12">
      <c r="A12" s="12" t="inlineStr">
        <is>
          <t>行動點（AP）／輪</t>
        </is>
      </c>
      <c r="B12" s="29" t="n"/>
      <c r="C12" s="30" t="n"/>
      <c r="D12" s="14">
        <f>4</f>
        <v/>
      </c>
      <c r="E12" s="30" t="n"/>
      <c r="F12" s="6" t="inlineStr">
        <is>
          <t>殺手固定 4 點，壓迫值（PRE）為獨立資源池</t>
        </is>
      </c>
      <c r="G12" s="29" t="n"/>
      <c r="H12" s="29" t="n"/>
      <c r="I12" s="30" t="n"/>
    </row>
    <row r="13">
      <c r="A13" s="12" t="inlineStr">
        <is>
          <t>掛鉤階段輪數</t>
        </is>
      </c>
      <c r="B13" s="29" t="n"/>
      <c r="C13" s="30" t="n"/>
      <c r="D13" s="14">
        <f>IF($F$8="","",8-$F$8)</f>
        <v/>
      </c>
      <c r="E13" s="30" t="n"/>
      <c r="F13" s="6" t="inlineStr">
        <is>
          <t>8 − N。每階段結束推進一階，第二階段結束即獻祭</t>
        </is>
      </c>
      <c r="G13" s="29" t="n"/>
      <c r="H13" s="29" t="n"/>
      <c r="I13" s="30" t="n"/>
    </row>
    <row r="14">
      <c r="A14" s="12" t="inlineStr">
        <is>
          <t>終局崩塌（Endgame Collapse）輪數</t>
        </is>
      </c>
      <c r="B14" s="29" t="n"/>
      <c r="C14" s="30" t="n"/>
      <c r="D14" s="14">
        <f>IF($F$8="","",14-2*$F$8)</f>
        <v/>
      </c>
      <c r="E14" s="30" t="n"/>
      <c r="F14" s="6" t="inlineStr">
        <is>
          <t>14 − 2×N。最後一台發電機完成後開始倒數</t>
        </is>
      </c>
      <c r="G14" s="29" t="n"/>
      <c r="H14" s="29" t="n"/>
      <c r="I14" s="30" t="n"/>
    </row>
    <row r="15" ht="30" customHeight="1">
      <c r="A15" s="12" t="inlineStr">
        <is>
          <t>恐怖半徑（TR）</t>
        </is>
      </c>
      <c r="B15" s="30" t="n"/>
      <c r="C15" s="8" t="n">
        <v>12</v>
      </c>
      <c r="D15" s="5" t="inlineStr">
        <is>
          <t>格　→　公尺</t>
        </is>
      </c>
      <c r="E15" s="14">
        <f>IF(C15="","",C15*2)</f>
        <v/>
      </c>
      <c r="F15" s="6" t="inlineStr">
        <is>
          <t>24 公尺 ＝ 12 格</t>
        </is>
      </c>
      <c r="G15" s="29" t="n"/>
      <c r="H15" s="29" t="n"/>
      <c r="I15" s="30" t="n"/>
    </row>
    <row r="16" ht="30" customHeight="1">
      <c r="A16" s="12" t="inlineStr">
        <is>
          <t>移動等級（MOV）</t>
        </is>
      </c>
      <c r="B16" s="30" t="n"/>
      <c r="C16" s="8" t="n">
        <v>6</v>
      </c>
      <c r="D16" s="5" t="inlineStr">
        <is>
          <t>格／輪</t>
        </is>
      </c>
      <c r="E16" s="8" t="n"/>
      <c r="F16" s="6" t="inlineStr">
        <is>
          <t>第二級 微遲（6 格／輪，移動速度優勢 +1）</t>
        </is>
      </c>
      <c r="G16" s="29" t="n"/>
      <c r="H16" s="29" t="n"/>
      <c r="I16" s="30" t="n"/>
    </row>
    <row r="17">
      <c r="A17" s="16" t="inlineStr">
        <is>
          <t>1 格 ＝ 2 公尺。距離帶（DB）：接觸（CON）0–1 格／近距（NEA）1–4 格／中距（MID）4–8 格／遠距（FAR）8–16 格／脫離（ESC）16 格以上。</t>
        </is>
      </c>
      <c r="B17" s="29" t="n"/>
      <c r="C17" s="29" t="n"/>
      <c r="D17" s="29" t="n"/>
      <c r="E17" s="29" t="n"/>
      <c r="F17" s="29" t="n"/>
      <c r="G17" s="29" t="n"/>
      <c r="H17" s="29" t="n"/>
      <c r="I17" s="30" t="n"/>
    </row>
    <row r="18" ht="20" customHeight="1">
      <c r="A18" s="9" t="inlineStr">
        <is>
          <t>二　屬性與技能（三基準對照）</t>
        </is>
      </c>
      <c r="B18" s="29" t="n"/>
      <c r="C18" s="29" t="n"/>
      <c r="D18" s="29" t="n"/>
      <c r="E18" s="29" t="n"/>
      <c r="F18" s="29" t="n"/>
      <c r="G18" s="29" t="n"/>
      <c r="H18" s="29" t="n"/>
      <c r="I18" s="30" t="n"/>
    </row>
    <row r="19" ht="30" customHeight="1">
      <c r="A19" s="5" t="inlineStr">
        <is>
          <t>屬性／技能</t>
        </is>
      </c>
      <c r="B19" s="29" t="n"/>
      <c r="C19" s="30" t="n"/>
      <c r="D19" s="5" t="inlineStr">
        <is>
          <t>聲望等級 1（8 點）</t>
        </is>
      </c>
      <c r="E19" s="5" t="inlineStr">
        <is>
          <t>聲望等級 10（13 點）</t>
        </is>
      </c>
      <c r="F19" s="5" t="inlineStr">
        <is>
          <t>聲望等級 20（18 點）</t>
        </is>
      </c>
      <c r="G19" s="5" t="inlineStr">
        <is>
          <t>本場採用</t>
        </is>
      </c>
      <c r="H19" s="5" t="inlineStr">
        <is>
          <t>備註</t>
        </is>
      </c>
      <c r="I19" s="30" t="n"/>
    </row>
    <row r="20">
      <c r="A20" s="12" t="inlineStr">
        <is>
          <t>蠻力（BRU）</t>
        </is>
      </c>
      <c r="B20" s="29" t="n"/>
      <c r="C20" s="30" t="n"/>
      <c r="D20" s="8" t="inlineStr">
        <is>
          <t>1</t>
        </is>
      </c>
      <c r="E20" s="8" t="inlineStr">
        <is>
          <t>2</t>
        </is>
      </c>
      <c r="F20" s="8" t="inlineStr">
        <is>
          <t>3</t>
        </is>
      </c>
      <c r="G20" s="8" t="n"/>
      <c r="H20" s="6" t="n"/>
      <c r="I20" s="30" t="n"/>
    </row>
    <row r="21">
      <c r="A21" s="12" t="inlineStr">
        <is>
          <t>追獵（HNT）</t>
        </is>
      </c>
      <c r="B21" s="29" t="n"/>
      <c r="C21" s="30" t="n"/>
      <c r="D21" s="8" t="inlineStr">
        <is>
          <t>2</t>
        </is>
      </c>
      <c r="E21" s="8" t="inlineStr">
        <is>
          <t>3</t>
        </is>
      </c>
      <c r="F21" s="8" t="inlineStr">
        <is>
          <t>4</t>
        </is>
      </c>
      <c r="G21" s="8" t="n"/>
      <c r="H21" s="6" t="n"/>
      <c r="I21" s="30" t="n"/>
    </row>
    <row r="22">
      <c r="A22" s="12" t="inlineStr">
        <is>
          <t>感知（PER）</t>
        </is>
      </c>
      <c r="B22" s="29" t="n"/>
      <c r="C22" s="30" t="n"/>
      <c r="D22" s="8" t="inlineStr">
        <is>
          <t>1</t>
        </is>
      </c>
      <c r="E22" s="8" t="inlineStr">
        <is>
          <t>2</t>
        </is>
      </c>
      <c r="F22" s="8" t="inlineStr">
        <is>
          <t>3</t>
        </is>
      </c>
      <c r="G22" s="8" t="n"/>
      <c r="H22" s="6" t="n"/>
      <c r="I22" s="30" t="n"/>
    </row>
    <row r="23">
      <c r="A23" s="12" t="inlineStr">
        <is>
          <t>威壓（DRE）</t>
        </is>
      </c>
      <c r="B23" s="29" t="n"/>
      <c r="C23" s="30" t="n"/>
      <c r="D23" s="8" t="inlineStr">
        <is>
          <t>3</t>
        </is>
      </c>
      <c r="E23" s="8" t="inlineStr">
        <is>
          <t>4</t>
        </is>
      </c>
      <c r="F23" s="8" t="inlineStr">
        <is>
          <t>5</t>
        </is>
      </c>
      <c r="G23" s="8" t="n"/>
      <c r="H23" s="6" t="n"/>
      <c r="I23" s="30" t="n"/>
    </row>
    <row r="24">
      <c r="A24" s="12" t="inlineStr">
        <is>
          <t>秘能（OCC）</t>
        </is>
      </c>
      <c r="B24" s="29" t="n"/>
      <c r="C24" s="30" t="n"/>
      <c r="D24" s="8" t="inlineStr">
        <is>
          <t>1</t>
        </is>
      </c>
      <c r="E24" s="8" t="inlineStr">
        <is>
          <t>2</t>
        </is>
      </c>
      <c r="F24" s="8" t="inlineStr">
        <is>
          <t>3</t>
        </is>
      </c>
      <c r="G24" s="8" t="n"/>
      <c r="H24" s="6" t="n"/>
      <c r="I24" s="30" t="n"/>
    </row>
    <row r="25">
      <c r="A25" s="12" t="inlineStr">
        <is>
          <t>追蹤（TRK）</t>
        </is>
      </c>
      <c r="B25" s="29" t="n"/>
      <c r="C25" s="30" t="n"/>
      <c r="D25" s="8" t="inlineStr">
        <is>
          <t>1</t>
        </is>
      </c>
      <c r="E25" s="8" t="inlineStr">
        <is>
          <t>2</t>
        </is>
      </c>
      <c r="F25" s="8" t="inlineStr">
        <is>
          <t>3</t>
        </is>
      </c>
      <c r="G25" s="8" t="n"/>
      <c r="H25" s="6" t="n"/>
      <c r="I25" s="30" t="n"/>
    </row>
    <row r="26">
      <c r="A26" s="12" t="inlineStr">
        <is>
          <t>制暴（SUP）</t>
        </is>
      </c>
      <c r="B26" s="29" t="n"/>
      <c r="C26" s="30" t="n"/>
      <c r="D26" s="8" t="inlineStr">
        <is>
          <t>0</t>
        </is>
      </c>
      <c r="E26" s="8" t="inlineStr">
        <is>
          <t>1</t>
        </is>
      </c>
      <c r="F26" s="8" t="inlineStr">
        <is>
          <t>2</t>
        </is>
      </c>
      <c r="G26" s="8" t="n"/>
      <c r="H26" s="6" t="n"/>
      <c r="I26" s="30" t="n"/>
    </row>
    <row r="27">
      <c r="A27" s="12" t="inlineStr">
        <is>
          <t>逼迫（COE）</t>
        </is>
      </c>
      <c r="B27" s="29" t="n"/>
      <c r="C27" s="30" t="n"/>
      <c r="D27" s="8" t="inlineStr">
        <is>
          <t>2</t>
        </is>
      </c>
      <c r="E27" s="8" t="inlineStr">
        <is>
          <t>3</t>
        </is>
      </c>
      <c r="F27" s="8" t="inlineStr">
        <is>
          <t>4</t>
        </is>
      </c>
      <c r="G27" s="8" t="n"/>
      <c r="H27" s="6" t="n"/>
      <c r="I27" s="30" t="n"/>
    </row>
    <row r="28">
      <c r="A28" s="12" t="inlineStr">
        <is>
          <t>儀式（RIT）</t>
        </is>
      </c>
      <c r="B28" s="29" t="n"/>
      <c r="C28" s="30" t="n"/>
      <c r="D28" s="8" t="inlineStr">
        <is>
          <t>1</t>
        </is>
      </c>
      <c r="E28" s="8" t="inlineStr">
        <is>
          <t>2</t>
        </is>
      </c>
      <c r="F28" s="8" t="inlineStr">
        <is>
          <t>3</t>
        </is>
      </c>
      <c r="G28" s="8" t="n"/>
      <c r="H28" s="6" t="n"/>
      <c r="I28" s="30" t="n"/>
    </row>
    <row r="29">
      <c r="A29" s="12" t="inlineStr">
        <is>
          <t>挑戰等級（CR）</t>
        </is>
      </c>
      <c r="B29" s="29" t="n"/>
      <c r="C29" s="30" t="n"/>
      <c r="D29" s="8" t="inlineStr">
        <is>
          <t>1</t>
        </is>
      </c>
      <c r="E29" s="8" t="inlineStr">
        <is>
          <t>10</t>
        </is>
      </c>
      <c r="F29" s="8" t="inlineStr">
        <is>
          <t>20</t>
        </is>
      </c>
      <c r="G29" s="8" t="n"/>
      <c r="H29" s="6" t="n"/>
      <c r="I29" s="30" t="n"/>
    </row>
    <row r="30">
      <c r="A30" s="12" t="inlineStr">
        <is>
          <t>基礎攻擊修正</t>
        </is>
      </c>
      <c r="B30" s="29" t="n"/>
      <c r="C30" s="30" t="n"/>
      <c r="D30" s="8" t="inlineStr">
        <is>
          <t>+1</t>
        </is>
      </c>
      <c r="E30" s="8" t="inlineStr">
        <is>
          <t>+3</t>
        </is>
      </c>
      <c r="F30" s="8" t="inlineStr">
        <is>
          <t>+5</t>
        </is>
      </c>
      <c r="G30" s="8" t="n"/>
      <c r="H30" s="6" t="n"/>
      <c r="I30" s="30" t="n"/>
    </row>
    <row r="31">
      <c r="A31" s="12" t="inlineStr">
        <is>
          <t>力量檢定修正</t>
        </is>
      </c>
      <c r="B31" s="29" t="n"/>
      <c r="C31" s="30" t="n"/>
      <c r="D31" s="8" t="inlineStr">
        <is>
          <t>+5</t>
        </is>
      </c>
      <c r="E31" s="8" t="inlineStr">
        <is>
          <t>+7</t>
        </is>
      </c>
      <c r="F31" s="8" t="inlineStr">
        <is>
          <t>+9</t>
        </is>
      </c>
      <c r="G31" s="8" t="n"/>
      <c r="H31" s="6" t="n"/>
      <c r="I31" s="30" t="n"/>
    </row>
    <row r="32">
      <c r="A32" s="16" t="inlineStr">
        <is>
          <t>殺手五屬性為「等級 1–5」制，等級即為檢定加值（不需除以 2）。總點數 ＝ 8 ＋ INT(聲望等級（PRS）÷ 2)。「本場採用」欄供主持人（GM）依實際投放的聲望等級（PRS）內插填寫。</t>
        </is>
      </c>
      <c r="B32" s="29" t="n"/>
      <c r="C32" s="29" t="n"/>
      <c r="D32" s="29" t="n"/>
      <c r="E32" s="29" t="n"/>
      <c r="F32" s="29" t="n"/>
      <c r="G32" s="29" t="n"/>
      <c r="H32" s="29" t="n"/>
      <c r="I32" s="30" t="n"/>
    </row>
    <row r="33" ht="20" customHeight="1">
      <c r="A33" s="9" t="inlineStr">
        <is>
          <t>三　力量卡：未竟之語（Unspoken）</t>
        </is>
      </c>
      <c r="B33" s="29" t="n"/>
      <c r="C33" s="29" t="n"/>
      <c r="D33" s="29" t="n"/>
      <c r="E33" s="29" t="n"/>
      <c r="F33" s="29" t="n"/>
      <c r="G33" s="29" t="n"/>
      <c r="H33" s="29" t="n"/>
      <c r="I33" s="30" t="n"/>
    </row>
    <row r="34" ht="22" customHeight="1">
      <c r="A34" s="12" t="inlineStr">
        <is>
          <t>欄位</t>
        </is>
      </c>
      <c r="B34" s="30" t="n"/>
      <c r="C34" s="18" t="inlineStr">
        <is>
          <t>內容</t>
        </is>
      </c>
      <c r="D34" s="29" t="n"/>
      <c r="E34" s="29" t="n"/>
      <c r="F34" s="29" t="n"/>
      <c r="G34" s="29" t="n"/>
      <c r="H34" s="29" t="n"/>
      <c r="I34" s="30" t="n"/>
    </row>
    <row r="35" ht="22" customHeight="1">
      <c r="A35" s="12" t="inlineStr">
        <is>
          <t>力量類型</t>
        </is>
      </c>
      <c r="B35" s="30" t="n"/>
      <c r="C35" s="18" t="inlineStr">
        <is>
          <t>心理壓迫型（持續光環 ＋ 觸發式代價；非殺傷，基礎攻擊僅作收尾）</t>
        </is>
      </c>
      <c r="D35" s="29" t="n"/>
      <c r="E35" s="29" t="n"/>
      <c r="F35" s="29" t="n"/>
      <c r="G35" s="29" t="n"/>
      <c r="H35" s="29" t="n"/>
      <c r="I35" s="30" t="n"/>
    </row>
    <row r="36" ht="33" customHeight="1">
      <c r="A36" s="12" t="inlineStr">
        <is>
          <t>力量充能（PWC）名稱</t>
        </is>
      </c>
      <c r="B36" s="30" t="n"/>
      <c r="C36" s="18" t="inlineStr">
        <is>
          <t>無充能（被動光環）。改以「沉默共鳴（Silent Resonance）」為內部計量：恐怖半徑（TR）內每名倖存者為她提供 1 層共鳴（上限 3 層），強化壓迫。</t>
        </is>
      </c>
      <c r="D36" s="29" t="n"/>
      <c r="E36" s="29" t="n"/>
      <c r="F36" s="29" t="n"/>
      <c r="G36" s="29" t="n"/>
      <c r="H36" s="29" t="n"/>
      <c r="I36" s="30" t="n"/>
    </row>
    <row r="37" ht="22" customHeight="1">
      <c r="A37" s="12" t="inlineStr">
        <is>
          <t>充能上限</t>
        </is>
      </c>
      <c r="B37" s="30" t="n"/>
      <c r="C37" s="18" t="inlineStr">
        <is>
          <t>不適用（被動）。共鳴層數上限 3。</t>
        </is>
      </c>
      <c r="D37" s="29" t="n"/>
      <c r="E37" s="29" t="n"/>
      <c r="F37" s="29" t="n"/>
      <c r="G37" s="29" t="n"/>
      <c r="H37" s="29" t="n"/>
      <c r="I37" s="30" t="n"/>
    </row>
    <row r="38" ht="22" customHeight="1">
      <c r="A38" s="12" t="inlineStr">
        <is>
          <t>充能回復</t>
        </is>
      </c>
      <c r="B38" s="30" t="n"/>
      <c r="C38" s="18" t="inlineStr">
        <is>
          <t>不適用。共鳴層數每輪依恐怖半徑（TR）內倖存者人數自動調整。</t>
        </is>
      </c>
      <c r="D38" s="29" t="n"/>
      <c r="E38" s="29" t="n"/>
      <c r="F38" s="29" t="n"/>
      <c r="G38" s="29" t="n"/>
      <c r="H38" s="29" t="n"/>
      <c r="I38" s="30" t="n"/>
    </row>
    <row r="39" ht="22" customHeight="1">
      <c r="A39" s="12" t="inlineStr">
        <is>
          <t>行動點（AP）成本</t>
        </is>
      </c>
      <c r="B39" s="30" t="n"/>
      <c r="C39" s="18" t="inlineStr">
        <is>
          <t>光環 0（被動）；主動觸發「本名共鳴（Name Resonance）反制」0。</t>
        </is>
      </c>
      <c r="D39" s="29" t="n"/>
      <c r="E39" s="29" t="n"/>
      <c r="F39" s="29" t="n"/>
      <c r="G39" s="29" t="n"/>
      <c r="H39" s="29" t="n"/>
      <c r="I39" s="30" t="n"/>
    </row>
    <row r="40" ht="22" customHeight="1">
      <c r="A40" s="12" t="inlineStr">
        <is>
          <t>壓迫值（PRE）成本</t>
        </is>
      </c>
      <c r="B40" s="30" t="n"/>
      <c r="C40" s="18" t="inlineStr">
        <is>
          <t>0（威脅來自存在本身，非資源投放）。</t>
        </is>
      </c>
      <c r="D40" s="29" t="n"/>
      <c r="E40" s="29" t="n"/>
      <c r="F40" s="29" t="n"/>
      <c r="G40" s="29" t="n"/>
      <c r="H40" s="29" t="n"/>
      <c r="I40" s="30" t="n"/>
    </row>
    <row r="41" ht="63" customHeight="1">
      <c r="A41" s="12" t="inlineStr">
        <is>
          <t>判定式（光環）</t>
        </is>
      </c>
      <c r="B41" s="30" t="n"/>
      <c r="C41" s="18" t="inlineStr">
        <is>
          <t>每名進入恐怖半徑（TR）的倖存者，立即受到 未竟之語 標記。每輪開始，恐怖半徑（TR）內倖存者做 意志（WIL）＋堅忍（END）檢定 vs 難度等級（DC）＝ 10 + 威壓（DRE）等級 + 共鳴層數：失敗 → 顫慄（Trembling，ST-26）1 輪；大失敗 → 顫慄（Trembling）2 輪。</t>
        </is>
      </c>
      <c r="D41" s="29" t="n"/>
      <c r="E41" s="29" t="n"/>
      <c r="F41" s="29" t="n"/>
      <c r="G41" s="29" t="n"/>
      <c r="H41" s="29" t="n"/>
      <c r="I41" s="30" t="n"/>
    </row>
    <row r="42" ht="93" customHeight="1">
      <c r="A42" s="12" t="inlineStr">
        <is>
          <t>判定式（攻擊性動作代價）</t>
        </is>
      </c>
      <c r="B42" s="30" t="n"/>
      <c r="C42" s="18" t="inlineStr">
        <is>
          <t>帶「未竟之語」標記的倖存者，對緘默者本人、其領域造物、或對其他倖存者使用攻擊性／破壞性動作（基礎攻擊、破壞板子、拆除陷阱、救援以外的暴力）時：先做一次 意志（WIL）檢定 vs 難度等級（DC）12 + 顫慄層數。失敗 → 動作顧延 1 輪（行動點（AP）已扣但本輪不生效）且獲得 暴露（Exposed，ST-06）1 輪；大失敗 → 動作作廢（行動點（AP）不退還）且 麻痺（Palsied，ST-27）1 輪；成功 → 正常執行，但之後對「本名共鳴」抗性 −1（最多 −3）。</t>
        </is>
      </c>
      <c r="D42" s="29" t="n"/>
      <c r="E42" s="29" t="n"/>
      <c r="F42" s="29" t="n"/>
      <c r="G42" s="29" t="n"/>
      <c r="H42" s="29" t="n"/>
      <c r="I42" s="30" t="n"/>
    </row>
    <row r="43" ht="33" customHeight="1">
      <c r="A43" s="12" t="inlineStr">
        <is>
          <t>命中效果（基礎攻擊）</t>
        </is>
      </c>
      <c r="B43" s="30" t="n"/>
      <c r="C43" s="18" t="inlineStr">
        <is>
          <t>僅造成 1 階生命狀態（HS）損失（全化身最低傷害）；並施加 顫慄（Trembling，ST-26）2 輪。她不以處決為目標。</t>
        </is>
      </c>
      <c r="D43" s="29" t="n"/>
      <c r="E43" s="29" t="n"/>
      <c r="F43" s="29" t="n"/>
      <c r="G43" s="29" t="n"/>
      <c r="H43" s="29" t="n"/>
      <c r="I43" s="30" t="n"/>
    </row>
    <row r="44" ht="93" customHeight="1">
      <c r="A44" s="12" t="inlineStr">
        <is>
          <t>代價（本名共鳴）</t>
        </is>
      </c>
      <c r="B44" s="30" t="n"/>
      <c r="C44" s="18" t="inlineStr">
        <is>
          <t>任一倖存者以大聲喊出「希爾妲·蘭恩」（花 1 行動點（AP）、處於中距（MID）以內、且緘默者可聽見）時：緘默者立即進入 本名共鳴（Name Resonance） 狀態 1 輪——此輪內她 不可使用力量（Power）、移動速度優勢降為 +0、恐怖半徑（TR）視為 0（不可探測（Undetectable，ST-12））、且受到的攻擊／狀態正常結算（不再免傷）。這是 S6 抉擇的規則落點：你願意喚回那個「人」，換取一輪喘息嗎？</t>
        </is>
      </c>
      <c r="D44" s="29" t="n"/>
      <c r="E44" s="29" t="n"/>
      <c r="F44" s="29" t="n"/>
      <c r="G44" s="29" t="n"/>
      <c r="H44" s="29" t="n"/>
      <c r="I44" s="30" t="n"/>
    </row>
    <row r="45" ht="22" customHeight="1">
      <c r="A45" s="12" t="inlineStr">
        <is>
          <t>冷卻</t>
        </is>
      </c>
      <c r="B45" s="30" t="n"/>
      <c r="C45" s="18" t="inlineStr">
        <is>
          <t>本名共鳴：每場試煉最多觸發 3 次；同一倖存者連續兩輪內不可重複觸發。</t>
        </is>
      </c>
      <c r="D45" s="29" t="n"/>
      <c r="E45" s="29" t="n"/>
      <c r="F45" s="29" t="n"/>
      <c r="G45" s="29" t="n"/>
      <c r="H45" s="29" t="n"/>
      <c r="I45" s="30" t="n"/>
    </row>
    <row r="46" ht="48" customHeight="1">
      <c r="A46" s="12" t="inlineStr">
        <is>
          <t>倖存者應對</t>
        </is>
      </c>
      <c r="B46" s="30" t="n"/>
      <c r="C46" s="18" t="inlineStr">
        <is>
          <t>① 用「喊名」換取喘息窗口（每場有限）；② 把攻擊性動作留給真正必要時刻，避免在光環下無謂揮拳；③ 利用本名共鳴的 1 輪破綻進攻或脫身；④ 讓意志（WIL）高的隊友承擔互動，分攤猶豫。</t>
        </is>
      </c>
      <c r="D46" s="29" t="n"/>
      <c r="E46" s="29" t="n"/>
      <c r="F46" s="29" t="n"/>
      <c r="G46" s="29" t="n"/>
      <c r="H46" s="29" t="n"/>
      <c r="I46" s="30" t="n"/>
    </row>
    <row r="47" ht="48" customHeight="1">
      <c r="A47" s="12" t="inlineStr">
        <is>
          <t>獨行配置調整</t>
        </is>
      </c>
      <c r="B47" s="30" t="n"/>
      <c r="C47" s="18" t="inlineStr">
        <is>
          <t>N = 1 時：① 本名共鳴對單人玩家同樣生效，且喊名後額外獲得 1 點希望點（HOP）（回聲同伴不存在時的補償）；② 攻擊性動作代價檢定門檻 −2（更易觸發，但單人更需行動，形成張力）。</t>
        </is>
      </c>
      <c r="D47" s="29" t="n"/>
      <c r="E47" s="29" t="n"/>
      <c r="F47" s="29" t="n"/>
      <c r="G47" s="29" t="n"/>
      <c r="H47" s="29" t="n"/>
      <c r="I47" s="30" t="n"/>
    </row>
    <row r="48" ht="33" customHeight="1">
      <c r="A48" s="12" t="inlineStr">
        <is>
          <t>失手／代價</t>
        </is>
      </c>
      <c r="B48" s="30" t="n"/>
      <c r="C48" s="18" t="inlineStr">
        <is>
          <t>緘默者幾乎沒有「失手」風險——威脅常駐。代價在於：若倖存者完全不對她出手，她也不主動重創任何人，試煉會陷入「誰先忍不住」的僵局；此即設計意圖。</t>
        </is>
      </c>
      <c r="D48" s="29" t="n"/>
      <c r="E48" s="29" t="n"/>
      <c r="F48" s="29" t="n"/>
      <c r="G48" s="29" t="n"/>
      <c r="H48" s="29" t="n"/>
      <c r="I48" s="30" t="n"/>
    </row>
    <row r="49" ht="20" customHeight="1">
      <c r="A49" s="9" t="inlineStr">
        <is>
          <t>四　力量精通（Power Mastery）</t>
        </is>
      </c>
      <c r="B49" s="29" t="n"/>
      <c r="C49" s="29" t="n"/>
      <c r="D49" s="29" t="n"/>
      <c r="E49" s="29" t="n"/>
      <c r="F49" s="29" t="n"/>
      <c r="G49" s="29" t="n"/>
      <c r="H49" s="29" t="n"/>
      <c r="I49" s="30" t="n"/>
    </row>
    <row r="50">
      <c r="A50" s="5" t="inlineStr">
        <is>
          <t>階</t>
        </is>
      </c>
      <c r="B50" s="30" t="n"/>
      <c r="C50" s="5" t="inlineStr">
        <is>
          <t>效果</t>
        </is>
      </c>
      <c r="D50" s="29" t="n"/>
      <c r="E50" s="29" t="n"/>
      <c r="F50" s="29" t="n"/>
      <c r="G50" s="29" t="n"/>
      <c r="H50" s="29" t="n"/>
      <c r="I50" s="30" t="n"/>
    </row>
    <row r="51" ht="22" customHeight="1">
      <c r="A51" s="12" t="inlineStr">
        <is>
          <t>二階（聲望 6）</t>
        </is>
      </c>
      <c r="B51" s="30" t="n"/>
      <c r="C51" s="18" t="inlineStr">
        <is>
          <t>光環檢定難度等級（DC）額外 +1；本名共鳴每場觸發上限 +1（變 4 次）。</t>
        </is>
      </c>
      <c r="D51" s="29" t="n"/>
      <c r="E51" s="29" t="n"/>
      <c r="F51" s="29" t="n"/>
      <c r="G51" s="29" t="n"/>
      <c r="H51" s="29" t="n"/>
      <c r="I51" s="30" t="n"/>
    </row>
    <row r="52" ht="33" customHeight="1">
      <c r="A52" s="12" t="inlineStr">
        <is>
          <t>三階（聲望 11）</t>
        </is>
      </c>
      <c r="B52" s="30" t="n"/>
      <c r="C52" s="18" t="inlineStr">
        <is>
          <t>帶「未竟之語」標記者，攻擊性動作代價檢定門檻再 −2；本名共鳴期間她額外獲得 阻礙（Hindered，ST-08）（移動 −2 格/輪）。</t>
        </is>
      </c>
      <c r="D52" s="29" t="n"/>
      <c r="E52" s="29" t="n"/>
      <c r="F52" s="29" t="n"/>
      <c r="G52" s="29" t="n"/>
      <c r="H52" s="29" t="n"/>
      <c r="I52" s="30" t="n"/>
    </row>
    <row r="53" ht="123" customHeight="1">
      <c r="A53" s="12" t="inlineStr">
        <is>
          <t>四階（聲望 16）</t>
        </is>
      </c>
      <c r="B53" s="30" t="n"/>
      <c r="C53" s="18" t="inlineStr">
        <is>
          <t>終焉形態｜千言寂滅（Silence of a Thousand Words）
成本 4 壓迫值（PRE）＋ 2 行動點（AP），每場 2 次。
立即對恐怖半徑（TR）內所有倖存者施加 失能（Incapacitated，ST-17） 2 輪（不可修理／治療／救援／淨化），並清零其本名共鳴抗性。
代價：發動後緘默者自身進入 暴露（Exposed，ST-06） 3 輪（她為此耗盡了沉默）。</t>
        </is>
      </c>
      <c r="D53" s="29" t="n"/>
      <c r="E53" s="29" t="n"/>
      <c r="F53" s="29" t="n"/>
      <c r="G53" s="29" t="n"/>
      <c r="H53" s="29" t="n"/>
      <c r="I53" s="30" t="n"/>
    </row>
    <row r="54" ht="20" customHeight="1">
      <c r="A54" s="9" t="inlineStr">
        <is>
          <t>五　專屬天賦（Perk）</t>
        </is>
      </c>
      <c r="B54" s="29" t="n"/>
      <c r="C54" s="29" t="n"/>
      <c r="D54" s="29" t="n"/>
      <c r="E54" s="29" t="n"/>
      <c r="F54" s="29" t="n"/>
      <c r="G54" s="29" t="n"/>
      <c r="H54" s="29" t="n"/>
      <c r="I54" s="30" t="n"/>
    </row>
    <row r="55">
      <c r="A55" s="5" t="inlineStr">
        <is>
          <t>編號</t>
        </is>
      </c>
      <c r="B55" s="30" t="n"/>
      <c r="C55" s="5" t="inlineStr">
        <is>
          <t>名稱</t>
        </is>
      </c>
      <c r="D55" s="29" t="n"/>
      <c r="E55" s="29" t="n"/>
      <c r="F55" s="30" t="n"/>
      <c r="G55" s="5" t="inlineStr">
        <is>
          <t>出處</t>
        </is>
      </c>
      <c r="H55" s="29" t="n"/>
      <c r="I55" s="30" t="n"/>
    </row>
    <row r="56">
      <c r="A56" s="8" t="inlineStr">
        <is>
          <t>TALENT-K25</t>
        </is>
      </c>
      <c r="B56" s="30" t="n"/>
      <c r="C56" s="6" t="inlineStr">
        <is>
          <t>未竟遺言（Unfinished Words）【提議新增】</t>
        </is>
      </c>
      <c r="D56" s="29" t="n"/>
      <c r="E56" s="29" t="n"/>
      <c r="F56" s="30" t="n"/>
      <c r="G56" s="6" t="inlineStr">
        <is>
          <t>21_天賦條目.md（待整合）</t>
        </is>
      </c>
      <c r="H56" s="29" t="n"/>
      <c r="I56" s="30" t="n"/>
    </row>
    <row r="57">
      <c r="A57" s="8" t="inlineStr">
        <is>
          <t>TALENT-K26</t>
        </is>
      </c>
      <c r="B57" s="30" t="n"/>
      <c r="C57" s="6" t="inlineStr">
        <is>
          <t>沉默回響（Silent Echo）【提議新增】</t>
        </is>
      </c>
      <c r="D57" s="29" t="n"/>
      <c r="E57" s="29" t="n"/>
      <c r="F57" s="30" t="n"/>
      <c r="G57" s="6" t="inlineStr">
        <is>
          <t>同上</t>
        </is>
      </c>
      <c r="H57" s="29" t="n"/>
      <c r="I57" s="30" t="n"/>
    </row>
    <row r="58">
      <c r="A58" s="8" t="inlineStr">
        <is>
          <t>TALENT-K27</t>
        </is>
      </c>
      <c r="B58" s="30" t="n"/>
      <c r="C58" s="6" t="inlineStr">
        <is>
          <t>恨意共鳴（Hatred Resonance）【提議新增】</t>
        </is>
      </c>
      <c r="D58" s="29" t="n"/>
      <c r="E58" s="29" t="n"/>
      <c r="F58" s="30" t="n"/>
      <c r="G58" s="6" t="inlineStr">
        <is>
          <t>同上</t>
        </is>
      </c>
      <c r="H58" s="29" t="n"/>
      <c r="I58" s="30" t="n"/>
    </row>
    <row r="59" ht="20" customHeight="1">
      <c r="A59" s="9" t="inlineStr">
        <is>
          <t>六　遭遇成本與投放</t>
        </is>
      </c>
      <c r="B59" s="29" t="n"/>
      <c r="C59" s="29" t="n"/>
      <c r="D59" s="29" t="n"/>
      <c r="E59" s="29" t="n"/>
      <c r="F59" s="29" t="n"/>
      <c r="G59" s="29" t="n"/>
      <c r="H59" s="29" t="n"/>
      <c r="I59" s="30" t="n"/>
    </row>
    <row r="60">
      <c r="A60" s="12" t="inlineStr">
        <is>
          <t>用途</t>
        </is>
      </c>
      <c r="B60" s="29" t="n"/>
      <c r="C60" s="30" t="n"/>
      <c r="D60" s="6" t="inlineStr">
        <is>
          <t>成本</t>
        </is>
      </c>
      <c r="E60" s="29" t="n"/>
      <c r="F60" s="29" t="n"/>
      <c r="G60" s="29" t="n"/>
      <c r="H60" s="29" t="n"/>
      <c r="I60" s="30" t="n"/>
    </row>
    <row r="61">
      <c r="A61" s="12" t="inlineStr">
        <is>
          <t>作為試煉主殺手</t>
        </is>
      </c>
      <c r="B61" s="29" t="n"/>
      <c r="C61" s="30" t="n"/>
      <c r="D61" s="6" t="inlineStr">
        <is>
          <t>佔遭遇預算（EB）的 60%（極少如此用——她本質是劇情威脅）</t>
        </is>
      </c>
      <c r="E61" s="29" t="n"/>
      <c r="F61" s="29" t="n"/>
      <c r="G61" s="29" t="n"/>
      <c r="H61" s="29" t="n"/>
      <c r="I61" s="30" t="n"/>
    </row>
    <row r="62">
      <c r="A62" s="12" t="inlineStr">
        <is>
          <t>作為劇本 S6–S8 的固定心理威脅（不追逐，只施壓）</t>
        </is>
      </c>
      <c r="B62" s="29" t="n"/>
      <c r="C62" s="30" t="n"/>
      <c r="D62" s="6" t="inlineStr">
        <is>
          <t>CR × 2（與陷阱者非追逐投放同價）</t>
        </is>
      </c>
      <c r="E62" s="29" t="n"/>
      <c r="F62" s="29" t="n"/>
      <c r="G62" s="29" t="n"/>
      <c r="H62" s="29" t="n"/>
      <c r="I62" s="30" t="n"/>
    </row>
    <row r="63" ht="42" customHeight="1">
      <c r="A63" s="12" t="inlineStr">
        <is>
          <t>獨行配置（N ＝ 1）調整</t>
        </is>
      </c>
      <c r="B63" s="29" t="n"/>
      <c r="C63" s="30" t="n"/>
      <c r="D63" s="18" t="inlineStr">
        <is>
          <t>N = 1 時：① 本名共鳴對單人玩家同樣生效，且喊名後額外獲得 1 點希望點（HOP）（回聲同伴不存在時的補償）；② 攻擊性動作代價檢定門檻 −2（更易觸發，但單人更需行動，形成張力）。</t>
        </is>
      </c>
      <c r="E63" s="29" t="n"/>
      <c r="F63" s="29" t="n"/>
      <c r="G63" s="29" t="n"/>
      <c r="H63" s="29" t="n"/>
      <c r="I63" s="30" t="n"/>
    </row>
    <row r="64" ht="20" customHeight="1">
      <c r="A64" s="9" t="inlineStr">
        <is>
          <t>七　試煉中追蹤軌</t>
        </is>
      </c>
      <c r="B64" s="29" t="n"/>
      <c r="C64" s="29" t="n"/>
      <c r="D64" s="29" t="n"/>
      <c r="E64" s="29" t="n"/>
      <c r="F64" s="29" t="n"/>
      <c r="G64" s="29" t="n"/>
      <c r="H64" s="29" t="n"/>
      <c r="I64" s="30" t="n"/>
    </row>
    <row r="65">
      <c r="A65" s="12" t="inlineStr">
        <is>
          <t>當前壓迫值（PRE）</t>
        </is>
      </c>
      <c r="B65" s="30" t="n"/>
      <c r="C65" s="8" t="n"/>
      <c r="D65" s="30" t="n"/>
      <c r="E65" s="12" t="inlineStr">
        <is>
          <t>升壓階段</t>
        </is>
      </c>
      <c r="F65" s="30" t="n"/>
      <c r="G65" s="8" t="inlineStr">
        <is>
          <t>☐ 一　☐ 二　☐ 三</t>
        </is>
      </c>
      <c r="H65" s="29" t="n"/>
      <c r="I65" s="30" t="n"/>
    </row>
    <row r="66">
      <c r="A66" s="12" t="inlineStr">
        <is>
          <t>已獻祭人數</t>
        </is>
      </c>
      <c r="B66" s="30" t="n"/>
      <c r="C66" s="8" t="n"/>
      <c r="D66" s="30" t="n"/>
      <c r="E66" s="12" t="inlineStr">
        <is>
          <t>獵殺線索（Hunt Lead）</t>
        </is>
      </c>
      <c r="F66" s="30" t="n"/>
      <c r="G66" s="8" t="n"/>
      <c r="H66" s="29" t="n"/>
      <c r="I66" s="30" t="n"/>
    </row>
    <row r="67" ht="44" customHeight="1">
      <c r="A67" s="12" t="inlineStr">
        <is>
          <t>備註</t>
        </is>
      </c>
      <c r="B67" s="30" t="n"/>
      <c r="C67" s="18" t="n"/>
      <c r="D67" s="29" t="n"/>
      <c r="E67" s="29" t="n"/>
      <c r="F67" s="29" t="n"/>
      <c r="G67" s="29" t="n"/>
      <c r="H67" s="29" t="n"/>
      <c r="I67" s="30" t="n"/>
    </row>
  </sheetData>
  <mergeCells count="136">
    <mergeCell ref="C36:I36"/>
    <mergeCell ref="A7:I7"/>
    <mergeCell ref="A15:B15"/>
    <mergeCell ref="A51:B51"/>
    <mergeCell ref="A21:C21"/>
    <mergeCell ref="C67:I67"/>
    <mergeCell ref="A26:C26"/>
    <mergeCell ref="C53:I53"/>
    <mergeCell ref="A33:I33"/>
    <mergeCell ref="E4:I4"/>
    <mergeCell ref="A23:C23"/>
    <mergeCell ref="A41:B41"/>
    <mergeCell ref="D13:E13"/>
    <mergeCell ref="G65:I65"/>
    <mergeCell ref="A17:I17"/>
    <mergeCell ref="F16:I16"/>
    <mergeCell ref="A56:B56"/>
    <mergeCell ref="E65:F65"/>
    <mergeCell ref="C45:I45"/>
    <mergeCell ref="A63:C63"/>
    <mergeCell ref="A42:B42"/>
    <mergeCell ref="F15:I15"/>
    <mergeCell ref="C47:I47"/>
    <mergeCell ref="D60:I60"/>
    <mergeCell ref="A53:B53"/>
    <mergeCell ref="A35:B35"/>
    <mergeCell ref="A59:I59"/>
    <mergeCell ref="C40:I40"/>
    <mergeCell ref="C56:F56"/>
    <mergeCell ref="H23:I23"/>
    <mergeCell ref="A2:C5"/>
    <mergeCell ref="A39:B39"/>
    <mergeCell ref="A48:B48"/>
    <mergeCell ref="F13:I13"/>
    <mergeCell ref="D10:E10"/>
    <mergeCell ref="A45:B45"/>
    <mergeCell ref="E5:F5"/>
    <mergeCell ref="A12:C12"/>
    <mergeCell ref="H25:I25"/>
    <mergeCell ref="D62:I62"/>
    <mergeCell ref="D11:E11"/>
    <mergeCell ref="A14:C14"/>
    <mergeCell ref="C34:I34"/>
    <mergeCell ref="A37:B37"/>
    <mergeCell ref="A46:B46"/>
    <mergeCell ref="G55:I55"/>
    <mergeCell ref="C42:I42"/>
    <mergeCell ref="A29:C29"/>
    <mergeCell ref="A13:C13"/>
    <mergeCell ref="A31:C31"/>
    <mergeCell ref="H19:I19"/>
    <mergeCell ref="G56:I56"/>
    <mergeCell ref="H28:I28"/>
    <mergeCell ref="D9:E9"/>
    <mergeCell ref="A8:B8"/>
    <mergeCell ref="A24:C24"/>
    <mergeCell ref="C44:I44"/>
    <mergeCell ref="A60:C60"/>
    <mergeCell ref="A49:I49"/>
    <mergeCell ref="A52:B52"/>
    <mergeCell ref="A1:I1"/>
    <mergeCell ref="C66:D66"/>
    <mergeCell ref="H5:I5"/>
    <mergeCell ref="C46:I46"/>
    <mergeCell ref="E66:F66"/>
    <mergeCell ref="C51:I51"/>
    <mergeCell ref="A34:B34"/>
    <mergeCell ref="A25:C25"/>
    <mergeCell ref="G66:I66"/>
    <mergeCell ref="F9:I9"/>
    <mergeCell ref="C48:I48"/>
    <mergeCell ref="D61:I61"/>
    <mergeCell ref="A36:B36"/>
    <mergeCell ref="G3:I3"/>
    <mergeCell ref="C38:I38"/>
    <mergeCell ref="H31:I31"/>
    <mergeCell ref="C57:F57"/>
    <mergeCell ref="G58:I58"/>
    <mergeCell ref="H21:I21"/>
    <mergeCell ref="A65:B65"/>
    <mergeCell ref="A32:I32"/>
    <mergeCell ref="C65:D65"/>
    <mergeCell ref="A22:C22"/>
    <mergeCell ref="A62:C62"/>
    <mergeCell ref="C58:F58"/>
    <mergeCell ref="F10:I10"/>
    <mergeCell ref="A20:C20"/>
    <mergeCell ref="A55:B55"/>
    <mergeCell ref="A28:C28"/>
    <mergeCell ref="A57:B57"/>
    <mergeCell ref="C35:I35"/>
    <mergeCell ref="E2:I2"/>
    <mergeCell ref="A30:C30"/>
    <mergeCell ref="H22:I22"/>
    <mergeCell ref="D12:E12"/>
    <mergeCell ref="D63:I63"/>
    <mergeCell ref="A38:B38"/>
    <mergeCell ref="A43:B43"/>
    <mergeCell ref="A61:C61"/>
    <mergeCell ref="D14:E14"/>
    <mergeCell ref="A6:I6"/>
    <mergeCell ref="A40:B40"/>
    <mergeCell ref="A67:B67"/>
    <mergeCell ref="H30:I30"/>
    <mergeCell ref="C52:I52"/>
    <mergeCell ref="H20:I20"/>
    <mergeCell ref="G57:I57"/>
    <mergeCell ref="H29:I29"/>
    <mergeCell ref="C39:I39"/>
    <mergeCell ref="A18:I18"/>
    <mergeCell ref="A27:C27"/>
    <mergeCell ref="G8:H8"/>
    <mergeCell ref="C37:I37"/>
    <mergeCell ref="F14:I14"/>
    <mergeCell ref="A16:B16"/>
    <mergeCell ref="F11:I11"/>
    <mergeCell ref="A66:B66"/>
    <mergeCell ref="A50:B50"/>
    <mergeCell ref="A10:C10"/>
    <mergeCell ref="A19:C19"/>
    <mergeCell ref="A47:B47"/>
    <mergeCell ref="F12:I12"/>
    <mergeCell ref="A9:C9"/>
    <mergeCell ref="C55:F55"/>
    <mergeCell ref="C41:I41"/>
    <mergeCell ref="H27:I27"/>
    <mergeCell ref="D8:E8"/>
    <mergeCell ref="C50:I50"/>
    <mergeCell ref="A64:I64"/>
    <mergeCell ref="A11:C11"/>
    <mergeCell ref="H24:I24"/>
    <mergeCell ref="C43:I43"/>
    <mergeCell ref="A44:B44"/>
    <mergeCell ref="A58:B58"/>
    <mergeCell ref="A54:I54"/>
    <mergeCell ref="H26:I26"/>
  </mergeCells>
  <printOptions horizontalCentered="1"/>
  <pageMargins left="0.75" right="0.75" top="1" bottom="1" header="0.5" footer="0.5"/>
  <pageSetup orientation="portrait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RC-01</t>
        </is>
      </c>
      <c r="F2" s="5" t="inlineStr">
        <is>
          <t>名稱</t>
        </is>
      </c>
      <c r="G2" s="6" t="inlineStr">
        <is>
          <t>鏽鴉群（Rust Crows）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R1 麥克米蘭莊園（通用，任何領域可投放）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群體／警報型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1</v>
      </c>
      <c r="D7" s="5" t="inlineStr">
        <is>
          <t>移動</t>
        </is>
      </c>
      <c r="E7" s="30" t="n"/>
      <c r="F7" s="6" t="inlineStr">
        <is>
          <t>6 格／輪（飛行，無視地形）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22" customHeight="1">
      <c r="A16" s="23" t="inlineStr">
        <is>
          <t>行為</t>
        </is>
      </c>
      <c r="B16" s="30" t="n"/>
      <c r="C16" s="18" t="inlineStr">
        <is>
          <t>停棲在固定格上。當倖存者以奔跑或衝刺進入其相鄰 4 格 → 驚飛。</t>
        </is>
      </c>
      <c r="D16" s="29" t="n"/>
      <c r="E16" s="29" t="n"/>
      <c r="F16" s="29" t="n"/>
      <c r="G16" s="29" t="n"/>
      <c r="H16" s="29" t="n"/>
      <c r="I16" s="30" t="n"/>
    </row>
    <row r="17" ht="48" customHeight="1">
      <c r="A17" s="23" t="inlineStr">
        <is>
          <t>效果</t>
        </is>
      </c>
      <c r="B17" s="30" t="n"/>
      <c r="C17" s="18" t="inlineStr">
        <is>
          <t>驚飛時：① 觸發噪音通知，殺手免費獲得 1 個獵殺線索（Hunt Lead）並得知該區域；② 該倖存者獲得 顯形（Revealed，ST-18） 1 輪。
不造成傷害。</t>
        </is>
      </c>
      <c r="D17" s="29" t="n"/>
      <c r="E17" s="29" t="n"/>
      <c r="F17" s="29" t="n"/>
      <c r="G17" s="29" t="n"/>
      <c r="H17" s="29" t="n"/>
      <c r="I17" s="30" t="n"/>
    </row>
    <row r="18" ht="33" customHeight="1">
      <c r="A18" s="23" t="inlineStr">
        <is>
          <t>驅散弱點</t>
        </is>
      </c>
      <c r="B18" s="30" t="n"/>
      <c r="C18" s="18" t="inlineStr">
        <is>
          <t>蹲行通過其相鄰格：完全不觸發，無需檢定。或投擲任意物件到 4 格外的空格：鴉群飛往該處並在 3 輪後重新停棲。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鴉群數量減半（向上取整）。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四　試煉中追蹤軌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>
      <c r="A21" s="23" t="inlineStr">
        <is>
          <t>當前生命值（HP）</t>
        </is>
      </c>
      <c r="B21" s="30" t="n"/>
      <c r="C21" s="8" t="n"/>
      <c r="D21" s="30" t="n"/>
      <c r="E21" s="23" t="inlineStr">
        <is>
          <t>核心暴露／階段</t>
        </is>
      </c>
      <c r="F21" s="30" t="n"/>
      <c r="G21" s="6" t="n"/>
      <c r="H21" s="29" t="n"/>
      <c r="I21" s="30" t="n"/>
    </row>
    <row r="22">
      <c r="A22" s="23" t="inlineStr">
        <is>
          <t>當前狀態效果</t>
        </is>
      </c>
      <c r="B22" s="30" t="n"/>
      <c r="C22" s="6" t="n"/>
      <c r="D22" s="29" t="n"/>
      <c r="E22" s="29" t="n"/>
      <c r="F22" s="29" t="n"/>
      <c r="G22" s="29" t="n"/>
      <c r="H22" s="29" t="n"/>
      <c r="I22" s="30" t="n"/>
    </row>
    <row r="23" ht="44" customHeight="1">
      <c r="A23" s="23" t="inlineStr">
        <is>
          <t>備註</t>
        </is>
      </c>
      <c r="B23" s="30" t="n"/>
      <c r="C23" s="18" t="n"/>
      <c r="D23" s="29" t="n"/>
      <c r="E23" s="29" t="n"/>
      <c r="F23" s="29" t="n"/>
      <c r="G23" s="29" t="n"/>
      <c r="H23" s="29" t="n"/>
      <c r="I23" s="30" t="n"/>
    </row>
  </sheetData>
  <mergeCells count="47">
    <mergeCell ref="E3:I3"/>
    <mergeCell ref="C23:I23"/>
    <mergeCell ref="E12:I12"/>
    <mergeCell ref="C17:I17"/>
    <mergeCell ref="A11:B11"/>
    <mergeCell ref="E8:I8"/>
    <mergeCell ref="C19:I19"/>
    <mergeCell ref="A16:B16"/>
    <mergeCell ref="E4:I4"/>
    <mergeCell ref="A7:B7"/>
    <mergeCell ref="C10:D10"/>
    <mergeCell ref="C18:I18"/>
    <mergeCell ref="E10:I10"/>
    <mergeCell ref="A14:I14"/>
    <mergeCell ref="E13:I13"/>
    <mergeCell ref="C9:D9"/>
    <mergeCell ref="A18:B18"/>
    <mergeCell ref="A20:I20"/>
    <mergeCell ref="E9:I9"/>
    <mergeCell ref="A12:B12"/>
    <mergeCell ref="C12:D12"/>
    <mergeCell ref="A21:B21"/>
    <mergeCell ref="D7:E7"/>
    <mergeCell ref="C21:D21"/>
    <mergeCell ref="F7:I7"/>
    <mergeCell ref="C11:D11"/>
    <mergeCell ref="E11:I11"/>
    <mergeCell ref="C16:I16"/>
    <mergeCell ref="A17:B17"/>
    <mergeCell ref="A23:B23"/>
    <mergeCell ref="A8:B8"/>
    <mergeCell ref="G21:I21"/>
    <mergeCell ref="C8:D8"/>
    <mergeCell ref="A22:B22"/>
    <mergeCell ref="A15:I15"/>
    <mergeCell ref="G2:I2"/>
    <mergeCell ref="C22:I22"/>
    <mergeCell ref="A19:B19"/>
    <mergeCell ref="A10:B10"/>
    <mergeCell ref="A1:I1"/>
    <mergeCell ref="A13:B13"/>
    <mergeCell ref="H5:I5"/>
    <mergeCell ref="C13:D13"/>
    <mergeCell ref="A6:I6"/>
    <mergeCell ref="A2:C5"/>
    <mergeCell ref="A9:B9"/>
    <mergeCell ref="E21:F21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RC-02</t>
        </is>
      </c>
      <c r="F2" s="5" t="inlineStr">
        <is>
          <t>名稱</t>
        </is>
      </c>
      <c r="G2" s="6" t="inlineStr">
        <is>
          <t>井裡的合唱（The Choir in the Well）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R1 麥克米蘭莊園·窒息坑（見 40_世界與敘事.md §8-10）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低語者（Whisperer）／情報交易型，非戰鬥造物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2</v>
      </c>
      <c r="D7" s="5" t="inlineStr">
        <is>
          <t>移動</t>
        </is>
      </c>
      <c r="E7" s="30" t="n"/>
      <c r="F7" s="6" t="inlineStr">
        <is>
          <t>0（固定於礦井口）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22" customHeight="1">
      <c r="A16" s="23" t="inlineStr">
        <is>
          <t>行為</t>
        </is>
      </c>
      <c r="B16" s="30" t="n"/>
      <c r="C16" s="18" t="inlineStr">
        <is>
          <t>靜止。倖存者可主動接近並「傾聽」。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33" customHeight="1">
      <c r="A18" s="23" t="inlineStr">
        <is>
          <t>驅散弱點</t>
        </is>
      </c>
      <c r="B18" s="30" t="n"/>
      <c r="C18" s="18" t="inlineStr">
        <is>
          <t>不需驅散。它不敵對。但每名倖存者每場試煉最多傾聽 2 次，第 3 次起自動大失敗（它開始要求回報）。</t>
        </is>
      </c>
      <c r="D18" s="29" t="n"/>
      <c r="E18" s="29" t="n"/>
      <c r="F18" s="29" t="n"/>
      <c r="G18" s="29" t="n"/>
      <c r="H18" s="29" t="n"/>
      <c r="I18" s="30" t="n"/>
    </row>
    <row r="19" ht="33" customHeight="1">
      <c r="A19" s="23" t="inlineStr">
        <is>
          <t>獨行配置（N ＝ 1）調整</t>
        </is>
      </c>
      <c r="B19" s="30" t="n"/>
      <c r="C19" s="18" t="inlineStr">
        <is>
          <t>傾聽次數上限提升為 4 次，且難度等級（DC）降為 12。這是單人玩家最重要的情報來源之一，補償無隊友報點。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150" customHeight="1">
      <c r="A21" s="23" t="inlineStr">
        <is>
          <t>效果（傾聽）</t>
        </is>
      </c>
      <c r="B21" s="30" t="n"/>
      <c r="C21" s="18" t="inlineStr">
        <is>
          <t>3 行動點（AP）＋ 意志（WIL）＋堅忍（END）檢定 vs 難度等級（DC）14：
大成功：獲得 2 個情報（見下）＋ 1 點希望點（HOP）。
成功：獲得 1 個情報。
失敗：無情報，獲得 窒息（Suffocating，ST-24） 2 輪。
大失敗：無情報，獲得 窒息 4 輪 ＋ 瘋狂（Madness，ST-15）1 層。
可交易情報（主持人（GM）擲 d6 或自選）：1 殺手當前所在區域／2 地窖（Hatch）位置／3 最近的圖騰位置／4 一名指定隊友的當前生命狀態（HS）與位置／5 下一台發電機的精確位置／6 殺手當前的壓迫值（PRE）數值。</t>
        </is>
      </c>
      <c r="D21" s="29" t="n"/>
      <c r="E21" s="29" t="n"/>
      <c r="F21" s="29" t="n"/>
      <c r="G21" s="29" t="n"/>
      <c r="H21" s="29" t="n"/>
      <c r="I21" s="30" t="n"/>
    </row>
    <row r="22" ht="20" customHeight="1">
      <c r="A22" s="9" t="inlineStr">
        <is>
          <t>四　試煉中追蹤軌</t>
        </is>
      </c>
      <c r="B22" s="29" t="n"/>
      <c r="C22" s="29" t="n"/>
      <c r="D22" s="29" t="n"/>
      <c r="E22" s="29" t="n"/>
      <c r="F22" s="29" t="n"/>
      <c r="G22" s="29" t="n"/>
      <c r="H22" s="29" t="n"/>
      <c r="I22" s="30" t="n"/>
    </row>
    <row r="23">
      <c r="A23" s="23" t="inlineStr">
        <is>
          <t>當前生命值（HP）</t>
        </is>
      </c>
      <c r="B23" s="30" t="n"/>
      <c r="C23" s="8" t="n"/>
      <c r="D23" s="30" t="n"/>
      <c r="E23" s="23" t="inlineStr">
        <is>
          <t>核心暴露／階段</t>
        </is>
      </c>
      <c r="F23" s="30" t="n"/>
      <c r="G23" s="6" t="n"/>
      <c r="H23" s="29" t="n"/>
      <c r="I23" s="30" t="n"/>
    </row>
    <row r="24">
      <c r="A24" s="23" t="inlineStr">
        <is>
          <t>當前狀態效果</t>
        </is>
      </c>
      <c r="B24" s="30" t="n"/>
      <c r="C24" s="6" t="n"/>
      <c r="D24" s="29" t="n"/>
      <c r="E24" s="29" t="n"/>
      <c r="F24" s="29" t="n"/>
      <c r="G24" s="29" t="n"/>
      <c r="H24" s="29" t="n"/>
      <c r="I24" s="30" t="n"/>
    </row>
    <row r="25" ht="44" customHeight="1">
      <c r="A25" s="23" t="inlineStr">
        <is>
          <t>備註</t>
        </is>
      </c>
      <c r="B25" s="30" t="n"/>
      <c r="C25" s="18" t="n"/>
      <c r="D25" s="29" t="n"/>
      <c r="E25" s="29" t="n"/>
      <c r="F25" s="29" t="n"/>
      <c r="G25" s="29" t="n"/>
      <c r="H25" s="29" t="n"/>
      <c r="I25" s="30" t="n"/>
    </row>
  </sheetData>
  <mergeCells count="50">
    <mergeCell ref="E3:I3"/>
    <mergeCell ref="A24:B24"/>
    <mergeCell ref="E12:I12"/>
    <mergeCell ref="C17:I17"/>
    <mergeCell ref="A11:B11"/>
    <mergeCell ref="E23:F23"/>
    <mergeCell ref="E8:I8"/>
    <mergeCell ref="C19:I19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C24:I24"/>
    <mergeCell ref="C9:D9"/>
    <mergeCell ref="A18:B18"/>
    <mergeCell ref="A22:I22"/>
    <mergeCell ref="A20:I20"/>
    <mergeCell ref="E9:I9"/>
    <mergeCell ref="A12:B12"/>
    <mergeCell ref="C12:D12"/>
    <mergeCell ref="A21:B21"/>
    <mergeCell ref="D7:E7"/>
    <mergeCell ref="F7:I7"/>
    <mergeCell ref="C11:D11"/>
    <mergeCell ref="E11:I11"/>
    <mergeCell ref="C16:I16"/>
    <mergeCell ref="A17:B17"/>
    <mergeCell ref="A23:B23"/>
    <mergeCell ref="A8:B8"/>
    <mergeCell ref="C23:D23"/>
    <mergeCell ref="C25:I25"/>
    <mergeCell ref="C8:D8"/>
    <mergeCell ref="A15:I15"/>
    <mergeCell ref="G2:I2"/>
    <mergeCell ref="A19:B19"/>
    <mergeCell ref="A10:B10"/>
    <mergeCell ref="C21:I21"/>
    <mergeCell ref="A1:I1"/>
    <mergeCell ref="G23:I23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RC-03</t>
        </is>
      </c>
      <c r="F2" s="5" t="inlineStr">
        <is>
          <t>名稱</t>
        </is>
      </c>
      <c r="G2" s="6" t="inlineStr">
        <is>
          <t>鐵皮傀儡（Scrap Effigy）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R2 廢車場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遊蕩／阻擋型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3</v>
      </c>
      <c r="D7" s="5" t="inlineStr">
        <is>
          <t>移動</t>
        </is>
      </c>
      <c r="E7" s="30" t="n"/>
      <c r="F7" s="6" t="inlineStr">
        <is>
          <t>4 格／輪（緩慢，不可翻窗、不可越板）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33" customHeight="1">
      <c r="A16" s="23" t="inlineStr">
        <is>
          <t>行為</t>
        </is>
      </c>
      <c r="B16" s="30" t="n"/>
      <c r="C16" s="18" t="inlineStr">
        <is>
          <t>沿固定巡邏路線（由主持人（GM）在遭遇圖上預先畫出，公開）遊蕩。偵測範圍 6 格內的站姿倖存者，轉向追擊 3 輪後返回路線。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48" customHeight="1">
      <c r="A18" s="23" t="inlineStr">
        <is>
          <t>驅散弱點</t>
        </is>
      </c>
      <c r="B18" s="30" t="n"/>
      <c r="C18" s="18" t="inlineStr">
        <is>
          <t>它由堆疊的車體碎片構成。推下板子命中（2d4+4）或使其行進到堆高機下方格（劇本標記格）時，可 1 行動點（AP）＋ 技巧（TEC）檢定 vs 難度等級（DC）12 使其被壓垮 → 立即摧毀。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n"/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63" customHeight="1">
      <c r="A21" s="23" t="inlineStr">
        <is>
          <t>效果（攻擊）</t>
        </is>
      </c>
      <c r="B21" s="30" t="n"/>
      <c r="C21" s="18" t="inlineStr">
        <is>
          <t>接觸（CON）帶攻擊：2d10 + 3 vs 倖存者 敏捷（AGI）閃避難度等級（DC）。
命中 → 不扣生命狀態（HS），改為：強制位移 2 格（撞開）＋ 顫慄（Trembling，ST-26） 2 輪 ＋ 觸發噪音通知。</t>
        </is>
      </c>
      <c r="D21" s="29" t="n"/>
      <c r="E21" s="29" t="n"/>
      <c r="F21" s="29" t="n"/>
      <c r="G21" s="29" t="n"/>
      <c r="H21" s="29" t="n"/>
      <c r="I21" s="30" t="n"/>
    </row>
    <row r="22" ht="22" customHeight="1">
      <c r="A22" s="23" t="inlineStr">
        <is>
          <t>獨市配置</t>
        </is>
      </c>
      <c r="B22" s="30" t="n"/>
      <c r="C22" s="18" t="inlineStr">
        <is>
          <t>巡邏路線改為 繞行單一區域（不跨區），偵測範圍降為 4 格。</t>
        </is>
      </c>
      <c r="D22" s="29" t="n"/>
      <c r="E22" s="29" t="n"/>
      <c r="F22" s="29" t="n"/>
      <c r="G22" s="29" t="n"/>
      <c r="H22" s="29" t="n"/>
      <c r="I22" s="30" t="n"/>
    </row>
    <row r="23" ht="20" customHeight="1">
      <c r="A23" s="9" t="inlineStr">
        <is>
          <t>四　試煉中追蹤軌</t>
        </is>
      </c>
      <c r="B23" s="29" t="n"/>
      <c r="C23" s="29" t="n"/>
      <c r="D23" s="29" t="n"/>
      <c r="E23" s="29" t="n"/>
      <c r="F23" s="29" t="n"/>
      <c r="G23" s="29" t="n"/>
      <c r="H23" s="29" t="n"/>
      <c r="I23" s="30" t="n"/>
    </row>
    <row r="24">
      <c r="A24" s="23" t="inlineStr">
        <is>
          <t>當前生命值（HP）</t>
        </is>
      </c>
      <c r="B24" s="30" t="n"/>
      <c r="C24" s="8" t="n"/>
      <c r="D24" s="30" t="n"/>
      <c r="E24" s="23" t="inlineStr">
        <is>
          <t>核心暴露／階段</t>
        </is>
      </c>
      <c r="F24" s="30" t="n"/>
      <c r="G24" s="6" t="n"/>
      <c r="H24" s="29" t="n"/>
      <c r="I24" s="30" t="n"/>
    </row>
    <row r="25">
      <c r="A25" s="23" t="inlineStr">
        <is>
          <t>當前狀態效果</t>
        </is>
      </c>
      <c r="B25" s="30" t="n"/>
      <c r="C25" s="6" t="n"/>
      <c r="D25" s="29" t="n"/>
      <c r="E25" s="29" t="n"/>
      <c r="F25" s="29" t="n"/>
      <c r="G25" s="29" t="n"/>
      <c r="H25" s="29" t="n"/>
      <c r="I25" s="30" t="n"/>
    </row>
    <row r="26" ht="44" customHeight="1">
      <c r="A26" s="23" t="inlineStr">
        <is>
          <t>備註</t>
        </is>
      </c>
      <c r="B26" s="30" t="n"/>
      <c r="C26" s="18" t="n"/>
      <c r="D26" s="29" t="n"/>
      <c r="E26" s="29" t="n"/>
      <c r="F26" s="29" t="n"/>
      <c r="G26" s="29" t="n"/>
      <c r="H26" s="29" t="n"/>
      <c r="I26" s="30" t="n"/>
    </row>
  </sheetData>
  <mergeCells count="52">
    <mergeCell ref="E3:I3"/>
    <mergeCell ref="A24:B24"/>
    <mergeCell ref="E12:I12"/>
    <mergeCell ref="C24:D24"/>
    <mergeCell ref="C17:I17"/>
    <mergeCell ref="E24:F24"/>
    <mergeCell ref="A11:B11"/>
    <mergeCell ref="E8:I8"/>
    <mergeCell ref="C19:I19"/>
    <mergeCell ref="G24:I24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A23:I23"/>
    <mergeCell ref="C9:D9"/>
    <mergeCell ref="A18:B18"/>
    <mergeCell ref="A20:I20"/>
    <mergeCell ref="E9:I9"/>
    <mergeCell ref="A12:B12"/>
    <mergeCell ref="C12:D12"/>
    <mergeCell ref="A21:B21"/>
    <mergeCell ref="A26:B26"/>
    <mergeCell ref="D7:E7"/>
    <mergeCell ref="F7:I7"/>
    <mergeCell ref="C26:I26"/>
    <mergeCell ref="C11:D11"/>
    <mergeCell ref="E11:I11"/>
    <mergeCell ref="C16:I16"/>
    <mergeCell ref="A17:B17"/>
    <mergeCell ref="A8:B8"/>
    <mergeCell ref="C25:I25"/>
    <mergeCell ref="C8:D8"/>
    <mergeCell ref="A22:B22"/>
    <mergeCell ref="A15:I15"/>
    <mergeCell ref="G2:I2"/>
    <mergeCell ref="C22:I22"/>
    <mergeCell ref="A19:B19"/>
    <mergeCell ref="A10:B10"/>
    <mergeCell ref="C21:I21"/>
    <mergeCell ref="A1:I1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RC-04</t>
        </is>
      </c>
      <c r="F2" s="5" t="inlineStr">
        <is>
          <t>名稱</t>
        </is>
      </c>
      <c r="G2" s="6" t="inlineStr">
        <is>
          <t>稻草殘影（Scarecrow Haunt）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R3 寒風農場·玉米田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殘影（Haunt）／偽裝型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2</v>
      </c>
      <c r="D7" s="5" t="inlineStr">
        <is>
          <t>移動</t>
        </is>
      </c>
      <c r="E7" s="30" t="n"/>
      <c r="F7" s="6" t="inlineStr">
        <is>
          <t>0（靜止）→ 揭露後 6 格／輪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63" customHeight="1">
      <c r="A16" s="23" t="inlineStr">
        <is>
          <t>行為</t>
        </is>
      </c>
      <c r="B16" s="30" t="n"/>
      <c r="C16" s="18" t="inlineStr">
        <is>
          <t>偽裝成玉米田中的稻草人。在地圖上與真稻草人完全相同（主持人（GM）在遭遇圖上放置 2 + N 個稻草人標記，其中僅 1–2 個是殘影，背面標記真偽）。
倖存者進入相鄰格時揭露並追擊 4 輪。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48" customHeight="1">
      <c r="A18" s="23" t="inlineStr">
        <is>
          <t>驅散弱點</t>
        </is>
      </c>
      <c r="B18" s="30" t="n"/>
      <c r="C18" s="18" t="inlineStr">
        <is>
          <t>玉米田中散落除草鐮刀（劇本道具）。持鐮刀攻擊造成 3d4，兩次命中即摧毀。或：以手電筒（FLT）連續照射 2 輪——殘影懼光，會退回靜止狀態並永久失去偽裝（之後可被繞開）。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殘影數固定為 1 個；辨識檢定難度等級（DC）降為 11。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48" customHeight="1">
      <c r="A21" s="23" t="inlineStr">
        <is>
          <t>效果（攻擊）</t>
        </is>
      </c>
      <c r="B21" s="30" t="n"/>
      <c r="C21" s="18" t="inlineStr">
        <is>
          <t>接觸（CON）帶攻擊：2d10 + 3 vs 倖存者 敏捷（AGI）閃避難度等級（DC）。
命中 → 損失 1 階生命狀態（HS）（這是少數具實傷的造物）。</t>
        </is>
      </c>
      <c r="D21" s="29" t="n"/>
      <c r="E21" s="29" t="n"/>
      <c r="F21" s="29" t="n"/>
      <c r="G21" s="29" t="n"/>
      <c r="H21" s="29" t="n"/>
      <c r="I21" s="30" t="n"/>
    </row>
    <row r="22" ht="33" customHeight="1">
      <c r="A22" s="23" t="inlineStr">
        <is>
          <t>辨識</t>
        </is>
      </c>
      <c r="B22" s="30" t="n"/>
      <c r="C22" s="18" t="inlineStr">
        <is>
          <t>5 格外可花 1 行動點（AP）＋ 專注（FOC）＋洞察（INS）檢定 vs 難度等級（DC）13 辨識真偽。大成功可同時辨識該區域全部稻草人。</t>
        </is>
      </c>
      <c r="D22" s="29" t="n"/>
      <c r="E22" s="29" t="n"/>
      <c r="F22" s="29" t="n"/>
      <c r="G22" s="29" t="n"/>
      <c r="H22" s="29" t="n"/>
      <c r="I22" s="30" t="n"/>
    </row>
    <row r="23" ht="20" customHeight="1">
      <c r="A23" s="9" t="inlineStr">
        <is>
          <t>四　試煉中追蹤軌</t>
        </is>
      </c>
      <c r="B23" s="29" t="n"/>
      <c r="C23" s="29" t="n"/>
      <c r="D23" s="29" t="n"/>
      <c r="E23" s="29" t="n"/>
      <c r="F23" s="29" t="n"/>
      <c r="G23" s="29" t="n"/>
      <c r="H23" s="29" t="n"/>
      <c r="I23" s="30" t="n"/>
    </row>
    <row r="24">
      <c r="A24" s="23" t="inlineStr">
        <is>
          <t>當前生命值（HP）</t>
        </is>
      </c>
      <c r="B24" s="30" t="n"/>
      <c r="C24" s="8" t="n"/>
      <c r="D24" s="30" t="n"/>
      <c r="E24" s="23" t="inlineStr">
        <is>
          <t>核心暴露／階段</t>
        </is>
      </c>
      <c r="F24" s="30" t="n"/>
      <c r="G24" s="6" t="n"/>
      <c r="H24" s="29" t="n"/>
      <c r="I24" s="30" t="n"/>
    </row>
    <row r="25">
      <c r="A25" s="23" t="inlineStr">
        <is>
          <t>當前狀態效果</t>
        </is>
      </c>
      <c r="B25" s="30" t="n"/>
      <c r="C25" s="6" t="n"/>
      <c r="D25" s="29" t="n"/>
      <c r="E25" s="29" t="n"/>
      <c r="F25" s="29" t="n"/>
      <c r="G25" s="29" t="n"/>
      <c r="H25" s="29" t="n"/>
      <c r="I25" s="30" t="n"/>
    </row>
    <row r="26" ht="44" customHeight="1">
      <c r="A26" s="23" t="inlineStr">
        <is>
          <t>備註</t>
        </is>
      </c>
      <c r="B26" s="30" t="n"/>
      <c r="C26" s="18" t="n"/>
      <c r="D26" s="29" t="n"/>
      <c r="E26" s="29" t="n"/>
      <c r="F26" s="29" t="n"/>
      <c r="G26" s="29" t="n"/>
      <c r="H26" s="29" t="n"/>
      <c r="I26" s="30" t="n"/>
    </row>
  </sheetData>
  <mergeCells count="52">
    <mergeCell ref="E3:I3"/>
    <mergeCell ref="A24:B24"/>
    <mergeCell ref="E12:I12"/>
    <mergeCell ref="C24:D24"/>
    <mergeCell ref="C17:I17"/>
    <mergeCell ref="E24:F24"/>
    <mergeCell ref="A11:B11"/>
    <mergeCell ref="E8:I8"/>
    <mergeCell ref="C19:I19"/>
    <mergeCell ref="G24:I24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A23:I23"/>
    <mergeCell ref="C9:D9"/>
    <mergeCell ref="A18:B18"/>
    <mergeCell ref="A20:I20"/>
    <mergeCell ref="E9:I9"/>
    <mergeCell ref="A12:B12"/>
    <mergeCell ref="C12:D12"/>
    <mergeCell ref="A21:B21"/>
    <mergeCell ref="A26:B26"/>
    <mergeCell ref="D7:E7"/>
    <mergeCell ref="F7:I7"/>
    <mergeCell ref="C26:I26"/>
    <mergeCell ref="C11:D11"/>
    <mergeCell ref="E11:I11"/>
    <mergeCell ref="C16:I16"/>
    <mergeCell ref="A17:B17"/>
    <mergeCell ref="A8:B8"/>
    <mergeCell ref="C25:I25"/>
    <mergeCell ref="C8:D8"/>
    <mergeCell ref="A22:B22"/>
    <mergeCell ref="A15:I15"/>
    <mergeCell ref="G2:I2"/>
    <mergeCell ref="C22:I22"/>
    <mergeCell ref="A19:B19"/>
    <mergeCell ref="A10:B10"/>
    <mergeCell ref="C21:I21"/>
    <mergeCell ref="A1:I1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RC-05</t>
        </is>
      </c>
      <c r="F2" s="5" t="inlineStr">
        <is>
          <t>名稱</t>
        </is>
      </c>
      <c r="G2" s="6" t="inlineStr">
        <is>
          <t>病房殘影（Ward Haunt）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R4 克羅特斯精神病院（該領域殘影密度全系統最高）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殘影（Haunt）／敘事解謎型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4</v>
      </c>
      <c r="D7" s="5" t="inlineStr">
        <is>
          <t>移動</t>
        </is>
      </c>
      <c r="E7" s="30" t="n"/>
      <c r="F7" s="6" t="inlineStr">
        <is>
          <t>5 格／輪（穿牆，但不可離開自己的病房與相鄰走廊共 5 個節點）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33" customHeight="1">
      <c r="A16" s="23" t="inlineStr">
        <is>
          <t>行為</t>
        </is>
      </c>
      <c r="B16" s="30" t="n"/>
      <c r="C16" s="18" t="inlineStr">
        <is>
          <t>重複著死前最後一段還有情緒的行為（永遠在敲一扇不存在的門、永遠在數數）。不主動攻擊，除非倖存者打斷其循環（進入其所在格、或在其相鄰格進行任何持續動作）。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22" customHeight="1">
      <c r="A18" s="23" t="inlineStr">
        <is>
          <t>驅散弱點</t>
        </is>
      </c>
      <c r="B18" s="30" t="n"/>
      <c r="C18" s="18" t="n"/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辨識檢定難度等級（DC）降為 12；歸檔獎勵提升為 2 點希望點（HOP）。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78" customHeight="1">
      <c r="A21" s="23" t="inlineStr">
        <is>
          <t>效果（被打斷時）</t>
        </is>
      </c>
      <c r="B21" s="30" t="n"/>
      <c r="C21" s="18" t="inlineStr">
        <is>
          <t>對打斷者：恐懼施壓 2d10 + 4 vs 倖存者 意志（WIL）檢定。
失敗 → 瘋狂（Madness，ST-15）+1 層 ＋ 失明（Blindness，ST-01） 2 輪。
大失敗 → 再加 顯形（Revealed） 1 輪與噪音通知。</t>
        </is>
      </c>
      <c r="D21" s="29" t="n"/>
      <c r="E21" s="29" t="n"/>
      <c r="F21" s="29" t="n"/>
      <c r="G21" s="29" t="n"/>
      <c r="H21" s="29" t="n"/>
      <c r="I21" s="30" t="n"/>
    </row>
    <row r="22" ht="93" customHeight="1">
      <c r="A22" s="23" t="inlineStr">
        <is>
          <t>驅散弱點（敘事解法）</t>
        </is>
      </c>
      <c r="B22" s="30" t="n"/>
      <c r="C22" s="18" t="inlineStr">
        <is>
          <t>殘影歸檔（見 40_世界與敘事.md §1-5 S4 核心）：辨識出它未竟之事並完成之。
機制化步驟：① 1 行動點（AP）＋ 專注（FOC）＋洞察（INS）檢定 vs 難度等級（DC）14 → 得知它在重複什麼；② 執行對應的具體行動（開那扇門／數到它數不下去的那個數字／把病歷放回架上），花 2 行動點（AP），無需檢定；③ 殘影歸檔：立即消散，且該區域所有倖存者獲得 1 點希望點（HOP），並揭示一段劇情線索。</t>
        </is>
      </c>
      <c r="D22" s="29" t="n"/>
      <c r="E22" s="29" t="n"/>
      <c r="F22" s="29" t="n"/>
      <c r="G22" s="29" t="n"/>
      <c r="H22" s="29" t="n"/>
      <c r="I22" s="30" t="n"/>
    </row>
    <row r="23" ht="20" customHeight="1">
      <c r="A23" s="9" t="inlineStr">
        <is>
          <t>四　試煉中追蹤軌</t>
        </is>
      </c>
      <c r="B23" s="29" t="n"/>
      <c r="C23" s="29" t="n"/>
      <c r="D23" s="29" t="n"/>
      <c r="E23" s="29" t="n"/>
      <c r="F23" s="29" t="n"/>
      <c r="G23" s="29" t="n"/>
      <c r="H23" s="29" t="n"/>
      <c r="I23" s="30" t="n"/>
    </row>
    <row r="24">
      <c r="A24" s="23" t="inlineStr">
        <is>
          <t>當前生命值（HP）</t>
        </is>
      </c>
      <c r="B24" s="30" t="n"/>
      <c r="C24" s="8" t="n"/>
      <c r="D24" s="30" t="n"/>
      <c r="E24" s="23" t="inlineStr">
        <is>
          <t>核心暴露／階段</t>
        </is>
      </c>
      <c r="F24" s="30" t="n"/>
      <c r="G24" s="6" t="n"/>
      <c r="H24" s="29" t="n"/>
      <c r="I24" s="30" t="n"/>
    </row>
    <row r="25">
      <c r="A25" s="23" t="inlineStr">
        <is>
          <t>當前狀態效果</t>
        </is>
      </c>
      <c r="B25" s="30" t="n"/>
      <c r="C25" s="6" t="n"/>
      <c r="D25" s="29" t="n"/>
      <c r="E25" s="29" t="n"/>
      <c r="F25" s="29" t="n"/>
      <c r="G25" s="29" t="n"/>
      <c r="H25" s="29" t="n"/>
      <c r="I25" s="30" t="n"/>
    </row>
    <row r="26" ht="44" customHeight="1">
      <c r="A26" s="23" t="inlineStr">
        <is>
          <t>備註</t>
        </is>
      </c>
      <c r="B26" s="30" t="n"/>
      <c r="C26" s="18" t="n"/>
      <c r="D26" s="29" t="n"/>
      <c r="E26" s="29" t="n"/>
      <c r="F26" s="29" t="n"/>
      <c r="G26" s="29" t="n"/>
      <c r="H26" s="29" t="n"/>
      <c r="I26" s="30" t="n"/>
    </row>
  </sheetData>
  <mergeCells count="52">
    <mergeCell ref="E3:I3"/>
    <mergeCell ref="A24:B24"/>
    <mergeCell ref="E12:I12"/>
    <mergeCell ref="C24:D24"/>
    <mergeCell ref="C17:I17"/>
    <mergeCell ref="E24:F24"/>
    <mergeCell ref="A11:B11"/>
    <mergeCell ref="E8:I8"/>
    <mergeCell ref="C19:I19"/>
    <mergeCell ref="G24:I24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A23:I23"/>
    <mergeCell ref="C9:D9"/>
    <mergeCell ref="A18:B18"/>
    <mergeCell ref="A20:I20"/>
    <mergeCell ref="E9:I9"/>
    <mergeCell ref="A12:B12"/>
    <mergeCell ref="C12:D12"/>
    <mergeCell ref="A21:B21"/>
    <mergeCell ref="A26:B26"/>
    <mergeCell ref="D7:E7"/>
    <mergeCell ref="F7:I7"/>
    <mergeCell ref="C26:I26"/>
    <mergeCell ref="C11:D11"/>
    <mergeCell ref="E11:I11"/>
    <mergeCell ref="C16:I16"/>
    <mergeCell ref="A17:B17"/>
    <mergeCell ref="A8:B8"/>
    <mergeCell ref="C25:I25"/>
    <mergeCell ref="C8:D8"/>
    <mergeCell ref="A22:B22"/>
    <mergeCell ref="A15:I15"/>
    <mergeCell ref="G2:I2"/>
    <mergeCell ref="C22:I22"/>
    <mergeCell ref="A19:B19"/>
    <mergeCell ref="A10:B10"/>
    <mergeCell ref="C21:I21"/>
    <mergeCell ref="A1:I1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RC-06</t>
        </is>
      </c>
      <c r="F2" s="5" t="inlineStr">
        <is>
          <t>名稱</t>
        </is>
      </c>
      <c r="G2" s="6" t="inlineStr">
        <is>
          <t>泥手（The Mire Hands）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R5 死水沼澤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環境／區域拒止型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3</v>
      </c>
      <c r="D7" s="5" t="inlineStr">
        <is>
          <t>移動</t>
        </is>
      </c>
      <c r="E7" s="30" t="n"/>
      <c r="F7" s="6" t="inlineStr">
        <is>
          <t>0（覆蓋劇本指定的「深水區」格群，通常 8–16 格）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22" customHeight="1">
      <c r="A16" s="23" t="inlineStr">
        <is>
          <t>行為</t>
        </is>
      </c>
      <c r="B16" s="30" t="n"/>
      <c r="C16" s="18" t="inlineStr">
        <is>
          <t>深水區內的每一格都可能伸出手。倖存者於深水格結束移動時觸發。</t>
        </is>
      </c>
      <c r="D16" s="29" t="n"/>
      <c r="E16" s="29" t="n"/>
      <c r="F16" s="29" t="n"/>
      <c r="G16" s="29" t="n"/>
      <c r="H16" s="29" t="n"/>
      <c r="I16" s="30" t="n"/>
    </row>
    <row r="17" ht="138" customHeight="1">
      <c r="A17" s="23" t="inlineStr">
        <is>
          <t>效果</t>
        </is>
      </c>
      <c r="B17" s="30" t="n"/>
      <c r="C17" s="18" t="inlineStr">
        <is>
          <t>敏捷（AGI）＋掙脫（ESQ）檢定 vs 難度等級（DC）13。
成功：無事。
失敗：獲得 受困（Snared，ST-29），且下一輪移動配額 −2 格。
大失敗：受困 ＋ 窒息（Suffocating，ST-24） 2 輪 ＋ 噪音通知。
受困脫離：2 行動點（AP）＋ 敏捷（AGI）檢定 vs 難度等級（DC）13，或隊友 2 行動點（AP）自動拉出。</t>
        </is>
      </c>
      <c r="D17" s="29" t="n"/>
      <c r="E17" s="29" t="n"/>
      <c r="F17" s="29" t="n"/>
      <c r="G17" s="29" t="n"/>
      <c r="H17" s="29" t="n"/>
      <c r="I17" s="30" t="n"/>
    </row>
    <row r="18" ht="63" customHeight="1">
      <c r="A18" s="23" t="inlineStr">
        <is>
          <t>驅散弱點</t>
        </is>
      </c>
      <c r="B18" s="30" t="n"/>
      <c r="C18" s="18" t="inlineStr">
        <is>
          <t>木棧道（Boardwalk）：劇本會標記數段殘破木棧。在木棧格上移動完全不觸發。倖存者可花 3 行動點（AP）＋ 技巧（TEC）檢定 vs 難度等級（DC）12 用附近的板材修補一段斷裂木棧（延伸 3 格），永久生效並成為全隊資產。這是本造物的正解：不是打，是造路。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深水區格數減半；修補木棧的行動點（AP）降為 2 點。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四　試煉中追蹤軌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>
      <c r="A21" s="23" t="inlineStr">
        <is>
          <t>當前生命值（HP）</t>
        </is>
      </c>
      <c r="B21" s="30" t="n"/>
      <c r="C21" s="8" t="n"/>
      <c r="D21" s="30" t="n"/>
      <c r="E21" s="23" t="inlineStr">
        <is>
          <t>核心暴露／階段</t>
        </is>
      </c>
      <c r="F21" s="30" t="n"/>
      <c r="G21" s="6" t="n"/>
      <c r="H21" s="29" t="n"/>
      <c r="I21" s="30" t="n"/>
    </row>
    <row r="22">
      <c r="A22" s="23" t="inlineStr">
        <is>
          <t>當前狀態效果</t>
        </is>
      </c>
      <c r="B22" s="30" t="n"/>
      <c r="C22" s="6" t="n"/>
      <c r="D22" s="29" t="n"/>
      <c r="E22" s="29" t="n"/>
      <c r="F22" s="29" t="n"/>
      <c r="G22" s="29" t="n"/>
      <c r="H22" s="29" t="n"/>
      <c r="I22" s="30" t="n"/>
    </row>
    <row r="23" ht="44" customHeight="1">
      <c r="A23" s="23" t="inlineStr">
        <is>
          <t>備註</t>
        </is>
      </c>
      <c r="B23" s="30" t="n"/>
      <c r="C23" s="18" t="n"/>
      <c r="D23" s="29" t="n"/>
      <c r="E23" s="29" t="n"/>
      <c r="F23" s="29" t="n"/>
      <c r="G23" s="29" t="n"/>
      <c r="H23" s="29" t="n"/>
      <c r="I23" s="30" t="n"/>
    </row>
  </sheetData>
  <mergeCells count="47">
    <mergeCell ref="E3:I3"/>
    <mergeCell ref="C23:I23"/>
    <mergeCell ref="E12:I12"/>
    <mergeCell ref="C17:I17"/>
    <mergeCell ref="A11:B11"/>
    <mergeCell ref="E8:I8"/>
    <mergeCell ref="C19:I19"/>
    <mergeCell ref="A16:B16"/>
    <mergeCell ref="E4:I4"/>
    <mergeCell ref="A7:B7"/>
    <mergeCell ref="C10:D10"/>
    <mergeCell ref="C18:I18"/>
    <mergeCell ref="E10:I10"/>
    <mergeCell ref="A14:I14"/>
    <mergeCell ref="E13:I13"/>
    <mergeCell ref="C9:D9"/>
    <mergeCell ref="A18:B18"/>
    <mergeCell ref="A20:I20"/>
    <mergeCell ref="E9:I9"/>
    <mergeCell ref="A12:B12"/>
    <mergeCell ref="C12:D12"/>
    <mergeCell ref="A21:B21"/>
    <mergeCell ref="D7:E7"/>
    <mergeCell ref="C21:D21"/>
    <mergeCell ref="F7:I7"/>
    <mergeCell ref="C11:D11"/>
    <mergeCell ref="E11:I11"/>
    <mergeCell ref="C16:I16"/>
    <mergeCell ref="A17:B17"/>
    <mergeCell ref="A23:B23"/>
    <mergeCell ref="A8:B8"/>
    <mergeCell ref="G21:I21"/>
    <mergeCell ref="C8:D8"/>
    <mergeCell ref="A22:B22"/>
    <mergeCell ref="A15:I15"/>
    <mergeCell ref="G2:I2"/>
    <mergeCell ref="C22:I22"/>
    <mergeCell ref="A19:B19"/>
    <mergeCell ref="A10:B10"/>
    <mergeCell ref="A1:I1"/>
    <mergeCell ref="A13:B13"/>
    <mergeCell ref="H5:I5"/>
    <mergeCell ref="C13:D13"/>
    <mergeCell ref="A6:I6"/>
    <mergeCell ref="A2:C5"/>
    <mergeCell ref="A9:B9"/>
    <mergeCell ref="E21:F21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RC-07</t>
        </is>
      </c>
      <c r="F2" s="5" t="inlineStr">
        <is>
          <t>名稱</t>
        </is>
      </c>
      <c r="G2" s="6" t="inlineStr">
        <is>
          <t>觀察窗之眼（The Observation Eye）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R6 雷利紀念研究所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監視／情報剝奪型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5</v>
      </c>
      <c r="D7" s="5" t="inlineStr">
        <is>
          <t>移動</t>
        </is>
      </c>
      <c r="E7" s="30" t="n"/>
      <c r="F7" s="6" t="inlineStr">
        <is>
          <t>0（嵌在觀察窗玻璃內，每個研究所節點 1–2 個）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22" customHeight="1">
      <c r="A16" s="23" t="inlineStr">
        <is>
          <t>行為</t>
        </is>
      </c>
      <c r="B16" s="30" t="n"/>
      <c r="C16" s="18" t="inlineStr">
        <is>
          <t>持續掃描視線內（同一走廊或房間，無距離上限）的倖存者。不攻擊。</t>
        </is>
      </c>
      <c r="D16" s="29" t="n"/>
      <c r="E16" s="29" t="n"/>
      <c r="F16" s="29" t="n"/>
      <c r="G16" s="29" t="n"/>
      <c r="H16" s="29" t="n"/>
      <c r="I16" s="30" t="n"/>
    </row>
    <row r="17" ht="123" customHeight="1">
      <c r="A17" s="23" t="inlineStr">
        <is>
          <t>效果</t>
        </is>
      </c>
      <c r="B17" s="30" t="n"/>
      <c r="C17" s="18" t="inlineStr">
        <is>
          <t>每輪結束時，對其視線內的每名倖存者：
① 該倖存者必須向主持人（GM）公開其行動暗記卡的區域欄（見 30_追逐戰鬥.md §1-3）；
② 殺手獲得 1 個獵殺線索（Hunt Lead）（每輪每眼上限 1 個）；
③ 該倖存者的技巧檢定 −1（被注視的壓力）。
視線判定：直線且無實體遮擋。蹲行不能規避（它在牆上）。</t>
        </is>
      </c>
      <c r="D17" s="29" t="n"/>
      <c r="E17" s="29" t="n"/>
      <c r="F17" s="29" t="n"/>
      <c r="G17" s="29" t="n"/>
      <c r="H17" s="29" t="n"/>
      <c r="I17" s="30" t="n"/>
    </row>
    <row r="18" ht="123" customHeight="1">
      <c r="A18" s="23" t="inlineStr">
        <is>
          <t>驅散弱點</t>
        </is>
      </c>
      <c r="B18" s="30" t="n"/>
      <c r="C18" s="18" t="inlineStr">
        <is>
          <t>① 打破玻璃：2 行動點（AP）＋ 蠻力性動作（敏捷（AGI）檢定 vs 難度等級（DC）12）→ 立即摧毀，但觸發巨大噪音通知（殺手獲得 2 個獵殺線索並得知精確位置）。這是明確的權衡：用一次暴露換永久清除。
② 手電筒（FLT）照射 1 輪：使其失明 3 輪（不摧毀，但無噪音）。
③ 貼牆蹲行沿死角移動：研究所的對稱格局中，每條走廊都有一條 2 格寬的視線死角（由 world-crafter 在遭遇圖上標記），走死角完全不被掃描。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每個節點僅 1 個；效果 ③ 的技巧檢定懲罰取消。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四　試煉中追蹤軌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>
      <c r="A21" s="23" t="inlineStr">
        <is>
          <t>當前生命值（HP）</t>
        </is>
      </c>
      <c r="B21" s="30" t="n"/>
      <c r="C21" s="8" t="n"/>
      <c r="D21" s="30" t="n"/>
      <c r="E21" s="23" t="inlineStr">
        <is>
          <t>核心暴露／階段</t>
        </is>
      </c>
      <c r="F21" s="30" t="n"/>
      <c r="G21" s="6" t="n"/>
      <c r="H21" s="29" t="n"/>
      <c r="I21" s="30" t="n"/>
    </row>
    <row r="22">
      <c r="A22" s="23" t="inlineStr">
        <is>
          <t>當前狀態效果</t>
        </is>
      </c>
      <c r="B22" s="30" t="n"/>
      <c r="C22" s="6" t="n"/>
      <c r="D22" s="29" t="n"/>
      <c r="E22" s="29" t="n"/>
      <c r="F22" s="29" t="n"/>
      <c r="G22" s="29" t="n"/>
      <c r="H22" s="29" t="n"/>
      <c r="I22" s="30" t="n"/>
    </row>
    <row r="23" ht="44" customHeight="1">
      <c r="A23" s="23" t="inlineStr">
        <is>
          <t>備註</t>
        </is>
      </c>
      <c r="B23" s="30" t="n"/>
      <c r="C23" s="18" t="n"/>
      <c r="D23" s="29" t="n"/>
      <c r="E23" s="29" t="n"/>
      <c r="F23" s="29" t="n"/>
      <c r="G23" s="29" t="n"/>
      <c r="H23" s="29" t="n"/>
      <c r="I23" s="30" t="n"/>
    </row>
  </sheetData>
  <mergeCells count="47">
    <mergeCell ref="E3:I3"/>
    <mergeCell ref="C23:I23"/>
    <mergeCell ref="E12:I12"/>
    <mergeCell ref="C17:I17"/>
    <mergeCell ref="A11:B11"/>
    <mergeCell ref="E8:I8"/>
    <mergeCell ref="C19:I19"/>
    <mergeCell ref="A16:B16"/>
    <mergeCell ref="E4:I4"/>
    <mergeCell ref="A7:B7"/>
    <mergeCell ref="C10:D10"/>
    <mergeCell ref="C18:I18"/>
    <mergeCell ref="E10:I10"/>
    <mergeCell ref="A14:I14"/>
    <mergeCell ref="E13:I13"/>
    <mergeCell ref="C9:D9"/>
    <mergeCell ref="A18:B18"/>
    <mergeCell ref="A20:I20"/>
    <mergeCell ref="E9:I9"/>
    <mergeCell ref="A12:B12"/>
    <mergeCell ref="C12:D12"/>
    <mergeCell ref="A21:B21"/>
    <mergeCell ref="D7:E7"/>
    <mergeCell ref="C21:D21"/>
    <mergeCell ref="F7:I7"/>
    <mergeCell ref="C11:D11"/>
    <mergeCell ref="E11:I11"/>
    <mergeCell ref="C16:I16"/>
    <mergeCell ref="A17:B17"/>
    <mergeCell ref="A23:B23"/>
    <mergeCell ref="A8:B8"/>
    <mergeCell ref="G21:I21"/>
    <mergeCell ref="C8:D8"/>
    <mergeCell ref="A22:B22"/>
    <mergeCell ref="A15:I15"/>
    <mergeCell ref="G2:I2"/>
    <mergeCell ref="C22:I22"/>
    <mergeCell ref="A19:B19"/>
    <mergeCell ref="A10:B10"/>
    <mergeCell ref="A1:I1"/>
    <mergeCell ref="A13:B13"/>
    <mergeCell ref="H5:I5"/>
    <mergeCell ref="C13:D13"/>
    <mergeCell ref="A6:I6"/>
    <mergeCell ref="A2:C5"/>
    <mergeCell ref="A9:B9"/>
    <mergeCell ref="E21:F21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RC-08</t>
        </is>
      </c>
      <c r="F2" s="5" t="inlineStr">
        <is>
          <t>名稱</t>
        </is>
      </c>
      <c r="G2" s="6" t="inlineStr">
        <is>
          <t>血葉群（Bloodleaf Swarm）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R7 血紅森林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群體／追蹤標記型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4</v>
      </c>
      <c r="D7" s="5" t="inlineStr">
        <is>
          <t>移動</t>
        </is>
      </c>
      <c r="E7" s="30" t="n"/>
      <c r="F7" s="6" t="inlineStr">
        <is>
          <t>7 格／輪（隨風飄移，無視地形，但不可進入建物內部）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33" customHeight="1">
      <c r="A16" s="23" t="inlineStr">
        <is>
          <t>行為</t>
        </is>
      </c>
      <c r="B16" s="30" t="n"/>
      <c r="C16" s="18" t="inlineStr">
        <is>
          <t>追隨最近的受傷（Injured）或瀕死（Dying）倖存者。若無傷者，隨機飄移（主持人（GM）擲 d8 定方向）。</t>
        </is>
      </c>
      <c r="D16" s="29" t="n"/>
      <c r="E16" s="29" t="n"/>
      <c r="F16" s="29" t="n"/>
      <c r="G16" s="29" t="n"/>
      <c r="H16" s="29" t="n"/>
      <c r="I16" s="30" t="n"/>
    </row>
    <row r="17" ht="93" customHeight="1">
      <c r="A17" s="23" t="inlineStr">
        <is>
          <t>效果</t>
        </is>
      </c>
      <c r="B17" s="30" t="n"/>
      <c r="C17" s="18" t="inlineStr">
        <is>
          <t>與目標同格或相鄰格時，每輪結束：
① 目標獲得 灰印（Ash Mark，ST-23） ——該倖存者的抓痕（Scratch Marks）存續加倍且殺手讀取抓痕的檢定 +3；
② 目標的治療進度軌 −1 格（葉片持續劃開傷口）。
不造成生命狀態（HS）損失。</t>
        </is>
      </c>
      <c r="D17" s="29" t="n"/>
      <c r="E17" s="29" t="n"/>
      <c r="F17" s="29" t="n"/>
      <c r="G17" s="29" t="n"/>
      <c r="H17" s="29" t="n"/>
      <c r="I17" s="30" t="n"/>
    </row>
    <row r="18" ht="78" customHeight="1">
      <c r="A18" s="23" t="inlineStr">
        <is>
          <t>驅散弱點</t>
        </is>
      </c>
      <c r="B18" s="30" t="n"/>
      <c r="C18" s="18" t="inlineStr">
        <is>
          <t>① 進入建物或穿過流水格：葉群無法跟隨，立即脫離（灰印仍持續至時限）；
② 完成治療回到健康（Healthy）狀態：葉群失去目標，隨機飄移；
③ 火（劇本提供的祭壇火盆）：進入火焰相鄰格 → 葉群立即摧毀。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治療進度軌懲罰改為 每 2 輪 −1 格。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四　試煉中追蹤軌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>
      <c r="A21" s="23" t="inlineStr">
        <is>
          <t>當前生命值（HP）</t>
        </is>
      </c>
      <c r="B21" s="30" t="n"/>
      <c r="C21" s="8" t="n"/>
      <c r="D21" s="30" t="n"/>
      <c r="E21" s="23" t="inlineStr">
        <is>
          <t>核心暴露／階段</t>
        </is>
      </c>
      <c r="F21" s="30" t="n"/>
      <c r="G21" s="6" t="n"/>
      <c r="H21" s="29" t="n"/>
      <c r="I21" s="30" t="n"/>
    </row>
    <row r="22">
      <c r="A22" s="23" t="inlineStr">
        <is>
          <t>當前狀態效果</t>
        </is>
      </c>
      <c r="B22" s="30" t="n"/>
      <c r="C22" s="6" t="n"/>
      <c r="D22" s="29" t="n"/>
      <c r="E22" s="29" t="n"/>
      <c r="F22" s="29" t="n"/>
      <c r="G22" s="29" t="n"/>
      <c r="H22" s="29" t="n"/>
      <c r="I22" s="30" t="n"/>
    </row>
    <row r="23" ht="44" customHeight="1">
      <c r="A23" s="23" t="inlineStr">
        <is>
          <t>備註</t>
        </is>
      </c>
      <c r="B23" s="30" t="n"/>
      <c r="C23" s="18" t="n"/>
      <c r="D23" s="29" t="n"/>
      <c r="E23" s="29" t="n"/>
      <c r="F23" s="29" t="n"/>
      <c r="G23" s="29" t="n"/>
      <c r="H23" s="29" t="n"/>
      <c r="I23" s="30" t="n"/>
    </row>
  </sheetData>
  <mergeCells count="47">
    <mergeCell ref="E3:I3"/>
    <mergeCell ref="C23:I23"/>
    <mergeCell ref="E12:I12"/>
    <mergeCell ref="C17:I17"/>
    <mergeCell ref="A11:B11"/>
    <mergeCell ref="E8:I8"/>
    <mergeCell ref="C19:I19"/>
    <mergeCell ref="A16:B16"/>
    <mergeCell ref="E4:I4"/>
    <mergeCell ref="A7:B7"/>
    <mergeCell ref="C10:D10"/>
    <mergeCell ref="C18:I18"/>
    <mergeCell ref="E10:I10"/>
    <mergeCell ref="A14:I14"/>
    <mergeCell ref="E13:I13"/>
    <mergeCell ref="C9:D9"/>
    <mergeCell ref="A18:B18"/>
    <mergeCell ref="A20:I20"/>
    <mergeCell ref="E9:I9"/>
    <mergeCell ref="A12:B12"/>
    <mergeCell ref="C12:D12"/>
    <mergeCell ref="A21:B21"/>
    <mergeCell ref="D7:E7"/>
    <mergeCell ref="C21:D21"/>
    <mergeCell ref="F7:I7"/>
    <mergeCell ref="C11:D11"/>
    <mergeCell ref="E11:I11"/>
    <mergeCell ref="C16:I16"/>
    <mergeCell ref="A17:B17"/>
    <mergeCell ref="A23:B23"/>
    <mergeCell ref="A8:B8"/>
    <mergeCell ref="G21:I21"/>
    <mergeCell ref="C8:D8"/>
    <mergeCell ref="A22:B22"/>
    <mergeCell ref="A15:I15"/>
    <mergeCell ref="G2:I2"/>
    <mergeCell ref="C22:I22"/>
    <mergeCell ref="A19:B19"/>
    <mergeCell ref="A10:B10"/>
    <mergeCell ref="A1:I1"/>
    <mergeCell ref="A13:B13"/>
    <mergeCell ref="H5:I5"/>
    <mergeCell ref="C13:D13"/>
    <mergeCell ref="A6:I6"/>
    <mergeCell ref="A2:C5"/>
    <mergeCell ref="A9:B9"/>
    <mergeCell ref="E21:F21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RC-09</t>
        </is>
      </c>
      <c r="F2" s="5" t="inlineStr">
        <is>
          <t>名稱</t>
        </is>
      </c>
      <c r="G2" s="6" t="inlineStr">
        <is>
          <t>骨場石雕（Boneyard Effigy）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R8 遺棄骨場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守衛／區域鎖定型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6</v>
      </c>
      <c r="D7" s="5" t="inlineStr">
        <is>
          <t>移動</t>
        </is>
      </c>
      <c r="E7" s="30" t="n"/>
      <c r="F7" s="6" t="inlineStr">
        <is>
          <t>0（靜止的石雕），但可在自身 8 格半徑內任意「重新出現」（1 行動點（AP），無移動軌跡）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33" customHeight="1">
      <c r="A16" s="23" t="inlineStr">
        <is>
          <t>行為</t>
        </is>
      </c>
      <c r="B16" s="30" t="n"/>
      <c r="C16" s="18" t="inlineStr">
        <is>
          <t>守衛一個指定目標（一台發電機、一個寶箱、通往中央塔的階梯）。倖存者進入其守衛範圍（6 格）即啟動。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138" customHeight="1">
      <c r="A18" s="23" t="inlineStr">
        <is>
          <t>驅散弱點</t>
        </is>
      </c>
      <c r="B18" s="30" t="n"/>
      <c r="C18" s="18" t="inlineStr">
        <is>
          <t>石雕的雙眼是兩顆嵌入的骨珠。
取珠：需兩名倖存者同時在其相鄰的對角兩格，各花 2 行動點（AP）＋ 敏捷（AGI）檢定 vs 難度等級（DC）14，同輪雙雙成功 → 石雕崩解，立即摧毀，並掉落 1 個可攜帶的骨珠（可作為一次性的殺手暈眩道具：1 行動點（AP）投擲，命中則殺手暈眩 1 輪）。
獨行替代解法（N = 1 必用）：單人可改為連續 3 輪各花 3 行動點（AP）進行 技巧（TEC）＋搜索（SRC）檢定 vs 難度等級（DC）14，累積 3 次成功（不需連續）即取下骨珠。期間若被石雕命中，進度歸零。</t>
        </is>
      </c>
      <c r="D18" s="29" t="n"/>
      <c r="E18" s="29" t="n"/>
      <c r="F18" s="29" t="n"/>
      <c r="G18" s="29" t="n"/>
      <c r="H18" s="29" t="n"/>
      <c r="I18" s="30" t="n"/>
    </row>
    <row r="19" ht="22" customHeight="1">
      <c r="A19" s="23" t="inlineStr">
        <is>
          <t>獨行配置（N ＝ 1）調整</t>
        </is>
      </c>
      <c r="B19" s="30" t="n"/>
      <c r="C19" s="18" t="inlineStr">
        <is>
          <t>見上方替代解法；守衛範圍降為 4 格。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78" customHeight="1">
      <c r="A21" s="23" t="inlineStr">
        <is>
          <t>效果（攻擊）</t>
        </is>
      </c>
      <c r="B21" s="30" t="n"/>
      <c r="C21" s="18" t="inlineStr">
        <is>
          <t>接觸（CON）帶攻擊：2d10 + 5 vs 倖存者 敏捷（AGI）閃避難度等級（DC）。
命中 → 損失 1 階生命狀態（HS） ＋ 強制位移 3 格（推出守衛範圍）。
額外：其守衛的目標物，倖存者在其守衛範圍內對該目標的所有檢定 −3。</t>
        </is>
      </c>
      <c r="D21" s="29" t="n"/>
      <c r="E21" s="29" t="n"/>
      <c r="F21" s="29" t="n"/>
      <c r="G21" s="29" t="n"/>
      <c r="H21" s="29" t="n"/>
      <c r="I21" s="30" t="n"/>
    </row>
    <row r="22" ht="20" customHeight="1">
      <c r="A22" s="9" t="inlineStr">
        <is>
          <t>四　試煉中追蹤軌</t>
        </is>
      </c>
      <c r="B22" s="29" t="n"/>
      <c r="C22" s="29" t="n"/>
      <c r="D22" s="29" t="n"/>
      <c r="E22" s="29" t="n"/>
      <c r="F22" s="29" t="n"/>
      <c r="G22" s="29" t="n"/>
      <c r="H22" s="29" t="n"/>
      <c r="I22" s="30" t="n"/>
    </row>
    <row r="23">
      <c r="A23" s="23" t="inlineStr">
        <is>
          <t>當前生命值（HP）</t>
        </is>
      </c>
      <c r="B23" s="30" t="n"/>
      <c r="C23" s="8" t="n"/>
      <c r="D23" s="30" t="n"/>
      <c r="E23" s="23" t="inlineStr">
        <is>
          <t>核心暴露／階段</t>
        </is>
      </c>
      <c r="F23" s="30" t="n"/>
      <c r="G23" s="6" t="n"/>
      <c r="H23" s="29" t="n"/>
      <c r="I23" s="30" t="n"/>
    </row>
    <row r="24">
      <c r="A24" s="23" t="inlineStr">
        <is>
          <t>當前狀態效果</t>
        </is>
      </c>
      <c r="B24" s="30" t="n"/>
      <c r="C24" s="6" t="n"/>
      <c r="D24" s="29" t="n"/>
      <c r="E24" s="29" t="n"/>
      <c r="F24" s="29" t="n"/>
      <c r="G24" s="29" t="n"/>
      <c r="H24" s="29" t="n"/>
      <c r="I24" s="30" t="n"/>
    </row>
    <row r="25" ht="44" customHeight="1">
      <c r="A25" s="23" t="inlineStr">
        <is>
          <t>備註</t>
        </is>
      </c>
      <c r="B25" s="30" t="n"/>
      <c r="C25" s="18" t="n"/>
      <c r="D25" s="29" t="n"/>
      <c r="E25" s="29" t="n"/>
      <c r="F25" s="29" t="n"/>
      <c r="G25" s="29" t="n"/>
      <c r="H25" s="29" t="n"/>
      <c r="I25" s="30" t="n"/>
    </row>
  </sheetData>
  <mergeCells count="50">
    <mergeCell ref="E3:I3"/>
    <mergeCell ref="A24:B24"/>
    <mergeCell ref="E12:I12"/>
    <mergeCell ref="C17:I17"/>
    <mergeCell ref="A11:B11"/>
    <mergeCell ref="E23:F23"/>
    <mergeCell ref="E8:I8"/>
    <mergeCell ref="C19:I19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C24:I24"/>
    <mergeCell ref="C9:D9"/>
    <mergeCell ref="A18:B18"/>
    <mergeCell ref="A22:I22"/>
    <mergeCell ref="A20:I20"/>
    <mergeCell ref="E9:I9"/>
    <mergeCell ref="A12:B12"/>
    <mergeCell ref="C12:D12"/>
    <mergeCell ref="A21:B21"/>
    <mergeCell ref="D7:E7"/>
    <mergeCell ref="F7:I7"/>
    <mergeCell ref="C11:D11"/>
    <mergeCell ref="E11:I11"/>
    <mergeCell ref="C16:I16"/>
    <mergeCell ref="A17:B17"/>
    <mergeCell ref="A23:B23"/>
    <mergeCell ref="A8:B8"/>
    <mergeCell ref="C23:D23"/>
    <mergeCell ref="C25:I25"/>
    <mergeCell ref="C8:D8"/>
    <mergeCell ref="A15:I15"/>
    <mergeCell ref="G2:I2"/>
    <mergeCell ref="A19:B19"/>
    <mergeCell ref="A10:B10"/>
    <mergeCell ref="C21:I21"/>
    <mergeCell ref="A1:I1"/>
    <mergeCell ref="G23:I23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RC-10</t>
        </is>
      </c>
      <c r="F2" s="5" t="inlineStr">
        <is>
          <t>名稱</t>
        </is>
      </c>
      <c r="G2" s="6" t="inlineStr">
        <is>
          <t>霧窖看守（The Fogcellar Warden）　首領級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通用（迷霧邊界、霧窖入口）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首領級／階段型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是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8</v>
      </c>
      <c r="D7" s="5" t="inlineStr">
        <is>
          <t>移動</t>
        </is>
      </c>
      <c r="E7" s="30" t="n"/>
      <c r="F7" s="6" t="inlineStr">
        <is>
          <t>6 格／輪（穿霧，可無視非實體障礙）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22" customHeight="1">
      <c r="A16" s="23" t="inlineStr">
        <is>
          <t>行為</t>
        </is>
      </c>
      <c r="B16" s="30" t="n"/>
      <c r="C16" s="18" t="inlineStr">
        <is>
          <t>守衛霧窖（回聲同伴的來源，見 40_世界與敘事.md）。三階段首領。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78" customHeight="1">
      <c r="A18" s="23" t="inlineStr">
        <is>
          <t>驅散弱點</t>
        </is>
      </c>
      <c r="B18" s="30" t="n"/>
      <c r="C18" s="18" t="inlineStr">
        <is>
          <t>它的核心是一盞霧燈。倖存者可在任一階段以 手電筒（FLT）連續照射 2 輪（每輪 1 行動點（AP）＋ 專注（FOC）檢定 vs 難度等級（DC）14）使其暴露核心 2 輪：期間所有對它的傷害 ×2，且它的攻擊修正 −4。
完全驅散：在核心暴露期間，累積 10 點傷害 即可強制跳過當前階段。</t>
        </is>
      </c>
      <c r="D18" s="29" t="n"/>
      <c r="E18" s="29" t="n"/>
      <c r="F18" s="29" t="n"/>
      <c r="G18" s="29" t="n"/>
      <c r="H18" s="29" t="n"/>
      <c r="I18" s="30" t="n"/>
    </row>
    <row r="19" ht="33" customHeight="1">
      <c r="A19" s="23" t="inlineStr">
        <is>
          <t>獨行配置（N ＝ 1）調整</t>
        </is>
      </c>
      <c r="B19" s="30" t="n"/>
      <c r="C19" s="18" t="inlineStr">
        <is>
          <t>生命值降為 30（階段門檻改為 30–21／20–11／10–1）；第二階段不召喚鏽鴉群；第三階段的「拖入霧窖」改為 5 輪。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63" customHeight="1">
      <c r="A21" s="23" t="inlineStr">
        <is>
          <t>第一階段（生命值 42–29）</t>
        </is>
      </c>
      <c r="B21" s="30" t="n"/>
      <c r="C21" s="18" t="inlineStr">
        <is>
          <t>「量測」：每輪對視線內一名倖存者進行恐懼施壓 2d10 + 6 vs 意志（WIL）。失敗 → 顫慄（Trembling，ST-26） 2 輪 ＋ 行動點（AP）−1。
不造成生命狀態（HS）損失。</t>
        </is>
      </c>
      <c r="D21" s="29" t="n"/>
      <c r="E21" s="29" t="n"/>
      <c r="F21" s="29" t="n"/>
      <c r="G21" s="29" t="n"/>
      <c r="H21" s="29" t="n"/>
      <c r="I21" s="30" t="n"/>
    </row>
    <row r="22" ht="63" customHeight="1">
      <c r="A22" s="23" t="inlineStr">
        <is>
          <t>第二階段（生命值 28–15）</t>
        </is>
      </c>
      <c r="B22" s="30" t="n"/>
      <c r="C22" s="18" t="inlineStr">
        <is>
          <t>「收攏」：獲得 範圍效果（AOE） 攻擊——以自身為中心 4 格內全體，2d10 + 6 vs 敏捷（AGI）。命中 → 強制位移 3 格（朝向霧窖）＋ 窒息（Suffocating，ST-24） 2 輪。
額外：每輪召喚 1 群鏽鴉群（RC-01）。</t>
        </is>
      </c>
      <c r="D22" s="29" t="n"/>
      <c r="E22" s="29" t="n"/>
      <c r="F22" s="29" t="n"/>
      <c r="G22" s="29" t="n"/>
      <c r="H22" s="29" t="n"/>
      <c r="I22" s="30" t="n"/>
    </row>
    <row r="23" ht="93" customHeight="1">
      <c r="A23" s="23" t="inlineStr">
        <is>
          <t>第三階段（生命值 14–1）</t>
        </is>
      </c>
      <c r="B23" s="30" t="n"/>
      <c r="C23" s="18" t="inlineStr">
        <is>
          <t>「收藏」：獲得實傷。接觸（CON）帶攻擊 2d10 + 6，命中 → 損失 1 階生命狀態（HS）。
特殊：若一名倖存者在此階段進入瀕死（Dying）且未於 3 輪內被扶起，該倖存者被拖入霧窖——不死亡，但退出本場試煉，並在下一場試煉中作為回聲同伴（Echo Companion）登場（這是本作最重要的敘事機制之一，見 40_世界與敘事.md）。</t>
        </is>
      </c>
      <c r="D23" s="29" t="n"/>
      <c r="E23" s="29" t="n"/>
      <c r="F23" s="29" t="n"/>
      <c r="G23" s="29" t="n"/>
      <c r="H23" s="29" t="n"/>
      <c r="I23" s="30" t="n"/>
    </row>
    <row r="24" ht="20" customHeight="1">
      <c r="A24" s="9" t="inlineStr">
        <is>
          <t>四　試煉中追蹤軌</t>
        </is>
      </c>
      <c r="B24" s="29" t="n"/>
      <c r="C24" s="29" t="n"/>
      <c r="D24" s="29" t="n"/>
      <c r="E24" s="29" t="n"/>
      <c r="F24" s="29" t="n"/>
      <c r="G24" s="29" t="n"/>
      <c r="H24" s="29" t="n"/>
      <c r="I24" s="30" t="n"/>
    </row>
    <row r="25">
      <c r="A25" s="23" t="inlineStr">
        <is>
          <t>當前生命值（HP）</t>
        </is>
      </c>
      <c r="B25" s="30" t="n"/>
      <c r="C25" s="8" t="n"/>
      <c r="D25" s="30" t="n"/>
      <c r="E25" s="23" t="inlineStr">
        <is>
          <t>核心暴露／階段</t>
        </is>
      </c>
      <c r="F25" s="30" t="n"/>
      <c r="G25" s="6" t="n"/>
      <c r="H25" s="29" t="n"/>
      <c r="I25" s="30" t="n"/>
    </row>
    <row r="26">
      <c r="A26" s="23" t="inlineStr">
        <is>
          <t>當前狀態效果</t>
        </is>
      </c>
      <c r="B26" s="30" t="n"/>
      <c r="C26" s="6" t="n"/>
      <c r="D26" s="29" t="n"/>
      <c r="E26" s="29" t="n"/>
      <c r="F26" s="29" t="n"/>
      <c r="G26" s="29" t="n"/>
      <c r="H26" s="29" t="n"/>
      <c r="I26" s="30" t="n"/>
    </row>
    <row r="27" ht="44" customHeight="1">
      <c r="A27" s="23" t="inlineStr">
        <is>
          <t>備註</t>
        </is>
      </c>
      <c r="B27" s="30" t="n"/>
      <c r="C27" s="18" t="n"/>
      <c r="D27" s="29" t="n"/>
      <c r="E27" s="29" t="n"/>
      <c r="F27" s="29" t="n"/>
      <c r="G27" s="29" t="n"/>
      <c r="H27" s="29" t="n"/>
      <c r="I27" s="30" t="n"/>
    </row>
  </sheetData>
  <mergeCells count="54">
    <mergeCell ref="E3:I3"/>
    <mergeCell ref="C23:I23"/>
    <mergeCell ref="E12:I12"/>
    <mergeCell ref="C17:I17"/>
    <mergeCell ref="A11:B11"/>
    <mergeCell ref="E8:I8"/>
    <mergeCell ref="C19:I19"/>
    <mergeCell ref="A16:B16"/>
    <mergeCell ref="E4:I4"/>
    <mergeCell ref="A7:B7"/>
    <mergeCell ref="C10:D10"/>
    <mergeCell ref="C18:I18"/>
    <mergeCell ref="A25:B25"/>
    <mergeCell ref="C25:D25"/>
    <mergeCell ref="E10:I10"/>
    <mergeCell ref="A14:I14"/>
    <mergeCell ref="E13:I13"/>
    <mergeCell ref="C9:D9"/>
    <mergeCell ref="A18:B18"/>
    <mergeCell ref="A27:B27"/>
    <mergeCell ref="A20:I20"/>
    <mergeCell ref="E9:I9"/>
    <mergeCell ref="A12:B12"/>
    <mergeCell ref="G25:I25"/>
    <mergeCell ref="C12:D12"/>
    <mergeCell ref="A21:B21"/>
    <mergeCell ref="A26:B26"/>
    <mergeCell ref="D7:E7"/>
    <mergeCell ref="F7:I7"/>
    <mergeCell ref="C26:I26"/>
    <mergeCell ref="C11:D11"/>
    <mergeCell ref="E11:I11"/>
    <mergeCell ref="C16:I16"/>
    <mergeCell ref="A17:B17"/>
    <mergeCell ref="A23:B23"/>
    <mergeCell ref="A8:B8"/>
    <mergeCell ref="C8:D8"/>
    <mergeCell ref="A22:B22"/>
    <mergeCell ref="A24:I24"/>
    <mergeCell ref="A15:I15"/>
    <mergeCell ref="G2:I2"/>
    <mergeCell ref="C22:I22"/>
    <mergeCell ref="E25:F25"/>
    <mergeCell ref="A19:B19"/>
    <mergeCell ref="A10:B10"/>
    <mergeCell ref="C21:I21"/>
    <mergeCell ref="A1:I1"/>
    <mergeCell ref="A13:B13"/>
    <mergeCell ref="H5:I5"/>
    <mergeCell ref="C13:D13"/>
    <mergeCell ref="A6:I6"/>
    <mergeCell ref="A2:C5"/>
    <mergeCell ref="A9:B9"/>
    <mergeCell ref="C27:I27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RC-11</t>
        </is>
      </c>
      <c r="F2" s="5" t="inlineStr">
        <is>
          <t>名稱</t>
        </is>
      </c>
      <c r="G2" s="6" t="inlineStr">
        <is>
          <t>虛空拾荒者（Void Scavenger）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虛空（The Void）／殘影原（S5 解鎖後可於任何領域的滲點附近出現）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掠奪／資源剝奪型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否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7</v>
      </c>
      <c r="D7" s="5" t="inlineStr">
        <is>
          <t>移動</t>
        </is>
      </c>
      <c r="E7" s="30" t="n"/>
      <c r="F7" s="6" t="inlineStr">
        <is>
          <t>8 格／輪（極快，但每 2 輪必須靜止 1 輪「消化」）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22" customHeight="1">
      <c r="A16" s="23" t="inlineStr">
        <is>
          <t>行為</t>
        </is>
      </c>
      <c r="B16" s="30" t="n"/>
      <c r="C16" s="18" t="inlineStr">
        <is>
          <t>追逐持有物品最多的倖存者（平手時追最近者）。目的不是傷人，是搶東西。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78" customHeight="1">
      <c r="A18" s="23" t="inlineStr">
        <is>
          <t>驅散弱點</t>
        </is>
      </c>
      <c r="B18" s="30" t="n"/>
      <c r="C18" s="18" t="inlineStr">
        <is>
          <t>它貪婪且愚蠢。主動丟棄一件物品在地上（0 行動點（AP））→ 它會立即轉向去撿，並進入 2 輪的靜止「消化」。這 2 輪它完全不動作。
進階戰術：丟棄一個空充能的物品（例如用盡的破鑰匙，見 22_物品條目.md ITEM-KEY-02）作為誘餌——這是全系統成本最低的完美反制，主持人（GM）應在第一次遭遇時暗示此解法。</t>
        </is>
      </c>
      <c r="D18" s="29" t="n"/>
      <c r="E18" s="29" t="n"/>
      <c r="F18" s="29" t="n"/>
      <c r="G18" s="29" t="n"/>
      <c r="H18" s="29" t="n"/>
      <c r="I18" s="30" t="n"/>
    </row>
    <row r="19" ht="33" customHeight="1">
      <c r="A19" s="23" t="inlineStr">
        <is>
          <t>獨行配置（N ＝ 1）調整</t>
        </is>
      </c>
      <c r="B19" s="30" t="n"/>
      <c r="C19" s="18" t="inlineStr">
        <is>
          <t>掠奪改為「奪走 1 點物品充能（CHG）」而非整件物品；單人玩家失去整件物品會直接崩盤。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78" customHeight="1">
      <c r="A21" s="23" t="inlineStr">
        <is>
          <t>效果（掠奪）</t>
        </is>
      </c>
      <c r="B21" s="30" t="n"/>
      <c r="C21" s="18" t="inlineStr">
        <is>
          <t>接觸（CON）帶：2d10 + 5 對抗 倖存者 敏捷（AGI）＋掙脫（ESQ）。
命中 → 隨機奪走目標身上 1 件物品（含加裝），並吞入體內。目標另獲得 顫慄（Trembling，ST-26） 1 輪。
不造成生命狀態（HS）損失。</t>
        </is>
      </c>
      <c r="D21" s="29" t="n"/>
      <c r="E21" s="29" t="n"/>
      <c r="F21" s="29" t="n"/>
      <c r="G21" s="29" t="n"/>
      <c r="H21" s="29" t="n"/>
      <c r="I21" s="30" t="n"/>
    </row>
    <row r="22" ht="63" customHeight="1">
      <c r="A22" s="23" t="inlineStr">
        <is>
          <t>奪回</t>
        </is>
      </c>
      <c r="B22" s="30" t="n"/>
      <c r="C22" s="18" t="inlineStr">
        <is>
          <t>摧毀它（生命值歸零）→ 吐出所有吞入的物品於該格。
或：在它「消化輪」（靜止的那一輪）以 3 行動點（AP）＋ 敏捷（AGI）檢定 vs 難度等級（DC）15 從它體內取回 1 件物品；大失敗則該物品永久銷毀。</t>
        </is>
      </c>
      <c r="D22" s="29" t="n"/>
      <c r="E22" s="29" t="n"/>
      <c r="F22" s="29" t="n"/>
      <c r="G22" s="29" t="n"/>
      <c r="H22" s="29" t="n"/>
      <c r="I22" s="30" t="n"/>
    </row>
    <row r="23" ht="20" customHeight="1">
      <c r="A23" s="9" t="inlineStr">
        <is>
          <t>四　試煉中追蹤軌</t>
        </is>
      </c>
      <c r="B23" s="29" t="n"/>
      <c r="C23" s="29" t="n"/>
      <c r="D23" s="29" t="n"/>
      <c r="E23" s="29" t="n"/>
      <c r="F23" s="29" t="n"/>
      <c r="G23" s="29" t="n"/>
      <c r="H23" s="29" t="n"/>
      <c r="I23" s="30" t="n"/>
    </row>
    <row r="24">
      <c r="A24" s="23" t="inlineStr">
        <is>
          <t>當前生命值（HP）</t>
        </is>
      </c>
      <c r="B24" s="30" t="n"/>
      <c r="C24" s="8" t="n"/>
      <c r="D24" s="30" t="n"/>
      <c r="E24" s="23" t="inlineStr">
        <is>
          <t>核心暴露／階段</t>
        </is>
      </c>
      <c r="F24" s="30" t="n"/>
      <c r="G24" s="6" t="n"/>
      <c r="H24" s="29" t="n"/>
      <c r="I24" s="30" t="n"/>
    </row>
    <row r="25">
      <c r="A25" s="23" t="inlineStr">
        <is>
          <t>當前狀態效果</t>
        </is>
      </c>
      <c r="B25" s="30" t="n"/>
      <c r="C25" s="6" t="n"/>
      <c r="D25" s="29" t="n"/>
      <c r="E25" s="29" t="n"/>
      <c r="F25" s="29" t="n"/>
      <c r="G25" s="29" t="n"/>
      <c r="H25" s="29" t="n"/>
      <c r="I25" s="30" t="n"/>
    </row>
    <row r="26" ht="44" customHeight="1">
      <c r="A26" s="23" t="inlineStr">
        <is>
          <t>備註</t>
        </is>
      </c>
      <c r="B26" s="30" t="n"/>
      <c r="C26" s="18" t="n"/>
      <c r="D26" s="29" t="n"/>
      <c r="E26" s="29" t="n"/>
      <c r="F26" s="29" t="n"/>
      <c r="G26" s="29" t="n"/>
      <c r="H26" s="29" t="n"/>
      <c r="I26" s="30" t="n"/>
    </row>
  </sheetData>
  <mergeCells count="52">
    <mergeCell ref="E3:I3"/>
    <mergeCell ref="A24:B24"/>
    <mergeCell ref="E12:I12"/>
    <mergeCell ref="C24:D24"/>
    <mergeCell ref="C17:I17"/>
    <mergeCell ref="E24:F24"/>
    <mergeCell ref="A11:B11"/>
    <mergeCell ref="E8:I8"/>
    <mergeCell ref="C19:I19"/>
    <mergeCell ref="G24:I24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A23:I23"/>
    <mergeCell ref="C9:D9"/>
    <mergeCell ref="A18:B18"/>
    <mergeCell ref="A20:I20"/>
    <mergeCell ref="E9:I9"/>
    <mergeCell ref="A12:B12"/>
    <mergeCell ref="C12:D12"/>
    <mergeCell ref="A21:B21"/>
    <mergeCell ref="A26:B26"/>
    <mergeCell ref="D7:E7"/>
    <mergeCell ref="F7:I7"/>
    <mergeCell ref="C26:I26"/>
    <mergeCell ref="C11:D11"/>
    <mergeCell ref="E11:I11"/>
    <mergeCell ref="C16:I16"/>
    <mergeCell ref="A17:B17"/>
    <mergeCell ref="A8:B8"/>
    <mergeCell ref="C25:I25"/>
    <mergeCell ref="C8:D8"/>
    <mergeCell ref="A22:B22"/>
    <mergeCell ref="A15:I15"/>
    <mergeCell ref="G2:I2"/>
    <mergeCell ref="C22:I22"/>
    <mergeCell ref="A19:B19"/>
    <mergeCell ref="A10:B10"/>
    <mergeCell ref="C21:I21"/>
    <mergeCell ref="A1:I1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21" t="inlineStr">
        <is>
          <t>黎明殺機TRPG　敵人角色卡　·　領域造物（Realm Creature）</t>
        </is>
      </c>
      <c r="B1" s="25" t="n"/>
      <c r="C1" s="25" t="n"/>
      <c r="D1" s="25" t="n"/>
      <c r="E1" s="25" t="n"/>
      <c r="F1" s="25" t="n"/>
      <c r="G1" s="25" t="n"/>
      <c r="H1" s="25" t="n"/>
      <c r="I1" s="26" t="n"/>
    </row>
    <row r="2">
      <c r="A2" s="3" t="inlineStr">
        <is>
          <t>角色圖
（此區可貼入角色圖片）</t>
        </is>
      </c>
      <c r="B2" s="27" t="n"/>
      <c r="C2" s="28" t="n"/>
      <c r="D2" s="5" t="inlineStr">
        <is>
          <t>編號</t>
        </is>
      </c>
      <c r="E2" s="8" t="inlineStr">
        <is>
          <t>RC-12</t>
        </is>
      </c>
      <c r="F2" s="5" t="inlineStr">
        <is>
          <t>名稱</t>
        </is>
      </c>
      <c r="G2" s="6" t="inlineStr">
        <is>
          <t>鉤上之爪（The Claw Upon the Hook）　首領級</t>
        </is>
      </c>
      <c r="H2" s="29" t="n"/>
      <c r="I2" s="30" t="n"/>
    </row>
    <row r="3">
      <c r="A3" s="31" t="n"/>
      <c r="C3" s="32" t="n"/>
      <c r="D3" s="5" t="inlineStr">
        <is>
          <t>所屬領域</t>
        </is>
      </c>
      <c r="E3" s="6" t="inlineStr">
        <is>
          <t>通用（任何有鉤子的地方；通常於劇本高潮登場）</t>
        </is>
      </c>
      <c r="F3" s="29" t="n"/>
      <c r="G3" s="29" t="n"/>
      <c r="H3" s="29" t="n"/>
      <c r="I3" s="30" t="n"/>
    </row>
    <row r="4">
      <c r="A4" s="31" t="n"/>
      <c r="C4" s="32" t="n"/>
      <c r="D4" s="5" t="inlineStr">
        <is>
          <t>類型</t>
        </is>
      </c>
      <c r="E4" s="6" t="inlineStr">
        <is>
          <t>首領級／實體（The Entity）的直接顯現、環境災害型</t>
        </is>
      </c>
      <c r="F4" s="29" t="n"/>
      <c r="G4" s="29" t="n"/>
      <c r="H4" s="29" t="n"/>
      <c r="I4" s="30" t="n"/>
    </row>
    <row r="5">
      <c r="A5" s="33" t="n"/>
      <c r="B5" s="34" t="n"/>
      <c r="C5" s="35" t="n"/>
      <c r="D5" s="5" t="inlineStr">
        <is>
          <t>首領級（Boss）</t>
        </is>
      </c>
      <c r="E5" s="8" t="inlineStr">
        <is>
          <t>是</t>
        </is>
      </c>
      <c r="F5" s="5" t="inlineStr">
        <is>
          <t>造成生命狀態（HS）損失</t>
        </is>
      </c>
      <c r="H5" s="8" t="n"/>
      <c r="I5" s="30" t="n"/>
    </row>
    <row r="6" ht="20" customHeight="1">
      <c r="A6" s="9" t="inlineStr">
        <is>
          <t>一　數據（填入挑戰等級（CR），其餘自動計算）</t>
        </is>
      </c>
      <c r="B6" s="29" t="n"/>
      <c r="C6" s="29" t="n"/>
      <c r="D6" s="29" t="n"/>
      <c r="E6" s="29" t="n"/>
      <c r="F6" s="29" t="n"/>
      <c r="G6" s="29" t="n"/>
      <c r="H6" s="29" t="n"/>
      <c r="I6" s="30" t="n"/>
    </row>
    <row r="7" ht="30" customHeight="1">
      <c r="A7" s="5" t="inlineStr">
        <is>
          <t>挑戰等級（CR）</t>
        </is>
      </c>
      <c r="B7" s="30" t="n"/>
      <c r="C7" s="8" t="n">
        <v>10</v>
      </c>
      <c r="D7" s="5" t="inlineStr">
        <is>
          <t>移動</t>
        </is>
      </c>
      <c r="E7" s="30" t="n"/>
      <c r="F7" s="6" t="inlineStr">
        <is>
          <t>0（從所有鉤子中同時伸出，視為存在於地圖上每一個鉤子的相鄰 2 格內）</t>
        </is>
      </c>
      <c r="G7" s="29" t="n"/>
      <c r="H7" s="29" t="n"/>
      <c r="I7" s="30" t="n"/>
    </row>
    <row r="8">
      <c r="A8" s="23" t="inlineStr">
        <is>
          <t>生命值（HP）</t>
        </is>
      </c>
      <c r="B8" s="30" t="n"/>
      <c r="C8" s="14">
        <f>IF($C$7="","",10+4*$C$7)</f>
        <v/>
      </c>
      <c r="D8" s="30" t="n"/>
      <c r="E8" s="6" t="inlineStr">
        <is>
          <t>10 ＋ 4×挑戰等級（CR）</t>
        </is>
      </c>
      <c r="F8" s="29" t="n"/>
      <c r="G8" s="29" t="n"/>
      <c r="H8" s="29" t="n"/>
      <c r="I8" s="30" t="n"/>
    </row>
    <row r="9">
      <c r="A9" s="23" t="inlineStr">
        <is>
          <t>攻擊修正</t>
        </is>
      </c>
      <c r="B9" s="30" t="n"/>
      <c r="C9" s="14">
        <f>IF($C$7="","",INT($C$7/2)+2)</f>
        <v/>
      </c>
      <c r="D9" s="30" t="n"/>
      <c r="E9" s="6" t="inlineStr">
        <is>
          <t>INT(CR ÷ 2) ＋ 2</t>
        </is>
      </c>
      <c r="F9" s="29" t="n"/>
      <c r="G9" s="29" t="n"/>
      <c r="H9" s="29" t="n"/>
      <c r="I9" s="30" t="n"/>
    </row>
    <row r="10">
      <c r="A10" s="23" t="inlineStr">
        <is>
          <t>防禦難度等級（DC）</t>
        </is>
      </c>
      <c r="B10" s="30" t="n"/>
      <c r="C10" s="14">
        <f>IF($C$7="","",10+INT($C$7/2))</f>
        <v/>
      </c>
      <c r="D10" s="30" t="n"/>
      <c r="E10" s="6" t="inlineStr">
        <is>
          <t>10 ＋ INT(CR ÷ 2)。倖存者攻擊或干擾此造物時的目標值</t>
        </is>
      </c>
      <c r="F10" s="29" t="n"/>
      <c r="G10" s="29" t="n"/>
      <c r="H10" s="29" t="n"/>
      <c r="I10" s="30" t="n"/>
    </row>
    <row r="11">
      <c r="A11" s="23" t="inlineStr">
        <is>
          <t>行動點（AP）／輪</t>
        </is>
      </c>
      <c r="B11" s="30" t="n"/>
      <c r="C11" s="14">
        <f>IF($C$7="","",IF($C$7&gt;=8,4,IF($C$7&gt;=5,3,2)))</f>
        <v/>
      </c>
      <c r="D11" s="30" t="n"/>
      <c r="E11" s="6" t="inlineStr">
        <is>
          <t>CR 1–4 → 2／CR 5–7 → 3／CR 8 以上 → 4</t>
        </is>
      </c>
      <c r="F11" s="29" t="n"/>
      <c r="G11" s="29" t="n"/>
      <c r="H11" s="29" t="n"/>
      <c r="I11" s="30" t="n"/>
    </row>
    <row r="12">
      <c r="A12" s="23" t="inlineStr">
        <is>
          <t>韌性值（RES）</t>
        </is>
      </c>
      <c r="B12" s="30" t="n"/>
      <c r="C12" s="14">
        <f>IF($C$7="","",INT($C$7/3))</f>
        <v/>
      </c>
      <c r="D12" s="30" t="n"/>
      <c r="E12" s="6" t="inlineStr">
        <is>
          <t>INT(CR ÷ 3)。加在抵抗狀態效果與強制位移的檢定上</t>
        </is>
      </c>
      <c r="F12" s="29" t="n"/>
      <c r="G12" s="29" t="n"/>
      <c r="H12" s="29" t="n"/>
      <c r="I12" s="30" t="n"/>
    </row>
    <row r="13">
      <c r="A13" s="23" t="inlineStr">
        <is>
          <t>遭遇預算成本（EBC）</t>
        </is>
      </c>
      <c r="B13" s="30" t="n"/>
      <c r="C13" s="14">
        <f>IF($C$7="","",$C$7*IF($E$5="是",3,2))</f>
        <v/>
      </c>
      <c r="D13" s="30" t="n"/>
      <c r="E13" s="6" t="inlineStr">
        <is>
          <t>CR × 2（標準）／CR × 3（首領級）</t>
        </is>
      </c>
      <c r="F13" s="29" t="n"/>
      <c r="G13" s="29" t="n"/>
      <c r="H13" s="29" t="n"/>
      <c r="I13" s="30" t="n"/>
    </row>
    <row r="14">
      <c r="A14" s="16" t="inlineStr">
        <is>
          <t>倖存者的戰鬥能力刻意低下：徒手／臨時物件僅 1d4 傷害。造物的正解永遠是「驅散弱點」或迴避，不是打死它。主持人（GM）必須在玩家第一次遭遇造物時明確告知這一點。</t>
        </is>
      </c>
      <c r="B14" s="29" t="n"/>
      <c r="C14" s="29" t="n"/>
      <c r="D14" s="29" t="n"/>
      <c r="E14" s="29" t="n"/>
      <c r="F14" s="29" t="n"/>
      <c r="G14" s="29" t="n"/>
      <c r="H14" s="29" t="n"/>
      <c r="I14" s="30" t="n"/>
    </row>
    <row r="15" ht="20" customHeight="1">
      <c r="A15" s="9" t="inlineStr">
        <is>
          <t>二　行為、效果與驅散</t>
        </is>
      </c>
      <c r="B15" s="29" t="n"/>
      <c r="C15" s="29" t="n"/>
      <c r="D15" s="29" t="n"/>
      <c r="E15" s="29" t="n"/>
      <c r="F15" s="29" t="n"/>
      <c r="G15" s="29" t="n"/>
      <c r="H15" s="29" t="n"/>
      <c r="I15" s="30" t="n"/>
    </row>
    <row r="16" ht="33" customHeight="1">
      <c r="A16" s="23" t="inlineStr">
        <is>
          <t>行為</t>
        </is>
      </c>
      <c r="B16" s="30" t="n"/>
      <c r="C16" s="18" t="inlineStr">
        <is>
          <t>這不是一個怪物，這是實體本身伸出的一根手指。 它在劇本指定的時機（通常為終局崩塌開始、或第三名倖存者被掛鉤時）出現，並持續存在至試煉結束。</t>
        </is>
      </c>
      <c r="D16" s="29" t="n"/>
      <c r="E16" s="29" t="n"/>
      <c r="F16" s="29" t="n"/>
      <c r="G16" s="29" t="n"/>
      <c r="H16" s="29" t="n"/>
      <c r="I16" s="30" t="n"/>
    </row>
    <row r="17" ht="22" customHeight="1">
      <c r="A17" s="23" t="inlineStr">
        <is>
          <t>效果</t>
        </is>
      </c>
      <c r="B17" s="30" t="n"/>
      <c r="C17" s="18" t="n"/>
      <c r="D17" s="29" t="n"/>
      <c r="E17" s="29" t="n"/>
      <c r="F17" s="29" t="n"/>
      <c r="G17" s="29" t="n"/>
      <c r="H17" s="29" t="n"/>
      <c r="I17" s="30" t="n"/>
    </row>
    <row r="18" ht="123" customHeight="1">
      <c r="A18" s="23" t="inlineStr">
        <is>
          <t>驅散弱點</t>
        </is>
      </c>
      <c r="B18" s="30" t="n"/>
      <c r="C18" s="18" t="inlineStr">
        <is>
          <t>不可摧毀。 生命值 50 的數值僅供劇本中「以血紅森林祭壇的儀式反擊」等特殊敘事手段使用（由 world-crafter 的劇本提供，通常一次儀式造成 10–15 點）。
唯一實用的應對：離鉤子 3 格以上。它的作用是把地圖上所有鉤子周圍變成禁區——這在戰術上等於「救人變得極度昂貴」。
破壞鉤子（Sabotage）：以工具箱（TBX）花 3 行動點（AP）＋ 技巧（TEC）＋機械維修（MEC）檢定 vs 難度等級（DC）15 破壞一個鉤子 → 該鉤子的爪永久消失。這是唯一能真正減少它覆蓋範圍的手段。</t>
        </is>
      </c>
      <c r="D18" s="29" t="n"/>
      <c r="E18" s="29" t="n"/>
      <c r="F18" s="29" t="n"/>
      <c r="G18" s="29" t="n"/>
      <c r="H18" s="29" t="n"/>
      <c r="I18" s="30" t="n"/>
    </row>
    <row r="19" ht="33" customHeight="1">
      <c r="A19" s="23" t="inlineStr">
        <is>
          <t>獨行配置（N ＝ 1）調整</t>
        </is>
      </c>
      <c r="B19" s="30" t="n"/>
      <c r="C19" s="18" t="inlineStr">
        <is>
          <t>觸發範圍降為鉤子相鄰 1 格；掛鉤加速效果取消；且它只在終局崩塌期間存在（不提前登場）。</t>
        </is>
      </c>
      <c r="D19" s="29" t="n"/>
      <c r="E19" s="29" t="n"/>
      <c r="F19" s="29" t="n"/>
      <c r="G19" s="29" t="n"/>
      <c r="H19" s="29" t="n"/>
      <c r="I19" s="30" t="n"/>
    </row>
    <row r="20" ht="20" customHeight="1">
      <c r="A20" s="9" t="inlineStr">
        <is>
          <t>三　特殊規則</t>
        </is>
      </c>
      <c r="B20" s="29" t="n"/>
      <c r="C20" s="29" t="n"/>
      <c r="D20" s="29" t="n"/>
      <c r="E20" s="29" t="n"/>
      <c r="F20" s="29" t="n"/>
      <c r="G20" s="29" t="n"/>
      <c r="H20" s="29" t="n"/>
      <c r="I20" s="30" t="n"/>
    </row>
    <row r="21" ht="150" customHeight="1">
      <c r="A21" s="23" t="inlineStr">
        <is>
          <t>效果（每輪）</t>
        </is>
      </c>
      <c r="B21" s="30" t="n"/>
      <c r="C21" s="18" t="inlineStr">
        <is>
          <t>每輪結束時，對距離任一鉤子 2 格以內的所有倖存者：
2d10 + 7 vs 倖存者 意志（WIL）＋堅忍（END）。
失敗 → 損失 1 階生命狀態（HS）。
大失敗 → 損失 1 階生命狀態（HS）＋ 詛咒（Cursed，ST-14）（無法被治療至健康，直到破壞一個圖騰）。
成功 → 無事。
大成功 → 無事，且獲得 1 點希望點（HOP）（你直視了它，而它眨眼了）。</t>
        </is>
      </c>
      <c r="D21" s="29" t="n"/>
      <c r="E21" s="29" t="n"/>
      <c r="F21" s="29" t="n"/>
      <c r="G21" s="29" t="n"/>
      <c r="H21" s="29" t="n"/>
      <c r="I21" s="30" t="n"/>
    </row>
    <row r="22" ht="22" customHeight="1">
      <c r="A22" s="23" t="inlineStr">
        <is>
          <t>對掛鉤者的效果</t>
        </is>
      </c>
      <c r="B22" s="30" t="n"/>
      <c r="C22" s="18" t="inlineStr">
        <is>
          <t>被掛在鉤上的倖存者，其掛鉤階段計時 每輪加速 1 輪（即每輪扣 2 輪）。</t>
        </is>
      </c>
      <c r="D22" s="29" t="n"/>
      <c r="E22" s="29" t="n"/>
      <c r="F22" s="29" t="n"/>
      <c r="G22" s="29" t="n"/>
      <c r="H22" s="29" t="n"/>
      <c r="I22" s="30" t="n"/>
    </row>
    <row r="23" ht="20" customHeight="1">
      <c r="A23" s="9" t="inlineStr">
        <is>
          <t>四　試煉中追蹤軌</t>
        </is>
      </c>
      <c r="B23" s="29" t="n"/>
      <c r="C23" s="29" t="n"/>
      <c r="D23" s="29" t="n"/>
      <c r="E23" s="29" t="n"/>
      <c r="F23" s="29" t="n"/>
      <c r="G23" s="29" t="n"/>
      <c r="H23" s="29" t="n"/>
      <c r="I23" s="30" t="n"/>
    </row>
    <row r="24">
      <c r="A24" s="23" t="inlineStr">
        <is>
          <t>當前生命值（HP）</t>
        </is>
      </c>
      <c r="B24" s="30" t="n"/>
      <c r="C24" s="8" t="n"/>
      <c r="D24" s="30" t="n"/>
      <c r="E24" s="23" t="inlineStr">
        <is>
          <t>核心暴露／階段</t>
        </is>
      </c>
      <c r="F24" s="30" t="n"/>
      <c r="G24" s="6" t="n"/>
      <c r="H24" s="29" t="n"/>
      <c r="I24" s="30" t="n"/>
    </row>
    <row r="25">
      <c r="A25" s="23" t="inlineStr">
        <is>
          <t>當前狀態效果</t>
        </is>
      </c>
      <c r="B25" s="30" t="n"/>
      <c r="C25" s="6" t="n"/>
      <c r="D25" s="29" t="n"/>
      <c r="E25" s="29" t="n"/>
      <c r="F25" s="29" t="n"/>
      <c r="G25" s="29" t="n"/>
      <c r="H25" s="29" t="n"/>
      <c r="I25" s="30" t="n"/>
    </row>
    <row r="26" ht="44" customHeight="1">
      <c r="A26" s="23" t="inlineStr">
        <is>
          <t>備註</t>
        </is>
      </c>
      <c r="B26" s="30" t="n"/>
      <c r="C26" s="18" t="n"/>
      <c r="D26" s="29" t="n"/>
      <c r="E26" s="29" t="n"/>
      <c r="F26" s="29" t="n"/>
      <c r="G26" s="29" t="n"/>
      <c r="H26" s="29" t="n"/>
      <c r="I26" s="30" t="n"/>
    </row>
  </sheetData>
  <mergeCells count="52">
    <mergeCell ref="E3:I3"/>
    <mergeCell ref="A24:B24"/>
    <mergeCell ref="E12:I12"/>
    <mergeCell ref="C24:D24"/>
    <mergeCell ref="C17:I17"/>
    <mergeCell ref="E24:F24"/>
    <mergeCell ref="A11:B11"/>
    <mergeCell ref="E8:I8"/>
    <mergeCell ref="C19:I19"/>
    <mergeCell ref="G24:I24"/>
    <mergeCell ref="A16:B16"/>
    <mergeCell ref="E4:I4"/>
    <mergeCell ref="A7:B7"/>
    <mergeCell ref="C10:D10"/>
    <mergeCell ref="C18:I18"/>
    <mergeCell ref="A25:B25"/>
    <mergeCell ref="E10:I10"/>
    <mergeCell ref="A14:I14"/>
    <mergeCell ref="E13:I13"/>
    <mergeCell ref="A23:I23"/>
    <mergeCell ref="C9:D9"/>
    <mergeCell ref="A18:B18"/>
    <mergeCell ref="A20:I20"/>
    <mergeCell ref="E9:I9"/>
    <mergeCell ref="A12:B12"/>
    <mergeCell ref="C12:D12"/>
    <mergeCell ref="A21:B21"/>
    <mergeCell ref="A26:B26"/>
    <mergeCell ref="D7:E7"/>
    <mergeCell ref="F7:I7"/>
    <mergeCell ref="C26:I26"/>
    <mergeCell ref="C11:D11"/>
    <mergeCell ref="E11:I11"/>
    <mergeCell ref="C16:I16"/>
    <mergeCell ref="A17:B17"/>
    <mergeCell ref="A8:B8"/>
    <mergeCell ref="C25:I25"/>
    <mergeCell ref="C8:D8"/>
    <mergeCell ref="A22:B22"/>
    <mergeCell ref="A15:I15"/>
    <mergeCell ref="G2:I2"/>
    <mergeCell ref="C22:I22"/>
    <mergeCell ref="A19:B19"/>
    <mergeCell ref="A10:B10"/>
    <mergeCell ref="C21:I21"/>
    <mergeCell ref="A1:I1"/>
    <mergeCell ref="A13:B13"/>
    <mergeCell ref="H5:I5"/>
    <mergeCell ref="C13:D13"/>
    <mergeCell ref="A6:I6"/>
    <mergeCell ref="A2:C5"/>
    <mergeCell ref="A9:B9"/>
  </mergeCells>
  <dataValidations count="2">
    <dataValidation sqref="E5" showDropDown="0" showInputMessage="0" showErrorMessage="0" allowBlank="1" type="list">
      <formula1>"是,否"</formula1>
    </dataValidation>
    <dataValidation sqref="H5:I5" showDropDown="0" showInputMessage="0" showErrorMessage="0" allowBlank="1" type="list">
      <formula1>"是,否"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2026-08-01T19:34:46Z</dcterms:created>
  <dcterms:modified xsi:type="dcterms:W3CDTF">2026-08-02T12:30:04Z</dcterms:modified>
</cp:coreProperties>
</file>