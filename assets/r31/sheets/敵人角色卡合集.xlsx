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敌人列表" sheetId="1" state="visible" r:id="rId1"/>
    <sheet name="腐蚀的占卜师" sheetId="2" state="visible" r:id="rId2"/>
    <sheet name="白夫人（艾莉西亚" sheetId="3" state="visible" r:id="rId3"/>
    <sheet name="莫里森厂长" sheetId="4" state="visible" r:id="rId4"/>
    <sheet name="暗影仆从" sheetId="5" state="visible" r:id="rId5"/>
    <sheet name="瓦莱丽" sheetId="6" state="visible" r:id="rId6"/>
    <sheet name="机械哨兵" sheetId="7" state="visible" r:id="rId7"/>
    <sheet name="布莱克伍德博士" sheetId="8" state="visible" r:id="rId8"/>
    <sheet name="灵界衍生物（普通型）" sheetId="9" state="visible" r:id="rId9"/>
    <sheet name="命运碎片（织命者神殿" sheetId="10" state="visible" r:id="rId10"/>
    <sheet name="失控剥离者（被操纵师" sheetId="11" state="visible" r:id="rId11"/>
    <sheet name="第13意识碎片·聚合" sheetId="12" state="visible" r:id="rId12"/>
    <sheet name="被交换者·记忆失序体" sheetId="13" state="visible" r:id="rId13"/>
    <sheet name="骗子·死亡预测师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1"/>
    </font>
  </fonts>
  <fills count="4">
    <fill>
      <patternFill/>
    </fill>
    <fill>
      <patternFill patternType="gray125"/>
    </fill>
    <fill>
      <patternFill patternType="solid">
        <fgColor rgb="002F2F2F"/>
        <bgColor rgb="002F2F2F"/>
      </patternFill>
    </fill>
    <fill>
      <patternFill patternType="solid">
        <fgColor rgb="00D9E2F3"/>
        <b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  <col width="28" customWidth="1" min="4" max="4"/>
    <col width="22" customWidth="1" min="5" max="5"/>
  </cols>
  <sheetData>
    <row r="1">
      <c r="A1" s="1" t="inlineStr">
        <is>
          <t>劇本敵人總覽</t>
        </is>
      </c>
    </row>
    <row r="2"/>
    <row r="3">
      <c r="A3" s="2" t="inlineStr">
        <is>
          <t>名稱</t>
        </is>
      </c>
      <c r="B3" s="2" t="inlineStr">
        <is>
          <t>CR</t>
        </is>
      </c>
      <c r="C3" s="2" t="inlineStr">
        <is>
          <t>類型</t>
        </is>
      </c>
      <c r="D3" s="2" t="inlineStr">
        <is>
          <t>途徑/序列</t>
        </is>
      </c>
      <c r="E3" s="2" t="inlineStr">
        <is>
          <t>所屬劇本</t>
        </is>
      </c>
    </row>
    <row r="4">
      <c r="A4" s="3" t="inlineStr">
        <is>
          <t>腐蝕的占卜師</t>
        </is>
      </c>
      <c r="B4" s="4" t="n">
        <v>2</v>
      </c>
      <c r="C4" s="3" t="inlineStr">
        <is>
          <t>非凡者（失控邊緣）</t>
        </is>
      </c>
      <c r="D4" s="3" t="inlineStr">
        <is>
          <t>占卜家/序列9</t>
        </is>
      </c>
      <c r="E4" s="3" t="inlineStr">
        <is>
          <t>劇本一《白房間的血色舞會》</t>
        </is>
      </c>
    </row>
    <row r="5">
      <c r="A5" s="3" t="inlineStr">
        <is>
          <t>白夫人（艾莉西亞·懷特）</t>
        </is>
      </c>
      <c r="B5" s="4" t="n">
        <v>6</v>
      </c>
      <c r="C5" s="3" t="inlineStr">
        <is>
          <t>非凡者（序列6）</t>
        </is>
      </c>
      <c r="D5" s="3" t="inlineStr">
        <is>
          <t>觀衆/序列6·催眠師</t>
        </is>
      </c>
      <c r="E5" s="3" t="inlineStr">
        <is>
          <t>劇本一《白房間的血色舞會》（主反派）</t>
        </is>
      </c>
    </row>
    <row r="6">
      <c r="A6" s="3" t="inlineStr">
        <is>
          <t>莫里森廠長</t>
        </is>
      </c>
      <c r="B6" s="4" t="n">
        <v>4</v>
      </c>
      <c r="C6" s="3" t="inlineStr">
        <is>
          <t>非凡者（序列7）</t>
        </is>
      </c>
      <c r="D6" s="3" t="inlineStr">
        <is>
          <t>祕祈人/序列7·隱修士</t>
        </is>
      </c>
      <c r="E6" s="3" t="inlineStr">
        <is>
          <t>劇本二《灰霧下的低語》（主反派）</t>
        </is>
      </c>
    </row>
    <row r="7">
      <c r="A7" s="3" t="inlineStr">
        <is>
          <t>暗影僕從</t>
        </is>
      </c>
      <c r="B7" s="4" t="n">
        <v>2</v>
      </c>
      <c r="C7" s="3" t="inlineStr">
        <is>
          <t>非凡者（召喚物）</t>
        </is>
      </c>
      <c r="D7" s="3" t="inlineStr">
        <is>
          <t>祕祈人/序列9</t>
        </is>
      </c>
      <c r="E7" s="3" t="inlineStr">
        <is>
          <t>劇本二《灰霧下的低語》（雜兵）</t>
        </is>
      </c>
    </row>
    <row r="8">
      <c r="A8" s="3" t="inlineStr">
        <is>
          <t>瓦萊麗</t>
        </is>
      </c>
      <c r="B8" s="4" t="n">
        <v>5</v>
      </c>
      <c r="C8" s="3" t="inlineStr">
        <is>
          <t>非凡者（序列6）</t>
        </is>
      </c>
      <c r="D8" s="3" t="inlineStr">
        <is>
          <t>通識者/序列6·工匠</t>
        </is>
      </c>
      <c r="E8" s="3" t="inlineStr">
        <is>
          <t>劇本三《第十號倉庫》（反派）</t>
        </is>
      </c>
    </row>
    <row r="9">
      <c r="A9" s="3" t="inlineStr">
        <is>
          <t>機械哨兵</t>
        </is>
      </c>
      <c r="B9" s="4" t="n">
        <v>3</v>
      </c>
      <c r="C9" s="3" t="inlineStr">
        <is>
          <t>非人（機械造物）</t>
        </is>
      </c>
      <c r="D9" s="3" t="inlineStr">
        <is>
          <t>通識者/序列7</t>
        </is>
      </c>
      <c r="E9" s="3" t="inlineStr">
        <is>
          <t>劇本三/四（雜兵）</t>
        </is>
      </c>
    </row>
    <row r="10">
      <c r="A10" s="3" t="inlineStr">
        <is>
          <t>布萊克伍德博士</t>
        </is>
      </c>
      <c r="B10" s="4" t="n">
        <v>9</v>
      </c>
      <c r="C10" s="3" t="inlineStr">
        <is>
          <t>非凡者（序列4·半神）</t>
        </is>
      </c>
      <c r="D10" s="3" t="inlineStr">
        <is>
          <t>通識者/序列4·機械之心</t>
        </is>
      </c>
      <c r="E10" s="3" t="inlineStr">
        <is>
          <t>劇本四《機械之心》（最終反派）</t>
        </is>
      </c>
    </row>
    <row r="11">
      <c r="A11" s="3" t="inlineStr">
        <is>
          <t>靈界衍生物（普通型）</t>
        </is>
      </c>
      <c r="B11" s="4" t="n">
        <v>2</v>
      </c>
      <c r="C11" s="3" t="inlineStr">
        <is>
          <t>靈界生物</t>
        </is>
      </c>
      <c r="D11" s="3" t="inlineStr">
        <is>
          <t>—</t>
        </is>
      </c>
      <c r="E11" s="3" t="inlineStr">
        <is>
          <t>支線二/多個隨機遭遇通用</t>
        </is>
      </c>
    </row>
    <row r="12">
      <c r="A12" s="3" t="inlineStr">
        <is>
          <t>命運碎片（織命者神殿）</t>
        </is>
      </c>
      <c r="B12" s="4" t="n">
        <v>4</v>
      </c>
      <c r="C12" s="3" t="inlineStr">
        <is>
          <t>古神殘存/靈界衍生物</t>
        </is>
      </c>
      <c r="D12" s="3" t="inlineStr">
        <is>
          <t>怪物途徑（古神關聯）</t>
        </is>
      </c>
      <c r="E12" s="3" t="inlineStr">
        <is>
          <t>支線六《下沉煙囪》</t>
        </is>
      </c>
    </row>
    <row r="13">
      <c r="A13" s="3" t="inlineStr">
        <is>
          <t>失控剝離者（被操縱師操控）</t>
        </is>
      </c>
      <c r="B13" s="4" t="n">
        <v>3</v>
      </c>
      <c r="C13" s="3" t="inlineStr">
        <is>
          <t>非凡者（被剝離特性後的殘存）</t>
        </is>
      </c>
      <c r="D13" s="3" t="inlineStr">
        <is>
          <t>隨機途徑/序列8-7</t>
        </is>
      </c>
      <c r="E13" s="3" t="inlineStr">
        <is>
          <t>支線七《聖瑪利亞瘋人院》</t>
        </is>
      </c>
    </row>
    <row r="14">
      <c r="A14" s="3" t="inlineStr">
        <is>
          <t>第13意識碎片·聚合體</t>
        </is>
      </c>
      <c r="B14" s="4" t="n">
        <v>5</v>
      </c>
      <c r="C14" s="3" t="inlineStr">
        <is>
          <t>非凡者殘留意念聚合體</t>
        </is>
      </c>
      <c r="D14" s="3" t="inlineStr">
        <is>
          <t>觀衆途徑序列4（殘留）</t>
        </is>
      </c>
      <c r="E14" s="3" t="inlineStr">
        <is>
          <t>支線三《第十三個座位》</t>
        </is>
      </c>
    </row>
    <row r="15">
      <c r="A15" s="3" t="inlineStr">
        <is>
          <t>被交換者·記憶失序體</t>
        </is>
      </c>
      <c r="B15" s="4" t="n">
        <v>3</v>
      </c>
      <c r="C15" s="3" t="inlineStr">
        <is>
          <t>非凡者（封印物副作用受害者）</t>
        </is>
      </c>
      <c r="D15" s="3" t="inlineStr">
        <is>
          <t>隨機途徑/隨機序列</t>
        </is>
      </c>
      <c r="E15" s="3" t="inlineStr">
        <is>
          <t>支線五《鐵橋區的幽靈馬車》</t>
        </is>
      </c>
    </row>
    <row r="16">
      <c r="A16" s="3" t="inlineStr">
        <is>
          <t>騙子·死亡預測師</t>
        </is>
      </c>
      <c r="B16" s="4" t="n">
        <v>2</v>
      </c>
      <c r="C16" s="3" t="inlineStr">
        <is>
          <t>非凡者</t>
        </is>
      </c>
      <c r="D16" s="3" t="inlineStr">
        <is>
          <t>偷盜者途徑/序列8·詐騙師</t>
        </is>
      </c>
      <c r="E16" s="3" t="inlineStr">
        <is>
          <t>支線二《差分機故障》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</cols>
  <sheetData>
    <row r="1">
      <c r="A1" s="1" t="inlineStr">
        <is>
          <t>敵人：腐蝕的占卜師</t>
        </is>
      </c>
    </row>
    <row r="2"/>
    <row r="3">
      <c r="A3" s="3" t="inlineStr">
        <is>
          <t>CR：</t>
        </is>
      </c>
      <c r="B3" s="3" t="n">
        <v>2</v>
      </c>
      <c r="C3" s="7" t="n"/>
      <c r="D3" s="8" t="n"/>
    </row>
    <row r="4">
      <c r="A4" s="3" t="inlineStr">
        <is>
          <t>類型：</t>
        </is>
      </c>
      <c r="B4" s="3" t="inlineStr">
        <is>
          <t>非凡者（失控邊緣）</t>
        </is>
      </c>
      <c r="C4" s="7" t="n"/>
      <c r="D4" s="8" t="n"/>
    </row>
    <row r="5">
      <c r="A5" s="3" t="inlineStr">
        <is>
          <t>途徑/序列：</t>
        </is>
      </c>
      <c r="B5" s="3" t="inlineStr">
        <is>
          <t>占卜家/序列9</t>
        </is>
      </c>
      <c r="C5" s="7" t="n"/>
      <c r="D5" s="8" t="n"/>
    </row>
    <row r="6"/>
    <row r="7">
      <c r="A7" s="5" t="inlineStr">
        <is>
          <t>屬性</t>
        </is>
      </c>
      <c r="B7" s="6" t="inlineStr"/>
      <c r="C7" s="6" t="inlineStr"/>
      <c r="D7" s="6" t="inlineStr"/>
      <c r="E7" s="6" t="inlineStr"/>
      <c r="F7" s="6" t="inlineStr"/>
    </row>
    <row r="8">
      <c r="A8" s="3" t="inlineStr">
        <is>
          <t>風度</t>
        </is>
      </c>
      <c r="B8" s="4" t="n">
        <v>45</v>
      </c>
      <c r="C8" s="4" t="n">
        <v>30</v>
      </c>
      <c r="D8" s="4" t="n">
        <v>35</v>
      </c>
      <c r="E8" s="4" t="n">
        <v>30</v>
      </c>
      <c r="F8" s="4" t="n">
        <v>10</v>
      </c>
    </row>
    <row r="9"/>
    <row r="10">
      <c r="A10" s="5" t="inlineStr">
        <is>
          <t>衍生屬性（自動計算）</t>
        </is>
      </c>
      <c r="B10" s="6" t="inlineStr"/>
      <c r="C10" s="6" t="inlineStr"/>
      <c r="D10" s="6" t="inlineStr"/>
      <c r="E10" s="6" t="inlineStr"/>
      <c r="F10" s="6" t="inlineStr"/>
    </row>
    <row r="11">
      <c r="A11" s="3" t="inlineStr">
        <is>
          <t>HP</t>
        </is>
      </c>
      <c r="B11" s="4">
        <f>D8*2+15</f>
        <v/>
      </c>
    </row>
    <row r="12">
      <c r="A12" s="3" t="inlineStr">
        <is>
          <t>靈性池</t>
        </is>
      </c>
      <c r="B12" s="4">
        <f>B8*3+5</f>
        <v/>
      </c>
    </row>
    <row r="13">
      <c r="A13" s="3" t="inlineStr">
        <is>
          <t>失控閾值</t>
        </is>
      </c>
      <c r="B13" s="4">
        <f>C8*2+10</f>
        <v/>
      </c>
    </row>
    <row r="14">
      <c r="A14" s="3" t="inlineStr">
        <is>
          <t>失控值</t>
        </is>
      </c>
      <c r="B14" s="4" t="inlineStr">
        <is>
          <t>58</t>
        </is>
      </c>
    </row>
    <row r="15">
      <c r="A15" s="3" t="inlineStr">
        <is>
          <t>先攻</t>
        </is>
      </c>
      <c r="B15" s="4" t="inlineStr">
        <is>
          <t>30 + d10</t>
        </is>
      </c>
    </row>
    <row r="16"/>
    <row r="17">
      <c r="A17" s="5" t="inlineStr">
        <is>
          <t>攻擊方式</t>
        </is>
      </c>
      <c r="B17" s="6" t="inlineStr"/>
      <c r="C17" s="6" t="inlineStr"/>
      <c r="D17" s="6" t="inlineStr"/>
      <c r="E17" s="6" t="inlineStr"/>
      <c r="F17" s="6" t="inlineStr"/>
    </row>
    <row r="18">
      <c r="A18" s="2" t="inlineStr">
        <is>
          <t>名稱</t>
        </is>
      </c>
      <c r="B18" s="2" t="inlineStr">
        <is>
          <t>命中</t>
        </is>
      </c>
      <c r="C18" s="2" t="inlineStr">
        <is>
          <t>傷害</t>
        </is>
      </c>
      <c r="D18" s="2" t="inlineStr">
        <is>
          <t>射程</t>
        </is>
      </c>
      <c r="E18" s="2" t="inlineStr">
        <is>
          <t>特殊</t>
        </is>
      </c>
    </row>
    <row r="19">
      <c r="A19" s="3" t="inlineStr">
        <is>
          <t>匕首揮砍</t>
        </is>
      </c>
      <c r="B19" s="4" t="inlineStr">
        <is>
          <t>+10</t>
        </is>
      </c>
      <c r="C19" s="4" t="inlineStr">
        <is>
          <t>1d8+7</t>
        </is>
      </c>
      <c r="D19" s="4" t="inlineStr">
        <is>
          <t>近戰</t>
        </is>
      </c>
      <c r="E19" s="4" t="inlineStr"/>
    </row>
    <row r="20">
      <c r="A20" s="3" t="inlineStr">
        <is>
          <t>瘋狂投擲</t>
        </is>
      </c>
      <c r="B20" s="4" t="inlineStr">
        <is>
          <t>+5</t>
        </is>
      </c>
      <c r="C20" s="4" t="inlineStr">
        <is>
          <t>1d4+7</t>
        </is>
      </c>
      <c r="D20" s="4" t="inlineStr">
        <is>
          <t>10m</t>
        </is>
      </c>
      <c r="E20" s="4" t="inlineStr"/>
    </row>
    <row r="21"/>
    <row r="22">
      <c r="A22" s="5" t="inlineStr">
        <is>
          <t>特殊能力</t>
        </is>
      </c>
      <c r="B22" s="6" t="inlineStr"/>
      <c r="C22" s="6" t="inlineStr"/>
      <c r="D22" s="6" t="inlineStr"/>
      <c r="E22" s="6" t="inlineStr"/>
      <c r="F22" s="6" t="inlineStr"/>
    </row>
    <row r="23">
      <c r="A23" s="3" t="inlineStr">
        <is>
          <t>危險預感(反應/2靈性/一次攻擊-10命中，已弱化)</t>
        </is>
      </c>
      <c r="B23" s="7" t="n"/>
      <c r="C23" s="7" t="n"/>
      <c r="D23" s="7" t="n"/>
      <c r="E23" s="7" t="n"/>
      <c r="F23" s="8" t="n"/>
    </row>
    <row r="24">
      <c r="A24" s="3" t="inlineStr">
        <is>
          <t>靈擺尋蹤(已扭曲→指向靈性最強目標)</t>
        </is>
      </c>
      <c r="B24" s="7" t="n"/>
      <c r="C24" s="7" t="n"/>
      <c r="D24" s="7" t="n"/>
      <c r="E24" s="7" t="n"/>
      <c r="F24" s="8" t="n"/>
    </row>
    <row r="25">
      <c r="A25" s="3" t="inlineStr">
        <is>
          <t>失控之眼(被動/每3回合暗骰失控值+1)</t>
        </is>
      </c>
      <c r="B25" s="7" t="n"/>
      <c r="C25" s="7" t="n"/>
      <c r="D25" s="7" t="n"/>
      <c r="E25" s="7" t="n"/>
      <c r="F25" s="8" t="n"/>
    </row>
    <row r="26"/>
    <row r="27">
      <c r="A27" s="5" t="inlineStr">
        <is>
          <t>抗性與弱點</t>
        </is>
      </c>
      <c r="B27" s="6" t="inlineStr"/>
      <c r="C27" s="6" t="inlineStr"/>
      <c r="D27" s="6" t="inlineStr"/>
      <c r="E27" s="6" t="inlineStr"/>
      <c r="F27" s="6" t="inlineStr"/>
    </row>
    <row r="28">
      <c r="A28" s="3" t="inlineStr">
        <is>
          <t>抗性：</t>
        </is>
      </c>
      <c r="B28" s="3" t="inlineStr">
        <is>
          <t>無</t>
        </is>
      </c>
      <c r="C28" s="7" t="n"/>
      <c r="D28" s="7" t="n"/>
      <c r="E28" s="7" t="n"/>
      <c r="F28" s="8" t="n"/>
    </row>
    <row r="29">
      <c r="A29" s="3" t="inlineStr">
        <is>
          <t>弱點：</t>
        </is>
      </c>
      <c r="B29" s="3" t="inlineStr">
        <is>
          <t>精神傷害×1.5</t>
        </is>
      </c>
      <c r="C29" s="7" t="n"/>
      <c r="D29" s="7" t="n"/>
      <c r="E29" s="7" t="n"/>
      <c r="F29" s="8" t="n"/>
    </row>
    <row r="30">
      <c r="A30" s="3" t="inlineStr">
        <is>
          <t>掉落：</t>
        </is>
      </c>
      <c r="B30" s="3" t="inlineStr">
        <is>
          <t>靈擺(3級封印物)</t>
        </is>
      </c>
      <c r="C30" s="7" t="n"/>
      <c r="D30" s="7" t="n"/>
      <c r="E30" s="7" t="n"/>
      <c r="F30" s="8" t="n"/>
    </row>
    <row r="31">
      <c r="A31" s="3" t="inlineStr">
        <is>
          <t>戰術：</t>
        </is>
      </c>
      <c r="B31" s="3" t="inlineStr">
        <is>
          <t>偏執。攻擊靈性最高者。HP&lt;30時逃跑。</t>
        </is>
      </c>
      <c r="C31" s="7" t="n"/>
      <c r="D31" s="7" t="n"/>
      <c r="E31" s="7" t="n"/>
      <c r="F31" s="8" t="n"/>
    </row>
    <row r="32">
      <c r="A32" s="3" t="inlineStr">
        <is>
          <t>失控風險：</t>
        </is>
      </c>
      <c r="B32" s="3" t="inlineStr">
        <is>
          <t>每回合失控值+1。戰鬥中可能完全失控。</t>
        </is>
      </c>
      <c r="C32" s="7" t="n"/>
      <c r="D32" s="7" t="n"/>
      <c r="E32" s="7" t="n"/>
      <c r="F32" s="8" t="n"/>
    </row>
    <row r="33">
      <c r="A33" s="3" t="inlineStr">
        <is>
          <t>所屬劇本：</t>
        </is>
      </c>
      <c r="B33" s="3" t="inlineStr">
        <is>
          <t>劇本一《白房間的血色舞會》</t>
        </is>
      </c>
      <c r="C33" s="7" t="n"/>
      <c r="D33" s="7" t="n"/>
      <c r="E33" s="7" t="n"/>
      <c r="F33" s="8" t="n"/>
    </row>
  </sheetData>
  <mergeCells count="13">
    <mergeCell ref="A24:F24"/>
    <mergeCell ref="B30:F30"/>
    <mergeCell ref="B29:F29"/>
    <mergeCell ref="B5:D5"/>
    <mergeCell ref="B3:D3"/>
    <mergeCell ref="B33:F33"/>
    <mergeCell ref="B28:F28"/>
    <mergeCell ref="A23:F23"/>
    <mergeCell ref="B4:D4"/>
    <mergeCell ref="A1:E1"/>
    <mergeCell ref="B31:F31"/>
    <mergeCell ref="B32:F32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</cols>
  <sheetData>
    <row r="1">
      <c r="A1" s="1" t="inlineStr">
        <is>
          <t>敵人：白夫人（艾莉西亞·懷特）</t>
        </is>
      </c>
    </row>
    <row r="2"/>
    <row r="3">
      <c r="A3" s="3" t="inlineStr">
        <is>
          <t>CR：</t>
        </is>
      </c>
      <c r="B3" s="3" t="n">
        <v>6</v>
      </c>
      <c r="C3" s="7" t="n"/>
      <c r="D3" s="8" t="n"/>
    </row>
    <row r="4">
      <c r="A4" s="3" t="inlineStr">
        <is>
          <t>類型：</t>
        </is>
      </c>
      <c r="B4" s="3" t="inlineStr">
        <is>
          <t>非凡者（序列6）</t>
        </is>
      </c>
      <c r="C4" s="7" t="n"/>
      <c r="D4" s="8" t="n"/>
    </row>
    <row r="5">
      <c r="A5" s="3" t="inlineStr">
        <is>
          <t>途徑/序列：</t>
        </is>
      </c>
      <c r="B5" s="3" t="inlineStr">
        <is>
          <t>觀衆/序列6·催眠師</t>
        </is>
      </c>
      <c r="C5" s="7" t="n"/>
      <c r="D5" s="8" t="n"/>
    </row>
    <row r="6"/>
    <row r="7">
      <c r="A7" s="5" t="inlineStr">
        <is>
          <t>屬性</t>
        </is>
      </c>
      <c r="B7" s="6" t="inlineStr"/>
      <c r="C7" s="6" t="inlineStr"/>
      <c r="D7" s="6" t="inlineStr"/>
      <c r="E7" s="6" t="inlineStr"/>
      <c r="F7" s="6" t="inlineStr"/>
    </row>
    <row r="8">
      <c r="A8" s="3" t="inlineStr">
        <is>
          <t>風度</t>
        </is>
      </c>
      <c r="B8" s="4" t="n">
        <v>55</v>
      </c>
      <c r="C8" s="4" t="n">
        <v>50</v>
      </c>
      <c r="D8" s="4" t="n">
        <v>35</v>
      </c>
      <c r="E8" s="4" t="n">
        <v>45</v>
      </c>
      <c r="F8" s="4" t="n">
        <v>65</v>
      </c>
    </row>
    <row r="9"/>
    <row r="10">
      <c r="A10" s="5" t="inlineStr">
        <is>
          <t>衍生屬性（自動計算）</t>
        </is>
      </c>
      <c r="B10" s="6" t="inlineStr"/>
      <c r="C10" s="6" t="inlineStr"/>
      <c r="D10" s="6" t="inlineStr"/>
      <c r="E10" s="6" t="inlineStr"/>
      <c r="F10" s="6" t="inlineStr"/>
    </row>
    <row r="11">
      <c r="A11" s="3" t="inlineStr">
        <is>
          <t>HP</t>
        </is>
      </c>
      <c r="B11" s="4">
        <f>D8*2+15</f>
        <v/>
      </c>
    </row>
    <row r="12">
      <c r="A12" s="3" t="inlineStr">
        <is>
          <t>靈性池</t>
        </is>
      </c>
      <c r="B12" s="4">
        <f>B8*3+5</f>
        <v/>
      </c>
    </row>
    <row r="13">
      <c r="A13" s="3" t="inlineStr">
        <is>
          <t>失控閾值</t>
        </is>
      </c>
      <c r="B13" s="4">
        <f>C8*2+10</f>
        <v/>
      </c>
    </row>
    <row r="14">
      <c r="A14" s="3" t="inlineStr">
        <is>
          <t>失控值</t>
        </is>
      </c>
      <c r="B14" s="4" t="inlineStr">
        <is>
          <t>45</t>
        </is>
      </c>
    </row>
    <row r="15">
      <c r="A15" s="3" t="inlineStr">
        <is>
          <t>先攻</t>
        </is>
      </c>
      <c r="B15" s="4" t="inlineStr">
        <is>
          <t>45 + d10</t>
        </is>
      </c>
    </row>
    <row r="16"/>
    <row r="17">
      <c r="A17" s="5" t="inlineStr">
        <is>
          <t>攻擊方式</t>
        </is>
      </c>
      <c r="B17" s="6" t="inlineStr"/>
      <c r="C17" s="6" t="inlineStr"/>
      <c r="D17" s="6" t="inlineStr"/>
      <c r="E17" s="6" t="inlineStr"/>
      <c r="F17" s="6" t="inlineStr"/>
    </row>
    <row r="18">
      <c r="A18" s="2" t="inlineStr">
        <is>
          <t>名稱</t>
        </is>
      </c>
      <c r="B18" s="2" t="inlineStr">
        <is>
          <t>命中</t>
        </is>
      </c>
      <c r="C18" s="2" t="inlineStr">
        <is>
          <t>傷害</t>
        </is>
      </c>
      <c r="D18" s="2" t="inlineStr">
        <is>
          <t>射程</t>
        </is>
      </c>
      <c r="E18" s="2" t="inlineStr">
        <is>
          <t>特殊</t>
        </is>
      </c>
    </row>
    <row r="19">
      <c r="A19" s="3" t="inlineStr">
        <is>
          <t>舞蹈催眠</t>
        </is>
      </c>
      <c r="B19" s="4" t="inlineStr">
        <is>
          <t>+20(風度)</t>
        </is>
      </c>
      <c r="C19" s="4" t="inlineStr">
        <is>
          <t>魅惑(範圍)</t>
        </is>
      </c>
      <c r="D19" s="4" t="inlineStr">
        <is>
          <t>20m</t>
        </is>
      </c>
      <c r="E19" s="4" t="inlineStr">
        <is>
          <t>心智對抗失敗→魅惑1場景</t>
        </is>
      </c>
    </row>
    <row r="20">
      <c r="A20" s="3" t="inlineStr">
        <is>
          <t>情緒風暴</t>
        </is>
      </c>
      <c r="B20" s="4" t="inlineStr">
        <is>
          <t>+15(靈性)</t>
        </is>
      </c>
      <c r="C20" s="4" t="inlineStr">
        <is>
          <t>3d6精神(全場)</t>
        </is>
      </c>
      <c r="D20" s="4" t="inlineStr">
        <is>
          <t>全場</t>
        </is>
      </c>
      <c r="E20" s="4" t="inlineStr">
        <is>
          <t>範圍心靈傷害+耳語</t>
        </is>
      </c>
    </row>
    <row r="21"/>
    <row r="22">
      <c r="A22" s="5" t="inlineStr">
        <is>
          <t>特殊能力</t>
        </is>
      </c>
      <c r="B22" s="6" t="inlineStr"/>
      <c r="C22" s="6" t="inlineStr"/>
      <c r="D22" s="6" t="inlineStr"/>
      <c r="E22" s="6" t="inlineStr"/>
      <c r="F22" s="6" t="inlineStr"/>
    </row>
    <row r="23">
      <c r="A23" s="3" t="inlineStr">
        <is>
          <t>節拍操控(反應/指揮被催眠者行動)</t>
        </is>
      </c>
      <c r="B23" s="7" t="n"/>
      <c r="C23" s="7" t="n"/>
      <c r="D23" s="7" t="n"/>
      <c r="E23" s="7" t="n"/>
      <c r="F23" s="8" t="n"/>
    </row>
    <row r="24">
      <c r="A24" s="3" t="inlineStr">
        <is>
          <t>永恆華爾茲(HP&lt;50%/全屬性+5但失控值+10/回合，無法分辨敵我)</t>
        </is>
      </c>
      <c r="B24" s="7" t="n"/>
      <c r="C24" s="7" t="n"/>
      <c r="D24" s="7" t="n"/>
      <c r="E24" s="7" t="n"/>
      <c r="F24" s="8" t="n"/>
    </row>
    <row r="25">
      <c r="A25" s="3" t="inlineStr">
        <is>
          <t>存在感消隱(1AP/攻擊者-20命中)</t>
        </is>
      </c>
      <c r="B25" s="7" t="n"/>
      <c r="C25" s="7" t="n"/>
      <c r="D25" s="7" t="n"/>
      <c r="E25" s="7" t="n"/>
      <c r="F25" s="8" t="n"/>
    </row>
    <row r="26"/>
    <row r="27">
      <c r="A27" s="5" t="inlineStr">
        <is>
          <t>抗性與弱點</t>
        </is>
      </c>
      <c r="B27" s="6" t="inlineStr"/>
      <c r="C27" s="6" t="inlineStr"/>
      <c r="D27" s="6" t="inlineStr"/>
      <c r="E27" s="6" t="inlineStr"/>
      <c r="F27" s="6" t="inlineStr"/>
    </row>
    <row r="28">
      <c r="A28" s="3" t="inlineStr">
        <is>
          <t>抗性：</t>
        </is>
      </c>
      <c r="B28" s="3" t="inlineStr">
        <is>
          <t>精神傷害減半</t>
        </is>
      </c>
      <c r="C28" s="7" t="n"/>
      <c r="D28" s="7" t="n"/>
      <c r="E28" s="7" t="n"/>
      <c r="F28" s="8" t="n"/>
    </row>
    <row r="29">
      <c r="A29" s="3" t="inlineStr">
        <is>
          <t>弱點：</t>
        </is>
      </c>
      <c r="B29" s="3" t="inlineStr">
        <is>
          <t>面對火災真相時心智-20；展示其過去可動搖能力</t>
        </is>
      </c>
      <c r="C29" s="7" t="n"/>
      <c r="D29" s="7" t="n"/>
      <c r="E29" s="7" t="n"/>
      <c r="F29" s="8" t="n"/>
    </row>
    <row r="30">
      <c r="A30" s="3" t="inlineStr">
        <is>
          <t>掉落：</t>
        </is>
      </c>
      <c r="B30" s="3" t="inlineStr">
        <is>
          <t>永恆節拍器(2級封印物)</t>
        </is>
      </c>
      <c r="C30" s="7" t="n"/>
      <c r="D30" s="7" t="n"/>
      <c r="E30" s="7" t="n"/>
      <c r="F30" s="8" t="n"/>
    </row>
    <row r="31">
      <c r="A31" s="3" t="inlineStr">
        <is>
          <t>戰術：</t>
        </is>
      </c>
      <c r="B31" s="3" t="inlineStr">
        <is>
          <t>讓被控賓客擋前排。HP&lt;50%觸發"永恆華爾茲"暴走。</t>
        </is>
      </c>
      <c r="C31" s="7" t="n"/>
      <c r="D31" s="7" t="n"/>
      <c r="E31" s="7" t="n"/>
      <c r="F31" s="8" t="n"/>
    </row>
    <row r="32">
      <c r="A32" s="3" t="inlineStr">
        <is>
          <t>失控風險：</t>
        </is>
      </c>
      <c r="B32" s="3" t="inlineStr">
        <is>
          <t>失控值45/110。暴走狀態失控值每回合+10。</t>
        </is>
      </c>
      <c r="C32" s="7" t="n"/>
      <c r="D32" s="7" t="n"/>
      <c r="E32" s="7" t="n"/>
      <c r="F32" s="8" t="n"/>
    </row>
    <row r="33">
      <c r="A33" s="3" t="inlineStr">
        <is>
          <t>所屬劇本：</t>
        </is>
      </c>
      <c r="B33" s="3" t="inlineStr">
        <is>
          <t>劇本一《白房間的血色舞會》（主反派）</t>
        </is>
      </c>
      <c r="C33" s="7" t="n"/>
      <c r="D33" s="7" t="n"/>
      <c r="E33" s="7" t="n"/>
      <c r="F33" s="8" t="n"/>
    </row>
  </sheetData>
  <mergeCells count="13">
    <mergeCell ref="A24:F24"/>
    <mergeCell ref="B30:F30"/>
    <mergeCell ref="B29:F29"/>
    <mergeCell ref="B5:D5"/>
    <mergeCell ref="B3:D3"/>
    <mergeCell ref="B33:F33"/>
    <mergeCell ref="B28:F28"/>
    <mergeCell ref="A23:F23"/>
    <mergeCell ref="B4:D4"/>
    <mergeCell ref="A1:E1"/>
    <mergeCell ref="B31:F31"/>
    <mergeCell ref="B32:F32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</cols>
  <sheetData>
    <row r="1">
      <c r="A1" s="1" t="inlineStr">
        <is>
          <t>敵人：莫里森廠長</t>
        </is>
      </c>
    </row>
    <row r="2"/>
    <row r="3">
      <c r="A3" s="3" t="inlineStr">
        <is>
          <t>CR：</t>
        </is>
      </c>
      <c r="B3" s="3" t="n">
        <v>4</v>
      </c>
      <c r="C3" s="7" t="n"/>
      <c r="D3" s="8" t="n"/>
    </row>
    <row r="4">
      <c r="A4" s="3" t="inlineStr">
        <is>
          <t>類型：</t>
        </is>
      </c>
      <c r="B4" s="3" t="inlineStr">
        <is>
          <t>非凡者（序列7）</t>
        </is>
      </c>
      <c r="C4" s="7" t="n"/>
      <c r="D4" s="8" t="n"/>
    </row>
    <row r="5">
      <c r="A5" s="3" t="inlineStr">
        <is>
          <t>途徑/序列：</t>
        </is>
      </c>
      <c r="B5" s="3" t="inlineStr">
        <is>
          <t>祕祈人/序列7·隱修士</t>
        </is>
      </c>
      <c r="C5" s="7" t="n"/>
      <c r="D5" s="8" t="n"/>
    </row>
    <row r="6"/>
    <row r="7">
      <c r="A7" s="5" t="inlineStr">
        <is>
          <t>屬性</t>
        </is>
      </c>
      <c r="B7" s="6" t="inlineStr"/>
      <c r="C7" s="6" t="inlineStr"/>
      <c r="D7" s="6" t="inlineStr"/>
      <c r="E7" s="6" t="inlineStr"/>
      <c r="F7" s="6" t="inlineStr"/>
    </row>
    <row r="8">
      <c r="A8" s="3" t="inlineStr">
        <is>
          <t>風度</t>
        </is>
      </c>
      <c r="B8" s="4" t="n">
        <v>60</v>
      </c>
      <c r="C8" s="4" t="n">
        <v>45</v>
      </c>
      <c r="D8" s="4" t="n">
        <v>40</v>
      </c>
      <c r="E8" s="4" t="n">
        <v>30</v>
      </c>
      <c r="F8" s="4" t="n">
        <v>30</v>
      </c>
    </row>
    <row r="9"/>
    <row r="10">
      <c r="A10" s="5" t="inlineStr">
        <is>
          <t>衍生屬性（自動計算）</t>
        </is>
      </c>
      <c r="B10" s="6" t="inlineStr"/>
      <c r="C10" s="6" t="inlineStr"/>
      <c r="D10" s="6" t="inlineStr"/>
      <c r="E10" s="6" t="inlineStr"/>
      <c r="F10" s="6" t="inlineStr"/>
    </row>
    <row r="11">
      <c r="A11" s="3" t="inlineStr">
        <is>
          <t>HP</t>
        </is>
      </c>
      <c r="B11" s="4">
        <f>D8*2+15</f>
        <v/>
      </c>
    </row>
    <row r="12">
      <c r="A12" s="3" t="inlineStr">
        <is>
          <t>靈性池</t>
        </is>
      </c>
      <c r="B12" s="4">
        <f>B8*3+5</f>
        <v/>
      </c>
    </row>
    <row r="13">
      <c r="A13" s="3" t="inlineStr">
        <is>
          <t>失控閾值</t>
        </is>
      </c>
      <c r="B13" s="4">
        <f>C8*2+10</f>
        <v/>
      </c>
    </row>
    <row r="14">
      <c r="A14" s="3" t="inlineStr">
        <is>
          <t>失控值</t>
        </is>
      </c>
      <c r="B14" s="4" t="inlineStr">
        <is>
          <t>35</t>
        </is>
      </c>
    </row>
    <row r="15">
      <c r="A15" s="3" t="inlineStr">
        <is>
          <t>先攻</t>
        </is>
      </c>
      <c r="B15" s="4" t="inlineStr">
        <is>
          <t>30 + d10</t>
        </is>
      </c>
    </row>
    <row r="16"/>
    <row r="17">
      <c r="A17" s="5" t="inlineStr">
        <is>
          <t>攻擊方式</t>
        </is>
      </c>
      <c r="B17" s="6" t="inlineStr"/>
      <c r="C17" s="6" t="inlineStr"/>
      <c r="D17" s="6" t="inlineStr"/>
      <c r="E17" s="6" t="inlineStr"/>
      <c r="F17" s="6" t="inlineStr"/>
    </row>
    <row r="18">
      <c r="A18" s="2" t="inlineStr">
        <is>
          <t>名稱</t>
        </is>
      </c>
      <c r="B18" s="2" t="inlineStr">
        <is>
          <t>命中</t>
        </is>
      </c>
      <c r="C18" s="2" t="inlineStr">
        <is>
          <t>傷害</t>
        </is>
      </c>
      <c r="D18" s="2" t="inlineStr">
        <is>
          <t>射程</t>
        </is>
      </c>
      <c r="E18" s="2" t="inlineStr">
        <is>
          <t>特殊</t>
        </is>
      </c>
    </row>
    <row r="19">
      <c r="A19" s="3" t="inlineStr">
        <is>
          <t>暗影之觸</t>
        </is>
      </c>
      <c r="B19" s="4" t="inlineStr">
        <is>
          <t>+15</t>
        </is>
      </c>
      <c r="C19" s="4" t="inlineStr">
        <is>
          <t>3d6暗</t>
        </is>
      </c>
      <c r="D19" s="4" t="inlineStr">
        <is>
          <t>近戰</t>
        </is>
      </c>
      <c r="E19" s="4" t="inlineStr">
        <is>
          <t>體魄失敗→暗影污染(1d4/回合×2)</t>
        </is>
      </c>
    </row>
    <row r="20">
      <c r="A20" s="3" t="inlineStr">
        <is>
          <t>獻祭之刃</t>
        </is>
      </c>
      <c r="B20" s="4" t="inlineStr">
        <is>
          <t>+15</t>
        </is>
      </c>
      <c r="C20" s="4" t="inlineStr">
        <is>
          <t>2d8暗+詛咒</t>
        </is>
      </c>
      <c r="D20" s="4" t="inlineStr">
        <is>
          <t>10m</t>
        </is>
      </c>
      <c r="E20" s="4" t="inlineStr">
        <is>
          <t>命中後目標檢定-10持續2回合</t>
        </is>
      </c>
    </row>
    <row r="21"/>
    <row r="22">
      <c r="A22" s="5" t="inlineStr">
        <is>
          <t>特殊能力</t>
        </is>
      </c>
      <c r="B22" s="6" t="inlineStr"/>
      <c r="C22" s="6" t="inlineStr"/>
      <c r="D22" s="6" t="inlineStr"/>
      <c r="E22" s="6" t="inlineStr"/>
      <c r="F22" s="6" t="inlineStr"/>
    </row>
    <row r="23">
      <c r="A23" s="3" t="inlineStr">
        <is>
          <t>暗影潛行(1AP/5靈性/完全隱匿於陰影)</t>
        </is>
      </c>
      <c r="B23" s="7" t="n"/>
      <c r="C23" s="7" t="n"/>
      <c r="D23" s="7" t="n"/>
      <c r="E23" s="7" t="n"/>
      <c r="F23" s="8" t="n"/>
    </row>
    <row r="24">
      <c r="A24" s="3" t="inlineStr">
        <is>
          <t>隱密儀式(全回合/持續給隱密存在獻祭)</t>
        </is>
      </c>
      <c r="B24" s="7" t="n"/>
      <c r="C24" s="7" t="n"/>
      <c r="D24" s="7" t="n"/>
      <c r="E24" s="7" t="n"/>
      <c r="F24" s="8" t="n"/>
    </row>
    <row r="25">
      <c r="A25" s="3" t="inlineStr">
        <is>
          <t>召喚暗影僕從(2AP/10靈性/召喚序列9祕祈人×2)</t>
        </is>
      </c>
      <c r="B25" s="7" t="n"/>
      <c r="C25" s="7" t="n"/>
      <c r="D25" s="7" t="n"/>
      <c r="E25" s="7" t="n"/>
      <c r="F25" s="8" t="n"/>
    </row>
    <row r="26"/>
    <row r="27">
      <c r="A27" s="5" t="inlineStr">
        <is>
          <t>抗性與弱點</t>
        </is>
      </c>
      <c r="B27" s="6" t="inlineStr"/>
      <c r="C27" s="6" t="inlineStr"/>
      <c r="D27" s="6" t="inlineStr"/>
      <c r="E27" s="6" t="inlineStr"/>
      <c r="F27" s="6" t="inlineStr"/>
    </row>
    <row r="28">
      <c r="A28" s="3" t="inlineStr">
        <is>
          <t>抗性：</t>
        </is>
      </c>
      <c r="B28" s="3" t="inlineStr">
        <is>
          <t>暗減半</t>
        </is>
      </c>
      <c r="C28" s="7" t="n"/>
      <c r="D28" s="7" t="n"/>
      <c r="E28" s="7" t="n"/>
      <c r="F28" s="8" t="n"/>
    </row>
    <row r="29">
      <c r="A29" s="3" t="inlineStr">
        <is>
          <t>弱點：</t>
        </is>
      </c>
      <c r="B29" s="3" t="inlineStr">
        <is>
          <t>強光環境暗影潛行失效；儀式被打斷→+10失控值</t>
        </is>
      </c>
      <c r="C29" s="7" t="n"/>
      <c r="D29" s="7" t="n"/>
      <c r="E29" s="7" t="n"/>
      <c r="F29" s="8" t="n"/>
    </row>
    <row r="30">
      <c r="A30" s="3" t="inlineStr">
        <is>
          <t>掉落：</t>
        </is>
      </c>
      <c r="B30" s="3" t="inlineStr">
        <is>
          <t>暗影符文×3、獻祭之刃(2級封印物)</t>
        </is>
      </c>
      <c r="C30" s="7" t="n"/>
      <c r="D30" s="7" t="n"/>
      <c r="E30" s="7" t="n"/>
      <c r="F30" s="8" t="n"/>
    </row>
    <row r="31">
      <c r="A31" s="3" t="inlineStr">
        <is>
          <t>戰術：</t>
        </is>
      </c>
      <c r="B31" s="3" t="inlineStr">
        <is>
          <t>利用蒸汽遮蔽。暗影僕從擋刀。HP&lt;50%嘗試獻祭自身換取力量。</t>
        </is>
      </c>
      <c r="C31" s="7" t="n"/>
      <c r="D31" s="7" t="n"/>
      <c r="E31" s="7" t="n"/>
      <c r="F31" s="8" t="n"/>
    </row>
    <row r="32">
      <c r="A32" s="3" t="inlineStr">
        <is>
          <t>失控風險：</t>
        </is>
      </c>
      <c r="B32" s="3" t="inlineStr">
        <is>
          <t>失控值35/100。儀式被打斷後失控邊緣。</t>
        </is>
      </c>
      <c r="C32" s="7" t="n"/>
      <c r="D32" s="7" t="n"/>
      <c r="E32" s="7" t="n"/>
      <c r="F32" s="8" t="n"/>
    </row>
    <row r="33">
      <c r="A33" s="3" t="inlineStr">
        <is>
          <t>所屬劇本：</t>
        </is>
      </c>
      <c r="B33" s="3" t="inlineStr">
        <is>
          <t>劇本二《灰霧下的低語》（主反派）</t>
        </is>
      </c>
      <c r="C33" s="7" t="n"/>
      <c r="D33" s="7" t="n"/>
      <c r="E33" s="7" t="n"/>
      <c r="F33" s="8" t="n"/>
    </row>
  </sheetData>
  <mergeCells count="13">
    <mergeCell ref="A24:F24"/>
    <mergeCell ref="B30:F30"/>
    <mergeCell ref="B29:F29"/>
    <mergeCell ref="B5:D5"/>
    <mergeCell ref="B3:D3"/>
    <mergeCell ref="B33:F33"/>
    <mergeCell ref="B28:F28"/>
    <mergeCell ref="A23:F23"/>
    <mergeCell ref="B4:D4"/>
    <mergeCell ref="A1:E1"/>
    <mergeCell ref="B31:F31"/>
    <mergeCell ref="B32:F32"/>
    <mergeCell ref="A25:F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</cols>
  <sheetData>
    <row r="1">
      <c r="A1" s="1" t="inlineStr">
        <is>
          <t>敵人：暗影僕從</t>
        </is>
      </c>
    </row>
    <row r="2"/>
    <row r="3">
      <c r="A3" s="3" t="inlineStr">
        <is>
          <t>CR：</t>
        </is>
      </c>
      <c r="B3" s="3" t="n">
        <v>2</v>
      </c>
      <c r="C3" s="7" t="n"/>
      <c r="D3" s="8" t="n"/>
    </row>
    <row r="4">
      <c r="A4" s="3" t="inlineStr">
        <is>
          <t>類型：</t>
        </is>
      </c>
      <c r="B4" s="3" t="inlineStr">
        <is>
          <t>非凡者（召喚物）</t>
        </is>
      </c>
      <c r="C4" s="7" t="n"/>
      <c r="D4" s="8" t="n"/>
    </row>
    <row r="5">
      <c r="A5" s="3" t="inlineStr">
        <is>
          <t>途徑/序列：</t>
        </is>
      </c>
      <c r="B5" s="3" t="inlineStr">
        <is>
          <t>祕祈人/序列9</t>
        </is>
      </c>
      <c r="C5" s="7" t="n"/>
      <c r="D5" s="8" t="n"/>
    </row>
    <row r="6"/>
    <row r="7">
      <c r="A7" s="5" t="inlineStr">
        <is>
          <t>屬性</t>
        </is>
      </c>
      <c r="B7" s="6" t="inlineStr"/>
      <c r="C7" s="6" t="inlineStr"/>
      <c r="D7" s="6" t="inlineStr"/>
      <c r="E7" s="6" t="inlineStr"/>
      <c r="F7" s="6" t="inlineStr"/>
    </row>
    <row r="8">
      <c r="A8" s="3" t="inlineStr">
        <is>
          <t>風度</t>
        </is>
      </c>
      <c r="B8" s="4" t="n">
        <v>40</v>
      </c>
      <c r="C8" s="4" t="n">
        <v>20</v>
      </c>
      <c r="D8" s="4" t="n">
        <v>35</v>
      </c>
      <c r="E8" s="4" t="n">
        <v>25</v>
      </c>
      <c r="F8" s="4" t="n">
        <v>5</v>
      </c>
    </row>
    <row r="9"/>
    <row r="10">
      <c r="A10" s="5" t="inlineStr">
        <is>
          <t>衍生屬性（自動計算）</t>
        </is>
      </c>
      <c r="B10" s="6" t="inlineStr"/>
      <c r="C10" s="6" t="inlineStr"/>
      <c r="D10" s="6" t="inlineStr"/>
      <c r="E10" s="6" t="inlineStr"/>
      <c r="F10" s="6" t="inlineStr"/>
    </row>
    <row r="11">
      <c r="A11" s="3" t="inlineStr">
        <is>
          <t>HP</t>
        </is>
      </c>
      <c r="B11" s="4">
        <f>D8*2+15</f>
        <v/>
      </c>
    </row>
    <row r="12">
      <c r="A12" s="3" t="inlineStr">
        <is>
          <t>靈性池</t>
        </is>
      </c>
      <c r="B12" s="4">
        <f>B8*3+5</f>
        <v/>
      </c>
    </row>
    <row r="13">
      <c r="A13" s="3" t="inlineStr">
        <is>
          <t>失控閾值</t>
        </is>
      </c>
      <c r="B13" s="4">
        <f>C8*2+10</f>
        <v/>
      </c>
    </row>
    <row r="14">
      <c r="A14" s="3" t="inlineStr">
        <is>
          <t>先攻</t>
        </is>
      </c>
      <c r="B14" s="4" t="inlineStr">
        <is>
          <t>25 + d10</t>
        </is>
      </c>
    </row>
    <row r="15"/>
    <row r="16">
      <c r="A16" s="5" t="inlineStr">
        <is>
          <t>攻擊方式</t>
        </is>
      </c>
      <c r="B16" s="6" t="inlineStr"/>
      <c r="C16" s="6" t="inlineStr"/>
      <c r="D16" s="6" t="inlineStr"/>
      <c r="E16" s="6" t="inlineStr"/>
      <c r="F16" s="6" t="inlineStr"/>
    </row>
    <row r="17">
      <c r="A17" s="2" t="inlineStr">
        <is>
          <t>名稱</t>
        </is>
      </c>
      <c r="B17" s="2" t="inlineStr">
        <is>
          <t>命中</t>
        </is>
      </c>
      <c r="C17" s="2" t="inlineStr">
        <is>
          <t>傷害</t>
        </is>
      </c>
      <c r="D17" s="2" t="inlineStr">
        <is>
          <t>射程</t>
        </is>
      </c>
      <c r="E17" s="2" t="inlineStr">
        <is>
          <t>特殊</t>
        </is>
      </c>
    </row>
    <row r="18">
      <c r="A18" s="3" t="inlineStr">
        <is>
          <t>暗影爪擊</t>
        </is>
      </c>
      <c r="B18" s="4" t="inlineStr">
        <is>
          <t>+10</t>
        </is>
      </c>
      <c r="C18" s="4" t="inlineStr">
        <is>
          <t>1d8+7暗</t>
        </is>
      </c>
      <c r="D18" s="4" t="inlineStr">
        <is>
          <t>近戰</t>
        </is>
      </c>
      <c r="E18" s="4" t="inlineStr"/>
    </row>
    <row r="19"/>
    <row r="20">
      <c r="A20" s="5" t="inlineStr">
        <is>
          <t>特殊能力</t>
        </is>
      </c>
      <c r="B20" s="6" t="inlineStr"/>
      <c r="C20" s="6" t="inlineStr"/>
      <c r="D20" s="6" t="inlineStr"/>
      <c r="E20" s="6" t="inlineStr"/>
      <c r="F20" s="6" t="inlineStr"/>
    </row>
    <row r="21">
      <c r="A21" s="3" t="inlineStr">
        <is>
          <t>暗影體質(被動/物理傷害減半，光明傷害×2)</t>
        </is>
      </c>
      <c r="B21" s="7" t="n"/>
      <c r="C21" s="7" t="n"/>
      <c r="D21" s="7" t="n"/>
      <c r="E21" s="7" t="n"/>
      <c r="F21" s="8" t="n"/>
    </row>
    <row r="22">
      <c r="A22" s="3" t="inlineStr">
        <is>
          <t>獻祭共鳴(被動/與召喚者共享失控值累積)</t>
        </is>
      </c>
      <c r="B22" s="7" t="n"/>
      <c r="C22" s="7" t="n"/>
      <c r="D22" s="7" t="n"/>
      <c r="E22" s="7" t="n"/>
      <c r="F22" s="8" t="n"/>
    </row>
    <row r="23"/>
    <row r="24">
      <c r="A24" s="5" t="inlineStr">
        <is>
          <t>抗性與弱點</t>
        </is>
      </c>
      <c r="B24" s="6" t="inlineStr"/>
      <c r="C24" s="6" t="inlineStr"/>
      <c r="D24" s="6" t="inlineStr"/>
      <c r="E24" s="6" t="inlineStr"/>
      <c r="F24" s="6" t="inlineStr"/>
    </row>
    <row r="25">
      <c r="A25" s="3" t="inlineStr">
        <is>
          <t>抗性：</t>
        </is>
      </c>
      <c r="B25" s="3" t="inlineStr">
        <is>
          <t>物理減半</t>
        </is>
      </c>
      <c r="C25" s="7" t="n"/>
      <c r="D25" s="7" t="n"/>
      <c r="E25" s="7" t="n"/>
      <c r="F25" s="8" t="n"/>
    </row>
    <row r="26">
      <c r="A26" s="3" t="inlineStr">
        <is>
          <t>弱點：</t>
        </is>
      </c>
      <c r="B26" s="3" t="inlineStr">
        <is>
          <t>光明傷害×2</t>
        </is>
      </c>
      <c r="C26" s="7" t="n"/>
      <c r="D26" s="7" t="n"/>
      <c r="E26" s="7" t="n"/>
      <c r="F26" s="8" t="n"/>
    </row>
    <row r="27">
      <c r="A27" s="3" t="inlineStr">
        <is>
          <t>掉落：</t>
        </is>
      </c>
      <c r="B27" s="3" t="inlineStr">
        <is>
          <t>無</t>
        </is>
      </c>
      <c r="C27" s="7" t="n"/>
      <c r="D27" s="7" t="n"/>
      <c r="E27" s="7" t="n"/>
      <c r="F27" s="8" t="n"/>
    </row>
    <row r="28">
      <c r="A28" s="3" t="inlineStr">
        <is>
          <t>戰術：</t>
        </is>
      </c>
      <c r="B28" s="3" t="inlineStr">
        <is>
          <t>擋在召喚者前方。不計代價保護召喚者。</t>
        </is>
      </c>
      <c r="C28" s="7" t="n"/>
      <c r="D28" s="7" t="n"/>
      <c r="E28" s="7" t="n"/>
      <c r="F28" s="8" t="n"/>
    </row>
    <row r="29">
      <c r="A29" s="3" t="inlineStr">
        <is>
          <t>失控風險：</t>
        </is>
      </c>
      <c r="B29" s="3" t="inlineStr">
        <is>
          <t>無獨立失控風險。</t>
        </is>
      </c>
      <c r="C29" s="7" t="n"/>
      <c r="D29" s="7" t="n"/>
      <c r="E29" s="7" t="n"/>
      <c r="F29" s="8" t="n"/>
    </row>
    <row r="30">
      <c r="A30" s="3" t="inlineStr">
        <is>
          <t>所屬劇本：</t>
        </is>
      </c>
      <c r="B30" s="3" t="inlineStr">
        <is>
          <t>劇本二《灰霧下的低語》（雜兵）</t>
        </is>
      </c>
      <c r="C30" s="7" t="n"/>
      <c r="D30" s="7" t="n"/>
      <c r="E30" s="7" t="n"/>
      <c r="F30" s="8" t="n"/>
    </row>
  </sheetData>
  <mergeCells count="12">
    <mergeCell ref="B30:F30"/>
    <mergeCell ref="B3:D3"/>
    <mergeCell ref="B5:D5"/>
    <mergeCell ref="B29:F29"/>
    <mergeCell ref="B25:F25"/>
    <mergeCell ref="B28:F28"/>
    <mergeCell ref="B4:D4"/>
    <mergeCell ref="A1:E1"/>
    <mergeCell ref="A22:F22"/>
    <mergeCell ref="A21:F21"/>
    <mergeCell ref="B26:F26"/>
    <mergeCell ref="B27:F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</cols>
  <sheetData>
    <row r="1">
      <c r="A1" s="1" t="inlineStr">
        <is>
          <t>敵人：瓦萊麗</t>
        </is>
      </c>
    </row>
    <row r="2"/>
    <row r="3">
      <c r="A3" s="3" t="inlineStr">
        <is>
          <t>CR：</t>
        </is>
      </c>
      <c r="B3" s="3" t="n">
        <v>5</v>
      </c>
      <c r="C3" s="7" t="n"/>
      <c r="D3" s="8" t="n"/>
    </row>
    <row r="4">
      <c r="A4" s="3" t="inlineStr">
        <is>
          <t>類型：</t>
        </is>
      </c>
      <c r="B4" s="3" t="inlineStr">
        <is>
          <t>非凡者（序列6）</t>
        </is>
      </c>
      <c r="C4" s="7" t="n"/>
      <c r="D4" s="8" t="n"/>
    </row>
    <row r="5">
      <c r="A5" s="3" t="inlineStr">
        <is>
          <t>途徑/序列：</t>
        </is>
      </c>
      <c r="B5" s="3" t="inlineStr">
        <is>
          <t>通識者/序列6·工匠</t>
        </is>
      </c>
      <c r="C5" s="7" t="n"/>
      <c r="D5" s="8" t="n"/>
    </row>
    <row r="6"/>
    <row r="7">
      <c r="A7" s="5" t="inlineStr">
        <is>
          <t>屬性</t>
        </is>
      </c>
      <c r="B7" s="6" t="inlineStr"/>
      <c r="C7" s="6" t="inlineStr"/>
      <c r="D7" s="6" t="inlineStr"/>
      <c r="E7" s="6" t="inlineStr"/>
      <c r="F7" s="6" t="inlineStr"/>
    </row>
    <row r="8">
      <c r="A8" s="3" t="inlineStr">
        <is>
          <t>風度</t>
        </is>
      </c>
      <c r="B8" s="4" t="n">
        <v>40</v>
      </c>
      <c r="C8" s="4" t="n">
        <v>60</v>
      </c>
      <c r="D8" s="4" t="n">
        <v>35</v>
      </c>
      <c r="E8" s="4" t="n">
        <v>45</v>
      </c>
      <c r="F8" s="4" t="n">
        <v>35</v>
      </c>
    </row>
    <row r="9"/>
    <row r="10">
      <c r="A10" s="5" t="inlineStr">
        <is>
          <t>衍生屬性（自動計算）</t>
        </is>
      </c>
      <c r="B10" s="6" t="inlineStr"/>
      <c r="C10" s="6" t="inlineStr"/>
      <c r="D10" s="6" t="inlineStr"/>
      <c r="E10" s="6" t="inlineStr"/>
      <c r="F10" s="6" t="inlineStr"/>
    </row>
    <row r="11">
      <c r="A11" s="3" t="inlineStr">
        <is>
          <t>HP</t>
        </is>
      </c>
      <c r="B11" s="4">
        <f>D8*2+15</f>
        <v/>
      </c>
    </row>
    <row r="12">
      <c r="A12" s="3" t="inlineStr">
        <is>
          <t>靈性池</t>
        </is>
      </c>
      <c r="B12" s="4">
        <f>B8*3+5</f>
        <v/>
      </c>
    </row>
    <row r="13">
      <c r="A13" s="3" t="inlineStr">
        <is>
          <t>失控閾值</t>
        </is>
      </c>
      <c r="B13" s="4">
        <f>C8*2+10</f>
        <v/>
      </c>
    </row>
    <row r="14">
      <c r="A14" s="3" t="inlineStr">
        <is>
          <t>失控值</t>
        </is>
      </c>
      <c r="B14" s="4" t="inlineStr">
        <is>
          <t>20</t>
        </is>
      </c>
    </row>
    <row r="15">
      <c r="A15" s="3" t="inlineStr">
        <is>
          <t>先攻</t>
        </is>
      </c>
      <c r="B15" s="4" t="inlineStr">
        <is>
          <t>45 + d10</t>
        </is>
      </c>
    </row>
    <row r="16"/>
    <row r="17">
      <c r="A17" s="5" t="inlineStr">
        <is>
          <t>攻擊方式</t>
        </is>
      </c>
      <c r="B17" s="6" t="inlineStr"/>
      <c r="C17" s="6" t="inlineStr"/>
      <c r="D17" s="6" t="inlineStr"/>
      <c r="E17" s="6" t="inlineStr"/>
      <c r="F17" s="6" t="inlineStr"/>
    </row>
    <row r="18">
      <c r="A18" s="2" t="inlineStr">
        <is>
          <t>名稱</t>
        </is>
      </c>
      <c r="B18" s="2" t="inlineStr">
        <is>
          <t>命中</t>
        </is>
      </c>
      <c r="C18" s="2" t="inlineStr">
        <is>
          <t>傷害</t>
        </is>
      </c>
      <c r="D18" s="2" t="inlineStr">
        <is>
          <t>射程</t>
        </is>
      </c>
      <c r="E18" s="2" t="inlineStr">
        <is>
          <t>特殊</t>
        </is>
      </c>
    </row>
    <row r="19">
      <c r="A19" s="3" t="inlineStr">
        <is>
          <t>蒸汽噴射</t>
        </is>
      </c>
      <c r="B19" s="4" t="inlineStr">
        <is>
          <t>+20</t>
        </is>
      </c>
      <c r="C19" s="4" t="inlineStr">
        <is>
          <t>2d8火</t>
        </is>
      </c>
      <c r="D19" s="4" t="inlineStr">
        <is>
          <t>10m</t>
        </is>
      </c>
      <c r="E19" s="4" t="inlineStr">
        <is>
          <t>擊退3m</t>
        </is>
      </c>
    </row>
    <row r="20">
      <c r="A20" s="3" t="inlineStr">
        <is>
          <t>扳手重擊</t>
        </is>
      </c>
      <c r="B20" s="4" t="inlineStr">
        <is>
          <t>+20</t>
        </is>
      </c>
      <c r="C20" s="4" t="inlineStr">
        <is>
          <t>2d6+10</t>
        </is>
      </c>
      <c r="D20" s="4" t="inlineStr">
        <is>
          <t>近戰</t>
        </is>
      </c>
      <c r="E20" s="4" t="inlineStr"/>
    </row>
    <row r="21"/>
    <row r="22">
      <c r="A22" s="5" t="inlineStr">
        <is>
          <t>特殊能力</t>
        </is>
      </c>
      <c r="B22" s="6" t="inlineStr"/>
      <c r="C22" s="6" t="inlineStr"/>
      <c r="D22" s="6" t="inlineStr"/>
      <c r="E22" s="6" t="inlineStr"/>
      <c r="F22" s="6" t="inlineStr"/>
    </row>
    <row r="23">
      <c r="A23" s="3" t="inlineStr">
        <is>
          <t>機械操控(1AP/3靈性/操控差分機及環境機械)</t>
        </is>
      </c>
      <c r="B23" s="7" t="n"/>
      <c r="C23" s="7" t="n"/>
      <c r="D23" s="7" t="n"/>
      <c r="E23" s="7" t="n"/>
      <c r="F23" s="8" t="n"/>
    </row>
    <row r="24">
      <c r="A24" s="3" t="inlineStr">
        <is>
          <t>精密陷阱(準備/設置3個)，傷害2d8+燃燒</t>
        </is>
      </c>
      <c r="B24" s="7" t="n"/>
      <c r="C24" s="7" t="n"/>
      <c r="D24" s="7" t="n"/>
      <c r="E24" s="7" t="n"/>
      <c r="F24" s="8" t="n"/>
    </row>
    <row r="25">
      <c r="A25" s="3" t="inlineStr">
        <is>
          <t>封印物拆解(可拆卸封印物獲得零件)</t>
        </is>
      </c>
      <c r="B25" s="7" t="n"/>
      <c r="C25" s="7" t="n"/>
      <c r="D25" s="7" t="n"/>
      <c r="E25" s="7" t="n"/>
      <c r="F25" s="8" t="n"/>
    </row>
    <row r="26">
      <c r="A26" s="3" t="inlineStr">
        <is>
          <t>持有血契之杯(2級/可強制籤契約)</t>
        </is>
      </c>
      <c r="B26" s="7" t="n"/>
      <c r="C26" s="7" t="n"/>
      <c r="D26" s="7" t="n"/>
      <c r="E26" s="7" t="n"/>
      <c r="F26" s="8" t="n"/>
    </row>
    <row r="27"/>
    <row r="28">
      <c r="A28" s="5" t="inlineStr">
        <is>
          <t>抗性與弱點</t>
        </is>
      </c>
      <c r="B28" s="6" t="inlineStr"/>
      <c r="C28" s="6" t="inlineStr"/>
      <c r="D28" s="6" t="inlineStr"/>
      <c r="E28" s="6" t="inlineStr"/>
      <c r="F28" s="6" t="inlineStr"/>
    </row>
    <row r="29">
      <c r="A29" s="3" t="inlineStr">
        <is>
          <t>抗性：</t>
        </is>
      </c>
      <c r="B29" s="3" t="inlineStr">
        <is>
          <t>火減半</t>
        </is>
      </c>
      <c r="C29" s="7" t="n"/>
      <c r="D29" s="7" t="n"/>
      <c r="E29" s="7" t="n"/>
      <c r="F29" s="8" t="n"/>
    </row>
    <row r="30">
      <c r="A30" s="3" t="inlineStr">
        <is>
          <t>弱點：</t>
        </is>
      </c>
      <c r="B30" s="3" t="inlineStr">
        <is>
          <t>差分機破壞後能力減半</t>
        </is>
      </c>
      <c r="C30" s="7" t="n"/>
      <c r="D30" s="7" t="n"/>
      <c r="E30" s="7" t="n"/>
      <c r="F30" s="8" t="n"/>
    </row>
    <row r="31">
      <c r="A31" s="3" t="inlineStr">
        <is>
          <t>掉落：</t>
        </is>
      </c>
      <c r="B31" s="3" t="inlineStr">
        <is>
          <t>研究筆記、差分機零件、血契之杯(2級封印物)</t>
        </is>
      </c>
      <c r="C31" s="7" t="n"/>
      <c r="D31" s="7" t="n"/>
      <c r="E31" s="7" t="n"/>
      <c r="F31" s="8" t="n"/>
    </row>
    <row r="32">
      <c r="A32" s="3" t="inlineStr">
        <is>
          <t>戰術：</t>
        </is>
      </c>
      <c r="B32" s="3" t="inlineStr">
        <is>
          <t>利用傳送帶和陷阱控制戰場。差分機受損後親自上陣。</t>
        </is>
      </c>
      <c r="C32" s="7" t="n"/>
      <c r="D32" s="7" t="n"/>
      <c r="E32" s="7" t="n"/>
      <c r="F32" s="8" t="n"/>
    </row>
    <row r="33">
      <c r="A33" s="3" t="inlineStr">
        <is>
          <t>失控風險：</t>
        </is>
      </c>
      <c r="B33" s="3" t="inlineStr">
        <is>
          <t>失控值20/130，低風險。</t>
        </is>
      </c>
      <c r="C33" s="7" t="n"/>
      <c r="D33" s="7" t="n"/>
      <c r="E33" s="7" t="n"/>
      <c r="F33" s="8" t="n"/>
    </row>
    <row r="34">
      <c r="A34" s="3" t="inlineStr">
        <is>
          <t>所屬劇本：</t>
        </is>
      </c>
      <c r="B34" s="3" t="inlineStr">
        <is>
          <t>劇本三《第十號倉庫》（反派）</t>
        </is>
      </c>
      <c r="C34" s="7" t="n"/>
      <c r="D34" s="7" t="n"/>
      <c r="E34" s="7" t="n"/>
      <c r="F34" s="8" t="n"/>
    </row>
  </sheetData>
  <mergeCells count="14">
    <mergeCell ref="A24:F24"/>
    <mergeCell ref="B30:F30"/>
    <mergeCell ref="B29:F29"/>
    <mergeCell ref="B5:D5"/>
    <mergeCell ref="B3:D3"/>
    <mergeCell ref="B32:F32"/>
    <mergeCell ref="B34:F34"/>
    <mergeCell ref="B33:F33"/>
    <mergeCell ref="A23:F23"/>
    <mergeCell ref="B4:D4"/>
    <mergeCell ref="A1:E1"/>
    <mergeCell ref="B31:F31"/>
    <mergeCell ref="A26:F26"/>
    <mergeCell ref="A25:F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</cols>
  <sheetData>
    <row r="1">
      <c r="A1" s="1" t="inlineStr">
        <is>
          <t>敵人：機械哨兵</t>
        </is>
      </c>
    </row>
    <row r="2"/>
    <row r="3">
      <c r="A3" s="3" t="inlineStr">
        <is>
          <t>CR：</t>
        </is>
      </c>
      <c r="B3" s="3" t="n">
        <v>3</v>
      </c>
      <c r="C3" s="7" t="n"/>
      <c r="D3" s="8" t="n"/>
    </row>
    <row r="4">
      <c r="A4" s="3" t="inlineStr">
        <is>
          <t>類型：</t>
        </is>
      </c>
      <c r="B4" s="3" t="inlineStr">
        <is>
          <t>非人（機械造物）</t>
        </is>
      </c>
      <c r="C4" s="7" t="n"/>
      <c r="D4" s="8" t="n"/>
    </row>
    <row r="5">
      <c r="A5" s="3" t="inlineStr">
        <is>
          <t>途徑/序列：</t>
        </is>
      </c>
      <c r="B5" s="3" t="inlineStr">
        <is>
          <t>通識者/序列7</t>
        </is>
      </c>
      <c r="C5" s="7" t="n"/>
      <c r="D5" s="8" t="n"/>
    </row>
    <row r="6"/>
    <row r="7">
      <c r="A7" s="5" t="inlineStr">
        <is>
          <t>屬性</t>
        </is>
      </c>
      <c r="B7" s="6" t="inlineStr"/>
      <c r="C7" s="6" t="inlineStr"/>
      <c r="D7" s="6" t="inlineStr"/>
      <c r="E7" s="6" t="inlineStr"/>
      <c r="F7" s="6" t="inlineStr"/>
    </row>
    <row r="8">
      <c r="A8" s="3" t="inlineStr">
        <is>
          <t>風度</t>
        </is>
      </c>
      <c r="B8" s="4" t="n">
        <v>0</v>
      </c>
      <c r="C8" s="4" t="n">
        <v>30</v>
      </c>
      <c r="D8" s="4" t="n">
        <v>45</v>
      </c>
      <c r="E8" s="4" t="n">
        <v>30</v>
      </c>
      <c r="F8" s="4" t="n">
        <v>0</v>
      </c>
    </row>
    <row r="9"/>
    <row r="10">
      <c r="A10" s="5" t="inlineStr">
        <is>
          <t>衍生屬性（自動計算）</t>
        </is>
      </c>
      <c r="B10" s="6" t="inlineStr"/>
      <c r="C10" s="6" t="inlineStr"/>
      <c r="D10" s="6" t="inlineStr"/>
      <c r="E10" s="6" t="inlineStr"/>
      <c r="F10" s="6" t="inlineStr"/>
    </row>
    <row r="11">
      <c r="A11" s="3" t="inlineStr">
        <is>
          <t>HP</t>
        </is>
      </c>
      <c r="B11" s="4">
        <f>D8*2+15</f>
        <v/>
      </c>
    </row>
    <row r="12">
      <c r="A12" s="3" t="inlineStr">
        <is>
          <t>靈性池</t>
        </is>
      </c>
      <c r="B12" s="4">
        <f>B8*3+5</f>
        <v/>
      </c>
    </row>
    <row r="13">
      <c r="A13" s="3" t="inlineStr">
        <is>
          <t>失控閾值</t>
        </is>
      </c>
      <c r="B13" s="4">
        <f>C8*2+10</f>
        <v/>
      </c>
    </row>
    <row r="14">
      <c r="A14" s="3" t="inlineStr">
        <is>
          <t>先攻</t>
        </is>
      </c>
      <c r="B14" s="4" t="inlineStr">
        <is>
          <t>30 + d10</t>
        </is>
      </c>
    </row>
    <row r="15"/>
    <row r="16">
      <c r="A16" s="5" t="inlineStr">
        <is>
          <t>攻擊方式</t>
        </is>
      </c>
      <c r="B16" s="6" t="inlineStr"/>
      <c r="C16" s="6" t="inlineStr"/>
      <c r="D16" s="6" t="inlineStr"/>
      <c r="E16" s="6" t="inlineStr"/>
      <c r="F16" s="6" t="inlineStr"/>
    </row>
    <row r="17">
      <c r="A17" s="2" t="inlineStr">
        <is>
          <t>名稱</t>
        </is>
      </c>
      <c r="B17" s="2" t="inlineStr">
        <is>
          <t>命中</t>
        </is>
      </c>
      <c r="C17" s="2" t="inlineStr">
        <is>
          <t>傷害</t>
        </is>
      </c>
      <c r="D17" s="2" t="inlineStr">
        <is>
          <t>射程</t>
        </is>
      </c>
      <c r="E17" s="2" t="inlineStr">
        <is>
          <t>特殊</t>
        </is>
      </c>
    </row>
    <row r="18">
      <c r="A18" s="3" t="inlineStr">
        <is>
          <t>蒸汽炮</t>
        </is>
      </c>
      <c r="B18" s="4" t="inlineStr">
        <is>
          <t>+20</t>
        </is>
      </c>
      <c r="C18" s="4" t="inlineStr">
        <is>
          <t>3d8火</t>
        </is>
      </c>
      <c r="D18" s="4" t="inlineStr">
        <is>
          <t>30m</t>
        </is>
      </c>
      <c r="E18" s="4" t="inlineStr"/>
    </row>
    <row r="19">
      <c r="A19" s="3" t="inlineStr">
        <is>
          <t>機械臂</t>
        </is>
      </c>
      <c r="B19" s="4" t="inlineStr">
        <is>
          <t>+20</t>
        </is>
      </c>
      <c r="C19" s="4" t="inlineStr">
        <is>
          <t>2d8+9</t>
        </is>
      </c>
      <c r="D19" s="4" t="inlineStr">
        <is>
          <t>近戰</t>
        </is>
      </c>
      <c r="E19" s="4" t="inlineStr"/>
    </row>
    <row r="20"/>
    <row r="21">
      <c r="A21" s="5" t="inlineStr">
        <is>
          <t>特殊能力</t>
        </is>
      </c>
      <c r="B21" s="6" t="inlineStr"/>
      <c r="C21" s="6" t="inlineStr"/>
      <c r="D21" s="6" t="inlineStr"/>
      <c r="E21" s="6" t="inlineStr"/>
      <c r="F21" s="6" t="inlineStr"/>
    </row>
    <row r="22">
      <c r="A22" s="3" t="inlineStr">
        <is>
          <t>自爆(被動/HP&lt;10時觸發/3d6範圍火傷/5m半徑)</t>
        </is>
      </c>
      <c r="B22" s="7" t="n"/>
      <c r="C22" s="7" t="n"/>
      <c r="D22" s="7" t="n"/>
      <c r="E22" s="7" t="n"/>
      <c r="F22" s="8" t="n"/>
    </row>
    <row r="23">
      <c r="A23" s="3" t="inlineStr">
        <is>
          <t>機械體質(被動/免疫精神/毒素/詛咒)</t>
        </is>
      </c>
      <c r="B23" s="7" t="n"/>
      <c r="C23" s="7" t="n"/>
      <c r="D23" s="7" t="n"/>
      <c r="E23" s="7" t="n"/>
      <c r="F23" s="8" t="n"/>
    </row>
    <row r="24">
      <c r="A24" s="3" t="inlineStr">
        <is>
          <t>精密運轉(先攻+10)</t>
        </is>
      </c>
      <c r="B24" s="7" t="n"/>
      <c r="C24" s="7" t="n"/>
      <c r="D24" s="7" t="n"/>
      <c r="E24" s="7" t="n"/>
      <c r="F24" s="8" t="n"/>
    </row>
    <row r="25"/>
    <row r="26">
      <c r="A26" s="5" t="inlineStr">
        <is>
          <t>抗性與弱點</t>
        </is>
      </c>
      <c r="B26" s="6" t="inlineStr"/>
      <c r="C26" s="6" t="inlineStr"/>
      <c r="D26" s="6" t="inlineStr"/>
      <c r="E26" s="6" t="inlineStr"/>
      <c r="F26" s="6" t="inlineStr"/>
    </row>
    <row r="27">
      <c r="A27" s="3" t="inlineStr">
        <is>
          <t>抗性：</t>
        </is>
      </c>
      <c r="B27" s="3" t="inlineStr">
        <is>
          <t>精神/毒素/詛咒免疫；物理減半（雷電除外）</t>
        </is>
      </c>
      <c r="C27" s="7" t="n"/>
      <c r="D27" s="7" t="n"/>
      <c r="E27" s="7" t="n"/>
      <c r="F27" s="8" t="n"/>
    </row>
    <row r="28">
      <c r="A28" s="3" t="inlineStr">
        <is>
          <t>弱點：</t>
        </is>
      </c>
      <c r="B28" s="3" t="inlineStr">
        <is>
          <t>雷電×1.5且短路2回合；油膩/水可破壞</t>
        </is>
      </c>
      <c r="C28" s="7" t="n"/>
      <c r="D28" s="7" t="n"/>
      <c r="E28" s="7" t="n"/>
      <c r="F28" s="8" t="n"/>
    </row>
    <row r="29">
      <c r="A29" s="3" t="inlineStr">
        <is>
          <t>掉落：</t>
        </is>
      </c>
      <c r="B29" s="3" t="inlineStr">
        <is>
          <t>差分機零件</t>
        </is>
      </c>
      <c r="C29" s="7" t="n"/>
      <c r="D29" s="7" t="n"/>
      <c r="E29" s="7" t="n"/>
      <c r="F29" s="8" t="n"/>
    </row>
    <row r="30">
      <c r="A30" s="3" t="inlineStr">
        <is>
          <t>戰術：</t>
        </is>
      </c>
      <c r="B30" s="3" t="inlineStr">
        <is>
          <t>羣體推進。殘血時衝向敵羣自爆。</t>
        </is>
      </c>
      <c r="C30" s="7" t="n"/>
      <c r="D30" s="7" t="n"/>
      <c r="E30" s="7" t="n"/>
      <c r="F30" s="8" t="n"/>
    </row>
    <row r="31">
      <c r="A31" s="3" t="inlineStr">
        <is>
          <t>失控風險：</t>
        </is>
      </c>
      <c r="B31" s="3" t="inlineStr">
        <is>
          <t>無失控風險。</t>
        </is>
      </c>
      <c r="C31" s="7" t="n"/>
      <c r="D31" s="7" t="n"/>
      <c r="E31" s="7" t="n"/>
      <c r="F31" s="8" t="n"/>
    </row>
    <row r="32">
      <c r="A32" s="3" t="inlineStr">
        <is>
          <t>所屬劇本：</t>
        </is>
      </c>
      <c r="B32" s="3" t="inlineStr">
        <is>
          <t>劇本三/四（雜兵）</t>
        </is>
      </c>
      <c r="C32" s="7" t="n"/>
      <c r="D32" s="7" t="n"/>
      <c r="E32" s="7" t="n"/>
      <c r="F32" s="8" t="n"/>
    </row>
  </sheetData>
  <mergeCells count="13">
    <mergeCell ref="A24:F24"/>
    <mergeCell ref="B30:F30"/>
    <mergeCell ref="B29:F29"/>
    <mergeCell ref="B5:D5"/>
    <mergeCell ref="B3:D3"/>
    <mergeCell ref="B28:F28"/>
    <mergeCell ref="A23:F23"/>
    <mergeCell ref="B4:D4"/>
    <mergeCell ref="A1:E1"/>
    <mergeCell ref="A22:F22"/>
    <mergeCell ref="B31:F31"/>
    <mergeCell ref="B32:F32"/>
    <mergeCell ref="B27:F2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</cols>
  <sheetData>
    <row r="1">
      <c r="A1" s="1" t="inlineStr">
        <is>
          <t>敵人：布萊克伍德博士</t>
        </is>
      </c>
    </row>
    <row r="2"/>
    <row r="3">
      <c r="A3" s="3" t="inlineStr">
        <is>
          <t>CR：</t>
        </is>
      </c>
      <c r="B3" s="3" t="n">
        <v>9</v>
      </c>
      <c r="C3" s="7" t="n"/>
      <c r="D3" s="8" t="n"/>
    </row>
    <row r="4">
      <c r="A4" s="3" t="inlineStr">
        <is>
          <t>類型：</t>
        </is>
      </c>
      <c r="B4" s="3" t="inlineStr">
        <is>
          <t>非凡者（序列4·半神）</t>
        </is>
      </c>
      <c r="C4" s="7" t="n"/>
      <c r="D4" s="8" t="n"/>
    </row>
    <row r="5">
      <c r="A5" s="3" t="inlineStr">
        <is>
          <t>途徑/序列：</t>
        </is>
      </c>
      <c r="B5" s="3" t="inlineStr">
        <is>
          <t>通識者/序列4·機械之心</t>
        </is>
      </c>
      <c r="C5" s="7" t="n"/>
      <c r="D5" s="8" t="n"/>
    </row>
    <row r="6"/>
    <row r="7">
      <c r="A7" s="5" t="inlineStr">
        <is>
          <t>屬性</t>
        </is>
      </c>
      <c r="B7" s="6" t="inlineStr"/>
      <c r="C7" s="6" t="inlineStr"/>
      <c r="D7" s="6" t="inlineStr"/>
      <c r="E7" s="6" t="inlineStr"/>
      <c r="F7" s="6" t="inlineStr"/>
    </row>
    <row r="8">
      <c r="A8" s="3" t="inlineStr">
        <is>
          <t>風度</t>
        </is>
      </c>
      <c r="B8" s="4" t="n">
        <v>70</v>
      </c>
      <c r="C8" s="4" t="n">
        <v>80</v>
      </c>
      <c r="D8" s="4" t="n">
        <v>40</v>
      </c>
      <c r="E8" s="4" t="n">
        <v>35</v>
      </c>
      <c r="F8" s="4" t="n">
        <v>20</v>
      </c>
    </row>
    <row r="9"/>
    <row r="10">
      <c r="A10" s="5" t="inlineStr">
        <is>
          <t>衍生屬性（自動計算）</t>
        </is>
      </c>
      <c r="B10" s="6" t="inlineStr"/>
      <c r="C10" s="6" t="inlineStr"/>
      <c r="D10" s="6" t="inlineStr"/>
      <c r="E10" s="6" t="inlineStr"/>
      <c r="F10" s="6" t="inlineStr"/>
    </row>
    <row r="11">
      <c r="A11" s="3" t="inlineStr">
        <is>
          <t>HP</t>
        </is>
      </c>
      <c r="B11" s="4">
        <f>D8*2+15</f>
        <v/>
      </c>
    </row>
    <row r="12">
      <c r="A12" s="3" t="inlineStr">
        <is>
          <t>靈性池</t>
        </is>
      </c>
      <c r="B12" s="4">
        <f>B8*3+5</f>
        <v/>
      </c>
    </row>
    <row r="13">
      <c r="A13" s="3" t="inlineStr">
        <is>
          <t>失控閾值</t>
        </is>
      </c>
      <c r="B13" s="4">
        <f>C8*2+10</f>
        <v/>
      </c>
    </row>
    <row r="14">
      <c r="A14" s="3" t="inlineStr">
        <is>
          <t>失控值</t>
        </is>
      </c>
      <c r="B14" s="4" t="inlineStr">
        <is>
          <t>65</t>
        </is>
      </c>
    </row>
    <row r="15">
      <c r="A15" s="3" t="inlineStr">
        <is>
          <t>先攻</t>
        </is>
      </c>
      <c r="B15" s="4" t="inlineStr">
        <is>
          <t>35 + d10</t>
        </is>
      </c>
    </row>
    <row r="16"/>
    <row r="17">
      <c r="A17" s="5" t="inlineStr">
        <is>
          <t>攻擊方式</t>
        </is>
      </c>
      <c r="B17" s="6" t="inlineStr"/>
      <c r="C17" s="6" t="inlineStr"/>
      <c r="D17" s="6" t="inlineStr"/>
      <c r="E17" s="6" t="inlineStr"/>
      <c r="F17" s="6" t="inlineStr"/>
    </row>
    <row r="18">
      <c r="A18" s="2" t="inlineStr">
        <is>
          <t>名稱</t>
        </is>
      </c>
      <c r="B18" s="2" t="inlineStr">
        <is>
          <t>命中</t>
        </is>
      </c>
      <c r="C18" s="2" t="inlineStr">
        <is>
          <t>傷害</t>
        </is>
      </c>
      <c r="D18" s="2" t="inlineStr">
        <is>
          <t>射程</t>
        </is>
      </c>
      <c r="E18" s="2" t="inlineStr">
        <is>
          <t>特殊</t>
        </is>
      </c>
    </row>
    <row r="19">
      <c r="A19" s="3" t="inlineStr">
        <is>
          <t>機械統御</t>
        </is>
      </c>
      <c r="B19" s="4" t="inlineStr">
        <is>
          <t>+25</t>
        </is>
      </c>
      <c r="C19" s="4" t="inlineStr">
        <is>
          <t>變化</t>
        </is>
      </c>
      <c r="D19" s="4" t="inlineStr">
        <is>
          <t>全場</t>
        </is>
      </c>
      <c r="E19" s="4" t="inlineStr">
        <is>
          <t>操控所有機械裝置攻擊</t>
        </is>
      </c>
    </row>
    <row r="20">
      <c r="A20" s="3" t="inlineStr">
        <is>
          <t>差分機演算</t>
        </is>
      </c>
      <c r="B20" s="4" t="inlineStr">
        <is>
          <t>+30(分析後)</t>
        </is>
      </c>
      <c r="C20" s="4" t="inlineStr">
        <is>
          <t>正常+附加</t>
        </is>
      </c>
      <c r="D20" s="4" t="inlineStr">
        <is>
          <t>視線內</t>
        </is>
      </c>
      <c r="E20" s="4" t="inlineStr">
        <is>
          <t>分析戰鬥模式後下一回合命中+30</t>
        </is>
      </c>
    </row>
    <row r="21"/>
    <row r="22">
      <c r="A22" s="5" t="inlineStr">
        <is>
          <t>特殊能力</t>
        </is>
      </c>
      <c r="B22" s="6" t="inlineStr"/>
      <c r="C22" s="6" t="inlineStr"/>
      <c r="D22" s="6" t="inlineStr"/>
      <c r="E22" s="6" t="inlineStr"/>
      <c r="F22" s="6" t="inlineStr"/>
    </row>
    <row r="23">
      <c r="A23" s="3" t="inlineStr">
        <is>
          <t>規則覆寫(2AP/15靈性/改寫一條物理規則)"重力加倍/時間減速/火焰反轉"</t>
        </is>
      </c>
      <c r="B23" s="7" t="n"/>
      <c r="C23" s="7" t="n"/>
      <c r="D23" s="7" t="n"/>
      <c r="E23" s="7" t="n"/>
      <c r="F23" s="8" t="n"/>
    </row>
    <row r="24">
      <c r="A24" s="3" t="inlineStr">
        <is>
          <t>機械造物(2AP/20靈性/召喚CR=6造物)</t>
        </is>
      </c>
      <c r="B24" s="7" t="n"/>
      <c r="C24" s="7" t="n"/>
      <c r="D24" s="7" t="n"/>
      <c r="E24" s="7" t="n"/>
      <c r="F24" s="8" t="n"/>
    </row>
    <row r="25">
      <c r="A25" s="3" t="inlineStr">
        <is>
          <t>心靈廣播(1AP/3靈性/直接向玩家腦中發送理念)</t>
        </is>
      </c>
      <c r="B25" s="7" t="n"/>
      <c r="C25" s="7" t="n"/>
      <c r="D25" s="7" t="n"/>
      <c r="E25" s="7" t="n"/>
      <c r="F25" s="8" t="n"/>
    </row>
    <row r="26">
      <c r="A26" s="3" t="inlineStr">
        <is>
          <t>最終形態(HP&lt;50%/差分機陣列自我複製+人造神降)</t>
        </is>
      </c>
      <c r="B26" s="7" t="n"/>
      <c r="C26" s="7" t="n"/>
      <c r="D26" s="7" t="n"/>
      <c r="E26" s="7" t="n"/>
      <c r="F26" s="8" t="n"/>
    </row>
    <row r="27"/>
    <row r="28">
      <c r="A28" s="5" t="inlineStr">
        <is>
          <t>抗性與弱點</t>
        </is>
      </c>
      <c r="B28" s="6" t="inlineStr"/>
      <c r="C28" s="6" t="inlineStr"/>
      <c r="D28" s="6" t="inlineStr"/>
      <c r="E28" s="6" t="inlineStr"/>
      <c r="F28" s="6" t="inlineStr"/>
    </row>
    <row r="29">
      <c r="A29" s="3" t="inlineStr">
        <is>
          <t>抗性：</t>
        </is>
      </c>
      <c r="B29" s="3" t="inlineStr">
        <is>
          <t>物理減半(差分機保護)</t>
        </is>
      </c>
      <c r="C29" s="7" t="n"/>
      <c r="D29" s="7" t="n"/>
      <c r="E29" s="7" t="n"/>
      <c r="F29" s="8" t="n"/>
    </row>
    <row r="30">
      <c r="A30" s="3" t="inlineStr">
        <is>
          <t>弱點：</t>
        </is>
      </c>
      <c r="B30" s="3" t="inlineStr">
        <is>
          <t>差分機陣列破壞30%→能力降爲序列5；破壞100%→失去非凡能力</t>
        </is>
      </c>
      <c r="C30" s="7" t="n"/>
      <c r="D30" s="7" t="n"/>
      <c r="E30" s="7" t="n"/>
      <c r="F30" s="8" t="n"/>
    </row>
    <row r="31">
      <c r="A31" s="3" t="inlineStr">
        <is>
          <t>掉落：</t>
        </is>
      </c>
      <c r="B31" s="3" t="inlineStr">
        <is>
          <t>完整研究筆記、原初公式片段</t>
        </is>
      </c>
      <c r="C31" s="7" t="n"/>
      <c r="D31" s="7" t="n"/>
      <c r="E31" s="7" t="n"/>
      <c r="F31" s="8" t="n"/>
    </row>
    <row r="32">
      <c r="A32" s="3" t="inlineStr">
        <is>
          <t>戰術：</t>
        </is>
      </c>
      <c r="B32" s="3" t="inlineStr">
        <is>
          <t>非敵意戰鬥。先"展示"再"對決"。HP&lt;50%觸發最終形態。</t>
        </is>
      </c>
      <c r="C32" s="7" t="n"/>
      <c r="D32" s="7" t="n"/>
      <c r="E32" s="7" t="n"/>
      <c r="F32" s="8" t="n"/>
    </row>
    <row r="33">
      <c r="A33" s="3" t="inlineStr">
        <is>
          <t>失控風險：</t>
        </is>
      </c>
      <c r="B33" s="3" t="inlineStr">
        <is>
          <t>失控值65/170。神降時自身失控值暴增。</t>
        </is>
      </c>
      <c r="C33" s="7" t="n"/>
      <c r="D33" s="7" t="n"/>
      <c r="E33" s="7" t="n"/>
      <c r="F33" s="8" t="n"/>
    </row>
    <row r="34">
      <c r="A34" s="3" t="inlineStr">
        <is>
          <t>所屬劇本：</t>
        </is>
      </c>
      <c r="B34" s="3" t="inlineStr">
        <is>
          <t>劇本四《機械之心》（最終反派）</t>
        </is>
      </c>
      <c r="C34" s="7" t="n"/>
      <c r="D34" s="7" t="n"/>
      <c r="E34" s="7" t="n"/>
      <c r="F34" s="8" t="n"/>
    </row>
  </sheetData>
  <mergeCells count="14">
    <mergeCell ref="A24:F24"/>
    <mergeCell ref="B30:F30"/>
    <mergeCell ref="B29:F29"/>
    <mergeCell ref="B5:D5"/>
    <mergeCell ref="B3:D3"/>
    <mergeCell ref="B32:F32"/>
    <mergeCell ref="B34:F34"/>
    <mergeCell ref="B33:F33"/>
    <mergeCell ref="A23:F23"/>
    <mergeCell ref="B4:D4"/>
    <mergeCell ref="A1:E1"/>
    <mergeCell ref="B31:F31"/>
    <mergeCell ref="A26:F26"/>
    <mergeCell ref="A25:F2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</cols>
  <sheetData>
    <row r="1">
      <c r="A1" s="1" t="inlineStr">
        <is>
          <t>敵人(支線)：靈界衍生物（普通型）</t>
        </is>
      </c>
    </row>
    <row r="2"/>
    <row r="3">
      <c r="A3" s="3" t="inlineStr">
        <is>
          <t>CR：</t>
        </is>
      </c>
      <c r="B3" s="3" t="n">
        <v>2</v>
      </c>
      <c r="C3" s="7" t="n"/>
      <c r="D3" s="8" t="n"/>
    </row>
    <row r="4">
      <c r="A4" s="3" t="inlineStr">
        <is>
          <t>類型：</t>
        </is>
      </c>
      <c r="B4" s="3" t="inlineStr">
        <is>
          <t>靈界生物</t>
        </is>
      </c>
      <c r="C4" s="7" t="n"/>
      <c r="D4" s="8" t="n"/>
    </row>
    <row r="5">
      <c r="A5" s="3" t="inlineStr">
        <is>
          <t>途徑/序列：</t>
        </is>
      </c>
      <c r="B5" s="3" t="inlineStr">
        <is>
          <t>—</t>
        </is>
      </c>
      <c r="C5" s="7" t="n"/>
      <c r="D5" s="8" t="n"/>
    </row>
    <row r="6"/>
    <row r="7">
      <c r="A7" s="5" t="inlineStr">
        <is>
          <t>屬性</t>
        </is>
      </c>
      <c r="B7" s="6" t="inlineStr"/>
      <c r="C7" s="6" t="inlineStr"/>
      <c r="D7" s="6" t="inlineStr"/>
      <c r="E7" s="6" t="inlineStr"/>
      <c r="F7" s="6" t="inlineStr"/>
    </row>
    <row r="8">
      <c r="A8" s="3" t="inlineStr">
        <is>
          <t>風度</t>
        </is>
      </c>
      <c r="B8" s="4" t="n">
        <v>35</v>
      </c>
      <c r="C8" s="4" t="n">
        <v>10</v>
      </c>
      <c r="D8" s="4" t="n">
        <v>30</v>
      </c>
      <c r="E8" s="4" t="n">
        <v>25</v>
      </c>
      <c r="F8" s="4" t="n">
        <v>5</v>
      </c>
    </row>
    <row r="9"/>
    <row r="10">
      <c r="A10" s="5" t="inlineStr">
        <is>
          <t>衍生屬性（自動計算）</t>
        </is>
      </c>
      <c r="B10" s="6" t="inlineStr"/>
      <c r="C10" s="6" t="inlineStr"/>
      <c r="D10" s="6" t="inlineStr"/>
      <c r="E10" s="6" t="inlineStr"/>
      <c r="F10" s="6" t="inlineStr"/>
    </row>
    <row r="11">
      <c r="A11" s="3" t="inlineStr">
        <is>
          <t>HP</t>
        </is>
      </c>
      <c r="B11" s="4">
        <f>D8*2+15</f>
        <v/>
      </c>
    </row>
    <row r="12">
      <c r="A12" s="3" t="inlineStr">
        <is>
          <t>靈性池</t>
        </is>
      </c>
      <c r="B12" s="4">
        <f>B8*3+5</f>
        <v/>
      </c>
    </row>
    <row r="13">
      <c r="A13" s="3" t="inlineStr">
        <is>
          <t>失控閾值</t>
        </is>
      </c>
      <c r="B13" s="4">
        <f>C8*2+10</f>
        <v/>
      </c>
    </row>
    <row r="14">
      <c r="A14" s="3" t="inlineStr">
        <is>
          <t>先攻</t>
        </is>
      </c>
      <c r="B14" s="4" t="inlineStr">
        <is>
          <t>25 + d10</t>
        </is>
      </c>
    </row>
    <row r="15"/>
    <row r="16">
      <c r="A16" s="5" t="inlineStr">
        <is>
          <t>攻擊方式</t>
        </is>
      </c>
      <c r="B16" s="6" t="inlineStr"/>
      <c r="C16" s="6" t="inlineStr"/>
      <c r="D16" s="6" t="inlineStr"/>
      <c r="E16" s="6" t="inlineStr"/>
      <c r="F16" s="6" t="inlineStr"/>
    </row>
    <row r="17">
      <c r="A17" s="2" t="inlineStr">
        <is>
          <t>名稱</t>
        </is>
      </c>
      <c r="B17" s="2" t="inlineStr">
        <is>
          <t>命中</t>
        </is>
      </c>
      <c r="C17" s="2" t="inlineStr">
        <is>
          <t>傷害</t>
        </is>
      </c>
      <c r="D17" s="2" t="inlineStr">
        <is>
          <t>射程</t>
        </is>
      </c>
      <c r="E17" s="2" t="inlineStr">
        <is>
          <t>特殊</t>
        </is>
      </c>
    </row>
    <row r="18">
      <c r="A18" s="3" t="inlineStr">
        <is>
          <t>靈體觸手</t>
        </is>
      </c>
      <c r="B18" s="4" t="inlineStr">
        <is>
          <t>+15</t>
        </is>
      </c>
      <c r="C18" s="4" t="inlineStr">
        <is>
          <t>1d8+6精神</t>
        </is>
      </c>
      <c r="D18" s="4" t="inlineStr">
        <is>
          <t>5m</t>
        </is>
      </c>
      <c r="E18" s="4" t="inlineStr">
        <is>
          <t>命中附加低語耳語(心智失敗→失去1AP)</t>
        </is>
      </c>
    </row>
    <row r="19">
      <c r="A19" s="3" t="inlineStr">
        <is>
          <t>靈能迸發</t>
        </is>
      </c>
      <c r="B19" s="4" t="inlineStr">
        <is>
          <t>+10</t>
        </is>
      </c>
      <c r="C19" s="4" t="inlineStr">
        <is>
          <t>1d10</t>
        </is>
      </c>
      <c r="D19" s="4" t="inlineStr">
        <is>
          <t>10m</t>
        </is>
      </c>
      <c r="E19" s="4" t="inlineStr">
        <is>
          <t>範圍1d4/3m半徑</t>
        </is>
      </c>
    </row>
    <row r="20"/>
    <row r="21">
      <c r="A21" s="5" t="inlineStr">
        <is>
          <t>特殊能力</t>
        </is>
      </c>
      <c r="B21" s="6" t="inlineStr"/>
      <c r="C21" s="6" t="inlineStr"/>
      <c r="D21" s="6" t="inlineStr"/>
      <c r="E21" s="6" t="inlineStr"/>
      <c r="F21" s="6" t="inlineStr"/>
    </row>
    <row r="22">
      <c r="A22" s="3" t="inlineStr">
        <is>
          <t>靈體體質(物理傷害減半/光明傷害×2/銀製×1.5)</t>
        </is>
      </c>
      <c r="B22" s="7" t="n"/>
      <c r="C22" s="7" t="n"/>
      <c r="D22" s="7" t="n"/>
      <c r="E22" s="7" t="n"/>
      <c r="F22" s="8" t="n"/>
    </row>
    <row r="23">
      <c r="A23" s="3" t="inlineStr">
        <is>
          <t>靈界感知(感知30m內靈性最強目標)</t>
        </is>
      </c>
      <c r="B23" s="7" t="n"/>
      <c r="C23" s="7" t="n"/>
      <c r="D23" s="7" t="n"/>
      <c r="E23" s="7" t="n"/>
      <c r="F23" s="8" t="n"/>
    </row>
    <row r="24">
      <c r="A24" s="3" t="inlineStr">
        <is>
          <t>半實體化(1AP/自身/物理免疫→半實體/可互動/持續2回合)</t>
        </is>
      </c>
      <c r="B24" s="7" t="n"/>
      <c r="C24" s="7" t="n"/>
      <c r="D24" s="7" t="n"/>
      <c r="E24" s="7" t="n"/>
      <c r="F24" s="8" t="n"/>
    </row>
    <row r="25"/>
    <row r="26">
      <c r="A26" s="5" t="inlineStr">
        <is>
          <t>抗性與弱點</t>
        </is>
      </c>
      <c r="B26" s="6" t="inlineStr"/>
      <c r="C26" s="6" t="inlineStr"/>
      <c r="D26" s="6" t="inlineStr"/>
      <c r="E26" s="6" t="inlineStr"/>
      <c r="F26" s="6" t="inlineStr"/>
    </row>
    <row r="27">
      <c r="A27" s="3" t="inlineStr">
        <is>
          <t>抗性：</t>
        </is>
      </c>
      <c r="B27" s="3" t="inlineStr">
        <is>
          <t>物理減半（非銀/非光）</t>
        </is>
      </c>
      <c r="C27" s="7" t="n"/>
      <c r="D27" s="7" t="n"/>
      <c r="E27" s="7" t="n"/>
      <c r="F27" s="8" t="n"/>
    </row>
    <row r="28">
      <c r="A28" s="3" t="inlineStr">
        <is>
          <t>弱點：</t>
        </is>
      </c>
      <c r="B28" s="3" t="inlineStr">
        <is>
          <t>光明×2, 銀製×1.5且無視減半</t>
        </is>
      </c>
      <c r="C28" s="7" t="n"/>
      <c r="D28" s="7" t="n"/>
      <c r="E28" s="7" t="n"/>
      <c r="F28" s="8" t="n"/>
    </row>
    <row r="29">
      <c r="A29" s="3" t="inlineStr">
        <is>
          <t>掉落：</t>
        </is>
      </c>
      <c r="B29" s="3" t="inlineStr">
        <is>
          <t>靈性之塵(2d3份)</t>
        </is>
      </c>
      <c r="C29" s="7" t="n"/>
      <c r="D29" s="7" t="n"/>
      <c r="E29" s="7" t="n"/>
      <c r="F29" s="8" t="n"/>
    </row>
    <row r="30">
      <c r="A30" s="3" t="inlineStr">
        <is>
          <t>戰術：</t>
        </is>
      </c>
      <c r="B30" s="3" t="inlineStr">
        <is>
          <t>優先攻擊靈性最低目標。不會逃跑——靈界生物沒有"恐懼"。</t>
        </is>
      </c>
      <c r="C30" s="7" t="n"/>
      <c r="D30" s="7" t="n"/>
      <c r="E30" s="7" t="n"/>
      <c r="F30" s="8" t="n"/>
    </row>
    <row r="31">
      <c r="A31" s="3" t="inlineStr">
        <is>
          <t>失控風險：</t>
        </is>
      </c>
      <c r="B31" s="3" t="inlineStr">
        <is>
          <t>無失控風險。</t>
        </is>
      </c>
      <c r="C31" s="7" t="n"/>
      <c r="D31" s="7" t="n"/>
      <c r="E31" s="7" t="n"/>
      <c r="F31" s="8" t="n"/>
    </row>
    <row r="32">
      <c r="A32" s="3" t="inlineStr">
        <is>
          <t>所屬支線：</t>
        </is>
      </c>
      <c r="B32" s="3" t="inlineStr">
        <is>
          <t>支線二/多個隨機遭遇通用</t>
        </is>
      </c>
      <c r="C32" s="7" t="n"/>
      <c r="D32" s="7" t="n"/>
      <c r="E32" s="7" t="n"/>
      <c r="F32" s="8" t="n"/>
    </row>
  </sheetData>
  <mergeCells count="13">
    <mergeCell ref="A24:F24"/>
    <mergeCell ref="B30:F30"/>
    <mergeCell ref="B29:F29"/>
    <mergeCell ref="B5:D5"/>
    <mergeCell ref="B3:D3"/>
    <mergeCell ref="B28:F28"/>
    <mergeCell ref="A23:F23"/>
    <mergeCell ref="B4:D4"/>
    <mergeCell ref="A1:E1"/>
    <mergeCell ref="A22:F22"/>
    <mergeCell ref="B31:F31"/>
    <mergeCell ref="B32:F32"/>
    <mergeCell ref="B27:F2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</cols>
  <sheetData>
    <row r="1">
      <c r="A1" s="1" t="inlineStr">
        <is>
          <t>敵人(支線)：命運碎片（織命者神殿）</t>
        </is>
      </c>
    </row>
    <row r="2"/>
    <row r="3">
      <c r="A3" s="3" t="inlineStr">
        <is>
          <t>CR：</t>
        </is>
      </c>
      <c r="B3" s="3" t="n">
        <v>4</v>
      </c>
      <c r="C3" s="7" t="n"/>
      <c r="D3" s="8" t="n"/>
    </row>
    <row r="4">
      <c r="A4" s="3" t="inlineStr">
        <is>
          <t>類型：</t>
        </is>
      </c>
      <c r="B4" s="3" t="inlineStr">
        <is>
          <t>古神殘存/靈界衍生物</t>
        </is>
      </c>
      <c r="C4" s="7" t="n"/>
      <c r="D4" s="8" t="n"/>
    </row>
    <row r="5">
      <c r="A5" s="3" t="inlineStr">
        <is>
          <t>途徑/序列：</t>
        </is>
      </c>
      <c r="B5" s="3" t="inlineStr">
        <is>
          <t>怪物途徑（古神關聯）</t>
        </is>
      </c>
      <c r="C5" s="7" t="n"/>
      <c r="D5" s="8" t="n"/>
    </row>
    <row r="6"/>
    <row r="7">
      <c r="A7" s="5" t="inlineStr">
        <is>
          <t>屬性</t>
        </is>
      </c>
      <c r="B7" s="6" t="inlineStr"/>
      <c r="C7" s="6" t="inlineStr"/>
      <c r="D7" s="6" t="inlineStr"/>
      <c r="E7" s="6" t="inlineStr"/>
      <c r="F7" s="6" t="inlineStr"/>
    </row>
    <row r="8">
      <c r="A8" s="3" t="inlineStr">
        <is>
          <t>風度</t>
        </is>
      </c>
      <c r="B8" s="4" t="n">
        <v>50</v>
      </c>
      <c r="C8" s="4" t="n">
        <v>30</v>
      </c>
      <c r="D8" s="4" t="n">
        <v>40</v>
      </c>
      <c r="E8" s="4" t="n">
        <v>35</v>
      </c>
      <c r="F8" s="4" t="n">
        <v>15</v>
      </c>
    </row>
    <row r="9"/>
    <row r="10">
      <c r="A10" s="5" t="inlineStr">
        <is>
          <t>衍生屬性（自動計算）</t>
        </is>
      </c>
      <c r="B10" s="6" t="inlineStr"/>
      <c r="C10" s="6" t="inlineStr"/>
      <c r="D10" s="6" t="inlineStr"/>
      <c r="E10" s="6" t="inlineStr"/>
      <c r="F10" s="6" t="inlineStr"/>
    </row>
    <row r="11">
      <c r="A11" s="3" t="inlineStr">
        <is>
          <t>HP</t>
        </is>
      </c>
      <c r="B11" s="4">
        <f>D8*2+15</f>
        <v/>
      </c>
    </row>
    <row r="12">
      <c r="A12" s="3" t="inlineStr">
        <is>
          <t>靈性池</t>
        </is>
      </c>
      <c r="B12" s="4">
        <f>B8*3+5</f>
        <v/>
      </c>
    </row>
    <row r="13">
      <c r="A13" s="3" t="inlineStr">
        <is>
          <t>失控閾值</t>
        </is>
      </c>
      <c r="B13" s="4">
        <f>C8*2+10</f>
        <v/>
      </c>
    </row>
    <row r="14">
      <c r="A14" s="3" t="inlineStr">
        <is>
          <t>先攻</t>
        </is>
      </c>
      <c r="B14" s="4" t="inlineStr">
        <is>
          <t>35 + d10</t>
        </is>
      </c>
    </row>
    <row r="15"/>
    <row r="16">
      <c r="A16" s="5" t="inlineStr">
        <is>
          <t>攻擊方式</t>
        </is>
      </c>
      <c r="B16" s="6" t="inlineStr"/>
      <c r="C16" s="6" t="inlineStr"/>
      <c r="D16" s="6" t="inlineStr"/>
      <c r="E16" s="6" t="inlineStr"/>
      <c r="F16" s="6" t="inlineStr"/>
    </row>
    <row r="17">
      <c r="A17" s="2" t="inlineStr">
        <is>
          <t>名稱</t>
        </is>
      </c>
      <c r="B17" s="2" t="inlineStr">
        <is>
          <t>命中</t>
        </is>
      </c>
      <c r="C17" s="2" t="inlineStr">
        <is>
          <t>傷害</t>
        </is>
      </c>
      <c r="D17" s="2" t="inlineStr">
        <is>
          <t>射程</t>
        </is>
      </c>
      <c r="E17" s="2" t="inlineStr">
        <is>
          <t>特殊</t>
        </is>
      </c>
    </row>
    <row r="18">
      <c r="A18" s="3" t="inlineStr">
        <is>
          <t>命運回響</t>
        </is>
      </c>
      <c r="B18" s="4" t="inlineStr">
        <is>
          <t>+20</t>
        </is>
      </c>
      <c r="C18" s="4" t="inlineStr">
        <is>
          <t>複製上次玩家攻擊</t>
        </is>
      </c>
      <c r="D18" s="4" t="inlineStr">
        <is>
          <t>同被複製攻擊</t>
        </is>
      </c>
      <c r="E18" s="4" t="inlineStr">
        <is>
          <t>完美複製上一回合玩家使用的最後一次攻擊——包括傷害骰和特殊效果</t>
        </is>
      </c>
    </row>
    <row r="19">
      <c r="A19" s="3" t="inlineStr">
        <is>
          <t>命運拉扯</t>
        </is>
      </c>
      <c r="B19" s="4" t="inlineStr">
        <is>
          <t>+15</t>
        </is>
      </c>
      <c r="C19" s="4" t="inlineStr">
        <is>
          <t>2d8+7</t>
        </is>
      </c>
      <c r="D19" s="4" t="inlineStr">
        <is>
          <t>10m</t>
        </is>
      </c>
      <c r="E19" s="4" t="inlineStr">
        <is>
          <t>目標檢定-5持續2回合(累積)</t>
        </is>
      </c>
    </row>
    <row r="20"/>
    <row r="21">
      <c r="A21" s="5" t="inlineStr">
        <is>
          <t>特殊能力</t>
        </is>
      </c>
      <c r="B21" s="6" t="inlineStr"/>
      <c r="C21" s="6" t="inlineStr"/>
      <c r="D21" s="6" t="inlineStr"/>
      <c r="E21" s="6" t="inlineStr"/>
      <c r="F21" s="6" t="inlineStr"/>
    </row>
    <row r="22">
      <c r="A22" s="3" t="inlineStr">
        <is>
          <t>命運複製(被動/不能"創造"只能"複製"——攻擊方式永遠=上回合玩家攻擊)</t>
        </is>
      </c>
      <c r="B22" s="7" t="n"/>
      <c r="C22" s="7" t="n"/>
      <c r="D22" s="7" t="n"/>
      <c r="E22" s="7" t="n"/>
      <c r="F22" s="8" t="n"/>
    </row>
    <row r="23">
      <c r="A23" s="3" t="inlineStr">
        <is>
          <t>命運織網(1AP/5靈能/30m區域/所有檢定劣勢1回合)</t>
        </is>
      </c>
      <c r="B23" s="7" t="n"/>
      <c r="C23" s="7" t="n"/>
      <c r="D23" s="7" t="n"/>
      <c r="E23" s="7" t="n"/>
      <c r="F23" s="8" t="n"/>
    </row>
    <row r="24">
      <c r="A24" s="3" t="inlineStr">
        <is>
          <t>分裂(HP&lt;30%→分裂爲2個CR=2的小型碎片)</t>
        </is>
      </c>
      <c r="B24" s="7" t="n"/>
      <c r="C24" s="7" t="n"/>
      <c r="D24" s="7" t="n"/>
      <c r="E24" s="7" t="n"/>
      <c r="F24" s="8" t="n"/>
    </row>
    <row r="25"/>
    <row r="26">
      <c r="A26" s="5" t="inlineStr">
        <is>
          <t>抗性與弱點</t>
        </is>
      </c>
      <c r="B26" s="6" t="inlineStr"/>
      <c r="C26" s="6" t="inlineStr"/>
      <c r="D26" s="6" t="inlineStr"/>
      <c r="E26" s="6" t="inlineStr"/>
      <c r="F26" s="6" t="inlineStr"/>
    </row>
    <row r="27">
      <c r="A27" s="3" t="inlineStr">
        <is>
          <t>抗性：</t>
        </is>
      </c>
      <c r="B27" s="3" t="inlineStr">
        <is>
          <t>物理/精神各減半</t>
        </is>
      </c>
      <c r="C27" s="7" t="n"/>
      <c r="D27" s="7" t="n"/>
      <c r="E27" s="7" t="n"/>
      <c r="F27" s="8" t="n"/>
    </row>
    <row r="28">
      <c r="A28" s="3" t="inlineStr">
        <is>
          <t>弱點：</t>
        </is>
      </c>
      <c r="B28" s="3" t="inlineStr">
        <is>
          <t>無法應對"從未使用過"的新攻擊——每場戰鬥第一次玩家用新能力時自動暴擊；怪物途徑非凡者對命運碎片全檢定優勢</t>
        </is>
      </c>
      <c r="C28" s="7" t="n"/>
      <c r="D28" s="7" t="n"/>
      <c r="E28" s="7" t="n"/>
      <c r="F28" s="8" t="n"/>
    </row>
    <row r="29">
      <c r="A29" s="3" t="inlineStr">
        <is>
          <t>掉落：</t>
        </is>
      </c>
      <c r="B29" s="3" t="inlineStr">
        <is>
          <t>命運線(1d3根)</t>
        </is>
      </c>
      <c r="C29" s="7" t="n"/>
      <c r="D29" s="7" t="n"/>
      <c r="E29" s="7" t="n"/>
      <c r="F29" s="8" t="n"/>
    </row>
    <row r="30">
      <c r="A30" s="3" t="inlineStr">
        <is>
          <t>戰術：</t>
        </is>
      </c>
      <c r="B30" s="3" t="inlineStr">
        <is>
          <t>只複製不創造。會"等待"玩家使用強力攻擊後複製。聰明的玩家會只用輕攻擊→碎片複製輕攻擊→然後爆發。</t>
        </is>
      </c>
      <c r="C30" s="7" t="n"/>
      <c r="D30" s="7" t="n"/>
      <c r="E30" s="7" t="n"/>
      <c r="F30" s="8" t="n"/>
    </row>
    <row r="31">
      <c r="A31" s="3" t="inlineStr">
        <is>
          <t>失控風險：</t>
        </is>
      </c>
      <c r="B31" s="3" t="inlineStr">
        <is>
          <t>無獨立失控風險。但在古神神殿中每回合靈性污染累積。</t>
        </is>
      </c>
      <c r="C31" s="7" t="n"/>
      <c r="D31" s="7" t="n"/>
      <c r="E31" s="7" t="n"/>
      <c r="F31" s="8" t="n"/>
    </row>
    <row r="32">
      <c r="A32" s="3" t="inlineStr">
        <is>
          <t>所屬支線：</t>
        </is>
      </c>
      <c r="B32" s="3" t="inlineStr">
        <is>
          <t>支線六《下沉煙囪》</t>
        </is>
      </c>
      <c r="C32" s="7" t="n"/>
      <c r="D32" s="7" t="n"/>
      <c r="E32" s="7" t="n"/>
      <c r="F32" s="8" t="n"/>
    </row>
  </sheetData>
  <mergeCells count="13">
    <mergeCell ref="A24:F24"/>
    <mergeCell ref="B30:F30"/>
    <mergeCell ref="B29:F29"/>
    <mergeCell ref="B5:D5"/>
    <mergeCell ref="B3:D3"/>
    <mergeCell ref="B28:F28"/>
    <mergeCell ref="A23:F23"/>
    <mergeCell ref="B4:D4"/>
    <mergeCell ref="A1:E1"/>
    <mergeCell ref="A22:F22"/>
    <mergeCell ref="B31:F31"/>
    <mergeCell ref="B32:F32"/>
    <mergeCell ref="B27:F2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</cols>
  <sheetData>
    <row r="1">
      <c r="A1" s="1" t="inlineStr">
        <is>
          <t>敵人(支線)：失控剝離者（被操縱師操控）</t>
        </is>
      </c>
    </row>
    <row r="2"/>
    <row r="3">
      <c r="A3" s="3" t="inlineStr">
        <is>
          <t>CR：</t>
        </is>
      </c>
      <c r="B3" s="3" t="n">
        <v>3</v>
      </c>
      <c r="C3" s="7" t="n"/>
      <c r="D3" s="8" t="n"/>
    </row>
    <row r="4">
      <c r="A4" s="3" t="inlineStr">
        <is>
          <t>類型：</t>
        </is>
      </c>
      <c r="B4" s="3" t="inlineStr">
        <is>
          <t>非凡者（被剝離特性後的殘存）</t>
        </is>
      </c>
      <c r="C4" s="7" t="n"/>
      <c r="D4" s="8" t="n"/>
    </row>
    <row r="5">
      <c r="A5" s="3" t="inlineStr">
        <is>
          <t>途徑/序列：</t>
        </is>
      </c>
      <c r="B5" s="3" t="inlineStr">
        <is>
          <t>隨機途徑/序列8-7</t>
        </is>
      </c>
      <c r="C5" s="7" t="n"/>
      <c r="D5" s="8" t="n"/>
    </row>
    <row r="6"/>
    <row r="7">
      <c r="A7" s="5" t="inlineStr">
        <is>
          <t>屬性</t>
        </is>
      </c>
      <c r="B7" s="6" t="inlineStr"/>
      <c r="C7" s="6" t="inlineStr"/>
      <c r="D7" s="6" t="inlineStr"/>
      <c r="E7" s="6" t="inlineStr"/>
      <c r="F7" s="6" t="inlineStr"/>
    </row>
    <row r="8">
      <c r="A8" s="3" t="inlineStr">
        <is>
          <t>風度</t>
        </is>
      </c>
      <c r="B8" s="4" t="n">
        <v>30</v>
      </c>
      <c r="C8" s="4" t="n">
        <v>20</v>
      </c>
      <c r="D8" s="4" t="n">
        <v>40</v>
      </c>
      <c r="E8" s="4" t="n">
        <v>25</v>
      </c>
      <c r="F8" s="4" t="n">
        <v>5</v>
      </c>
    </row>
    <row r="9"/>
    <row r="10">
      <c r="A10" s="5" t="inlineStr">
        <is>
          <t>衍生屬性（自動計算）</t>
        </is>
      </c>
      <c r="B10" s="6" t="inlineStr"/>
      <c r="C10" s="6" t="inlineStr"/>
      <c r="D10" s="6" t="inlineStr"/>
      <c r="E10" s="6" t="inlineStr"/>
      <c r="F10" s="6" t="inlineStr"/>
    </row>
    <row r="11">
      <c r="A11" s="3" t="inlineStr">
        <is>
          <t>HP</t>
        </is>
      </c>
      <c r="B11" s="4">
        <f>D8*2+15</f>
        <v/>
      </c>
    </row>
    <row r="12">
      <c r="A12" s="3" t="inlineStr">
        <is>
          <t>靈性池</t>
        </is>
      </c>
      <c r="B12" s="4">
        <f>B8*3+5</f>
        <v/>
      </c>
    </row>
    <row r="13">
      <c r="A13" s="3" t="inlineStr">
        <is>
          <t>失控閾值</t>
        </is>
      </c>
      <c r="B13" s="4">
        <f>C8*2+10</f>
        <v/>
      </c>
    </row>
    <row r="14">
      <c r="A14" s="3" t="inlineStr">
        <is>
          <t>失控值</t>
        </is>
      </c>
      <c r="B14" s="4" t="inlineStr">
        <is>
          <t>80</t>
        </is>
      </c>
    </row>
    <row r="15">
      <c r="A15" s="3" t="inlineStr">
        <is>
          <t>先攻</t>
        </is>
      </c>
      <c r="B15" s="4" t="inlineStr">
        <is>
          <t>25 + d10</t>
        </is>
      </c>
    </row>
    <row r="16"/>
    <row r="17">
      <c r="A17" s="5" t="inlineStr">
        <is>
          <t>攻擊方式</t>
        </is>
      </c>
      <c r="B17" s="6" t="inlineStr"/>
      <c r="C17" s="6" t="inlineStr"/>
      <c r="D17" s="6" t="inlineStr"/>
      <c r="E17" s="6" t="inlineStr"/>
      <c r="F17" s="6" t="inlineStr"/>
    </row>
    <row r="18">
      <c r="A18" s="2" t="inlineStr">
        <is>
          <t>名稱</t>
        </is>
      </c>
      <c r="B18" s="2" t="inlineStr">
        <is>
          <t>命中</t>
        </is>
      </c>
      <c r="C18" s="2" t="inlineStr">
        <is>
          <t>傷害</t>
        </is>
      </c>
      <c r="D18" s="2" t="inlineStr">
        <is>
          <t>射程</t>
        </is>
      </c>
      <c r="E18" s="2" t="inlineStr">
        <is>
          <t>特殊</t>
        </is>
      </c>
    </row>
    <row r="19">
      <c r="A19" s="3" t="inlineStr">
        <is>
          <t>瘋狂撕咬</t>
        </is>
      </c>
      <c r="B19" s="4" t="inlineStr">
        <is>
          <t>+15</t>
        </is>
      </c>
      <c r="C19" s="4" t="inlineStr">
        <is>
          <t>2d6+8</t>
        </is>
      </c>
      <c r="D19" s="4" t="inlineStr">
        <is>
          <t>近戰</t>
        </is>
      </c>
      <c r="E19" s="4" t="inlineStr">
        <is>
          <t>失控狀態→無差別攻擊最近目標</t>
        </is>
      </c>
    </row>
    <row r="20">
      <c r="A20" s="3" t="inlineStr">
        <is>
          <t>殘餘能力暴走</t>
        </is>
      </c>
      <c r="B20" s="4" t="inlineStr">
        <is>
          <t>+5</t>
        </is>
      </c>
      <c r="C20" s="4" t="inlineStr">
        <is>
          <t>2d10</t>
        </is>
      </c>
      <c r="D20" s="4" t="inlineStr">
        <is>
          <t>10m</t>
        </is>
      </c>
      <c r="E20" s="4" t="inlineStr">
        <is>
          <t>隨機途徑屬性傷害(亂數)</t>
        </is>
      </c>
    </row>
    <row r="21"/>
    <row r="22">
      <c r="A22" s="5" t="inlineStr">
        <is>
          <t>特殊能力</t>
        </is>
      </c>
      <c r="B22" s="6" t="inlineStr"/>
      <c r="C22" s="6" t="inlineStr"/>
      <c r="D22" s="6" t="inlineStr"/>
      <c r="E22" s="6" t="inlineStr"/>
      <c r="F22" s="6" t="inlineStr"/>
    </row>
    <row r="23">
      <c r="A23" s="3" t="inlineStr">
        <is>
          <t>失控體質(每回合自動+2失控值，失控邊緣直接觸發行爲表)</t>
        </is>
      </c>
      <c r="B23" s="7" t="n"/>
      <c r="C23" s="7" t="n"/>
      <c r="D23" s="7" t="n"/>
      <c r="E23" s="7" t="n"/>
      <c r="F23" s="8" t="n"/>
    </row>
    <row r="24">
      <c r="A24" s="3" t="inlineStr">
        <is>
          <t>被操縱(1AP/操縱師操控其目標選擇)</t>
        </is>
      </c>
      <c r="B24" s="7" t="n"/>
      <c r="C24" s="7" t="n"/>
      <c r="D24" s="7" t="n"/>
      <c r="E24" s="7" t="n"/>
      <c r="F24" s="8" t="n"/>
    </row>
    <row r="25">
      <c r="A25" s="3" t="inlineStr">
        <is>
          <t>靈性缺失(每3回合失去途徑能力一個——從3個→2→1→0)</t>
        </is>
      </c>
      <c r="B25" s="7" t="n"/>
      <c r="C25" s="7" t="n"/>
      <c r="D25" s="7" t="n"/>
      <c r="E25" s="7" t="n"/>
      <c r="F25" s="8" t="n"/>
    </row>
    <row r="26"/>
    <row r="27">
      <c r="A27" s="5" t="inlineStr">
        <is>
          <t>抗性與弱點</t>
        </is>
      </c>
      <c r="B27" s="6" t="inlineStr"/>
      <c r="C27" s="6" t="inlineStr"/>
      <c r="D27" s="6" t="inlineStr"/>
      <c r="E27" s="6" t="inlineStr"/>
      <c r="F27" s="6" t="inlineStr"/>
    </row>
    <row r="28">
      <c r="A28" s="3" t="inlineStr">
        <is>
          <t>抗性：</t>
        </is>
      </c>
      <c r="B28" s="3" t="inlineStr">
        <is>
          <t>免疫心智控制</t>
        </is>
      </c>
      <c r="C28" s="7" t="n"/>
      <c r="D28" s="7" t="n"/>
      <c r="E28" s="7" t="n"/>
      <c r="F28" s="8" t="n"/>
    </row>
    <row r="29">
      <c r="A29" s="3" t="inlineStr">
        <is>
          <t>弱點：</t>
        </is>
      </c>
      <c r="B29" s="3" t="inlineStr">
        <is>
          <t>剝離後途徑能力逐步失效；光明傷害×1.5</t>
        </is>
      </c>
      <c r="C29" s="7" t="n"/>
      <c r="D29" s="7" t="n"/>
      <c r="E29" s="7" t="n"/>
      <c r="F29" s="8" t="n"/>
    </row>
    <row r="30">
      <c r="A30" s="3" t="inlineStr">
        <is>
          <t>掉落：</t>
        </is>
      </c>
      <c r="B30" s="3" t="inlineStr">
        <is>
          <t>無（已被剝離特性）</t>
        </is>
      </c>
      <c r="C30" s="7" t="n"/>
      <c r="D30" s="7" t="n"/>
      <c r="E30" s="7" t="n"/>
      <c r="F30" s="8" t="n"/>
    </row>
    <row r="31">
      <c r="A31" s="3" t="inlineStr">
        <is>
          <t>戰術：</t>
        </is>
      </c>
      <c r="B31" s="3" t="inlineStr">
        <is>
          <t>被操縱師遠程操控。優先攻擊操縱師指定的目標。靈性徹底缺失後(9回合)倒下——但倒下前最後1回合自爆(3d6範圍)。</t>
        </is>
      </c>
      <c r="C31" s="7" t="n"/>
      <c r="D31" s="7" t="n"/>
      <c r="E31" s="7" t="n"/>
      <c r="F31" s="8" t="n"/>
    </row>
    <row r="32">
      <c r="A32" s="3" t="inlineStr">
        <is>
          <t>失控風險：</t>
        </is>
      </c>
      <c r="B32" s="3" t="inlineStr">
        <is>
          <t>失控值80/50——始終處於失控邊緣。每次行動前投失控檢定(心智僅20→80%失控)。</t>
        </is>
      </c>
      <c r="C32" s="7" t="n"/>
      <c r="D32" s="7" t="n"/>
      <c r="E32" s="7" t="n"/>
      <c r="F32" s="8" t="n"/>
    </row>
    <row r="33">
      <c r="A33" s="3" t="inlineStr">
        <is>
          <t>所屬支線：</t>
        </is>
      </c>
      <c r="B33" s="3" t="inlineStr">
        <is>
          <t>支線七《聖瑪利亞瘋人院》</t>
        </is>
      </c>
      <c r="C33" s="7" t="n"/>
      <c r="D33" s="7" t="n"/>
      <c r="E33" s="7" t="n"/>
      <c r="F33" s="8" t="n"/>
    </row>
  </sheetData>
  <mergeCells count="13">
    <mergeCell ref="A24:F24"/>
    <mergeCell ref="B30:F30"/>
    <mergeCell ref="B29:F29"/>
    <mergeCell ref="B5:D5"/>
    <mergeCell ref="B3:D3"/>
    <mergeCell ref="B33:F33"/>
    <mergeCell ref="B28:F28"/>
    <mergeCell ref="A23:F23"/>
    <mergeCell ref="B4:D4"/>
    <mergeCell ref="A1:E1"/>
    <mergeCell ref="B31:F31"/>
    <mergeCell ref="B32:F32"/>
    <mergeCell ref="A25:F2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</cols>
  <sheetData>
    <row r="1">
      <c r="A1" s="1" t="inlineStr">
        <is>
          <t>敵人(支線)：第13意識碎片·聚合體</t>
        </is>
      </c>
    </row>
    <row r="2"/>
    <row r="3">
      <c r="A3" s="3" t="inlineStr">
        <is>
          <t>CR：</t>
        </is>
      </c>
      <c r="B3" s="3" t="n">
        <v>5</v>
      </c>
      <c r="C3" s="7" t="n"/>
      <c r="D3" s="8" t="n"/>
    </row>
    <row r="4">
      <c r="A4" s="3" t="inlineStr">
        <is>
          <t>類型：</t>
        </is>
      </c>
      <c r="B4" s="3" t="inlineStr">
        <is>
          <t>非凡者殘留意念聚合體</t>
        </is>
      </c>
      <c r="C4" s="7" t="n"/>
      <c r="D4" s="8" t="n"/>
    </row>
    <row r="5">
      <c r="A5" s="3" t="inlineStr">
        <is>
          <t>途徑/序列：</t>
        </is>
      </c>
      <c r="B5" s="3" t="inlineStr">
        <is>
          <t>觀衆途徑序列4（殘留）</t>
        </is>
      </c>
      <c r="C5" s="7" t="n"/>
      <c r="D5" s="8" t="n"/>
    </row>
    <row r="6"/>
    <row r="7">
      <c r="A7" s="5" t="inlineStr">
        <is>
          <t>屬性</t>
        </is>
      </c>
      <c r="B7" s="6" t="inlineStr"/>
      <c r="C7" s="6" t="inlineStr"/>
      <c r="D7" s="6" t="inlineStr"/>
      <c r="E7" s="6" t="inlineStr"/>
      <c r="F7" s="6" t="inlineStr"/>
    </row>
    <row r="8">
      <c r="A8" s="3" t="inlineStr">
        <is>
          <t>風度</t>
        </is>
      </c>
      <c r="B8" s="4" t="n">
        <v>55</v>
      </c>
      <c r="C8" s="4" t="n">
        <v>60</v>
      </c>
      <c r="D8" s="4" t="n">
        <v>0</v>
      </c>
      <c r="E8" s="4" t="n">
        <v>0</v>
      </c>
      <c r="F8" s="4" t="n">
        <v>50</v>
      </c>
    </row>
    <row r="9"/>
    <row r="10">
      <c r="A10" s="5" t="inlineStr">
        <is>
          <t>衍生屬性（自動計算）</t>
        </is>
      </c>
      <c r="B10" s="6" t="inlineStr"/>
      <c r="C10" s="6" t="inlineStr"/>
      <c r="D10" s="6" t="inlineStr"/>
      <c r="E10" s="6" t="inlineStr"/>
      <c r="F10" s="6" t="inlineStr"/>
    </row>
    <row r="11">
      <c r="A11" s="3" t="inlineStr">
        <is>
          <t>HP</t>
        </is>
      </c>
      <c r="B11" s="4">
        <f>D8*2+15</f>
        <v/>
      </c>
    </row>
    <row r="12">
      <c r="A12" s="3" t="inlineStr">
        <is>
          <t>靈性池</t>
        </is>
      </c>
      <c r="B12" s="4">
        <f>B8*3+5</f>
        <v/>
      </c>
    </row>
    <row r="13">
      <c r="A13" s="3" t="inlineStr">
        <is>
          <t>失控閾值</t>
        </is>
      </c>
      <c r="B13" s="4">
        <f>C8*2+10</f>
        <v/>
      </c>
    </row>
    <row r="14">
      <c r="A14" s="3" t="inlineStr">
        <is>
          <t>失控值</t>
        </is>
      </c>
      <c r="B14" s="4" t="inlineStr">
        <is>
          <t>隨時崩潰</t>
        </is>
      </c>
    </row>
    <row r="15">
      <c r="A15" s="3" t="inlineStr">
        <is>
          <t>先攻</t>
        </is>
      </c>
      <c r="B15" s="4" t="inlineStr">
        <is>
          <t>0 + d10</t>
        </is>
      </c>
    </row>
    <row r="16"/>
    <row r="17">
      <c r="A17" s="5" t="inlineStr">
        <is>
          <t>攻擊方式</t>
        </is>
      </c>
      <c r="B17" s="6" t="inlineStr"/>
      <c r="C17" s="6" t="inlineStr"/>
      <c r="D17" s="6" t="inlineStr"/>
      <c r="E17" s="6" t="inlineStr"/>
      <c r="F17" s="6" t="inlineStr"/>
    </row>
    <row r="18">
      <c r="A18" s="2" t="inlineStr">
        <is>
          <t>名稱</t>
        </is>
      </c>
      <c r="B18" s="2" t="inlineStr">
        <is>
          <t>命中</t>
        </is>
      </c>
      <c r="C18" s="2" t="inlineStr">
        <is>
          <t>傷害</t>
        </is>
      </c>
      <c r="D18" s="2" t="inlineStr">
        <is>
          <t>射程</t>
        </is>
      </c>
      <c r="E18" s="2" t="inlineStr">
        <is>
          <t>特殊</t>
        </is>
      </c>
    </row>
    <row r="19">
      <c r="A19" s="3" t="inlineStr">
        <is>
          <t>記憶風暴</t>
        </is>
      </c>
      <c r="B19" s="4" t="inlineStr">
        <is>
          <t>+20(靈性)</t>
        </is>
      </c>
      <c r="C19" s="4" t="inlineStr">
        <is>
          <t>3d6精神(全場)</t>
        </is>
      </c>
      <c r="D19" s="4" t="inlineStr">
        <is>
          <t>20m半徑</t>
        </is>
      </c>
      <c r="E19" s="4" t="inlineStr">
        <is>
          <t>所有目標受到"不屬於自己的記憶"衝擊——失控值+1d5</t>
        </is>
      </c>
    </row>
    <row r="20">
      <c r="A20" s="3" t="inlineStr">
        <is>
          <t>情感抽取</t>
        </is>
      </c>
      <c r="B20" s="4" t="inlineStr">
        <is>
          <t>+15(風度)</t>
        </is>
      </c>
      <c r="C20" s="4" t="inlineStr">
        <is>
          <t>無傷害</t>
        </is>
      </c>
      <c r="D20" s="4" t="inlineStr">
        <is>
          <t>單個目標</t>
        </is>
      </c>
      <c r="E20" s="4" t="inlineStr">
        <is>
          <t>吸取目標一個正面情緒(勇氣/希望/愛)→目標對應檢定-20</t>
        </is>
      </c>
    </row>
    <row r="21"/>
    <row r="22">
      <c r="A22" s="5" t="inlineStr">
        <is>
          <t>特殊能力</t>
        </is>
      </c>
      <c r="B22" s="6" t="inlineStr"/>
      <c r="C22" s="6" t="inlineStr"/>
      <c r="D22" s="6" t="inlineStr"/>
      <c r="E22" s="6" t="inlineStr"/>
      <c r="F22" s="6" t="inlineStr"/>
    </row>
    <row r="23">
      <c r="A23" s="3" t="inlineStr">
        <is>
          <t>十三種意識(擁有13個角色的"記憶碎片"——可以模仿13種不同的聲音/性格/技能)</t>
        </is>
      </c>
      <c r="B23" s="7" t="n"/>
      <c r="C23" s="7" t="n"/>
      <c r="D23" s="7" t="n"/>
      <c r="E23" s="7" t="n"/>
      <c r="F23" s="8" t="n"/>
    </row>
    <row r="24">
      <c r="A24" s="3" t="inlineStr">
        <is>
          <t>不穩定性(每回合投1d100——出目&lt;30時聚合體暫時瓦解1回合)</t>
        </is>
      </c>
      <c r="B24" s="7" t="n"/>
      <c r="C24" s="7" t="n"/>
      <c r="D24" s="7" t="n"/>
      <c r="E24" s="7" t="n"/>
      <c r="F24" s="8" t="n"/>
    </row>
    <row r="25">
      <c r="A25" s="3" t="inlineStr">
        <is>
          <t>意識的重量(每受到一次精神攻擊，聚合體失去一個"角色碎片"——攻擊面和方式減少)</t>
        </is>
      </c>
      <c r="B25" s="7" t="n"/>
      <c r="C25" s="7" t="n"/>
      <c r="D25" s="7" t="n"/>
      <c r="E25" s="7" t="n"/>
      <c r="F25" s="8" t="n"/>
    </row>
    <row r="26"/>
    <row r="27">
      <c r="A27" s="5" t="inlineStr">
        <is>
          <t>抗性與弱點</t>
        </is>
      </c>
      <c r="B27" s="6" t="inlineStr"/>
      <c r="C27" s="6" t="inlineStr"/>
      <c r="D27" s="6" t="inlineStr"/>
      <c r="E27" s="6" t="inlineStr"/>
      <c r="F27" s="6" t="inlineStr"/>
    </row>
    <row r="28">
      <c r="A28" s="3" t="inlineStr">
        <is>
          <t>抗性：</t>
        </is>
      </c>
      <c r="B28" s="3" t="inlineStr">
        <is>
          <t>物理免疫（純意識體）</t>
        </is>
      </c>
      <c r="C28" s="7" t="n"/>
      <c r="D28" s="7" t="n"/>
      <c r="E28" s="7" t="n"/>
      <c r="F28" s="8" t="n"/>
    </row>
    <row r="29">
      <c r="A29" s="3" t="inlineStr">
        <is>
          <t>弱點：</t>
        </is>
      </c>
      <c r="B29" s="3" t="inlineStr">
        <is>
          <t>每次承受精神攻擊去失一個碎片；當失去9個以上碎片時(剩下&lt;4)，自動消散</t>
        </is>
      </c>
      <c r="C29" s="7" t="n"/>
      <c r="D29" s="7" t="n"/>
      <c r="E29" s="7" t="n"/>
      <c r="F29" s="8" t="n"/>
    </row>
    <row r="30">
      <c r="A30" s="3" t="inlineStr">
        <is>
          <t>掉落：</t>
        </is>
      </c>
      <c r="B30" s="3" t="inlineStr">
        <is>
          <t>觀衆之戒(2級封印物)</t>
        </is>
      </c>
      <c r="C30" s="7" t="n"/>
      <c r="D30" s="7" t="n"/>
      <c r="E30" s="7" t="n"/>
      <c r="F30" s="8" t="n"/>
    </row>
    <row r="31">
      <c r="A31" s="3" t="inlineStr">
        <is>
          <t>戰術：</t>
        </is>
      </c>
      <c r="B31" s="3" t="inlineStr">
        <is>
          <t>無法物理互動。戰鬥是純心理層面。用13種不同的聲音和記憶混淆玩家。不會主動殺死——只想要"被記住"。</t>
        </is>
      </c>
      <c r="C31" s="7" t="n"/>
      <c r="D31" s="7" t="n"/>
      <c r="E31" s="7" t="n"/>
      <c r="F31" s="8" t="n"/>
    </row>
    <row r="32">
      <c r="A32" s="3" t="inlineStr">
        <is>
          <t>失控風險：</t>
        </is>
      </c>
      <c r="B32" s="3" t="inlineStr">
        <is>
          <t>意識聚合體無失控風險——但玩家每次被記憶風暴擊中失控值+1d5。</t>
        </is>
      </c>
      <c r="C32" s="7" t="n"/>
      <c r="D32" s="7" t="n"/>
      <c r="E32" s="7" t="n"/>
      <c r="F32" s="8" t="n"/>
    </row>
    <row r="33">
      <c r="A33" s="3" t="inlineStr">
        <is>
          <t>所屬支線：</t>
        </is>
      </c>
      <c r="B33" s="3" t="inlineStr">
        <is>
          <t>支線三《第十三個座位》</t>
        </is>
      </c>
      <c r="C33" s="7" t="n"/>
      <c r="D33" s="7" t="n"/>
      <c r="E33" s="7" t="n"/>
      <c r="F33" s="8" t="n"/>
    </row>
  </sheetData>
  <mergeCells count="13">
    <mergeCell ref="A24:F24"/>
    <mergeCell ref="B30:F30"/>
    <mergeCell ref="B29:F29"/>
    <mergeCell ref="B5:D5"/>
    <mergeCell ref="B3:D3"/>
    <mergeCell ref="B33:F33"/>
    <mergeCell ref="B28:F28"/>
    <mergeCell ref="A23:F23"/>
    <mergeCell ref="B4:D4"/>
    <mergeCell ref="A1:E1"/>
    <mergeCell ref="B31:F31"/>
    <mergeCell ref="B32:F32"/>
    <mergeCell ref="A25:F2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</cols>
  <sheetData>
    <row r="1">
      <c r="A1" s="1" t="inlineStr">
        <is>
          <t>敵人(支線)：被交換者·記憶失序體</t>
        </is>
      </c>
    </row>
    <row r="2"/>
    <row r="3">
      <c r="A3" s="3" t="inlineStr">
        <is>
          <t>CR：</t>
        </is>
      </c>
      <c r="B3" s="3" t="n">
        <v>3</v>
      </c>
      <c r="C3" s="7" t="n"/>
      <c r="D3" s="8" t="n"/>
    </row>
    <row r="4">
      <c r="A4" s="3" t="inlineStr">
        <is>
          <t>類型：</t>
        </is>
      </c>
      <c r="B4" s="3" t="inlineStr">
        <is>
          <t>非凡者（封印物副作用受害者）</t>
        </is>
      </c>
      <c r="C4" s="7" t="n"/>
      <c r="D4" s="8" t="n"/>
    </row>
    <row r="5">
      <c r="A5" s="3" t="inlineStr">
        <is>
          <t>途徑/序列：</t>
        </is>
      </c>
      <c r="B5" s="3" t="inlineStr">
        <is>
          <t>隨機途徑/隨機序列</t>
        </is>
      </c>
      <c r="C5" s="7" t="n"/>
      <c r="D5" s="8" t="n"/>
    </row>
    <row r="6"/>
    <row r="7">
      <c r="A7" s="5" t="inlineStr">
        <is>
          <t>屬性</t>
        </is>
      </c>
      <c r="B7" s="6" t="inlineStr"/>
      <c r="C7" s="6" t="inlineStr"/>
      <c r="D7" s="6" t="inlineStr"/>
      <c r="E7" s="6" t="inlineStr"/>
      <c r="F7" s="6" t="inlineStr"/>
    </row>
    <row r="8">
      <c r="A8" s="3" t="inlineStr">
        <is>
          <t>風度</t>
        </is>
      </c>
      <c r="B8" s="4" t="n">
        <v>40</v>
      </c>
      <c r="C8" s="4" t="n">
        <v>35</v>
      </c>
      <c r="D8" s="4" t="n">
        <v>35</v>
      </c>
      <c r="E8" s="4" t="n">
        <v>30</v>
      </c>
      <c r="F8" s="4" t="n">
        <v>25</v>
      </c>
    </row>
    <row r="9"/>
    <row r="10">
      <c r="A10" s="5" t="inlineStr">
        <is>
          <t>衍生屬性（自動計算）</t>
        </is>
      </c>
      <c r="B10" s="6" t="inlineStr"/>
      <c r="C10" s="6" t="inlineStr"/>
      <c r="D10" s="6" t="inlineStr"/>
      <c r="E10" s="6" t="inlineStr"/>
      <c r="F10" s="6" t="inlineStr"/>
    </row>
    <row r="11">
      <c r="A11" s="3" t="inlineStr">
        <is>
          <t>HP</t>
        </is>
      </c>
      <c r="B11" s="4">
        <f>D8*2+15</f>
        <v/>
      </c>
    </row>
    <row r="12">
      <c r="A12" s="3" t="inlineStr">
        <is>
          <t>靈性池</t>
        </is>
      </c>
      <c r="B12" s="4">
        <f>B8*3+5</f>
        <v/>
      </c>
    </row>
    <row r="13">
      <c r="A13" s="3" t="inlineStr">
        <is>
          <t>失控閾值</t>
        </is>
      </c>
      <c r="B13" s="4">
        <f>C8*2+10</f>
        <v/>
      </c>
    </row>
    <row r="14">
      <c r="A14" s="3" t="inlineStr">
        <is>
          <t>失控值</t>
        </is>
      </c>
      <c r="B14" s="4" t="inlineStr">
        <is>
          <t>20</t>
        </is>
      </c>
    </row>
    <row r="15">
      <c r="A15" s="3" t="inlineStr">
        <is>
          <t>先攻</t>
        </is>
      </c>
      <c r="B15" s="4" t="inlineStr">
        <is>
          <t>30 + d10</t>
        </is>
      </c>
    </row>
    <row r="16"/>
    <row r="17">
      <c r="A17" s="5" t="inlineStr">
        <is>
          <t>攻擊方式</t>
        </is>
      </c>
      <c r="B17" s="6" t="inlineStr"/>
      <c r="C17" s="6" t="inlineStr"/>
      <c r="D17" s="6" t="inlineStr"/>
      <c r="E17" s="6" t="inlineStr"/>
      <c r="F17" s="6" t="inlineStr"/>
    </row>
    <row r="18">
      <c r="A18" s="2" t="inlineStr">
        <is>
          <t>名稱</t>
        </is>
      </c>
      <c r="B18" s="2" t="inlineStr">
        <is>
          <t>命中</t>
        </is>
      </c>
      <c r="C18" s="2" t="inlineStr">
        <is>
          <t>傷害</t>
        </is>
      </c>
      <c r="D18" s="2" t="inlineStr">
        <is>
          <t>射程</t>
        </is>
      </c>
      <c r="E18" s="2" t="inlineStr">
        <is>
          <t>特殊</t>
        </is>
      </c>
    </row>
    <row r="19">
      <c r="A19" s="3" t="inlineStr">
        <is>
          <t>身份混亂攻擊</t>
        </is>
      </c>
      <c r="B19" s="4" t="inlineStr">
        <is>
          <t>+15</t>
        </is>
      </c>
      <c r="C19" s="4" t="inlineStr">
        <is>
          <t>2d6</t>
        </is>
      </c>
      <c r="D19" s="4" t="inlineStr">
        <is>
          <t>10m</t>
        </is>
      </c>
      <c r="E19" s="4" t="inlineStr">
        <is>
          <t>使用"別人的能力"——傷害骰減半</t>
        </is>
      </c>
    </row>
    <row r="20"/>
    <row r="21">
      <c r="A21" s="5" t="inlineStr">
        <is>
          <t>特殊能力</t>
        </is>
      </c>
      <c r="B21" s="6" t="inlineStr"/>
      <c r="C21" s="6" t="inlineStr"/>
      <c r="D21" s="6" t="inlineStr"/>
      <c r="E21" s="6" t="inlineStr"/>
      <c r="F21" s="6" t="inlineStr"/>
    </row>
    <row r="22">
      <c r="A22" s="3" t="inlineStr">
        <is>
          <t>身份混亂(每回合重新隨機屬性(30-60範圍)和能力——無法控制)</t>
        </is>
      </c>
      <c r="B22" s="7" t="n"/>
      <c r="C22" s="7" t="n"/>
      <c r="D22" s="7" t="n"/>
      <c r="E22" s="7" t="n"/>
      <c r="F22" s="8" t="n"/>
    </row>
    <row r="23">
      <c r="A23" s="3" t="inlineStr">
        <is>
          <t>記憶碎片(受到傷害時隨機觸發一個不屬於自己的記憶→失控值+1)</t>
        </is>
      </c>
      <c r="B23" s="7" t="n"/>
      <c r="C23" s="7" t="n"/>
      <c r="D23" s="7" t="n"/>
      <c r="E23" s="7" t="n"/>
      <c r="F23" s="8" t="n"/>
    </row>
    <row r="24">
      <c r="A24" s="3" t="inlineStr">
        <is>
          <t>自我恢復(3回合內不受傷→恢復自我認知——脫離戰鬥)</t>
        </is>
      </c>
      <c r="B24" s="7" t="n"/>
      <c r="C24" s="7" t="n"/>
      <c r="D24" s="7" t="n"/>
      <c r="E24" s="7" t="n"/>
      <c r="F24" s="8" t="n"/>
    </row>
    <row r="25"/>
    <row r="26">
      <c r="A26" s="5" t="inlineStr">
        <is>
          <t>抗性與弱點</t>
        </is>
      </c>
      <c r="B26" s="6" t="inlineStr"/>
      <c r="C26" s="6" t="inlineStr"/>
      <c r="D26" s="6" t="inlineStr"/>
      <c r="E26" s="6" t="inlineStr"/>
      <c r="F26" s="6" t="inlineStr"/>
    </row>
    <row r="27">
      <c r="A27" s="3" t="inlineStr">
        <is>
          <t>抗性：</t>
        </is>
      </c>
      <c r="B27" s="3" t="inlineStr">
        <is>
          <t>因身份而異</t>
        </is>
      </c>
      <c r="C27" s="7" t="n"/>
      <c r="D27" s="7" t="n"/>
      <c r="E27" s="7" t="n"/>
      <c r="F27" s="8" t="n"/>
    </row>
    <row r="28">
      <c r="A28" s="3" t="inlineStr">
        <is>
          <t>弱點：</t>
        </is>
      </c>
      <c r="B28" s="3" t="inlineStr">
        <is>
          <t>讓目標"回憶自己的名字"(風度檢定)→攻擊力-50%</t>
        </is>
      </c>
      <c r="C28" s="7" t="n"/>
      <c r="D28" s="7" t="n"/>
      <c r="E28" s="7" t="n"/>
      <c r="F28" s="8" t="n"/>
    </row>
    <row r="29">
      <c r="A29" s="3" t="inlineStr">
        <is>
          <t>掉落：</t>
        </is>
      </c>
      <c r="B29" s="3" t="inlineStr">
        <is>
          <t>被交換的記憶片段(可用來恢復原始身份)</t>
        </is>
      </c>
      <c r="C29" s="7" t="n"/>
      <c r="D29" s="7" t="n"/>
      <c r="E29" s="7" t="n"/>
      <c r="F29" s="8" t="n"/>
    </row>
    <row r="30">
      <c r="A30" s="3" t="inlineStr">
        <is>
          <t>戰術：</t>
        </is>
      </c>
      <c r="B30" s="3" t="inlineStr">
        <is>
          <t>被動受害者——不是主動戰鬥。攻擊方式混亂不可預測。可以被"喚回"(風度檢定告知姓名)。</t>
        </is>
      </c>
      <c r="C30" s="7" t="n"/>
      <c r="D30" s="7" t="n"/>
      <c r="E30" s="7" t="n"/>
      <c r="F30" s="8" t="n"/>
    </row>
    <row r="31">
      <c r="A31" s="3" t="inlineStr">
        <is>
          <t>失控風險：</t>
        </is>
      </c>
      <c r="B31" s="3" t="inlineStr">
        <is>
          <t>每回合失控值+1(自己也無法控制)。完全失控後永久失去身份。</t>
        </is>
      </c>
      <c r="C31" s="7" t="n"/>
      <c r="D31" s="7" t="n"/>
      <c r="E31" s="7" t="n"/>
      <c r="F31" s="8" t="n"/>
    </row>
    <row r="32">
      <c r="A32" s="3" t="inlineStr">
        <is>
          <t>所屬支線：</t>
        </is>
      </c>
      <c r="B32" s="3" t="inlineStr">
        <is>
          <t>支線五《鐵橋區的幽靈馬車》</t>
        </is>
      </c>
      <c r="C32" s="7" t="n"/>
      <c r="D32" s="7" t="n"/>
      <c r="E32" s="7" t="n"/>
      <c r="F32" s="8" t="n"/>
    </row>
  </sheetData>
  <mergeCells count="13">
    <mergeCell ref="A24:F24"/>
    <mergeCell ref="B30:F30"/>
    <mergeCell ref="B29:F29"/>
    <mergeCell ref="B5:D5"/>
    <mergeCell ref="B3:D3"/>
    <mergeCell ref="B28:F28"/>
    <mergeCell ref="A23:F23"/>
    <mergeCell ref="B4:D4"/>
    <mergeCell ref="A1:E1"/>
    <mergeCell ref="A22:F22"/>
    <mergeCell ref="B31:F31"/>
    <mergeCell ref="B32:F32"/>
    <mergeCell ref="B27:F2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</cols>
  <sheetData>
    <row r="1">
      <c r="A1" s="1" t="inlineStr">
        <is>
          <t>敵人(支線)：騙子·死亡預測師</t>
        </is>
      </c>
    </row>
    <row r="2"/>
    <row r="3">
      <c r="A3" s="3" t="inlineStr">
        <is>
          <t>CR：</t>
        </is>
      </c>
      <c r="B3" s="3" t="n">
        <v>2</v>
      </c>
      <c r="C3" s="7" t="n"/>
      <c r="D3" s="8" t="n"/>
    </row>
    <row r="4">
      <c r="A4" s="3" t="inlineStr">
        <is>
          <t>類型：</t>
        </is>
      </c>
      <c r="B4" s="3" t="inlineStr">
        <is>
          <t>非凡者</t>
        </is>
      </c>
      <c r="C4" s="7" t="n"/>
      <c r="D4" s="8" t="n"/>
    </row>
    <row r="5">
      <c r="A5" s="3" t="inlineStr">
        <is>
          <t>途徑/序列：</t>
        </is>
      </c>
      <c r="B5" s="3" t="inlineStr">
        <is>
          <t>偷盜者途徑/序列8·詐騙師</t>
        </is>
      </c>
      <c r="C5" s="7" t="n"/>
      <c r="D5" s="8" t="n"/>
    </row>
    <row r="6"/>
    <row r="7">
      <c r="A7" s="5" t="inlineStr">
        <is>
          <t>屬性</t>
        </is>
      </c>
      <c r="B7" s="6" t="inlineStr"/>
      <c r="C7" s="6" t="inlineStr"/>
      <c r="D7" s="6" t="inlineStr"/>
      <c r="E7" s="6" t="inlineStr"/>
      <c r="F7" s="6" t="inlineStr"/>
    </row>
    <row r="8">
      <c r="A8" s="3" t="inlineStr">
        <is>
          <t>風度</t>
        </is>
      </c>
      <c r="B8" s="4" t="n">
        <v>45</v>
      </c>
      <c r="C8" s="4" t="n">
        <v>40</v>
      </c>
      <c r="D8" s="4" t="n">
        <v>25</v>
      </c>
      <c r="E8" s="4" t="n">
        <v>45</v>
      </c>
      <c r="F8" s="4" t="n">
        <v>50</v>
      </c>
    </row>
    <row r="9"/>
    <row r="10">
      <c r="A10" s="5" t="inlineStr">
        <is>
          <t>衍生屬性（自動計算）</t>
        </is>
      </c>
      <c r="B10" s="6" t="inlineStr"/>
      <c r="C10" s="6" t="inlineStr"/>
      <c r="D10" s="6" t="inlineStr"/>
      <c r="E10" s="6" t="inlineStr"/>
      <c r="F10" s="6" t="inlineStr"/>
    </row>
    <row r="11">
      <c r="A11" s="3" t="inlineStr">
        <is>
          <t>HP</t>
        </is>
      </c>
      <c r="B11" s="4">
        <f>D8*2+15</f>
        <v/>
      </c>
    </row>
    <row r="12">
      <c r="A12" s="3" t="inlineStr">
        <is>
          <t>靈性池</t>
        </is>
      </c>
      <c r="B12" s="4">
        <f>B8*3+5</f>
        <v/>
      </c>
    </row>
    <row r="13">
      <c r="A13" s="3" t="inlineStr">
        <is>
          <t>失控閾值</t>
        </is>
      </c>
      <c r="B13" s="4">
        <f>C8*2+10</f>
        <v/>
      </c>
    </row>
    <row r="14">
      <c r="A14" s="3" t="inlineStr">
        <is>
          <t>失控值</t>
        </is>
      </c>
      <c r="B14" s="4" t="inlineStr">
        <is>
          <t>10</t>
        </is>
      </c>
    </row>
    <row r="15">
      <c r="A15" s="3" t="inlineStr">
        <is>
          <t>先攻</t>
        </is>
      </c>
      <c r="B15" s="4" t="inlineStr">
        <is>
          <t>45 + d10</t>
        </is>
      </c>
    </row>
    <row r="16"/>
    <row r="17">
      <c r="A17" s="5" t="inlineStr">
        <is>
          <t>攻擊方式</t>
        </is>
      </c>
      <c r="B17" s="6" t="inlineStr"/>
      <c r="C17" s="6" t="inlineStr"/>
      <c r="D17" s="6" t="inlineStr"/>
      <c r="E17" s="6" t="inlineStr"/>
      <c r="F17" s="6" t="inlineStr"/>
    </row>
    <row r="18">
      <c r="A18" s="2" t="inlineStr">
        <is>
          <t>名稱</t>
        </is>
      </c>
      <c r="B18" s="2" t="inlineStr">
        <is>
          <t>命中</t>
        </is>
      </c>
      <c r="C18" s="2" t="inlineStr">
        <is>
          <t>傷害</t>
        </is>
      </c>
      <c r="D18" s="2" t="inlineStr">
        <is>
          <t>射程</t>
        </is>
      </c>
      <c r="E18" s="2" t="inlineStr">
        <is>
          <t>特殊</t>
        </is>
      </c>
    </row>
    <row r="19">
      <c r="A19" s="3" t="inlineStr">
        <is>
          <t>花招匕首</t>
        </is>
      </c>
      <c r="B19" s="4" t="inlineStr">
        <is>
          <t>+15</t>
        </is>
      </c>
      <c r="C19" s="4" t="inlineStr">
        <is>
          <t>1d6+5</t>
        </is>
      </c>
      <c r="D19" s="4" t="inlineStr">
        <is>
          <t>近戰</t>
        </is>
      </c>
      <c r="E19" s="4" t="inlineStr">
        <is>
          <t>攻擊後立即撤退(免費移動5m)</t>
        </is>
      </c>
    </row>
    <row r="20">
      <c r="A20" s="3" t="inlineStr">
        <is>
          <t>謊言煙霧</t>
        </is>
      </c>
      <c r="B20" s="4" t="inlineStr">
        <is>
          <t>+5</t>
        </is>
      </c>
      <c r="C20" s="4" t="inlineStr">
        <is>
          <t>無傷害</t>
        </is>
      </c>
      <c r="D20" s="4" t="inlineStr">
        <is>
          <t>10m</t>
        </is>
      </c>
      <c r="E20" s="4" t="inlineStr">
        <is>
          <t>目盲1回合+創造逃跑機會</t>
        </is>
      </c>
    </row>
    <row r="21"/>
    <row r="22">
      <c r="A22" s="5" t="inlineStr">
        <is>
          <t>特殊能力</t>
        </is>
      </c>
      <c r="B22" s="6" t="inlineStr"/>
      <c r="C22" s="6" t="inlineStr"/>
      <c r="D22" s="6" t="inlineStr"/>
      <c r="E22" s="6" t="inlineStr"/>
      <c r="F22" s="6" t="inlineStr"/>
    </row>
    <row r="23">
      <c r="A23" s="3" t="inlineStr">
        <is>
          <t>多重僞裝(擁有5個假名字和5套不同外貌——需要逐個破除)</t>
        </is>
      </c>
      <c r="B23" s="7" t="n"/>
      <c r="C23" s="7" t="n"/>
      <c r="D23" s="7" t="n"/>
      <c r="E23" s="7" t="n"/>
      <c r="F23" s="8" t="n"/>
    </row>
    <row r="24">
      <c r="A24" s="3" t="inlineStr">
        <is>
          <t>謊言說服(欺騙檢定自動優勢)</t>
        </is>
      </c>
      <c r="B24" s="7" t="n"/>
      <c r="C24" s="7" t="n"/>
      <c r="D24" s="7" t="n"/>
      <c r="E24" s="7" t="n"/>
      <c r="F24" s="8" t="n"/>
    </row>
    <row r="25">
      <c r="A25" s="3" t="inlineStr">
        <is>
          <t>欺詐契約(讓目標籤署"死亡預測"服務——實際是隨機抽取靈界死亡記錄)</t>
        </is>
      </c>
      <c r="B25" s="7" t="n"/>
      <c r="C25" s="7" t="n"/>
      <c r="D25" s="7" t="n"/>
      <c r="E25" s="7" t="n"/>
      <c r="F25" s="8" t="n"/>
    </row>
    <row r="26"/>
    <row r="27">
      <c r="A27" s="5" t="inlineStr">
        <is>
          <t>抗性與弱點</t>
        </is>
      </c>
      <c r="B27" s="6" t="inlineStr"/>
      <c r="C27" s="6" t="inlineStr"/>
      <c r="D27" s="6" t="inlineStr"/>
      <c r="E27" s="6" t="inlineStr"/>
      <c r="F27" s="6" t="inlineStr"/>
    </row>
    <row r="28">
      <c r="A28" s="3" t="inlineStr">
        <is>
          <t>抗性：</t>
        </is>
      </c>
      <c r="B28" s="3" t="inlineStr">
        <is>
          <t>無</t>
        </is>
      </c>
      <c r="C28" s="7" t="n"/>
      <c r="D28" s="7" t="n"/>
      <c r="E28" s="7" t="n"/>
      <c r="F28" s="8" t="n"/>
    </row>
    <row r="29">
      <c r="A29" s="3" t="inlineStr">
        <is>
          <t>弱點：</t>
        </is>
      </c>
      <c r="B29" s="3" t="inlineStr">
        <is>
          <t>體力極差(體魄25→HP=85)；每個假身份被揭穿後風度-10</t>
        </is>
      </c>
      <c r="C29" s="7" t="n"/>
      <c r="D29" s="7" t="n"/>
      <c r="E29" s="7" t="n"/>
      <c r="F29" s="8" t="n"/>
    </row>
    <row r="30">
      <c r="A30" s="3" t="inlineStr">
        <is>
          <t>掉落：</t>
        </is>
      </c>
      <c r="B30" s="3" t="inlineStr">
        <is>
          <t>騙子筆記本(3級封印物)、靈界關聯物品×1d3</t>
        </is>
      </c>
      <c r="C30" s="7" t="n"/>
      <c r="D30" s="7" t="n"/>
      <c r="E30" s="7" t="n"/>
      <c r="F30" s="8" t="n"/>
    </row>
    <row r="31">
      <c r="A31" s="3" t="inlineStr">
        <is>
          <t>戰術：</t>
        </is>
      </c>
      <c r="B31" s="3" t="inlineStr">
        <is>
          <t>不戰鬥——逃跑第一。每被抓住一次(揭穿一個僞裝)下次僞裝檢定+15難度。5個僞裝全破後投降。</t>
        </is>
      </c>
      <c r="C31" s="7" t="n"/>
      <c r="D31" s="7" t="n"/>
      <c r="E31" s="7" t="n"/>
      <c r="F31" s="8" t="n"/>
    </row>
    <row r="32">
      <c r="A32" s="3" t="inlineStr">
        <is>
          <t>失控風險：</t>
        </is>
      </c>
      <c r="B32" s="3" t="inlineStr">
        <is>
          <t>失控值10/90——低風險。但若被逼到絕境會嘗試用筆記本做最後一筆"買賣"。</t>
        </is>
      </c>
      <c r="C32" s="7" t="n"/>
      <c r="D32" s="7" t="n"/>
      <c r="E32" s="7" t="n"/>
      <c r="F32" s="8" t="n"/>
    </row>
    <row r="33">
      <c r="A33" s="3" t="inlineStr">
        <is>
          <t>所屬支線：</t>
        </is>
      </c>
      <c r="B33" s="3" t="inlineStr">
        <is>
          <t>支線二《差分機故障》</t>
        </is>
      </c>
      <c r="C33" s="7" t="n"/>
      <c r="D33" s="7" t="n"/>
      <c r="E33" s="7" t="n"/>
      <c r="F33" s="8" t="n"/>
    </row>
  </sheetData>
  <mergeCells count="13">
    <mergeCell ref="A24:F24"/>
    <mergeCell ref="B30:F30"/>
    <mergeCell ref="B29:F29"/>
    <mergeCell ref="B5:D5"/>
    <mergeCell ref="B3:D3"/>
    <mergeCell ref="B33:F33"/>
    <mergeCell ref="B28:F28"/>
    <mergeCell ref="A23:F23"/>
    <mergeCell ref="B4:D4"/>
    <mergeCell ref="A1:E1"/>
    <mergeCell ref="B31:F31"/>
    <mergeCell ref="B32:F32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2026-06-25T17:01:07Z</dcterms:created>
  <dcterms:modified xsi:type="dcterms:W3CDTF">2026-06-25T18:01:42Z</dcterms:modified>
</cp:coreProperties>
</file>