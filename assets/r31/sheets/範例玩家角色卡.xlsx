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占卜" sheetId="1" state="visible" r:id="rId1"/>
    <sheet name="学徒" sheetId="2" state="visible" r:id="rId2"/>
    <sheet name="水手" sheetId="3" state="visible" r:id="rId3"/>
    <sheet name="阅读" sheetId="4" state="visible" r:id="rId4"/>
    <sheet name="观众" sheetId="5" state="visible" r:id="rId5"/>
    <sheet name="不眠" sheetId="6" state="visible" r:id="rId6"/>
    <sheet name="战士" sheetId="7" state="visible" r:id="rId7"/>
    <sheet name="猎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2F2F2F"/>
        <bgColor rgb="002F2F2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範例玩家卡：克萊恩·莫雷蒂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克萊恩·莫雷蒂</t>
        </is>
      </c>
      <c r="C4" s="4" t="n"/>
    </row>
    <row r="5">
      <c r="A5" s="2" t="inlineStr">
        <is>
          <t>途徑：</t>
        </is>
      </c>
      <c r="B5" s="3" t="inlineStr">
        <is>
          <t>占卜家途徑</t>
        </is>
      </c>
      <c r="C5" s="4" t="n"/>
    </row>
    <row r="6">
      <c r="A6" s="2" t="inlineStr">
        <is>
          <t>序列：</t>
        </is>
      </c>
      <c r="B6" s="3" t="inlineStr">
        <is>
          <t>序列9·占卜家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60</v>
      </c>
      <c r="C9" s="3" t="n">
        <v>45</v>
      </c>
      <c r="D9" s="3" t="n">
        <v>35</v>
      </c>
      <c r="E9" s="3" t="n">
        <v>30</v>
      </c>
      <c r="F9" s="3" t="n">
        <v>30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30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神祕學, +10 調查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靈擺占卜(3靈性/d100≤靈性+15)</t>
        </is>
      </c>
      <c r="B23" s="9" t="n"/>
      <c r="C23" s="9" t="n"/>
      <c r="D23" s="9" t="n"/>
      <c r="E23" s="9" t="n"/>
      <c r="F23" s="4" t="n"/>
    </row>
    <row r="24">
      <c r="A24" s="2" t="inlineStr">
        <is>
          <t>夢境解讀(5靈性/d100≤靈性+15)</t>
        </is>
      </c>
      <c r="B24" s="9" t="n"/>
      <c r="C24" s="9" t="n"/>
      <c r="D24" s="9" t="n"/>
      <c r="E24" s="9" t="n"/>
      <c r="F24" s="4" t="n"/>
    </row>
    <row r="25">
      <c r="A25" s="2" t="inlineStr">
        <is>
          <t>靈視(5啓動+2/分鐘)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靈擺、手杖(1d6)、厚大衣(+1)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大學歷史系畢業生 / 中產階層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私人偵探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好奇心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繼承——導師的遺物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備註：推薦屬性：靈性首位、心智次位。扮演要點：必須真的"相信"占卜。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範例玩家卡：羅塞爾·學徒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羅塞爾·學徒</t>
        </is>
      </c>
      <c r="C4" s="4" t="n"/>
    </row>
    <row r="5">
      <c r="A5" s="2" t="inlineStr">
        <is>
          <t>途徑：</t>
        </is>
      </c>
      <c r="B5" s="3" t="inlineStr">
        <is>
          <t>學徒途徑</t>
        </is>
      </c>
      <c r="C5" s="4" t="n"/>
    </row>
    <row r="6">
      <c r="A6" s="2" t="inlineStr">
        <is>
          <t>序列：</t>
        </is>
      </c>
      <c r="B6" s="3" t="inlineStr">
        <is>
          <t>序列9·學徒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60</v>
      </c>
      <c r="C9" s="3" t="n">
        <v>35</v>
      </c>
      <c r="D9" s="3" t="n">
        <v>35</v>
      </c>
      <c r="E9" s="3" t="n">
        <v>40</v>
      </c>
      <c r="F9" s="3" t="n">
        <v>30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40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巧手, +10 隱匿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開門(2靈性/d100≤靈性+20)</t>
        </is>
      </c>
      <c r="B23" s="9" t="n"/>
      <c r="C23" s="9" t="n"/>
      <c r="D23" s="9" t="n"/>
      <c r="E23" s="9" t="n"/>
      <c r="F23" s="4" t="n"/>
    </row>
    <row r="24">
      <c r="A24" s="2" t="inlineStr">
        <is>
          <t>閃現5m(8靈性)</t>
        </is>
      </c>
      <c r="B24" s="9" t="n"/>
      <c r="C24" s="9" t="n"/>
      <c r="D24" s="9" t="n"/>
      <c r="E24" s="9" t="n"/>
      <c r="F24" s="4" t="n"/>
    </row>
    <row r="25">
      <c r="A25" s="2" t="inlineStr">
        <is>
          <t>空間感知(3靈性)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開鎖工具、匕首(1d6)、皮甲(+2)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下層中產 / 鎖匠學徒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鎖匠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歸屬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購買——在黑市用所有積蓄換的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備註：推薦屬性：靈性首位、身手次位。每扇門背後都是未知。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範例玩家卡：阿爾傑·威爾遜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阿爾傑·威爾遜</t>
        </is>
      </c>
      <c r="C4" s="4" t="n"/>
    </row>
    <row r="5">
      <c r="A5" s="2" t="inlineStr">
        <is>
          <t>途徑：</t>
        </is>
      </c>
      <c r="B5" s="3" t="inlineStr">
        <is>
          <t>水手途徑</t>
        </is>
      </c>
      <c r="C5" s="4" t="n"/>
    </row>
    <row r="6">
      <c r="A6" s="2" t="inlineStr">
        <is>
          <t>序列：</t>
        </is>
      </c>
      <c r="B6" s="3" t="inlineStr">
        <is>
          <t>序列9·水手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45</v>
      </c>
      <c r="C9" s="3" t="n">
        <v>35</v>
      </c>
      <c r="D9" s="3" t="n">
        <v>55</v>
      </c>
      <c r="E9" s="3" t="n">
        <v>40</v>
      </c>
      <c r="F9" s="3" t="n">
        <v>25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40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格鬥, +10 生存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水下呼吸(被動)</t>
        </is>
      </c>
      <c r="B23" s="9" t="n"/>
      <c r="C23" s="9" t="n"/>
      <c r="D23" s="9" t="n"/>
      <c r="E23" s="9" t="n"/>
      <c r="F23" s="4" t="n"/>
    </row>
    <row r="24">
      <c r="A24" s="2" t="inlineStr">
        <is>
          <t>雷電之觸(3靈性/近戰+2d6雷)</t>
        </is>
      </c>
      <c r="B24" s="9" t="n"/>
      <c r="C24" s="9" t="n"/>
      <c r="D24" s="9" t="n"/>
      <c r="E24" s="9" t="n"/>
      <c r="F24" s="4" t="n"/>
    </row>
    <row r="25">
      <c r="A25" s="2" t="inlineStr">
        <is>
          <t>喚雷(5靈性/20m/3d6)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水手刀(1d6+8)、厚大衣(+1)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工人階層 / 退役水手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碼頭工人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力量本身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被迫——在海上被一個垂死的非凡者強制喂下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備註：推薦屬性：體魄首位、靈性次位。海洋不可馴服，只能與之共存。HP=體魄×3+10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範例玩家卡：以撒克·學者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以撒克·學者</t>
        </is>
      </c>
      <c r="C4" s="4" t="n"/>
    </row>
    <row r="5">
      <c r="A5" s="2" t="inlineStr">
        <is>
          <t>途徑：</t>
        </is>
      </c>
      <c r="B5" s="3" t="inlineStr">
        <is>
          <t>閱讀者途徑</t>
        </is>
      </c>
      <c r="C5" s="4" t="n"/>
    </row>
    <row r="6">
      <c r="A6" s="2" t="inlineStr">
        <is>
          <t>序列：</t>
        </is>
      </c>
      <c r="B6" s="3" t="inlineStr">
        <is>
          <t>序列9·閱讀者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50</v>
      </c>
      <c r="C9" s="3" t="n">
        <v>60</v>
      </c>
      <c r="D9" s="3" t="n">
        <v>30</v>
      </c>
      <c r="E9" s="3" t="n">
        <v>30</v>
      </c>
      <c r="F9" s="3" t="n">
        <v>30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30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學識, +10 調查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速讀記憶(4靈性/一分鐘讀完記住)</t>
        </is>
      </c>
      <c r="B23" s="9" t="n"/>
      <c r="C23" s="9" t="n"/>
      <c r="D23" s="9" t="n"/>
      <c r="E23" s="9" t="n"/>
      <c r="F23" s="4" t="n"/>
    </row>
    <row r="24">
      <c r="A24" s="2" t="inlineStr">
        <is>
          <t>戰術分析(2靈性/發現敵人弱點)</t>
        </is>
      </c>
      <c r="B24" s="9" t="n"/>
      <c r="C24" s="9" t="n"/>
      <c r="D24" s="9" t="n"/>
      <c r="E24" s="9" t="n"/>
      <c r="F24" s="4" t="n"/>
    </row>
    <row r="25">
      <c r="A25" s="2" t="inlineStr">
        <is>
          <t>弱點洞悉(反應2靈性/隊友+15命中)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筆記本、手杖(1d6)、厚大衣(+1)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上層中產 / 大學講師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大學講師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好奇心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意外——在圖書館禁書區翻到一本不該看的書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備註：推薦屬性：心智首位、靈性次位。真相藏在細節裏。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範例玩家卡：奧黛麗·正義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奧黛麗·正義</t>
        </is>
      </c>
      <c r="C4" s="4" t="n"/>
    </row>
    <row r="5">
      <c r="A5" s="2" t="inlineStr">
        <is>
          <t>途徑：</t>
        </is>
      </c>
      <c r="B5" s="3" t="inlineStr">
        <is>
          <t>觀衆途徑</t>
        </is>
      </c>
      <c r="C5" s="4" t="n"/>
    </row>
    <row r="6">
      <c r="A6" s="2" t="inlineStr">
        <is>
          <t>序列：</t>
        </is>
      </c>
      <c r="B6" s="3" t="inlineStr">
        <is>
          <t>序列9·觀衆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35</v>
      </c>
      <c r="C9" s="3" t="n">
        <v>55</v>
      </c>
      <c r="D9" s="3" t="n">
        <v>30</v>
      </c>
      <c r="E9" s="3" t="n">
        <v>30</v>
      </c>
      <c r="F9" s="3" t="n">
        <v>50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30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禮儀, +10 交涉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情緒讀取(0AP/1靈性/讀取表面情緒)</t>
        </is>
      </c>
      <c r="B23" s="9" t="n"/>
      <c r="C23" s="9" t="n"/>
      <c r="D23" s="9" t="n"/>
      <c r="E23" s="9" t="n"/>
      <c r="F23" s="4" t="n"/>
    </row>
    <row r="24">
      <c r="A24" s="2" t="inlineStr">
        <is>
          <t>存在感消隱(1AP/3靈性/敵人攻擊-20)</t>
        </is>
      </c>
      <c r="B24" s="9" t="n"/>
      <c r="C24" s="9" t="n"/>
      <c r="D24" s="9" t="n"/>
      <c r="E24" s="9" t="n"/>
      <c r="F24" s="4" t="n"/>
    </row>
    <row r="25">
      <c r="A25" s="2" t="inlineStr">
        <is>
          <t>微表情分析(反應/2靈性/預判行動)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扇子、小折刀(1d4)、禮服(+1風度場合)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貴族/上流 / 伯爵之女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社交名媛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保護——保護家族名譽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導師引導——家庭教師在暗中引導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備註：推薦屬性：心智首位、風度次位。你不是主角——你是坐在臺下的人。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範例玩家卡：倫納德·米切爾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倫納德·米切爾</t>
        </is>
      </c>
      <c r="C4" s="4" t="n"/>
    </row>
    <row r="5">
      <c r="A5" s="2" t="inlineStr">
        <is>
          <t>途徑：</t>
        </is>
      </c>
      <c r="B5" s="3" t="inlineStr">
        <is>
          <t>不眠者途徑</t>
        </is>
      </c>
      <c r="C5" s="4" t="n"/>
    </row>
    <row r="6">
      <c r="A6" s="2" t="inlineStr">
        <is>
          <t>序列：</t>
        </is>
      </c>
      <c r="B6" s="3" t="inlineStr">
        <is>
          <t>序列9·不眠者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40</v>
      </c>
      <c r="C9" s="3" t="n">
        <v>35</v>
      </c>
      <c r="D9" s="3" t="n">
        <v>45</v>
      </c>
      <c r="E9" s="3" t="n">
        <v>50</v>
      </c>
      <c r="F9" s="3" t="n">
        <v>30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50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潛行, +10 射擊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永不休眠(被動/免疫睡眠)</t>
        </is>
      </c>
      <c r="B23" s="9" t="n"/>
      <c r="C23" s="9" t="n"/>
      <c r="D23" s="9" t="n"/>
      <c r="E23" s="9" t="n"/>
      <c r="F23" s="4" t="n"/>
    </row>
    <row r="24">
      <c r="A24" s="2" t="inlineStr">
        <is>
          <t>夜視(被動/黑暗中視物50m)</t>
        </is>
      </c>
      <c r="B24" s="9" t="n"/>
      <c r="C24" s="9" t="n"/>
      <c r="D24" s="9" t="n"/>
      <c r="E24" s="9" t="n"/>
      <c r="F24" s="4" t="n"/>
    </row>
    <row r="25">
      <c r="A25" s="2" t="inlineStr">
        <is>
          <t>黑夜之力(1AP/3靈性/2d8暗傷害)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左輪手槍(2d6/20m)、皮甲(+2)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中產階層 / 詩人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詩人/記者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復仇——哥哥死於非凡事件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繼承——哥哥留下的遺物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備註：推薦屬性：身手首位、體魄次位。失去了做夢的能力——懷念它。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範例玩家卡：德瑞克·戰士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德瑞克·戰士</t>
        </is>
      </c>
      <c r="C4" s="4" t="n"/>
    </row>
    <row r="5">
      <c r="A5" s="2" t="inlineStr">
        <is>
          <t>途徑：</t>
        </is>
      </c>
      <c r="B5" s="3" t="inlineStr">
        <is>
          <t>戰士途徑</t>
        </is>
      </c>
      <c r="C5" s="4" t="n"/>
    </row>
    <row r="6">
      <c r="A6" s="2" t="inlineStr">
        <is>
          <t>序列：</t>
        </is>
      </c>
      <c r="B6" s="3" t="inlineStr">
        <is>
          <t>序列9·戰士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25</v>
      </c>
      <c r="C9" s="3" t="n">
        <v>40</v>
      </c>
      <c r="D9" s="3" t="n">
        <v>55</v>
      </c>
      <c r="E9" s="3" t="n">
        <v>50</v>
      </c>
      <c r="F9" s="3" t="n">
        <v>30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50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格鬥, +10 射擊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戰鬥本能(被動/武器熟練+10,HP+5,先攻+2)</t>
        </is>
      </c>
      <c r="B23" s="9" t="n"/>
      <c r="C23" s="9" t="n"/>
      <c r="D23" s="9" t="n"/>
      <c r="E23" s="9" t="n"/>
      <c r="F23" s="4" t="n"/>
    </row>
    <row r="24">
      <c r="A24" s="2" t="inlineStr">
        <is>
          <t>猛力一擊(2AP/3靈性/傷害翻倍)</t>
        </is>
      </c>
      <c r="B24" s="9" t="n"/>
      <c r="C24" s="9" t="n"/>
      <c r="D24" s="9" t="n"/>
      <c r="E24" s="9" t="n"/>
      <c r="F24" s="4" t="n"/>
    </row>
    <row r="25">
      <c r="A25" s="2" t="inlineStr">
        <is>
          <t>鋼鐵意志(反應/2靈性/抗心智+20)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長劍(2d6+11)、軍用左輪(2d6)、皮甲(+2)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下層中產 / 退伍士兵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保安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保護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購買——用退伍金從軍中老友處購得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備註：推薦屬性：體魄首位、身手次位。力量是爲了保護——不是爲了征服。HP=體魄×3+10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範例玩家卡：安德森·獵人</t>
        </is>
      </c>
    </row>
    <row r="2"/>
    <row r="3">
      <c r="A3" s="2" t="inlineStr">
        <is>
          <t>玩家：</t>
        </is>
      </c>
      <c r="B3" s="3" t="inlineStr">
        <is>
          <t>（示例）</t>
        </is>
      </c>
      <c r="C3" s="4" t="n"/>
    </row>
    <row r="4">
      <c r="A4" s="2" t="inlineStr">
        <is>
          <t>角色名：</t>
        </is>
      </c>
      <c r="B4" s="3" t="inlineStr">
        <is>
          <t>安德森·獵人</t>
        </is>
      </c>
      <c r="C4" s="4" t="n"/>
    </row>
    <row r="5">
      <c r="A5" s="2" t="inlineStr">
        <is>
          <t>途徑：</t>
        </is>
      </c>
      <c r="B5" s="3" t="inlineStr">
        <is>
          <t>獵人途徑</t>
        </is>
      </c>
      <c r="C5" s="4" t="n"/>
    </row>
    <row r="6">
      <c r="A6" s="2" t="inlineStr">
        <is>
          <t>序列：</t>
        </is>
      </c>
      <c r="B6" s="3" t="inlineStr">
        <is>
          <t>序列9·獵人</t>
        </is>
      </c>
      <c r="C6" s="4" t="n"/>
    </row>
    <row r="7"/>
    <row r="8">
      <c r="A8" s="5" t="inlineStr">
        <is>
          <t>核心屬性</t>
        </is>
      </c>
      <c r="B8" s="6" t="inlineStr"/>
      <c r="C8" s="6" t="inlineStr"/>
      <c r="D8" s="6" t="inlineStr"/>
      <c r="E8" s="6" t="inlineStr"/>
      <c r="F8" s="6" t="inlineStr"/>
    </row>
    <row r="9">
      <c r="A9" s="2" t="inlineStr">
        <is>
          <t>風度</t>
        </is>
      </c>
      <c r="B9" s="3" t="n">
        <v>35</v>
      </c>
      <c r="C9" s="3" t="n">
        <v>45</v>
      </c>
      <c r="D9" s="3" t="n">
        <v>40</v>
      </c>
      <c r="E9" s="3" t="n">
        <v>55</v>
      </c>
      <c r="F9" s="3" t="n">
        <v>25</v>
      </c>
    </row>
    <row r="10"/>
    <row r="11">
      <c r="A11" s="5" t="inlineStr">
        <is>
          <t>衍生屬性（自動計算）</t>
        </is>
      </c>
      <c r="B11" s="6" t="inlineStr"/>
      <c r="C11" s="6" t="inlineStr"/>
      <c r="D11" s="6" t="inlineStr"/>
      <c r="E11" s="6" t="inlineStr"/>
      <c r="F11" s="6" t="inlineStr"/>
    </row>
    <row r="12">
      <c r="A12" s="7" t="inlineStr">
        <is>
          <t>衍生屬性</t>
        </is>
      </c>
      <c r="B12" s="7" t="inlineStr">
        <is>
          <t>數值</t>
        </is>
      </c>
      <c r="C12" s="7" t="inlineStr">
        <is>
          <t>公式</t>
        </is>
      </c>
    </row>
    <row r="13">
      <c r="A13" s="2" t="inlineStr">
        <is>
          <t>HP</t>
        </is>
      </c>
      <c r="B13" s="3">
        <f>D9*2+15</f>
        <v/>
      </c>
      <c r="C13" s="8">
        <f>D9*2+15</f>
        <v/>
      </c>
    </row>
    <row r="14">
      <c r="A14" s="2" t="inlineStr">
        <is>
          <t>靈性池 (SP)</t>
        </is>
      </c>
      <c r="B14" s="3">
        <f>B9*3+5</f>
        <v/>
      </c>
      <c r="C14" s="8">
        <f>B9*3+5</f>
        <v/>
      </c>
    </row>
    <row r="15">
      <c r="A15" s="2" t="inlineStr">
        <is>
          <t>失控閾值 (LoCT)</t>
        </is>
      </c>
      <c r="B15" s="3">
        <f>C9*2+10</f>
        <v/>
      </c>
      <c r="C15" s="8">
        <f>C9*2+10</f>
        <v/>
      </c>
    </row>
    <row r="16">
      <c r="A16" s="2" t="inlineStr">
        <is>
          <t>失控值 (LoC)</t>
        </is>
      </c>
      <c r="B16" s="3" t="n">
        <v>0</v>
      </c>
      <c r="C16" s="8" t="inlineStr"/>
    </row>
    <row r="17">
      <c r="A17" s="2" t="inlineStr">
        <is>
          <t>先攻</t>
        </is>
      </c>
      <c r="B17" s="3" t="inlineStr">
        <is>
          <t>55 + d10</t>
        </is>
      </c>
      <c r="C17" s="8" t="inlineStr"/>
    </row>
    <row r="18"/>
    <row r="19">
      <c r="A19" s="5" t="inlineStr">
        <is>
          <t>通用技能</t>
        </is>
      </c>
      <c r="B19" s="6" t="inlineStr"/>
      <c r="C19" s="6" t="inlineStr"/>
      <c r="D19" s="6" t="inlineStr"/>
      <c r="E19" s="6" t="inlineStr"/>
      <c r="F19" s="6" t="inlineStr"/>
    </row>
    <row r="20">
      <c r="A20" s="2" t="inlineStr">
        <is>
          <t>+10 射擊, +10 生存</t>
        </is>
      </c>
      <c r="B20" s="9" t="n"/>
      <c r="C20" s="9" t="n"/>
      <c r="D20" s="9" t="n"/>
      <c r="E20" s="9" t="n"/>
      <c r="F20" s="4" t="n"/>
    </row>
    <row r="21"/>
    <row r="22">
      <c r="A22" s="5" t="inlineStr">
        <is>
          <t>途徑能力</t>
        </is>
      </c>
      <c r="B22" s="6" t="inlineStr"/>
      <c r="C22" s="6" t="inlineStr"/>
      <c r="D22" s="6" t="inlineStr"/>
      <c r="E22" s="6" t="inlineStr"/>
      <c r="F22" s="6" t="inlineStr"/>
    </row>
    <row r="23">
      <c r="A23" s="2" t="inlineStr">
        <is>
          <t>追蹤印記(1AP/2靈性/標記至多2目標)</t>
        </is>
      </c>
      <c r="B23" s="9" t="n"/>
      <c r="C23" s="9" t="n"/>
      <c r="D23" s="9" t="n"/>
      <c r="E23" s="9" t="n"/>
      <c r="F23" s="4" t="n"/>
    </row>
    <row r="24">
      <c r="A24" s="2" t="inlineStr">
        <is>
          <t>精準射擊(2AP/2靈性/+20命中+1d6精準)</t>
        </is>
      </c>
      <c r="B24" s="9" t="n"/>
      <c r="C24" s="9" t="n"/>
      <c r="D24" s="9" t="n"/>
      <c r="E24" s="9" t="n"/>
      <c r="F24" s="4" t="n"/>
    </row>
    <row r="25">
      <c r="A25" s="2" t="inlineStr">
        <is>
          <t>陷阱直覺(反應/1靈性/自動發現陷阱)</t>
        </is>
      </c>
      <c r="B25" s="9" t="n"/>
      <c r="C25" s="9" t="n"/>
      <c r="D25" s="9" t="n"/>
      <c r="E25" s="9" t="n"/>
      <c r="F25" s="4" t="n"/>
    </row>
    <row r="26"/>
    <row r="27">
      <c r="A27" s="5" t="inlineStr">
        <is>
          <t>裝備</t>
        </is>
      </c>
      <c r="B27" s="6" t="inlineStr"/>
      <c r="C27" s="6" t="inlineStr"/>
      <c r="D27" s="6" t="inlineStr"/>
      <c r="E27" s="6" t="inlineStr"/>
      <c r="F27" s="6" t="inlineStr"/>
    </row>
    <row r="28">
      <c r="A28" s="2" t="inlineStr">
        <is>
          <t>步槍(2d8+2/80m)、獵刀(1d6+8)、厚大衣(+1)</t>
        </is>
      </c>
      <c r="B28" s="9" t="n"/>
      <c r="C28" s="9" t="n"/>
      <c r="D28" s="9" t="n"/>
      <c r="E28" s="9" t="n"/>
      <c r="F28" s="4" t="n"/>
    </row>
    <row r="29"/>
    <row r="30">
      <c r="A30" s="5" t="inlineStr">
        <is>
          <t>角色背景</t>
        </is>
      </c>
      <c r="B30" s="6" t="inlineStr"/>
      <c r="C30" s="6" t="inlineStr"/>
      <c r="D30" s="6" t="inlineStr"/>
      <c r="E30" s="6" t="inlineStr"/>
      <c r="F30" s="6" t="inlineStr"/>
    </row>
    <row r="31">
      <c r="A31" s="2" t="inlineStr">
        <is>
          <t>凡人身分：</t>
        </is>
      </c>
      <c r="B31" s="2" t="inlineStr">
        <is>
          <t>中產階層 / 獵場看守</t>
        </is>
      </c>
      <c r="C31" s="9" t="n"/>
      <c r="D31" s="9" t="n"/>
      <c r="E31" s="9" t="n"/>
      <c r="F31" s="4" t="n"/>
    </row>
    <row r="32">
      <c r="A32" s="2" t="inlineStr">
        <is>
          <t>表層職業：</t>
        </is>
      </c>
      <c r="B32" s="2" t="inlineStr">
        <is>
          <t>獵場看守人</t>
        </is>
      </c>
      <c r="C32" s="9" t="n"/>
      <c r="D32" s="9" t="n"/>
      <c r="E32" s="9" t="n"/>
      <c r="F32" s="4" t="n"/>
    </row>
    <row r="33">
      <c r="A33" s="2" t="inlineStr">
        <is>
          <t>核心動機：</t>
        </is>
      </c>
      <c r="B33" s="2" t="inlineStr">
        <is>
          <t>命運</t>
        </is>
      </c>
      <c r="C33" s="9" t="n"/>
      <c r="D33" s="9" t="n"/>
      <c r="E33" s="9" t="n"/>
      <c r="F33" s="4" t="n"/>
    </row>
    <row r="34">
      <c r="A34" s="2" t="inlineStr">
        <is>
          <t>魔藥獲得：</t>
        </is>
      </c>
      <c r="B34" s="2" t="inlineStr">
        <is>
          <t>導師引導——老獵人臨終前傳授</t>
        </is>
      </c>
      <c r="C34" s="9" t="n"/>
      <c r="D34" s="9" t="n"/>
      <c r="E34" s="9" t="n"/>
      <c r="F34" s="4" t="n"/>
    </row>
    <row r="35"/>
    <row r="36"/>
    <row r="37">
      <c r="A37" s="10" t="inlineStr">
        <is>
          <t>備註：推薦屬性：身手首位、心智次位。獵人不是屠夫——追蹤比擊殺更重要。</t>
        </is>
      </c>
    </row>
  </sheetData>
  <mergeCells count="15">
    <mergeCell ref="A24:F24"/>
    <mergeCell ref="B6:C6"/>
    <mergeCell ref="A28:F28"/>
    <mergeCell ref="B34:F34"/>
    <mergeCell ref="B3:C3"/>
    <mergeCell ref="B5:C5"/>
    <mergeCell ref="A1:F1"/>
    <mergeCell ref="A23:F23"/>
    <mergeCell ref="B33:F33"/>
    <mergeCell ref="A37:F37"/>
    <mergeCell ref="B31:F31"/>
    <mergeCell ref="B32:F32"/>
    <mergeCell ref="A20:F20"/>
    <mergeCell ref="B4:C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2026-06-25T17:01:06Z</dcterms:created>
  <dcterms:modified xsi:type="dcterms:W3CDTF">2026-06-25T18:01:41Z</dcterms:modified>
</cp:coreProperties>
</file>