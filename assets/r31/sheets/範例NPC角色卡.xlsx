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夫人（" sheetId="1" state="visible" r:id="rId1"/>
    <sheet name="莫里森厂" sheetId="2" state="visible" r:id="rId2"/>
    <sheet name="老约翰（" sheetId="3" state="visible" r:id="rId3"/>
    <sheet name="工程师瓦" sheetId="4" state="visible" r:id="rId4"/>
    <sheet name="布莱克伍" sheetId="5" state="visible" r:id="rId5"/>
    <sheet name="本尼迪克（溺者酒馆老板）" sheetId="6" state="visible" r:id="rId6"/>
    <sheet name="操纵师（埃德温·格雷）" sheetId="7" state="visible" r:id="rId7"/>
    <sheet name="&quot;医生&quot;（真名已遗忘）" sheetId="8" state="visible" r:id="rId8"/>
    <sheet name="安妮（残留意识碎片）" sheetId="9" state="visible" r:id="rId9"/>
    <sheet name="【夥伴模板A】守護者" sheetId="10" state="visible" r:id="rId10"/>
    <sheet name="【夥伴模板B】觀察者" sheetId="11" state="visible" r:id="rId11"/>
    <sheet name="【夥伴模板C】風暴使" sheetId="12" state="visible" r:id="rId12"/>
    <sheet name="【夥伴模板D】潛行者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sz val="10"/>
    </font>
    <font>
      <name val="微软雅黑"/>
      <b val="1"/>
      <sz val="11"/>
    </font>
    <font>
      <name val="微软雅黑"/>
      <color rgb="00666666"/>
      <sz val="9"/>
    </font>
    <font>
      <name val="Microsoft YaHei"/>
      <b val="1"/>
      <sz val="14"/>
    </font>
    <font>
      <name val="Microsoft YaHei"/>
      <sz val="10"/>
    </font>
    <font>
      <name val="Microsoft YaHei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NPC：白夫人（艾莉西亞·懷特）</t>
        </is>
      </c>
    </row>
    <row r="3">
      <c r="A3" s="2" t="inlineStr">
        <is>
          <t>途徑/序列：</t>
        </is>
      </c>
      <c r="B3" s="2" t="inlineStr">
        <is>
          <t>觀衆途徑 序列6·催眠師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無（獨立）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《白房間的血色舞會》反派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仇視——闖入舞會者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55</v>
      </c>
      <c r="C9" s="5" t="n">
        <v>50</v>
      </c>
      <c r="D9" s="5" t="n">
        <v>35</v>
      </c>
      <c r="E9" s="5" t="n">
        <v>45</v>
      </c>
      <c r="F9" s="5" t="n">
        <v>65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  <c r="C12" s="6" t="inlineStr"/>
    </row>
    <row r="13">
      <c r="A13" s="2" t="inlineStr">
        <is>
          <t>靈性池</t>
        </is>
      </c>
      <c r="B13" s="5">
        <f>B9*3+5</f>
        <v/>
      </c>
      <c r="C13" s="6" t="inlineStr"/>
    </row>
    <row r="14">
      <c r="A14" s="2" t="inlineStr">
        <is>
          <t>失控閾值</t>
        </is>
      </c>
      <c r="B14" s="5">
        <f>C9*2+10</f>
        <v/>
      </c>
      <c r="C14" s="6" t="inlineStr"/>
    </row>
    <row r="15">
      <c r="A15" s="2" t="inlineStr">
        <is>
          <t>失控值</t>
        </is>
      </c>
      <c r="B15" s="5" t="inlineStr">
        <is>
          <t>（按劇本設定）</t>
        </is>
      </c>
      <c r="C15" s="6" t="inlineStr"/>
    </row>
    <row r="16">
      <c r="A16" s="2" t="inlineStr">
        <is>
          <t>先攻</t>
        </is>
      </c>
      <c r="B16" s="5" t="inlineStr">
        <is>
          <t>45 + d10</t>
        </is>
      </c>
      <c r="C16" s="6" t="inlineStr"/>
    </row>
    <row r="18">
      <c r="A18" s="3" t="inlineStr">
        <is>
          <t>戰鬥數據</t>
        </is>
      </c>
      <c r="B18" s="4" t="inlineStr"/>
      <c r="C18" s="4" t="inlineStr"/>
      <c r="D18" s="4" t="inlineStr"/>
      <c r="E18" s="4" t="inlineStr"/>
      <c r="F18" s="4" t="inlineStr"/>
    </row>
    <row r="19">
      <c r="A19" s="2" t="inlineStr">
        <is>
          <t>攻擊：舞蹈催眠(+20/範圍魅惑/20m)、情緒風暴(+15/3d6精神/全場)</t>
        </is>
      </c>
      <c r="B19" s="7" t="n"/>
      <c r="C19" s="7" t="n"/>
      <c r="D19" s="7" t="n"/>
      <c r="E19" s="7" t="n"/>
      <c r="F19" s="8" t="n"/>
    </row>
    <row r="20">
      <c r="A20" s="2" t="inlineStr">
        <is>
          <t>能力：節拍操控(反應/操控被催眠者)、永恆華爾茲(HP&lt;50%暴走)</t>
        </is>
      </c>
      <c r="B20" s="7" t="n"/>
      <c r="C20" s="7" t="n"/>
      <c r="D20" s="7" t="n"/>
      <c r="E20" s="7" t="n"/>
      <c r="F20" s="8" t="n"/>
    </row>
    <row r="22">
      <c r="A22" s="3" t="inlineStr">
        <is>
          <t>角色描述</t>
        </is>
      </c>
      <c r="B22" s="4" t="inlineStr"/>
      <c r="C22" s="4" t="inlineStr"/>
      <c r="D22" s="4" t="inlineStr"/>
      <c r="E22" s="4" t="inlineStr"/>
      <c r="F22" s="4" t="inlineStr"/>
    </row>
    <row r="23">
      <c r="A23" s="2" t="inlineStr">
        <is>
          <t>背景故事：</t>
        </is>
      </c>
      <c r="B23" s="2" t="inlineStr">
        <is>
          <t>五年前皇家劇院火災中的倖存者。失控後能力暴走，將觀衆束縛在永恆的舞蹈幻覺中。她活在自己創造的謊言裏——堅信只要舞會足夠完美，一切可以重來。</t>
        </is>
      </c>
      <c r="C23" s="7" t="n"/>
      <c r="D23" s="7" t="n"/>
      <c r="E23" s="7" t="n"/>
      <c r="F23" s="8" t="n"/>
    </row>
    <row r="24">
      <c r="A24" s="2" t="inlineStr">
        <is>
          <t>知道的祕密：</t>
        </is>
      </c>
      <c r="B24" s="2" t="inlineStr">
        <is>
          <t>她不知道的是：火災中所有觀衆都已死亡。她是唯一的倖存者——也是唯一的囚徒。</t>
        </is>
      </c>
      <c r="C24" s="7" t="n"/>
      <c r="D24" s="7" t="n"/>
      <c r="E24" s="7" t="n"/>
      <c r="F24" s="8" t="n"/>
    </row>
    <row r="25">
      <c r="A25" s="2" t="inlineStr">
        <is>
          <t>備註：</t>
        </is>
      </c>
      <c r="B25" s="2" t="inlineStr">
        <is>
          <t>弱點：面對火災真相時心智-20。救贖路線需要喚回檢定(風度+20)。</t>
        </is>
      </c>
      <c r="C25" s="7" t="n"/>
      <c r="D25" s="7" t="n"/>
      <c r="E25" s="7" t="n"/>
      <c r="F25" s="8" t="n"/>
    </row>
  </sheetData>
  <mergeCells count="10">
    <mergeCell ref="B3:D3"/>
    <mergeCell ref="B5:D5"/>
    <mergeCell ref="B24:F24"/>
    <mergeCell ref="A19:F19"/>
    <mergeCell ref="A1:F1"/>
    <mergeCell ref="B25:F25"/>
    <mergeCell ref="B4:D4"/>
    <mergeCell ref="B23:F23"/>
    <mergeCell ref="A20:F20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NPC：莫里森廠長（詹姆斯·莫里森）</t>
        </is>
      </c>
    </row>
    <row r="3">
      <c r="A3" s="2" t="inlineStr">
        <is>
          <t>途徑/序列：</t>
        </is>
      </c>
      <c r="B3" s="2" t="inlineStr">
        <is>
          <t>祕祈人途徑 序列7·隱修士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無（獨立）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《灰霧下的低語》反派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敵視——反對計劃者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60</v>
      </c>
      <c r="C9" s="5" t="n">
        <v>45</v>
      </c>
      <c r="D9" s="5" t="n">
        <v>40</v>
      </c>
      <c r="E9" s="5" t="n">
        <v>30</v>
      </c>
      <c r="F9" s="5" t="n">
        <v>30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  <c r="C12" s="6" t="inlineStr"/>
    </row>
    <row r="13">
      <c r="A13" s="2" t="inlineStr">
        <is>
          <t>靈性池</t>
        </is>
      </c>
      <c r="B13" s="5">
        <f>B9*3+5</f>
        <v/>
      </c>
      <c r="C13" s="6" t="inlineStr"/>
    </row>
    <row r="14">
      <c r="A14" s="2" t="inlineStr">
        <is>
          <t>失控閾值</t>
        </is>
      </c>
      <c r="B14" s="5">
        <f>C9*2+10</f>
        <v/>
      </c>
      <c r="C14" s="6" t="inlineStr"/>
    </row>
    <row r="15">
      <c r="A15" s="2" t="inlineStr">
        <is>
          <t>失控值</t>
        </is>
      </c>
      <c r="B15" s="5" t="inlineStr">
        <is>
          <t>（按劇本設定）</t>
        </is>
      </c>
      <c r="C15" s="6" t="inlineStr"/>
    </row>
    <row r="16">
      <c r="A16" s="2" t="inlineStr">
        <is>
          <t>先攻</t>
        </is>
      </c>
      <c r="B16" s="5" t="inlineStr">
        <is>
          <t>30 + d10</t>
        </is>
      </c>
      <c r="C16" s="6" t="inlineStr"/>
    </row>
    <row r="18">
      <c r="A18" s="3" t="inlineStr">
        <is>
          <t>戰鬥數據</t>
        </is>
      </c>
      <c r="B18" s="4" t="inlineStr"/>
      <c r="C18" s="4" t="inlineStr"/>
      <c r="D18" s="4" t="inlineStr"/>
      <c r="E18" s="4" t="inlineStr"/>
      <c r="F18" s="4" t="inlineStr"/>
    </row>
    <row r="19">
      <c r="A19" s="2" t="inlineStr">
        <is>
          <t>攻擊：暗影之觸(+15/3d6暗/近戰)、獻祭之刃(+15/2d8暗+詛咒/10m)</t>
        </is>
      </c>
      <c r="B19" s="7" t="n"/>
      <c r="C19" s="7" t="n"/>
      <c r="D19" s="7" t="n"/>
      <c r="E19" s="7" t="n"/>
      <c r="F19" s="8" t="n"/>
    </row>
    <row r="20">
      <c r="A20" s="2" t="inlineStr">
        <is>
          <t>能力：暗影潛行(1AP/完全隱匿)、召喚暗影僕從×2</t>
        </is>
      </c>
      <c r="B20" s="7" t="n"/>
      <c r="C20" s="7" t="n"/>
      <c r="D20" s="7" t="n"/>
      <c r="E20" s="7" t="n"/>
      <c r="F20" s="8" t="n"/>
    </row>
    <row r="22">
      <c r="A22" s="3" t="inlineStr">
        <is>
          <t>角色描述</t>
        </is>
      </c>
      <c r="B22" s="4" t="inlineStr"/>
      <c r="C22" s="4" t="inlineStr"/>
      <c r="D22" s="4" t="inlineStr"/>
      <c r="E22" s="4" t="inlineStr"/>
      <c r="F22" s="4" t="inlineStr"/>
    </row>
    <row r="23">
      <c r="A23" s="2" t="inlineStr">
        <is>
          <t>背景故事：</t>
        </is>
      </c>
      <c r="B23" s="2" t="inlineStr">
        <is>
          <t>原紡織工人。妻子在工廠事故喪生。服用祕祈人魔藥想復仇，卻被隱密存在的低語引導走向深淵。現在他將工人的記憶獻祭，換取"讓妻子回來"的承諾。</t>
        </is>
      </c>
      <c r="C23" s="7" t="n"/>
      <c r="D23" s="7" t="n"/>
      <c r="E23" s="7" t="n"/>
      <c r="F23" s="8" t="n"/>
    </row>
    <row r="24">
      <c r="A24" s="2" t="inlineStr">
        <is>
          <t>知道的祕密：</t>
        </is>
      </c>
      <c r="B24" s="2" t="inlineStr">
        <is>
          <t>隱密存在永遠不會兌現承諾。廠長只是它獲取記憶材料的工具。</t>
        </is>
      </c>
      <c r="C24" s="7" t="n"/>
      <c r="D24" s="7" t="n"/>
      <c r="E24" s="7" t="n"/>
      <c r="F24" s="8" t="n"/>
    </row>
    <row r="25">
      <c r="A25" s="2" t="inlineStr">
        <is>
          <t>備註：</t>
        </is>
      </c>
      <c r="B25" s="2" t="inlineStr">
        <is>
          <t>弱點：強光環境暗影潛行失效。儀式被打斷會反噬(+10失控值)。救贖需喚起對妻子的記憶。</t>
        </is>
      </c>
      <c r="C25" s="7" t="n"/>
      <c r="D25" s="7" t="n"/>
      <c r="E25" s="7" t="n"/>
      <c r="F25" s="8" t="n"/>
    </row>
  </sheetData>
  <mergeCells count="10">
    <mergeCell ref="B3:D3"/>
    <mergeCell ref="B5:D5"/>
    <mergeCell ref="B24:F24"/>
    <mergeCell ref="A19:F19"/>
    <mergeCell ref="A1:F1"/>
    <mergeCell ref="B25:F25"/>
    <mergeCell ref="B4:D4"/>
    <mergeCell ref="B23:F23"/>
    <mergeCell ref="A20:F20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NPC：老約翰（約翰·格雷森）</t>
        </is>
      </c>
    </row>
    <row r="3">
      <c r="A3" s="2" t="inlineStr">
        <is>
          <t>途徑/序列：</t>
        </is>
      </c>
      <c r="B3" s="2" t="inlineStr">
        <is>
          <t>觀衆途徑 序列5·夢境行者（退休）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獨立商人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第十號倉庫管理人 / 情報源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友善——只要價格公道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40</v>
      </c>
      <c r="C9" s="5" t="n">
        <v>60</v>
      </c>
      <c r="D9" s="5" t="n">
        <v>35</v>
      </c>
      <c r="E9" s="5" t="n">
        <v>25</v>
      </c>
      <c r="F9" s="5" t="n">
        <v>55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  <c r="C12" s="6" t="inlineStr"/>
    </row>
    <row r="13">
      <c r="A13" s="2" t="inlineStr">
        <is>
          <t>靈性池</t>
        </is>
      </c>
      <c r="B13" s="5">
        <f>B9*3+5</f>
        <v/>
      </c>
      <c r="C13" s="6" t="inlineStr"/>
    </row>
    <row r="14">
      <c r="A14" s="2" t="inlineStr">
        <is>
          <t>失控閾值</t>
        </is>
      </c>
      <c r="B14" s="5">
        <f>C9*2+10</f>
        <v/>
      </c>
      <c r="C14" s="6" t="inlineStr"/>
    </row>
    <row r="15">
      <c r="A15" s="2" t="inlineStr">
        <is>
          <t>失控值</t>
        </is>
      </c>
      <c r="B15" s="5" t="inlineStr">
        <is>
          <t>（按劇本設定）</t>
        </is>
      </c>
      <c r="C15" s="6" t="inlineStr"/>
    </row>
    <row r="16">
      <c r="A16" s="2" t="inlineStr">
        <is>
          <t>先攻</t>
        </is>
      </c>
      <c r="B16" s="5" t="inlineStr">
        <is>
          <t>25 + d10</t>
        </is>
      </c>
      <c r="C16" s="6" t="inlineStr"/>
    </row>
    <row r="18">
      <c r="A18" s="3" t="inlineStr">
        <is>
          <t>戰鬥數據</t>
        </is>
      </c>
      <c r="B18" s="4" t="inlineStr"/>
      <c r="C18" s="4" t="inlineStr"/>
      <c r="D18" s="4" t="inlineStr"/>
      <c r="E18" s="4" t="inlineStr"/>
      <c r="F18" s="4" t="inlineStr"/>
    </row>
    <row r="19">
      <c r="A19" s="2" t="inlineStr">
        <is>
          <t>不願意戰鬥。如果被迫：入夢(全回合/讓目標沉睡/自身也沉睡)</t>
        </is>
      </c>
      <c r="B19" s="7" t="n"/>
      <c r="C19" s="7" t="n"/>
      <c r="D19" s="7" t="n"/>
      <c r="E19" s="7" t="n"/>
      <c r="F19" s="8" t="n"/>
    </row>
    <row r="20">
      <c r="A20" s="2" t="inlineStr">
        <is>
          <t>戰鬥數據：無主動攻擊能力。先攻極低(-10)。</t>
        </is>
      </c>
      <c r="B20" s="7" t="n"/>
      <c r="C20" s="7" t="n"/>
      <c r="D20" s="7" t="n"/>
      <c r="E20" s="7" t="n"/>
      <c r="F20" s="8" t="n"/>
    </row>
    <row r="22">
      <c r="A22" s="3" t="inlineStr">
        <is>
          <t>角色描述</t>
        </is>
      </c>
      <c r="B22" s="4" t="inlineStr"/>
      <c r="C22" s="4" t="inlineStr"/>
      <c r="D22" s="4" t="inlineStr"/>
      <c r="E22" s="4" t="inlineStr"/>
      <c r="F22" s="4" t="inlineStr"/>
    </row>
    <row r="23">
      <c r="A23" s="2" t="inlineStr">
        <is>
          <t>背景故事：</t>
        </is>
      </c>
      <c r="B23" s="2" t="inlineStr">
        <is>
          <t>退休的非凡者商人。在灰港區碼頭的僞裝倉庫內經營封印物黑市。年輕時曾是觀衆途徑的精英非凡者，因一次失控事件永久失去入夢能力（但保留了夢境知識）。現在靠經驗和人脈做生意。</t>
        </is>
      </c>
      <c r="C23" s="7" t="n"/>
      <c r="D23" s="7" t="n"/>
      <c r="E23" s="7" t="n"/>
      <c r="F23" s="8" t="n"/>
    </row>
    <row r="24">
      <c r="A24" s="2" t="inlineStr">
        <is>
          <t>知道的祕密：</t>
        </is>
      </c>
      <c r="B24" s="2" t="inlineStr">
        <is>
          <t>他知道至少三個高位格存在的僞裝身份——但絕不會說。他能感知任何進入倉庫的人的"真實意圖"。</t>
        </is>
      </c>
      <c r="C24" s="7" t="n"/>
      <c r="D24" s="7" t="n"/>
      <c r="E24" s="7" t="n"/>
      <c r="F24" s="8" t="n"/>
    </row>
    <row r="25">
      <c r="A25" s="2" t="inlineStr">
        <is>
          <t>備註：</t>
        </is>
      </c>
      <c r="B25" s="2" t="inlineStr">
        <is>
          <t>玩家可在此獲取情報、購買封印物、接受委託。好感度足夠時會主動提供線索。</t>
        </is>
      </c>
      <c r="C25" s="7" t="n"/>
      <c r="D25" s="7" t="n"/>
      <c r="E25" s="7" t="n"/>
      <c r="F25" s="8" t="n"/>
    </row>
  </sheetData>
  <mergeCells count="10">
    <mergeCell ref="B3:D3"/>
    <mergeCell ref="B5:D5"/>
    <mergeCell ref="B24:F24"/>
    <mergeCell ref="A19:F19"/>
    <mergeCell ref="A1:F1"/>
    <mergeCell ref="B25:F25"/>
    <mergeCell ref="B4:D4"/>
    <mergeCell ref="B23:F23"/>
    <mergeCell ref="A20:F20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NPC：工程師瓦萊麗</t>
        </is>
      </c>
    </row>
    <row r="3">
      <c r="A3" s="2" t="inlineStr">
        <is>
          <t>途徑/序列：</t>
        </is>
      </c>
      <c r="B3" s="2" t="inlineStr">
        <is>
          <t>通識者途徑 序列6·工匠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齒輪會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《第十號倉庫》反派 / 布萊克伍德副手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敵視——阻礙計劃者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40</v>
      </c>
      <c r="C9" s="5" t="n">
        <v>60</v>
      </c>
      <c r="D9" s="5" t="n">
        <v>35</v>
      </c>
      <c r="E9" s="5" t="n">
        <v>45</v>
      </c>
      <c r="F9" s="5" t="n">
        <v>35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  <c r="C12" s="6" t="inlineStr"/>
    </row>
    <row r="13">
      <c r="A13" s="2" t="inlineStr">
        <is>
          <t>靈性池</t>
        </is>
      </c>
      <c r="B13" s="5">
        <f>B9*3+5</f>
        <v/>
      </c>
      <c r="C13" s="6" t="inlineStr"/>
    </row>
    <row r="14">
      <c r="A14" s="2" t="inlineStr">
        <is>
          <t>失控閾值</t>
        </is>
      </c>
      <c r="B14" s="5">
        <f>C9*2+10</f>
        <v/>
      </c>
      <c r="C14" s="6" t="inlineStr"/>
    </row>
    <row r="15">
      <c r="A15" s="2" t="inlineStr">
        <is>
          <t>失控值</t>
        </is>
      </c>
      <c r="B15" s="5" t="inlineStr">
        <is>
          <t>（按劇本設定）</t>
        </is>
      </c>
      <c r="C15" s="6" t="inlineStr"/>
    </row>
    <row r="16">
      <c r="A16" s="2" t="inlineStr">
        <is>
          <t>先攻</t>
        </is>
      </c>
      <c r="B16" s="5" t="inlineStr">
        <is>
          <t>45 + d10</t>
        </is>
      </c>
      <c r="C16" s="6" t="inlineStr"/>
    </row>
    <row r="18">
      <c r="A18" s="3" t="inlineStr">
        <is>
          <t>戰鬥數據</t>
        </is>
      </c>
      <c r="B18" s="4" t="inlineStr"/>
      <c r="C18" s="4" t="inlineStr"/>
      <c r="D18" s="4" t="inlineStr"/>
      <c r="E18" s="4" t="inlineStr"/>
      <c r="F18" s="4" t="inlineStr"/>
    </row>
    <row r="19">
      <c r="A19" s="2" t="inlineStr">
        <is>
          <t>攻擊：蒸汽噴射(+20/2d8火/10m/擊退)、扳手重擊(+20/2d6+10/近戰)</t>
        </is>
      </c>
      <c r="B19" s="7" t="n"/>
      <c r="C19" s="7" t="n"/>
      <c r="D19" s="7" t="n"/>
      <c r="E19" s="7" t="n"/>
      <c r="F19" s="8" t="n"/>
    </row>
    <row r="20">
      <c r="A20" s="2" t="inlineStr">
        <is>
          <t>能力：機械操控(操作環境機械)、精密陷阱(3個)、封印物拆解</t>
        </is>
      </c>
      <c r="B20" s="7" t="n"/>
      <c r="C20" s="7" t="n"/>
      <c r="D20" s="7" t="n"/>
      <c r="E20" s="7" t="n"/>
      <c r="F20" s="8" t="n"/>
    </row>
    <row r="22">
      <c r="A22" s="3" t="inlineStr">
        <is>
          <t>角色描述</t>
        </is>
      </c>
      <c r="B22" s="4" t="inlineStr"/>
      <c r="C22" s="4" t="inlineStr"/>
      <c r="D22" s="4" t="inlineStr"/>
      <c r="E22" s="4" t="inlineStr"/>
      <c r="F22" s="4" t="inlineStr"/>
    </row>
    <row r="23">
      <c r="A23" s="2" t="inlineStr">
        <is>
          <t>背景故事：</t>
        </is>
      </c>
      <c r="B23" s="2" t="inlineStr">
        <is>
          <t>布萊克伍德博士的前學生和最忠誠的助手。她相信博士的理論——途徑體系是"監獄"。她參與收集封印物不是爲破壞，而是爲"拆解研究"——理解每件封印物的非凡特性如何被重組。</t>
        </is>
      </c>
      <c r="C23" s="7" t="n"/>
      <c r="D23" s="7" t="n"/>
      <c r="E23" s="7" t="n"/>
      <c r="F23" s="8" t="n"/>
    </row>
    <row r="24">
      <c r="A24" s="2" t="inlineStr">
        <is>
          <t>知道的祕密：</t>
        </is>
      </c>
      <c r="B24" s="2" t="inlineStr">
        <is>
          <t>她私下害怕博士的理論是錯的。她參與研究不是因爲相信——是因爲不想辜負導師。</t>
        </is>
      </c>
      <c r="C24" s="7" t="n"/>
      <c r="D24" s="7" t="n"/>
      <c r="E24" s="7" t="n"/>
      <c r="F24" s="8" t="n"/>
    </row>
    <row r="25">
      <c r="A25" s="2" t="inlineStr">
        <is>
          <t>備註：</t>
        </is>
      </c>
      <c r="B25" s="2" t="inlineStr">
        <is>
          <t>弱點：差分機被破壞後能力減半。可說服（需博士妻子信物）。</t>
        </is>
      </c>
      <c r="C25" s="7" t="n"/>
      <c r="D25" s="7" t="n"/>
      <c r="E25" s="7" t="n"/>
      <c r="F25" s="8" t="n"/>
    </row>
  </sheetData>
  <mergeCells count="10">
    <mergeCell ref="B3:D3"/>
    <mergeCell ref="B5:D5"/>
    <mergeCell ref="B24:F24"/>
    <mergeCell ref="A19:F19"/>
    <mergeCell ref="A1:F1"/>
    <mergeCell ref="B25:F25"/>
    <mergeCell ref="B4:D4"/>
    <mergeCell ref="B23:F23"/>
    <mergeCell ref="A20:F20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NPC：布萊克伍德博士</t>
        </is>
      </c>
    </row>
    <row r="3">
      <c r="A3" s="2" t="inlineStr">
        <is>
          <t>途徑/序列：</t>
        </is>
      </c>
      <c r="B3" s="2" t="inlineStr">
        <is>
          <t>通識者途徑 序列4·機械之心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齒輪會（創始人）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系列最終反派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非敵意——"我只是想給你們看一扇窗"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70</v>
      </c>
      <c r="C9" s="5" t="n">
        <v>80</v>
      </c>
      <c r="D9" s="5" t="n">
        <v>40</v>
      </c>
      <c r="E9" s="5" t="n">
        <v>35</v>
      </c>
      <c r="F9" s="5" t="n">
        <v>20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  <c r="C12" s="6" t="inlineStr"/>
    </row>
    <row r="13">
      <c r="A13" s="2" t="inlineStr">
        <is>
          <t>靈性池</t>
        </is>
      </c>
      <c r="B13" s="5">
        <f>B9*3+5</f>
        <v/>
      </c>
      <c r="C13" s="6" t="inlineStr"/>
    </row>
    <row r="14">
      <c r="A14" s="2" t="inlineStr">
        <is>
          <t>失控閾值</t>
        </is>
      </c>
      <c r="B14" s="5">
        <f>C9*2+10</f>
        <v/>
      </c>
      <c r="C14" s="6" t="inlineStr"/>
    </row>
    <row r="15">
      <c r="A15" s="2" t="inlineStr">
        <is>
          <t>失控值</t>
        </is>
      </c>
      <c r="B15" s="5" t="inlineStr">
        <is>
          <t>（按劇本設定）</t>
        </is>
      </c>
      <c r="C15" s="6" t="inlineStr"/>
    </row>
    <row r="16">
      <c r="A16" s="2" t="inlineStr">
        <is>
          <t>先攻</t>
        </is>
      </c>
      <c r="B16" s="5" t="inlineStr">
        <is>
          <t>35 + d10</t>
        </is>
      </c>
      <c r="C16" s="6" t="inlineStr"/>
    </row>
    <row r="18">
      <c r="A18" s="3" t="inlineStr">
        <is>
          <t>戰鬥數據</t>
        </is>
      </c>
      <c r="B18" s="4" t="inlineStr"/>
      <c r="C18" s="4" t="inlineStr"/>
      <c r="D18" s="4" t="inlineStr"/>
      <c r="E18" s="4" t="inlineStr"/>
      <c r="F18" s="4" t="inlineStr"/>
    </row>
    <row r="19">
      <c r="A19" s="2" t="inlineStr">
        <is>
          <t>攻擊：機械統御(被動/操控所有機械)、差分機演算(1AP/分析後攻擊+30)</t>
        </is>
      </c>
      <c r="B19" s="7" t="n"/>
      <c r="C19" s="7" t="n"/>
      <c r="D19" s="7" t="n"/>
      <c r="E19" s="7" t="n"/>
      <c r="F19" s="8" t="n"/>
    </row>
    <row r="20">
      <c r="A20" s="2" t="inlineStr">
        <is>
          <t>能力：規則覆寫(改寫物理規則)、機械造物(召喚CR=6造物)、心靈廣播(直接對話玩家)</t>
        </is>
      </c>
      <c r="B20" s="7" t="n"/>
      <c r="C20" s="7" t="n"/>
      <c r="D20" s="7" t="n"/>
      <c r="E20" s="7" t="n"/>
      <c r="F20" s="8" t="n"/>
    </row>
    <row r="21">
      <c r="A21" s="2" t="inlineStr">
        <is>
          <t>最終形態(HP&lt;50%)：差分機陣列自我複製 + 人造神降</t>
        </is>
      </c>
      <c r="B21" s="7" t="n"/>
      <c r="C21" s="7" t="n"/>
      <c r="D21" s="7" t="n"/>
      <c r="E21" s="7" t="n"/>
      <c r="F21" s="8" t="n"/>
    </row>
    <row r="23">
      <c r="A23" s="3" t="inlineStr">
        <is>
          <t>角色描述</t>
        </is>
      </c>
      <c r="B23" s="4" t="inlineStr"/>
      <c r="C23" s="4" t="inlineStr"/>
      <c r="D23" s="4" t="inlineStr"/>
      <c r="E23" s="4" t="inlineStr"/>
      <c r="F23" s="4" t="inlineStr"/>
    </row>
    <row r="24">
      <c r="A24" s="2" t="inlineStr">
        <is>
          <t>背景故事：</t>
        </is>
      </c>
      <c r="B24" s="2" t="inlineStr">
        <is>
          <t>前灰霧大學教授，差分機天才。被開除因爲他提出了"異端"理論：22條途徑是被設計出來的"規則"，非凡者被鎖在一個更高等存在設定的體系裏。他想用差分機計算並創造第23條途徑——證明"監獄"有漏洞。他願意成爲第一個也是最後一個祭品。</t>
        </is>
      </c>
      <c r="C24" s="7" t="n"/>
      <c r="D24" s="7" t="n"/>
      <c r="E24" s="7" t="n"/>
      <c r="F24" s="8" t="n"/>
    </row>
    <row r="25">
      <c r="A25" s="2" t="inlineStr">
        <is>
          <t>知道的祕密：</t>
        </is>
      </c>
      <c r="B25" s="2" t="inlineStr">
        <is>
          <t>他在差分機數據庫中發現了一條遠古文明留下的訊息。訊息的內容你們永遠不會知道——除了他。</t>
        </is>
      </c>
      <c r="C25" s="7" t="n"/>
      <c r="D25" s="7" t="n"/>
      <c r="E25" s="7" t="n"/>
      <c r="F25" s="8" t="n"/>
    </row>
    <row r="26">
      <c r="A26" s="2" t="inlineStr">
        <is>
          <t>備註：</t>
        </is>
      </c>
      <c r="B26" s="2" t="inlineStr">
        <is>
          <t>不是邪惡反派。是悲劇人物。三個結局均可說服/完成公式。弱點：差分機陣列——破壞30%→能力降爲序列5，100%→失去非凡能力。</t>
        </is>
      </c>
      <c r="C26" s="7" t="n"/>
      <c r="D26" s="7" t="n"/>
      <c r="E26" s="7" t="n"/>
      <c r="F26" s="8" t="n"/>
    </row>
  </sheetData>
  <mergeCells count="11">
    <mergeCell ref="B3:D3"/>
    <mergeCell ref="B5:D5"/>
    <mergeCell ref="B24:F24"/>
    <mergeCell ref="A19:F19"/>
    <mergeCell ref="A1:F1"/>
    <mergeCell ref="B25:F25"/>
    <mergeCell ref="B4:D4"/>
    <mergeCell ref="B26:F26"/>
    <mergeCell ref="A20:F20"/>
    <mergeCell ref="A21:F21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NPC(支線)：本尼迪克（溺者酒館老闆）</t>
        </is>
      </c>
    </row>
    <row r="3">
      <c r="A3" s="2" t="inlineStr">
        <is>
          <t>途徑/序列：</t>
        </is>
      </c>
      <c r="B3" s="2" t="inlineStr">
        <is>
          <t>仲裁人途徑 序列7（退休）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中立/值夜者退役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溺者酒館老闆 / 情報樞紐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友善但保留——不信任任何人，但尊重能力和誠信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35</v>
      </c>
      <c r="C9" s="5" t="n">
        <v>60</v>
      </c>
      <c r="D9" s="5" t="n">
        <v>30</v>
      </c>
      <c r="E9" s="5" t="n">
        <v>25</v>
      </c>
      <c r="F9" s="5" t="n">
        <v>45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</row>
    <row r="13">
      <c r="A13" s="2" t="inlineStr">
        <is>
          <t>靈性池</t>
        </is>
      </c>
      <c r="B13" s="5">
        <f>B9*3+5</f>
        <v/>
      </c>
    </row>
    <row r="14">
      <c r="A14" s="2" t="inlineStr">
        <is>
          <t>失控閾值</t>
        </is>
      </c>
      <c r="B14" s="5">
        <f>C9*2+10</f>
        <v/>
      </c>
    </row>
    <row r="15">
      <c r="A15" s="2" t="inlineStr">
        <is>
          <t>先攻</t>
        </is>
      </c>
      <c r="B15" s="5" t="inlineStr">
        <is>
          <t>25 + d10</t>
        </is>
      </c>
    </row>
    <row r="17">
      <c r="A17" s="3" t="inlineStr">
        <is>
          <t>戰鬥數據</t>
        </is>
      </c>
      <c r="B17" s="4" t="inlineStr"/>
      <c r="C17" s="4" t="inlineStr"/>
      <c r="D17" s="4" t="inlineStr"/>
      <c r="E17" s="4" t="inlineStr"/>
      <c r="F17" s="4" t="inlineStr"/>
    </row>
    <row r="18">
      <c r="A18" s="2" t="inlineStr">
        <is>
          <t>不戰鬥。三十年前最後一場戰鬥後再未使用過能力。</t>
        </is>
      </c>
      <c r="B18" s="7" t="n"/>
      <c r="C18" s="7" t="n"/>
      <c r="D18" s="7" t="n"/>
      <c r="E18" s="7" t="n"/>
      <c r="F18" s="8" t="n"/>
    </row>
    <row r="19">
      <c r="A19" s="2" t="inlineStr">
        <is>
          <t>但如果有需要：仲裁宣言(d100≤風度/讓雙方停手1回合)、真言術(目標不能說謊)</t>
        </is>
      </c>
      <c r="B19" s="7" t="n"/>
      <c r="C19" s="7" t="n"/>
      <c r="D19" s="7" t="n"/>
      <c r="E19" s="7" t="n"/>
      <c r="F19" s="8" t="n"/>
    </row>
    <row r="21">
      <c r="A21" s="3" t="inlineStr">
        <is>
          <t>角色描述</t>
        </is>
      </c>
      <c r="B21" s="4" t="inlineStr"/>
      <c r="C21" s="4" t="inlineStr"/>
      <c r="D21" s="4" t="inlineStr"/>
      <c r="E21" s="4" t="inlineStr"/>
      <c r="F21" s="4" t="inlineStr"/>
    </row>
    <row r="22">
      <c r="A22" s="2" t="inlineStr">
        <is>
          <t>背景故事：</t>
        </is>
      </c>
      <c r="B22" s="2" t="inlineStr">
        <is>
          <t>溺者酒館的老闆，前值夜者成員。三十年前在封印物回收任務中失去了搭檔霍爾。此後不再使用非凡能力，成爲灰霧城非凡者社區的守門人和情報中轉站。他以"不喝酒"聞名——三十年來滴酒未沾。今晚他給自己倒了第一杯。</t>
        </is>
      </c>
      <c r="C22" s="7" t="n"/>
      <c r="D22" s="7" t="n"/>
      <c r="E22" s="7" t="n"/>
      <c r="F22" s="8" t="n"/>
    </row>
    <row r="23">
      <c r="A23" s="2" t="inlineStr">
        <is>
          <t>知道的祕密：</t>
        </is>
      </c>
      <c r="B23" s="2" t="inlineStr">
        <is>
          <t>知道值夜者內部的所有老面孔。保存着三十年來所有委託的記錄——如果玩家需要追查某件事的源頭，本尼迪克可能知道。他唯一想贖的罪是霍爾的犧牲。</t>
        </is>
      </c>
      <c r="C23" s="7" t="n"/>
      <c r="D23" s="7" t="n"/>
      <c r="E23" s="7" t="n"/>
      <c r="F23" s="8" t="n"/>
    </row>
    <row r="24">
      <c r="A24" s="2" t="inlineStr">
        <is>
          <t>備註：</t>
        </is>
      </c>
      <c r="B24" s="2" t="inlineStr">
        <is>
          <t>可與玩家建立長期關係。完成《最後一杯》支線後可能將酒館繼承權交給玩家。</t>
        </is>
      </c>
      <c r="C24" s="7" t="n"/>
      <c r="D24" s="7" t="n"/>
      <c r="E24" s="7" t="n"/>
      <c r="F24" s="8" t="n"/>
    </row>
    <row r="25">
      <c r="A25" s="2" t="inlineStr">
        <is>
          <t>所屬支線：</t>
        </is>
      </c>
      <c r="B25" s="2" t="inlineStr">
        <is>
          <t>支線一《溺者酒館的最後一杯》</t>
        </is>
      </c>
      <c r="C25" s="7" t="n"/>
      <c r="D25" s="7" t="n"/>
      <c r="E25" s="7" t="n"/>
      <c r="F25" s="8" t="n"/>
    </row>
  </sheetData>
  <mergeCells count="11">
    <mergeCell ref="B3:D3"/>
    <mergeCell ref="B5:D5"/>
    <mergeCell ref="B24:F24"/>
    <mergeCell ref="A19:F19"/>
    <mergeCell ref="A1:F1"/>
    <mergeCell ref="B25:F25"/>
    <mergeCell ref="B4:D4"/>
    <mergeCell ref="B23:F23"/>
    <mergeCell ref="A18:F18"/>
    <mergeCell ref="B22:F22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NPC(支線)：操縱師（埃德溫·格雷）</t>
        </is>
      </c>
    </row>
    <row r="3">
      <c r="A3" s="2" t="inlineStr">
        <is>
          <t>途徑/序列：</t>
        </is>
      </c>
      <c r="B3" s="2" t="inlineStr">
        <is>
          <t>觀衆途徑 序列4·操縱師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無（關押在聖瑪利亞瘋人院地下）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瘋人院地下實驗室的實際控制者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看似友善，實則操控——他認爲自己在"幫"失控者解脫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65</v>
      </c>
      <c r="C9" s="5" t="n">
        <v>75</v>
      </c>
      <c r="D9" s="5" t="n">
        <v>30</v>
      </c>
      <c r="E9" s="5" t="n">
        <v>25</v>
      </c>
      <c r="F9" s="5" t="n">
        <v>70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</row>
    <row r="13">
      <c r="A13" s="2" t="inlineStr">
        <is>
          <t>靈性池</t>
        </is>
      </c>
      <c r="B13" s="5">
        <f>B9*3+5</f>
        <v/>
      </c>
    </row>
    <row r="14">
      <c r="A14" s="2" t="inlineStr">
        <is>
          <t>失控閾值</t>
        </is>
      </c>
      <c r="B14" s="5">
        <f>C9*2+10</f>
        <v/>
      </c>
    </row>
    <row r="15">
      <c r="A15" s="2" t="inlineStr">
        <is>
          <t>先攻</t>
        </is>
      </c>
      <c r="B15" s="5" t="inlineStr">
        <is>
          <t>25 + d10</t>
        </is>
      </c>
    </row>
    <row r="17">
      <c r="A17" s="3" t="inlineStr">
        <is>
          <t>戰鬥數據</t>
        </is>
      </c>
      <c r="B17" s="4" t="inlineStr"/>
      <c r="C17" s="4" t="inlineStr"/>
      <c r="D17" s="4" t="inlineStr"/>
      <c r="E17" s="4" t="inlineStr"/>
      <c r="F17" s="4" t="inlineStr"/>
    </row>
    <row r="18">
      <c r="A18" s="2" t="inlineStr">
        <is>
          <t>不直接攻擊。他的"戰鬥"是心理層面的——攻擊玩家的信念和動機。</t>
        </is>
      </c>
      <c r="B18" s="7" t="n"/>
      <c r="C18" s="7" t="n"/>
      <c r="D18" s="7" t="n"/>
      <c r="E18" s="7" t="n"/>
      <c r="F18" s="8" t="n"/>
    </row>
    <row r="19">
      <c r="A19" s="2" t="inlineStr">
        <is>
          <t>能力：心智操控(讓目標懷疑自己的動機，心智檢定失敗→1回合無法行動)、人格影響(改變目標一個性格特質，需接觸)</t>
        </is>
      </c>
      <c r="B19" s="7" t="n"/>
      <c r="C19" s="7" t="n"/>
      <c r="D19" s="7" t="n"/>
      <c r="E19" s="7" t="n"/>
      <c r="F19" s="8" t="n"/>
    </row>
    <row r="20">
      <c r="A20" s="2" t="inlineStr">
        <is>
          <t>如果他真的被迫戰鬥→召喚被剝離特性的"病人"作爲護衛(CR=3-4, 3-5人)</t>
        </is>
      </c>
      <c r="B20" s="7" t="n"/>
      <c r="C20" s="7" t="n"/>
      <c r="D20" s="7" t="n"/>
      <c r="E20" s="7" t="n"/>
      <c r="F20" s="8" t="n"/>
    </row>
    <row r="22">
      <c r="A22" s="3" t="inlineStr">
        <is>
          <t>角色描述</t>
        </is>
      </c>
      <c r="B22" s="4" t="inlineStr"/>
      <c r="C22" s="4" t="inlineStr"/>
      <c r="D22" s="4" t="inlineStr"/>
      <c r="E22" s="4" t="inlineStr"/>
      <c r="F22" s="4" t="inlineStr"/>
    </row>
    <row r="23">
      <c r="A23" s="2" t="inlineStr">
        <is>
          <t>背景故事：</t>
        </is>
      </c>
      <c r="B23" s="2" t="inlineStr">
        <is>
          <t>前值夜者高級成員。因失控被關入聖瑪利亞瘋人院。但實際上他用能力操控了瘋人院的工作人員和病人，在祕密進行"非凡特性剝離"實驗——他認爲這是在爲失控者提供"解脫"。已剝離17人。三十年來值夜者以爲他是"安靜收容"——實則瘋人院是他的王國。</t>
        </is>
      </c>
      <c r="C23" s="7" t="n"/>
      <c r="D23" s="7" t="n"/>
      <c r="E23" s="7" t="n"/>
      <c r="F23" s="8" t="n"/>
    </row>
    <row r="24">
      <c r="A24" s="2" t="inlineStr">
        <is>
          <t>知道的祕密：</t>
        </is>
      </c>
      <c r="B24" s="2" t="inlineStr">
        <is>
          <t>被剝離者會產生"靈性缺失症"——3個月內加速衰老並失去所有記憶。他不知道這個副作用——或選擇不知道。</t>
        </is>
      </c>
      <c r="C24" s="7" t="n"/>
      <c r="D24" s="7" t="n"/>
      <c r="E24" s="7" t="n"/>
      <c r="F24" s="8" t="n"/>
    </row>
    <row r="25">
      <c r="A25" s="2" t="inlineStr">
        <is>
          <t>備註：</t>
        </is>
      </c>
      <c r="B25" s="2" t="inlineStr">
        <is>
          <t>序列4半神級NPC。不建議序列7以下玩家直接戰鬥。可用社交/學術路徑處理。</t>
        </is>
      </c>
      <c r="C25" s="7" t="n"/>
      <c r="D25" s="7" t="n"/>
      <c r="E25" s="7" t="n"/>
      <c r="F25" s="8" t="n"/>
    </row>
    <row r="26">
      <c r="A26" s="2" t="inlineStr">
        <is>
          <t>所屬支線：</t>
        </is>
      </c>
      <c r="B26" s="2" t="inlineStr">
        <is>
          <t>支線七《聖瑪利亞瘋人院》</t>
        </is>
      </c>
      <c r="C26" s="7" t="n"/>
      <c r="D26" s="7" t="n"/>
      <c r="E26" s="7" t="n"/>
      <c r="F26" s="8" t="n"/>
    </row>
  </sheetData>
  <mergeCells count="12">
    <mergeCell ref="B3:D3"/>
    <mergeCell ref="B5:D5"/>
    <mergeCell ref="B24:F24"/>
    <mergeCell ref="A19:F19"/>
    <mergeCell ref="A1:F1"/>
    <mergeCell ref="B25:F25"/>
    <mergeCell ref="B4:D4"/>
    <mergeCell ref="B23:F23"/>
    <mergeCell ref="A18:F18"/>
    <mergeCell ref="B26:F26"/>
    <mergeCell ref="A20:F20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NPC(支線)："醫生"（真名已遺忘）</t>
        </is>
      </c>
    </row>
    <row r="3">
      <c r="A3" s="2" t="inlineStr">
        <is>
          <t>途徑/序列：</t>
        </is>
      </c>
      <c r="B3" s="2" t="inlineStr">
        <is>
          <t>未知途徑 序列9（第23條途徑唯一節點）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無（隱居）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因斯茅斯村的"醫生" / 被遺忘的非凡者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疲憊但溫和——五十年來第一次有人類真正看到他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80</v>
      </c>
      <c r="C9" s="5" t="n">
        <v>60</v>
      </c>
      <c r="D9" s="5" t="n">
        <v>20</v>
      </c>
      <c r="E9" s="5" t="n">
        <v>15</v>
      </c>
      <c r="F9" s="5" t="n">
        <v>10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</row>
    <row r="13">
      <c r="A13" s="2" t="inlineStr">
        <is>
          <t>靈性池</t>
        </is>
      </c>
      <c r="B13" s="5">
        <f>B9*3+5</f>
        <v/>
      </c>
    </row>
    <row r="14">
      <c r="A14" s="2" t="inlineStr">
        <is>
          <t>失控閾值</t>
        </is>
      </c>
      <c r="B14" s="5">
        <f>C9*2+10</f>
        <v/>
      </c>
    </row>
    <row r="15">
      <c r="A15" s="2" t="inlineStr">
        <is>
          <t>先攻</t>
        </is>
      </c>
      <c r="B15" s="5" t="inlineStr">
        <is>
          <t>15 + d10</t>
        </is>
      </c>
    </row>
    <row r="17">
      <c r="A17" s="3" t="inlineStr">
        <is>
          <t>戰鬥數據</t>
        </is>
      </c>
      <c r="B17" s="4" t="inlineStr"/>
      <c r="C17" s="4" t="inlineStr"/>
      <c r="D17" s="4" t="inlineStr"/>
      <c r="E17" s="4" t="inlineStr"/>
      <c r="F17" s="4" t="inlineStr"/>
    </row>
    <row r="18">
      <c r="A18" s="2" t="inlineStr">
        <is>
          <t>不戰鬥。他的唯一能力"信號感知"沒有攻擊性。</t>
        </is>
      </c>
      <c r="B18" s="7" t="n"/>
      <c r="C18" s="7" t="n"/>
      <c r="D18" s="7" t="n"/>
      <c r="E18" s="7" t="n"/>
      <c r="F18" s="8" t="n"/>
    </row>
    <row r="19">
      <c r="A19" s="2" t="inlineStr">
        <is>
          <t>但如果不幸觸發靈界防禦機制→周圍10km所有途徑非凡者都會感知到他的存在（無法控制）。可能引來高位格存在的注意。</t>
        </is>
      </c>
      <c r="B19" s="7" t="n"/>
      <c r="C19" s="7" t="n"/>
      <c r="D19" s="7" t="n"/>
      <c r="E19" s="7" t="n"/>
      <c r="F19" s="8" t="n"/>
    </row>
    <row r="21">
      <c r="A21" s="3" t="inlineStr">
        <is>
          <t>角色描述</t>
        </is>
      </c>
      <c r="B21" s="4" t="inlineStr"/>
      <c r="C21" s="4" t="inlineStr"/>
      <c r="D21" s="4" t="inlineStr"/>
      <c r="E21" s="4" t="inlineStr"/>
      <c r="F21" s="4" t="inlineStr"/>
    </row>
    <row r="22">
      <c r="A22" s="2" t="inlineStr">
        <is>
          <t>背景故事：</t>
        </is>
      </c>
      <c r="B22" s="2" t="inlineStr">
        <is>
          <t>一個活了一個世紀的老人。五十年前作爲學徒途徑序列4「祕法師」的學生，接收了一段"不屬於22途徑的靈界信號"——並發現自己成爲了"第23條途徑"唯一的序列9節點。他無法晉昇——新途徑沒有序列8。五十年困在起點。他的存在本身是對非凡世界規則的無聲質疑。</t>
        </is>
      </c>
      <c r="C22" s="7" t="n"/>
      <c r="D22" s="7" t="n"/>
      <c r="E22" s="7" t="n"/>
      <c r="F22" s="8" t="n"/>
    </row>
    <row r="23">
      <c r="A23" s="2" t="inlineStr">
        <is>
          <t>知道的祕密：</t>
        </is>
      </c>
      <c r="B23" s="2" t="inlineStr">
        <is>
          <t>他與布萊克伍德博士曾是筆友。他警告布萊克伍德:"別打開這扇門。門後沒有自由——只有比22更大的孤獨。"他的"原初公式"比布萊克伍德的更完整。</t>
        </is>
      </c>
      <c r="C23" s="7" t="n"/>
      <c r="D23" s="7" t="n"/>
      <c r="E23" s="7" t="n"/>
      <c r="F23" s="8" t="n"/>
    </row>
    <row r="24">
      <c r="A24" s="2" t="inlineStr">
        <is>
          <t>備註：</t>
        </is>
      </c>
      <c r="B24" s="2" t="inlineStr">
        <is>
          <t>不戰鬥。純粹劇情NPC。他的存在可以改變玩家對整個非凡體系的認知。建議只在高序列（6以上）劇情中引入。</t>
        </is>
      </c>
      <c r="C24" s="7" t="n"/>
      <c r="D24" s="7" t="n"/>
      <c r="E24" s="7" t="n"/>
      <c r="F24" s="8" t="n"/>
    </row>
    <row r="25">
      <c r="A25" s="2" t="inlineStr">
        <is>
          <t>所屬支線：</t>
        </is>
      </c>
      <c r="B25" s="2" t="inlineStr">
        <is>
          <t>支線八《最後一個學徒》</t>
        </is>
      </c>
      <c r="C25" s="7" t="n"/>
      <c r="D25" s="7" t="n"/>
      <c r="E25" s="7" t="n"/>
      <c r="F25" s="8" t="n"/>
    </row>
  </sheetData>
  <mergeCells count="11">
    <mergeCell ref="B3:D3"/>
    <mergeCell ref="B5:D5"/>
    <mergeCell ref="B24:F24"/>
    <mergeCell ref="A19:F19"/>
    <mergeCell ref="A1:F1"/>
    <mergeCell ref="B25:F25"/>
    <mergeCell ref="B4:D4"/>
    <mergeCell ref="B23:F23"/>
    <mergeCell ref="A18:F18"/>
    <mergeCell ref="B22:F22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NPC(支線)：安妮（殘留意識碎片）</t>
        </is>
      </c>
    </row>
    <row r="3">
      <c r="A3" s="2" t="inlineStr">
        <is>
          <t>途徑/序列：</t>
        </is>
      </c>
      <c r="B3" s="2" t="inlineStr">
        <is>
          <t>無（觀衆途徑序列4的意識碎片）</t>
        </is>
      </c>
      <c r="C3" s="7" t="n"/>
      <c r="D3" s="8" t="n"/>
    </row>
    <row r="4">
      <c r="A4" s="2" t="inlineStr">
        <is>
          <t>所屬勢力：</t>
        </is>
      </c>
      <c r="B4" s="2" t="inlineStr">
        <is>
          <t>無</t>
        </is>
      </c>
      <c r="C4" s="7" t="n"/>
      <c r="D4" s="8" t="n"/>
    </row>
    <row r="5">
      <c r="A5" s="2" t="inlineStr">
        <is>
          <t>職位/身份：</t>
        </is>
      </c>
      <c r="B5" s="2" t="inlineStr">
        <is>
          <t>廢棄宅邸的"附靈" / 十三個意識碎片之一</t>
        </is>
      </c>
      <c r="C5" s="7" t="n"/>
      <c r="D5" s="8" t="n"/>
    </row>
    <row r="6">
      <c r="A6" s="2" t="inlineStr">
        <is>
          <t>對玩家態度：</t>
        </is>
      </c>
      <c r="B6" s="2" t="inlineStr">
        <is>
          <t>悲傷/絕望——只想讓"主人"回來</t>
        </is>
      </c>
      <c r="C6" s="7" t="n"/>
      <c r="D6" s="8" t="n"/>
    </row>
    <row r="8">
      <c r="A8" s="3" t="inlineStr">
        <is>
          <t>核心屬性</t>
        </is>
      </c>
      <c r="B8" s="4" t="inlineStr"/>
      <c r="C8" s="4" t="inlineStr"/>
      <c r="D8" s="4" t="inlineStr"/>
      <c r="E8" s="4" t="inlineStr"/>
      <c r="F8" s="4" t="inlineStr"/>
    </row>
    <row r="9">
      <c r="A9" s="2" t="inlineStr">
        <is>
          <t>風度</t>
        </is>
      </c>
      <c r="B9" s="5" t="n">
        <v>20</v>
      </c>
      <c r="C9" s="5" t="n">
        <v>10</v>
      </c>
      <c r="D9" s="5" t="n">
        <v>0</v>
      </c>
      <c r="E9" s="5" t="n">
        <v>0</v>
      </c>
      <c r="F9" s="5" t="n">
        <v>30</v>
      </c>
    </row>
    <row r="11">
      <c r="A11" s="3" t="inlineStr">
        <is>
          <t>衍生屬性（自動計算）</t>
        </is>
      </c>
      <c r="B11" s="4" t="inlineStr"/>
      <c r="C11" s="4" t="inlineStr"/>
      <c r="D11" s="4" t="inlineStr"/>
      <c r="E11" s="4" t="inlineStr"/>
      <c r="F11" s="4" t="inlineStr"/>
    </row>
    <row r="12">
      <c r="A12" s="2" t="inlineStr">
        <is>
          <t>HP</t>
        </is>
      </c>
      <c r="B12" s="5">
        <f>D9*2+15</f>
        <v/>
      </c>
    </row>
    <row r="13">
      <c r="A13" s="2" t="inlineStr">
        <is>
          <t>靈性池</t>
        </is>
      </c>
      <c r="B13" s="5">
        <f>B9*3+5</f>
        <v/>
      </c>
    </row>
    <row r="14">
      <c r="A14" s="2" t="inlineStr">
        <is>
          <t>失控閾值</t>
        </is>
      </c>
      <c r="B14" s="5">
        <f>C9*2+10</f>
        <v/>
      </c>
    </row>
    <row r="15">
      <c r="A15" s="2" t="inlineStr">
        <is>
          <t>先攻</t>
        </is>
      </c>
      <c r="B15" s="5" t="inlineStr">
        <is>
          <t>0 + d10</t>
        </is>
      </c>
    </row>
    <row r="17">
      <c r="A17" s="3" t="inlineStr">
        <is>
          <t>戰鬥數據</t>
        </is>
      </c>
      <c r="B17" s="4" t="inlineStr"/>
      <c r="C17" s="4" t="inlineStr"/>
      <c r="D17" s="4" t="inlineStr"/>
      <c r="E17" s="4" t="inlineStr"/>
      <c r="F17" s="4" t="inlineStr"/>
    </row>
    <row r="18">
      <c r="A18" s="2" t="inlineStr">
        <is>
          <t>不戰鬥。她只能通過寫信和製造食物來"溝通"。</t>
        </is>
      </c>
      <c r="B18" s="7" t="n"/>
      <c r="C18" s="7" t="n"/>
      <c r="D18" s="7" t="n"/>
      <c r="E18" s="7" t="n"/>
      <c r="F18" s="8" t="n"/>
    </row>
    <row r="19">
      <c r="A19" s="2" t="inlineStr">
        <is>
          <t>聚合後（13個意識碎片合一）會短暫形成序列4意識體——失控形態。</t>
        </is>
      </c>
      <c r="B19" s="7" t="n"/>
      <c r="C19" s="7" t="n"/>
      <c r="D19" s="7" t="n"/>
      <c r="E19" s="7" t="n"/>
      <c r="F19" s="8" t="n"/>
    </row>
    <row r="21">
      <c r="A21" s="3" t="inlineStr">
        <is>
          <t>角色描述</t>
        </is>
      </c>
      <c r="B21" s="4" t="inlineStr"/>
      <c r="C21" s="4" t="inlineStr"/>
      <c r="D21" s="4" t="inlineStr"/>
      <c r="E21" s="4" t="inlineStr"/>
      <c r="F21" s="4" t="inlineStr"/>
    </row>
    <row r="22">
      <c r="A22" s="2" t="inlineStr">
        <is>
          <t>背景故事：</t>
        </is>
      </c>
      <c r="B22" s="2" t="inlineStr">
        <is>
          <t>十三年前觀衆途徑非凡者失控實驗中，本體意識被分裂爲13個"角色"碎片。安妮是其中唯一保留"原本人格"的碎片——因爲她是本體對亡妻的記憶。每一封"請回來"的信都是她在消耗自己殘存的意識。當她寫完第13封信，她就會消散。</t>
        </is>
      </c>
      <c r="C22" s="7" t="n"/>
      <c r="D22" s="7" t="n"/>
      <c r="E22" s="7" t="n"/>
      <c r="F22" s="8" t="n"/>
    </row>
    <row r="23">
      <c r="A23" s="2" t="inlineStr">
        <is>
          <t>知道的祕密：</t>
        </is>
      </c>
      <c r="B23" s="2" t="inlineStr">
        <is>
          <t>她一直知道分裂是可逆的。但她不敢說——因爲"逆轉"意味着13個碎片必須有一個被"犧牲"。她一直在等待第13封信——那會是她自己的"自願犧牲"。</t>
        </is>
      </c>
      <c r="C23" s="7" t="n"/>
      <c r="D23" s="7" t="n"/>
      <c r="E23" s="7" t="n"/>
      <c r="F23" s="8" t="n"/>
    </row>
    <row r="24">
      <c r="A24" s="2" t="inlineStr">
        <is>
          <t>備註：</t>
        </is>
      </c>
      <c r="B24" s="2" t="inlineStr">
        <is>
          <t>劇情觸發NPC。玩家幫助她完成"逆轉儀式"後她會消散——但本體意識恢復後獲得永生難忘的記憶。</t>
        </is>
      </c>
      <c r="C24" s="7" t="n"/>
      <c r="D24" s="7" t="n"/>
      <c r="E24" s="7" t="n"/>
      <c r="F24" s="8" t="n"/>
    </row>
    <row r="25">
      <c r="A25" s="2" t="inlineStr">
        <is>
          <t>所屬支線：</t>
        </is>
      </c>
      <c r="B25" s="2" t="inlineStr">
        <is>
          <t>支線三《第十三個座位》</t>
        </is>
      </c>
      <c r="C25" s="7" t="n"/>
      <c r="D25" s="7" t="n"/>
      <c r="E25" s="7" t="n"/>
      <c r="F25" s="8" t="n"/>
    </row>
  </sheetData>
  <mergeCells count="11">
    <mergeCell ref="B3:D3"/>
    <mergeCell ref="B5:D5"/>
    <mergeCell ref="B24:F24"/>
    <mergeCell ref="A19:F19"/>
    <mergeCell ref="A1:F1"/>
    <mergeCell ref="B25:F25"/>
    <mergeCell ref="B4:D4"/>
    <mergeCell ref="B23:F23"/>
    <mergeCell ref="A18:F18"/>
    <mergeCell ref="B22:F22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9" t="inlineStr">
        <is>
          <t>夥伴NPC：【夥伴模板A】守護者</t>
        </is>
      </c>
      <c r="B1" s="7" t="n"/>
      <c r="C1" s="7" t="n"/>
      <c r="D1" s="7" t="n"/>
      <c r="E1" s="7" t="n"/>
      <c r="F1" s="8" t="n"/>
    </row>
    <row r="3">
      <c r="A3" s="10" t="inlineStr">
        <is>
          <t>途徑/序列：</t>
        </is>
      </c>
      <c r="B3" s="10" t="inlineStr">
        <is>
          <t>戰士途徑 序列9</t>
        </is>
      </c>
    </row>
    <row r="4">
      <c r="A4" s="10" t="inlineStr">
        <is>
          <t>所屬勢力：</t>
        </is>
      </c>
      <c r="B4" s="10" t="inlineStr">
        <is>
          <t>玩家夥伴</t>
        </is>
      </c>
    </row>
    <row r="5">
      <c r="A5" s="10" t="inlineStr">
        <is>
          <t>角色定位：</t>
        </is>
      </c>
      <c r="B5" s="10" t="inlineStr">
        <is>
          <t>坦克/保護型夥伴</t>
        </is>
      </c>
    </row>
    <row r="7">
      <c r="A7" s="11" t="inlineStr">
        <is>
          <t>核心屬性</t>
        </is>
      </c>
      <c r="B7" s="11" t="inlineStr"/>
      <c r="C7" s="11" t="inlineStr"/>
      <c r="D7" s="11" t="inlineStr"/>
      <c r="E7" s="11" t="inlineStr"/>
      <c r="F7" s="11" t="inlineStr"/>
    </row>
    <row r="8">
      <c r="A8" s="10" t="inlineStr">
        <is>
          <t>風度</t>
        </is>
      </c>
      <c r="B8" s="12" t="n">
        <v>25</v>
      </c>
      <c r="C8" s="12" t="n">
        <v>40</v>
      </c>
      <c r="D8" s="12" t="n">
        <v>55</v>
      </c>
      <c r="E8" s="12" t="n">
        <v>45</v>
      </c>
      <c r="F8" s="12" t="n">
        <v>35</v>
      </c>
    </row>
    <row r="10">
      <c r="A10" s="11" t="inlineStr">
        <is>
          <t>衍生屬性（自動計算）</t>
        </is>
      </c>
      <c r="B10" s="11" t="inlineStr"/>
      <c r="C10" s="11" t="inlineStr"/>
      <c r="D10" s="11" t="inlineStr"/>
      <c r="E10" s="11" t="inlineStr"/>
      <c r="F10" s="11" t="inlineStr"/>
    </row>
    <row r="11">
      <c r="A11" s="10" t="inlineStr">
        <is>
          <t>HP</t>
        </is>
      </c>
      <c r="B11" s="12">
        <f>D8*2+15</f>
        <v/>
      </c>
    </row>
    <row r="12">
      <c r="A12" s="10" t="inlineStr">
        <is>
          <t>靈性池</t>
        </is>
      </c>
      <c r="B12" s="12">
        <f>B8*3+5</f>
        <v/>
      </c>
    </row>
    <row r="13">
      <c r="A13" s="10" t="inlineStr">
        <is>
          <t>失控閾值</t>
        </is>
      </c>
      <c r="B13" s="12">
        <f>C8*2+10</f>
        <v/>
      </c>
    </row>
    <row r="14">
      <c r="A14" s="10" t="inlineStr">
        <is>
          <t>先攻</t>
        </is>
      </c>
      <c r="B14" s="12" t="inlineStr">
        <is>
          <t>45 + d10</t>
        </is>
      </c>
    </row>
    <row r="16">
      <c r="A16" s="11" t="inlineStr">
        <is>
          <t>戰鬥數據</t>
        </is>
      </c>
      <c r="B16" s="11" t="inlineStr"/>
      <c r="C16" s="11" t="inlineStr"/>
      <c r="D16" s="11" t="inlineStr"/>
      <c r="E16" s="11" t="inlineStr"/>
      <c r="F16" s="11" t="inlineStr"/>
    </row>
    <row r="17">
      <c r="A17" s="10" t="inlineStr">
        <is>
          <t>嘲諷(1AP/3靈性/20m/心智對抗→強制攻擊本夥伴1回合)</t>
        </is>
      </c>
      <c r="B17" s="7" t="n"/>
      <c r="C17" s="7" t="n"/>
      <c r="D17" s="7" t="n"/>
      <c r="E17" s="7" t="n"/>
      <c r="F17" s="8" t="n"/>
    </row>
    <row r="18">
      <c r="A18" s="10" t="inlineStr">
        <is>
          <t>格擋掩護(反應/替相鄰玩家承受一次傷害)</t>
        </is>
      </c>
      <c r="B18" s="7" t="n"/>
      <c r="C18" s="7" t="n"/>
      <c r="D18" s="7" t="n"/>
      <c r="E18" s="7" t="n"/>
      <c r="F18" s="8" t="n"/>
    </row>
    <row r="19">
      <c r="A19" s="10" t="inlineStr">
        <is>
          <t>基礎攻擊：長劍 +15(2d6+11)</t>
        </is>
      </c>
      <c r="B19" s="7" t="n"/>
      <c r="C19" s="7" t="n"/>
      <c r="D19" s="7" t="n"/>
      <c r="E19" s="7" t="n"/>
      <c r="F19" s="8" t="n"/>
    </row>
    <row r="21">
      <c r="A21" s="11" t="inlineStr">
        <is>
          <t>角色描述</t>
        </is>
      </c>
      <c r="B21" s="11" t="inlineStr"/>
      <c r="C21" s="11" t="inlineStr"/>
      <c r="D21" s="11" t="inlineStr"/>
      <c r="E21" s="11" t="inlineStr"/>
      <c r="F21" s="11" t="inlineStr"/>
    </row>
    <row r="22">
      <c r="A22" s="10" t="inlineStr">
        <is>
          <t>背景故事：</t>
        </is>
      </c>
      <c r="B22" s="10" t="inlineStr">
        <is>
          <t>沉默寡言但極度忠誠的守護者。前軍人或保鏢出身。有保護他人的執念。</t>
        </is>
      </c>
    </row>
    <row r="23">
      <c r="A23" s="10" t="inlineStr">
        <is>
          <t>備註：</t>
        </is>
      </c>
      <c r="B23" s="10" t="inlineStr">
        <is>
          <t>HP=125(體魄55×2+15)。單人團坦克角色。</t>
        </is>
      </c>
    </row>
    <row r="24">
      <c r="A24" s="10" t="inlineStr">
        <is>
          <t>登場劇本：</t>
        </is>
      </c>
      <c r="B24" s="10" t="inlineStr">
        <is>
          <t>單人系列劇本（全部三部）</t>
        </is>
      </c>
    </row>
  </sheetData>
  <mergeCells count="10">
    <mergeCell ref="B3:D3"/>
    <mergeCell ref="B5:D5"/>
    <mergeCell ref="B24:F24"/>
    <mergeCell ref="A19:F19"/>
    <mergeCell ref="A1:F1"/>
    <mergeCell ref="B4:D4"/>
    <mergeCell ref="A17:F17"/>
    <mergeCell ref="A18:F18"/>
    <mergeCell ref="B22:F22"/>
    <mergeCell ref="B23:F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9" t="inlineStr">
        <is>
          <t>夥伴NPC：【夥伴模板B】觀察者</t>
        </is>
      </c>
      <c r="B1" s="7" t="n"/>
      <c r="C1" s="7" t="n"/>
      <c r="D1" s="7" t="n"/>
      <c r="E1" s="7" t="n"/>
      <c r="F1" s="8" t="n"/>
    </row>
    <row r="3">
      <c r="A3" s="10" t="inlineStr">
        <is>
          <t>途徑/序列：</t>
        </is>
      </c>
      <c r="B3" s="10" t="inlineStr">
        <is>
          <t>觀眾途徑 序列9</t>
        </is>
      </c>
    </row>
    <row r="4">
      <c r="A4" s="10" t="inlineStr">
        <is>
          <t>所屬勢力：</t>
        </is>
      </c>
      <c r="B4" s="10" t="inlineStr">
        <is>
          <t>玩家夥伴</t>
        </is>
      </c>
    </row>
    <row r="5">
      <c r="A5" s="10" t="inlineStr">
        <is>
          <t>角色定位：</t>
        </is>
      </c>
      <c r="B5" s="10" t="inlineStr">
        <is>
          <t>情報/輔助型夥伴</t>
        </is>
      </c>
    </row>
    <row r="7">
      <c r="A7" s="11" t="inlineStr">
        <is>
          <t>核心屬性</t>
        </is>
      </c>
      <c r="B7" s="11" t="inlineStr"/>
      <c r="C7" s="11" t="inlineStr"/>
      <c r="D7" s="11" t="inlineStr"/>
      <c r="E7" s="11" t="inlineStr"/>
      <c r="F7" s="11" t="inlineStr"/>
    </row>
    <row r="8">
      <c r="A8" s="10" t="inlineStr">
        <is>
          <t>風度</t>
        </is>
      </c>
      <c r="B8" s="12" t="n">
        <v>35</v>
      </c>
      <c r="C8" s="12" t="n">
        <v>55</v>
      </c>
      <c r="D8" s="12" t="n">
        <v>30</v>
      </c>
      <c r="E8" s="12" t="n">
        <v>30</v>
      </c>
      <c r="F8" s="12" t="n">
        <v>50</v>
      </c>
    </row>
    <row r="10">
      <c r="A10" s="11" t="inlineStr">
        <is>
          <t>衍生屬性（自動計算）</t>
        </is>
      </c>
      <c r="B10" s="11" t="inlineStr"/>
      <c r="C10" s="11" t="inlineStr"/>
      <c r="D10" s="11" t="inlineStr"/>
      <c r="E10" s="11" t="inlineStr"/>
      <c r="F10" s="11" t="inlineStr"/>
    </row>
    <row r="11">
      <c r="A11" s="10" t="inlineStr">
        <is>
          <t>HP</t>
        </is>
      </c>
      <c r="B11" s="12">
        <f>D8*2+15</f>
        <v/>
      </c>
    </row>
    <row r="12">
      <c r="A12" s="10" t="inlineStr">
        <is>
          <t>靈性池</t>
        </is>
      </c>
      <c r="B12" s="12">
        <f>B8*3+5</f>
        <v/>
      </c>
    </row>
    <row r="13">
      <c r="A13" s="10" t="inlineStr">
        <is>
          <t>失控閾值</t>
        </is>
      </c>
      <c r="B13" s="12">
        <f>C8*2+10</f>
        <v/>
      </c>
    </row>
    <row r="14">
      <c r="A14" s="10" t="inlineStr">
        <is>
          <t>先攻</t>
        </is>
      </c>
      <c r="B14" s="12" t="inlineStr">
        <is>
          <t>30 + d10</t>
        </is>
      </c>
    </row>
    <row r="16">
      <c r="A16" s="11" t="inlineStr">
        <is>
          <t>戰鬥數據</t>
        </is>
      </c>
      <c r="B16" s="11" t="inlineStr"/>
      <c r="C16" s="11" t="inlineStr"/>
      <c r="D16" s="11" t="inlineStr"/>
      <c r="E16" s="11" t="inlineStr"/>
      <c r="F16" s="11" t="inlineStr"/>
    </row>
    <row r="17">
      <c r="A17" s="10" t="inlineStr">
        <is>
          <t>情緒讀取(0AP快速/1靈性/GM告知目標下回合行動傾向)</t>
        </is>
      </c>
      <c r="B17" s="7" t="n"/>
      <c r="C17" s="7" t="n"/>
      <c r="D17" s="7" t="n"/>
      <c r="E17" s="7" t="n"/>
      <c r="F17" s="8" t="n"/>
    </row>
    <row r="18">
      <c r="A18" s="10" t="inlineStr">
        <is>
          <t>微表情分析(反應/2靈性/玩家下次攻擊+15)</t>
        </is>
      </c>
      <c r="B18" s="7" t="n"/>
      <c r="C18" s="7" t="n"/>
      <c r="D18" s="7" t="n"/>
      <c r="E18" s="7" t="n"/>
      <c r="F18" s="8" t="n"/>
    </row>
    <row r="19">
      <c r="A19" s="10" t="inlineStr">
        <is>
          <t>基礎攻擊：手杖 1d6+6</t>
        </is>
      </c>
      <c r="B19" s="7" t="n"/>
      <c r="C19" s="7" t="n"/>
      <c r="D19" s="7" t="n"/>
      <c r="E19" s="7" t="n"/>
      <c r="F19" s="8" t="n"/>
    </row>
    <row r="21">
      <c r="A21" s="11" t="inlineStr">
        <is>
          <t>角色描述</t>
        </is>
      </c>
      <c r="B21" s="11" t="inlineStr"/>
      <c r="C21" s="11" t="inlineStr"/>
      <c r="D21" s="11" t="inlineStr"/>
      <c r="E21" s="11" t="inlineStr"/>
      <c r="F21" s="11" t="inlineStr"/>
    </row>
    <row r="22">
      <c r="A22" s="10" t="inlineStr">
        <is>
          <t>背景故事：</t>
        </is>
      </c>
      <c r="B22" s="10" t="inlineStr">
        <is>
          <t>敏銳的觀察者，能在社交場合中提供關鍵情報。前記者、學者或心理醫生出身。</t>
        </is>
      </c>
    </row>
    <row r="23">
      <c r="A23" s="10" t="inlineStr">
        <is>
          <t>備註：</t>
        </is>
      </c>
      <c r="B23" s="10" t="inlineStr">
        <is>
          <t>HP=75(體魄30×2+15)。單人團情報/社交補充。</t>
        </is>
      </c>
    </row>
    <row r="24">
      <c r="A24" s="10" t="inlineStr">
        <is>
          <t>登場劇本：</t>
        </is>
      </c>
      <c r="B24" s="10" t="inlineStr">
        <is>
          <t>單人系列劇本（全部三部）</t>
        </is>
      </c>
    </row>
  </sheetData>
  <mergeCells count="10">
    <mergeCell ref="B3:D3"/>
    <mergeCell ref="B5:D5"/>
    <mergeCell ref="B24:F24"/>
    <mergeCell ref="A19:F19"/>
    <mergeCell ref="A1:F1"/>
    <mergeCell ref="B4:D4"/>
    <mergeCell ref="A17:F17"/>
    <mergeCell ref="A18:F18"/>
    <mergeCell ref="B22:F22"/>
    <mergeCell ref="B23:F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9" t="inlineStr">
        <is>
          <t>夥伴NPC：【夥伴模板C】風暴使</t>
        </is>
      </c>
      <c r="B1" s="7" t="n"/>
      <c r="C1" s="7" t="n"/>
      <c r="D1" s="7" t="n"/>
      <c r="E1" s="7" t="n"/>
      <c r="F1" s="8" t="n"/>
    </row>
    <row r="3">
      <c r="A3" s="10" t="inlineStr">
        <is>
          <t>途徑/序列：</t>
        </is>
      </c>
      <c r="B3" s="10" t="inlineStr">
        <is>
          <t>水手途徑 序列9</t>
        </is>
      </c>
    </row>
    <row r="4">
      <c r="A4" s="10" t="inlineStr">
        <is>
          <t>所屬勢力：</t>
        </is>
      </c>
      <c r="B4" s="10" t="inlineStr">
        <is>
          <t>玩家夥伴</t>
        </is>
      </c>
    </row>
    <row r="5">
      <c r="A5" s="10" t="inlineStr">
        <is>
          <t>角色定位：</t>
        </is>
      </c>
      <c r="B5" s="10" t="inlineStr">
        <is>
          <t>遠程輸出型夥伴</t>
        </is>
      </c>
    </row>
    <row r="7">
      <c r="A7" s="11" t="inlineStr">
        <is>
          <t>核心屬性</t>
        </is>
      </c>
      <c r="B7" s="11" t="inlineStr"/>
      <c r="C7" s="11" t="inlineStr"/>
      <c r="D7" s="11" t="inlineStr"/>
      <c r="E7" s="11" t="inlineStr"/>
      <c r="F7" s="11" t="inlineStr"/>
    </row>
    <row r="8">
      <c r="A8" s="10" t="inlineStr">
        <is>
          <t>風度</t>
        </is>
      </c>
      <c r="B8" s="12" t="n">
        <v>45</v>
      </c>
      <c r="C8" s="12" t="n">
        <v>35</v>
      </c>
      <c r="D8" s="12" t="n">
        <v>40</v>
      </c>
      <c r="E8" s="12" t="n">
        <v>50</v>
      </c>
      <c r="F8" s="12" t="n">
        <v>30</v>
      </c>
    </row>
    <row r="10">
      <c r="A10" s="11" t="inlineStr">
        <is>
          <t>衍生屬性（自動計算）</t>
        </is>
      </c>
      <c r="B10" s="11" t="inlineStr"/>
      <c r="C10" s="11" t="inlineStr"/>
      <c r="D10" s="11" t="inlineStr"/>
      <c r="E10" s="11" t="inlineStr"/>
      <c r="F10" s="11" t="inlineStr"/>
    </row>
    <row r="11">
      <c r="A11" s="10" t="inlineStr">
        <is>
          <t>HP</t>
        </is>
      </c>
      <c r="B11" s="12">
        <f>D8*2+15</f>
        <v/>
      </c>
    </row>
    <row r="12">
      <c r="A12" s="10" t="inlineStr">
        <is>
          <t>靈性池</t>
        </is>
      </c>
      <c r="B12" s="12">
        <f>B8*3+5</f>
        <v/>
      </c>
    </row>
    <row r="13">
      <c r="A13" s="10" t="inlineStr">
        <is>
          <t>失控閾值</t>
        </is>
      </c>
      <c r="B13" s="12">
        <f>C8*2+10</f>
        <v/>
      </c>
    </row>
    <row r="14">
      <c r="A14" s="10" t="inlineStr">
        <is>
          <t>先攻</t>
        </is>
      </c>
      <c r="B14" s="12" t="inlineStr">
        <is>
          <t>50 + d10</t>
        </is>
      </c>
    </row>
    <row r="16">
      <c r="A16" s="11" t="inlineStr">
        <is>
          <t>戰鬥數據</t>
        </is>
      </c>
      <c r="B16" s="11" t="inlineStr"/>
      <c r="C16" s="11" t="inlineStr"/>
      <c r="D16" s="11" t="inlineStr"/>
      <c r="E16" s="11" t="inlineStr"/>
      <c r="F16" s="11" t="inlineStr"/>
    </row>
    <row r="17">
      <c r="A17" s="10" t="inlineStr">
        <is>
          <t>雷電之觸(1AP/3靈性/近戰/附加2d6雷/麻痹)</t>
        </is>
      </c>
      <c r="B17" s="7" t="n"/>
      <c r="C17" s="7" t="n"/>
      <c r="D17" s="7" t="n"/>
      <c r="E17" s="7" t="n"/>
      <c r="F17" s="8" t="n"/>
    </row>
    <row r="18">
      <c r="A18" s="10" t="inlineStr">
        <is>
          <t>喚雷(2AP/5靈性/20m/3d6雷/目標閃避劣勢)</t>
        </is>
      </c>
      <c r="B18" s="7" t="n"/>
      <c r="C18" s="7" t="n"/>
      <c r="D18" s="7" t="n"/>
      <c r="E18" s="7" t="n"/>
      <c r="F18" s="8" t="n"/>
    </row>
    <row r="19">
      <c r="A19" s="10" t="inlineStr">
        <is>
          <t>基礎攻擊：軍用左輪 +15(2d6/20m)</t>
        </is>
      </c>
      <c r="B19" s="7" t="n"/>
      <c r="C19" s="7" t="n"/>
      <c r="D19" s="7" t="n"/>
      <c r="E19" s="7" t="n"/>
      <c r="F19" s="8" t="n"/>
    </row>
    <row r="21">
      <c r="A21" s="11" t="inlineStr">
        <is>
          <t>角色描述</t>
        </is>
      </c>
      <c r="B21" s="11" t="inlineStr"/>
      <c r="C21" s="11" t="inlineStr"/>
      <c r="D21" s="11" t="inlineStr"/>
      <c r="E21" s="11" t="inlineStr"/>
      <c r="F21" s="11" t="inlineStr"/>
    </row>
    <row r="22">
      <c r="A22" s="10" t="inlineStr">
        <is>
          <t>背景故事：</t>
        </is>
      </c>
      <c r="B22" s="10" t="inlineStr">
        <is>
          <t>前水手或碼頭工人出身。對不正義的事情零容忍。</t>
        </is>
      </c>
    </row>
    <row r="23">
      <c r="A23" s="10" t="inlineStr">
        <is>
          <t>備註：</t>
        </is>
      </c>
      <c r="B23" s="10" t="inlineStr">
        <is>
          <t>HP=95(體魄40×2+15)。單人團遠程輸出。</t>
        </is>
      </c>
    </row>
    <row r="24">
      <c r="A24" s="10" t="inlineStr">
        <is>
          <t>登場劇本：</t>
        </is>
      </c>
      <c r="B24" s="10" t="inlineStr">
        <is>
          <t>單人系列劇本（全部三部）</t>
        </is>
      </c>
    </row>
  </sheetData>
  <mergeCells count="10">
    <mergeCell ref="B3:D3"/>
    <mergeCell ref="B5:D5"/>
    <mergeCell ref="B24:F24"/>
    <mergeCell ref="A19:F19"/>
    <mergeCell ref="A1:F1"/>
    <mergeCell ref="B4:D4"/>
    <mergeCell ref="A17:F17"/>
    <mergeCell ref="A18:F18"/>
    <mergeCell ref="B22:F22"/>
    <mergeCell ref="B23:F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</cols>
  <sheetData>
    <row r="1">
      <c r="A1" s="9" t="inlineStr">
        <is>
          <t>夥伴NPC：【夥伴模板D】潛行者</t>
        </is>
      </c>
      <c r="B1" s="7" t="n"/>
      <c r="C1" s="7" t="n"/>
      <c r="D1" s="7" t="n"/>
      <c r="E1" s="7" t="n"/>
      <c r="F1" s="8" t="n"/>
    </row>
    <row r="3">
      <c r="A3" s="10" t="inlineStr">
        <is>
          <t>途徑/序列：</t>
        </is>
      </c>
      <c r="B3" s="10" t="inlineStr">
        <is>
          <t>不眠者途徑 序列9</t>
        </is>
      </c>
    </row>
    <row r="4">
      <c r="A4" s="10" t="inlineStr">
        <is>
          <t>所屬勢力：</t>
        </is>
      </c>
      <c r="B4" s="10" t="inlineStr">
        <is>
          <t>玩家夥伴</t>
        </is>
      </c>
    </row>
    <row r="5">
      <c r="A5" s="10" t="inlineStr">
        <is>
          <t>角色定位：</t>
        </is>
      </c>
      <c r="B5" s="10" t="inlineStr">
        <is>
          <t>控場/機動型夥伴</t>
        </is>
      </c>
    </row>
    <row r="7">
      <c r="A7" s="11" t="inlineStr">
        <is>
          <t>核心屬性</t>
        </is>
      </c>
      <c r="B7" s="11" t="inlineStr"/>
      <c r="C7" s="11" t="inlineStr"/>
      <c r="D7" s="11" t="inlineStr"/>
      <c r="E7" s="11" t="inlineStr"/>
      <c r="F7" s="11" t="inlineStr"/>
    </row>
    <row r="8">
      <c r="A8" s="10" t="inlineStr">
        <is>
          <t>風度</t>
        </is>
      </c>
      <c r="B8" s="12" t="n">
        <v>40</v>
      </c>
      <c r="C8" s="12" t="n">
        <v>35</v>
      </c>
      <c r="D8" s="12" t="n">
        <v>40</v>
      </c>
      <c r="E8" s="12" t="n">
        <v>55</v>
      </c>
      <c r="F8" s="12" t="n">
        <v>30</v>
      </c>
    </row>
    <row r="10">
      <c r="A10" s="11" t="inlineStr">
        <is>
          <t>衍生屬性（自動計算）</t>
        </is>
      </c>
      <c r="B10" s="11" t="inlineStr"/>
      <c r="C10" s="11" t="inlineStr"/>
      <c r="D10" s="11" t="inlineStr"/>
      <c r="E10" s="11" t="inlineStr"/>
      <c r="F10" s="11" t="inlineStr"/>
    </row>
    <row r="11">
      <c r="A11" s="10" t="inlineStr">
        <is>
          <t>HP</t>
        </is>
      </c>
      <c r="B11" s="12">
        <f>D8*2+15</f>
        <v/>
      </c>
    </row>
    <row r="12">
      <c r="A12" s="10" t="inlineStr">
        <is>
          <t>靈性池</t>
        </is>
      </c>
      <c r="B12" s="12">
        <f>B8*3+5</f>
        <v/>
      </c>
    </row>
    <row r="13">
      <c r="A13" s="10" t="inlineStr">
        <is>
          <t>失控閾值</t>
        </is>
      </c>
      <c r="B13" s="12">
        <f>C8*2+10</f>
        <v/>
      </c>
    </row>
    <row r="14">
      <c r="A14" s="10" t="inlineStr">
        <is>
          <t>先攻</t>
        </is>
      </c>
      <c r="B14" s="12" t="inlineStr">
        <is>
          <t>55 + d10</t>
        </is>
      </c>
    </row>
    <row r="16">
      <c r="A16" s="11" t="inlineStr">
        <is>
          <t>戰鬥數據</t>
        </is>
      </c>
      <c r="B16" s="11" t="inlineStr"/>
      <c r="C16" s="11" t="inlineStr"/>
      <c r="D16" s="11" t="inlineStr"/>
      <c r="E16" s="11" t="inlineStr"/>
      <c r="F16" s="11" t="inlineStr"/>
    </row>
    <row r="17">
      <c r="A17" s="10" t="inlineStr">
        <is>
          <t>黑夜之力(1AP/3靈性/10m/2d8暗傷害/目盲)</t>
        </is>
      </c>
      <c r="B17" s="7" t="n"/>
      <c r="C17" s="7" t="n"/>
      <c r="D17" s="7" t="n"/>
      <c r="E17" s="7" t="n"/>
      <c r="F17" s="8" t="n"/>
    </row>
    <row r="18">
      <c r="A18" s="10" t="inlineStr">
        <is>
          <t>暗影之步(1AP/2靈性/15m傳送/不觸發借機)</t>
        </is>
      </c>
      <c r="B18" s="7" t="n"/>
      <c r="C18" s="7" t="n"/>
      <c r="D18" s="7" t="n"/>
      <c r="E18" s="7" t="n"/>
      <c r="F18" s="8" t="n"/>
    </row>
    <row r="19">
      <c r="A19" s="10" t="inlineStr">
        <is>
          <t>基礎攻擊：匕首 +15(1d6+8)</t>
        </is>
      </c>
      <c r="B19" s="7" t="n"/>
      <c r="C19" s="7" t="n"/>
      <c r="D19" s="7" t="n"/>
      <c r="E19" s="7" t="n"/>
      <c r="F19" s="8" t="n"/>
    </row>
    <row r="21">
      <c r="A21" s="11" t="inlineStr">
        <is>
          <t>角色描述</t>
        </is>
      </c>
      <c r="B21" s="11" t="inlineStr"/>
      <c r="C21" s="11" t="inlineStr"/>
      <c r="D21" s="11" t="inlineStr"/>
      <c r="E21" s="11" t="inlineStr"/>
      <c r="F21" s="11" t="inlineStr"/>
    </row>
    <row r="22">
      <c r="A22" s="10" t="inlineStr">
        <is>
          <t>背景故事：</t>
        </is>
      </c>
      <c r="B22" s="10" t="inlineStr">
        <is>
          <t>不需要睡覺的夥伴——永遠可以在深夜陪你調查。前夜間警衛或獨居者出身。</t>
        </is>
      </c>
    </row>
    <row r="23">
      <c r="A23" s="10" t="inlineStr">
        <is>
          <t>備註：</t>
        </is>
      </c>
      <c r="B23" s="10" t="inlineStr">
        <is>
          <t>HP=95(體魄40×2+15)。單人團夜間行動/控場。</t>
        </is>
      </c>
    </row>
    <row r="24">
      <c r="A24" s="10" t="inlineStr">
        <is>
          <t>登場劇本：</t>
        </is>
      </c>
      <c r="B24" s="10" t="inlineStr">
        <is>
          <t>單人系列劇本（全部三部）</t>
        </is>
      </c>
    </row>
  </sheetData>
  <mergeCells count="10">
    <mergeCell ref="B3:D3"/>
    <mergeCell ref="B5:D5"/>
    <mergeCell ref="B24:F24"/>
    <mergeCell ref="A19:F19"/>
    <mergeCell ref="A1:F1"/>
    <mergeCell ref="B4:D4"/>
    <mergeCell ref="A17:F17"/>
    <mergeCell ref="A18:F18"/>
    <mergeCell ref="B22:F22"/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2026-06-25T17:01:07Z</dcterms:created>
  <dcterms:modified xsi:type="dcterms:W3CDTF">2026-06-28T17:52:23Z</dcterms:modified>
</cp:coreProperties>
</file>